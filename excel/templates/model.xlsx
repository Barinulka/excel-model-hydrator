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ЭтаКнига"/>
  <xr:revisionPtr revIDLastSave="0" documentId="13_ncr:1_{0249B505-002A-49F2-9C04-2D9E8A6731AF}" xr6:coauthVersionLast="47" xr6:coauthVersionMax="47" xr10:uidLastSave="{00000000-0000-0000-0000-000000000000}"/>
  <bookViews>
    <workbookView xWindow="-118" yWindow="-118" windowWidth="25370" windowHeight="15238" xr2:uid="{00000000-000D-0000-FFFF-FFFF00000000}"/>
  </bookViews>
  <sheets>
    <sheet name="Title" sheetId="1" r:id="rId1"/>
    <sheet name="Input" sheetId="3" r:id="rId2"/>
    <sheet name="Расчеты" sheetId="5" r:id="rId3"/>
    <sheet name="PL_BS_CF" sheetId="9" r:id="rId4"/>
    <sheet name="Тех.лист" sheetId="18" r:id="rId5"/>
    <sheet name="Лист2" sheetId="14" state="hidden" r:id="rId6"/>
  </sheets>
  <externalReferences>
    <externalReference r:id="rId7"/>
  </externalReferences>
  <definedNames>
    <definedName name="Currency_name">[1]Input!$D$24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7" i="5" l="1"/>
  <c r="N337" i="5" s="1"/>
  <c r="M338" i="5"/>
  <c r="N338" i="5"/>
  <c r="O338" i="5"/>
  <c r="P338" i="5"/>
  <c r="Q338" i="5"/>
  <c r="R338" i="5"/>
  <c r="S338" i="5"/>
  <c r="T338" i="5"/>
  <c r="M339" i="5"/>
  <c r="N339" i="5"/>
  <c r="O339" i="5"/>
  <c r="P339" i="5"/>
  <c r="M340" i="5"/>
  <c r="N340" i="5"/>
  <c r="O340" i="5"/>
  <c r="M341" i="5"/>
  <c r="N341" i="5"/>
  <c r="O341" i="5"/>
  <c r="M342" i="5"/>
  <c r="N342" i="5"/>
  <c r="O342" i="5"/>
  <c r="P342" i="5"/>
  <c r="M343" i="5"/>
  <c r="N343" i="5"/>
  <c r="O343" i="5"/>
  <c r="P343" i="5"/>
  <c r="Q343" i="5"/>
  <c r="R343" i="5"/>
  <c r="S343" i="5"/>
  <c r="M344" i="5"/>
  <c r="N344" i="5"/>
  <c r="O344" i="5"/>
  <c r="P344" i="5"/>
  <c r="Q344" i="5"/>
  <c r="R344" i="5"/>
  <c r="S344" i="5"/>
  <c r="T344" i="5"/>
  <c r="M345" i="5"/>
  <c r="N345" i="5"/>
  <c r="O345" i="5"/>
  <c r="P345" i="5"/>
  <c r="Q345" i="5"/>
  <c r="R345" i="5"/>
  <c r="S345" i="5"/>
  <c r="M346" i="5"/>
  <c r="N346" i="5"/>
  <c r="O346" i="5"/>
  <c r="P346" i="5"/>
  <c r="Q346" i="5"/>
  <c r="R346" i="5"/>
  <c r="S346" i="5"/>
  <c r="T346" i="5"/>
  <c r="U346" i="5"/>
  <c r="V346" i="5"/>
  <c r="M347" i="5"/>
  <c r="N347" i="5"/>
  <c r="O347" i="5"/>
  <c r="P347" i="5"/>
  <c r="Q347" i="5"/>
  <c r="R347" i="5"/>
  <c r="S347" i="5"/>
  <c r="T347" i="5"/>
  <c r="U347" i="5"/>
  <c r="M348" i="5"/>
  <c r="N348" i="5"/>
  <c r="O348" i="5"/>
  <c r="P348" i="5"/>
  <c r="Q348" i="5"/>
  <c r="R348" i="5"/>
  <c r="S348" i="5"/>
  <c r="T348" i="5"/>
  <c r="U348" i="5"/>
  <c r="V348" i="5"/>
  <c r="W348" i="5"/>
  <c r="M349" i="5"/>
  <c r="N349" i="5"/>
  <c r="O349" i="5"/>
  <c r="P349" i="5"/>
  <c r="Q349" i="5"/>
  <c r="R349" i="5"/>
  <c r="S349" i="5"/>
  <c r="T349" i="5"/>
  <c r="U349" i="5"/>
  <c r="V349" i="5"/>
  <c r="W349" i="5"/>
  <c r="X349" i="5" s="1"/>
  <c r="M350" i="5"/>
  <c r="N350" i="5"/>
  <c r="O350" i="5"/>
  <c r="P350" i="5"/>
  <c r="Q350" i="5"/>
  <c r="R350" i="5"/>
  <c r="S350" i="5"/>
  <c r="T350" i="5"/>
  <c r="U350" i="5"/>
  <c r="V350" i="5"/>
  <c r="W350" i="5"/>
  <c r="X350" i="5"/>
  <c r="M351" i="5"/>
  <c r="N351" i="5"/>
  <c r="O351" i="5"/>
  <c r="P351" i="5"/>
  <c r="Z351" i="5" s="1"/>
  <c r="Q351" i="5"/>
  <c r="R351" i="5"/>
  <c r="S351" i="5"/>
  <c r="T351" i="5"/>
  <c r="U351" i="5"/>
  <c r="V351" i="5"/>
  <c r="W351" i="5"/>
  <c r="X351" i="5"/>
  <c r="Y351" i="5"/>
  <c r="M352" i="5"/>
  <c r="N352" i="5"/>
  <c r="O352" i="5"/>
  <c r="P352" i="5"/>
  <c r="Q352" i="5"/>
  <c r="R352" i="5"/>
  <c r="S352" i="5"/>
  <c r="T352" i="5"/>
  <c r="U352" i="5"/>
  <c r="V352" i="5"/>
  <c r="W352" i="5"/>
  <c r="X352" i="5"/>
  <c r="Y352" i="5"/>
  <c r="Z352" i="5"/>
  <c r="M353" i="5"/>
  <c r="N35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M354" i="5"/>
  <c r="N354" i="5"/>
  <c r="O354" i="5"/>
  <c r="P354" i="5"/>
  <c r="Q354" i="5"/>
  <c r="R354" i="5"/>
  <c r="S354" i="5"/>
  <c r="T354" i="5"/>
  <c r="U354" i="5"/>
  <c r="V354" i="5"/>
  <c r="W354" i="5"/>
  <c r="X354" i="5"/>
  <c r="Y354" i="5"/>
  <c r="Z354" i="5"/>
  <c r="AA354" i="5"/>
  <c r="AB354" i="5"/>
  <c r="M355" i="5"/>
  <c r="N355" i="5"/>
  <c r="O355" i="5"/>
  <c r="P355" i="5"/>
  <c r="Q355" i="5"/>
  <c r="R355" i="5"/>
  <c r="S355" i="5"/>
  <c r="T355" i="5"/>
  <c r="U355" i="5"/>
  <c r="V355" i="5"/>
  <c r="W355" i="5"/>
  <c r="X355" i="5"/>
  <c r="Y355" i="5"/>
  <c r="Z355" i="5"/>
  <c r="AA355" i="5"/>
  <c r="AB355" i="5"/>
  <c r="AC355" i="5"/>
  <c r="AD355" i="5"/>
  <c r="M356" i="5"/>
  <c r="N356" i="5"/>
  <c r="O356" i="5"/>
  <c r="P356" i="5"/>
  <c r="Q356" i="5"/>
  <c r="R356" i="5"/>
  <c r="S356" i="5"/>
  <c r="T356" i="5"/>
  <c r="U356" i="5"/>
  <c r="V356" i="5"/>
  <c r="W356" i="5"/>
  <c r="X356" i="5"/>
  <c r="Y356" i="5"/>
  <c r="Z356" i="5"/>
  <c r="AA356" i="5"/>
  <c r="AB356" i="5"/>
  <c r="AC356" i="5"/>
  <c r="AD356" i="5"/>
  <c r="M357" i="5"/>
  <c r="N357" i="5"/>
  <c r="O357" i="5"/>
  <c r="P357" i="5"/>
  <c r="Q357" i="5"/>
  <c r="R357" i="5"/>
  <c r="S357" i="5"/>
  <c r="T357" i="5"/>
  <c r="U357" i="5"/>
  <c r="V357" i="5"/>
  <c r="W357" i="5"/>
  <c r="X357" i="5"/>
  <c r="Y357" i="5"/>
  <c r="Z357" i="5"/>
  <c r="AA357" i="5"/>
  <c r="AB357" i="5"/>
  <c r="AC357" i="5"/>
  <c r="M358" i="5"/>
  <c r="N358" i="5"/>
  <c r="O358" i="5"/>
  <c r="P358" i="5"/>
  <c r="Q358" i="5"/>
  <c r="R358" i="5"/>
  <c r="S358" i="5"/>
  <c r="AD358" i="5" s="1"/>
  <c r="AE358" i="5" s="1"/>
  <c r="T358" i="5"/>
  <c r="U358" i="5"/>
  <c r="V358" i="5"/>
  <c r="W358" i="5"/>
  <c r="X358" i="5"/>
  <c r="Y358" i="5"/>
  <c r="Z358" i="5"/>
  <c r="AA358" i="5"/>
  <c r="AB358" i="5"/>
  <c r="AC358" i="5"/>
  <c r="M359" i="5"/>
  <c r="N359" i="5"/>
  <c r="O359" i="5"/>
  <c r="P359" i="5"/>
  <c r="Q359" i="5"/>
  <c r="R359" i="5"/>
  <c r="S359" i="5"/>
  <c r="AD359" i="5" s="1"/>
  <c r="AE359" i="5" s="1"/>
  <c r="T359" i="5"/>
  <c r="U359" i="5"/>
  <c r="V359" i="5"/>
  <c r="W359" i="5"/>
  <c r="X359" i="5"/>
  <c r="Y359" i="5"/>
  <c r="Z359" i="5"/>
  <c r="AA359" i="5"/>
  <c r="AB359" i="5"/>
  <c r="AC359" i="5"/>
  <c r="M360" i="5"/>
  <c r="N360" i="5"/>
  <c r="O360" i="5"/>
  <c r="P360" i="5"/>
  <c r="Q360" i="5"/>
  <c r="R360" i="5"/>
  <c r="S360" i="5"/>
  <c r="T360" i="5"/>
  <c r="U360" i="5"/>
  <c r="V360" i="5"/>
  <c r="W360" i="5"/>
  <c r="X360" i="5"/>
  <c r="Y360" i="5"/>
  <c r="Z360" i="5"/>
  <c r="AA360" i="5"/>
  <c r="AB360" i="5"/>
  <c r="AC360" i="5"/>
  <c r="M361" i="5"/>
  <c r="N361" i="5"/>
  <c r="O361" i="5"/>
  <c r="P361" i="5"/>
  <c r="Q361" i="5"/>
  <c r="R361" i="5"/>
  <c r="S361" i="5"/>
  <c r="AD361" i="5" s="1"/>
  <c r="T361" i="5"/>
  <c r="AE361" i="5" s="1"/>
  <c r="U361" i="5"/>
  <c r="V361" i="5"/>
  <c r="W361" i="5"/>
  <c r="X361" i="5"/>
  <c r="Y361" i="5"/>
  <c r="Z361" i="5"/>
  <c r="AA361" i="5"/>
  <c r="AB361" i="5"/>
  <c r="AC361" i="5"/>
  <c r="M362" i="5"/>
  <c r="N362" i="5"/>
  <c r="O362" i="5"/>
  <c r="P362" i="5"/>
  <c r="Q362" i="5"/>
  <c r="R362" i="5"/>
  <c r="S362" i="5"/>
  <c r="AD362" i="5" s="1"/>
  <c r="T362" i="5"/>
  <c r="AE362" i="5" s="1"/>
  <c r="U362" i="5"/>
  <c r="V362" i="5"/>
  <c r="W362" i="5"/>
  <c r="X362" i="5"/>
  <c r="Y362" i="5"/>
  <c r="Z362" i="5"/>
  <c r="AA362" i="5"/>
  <c r="AB362" i="5"/>
  <c r="AC362" i="5"/>
  <c r="M363" i="5"/>
  <c r="N363" i="5"/>
  <c r="O363" i="5"/>
  <c r="P363" i="5"/>
  <c r="Q363" i="5"/>
  <c r="R363" i="5"/>
  <c r="S363" i="5"/>
  <c r="T363" i="5"/>
  <c r="U363" i="5"/>
  <c r="V363" i="5"/>
  <c r="W363" i="5"/>
  <c r="X363" i="5"/>
  <c r="Y363" i="5"/>
  <c r="Z363" i="5"/>
  <c r="AA363" i="5"/>
  <c r="AB363" i="5"/>
  <c r="AC363" i="5"/>
  <c r="M364" i="5"/>
  <c r="N364" i="5"/>
  <c r="O364" i="5"/>
  <c r="P364" i="5"/>
  <c r="Q364" i="5"/>
  <c r="R364" i="5"/>
  <c r="S364" i="5"/>
  <c r="T364" i="5"/>
  <c r="U364" i="5"/>
  <c r="V364" i="5"/>
  <c r="W364" i="5"/>
  <c r="X364" i="5"/>
  <c r="Y364" i="5"/>
  <c r="Z364" i="5"/>
  <c r="AA364" i="5"/>
  <c r="AB364" i="5"/>
  <c r="AC364" i="5"/>
  <c r="M365" i="5"/>
  <c r="N365" i="5"/>
  <c r="O365" i="5"/>
  <c r="P365" i="5"/>
  <c r="Q365" i="5"/>
  <c r="R365" i="5"/>
  <c r="S365" i="5"/>
  <c r="T365" i="5"/>
  <c r="U365" i="5"/>
  <c r="V365" i="5"/>
  <c r="W365" i="5"/>
  <c r="X365" i="5"/>
  <c r="Y365" i="5"/>
  <c r="Z365" i="5"/>
  <c r="AA365" i="5"/>
  <c r="AB365" i="5"/>
  <c r="AC365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37" i="5"/>
  <c r="S21" i="5"/>
  <c r="L118" i="5"/>
  <c r="M118" i="5"/>
  <c r="AF362" i="5" l="1"/>
  <c r="AF361" i="5"/>
  <c r="AK361" i="5" s="1"/>
  <c r="AD364" i="5"/>
  <c r="AE355" i="5"/>
  <c r="AA351" i="5"/>
  <c r="X346" i="5"/>
  <c r="AF358" i="5"/>
  <c r="AG358" i="5"/>
  <c r="AH358" i="5" s="1"/>
  <c r="AG361" i="5"/>
  <c r="AH361" i="5"/>
  <c r="AI361" i="5"/>
  <c r="AJ361" i="5"/>
  <c r="AB351" i="5"/>
  <c r="AD365" i="5"/>
  <c r="Y348" i="5"/>
  <c r="Z348" i="5" s="1"/>
  <c r="AC353" i="5"/>
  <c r="AD353" i="5"/>
  <c r="AE353" i="5" s="1"/>
  <c r="T345" i="5"/>
  <c r="U345" i="5" s="1"/>
  <c r="AD357" i="5"/>
  <c r="AA352" i="5"/>
  <c r="Q342" i="5"/>
  <c r="AD363" i="5"/>
  <c r="AE363" i="5"/>
  <c r="AF363" i="5" s="1"/>
  <c r="Y346" i="5"/>
  <c r="T343" i="5"/>
  <c r="P341" i="5"/>
  <c r="AC354" i="5"/>
  <c r="AE354" i="5"/>
  <c r="AD354" i="5"/>
  <c r="AF354" i="5"/>
  <c r="AG354" i="5"/>
  <c r="AG362" i="5"/>
  <c r="AC351" i="5"/>
  <c r="Z349" i="5"/>
  <c r="U338" i="5"/>
  <c r="Z350" i="5"/>
  <c r="Q339" i="5"/>
  <c r="R339" i="5"/>
  <c r="AD360" i="5"/>
  <c r="AE360" i="5"/>
  <c r="AF360" i="5"/>
  <c r="AG360" i="5"/>
  <c r="U344" i="5"/>
  <c r="AF359" i="5"/>
  <c r="AE356" i="5"/>
  <c r="Y349" i="5"/>
  <c r="X348" i="5"/>
  <c r="W346" i="5"/>
  <c r="O337" i="5"/>
  <c r="P337" i="5"/>
  <c r="Q337" i="5"/>
  <c r="Y350" i="5"/>
  <c r="AB352" i="5"/>
  <c r="P340" i="5"/>
  <c r="V347" i="5"/>
  <c r="V338" i="5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F353" i="5" l="1"/>
  <c r="AG353" i="5"/>
  <c r="AH353" i="5"/>
  <c r="AG363" i="5"/>
  <c r="AA348" i="5"/>
  <c r="T342" i="5"/>
  <c r="R342" i="5"/>
  <c r="S342" i="5"/>
  <c r="AJ358" i="5"/>
  <c r="AH362" i="5"/>
  <c r="AI362" i="5" s="1"/>
  <c r="AA350" i="5"/>
  <c r="R340" i="5"/>
  <c r="V345" i="5"/>
  <c r="AH360" i="5"/>
  <c r="AK360" i="5" s="1"/>
  <c r="AL360" i="5" s="1"/>
  <c r="AI360" i="5"/>
  <c r="AJ360" i="5"/>
  <c r="AE365" i="5"/>
  <c r="Q341" i="5"/>
  <c r="R341" i="5"/>
  <c r="V344" i="5"/>
  <c r="AG359" i="5"/>
  <c r="W338" i="5"/>
  <c r="Z346" i="5"/>
  <c r="Q340" i="5"/>
  <c r="AG356" i="5"/>
  <c r="X345" i="5"/>
  <c r="U343" i="5"/>
  <c r="AC352" i="5"/>
  <c r="AE357" i="5"/>
  <c r="AL361" i="5"/>
  <c r="AM361" i="5" s="1"/>
  <c r="S339" i="5"/>
  <c r="AA349" i="5"/>
  <c r="W345" i="5"/>
  <c r="AH354" i="5"/>
  <c r="AH363" i="5"/>
  <c r="AL363" i="5" s="1"/>
  <c r="AI363" i="5"/>
  <c r="AJ363" i="5"/>
  <c r="AK363" i="5" s="1"/>
  <c r="AI358" i="5"/>
  <c r="W347" i="5"/>
  <c r="AF355" i="5"/>
  <c r="AF356" i="5"/>
  <c r="AD351" i="5"/>
  <c r="AE351" i="5" s="1"/>
  <c r="AG355" i="5"/>
  <c r="R337" i="5"/>
  <c r="AE364" i="5"/>
  <c r="I801" i="5"/>
  <c r="AF351" i="5" l="1"/>
  <c r="AJ351" i="5" s="1"/>
  <c r="AG351" i="5"/>
  <c r="AJ353" i="5"/>
  <c r="X338" i="5"/>
  <c r="AI359" i="5"/>
  <c r="Y338" i="5"/>
  <c r="AF357" i="5"/>
  <c r="AG357" i="5"/>
  <c r="T339" i="5"/>
  <c r="AI354" i="5"/>
  <c r="AJ354" i="5"/>
  <c r="AK354" i="5" s="1"/>
  <c r="AD352" i="5"/>
  <c r="X347" i="5"/>
  <c r="AH351" i="5"/>
  <c r="AF364" i="5"/>
  <c r="AJ356" i="5"/>
  <c r="S337" i="5"/>
  <c r="AA346" i="5"/>
  <c r="AB346" i="5" s="1"/>
  <c r="AI351" i="5"/>
  <c r="S341" i="5"/>
  <c r="AF365" i="5"/>
  <c r="U342" i="5"/>
  <c r="AB348" i="5"/>
  <c r="AH356" i="5"/>
  <c r="AL356" i="5" s="1"/>
  <c r="AM360" i="5"/>
  <c r="AN360" i="5" s="1"/>
  <c r="AK358" i="5"/>
  <c r="AI353" i="5"/>
  <c r="AJ355" i="5"/>
  <c r="AK355" i="5" s="1"/>
  <c r="AH359" i="5"/>
  <c r="AB350" i="5"/>
  <c r="AJ362" i="5"/>
  <c r="AI355" i="5"/>
  <c r="AH355" i="5"/>
  <c r="S340" i="5"/>
  <c r="Y345" i="5"/>
  <c r="Z345" i="5" s="1"/>
  <c r="T337" i="5"/>
  <c r="Z338" i="5"/>
  <c r="W344" i="5"/>
  <c r="AI356" i="5"/>
  <c r="AK356" i="5" s="1"/>
  <c r="AB349" i="5"/>
  <c r="V343" i="5"/>
  <c r="AG364" i="5"/>
  <c r="AN361" i="5"/>
  <c r="AM363" i="5"/>
  <c r="AN363" i="5" s="1"/>
  <c r="AN744" i="5"/>
  <c r="AN66" i="9" s="1"/>
  <c r="AA345" i="5" l="1"/>
  <c r="AI357" i="5"/>
  <c r="AL354" i="5"/>
  <c r="AM354" i="5" s="1"/>
  <c r="AL355" i="5"/>
  <c r="AM355" i="5" s="1"/>
  <c r="AC349" i="5"/>
  <c r="AH365" i="5"/>
  <c r="AI365" i="5" s="1"/>
  <c r="AJ365" i="5" s="1"/>
  <c r="AK365" i="5" s="1"/>
  <c r="W342" i="5"/>
  <c r="X342" i="5"/>
  <c r="AA338" i="5"/>
  <c r="U339" i="5"/>
  <c r="V342" i="5"/>
  <c r="AH357" i="5"/>
  <c r="AJ357" i="5" s="1"/>
  <c r="U340" i="5"/>
  <c r="AK351" i="5"/>
  <c r="AL351" i="5" s="1"/>
  <c r="AM351" i="5" s="1"/>
  <c r="AN351" i="5" s="1"/>
  <c r="T340" i="5"/>
  <c r="T341" i="5"/>
  <c r="AE352" i="5"/>
  <c r="AG365" i="5"/>
  <c r="AK362" i="5"/>
  <c r="AJ359" i="5"/>
  <c r="AK359" i="5" s="1"/>
  <c r="AL359" i="5" s="1"/>
  <c r="Y347" i="5"/>
  <c r="AC350" i="5"/>
  <c r="V339" i="5"/>
  <c r="AL358" i="5"/>
  <c r="AM358" i="5" s="1"/>
  <c r="AC348" i="5"/>
  <c r="AD348" i="5"/>
  <c r="AH364" i="5"/>
  <c r="AK353" i="5"/>
  <c r="AM356" i="5"/>
  <c r="AN356" i="5" s="1"/>
  <c r="AN355" i="5"/>
  <c r="AB345" i="5"/>
  <c r="W343" i="5"/>
  <c r="X344" i="5"/>
  <c r="AC346" i="5"/>
  <c r="U337" i="5"/>
  <c r="V337" i="5"/>
  <c r="W337" i="5" s="1"/>
  <c r="I724" i="5"/>
  <c r="I725" i="5"/>
  <c r="I726" i="5"/>
  <c r="I727" i="5"/>
  <c r="I723" i="5"/>
  <c r="I718" i="5"/>
  <c r="I719" i="5"/>
  <c r="I720" i="5"/>
  <c r="I717" i="5"/>
  <c r="I710" i="5"/>
  <c r="I711" i="5"/>
  <c r="I712" i="5"/>
  <c r="I713" i="5"/>
  <c r="I714" i="5"/>
  <c r="I709" i="5"/>
  <c r="I700" i="5"/>
  <c r="I701" i="5"/>
  <c r="I702" i="5"/>
  <c r="I703" i="5"/>
  <c r="I699" i="5"/>
  <c r="I694" i="5"/>
  <c r="I695" i="5"/>
  <c r="I696" i="5"/>
  <c r="I693" i="5"/>
  <c r="I686" i="5"/>
  <c r="I687" i="5"/>
  <c r="I688" i="5"/>
  <c r="I689" i="5"/>
  <c r="I690" i="5"/>
  <c r="I685" i="5"/>
  <c r="I676" i="5"/>
  <c r="I677" i="5"/>
  <c r="I678" i="5"/>
  <c r="I679" i="5"/>
  <c r="I675" i="5"/>
  <c r="I670" i="5"/>
  <c r="I671" i="5"/>
  <c r="I672" i="5"/>
  <c r="I669" i="5"/>
  <c r="I662" i="5"/>
  <c r="I663" i="5"/>
  <c r="I664" i="5"/>
  <c r="I665" i="5"/>
  <c r="I666" i="5"/>
  <c r="I661" i="5"/>
  <c r="I652" i="5"/>
  <c r="I653" i="5"/>
  <c r="I654" i="5"/>
  <c r="I655" i="5"/>
  <c r="I651" i="5"/>
  <c r="I646" i="5"/>
  <c r="I647" i="5"/>
  <c r="I648" i="5"/>
  <c r="I645" i="5"/>
  <c r="I638" i="5"/>
  <c r="I639" i="5"/>
  <c r="I640" i="5"/>
  <c r="I641" i="5"/>
  <c r="I642" i="5"/>
  <c r="I637" i="5"/>
  <c r="D724" i="5"/>
  <c r="D725" i="5"/>
  <c r="D726" i="5"/>
  <c r="D727" i="5"/>
  <c r="D718" i="5"/>
  <c r="D719" i="5"/>
  <c r="D720" i="5"/>
  <c r="D710" i="5"/>
  <c r="D711" i="5"/>
  <c r="D712" i="5"/>
  <c r="D713" i="5"/>
  <c r="D714" i="5"/>
  <c r="D709" i="5"/>
  <c r="D700" i="5"/>
  <c r="D701" i="5"/>
  <c r="D702" i="5"/>
  <c r="D703" i="5"/>
  <c r="D694" i="5"/>
  <c r="D695" i="5"/>
  <c r="D696" i="5"/>
  <c r="D686" i="5"/>
  <c r="D687" i="5"/>
  <c r="D688" i="5"/>
  <c r="D689" i="5"/>
  <c r="D690" i="5"/>
  <c r="D685" i="5"/>
  <c r="D676" i="5"/>
  <c r="D677" i="5"/>
  <c r="D678" i="5"/>
  <c r="D679" i="5"/>
  <c r="D670" i="5"/>
  <c r="D671" i="5"/>
  <c r="D672" i="5"/>
  <c r="D662" i="5"/>
  <c r="D663" i="5"/>
  <c r="D664" i="5"/>
  <c r="D665" i="5"/>
  <c r="D666" i="5"/>
  <c r="D661" i="5"/>
  <c r="D652" i="5"/>
  <c r="D653" i="5"/>
  <c r="D654" i="5"/>
  <c r="D655" i="5"/>
  <c r="D646" i="5"/>
  <c r="D647" i="5"/>
  <c r="D648" i="5"/>
  <c r="D638" i="5"/>
  <c r="D639" i="5"/>
  <c r="D640" i="5"/>
  <c r="D641" i="5"/>
  <c r="D642" i="5"/>
  <c r="D637" i="5"/>
  <c r="I749" i="5"/>
  <c r="AC338" i="5" l="1"/>
  <c r="AM365" i="5"/>
  <c r="AN365" i="5" s="1"/>
  <c r="X337" i="5"/>
  <c r="Y337" i="5" s="1"/>
  <c r="AM359" i="5"/>
  <c r="AN359" i="5" s="1"/>
  <c r="AF348" i="5"/>
  <c r="AD346" i="5"/>
  <c r="AE346" i="5" s="1"/>
  <c r="AF346" i="5" s="1"/>
  <c r="AG346" i="5" s="1"/>
  <c r="AH346" i="5" s="1"/>
  <c r="AI346" i="5" s="1"/>
  <c r="AJ346" i="5" s="1"/>
  <c r="AK346" i="5" s="1"/>
  <c r="AL346" i="5" s="1"/>
  <c r="AM346" i="5" s="1"/>
  <c r="AN346" i="5" s="1"/>
  <c r="AB342" i="5"/>
  <c r="Y344" i="5"/>
  <c r="Z344" i="5"/>
  <c r="W339" i="5"/>
  <c r="AD349" i="5"/>
  <c r="AN358" i="5"/>
  <c r="Y342" i="5"/>
  <c r="AK357" i="5"/>
  <c r="AN354" i="5"/>
  <c r="AC345" i="5"/>
  <c r="AE348" i="5"/>
  <c r="AL362" i="5"/>
  <c r="AM362" i="5" s="1"/>
  <c r="AN362" i="5" s="1"/>
  <c r="AL365" i="5"/>
  <c r="U341" i="5"/>
  <c r="AD350" i="5"/>
  <c r="AE350" i="5" s="1"/>
  <c r="AK364" i="5"/>
  <c r="AL364" i="5" s="1"/>
  <c r="AM364" i="5"/>
  <c r="AN364" i="5" s="1"/>
  <c r="AI364" i="5"/>
  <c r="AJ364" i="5" s="1"/>
  <c r="V340" i="5"/>
  <c r="AL353" i="5"/>
  <c r="AM353" i="5" s="1"/>
  <c r="AA342" i="5"/>
  <c r="AB338" i="5"/>
  <c r="X343" i="5"/>
  <c r="Z347" i="5"/>
  <c r="AF352" i="5"/>
  <c r="Z342" i="5"/>
  <c r="I419" i="5"/>
  <c r="AD50" i="5"/>
  <c r="AE50" i="5"/>
  <c r="AF50" i="5"/>
  <c r="AG50" i="5"/>
  <c r="AH50" i="5"/>
  <c r="AI50" i="5"/>
  <c r="AJ50" i="5"/>
  <c r="AK50" i="5"/>
  <c r="AL50" i="5"/>
  <c r="AM50" i="5"/>
  <c r="AN50" i="5"/>
  <c r="AD51" i="5"/>
  <c r="AE51" i="5"/>
  <c r="AF51" i="5"/>
  <c r="AG51" i="5"/>
  <c r="AH51" i="5"/>
  <c r="AI51" i="5"/>
  <c r="AJ51" i="5"/>
  <c r="AK51" i="5"/>
  <c r="AL51" i="5"/>
  <c r="AM51" i="5"/>
  <c r="AN51" i="5"/>
  <c r="AD52" i="5"/>
  <c r="AE52" i="5"/>
  <c r="AF52" i="5"/>
  <c r="AG52" i="5"/>
  <c r="AH52" i="5"/>
  <c r="AI52" i="5"/>
  <c r="AJ52" i="5"/>
  <c r="AK52" i="5"/>
  <c r="AL52" i="5"/>
  <c r="AM52" i="5"/>
  <c r="AN52" i="5"/>
  <c r="AD53" i="5"/>
  <c r="AE53" i="5"/>
  <c r="AF53" i="5"/>
  <c r="AG53" i="5"/>
  <c r="AH53" i="5"/>
  <c r="AI53" i="5"/>
  <c r="AJ53" i="5"/>
  <c r="AK53" i="5"/>
  <c r="AL53" i="5"/>
  <c r="AM53" i="5"/>
  <c r="AN53" i="5"/>
  <c r="AD54" i="5"/>
  <c r="AE54" i="5"/>
  <c r="AF54" i="5"/>
  <c r="AG54" i="5"/>
  <c r="AH54" i="5"/>
  <c r="AI54" i="5"/>
  <c r="AJ54" i="5"/>
  <c r="AK54" i="5"/>
  <c r="AL54" i="5"/>
  <c r="AM54" i="5"/>
  <c r="AN54" i="5"/>
  <c r="AD45" i="5"/>
  <c r="AE45" i="5"/>
  <c r="AF45" i="5"/>
  <c r="AG45" i="5"/>
  <c r="AH45" i="5"/>
  <c r="AI45" i="5"/>
  <c r="AJ45" i="5"/>
  <c r="AK45" i="5"/>
  <c r="AL45" i="5"/>
  <c r="AM45" i="5"/>
  <c r="AN45" i="5"/>
  <c r="AD46" i="5"/>
  <c r="AE46" i="5"/>
  <c r="AF46" i="5"/>
  <c r="AG46" i="5"/>
  <c r="AH46" i="5"/>
  <c r="AI46" i="5"/>
  <c r="AJ46" i="5"/>
  <c r="AK46" i="5"/>
  <c r="AL46" i="5"/>
  <c r="AM46" i="5"/>
  <c r="AN46" i="5"/>
  <c r="AD33" i="5"/>
  <c r="AE33" i="5"/>
  <c r="AF33" i="5"/>
  <c r="AG33" i="5"/>
  <c r="AH33" i="5"/>
  <c r="AI33" i="5"/>
  <c r="AJ33" i="5"/>
  <c r="AK33" i="5"/>
  <c r="AL33" i="5"/>
  <c r="AM33" i="5"/>
  <c r="AN33" i="5"/>
  <c r="AD34" i="5"/>
  <c r="AE34" i="5"/>
  <c r="AF34" i="5"/>
  <c r="AG34" i="5"/>
  <c r="AH34" i="5"/>
  <c r="AI34" i="5"/>
  <c r="AJ34" i="5"/>
  <c r="AK34" i="5"/>
  <c r="AL34" i="5"/>
  <c r="AM34" i="5"/>
  <c r="AN34" i="5"/>
  <c r="AD35" i="5"/>
  <c r="AE35" i="5"/>
  <c r="AF35" i="5"/>
  <c r="AG35" i="5"/>
  <c r="AH35" i="5"/>
  <c r="AI35" i="5"/>
  <c r="AJ35" i="5"/>
  <c r="AK35" i="5"/>
  <c r="AL35" i="5"/>
  <c r="AM35" i="5"/>
  <c r="AN35" i="5"/>
  <c r="AD36" i="5"/>
  <c r="AE36" i="5"/>
  <c r="AF36" i="5"/>
  <c r="AG36" i="5"/>
  <c r="AH36" i="5"/>
  <c r="AI36" i="5"/>
  <c r="AJ36" i="5"/>
  <c r="AK36" i="5"/>
  <c r="AL36" i="5"/>
  <c r="AM36" i="5"/>
  <c r="AN36" i="5"/>
  <c r="AD37" i="5"/>
  <c r="AE37" i="5"/>
  <c r="AF37" i="5"/>
  <c r="AG37" i="5"/>
  <c r="AH37" i="5"/>
  <c r="AI37" i="5"/>
  <c r="AJ37" i="5"/>
  <c r="AK37" i="5"/>
  <c r="AL37" i="5"/>
  <c r="AM37" i="5"/>
  <c r="AN37" i="5"/>
  <c r="AD38" i="5"/>
  <c r="AE38" i="5"/>
  <c r="AF38" i="5"/>
  <c r="AG38" i="5"/>
  <c r="AH38" i="5"/>
  <c r="AI38" i="5"/>
  <c r="AJ38" i="5"/>
  <c r="AK38" i="5"/>
  <c r="AL38" i="5"/>
  <c r="AM38" i="5"/>
  <c r="AN38" i="5"/>
  <c r="AD39" i="5"/>
  <c r="AE39" i="5"/>
  <c r="AF39" i="5"/>
  <c r="AG39" i="5"/>
  <c r="AH39" i="5"/>
  <c r="AI39" i="5"/>
  <c r="AJ39" i="5"/>
  <c r="AK39" i="5"/>
  <c r="AL39" i="5"/>
  <c r="AM39" i="5"/>
  <c r="AN39" i="5"/>
  <c r="AD40" i="5"/>
  <c r="AE40" i="5"/>
  <c r="AF40" i="5"/>
  <c r="AG40" i="5"/>
  <c r="AH40" i="5"/>
  <c r="AI40" i="5"/>
  <c r="AJ40" i="5"/>
  <c r="AK40" i="5"/>
  <c r="AL40" i="5"/>
  <c r="AM40" i="5"/>
  <c r="AN40" i="5"/>
  <c r="AD41" i="5"/>
  <c r="AE41" i="5"/>
  <c r="AF41" i="5"/>
  <c r="AG41" i="5"/>
  <c r="AH41" i="5"/>
  <c r="AI41" i="5"/>
  <c r="AJ41" i="5"/>
  <c r="AK41" i="5"/>
  <c r="AL41" i="5"/>
  <c r="AM41" i="5"/>
  <c r="AN41" i="5"/>
  <c r="Z337" i="5" l="1"/>
  <c r="AA337" i="5"/>
  <c r="AB337" i="5" s="1"/>
  <c r="AM357" i="5"/>
  <c r="AE338" i="5"/>
  <c r="AF338" i="5" s="1"/>
  <c r="AN353" i="5"/>
  <c r="AE349" i="5"/>
  <c r="AL357" i="5"/>
  <c r="AC342" i="5"/>
  <c r="AD342" i="5" s="1"/>
  <c r="AE342" i="5" s="1"/>
  <c r="AF342" i="5" s="1"/>
  <c r="AG342" i="5" s="1"/>
  <c r="AH342" i="5" s="1"/>
  <c r="AI342" i="5" s="1"/>
  <c r="AJ342" i="5" s="1"/>
  <c r="AK342" i="5" s="1"/>
  <c r="AL342" i="5" s="1"/>
  <c r="AM342" i="5" s="1"/>
  <c r="AN342" i="5" s="1"/>
  <c r="X339" i="5"/>
  <c r="AA344" i="5"/>
  <c r="AM350" i="5"/>
  <c r="AN350" i="5"/>
  <c r="AD345" i="5"/>
  <c r="Y343" i="5"/>
  <c r="Z343" i="5"/>
  <c r="AG352" i="5"/>
  <c r="AH352" i="5"/>
  <c r="AI352" i="5" s="1"/>
  <c r="AJ352" i="5" s="1"/>
  <c r="AK352" i="5" s="1"/>
  <c r="AL352" i="5" s="1"/>
  <c r="AM352" i="5" s="1"/>
  <c r="AA347" i="5"/>
  <c r="V341" i="5"/>
  <c r="AF349" i="5"/>
  <c r="AG349" i="5" s="1"/>
  <c r="AN357" i="5"/>
  <c r="AF350" i="5"/>
  <c r="AG350" i="5" s="1"/>
  <c r="AH350" i="5"/>
  <c r="AI350" i="5" s="1"/>
  <c r="AJ350" i="5" s="1"/>
  <c r="AK350" i="5" s="1"/>
  <c r="AL350" i="5" s="1"/>
  <c r="W340" i="5"/>
  <c r="AD338" i="5"/>
  <c r="AG348" i="5"/>
  <c r="AB344" i="5"/>
  <c r="I909" i="5"/>
  <c r="I908" i="5"/>
  <c r="AN352" i="5" l="1"/>
  <c r="AC337" i="5"/>
  <c r="AD337" i="5" s="1"/>
  <c r="AE337" i="5" s="1"/>
  <c r="AM338" i="5"/>
  <c r="AN338" i="5" s="1"/>
  <c r="W341" i="5"/>
  <c r="AG338" i="5"/>
  <c r="AH338" i="5" s="1"/>
  <c r="AI338" i="5" s="1"/>
  <c r="AJ338" i="5" s="1"/>
  <c r="AK338" i="5" s="1"/>
  <c r="AL338" i="5" s="1"/>
  <c r="AF337" i="5"/>
  <c r="AG337" i="5" s="1"/>
  <c r="AH337" i="5" s="1"/>
  <c r="AI337" i="5" s="1"/>
  <c r="AJ337" i="5" s="1"/>
  <c r="AK337" i="5" s="1"/>
  <c r="AL337" i="5" s="1"/>
  <c r="AM337" i="5" s="1"/>
  <c r="AN337" i="5" s="1"/>
  <c r="AH349" i="5"/>
  <c r="AI349" i="5" s="1"/>
  <c r="AJ349" i="5" s="1"/>
  <c r="AK349" i="5" s="1"/>
  <c r="AL349" i="5" s="1"/>
  <c r="AM349" i="5" s="1"/>
  <c r="AN349" i="5" s="1"/>
  <c r="X340" i="5"/>
  <c r="AA343" i="5"/>
  <c r="AB343" i="5"/>
  <c r="AC343" i="5" s="1"/>
  <c r="AD343" i="5" s="1"/>
  <c r="AE343" i="5" s="1"/>
  <c r="AF344" i="5"/>
  <c r="AG344" i="5" s="1"/>
  <c r="AH344" i="5" s="1"/>
  <c r="AI344" i="5" s="1"/>
  <c r="AJ344" i="5" s="1"/>
  <c r="AK344" i="5" s="1"/>
  <c r="AL344" i="5" s="1"/>
  <c r="AM344" i="5" s="1"/>
  <c r="AN344" i="5" s="1"/>
  <c r="AC344" i="5"/>
  <c r="AH348" i="5"/>
  <c r="AI348" i="5"/>
  <c r="AJ348" i="5" s="1"/>
  <c r="AD344" i="5"/>
  <c r="AE344" i="5" s="1"/>
  <c r="AB347" i="5"/>
  <c r="AC347" i="5"/>
  <c r="AE345" i="5"/>
  <c r="AF345" i="5" s="1"/>
  <c r="AG345" i="5" s="1"/>
  <c r="AH345" i="5" s="1"/>
  <c r="AI345" i="5" s="1"/>
  <c r="AJ345" i="5" s="1"/>
  <c r="AK345" i="5" s="1"/>
  <c r="AL345" i="5" s="1"/>
  <c r="AM345" i="5" s="1"/>
  <c r="AN345" i="5" s="1"/>
  <c r="Y339" i="5"/>
  <c r="L891" i="5"/>
  <c r="AK348" i="5" l="1"/>
  <c r="AL348" i="5" s="1"/>
  <c r="AM348" i="5"/>
  <c r="Z339" i="5"/>
  <c r="AA339" i="5" s="1"/>
  <c r="AB339" i="5" s="1"/>
  <c r="AC339" i="5" s="1"/>
  <c r="AD339" i="5" s="1"/>
  <c r="AE339" i="5" s="1"/>
  <c r="AF339" i="5" s="1"/>
  <c r="AG339" i="5" s="1"/>
  <c r="AH339" i="5" s="1"/>
  <c r="AI339" i="5" s="1"/>
  <c r="AJ339" i="5" s="1"/>
  <c r="AK339" i="5" s="1"/>
  <c r="AL339" i="5" s="1"/>
  <c r="AM339" i="5" s="1"/>
  <c r="AN339" i="5" s="1"/>
  <c r="AF343" i="5"/>
  <c r="AG343" i="5" s="1"/>
  <c r="AH343" i="5" s="1"/>
  <c r="AI343" i="5" s="1"/>
  <c r="AJ343" i="5" s="1"/>
  <c r="AK343" i="5" s="1"/>
  <c r="AL343" i="5" s="1"/>
  <c r="AM343" i="5" s="1"/>
  <c r="AN343" i="5" s="1"/>
  <c r="X341" i="5"/>
  <c r="Y341" i="5" s="1"/>
  <c r="Z341" i="5" s="1"/>
  <c r="AA341" i="5" s="1"/>
  <c r="AB341" i="5"/>
  <c r="AC341" i="5" s="1"/>
  <c r="AD341" i="5" s="1"/>
  <c r="AE341" i="5" s="1"/>
  <c r="AF341" i="5" s="1"/>
  <c r="AG341" i="5" s="1"/>
  <c r="AH341" i="5" s="1"/>
  <c r="AI341" i="5" s="1"/>
  <c r="AJ341" i="5" s="1"/>
  <c r="AK341" i="5" s="1"/>
  <c r="AL341" i="5" s="1"/>
  <c r="AM341" i="5" s="1"/>
  <c r="AN341" i="5" s="1"/>
  <c r="Y340" i="5"/>
  <c r="Z340" i="5" s="1"/>
  <c r="AA340" i="5" s="1"/>
  <c r="AB340" i="5" s="1"/>
  <c r="AC340" i="5" s="1"/>
  <c r="AD340" i="5" s="1"/>
  <c r="AE340" i="5" s="1"/>
  <c r="AF340" i="5" s="1"/>
  <c r="AG340" i="5" s="1"/>
  <c r="AH340" i="5" s="1"/>
  <c r="AI340" i="5" s="1"/>
  <c r="AJ340" i="5" s="1"/>
  <c r="AK340" i="5" s="1"/>
  <c r="AL340" i="5" s="1"/>
  <c r="AM340" i="5" s="1"/>
  <c r="AN340" i="5" s="1"/>
  <c r="AD347" i="5"/>
  <c r="AE347" i="5" s="1"/>
  <c r="AF347" i="5" s="1"/>
  <c r="AG347" i="5" s="1"/>
  <c r="AH347" i="5" s="1"/>
  <c r="AI347" i="5" s="1"/>
  <c r="AJ347" i="5" s="1"/>
  <c r="AK347" i="5" s="1"/>
  <c r="AL347" i="5" s="1"/>
  <c r="AM347" i="5" s="1"/>
  <c r="AN347" i="5" s="1"/>
  <c r="AN348" i="5"/>
  <c r="AJ954" i="5"/>
  <c r="AK954" i="5"/>
  <c r="AL954" i="5"/>
  <c r="AM954" i="5"/>
  <c r="AN954" i="5"/>
  <c r="R954" i="5"/>
  <c r="S954" i="5"/>
  <c r="T954" i="5"/>
  <c r="U954" i="5"/>
  <c r="V954" i="5"/>
  <c r="W954" i="5"/>
  <c r="X954" i="5"/>
  <c r="Y954" i="5"/>
  <c r="Z954" i="5"/>
  <c r="AA954" i="5"/>
  <c r="AB954" i="5"/>
  <c r="AC954" i="5"/>
  <c r="AD954" i="5"/>
  <c r="AE954" i="5"/>
  <c r="AF954" i="5"/>
  <c r="AG954" i="5"/>
  <c r="AH954" i="5"/>
  <c r="AI954" i="5"/>
  <c r="M954" i="5"/>
  <c r="N954" i="5"/>
  <c r="O954" i="5"/>
  <c r="P954" i="5"/>
  <c r="Q954" i="5"/>
  <c r="L954" i="5"/>
  <c r="M46" i="5"/>
  <c r="M953" i="5" s="1"/>
  <c r="N46" i="5"/>
  <c r="N953" i="5" s="1"/>
  <c r="O46" i="5"/>
  <c r="O953" i="5" s="1"/>
  <c r="P46" i="5"/>
  <c r="P953" i="5" s="1"/>
  <c r="Q46" i="5"/>
  <c r="Q953" i="5" s="1"/>
  <c r="R46" i="5"/>
  <c r="R953" i="5" s="1"/>
  <c r="S46" i="5"/>
  <c r="S953" i="5" s="1"/>
  <c r="T46" i="5"/>
  <c r="T953" i="5" s="1"/>
  <c r="U46" i="5"/>
  <c r="U953" i="5" s="1"/>
  <c r="V46" i="5"/>
  <c r="V953" i="5" s="1"/>
  <c r="W46" i="5"/>
  <c r="W953" i="5" s="1"/>
  <c r="X46" i="5"/>
  <c r="X953" i="5" s="1"/>
  <c r="Y46" i="5"/>
  <c r="Y953" i="5" s="1"/>
  <c r="Z46" i="5"/>
  <c r="Z953" i="5" s="1"/>
  <c r="AA46" i="5"/>
  <c r="AA953" i="5" s="1"/>
  <c r="AB46" i="5"/>
  <c r="AB953" i="5" s="1"/>
  <c r="AC46" i="5"/>
  <c r="AC953" i="5" s="1"/>
  <c r="AD953" i="5"/>
  <c r="AE953" i="5"/>
  <c r="AF953" i="5"/>
  <c r="AG953" i="5"/>
  <c r="AH953" i="5"/>
  <c r="AI953" i="5"/>
  <c r="AJ953" i="5"/>
  <c r="AK953" i="5"/>
  <c r="AL953" i="5"/>
  <c r="AM953" i="5"/>
  <c r="AN953" i="5"/>
  <c r="L46" i="5"/>
  <c r="L953" i="5" s="1"/>
  <c r="I906" i="5" l="1"/>
  <c r="I907" i="5"/>
  <c r="I905" i="5"/>
  <c r="M839" i="5" l="1"/>
  <c r="N839" i="5"/>
  <c r="O839" i="5"/>
  <c r="P839" i="5"/>
  <c r="Q839" i="5"/>
  <c r="R839" i="5"/>
  <c r="S839" i="5"/>
  <c r="T839" i="5"/>
  <c r="U839" i="5"/>
  <c r="V839" i="5"/>
  <c r="W839" i="5"/>
  <c r="X839" i="5"/>
  <c r="Y839" i="5"/>
  <c r="Z839" i="5"/>
  <c r="AA839" i="5"/>
  <c r="AB839" i="5"/>
  <c r="AC839" i="5"/>
  <c r="AD839" i="5"/>
  <c r="AE839" i="5"/>
  <c r="AF839" i="5"/>
  <c r="AG839" i="5"/>
  <c r="AH839" i="5"/>
  <c r="AI839" i="5"/>
  <c r="AJ839" i="5"/>
  <c r="AK839" i="5"/>
  <c r="AL839" i="5"/>
  <c r="AM839" i="5"/>
  <c r="AN839" i="5"/>
  <c r="L870" i="5"/>
  <c r="L855" i="5"/>
  <c r="L839" i="5"/>
  <c r="I626" i="5" l="1"/>
  <c r="I623" i="5"/>
  <c r="I624" i="5"/>
  <c r="I625" i="5"/>
  <c r="I622" i="5"/>
  <c r="B823" i="5"/>
  <c r="I823" i="5"/>
  <c r="I815" i="5"/>
  <c r="H14" i="3"/>
  <c r="I761" i="5" l="1"/>
  <c r="I757" i="5"/>
  <c r="I771" i="5" l="1"/>
  <c r="I781" i="5" s="1"/>
  <c r="I759" i="5"/>
  <c r="H508" i="3"/>
  <c r="I755" i="5"/>
  <c r="I753" i="5"/>
  <c r="X753" i="5" l="1"/>
  <c r="AJ753" i="5"/>
  <c r="AA753" i="5"/>
  <c r="AN753" i="5"/>
  <c r="AF753" i="5"/>
  <c r="AG753" i="5"/>
  <c r="M753" i="5"/>
  <c r="Y753" i="5"/>
  <c r="AK753" i="5"/>
  <c r="AM753" i="5"/>
  <c r="P753" i="5"/>
  <c r="AB753" i="5"/>
  <c r="AD753" i="5"/>
  <c r="AE753" i="5"/>
  <c r="T753" i="5"/>
  <c r="U753" i="5"/>
  <c r="AH753" i="5"/>
  <c r="N753" i="5"/>
  <c r="Z753" i="5"/>
  <c r="AL753" i="5"/>
  <c r="O753" i="5"/>
  <c r="Q753" i="5"/>
  <c r="AC753" i="5"/>
  <c r="L753" i="5"/>
  <c r="S753" i="5"/>
  <c r="AI753" i="5"/>
  <c r="R753" i="5"/>
  <c r="V753" i="5"/>
  <c r="W753" i="5"/>
  <c r="H253" i="5"/>
  <c r="H207" i="5"/>
  <c r="I253" i="5"/>
  <c r="I207" i="5"/>
  <c r="H161" i="5"/>
  <c r="I161" i="5"/>
  <c r="I439" i="5" l="1"/>
  <c r="D589" i="5"/>
  <c r="I415" i="5"/>
  <c r="I417" i="5"/>
  <c r="H413" i="5"/>
  <c r="D590" i="5"/>
  <c r="D571" i="5"/>
  <c r="D570" i="5"/>
  <c r="D569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I548" i="5"/>
  <c r="D548" i="5"/>
  <c r="I528" i="5"/>
  <c r="D528" i="5"/>
  <c r="I508" i="5"/>
  <c r="D508" i="5"/>
  <c r="D466" i="5"/>
  <c r="D461" i="5"/>
  <c r="I488" i="5"/>
  <c r="D488" i="5"/>
  <c r="B599" i="5"/>
  <c r="B600" i="5"/>
  <c r="B601" i="5"/>
  <c r="B598" i="5"/>
  <c r="I571" i="5"/>
  <c r="B571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I113" i="5" l="1"/>
  <c r="I114" i="5"/>
  <c r="I112" i="5"/>
  <c r="I135" i="5"/>
  <c r="I136" i="5"/>
  <c r="I134" i="5"/>
  <c r="I130" i="5"/>
  <c r="I123" i="5"/>
  <c r="I124" i="5"/>
  <c r="I122" i="5"/>
  <c r="B111" i="5" l="1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L109" i="5"/>
  <c r="L108" i="5"/>
  <c r="B133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L129" i="5"/>
  <c r="L128" i="5"/>
  <c r="B121" i="5"/>
  <c r="N118" i="5"/>
  <c r="O118" i="5"/>
  <c r="N21" i="5" s="1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L119" i="5"/>
  <c r="H58" i="3"/>
  <c r="L141" i="5" l="1"/>
  <c r="B75" i="5" l="1"/>
  <c r="B76" i="5"/>
  <c r="B77" i="5"/>
  <c r="B74" i="5"/>
  <c r="B623" i="5" l="1"/>
  <c r="B624" i="5"/>
  <c r="B625" i="5"/>
  <c r="B622" i="5"/>
  <c r="M33" i="5"/>
  <c r="M829" i="5" s="1"/>
  <c r="N33" i="5"/>
  <c r="N829" i="5" s="1"/>
  <c r="O33" i="5"/>
  <c r="O829" i="5" s="1"/>
  <c r="P33" i="5"/>
  <c r="P829" i="5" s="1"/>
  <c r="Q33" i="5"/>
  <c r="Q829" i="5" s="1"/>
  <c r="R33" i="5"/>
  <c r="R829" i="5" s="1"/>
  <c r="S33" i="5"/>
  <c r="S829" i="5" s="1"/>
  <c r="T33" i="5"/>
  <c r="T829" i="5" s="1"/>
  <c r="U33" i="5"/>
  <c r="U829" i="5" s="1"/>
  <c r="V33" i="5"/>
  <c r="V829" i="5" s="1"/>
  <c r="W33" i="5"/>
  <c r="W829" i="5" s="1"/>
  <c r="X33" i="5"/>
  <c r="X829" i="5" s="1"/>
  <c r="Y33" i="5"/>
  <c r="Y829" i="5" s="1"/>
  <c r="Z33" i="5"/>
  <c r="Z829" i="5" s="1"/>
  <c r="AA33" i="5"/>
  <c r="AA829" i="5" s="1"/>
  <c r="AB33" i="5"/>
  <c r="AB829" i="5" s="1"/>
  <c r="AC33" i="5"/>
  <c r="AC829" i="5" s="1"/>
  <c r="AD829" i="5"/>
  <c r="AE829" i="5"/>
  <c r="AF829" i="5"/>
  <c r="AG829" i="5"/>
  <c r="AH829" i="5"/>
  <c r="AI829" i="5"/>
  <c r="AJ829" i="5"/>
  <c r="AK829" i="5"/>
  <c r="AL829" i="5"/>
  <c r="AM829" i="5"/>
  <c r="AN829" i="5"/>
  <c r="M34" i="5"/>
  <c r="M880" i="5" s="1"/>
  <c r="N34" i="5"/>
  <c r="N880" i="5" s="1"/>
  <c r="O34" i="5"/>
  <c r="O880" i="5" s="1"/>
  <c r="P34" i="5"/>
  <c r="P880" i="5" s="1"/>
  <c r="Q34" i="5"/>
  <c r="Q880" i="5" s="1"/>
  <c r="R34" i="5"/>
  <c r="R880" i="5" s="1"/>
  <c r="S34" i="5"/>
  <c r="S880" i="5" s="1"/>
  <c r="T34" i="5"/>
  <c r="T880" i="5" s="1"/>
  <c r="U34" i="5"/>
  <c r="U880" i="5" s="1"/>
  <c r="V34" i="5"/>
  <c r="V880" i="5" s="1"/>
  <c r="W34" i="5"/>
  <c r="W880" i="5" s="1"/>
  <c r="X34" i="5"/>
  <c r="X880" i="5" s="1"/>
  <c r="Y34" i="5"/>
  <c r="Y880" i="5" s="1"/>
  <c r="Z34" i="5"/>
  <c r="Z880" i="5" s="1"/>
  <c r="AA34" i="5"/>
  <c r="AA880" i="5" s="1"/>
  <c r="AB34" i="5"/>
  <c r="AB880" i="5" s="1"/>
  <c r="AC34" i="5"/>
  <c r="AC880" i="5" s="1"/>
  <c r="AD880" i="5"/>
  <c r="AE880" i="5"/>
  <c r="AF880" i="5"/>
  <c r="AG880" i="5"/>
  <c r="AH880" i="5"/>
  <c r="AI880" i="5"/>
  <c r="AJ880" i="5"/>
  <c r="AK880" i="5"/>
  <c r="AL880" i="5"/>
  <c r="AM880" i="5"/>
  <c r="AN880" i="5"/>
  <c r="M35" i="5"/>
  <c r="M952" i="5" s="1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M36" i="5"/>
  <c r="M799" i="5" s="1"/>
  <c r="N36" i="5"/>
  <c r="N799" i="5" s="1"/>
  <c r="O36" i="5"/>
  <c r="O799" i="5" s="1"/>
  <c r="P36" i="5"/>
  <c r="P799" i="5" s="1"/>
  <c r="Q36" i="5"/>
  <c r="Q799" i="5" s="1"/>
  <c r="R36" i="5"/>
  <c r="R799" i="5" s="1"/>
  <c r="S36" i="5"/>
  <c r="S799" i="5" s="1"/>
  <c r="T36" i="5"/>
  <c r="T799" i="5" s="1"/>
  <c r="U36" i="5"/>
  <c r="U799" i="5" s="1"/>
  <c r="V36" i="5"/>
  <c r="V799" i="5" s="1"/>
  <c r="W36" i="5"/>
  <c r="W799" i="5" s="1"/>
  <c r="X36" i="5"/>
  <c r="X799" i="5" s="1"/>
  <c r="Y36" i="5"/>
  <c r="Y799" i="5" s="1"/>
  <c r="Z36" i="5"/>
  <c r="Z799" i="5" s="1"/>
  <c r="AA36" i="5"/>
  <c r="AA799" i="5" s="1"/>
  <c r="AB36" i="5"/>
  <c r="AB799" i="5" s="1"/>
  <c r="AC36" i="5"/>
  <c r="AC799" i="5" s="1"/>
  <c r="AD799" i="5"/>
  <c r="AE799" i="5"/>
  <c r="AF799" i="5"/>
  <c r="AG799" i="5"/>
  <c r="AH799" i="5"/>
  <c r="AI799" i="5"/>
  <c r="AJ799" i="5"/>
  <c r="AK799" i="5"/>
  <c r="AL799" i="5"/>
  <c r="AM799" i="5"/>
  <c r="AN799" i="5"/>
  <c r="M37" i="5"/>
  <c r="M821" i="5" s="1"/>
  <c r="N37" i="5"/>
  <c r="N821" i="5" s="1"/>
  <c r="O37" i="5"/>
  <c r="O821" i="5" s="1"/>
  <c r="P37" i="5"/>
  <c r="P821" i="5" s="1"/>
  <c r="Q37" i="5"/>
  <c r="Q821" i="5" s="1"/>
  <c r="R37" i="5"/>
  <c r="R821" i="5" s="1"/>
  <c r="S37" i="5"/>
  <c r="S821" i="5" s="1"/>
  <c r="T37" i="5"/>
  <c r="T821" i="5" s="1"/>
  <c r="U37" i="5"/>
  <c r="U821" i="5" s="1"/>
  <c r="V37" i="5"/>
  <c r="V821" i="5" s="1"/>
  <c r="W37" i="5"/>
  <c r="W821" i="5" s="1"/>
  <c r="X37" i="5"/>
  <c r="X821" i="5" s="1"/>
  <c r="Y37" i="5"/>
  <c r="Y821" i="5" s="1"/>
  <c r="Z37" i="5"/>
  <c r="Z821" i="5" s="1"/>
  <c r="AA37" i="5"/>
  <c r="AA821" i="5" s="1"/>
  <c r="AB37" i="5"/>
  <c r="AB821" i="5" s="1"/>
  <c r="AC37" i="5"/>
  <c r="AC821" i="5" s="1"/>
  <c r="AD821" i="5"/>
  <c r="AE821" i="5"/>
  <c r="AF821" i="5"/>
  <c r="AG821" i="5"/>
  <c r="AH821" i="5"/>
  <c r="AI821" i="5"/>
  <c r="AJ821" i="5"/>
  <c r="AK821" i="5"/>
  <c r="AL821" i="5"/>
  <c r="AM821" i="5"/>
  <c r="AN821" i="5"/>
  <c r="M38" i="5"/>
  <c r="M813" i="5" s="1"/>
  <c r="N38" i="5"/>
  <c r="N813" i="5" s="1"/>
  <c r="O38" i="5"/>
  <c r="O813" i="5" s="1"/>
  <c r="P38" i="5"/>
  <c r="P813" i="5" s="1"/>
  <c r="Q38" i="5"/>
  <c r="Q813" i="5" s="1"/>
  <c r="R38" i="5"/>
  <c r="R813" i="5" s="1"/>
  <c r="S38" i="5"/>
  <c r="S813" i="5" s="1"/>
  <c r="T38" i="5"/>
  <c r="T813" i="5" s="1"/>
  <c r="U38" i="5"/>
  <c r="U813" i="5" s="1"/>
  <c r="V38" i="5"/>
  <c r="V813" i="5" s="1"/>
  <c r="W38" i="5"/>
  <c r="W813" i="5" s="1"/>
  <c r="X38" i="5"/>
  <c r="X813" i="5" s="1"/>
  <c r="Y38" i="5"/>
  <c r="Y813" i="5" s="1"/>
  <c r="Z38" i="5"/>
  <c r="Z813" i="5" s="1"/>
  <c r="AA38" i="5"/>
  <c r="AA813" i="5" s="1"/>
  <c r="AB38" i="5"/>
  <c r="AB813" i="5" s="1"/>
  <c r="AC38" i="5"/>
  <c r="AC813" i="5" s="1"/>
  <c r="AD813" i="5"/>
  <c r="AE813" i="5"/>
  <c r="AF813" i="5"/>
  <c r="AG813" i="5"/>
  <c r="AH813" i="5"/>
  <c r="AI813" i="5"/>
  <c r="AJ813" i="5"/>
  <c r="AK813" i="5"/>
  <c r="AL813" i="5"/>
  <c r="AM813" i="5"/>
  <c r="AN813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L34" i="5"/>
  <c r="L880" i="5" s="1"/>
  <c r="L35" i="5"/>
  <c r="L36" i="5"/>
  <c r="L799" i="5" s="1"/>
  <c r="L37" i="5"/>
  <c r="L821" i="5" s="1"/>
  <c r="L38" i="5"/>
  <c r="L813" i="5" s="1"/>
  <c r="L39" i="5"/>
  <c r="L40" i="5"/>
  <c r="L41" i="5"/>
  <c r="L33" i="5"/>
  <c r="L829" i="5" s="1"/>
  <c r="C34" i="5"/>
  <c r="C35" i="5"/>
  <c r="C36" i="5"/>
  <c r="C37" i="5"/>
  <c r="C38" i="5"/>
  <c r="C39" i="5"/>
  <c r="C40" i="5"/>
  <c r="C41" i="5"/>
  <c r="C33" i="5"/>
  <c r="B605" i="5"/>
  <c r="I570" i="5"/>
  <c r="I569" i="5"/>
  <c r="B570" i="5"/>
  <c r="B569" i="5"/>
  <c r="D575" i="5"/>
  <c r="D576" i="5"/>
  <c r="D577" i="5"/>
  <c r="D578" i="5"/>
  <c r="D579" i="5"/>
  <c r="D580" i="5"/>
  <c r="D584" i="5"/>
  <c r="D585" i="5"/>
  <c r="D586" i="5"/>
  <c r="D591" i="5"/>
  <c r="D592" i="5"/>
  <c r="D593" i="5"/>
  <c r="D583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B554" i="5"/>
  <c r="I555" i="5"/>
  <c r="D454" i="5"/>
  <c r="D455" i="5"/>
  <c r="D456" i="5"/>
  <c r="D457" i="5"/>
  <c r="D458" i="5"/>
  <c r="D459" i="5"/>
  <c r="D462" i="5"/>
  <c r="D463" i="5"/>
  <c r="D464" i="5"/>
  <c r="D467" i="5"/>
  <c r="D468" i="5"/>
  <c r="D469" i="5"/>
  <c r="D470" i="5"/>
  <c r="I536" i="5"/>
  <c r="I537" i="5"/>
  <c r="I538" i="5"/>
  <c r="I539" i="5"/>
  <c r="I540" i="5"/>
  <c r="I541" i="5"/>
  <c r="I544" i="5"/>
  <c r="I545" i="5"/>
  <c r="I546" i="5"/>
  <c r="I549" i="5"/>
  <c r="I550" i="5"/>
  <c r="I551" i="5"/>
  <c r="I552" i="5"/>
  <c r="I543" i="5"/>
  <c r="I531" i="5"/>
  <c r="I532" i="5"/>
  <c r="I516" i="5"/>
  <c r="I517" i="5"/>
  <c r="I518" i="5"/>
  <c r="I519" i="5"/>
  <c r="I520" i="5"/>
  <c r="I521" i="5"/>
  <c r="I524" i="5"/>
  <c r="I525" i="5"/>
  <c r="I526" i="5"/>
  <c r="I529" i="5"/>
  <c r="I530" i="5"/>
  <c r="I523" i="5"/>
  <c r="I496" i="5"/>
  <c r="I497" i="5"/>
  <c r="I498" i="5"/>
  <c r="I499" i="5"/>
  <c r="I500" i="5"/>
  <c r="I501" i="5"/>
  <c r="I504" i="5"/>
  <c r="I505" i="5"/>
  <c r="I506" i="5"/>
  <c r="I509" i="5"/>
  <c r="I510" i="5"/>
  <c r="I511" i="5"/>
  <c r="I512" i="5"/>
  <c r="I503" i="5"/>
  <c r="I476" i="5"/>
  <c r="I477" i="5"/>
  <c r="I478" i="5"/>
  <c r="I479" i="5"/>
  <c r="I480" i="5"/>
  <c r="I481" i="5"/>
  <c r="I484" i="5"/>
  <c r="I485" i="5"/>
  <c r="I486" i="5"/>
  <c r="I489" i="5"/>
  <c r="I490" i="5"/>
  <c r="I491" i="5"/>
  <c r="I492" i="5"/>
  <c r="I483" i="5"/>
  <c r="D536" i="5"/>
  <c r="D537" i="5"/>
  <c r="D538" i="5"/>
  <c r="D539" i="5"/>
  <c r="D540" i="5"/>
  <c r="D541" i="5"/>
  <c r="D544" i="5"/>
  <c r="D545" i="5"/>
  <c r="D546" i="5"/>
  <c r="D549" i="5"/>
  <c r="D550" i="5"/>
  <c r="D551" i="5"/>
  <c r="D552" i="5"/>
  <c r="D543" i="5"/>
  <c r="D516" i="5"/>
  <c r="D517" i="5"/>
  <c r="D518" i="5"/>
  <c r="D519" i="5"/>
  <c r="D520" i="5"/>
  <c r="D521" i="5"/>
  <c r="D524" i="5"/>
  <c r="D525" i="5"/>
  <c r="D526" i="5"/>
  <c r="D529" i="5"/>
  <c r="D530" i="5"/>
  <c r="D531" i="5"/>
  <c r="D532" i="5"/>
  <c r="D523" i="5"/>
  <c r="D512" i="5"/>
  <c r="D496" i="5"/>
  <c r="D497" i="5"/>
  <c r="D498" i="5"/>
  <c r="D499" i="5"/>
  <c r="D500" i="5"/>
  <c r="D501" i="5"/>
  <c r="D504" i="5"/>
  <c r="D505" i="5"/>
  <c r="D506" i="5"/>
  <c r="D509" i="5"/>
  <c r="D510" i="5"/>
  <c r="D511" i="5"/>
  <c r="D503" i="5"/>
  <c r="D492" i="5"/>
  <c r="D489" i="5"/>
  <c r="D490" i="5"/>
  <c r="D491" i="5"/>
  <c r="D476" i="5"/>
  <c r="D477" i="5"/>
  <c r="D478" i="5"/>
  <c r="D479" i="5"/>
  <c r="D480" i="5"/>
  <c r="D481" i="5"/>
  <c r="D484" i="5"/>
  <c r="D485" i="5"/>
  <c r="D486" i="5"/>
  <c r="D483" i="5"/>
  <c r="L831" i="5" l="1"/>
  <c r="L952" i="5"/>
  <c r="AL831" i="5"/>
  <c r="AL952" i="5"/>
  <c r="Z831" i="5"/>
  <c r="Z952" i="5"/>
  <c r="R831" i="5"/>
  <c r="R952" i="5"/>
  <c r="AK831" i="5"/>
  <c r="AK952" i="5"/>
  <c r="AG831" i="5"/>
  <c r="AG952" i="5"/>
  <c r="Y831" i="5"/>
  <c r="Y952" i="5"/>
  <c r="U831" i="5"/>
  <c r="U952" i="5"/>
  <c r="Q831" i="5"/>
  <c r="Q952" i="5"/>
  <c r="AN831" i="5"/>
  <c r="AN952" i="5"/>
  <c r="AJ831" i="5"/>
  <c r="AJ952" i="5"/>
  <c r="AF831" i="5"/>
  <c r="AF952" i="5"/>
  <c r="AB831" i="5"/>
  <c r="AB952" i="5"/>
  <c r="X831" i="5"/>
  <c r="X952" i="5"/>
  <c r="T831" i="5"/>
  <c r="T952" i="5"/>
  <c r="P831" i="5"/>
  <c r="P952" i="5"/>
  <c r="AH831" i="5"/>
  <c r="AH952" i="5"/>
  <c r="AD831" i="5"/>
  <c r="AD952" i="5"/>
  <c r="V831" i="5"/>
  <c r="V952" i="5"/>
  <c r="N831" i="5"/>
  <c r="N952" i="5"/>
  <c r="AC831" i="5"/>
  <c r="AC952" i="5"/>
  <c r="M831" i="5"/>
  <c r="AM831" i="5"/>
  <c r="AM952" i="5"/>
  <c r="AI831" i="5"/>
  <c r="AI952" i="5"/>
  <c r="AE831" i="5"/>
  <c r="AE952" i="5"/>
  <c r="AA831" i="5"/>
  <c r="AA952" i="5"/>
  <c r="W831" i="5"/>
  <c r="W952" i="5"/>
  <c r="S831" i="5"/>
  <c r="S952" i="5"/>
  <c r="O831" i="5"/>
  <c r="O952" i="5"/>
  <c r="B438" i="5"/>
  <c r="C59" i="5"/>
  <c r="C60" i="5"/>
  <c r="C61" i="5"/>
  <c r="C62" i="5"/>
  <c r="C58" i="5"/>
  <c r="I440" i="5"/>
  <c r="I441" i="5"/>
  <c r="I442" i="5"/>
  <c r="I413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L50" i="5"/>
  <c r="L51" i="5"/>
  <c r="L52" i="5"/>
  <c r="L53" i="5"/>
  <c r="L54" i="5"/>
  <c r="L45" i="5"/>
  <c r="C54" i="5"/>
  <c r="C50" i="5"/>
  <c r="C51" i="5"/>
  <c r="C52" i="5"/>
  <c r="C53" i="5"/>
  <c r="C45" i="5"/>
  <c r="H67" i="3"/>
  <c r="H66" i="3"/>
  <c r="H65" i="3"/>
  <c r="H64" i="3"/>
  <c r="H61" i="3"/>
  <c r="H60" i="3"/>
  <c r="H59" i="3"/>
  <c r="L2" i="3" l="1"/>
  <c r="L3" i="3" s="1"/>
  <c r="L4" i="3" s="1"/>
  <c r="K138" i="3"/>
  <c r="J138" i="3"/>
  <c r="I138" i="3"/>
  <c r="H138" i="3"/>
  <c r="K122" i="3"/>
  <c r="K63" i="3"/>
  <c r="L63" i="3" s="1"/>
  <c r="M63" i="3" s="1"/>
  <c r="N63" i="3" s="1"/>
  <c r="O63" i="3" s="1"/>
  <c r="P63" i="3" s="1"/>
  <c r="Q63" i="3" s="1"/>
  <c r="K57" i="3"/>
  <c r="L57" i="3" s="1"/>
  <c r="M57" i="3" s="1"/>
  <c r="N57" i="3" s="1"/>
  <c r="O57" i="3" s="1"/>
  <c r="P57" i="3" s="1"/>
  <c r="Q57" i="3" s="1"/>
  <c r="L122" i="3" l="1"/>
  <c r="M122" i="3" s="1"/>
  <c r="N122" i="3" s="1"/>
  <c r="O122" i="3" s="1"/>
  <c r="P122" i="3" s="1"/>
  <c r="Q122" i="3" s="1"/>
  <c r="R122" i="3" s="1"/>
  <c r="S122" i="3" s="1"/>
  <c r="T122" i="3" s="1"/>
  <c r="U122" i="3" s="1"/>
  <c r="V122" i="3" s="1"/>
  <c r="W122" i="3" s="1"/>
  <c r="X122" i="3" s="1"/>
  <c r="Y122" i="3" s="1"/>
  <c r="Z122" i="3" l="1"/>
  <c r="AA122" i="3" s="1"/>
  <c r="M2" i="3" l="1"/>
  <c r="M3" i="3" l="1"/>
  <c r="M4" i="3" s="1"/>
  <c r="B16" i="1"/>
  <c r="N2" i="3" l="1"/>
  <c r="N3" i="3" s="1"/>
  <c r="L2" i="5" a="1"/>
  <c r="L2" i="9" a="1"/>
  <c r="L2" i="9" s="1"/>
  <c r="N4" i="3" l="1"/>
  <c r="O2" i="3"/>
  <c r="O3" i="3" s="1"/>
  <c r="L2" i="5"/>
  <c r="P2" i="3" l="1"/>
  <c r="P3" i="3" s="1"/>
  <c r="P4" i="3" s="1"/>
  <c r="O4" i="3"/>
  <c r="M2" i="9" a="1"/>
  <c r="M2" i="9" s="1"/>
  <c r="M2" i="5" a="1"/>
  <c r="Q2" i="3" l="1"/>
  <c r="Q3" i="3" s="1"/>
  <c r="Q4" i="3" s="1"/>
  <c r="M2" i="5"/>
  <c r="N2" i="5" a="1"/>
  <c r="N2" i="9" a="1"/>
  <c r="N2" i="9" s="1"/>
  <c r="R2" i="3" l="1"/>
  <c r="R3" i="3" s="1"/>
  <c r="R4" i="3" s="1"/>
  <c r="N2" i="5"/>
  <c r="O2" i="5" a="1"/>
  <c r="S2" i="3" l="1"/>
  <c r="S3" i="3" s="1"/>
  <c r="S4" i="3" s="1"/>
  <c r="O2" i="5"/>
  <c r="O2" i="9" a="1"/>
  <c r="O2" i="9" s="1"/>
  <c r="P2" i="5" a="1"/>
  <c r="T2" i="3" l="1"/>
  <c r="T3" i="3" s="1"/>
  <c r="T4" i="3" s="1"/>
  <c r="P2" i="5"/>
  <c r="P2" i="9" a="1"/>
  <c r="P2" i="9" s="1"/>
  <c r="U2" i="3" l="1"/>
  <c r="U3" i="3" s="1"/>
  <c r="U4" i="3" s="1"/>
  <c r="V2" i="3" l="1"/>
  <c r="V3" i="3" s="1"/>
  <c r="V4" i="3" s="1"/>
  <c r="Q2" i="9" a="1"/>
  <c r="Q2" i="9" s="1"/>
  <c r="Q2" i="5" a="1"/>
  <c r="W2" i="3" l="1"/>
  <c r="W3" i="3" s="1"/>
  <c r="W4" i="3" s="1"/>
  <c r="Q2" i="5"/>
  <c r="X2" i="3" l="1"/>
  <c r="X3" i="3" s="1"/>
  <c r="X4" i="3" s="1"/>
  <c r="R2" i="5" a="1"/>
  <c r="R2" i="9" a="1"/>
  <c r="R2" i="9" s="1"/>
  <c r="Y2" i="3" l="1"/>
  <c r="Y3" i="3" s="1"/>
  <c r="Y4" i="3" s="1"/>
  <c r="R2" i="5"/>
  <c r="Z2" i="3" l="1"/>
  <c r="Z3" i="3" s="1"/>
  <c r="Z4" i="3" s="1"/>
  <c r="S2" i="9" a="1"/>
  <c r="S2" i="9" s="1"/>
  <c r="S2" i="5" a="1"/>
  <c r="AA2" i="3" l="1"/>
  <c r="AA3" i="3" s="1"/>
  <c r="AA4" i="3" s="1"/>
  <c r="S2" i="5"/>
  <c r="AB2" i="3" l="1"/>
  <c r="AB3" i="3" s="1"/>
  <c r="AB4" i="3" s="1"/>
  <c r="T2" i="5" a="1"/>
  <c r="T2" i="9" a="1"/>
  <c r="T2" i="9" s="1"/>
  <c r="AC2" i="3" l="1"/>
  <c r="AC3" i="3" s="1"/>
  <c r="T2" i="5"/>
  <c r="AC4" i="3" l="1"/>
  <c r="AD2" i="3"/>
  <c r="AD3" i="3" s="1"/>
  <c r="U2" i="5" a="1"/>
  <c r="U2" i="9" a="1"/>
  <c r="U2" i="9" s="1"/>
  <c r="AD4" i="3" l="1"/>
  <c r="AE2" i="3"/>
  <c r="AE3" i="3" s="1"/>
  <c r="U2" i="5"/>
  <c r="V2" i="5" a="1"/>
  <c r="AF2" i="3" l="1"/>
  <c r="AF3" i="3" s="1"/>
  <c r="AE4" i="3"/>
  <c r="AE2" i="5" s="1" a="1"/>
  <c r="V2" i="5"/>
  <c r="V2" i="9" a="1"/>
  <c r="V2" i="9" s="1"/>
  <c r="AG2" i="3" l="1"/>
  <c r="AG3" i="3" s="1"/>
  <c r="AF4" i="3"/>
  <c r="AF2" i="5" s="1" a="1"/>
  <c r="AE2" i="5"/>
  <c r="AH2" i="3" l="1"/>
  <c r="AH3" i="3" s="1"/>
  <c r="AG4" i="3"/>
  <c r="AG2" i="5" s="1" a="1"/>
  <c r="AF2" i="5"/>
  <c r="W2" i="9" a="1"/>
  <c r="W2" i="9" s="1"/>
  <c r="W2" i="5" a="1"/>
  <c r="AH4" i="3" l="1"/>
  <c r="AH2" i="5" s="1" a="1"/>
  <c r="AI2" i="3"/>
  <c r="AI3" i="3" s="1"/>
  <c r="AG2" i="5"/>
  <c r="W2" i="5"/>
  <c r="X2" i="5" a="1"/>
  <c r="AJ2" i="3" l="1"/>
  <c r="AJ3" i="3" s="1"/>
  <c r="AI4" i="3"/>
  <c r="AI2" i="5" s="1" a="1"/>
  <c r="AH2" i="5"/>
  <c r="X2" i="5"/>
  <c r="X2" i="9" a="1"/>
  <c r="X2" i="9" s="1"/>
  <c r="AK2" i="3" l="1"/>
  <c r="AK3" i="3" s="1"/>
  <c r="AJ4" i="3"/>
  <c r="AJ2" i="5" s="1" a="1"/>
  <c r="AI2" i="5"/>
  <c r="AL2" i="3" l="1"/>
  <c r="AL3" i="3" s="1"/>
  <c r="AK4" i="3"/>
  <c r="AK2" i="5" s="1" a="1"/>
  <c r="AJ2" i="5"/>
  <c r="Y2" i="9" a="1"/>
  <c r="Y2" i="9" s="1"/>
  <c r="Y2" i="5" a="1"/>
  <c r="AL4" i="3" l="1"/>
  <c r="AM2" i="3"/>
  <c r="AM3" i="3" s="1"/>
  <c r="AL2" i="5" a="1"/>
  <c r="AK2" i="5"/>
  <c r="Y2" i="5"/>
  <c r="AN2" i="3" l="1"/>
  <c r="AN3" i="3" s="1"/>
  <c r="AN4" i="3" s="1"/>
  <c r="AM4" i="3"/>
  <c r="AM2" i="5" s="1" a="1"/>
  <c r="AL2" i="5"/>
  <c r="Z2" i="5" a="1"/>
  <c r="Z2" i="9" a="1"/>
  <c r="Z2" i="9" s="1"/>
  <c r="AN2" i="5" l="1" a="1"/>
  <c r="AM2" i="5"/>
  <c r="Z2" i="5"/>
  <c r="AA2" i="9" a="1"/>
  <c r="AA2" i="9" s="1"/>
  <c r="AN2" i="5" l="1"/>
  <c r="AA2" i="5" a="1"/>
  <c r="AA2" i="5" l="1"/>
  <c r="AB2" i="9" l="1" a="1"/>
  <c r="AB2" i="9" s="1"/>
  <c r="AB2" i="5" a="1"/>
  <c r="AB2" i="5" l="1"/>
  <c r="AC2" i="5" l="1" a="1"/>
  <c r="AC2" i="9" a="1"/>
  <c r="AC2" i="9" s="1"/>
  <c r="AC2" i="5" l="1"/>
  <c r="AD2" i="9" l="1" a="1"/>
  <c r="AD2" i="9" s="1"/>
  <c r="AD2" i="5" a="1"/>
  <c r="A2" i="9"/>
  <c r="A1" i="9"/>
  <c r="B2" i="5"/>
  <c r="B1" i="5"/>
  <c r="A2" i="3"/>
  <c r="A1" i="3"/>
  <c r="AD2" i="5" l="1"/>
  <c r="AE2" i="9" l="1" a="1"/>
  <c r="AE2" i="9" s="1"/>
  <c r="AF2" i="9" l="1" a="1"/>
  <c r="AF2" i="9" s="1"/>
  <c r="AG2" i="9" l="1" a="1"/>
  <c r="AG2" i="9" s="1"/>
  <c r="AH2" i="9" l="1" a="1"/>
  <c r="AH2" i="9" s="1"/>
  <c r="AI2" i="9" l="1" a="1"/>
  <c r="AI2" i="9" s="1"/>
  <c r="AJ2" i="9" l="1" a="1"/>
  <c r="AJ2" i="9" s="1"/>
  <c r="AK2" i="9" l="1" a="1"/>
  <c r="AK2" i="9" s="1"/>
  <c r="AL2" i="9" l="1" a="1"/>
  <c r="AL2" i="9" s="1"/>
  <c r="AM2" i="9" l="1" a="1"/>
  <c r="AM2" i="9" s="1"/>
  <c r="AN2" i="9" l="1" a="1"/>
  <c r="AN2" i="9" s="1"/>
  <c r="L766" i="5" l="1"/>
  <c r="L777" i="5"/>
  <c r="L776" i="5"/>
  <c r="L767" i="5"/>
  <c r="L787" i="5"/>
  <c r="L786" i="5"/>
  <c r="M787" i="5" l="1"/>
  <c r="M786" i="5"/>
  <c r="M776" i="5" l="1"/>
  <c r="M777" i="5"/>
  <c r="M766" i="5" l="1"/>
  <c r="N786" i="5"/>
  <c r="N787" i="5"/>
  <c r="N776" i="5" l="1"/>
  <c r="N777" i="5"/>
  <c r="N767" i="5" l="1"/>
  <c r="N766" i="5"/>
  <c r="O787" i="5"/>
  <c r="O786" i="5"/>
  <c r="O777" i="5" l="1"/>
  <c r="O776" i="5"/>
  <c r="P786" i="5" l="1"/>
  <c r="P787" i="5"/>
  <c r="P776" i="5" l="1"/>
  <c r="P777" i="5"/>
  <c r="Q787" i="5" l="1"/>
  <c r="Q786" i="5"/>
  <c r="O767" i="5"/>
  <c r="O766" i="5"/>
  <c r="R786" i="5" l="1"/>
  <c r="Q776" i="5"/>
  <c r="Q777" i="5"/>
  <c r="S786" i="5" l="1"/>
  <c r="S787" i="5"/>
  <c r="P766" i="5"/>
  <c r="T786" i="5" l="1"/>
  <c r="T787" i="5"/>
  <c r="R777" i="5"/>
  <c r="R776" i="5"/>
  <c r="U786" i="5" l="1"/>
  <c r="U787" i="5"/>
  <c r="Q766" i="5" l="1"/>
  <c r="V786" i="5"/>
  <c r="V787" i="5"/>
  <c r="S777" i="5"/>
  <c r="S776" i="5"/>
  <c r="W787" i="5" l="1"/>
  <c r="W786" i="5"/>
  <c r="T777" i="5"/>
  <c r="T776" i="5"/>
  <c r="X786" i="5" l="1"/>
  <c r="X787" i="5"/>
  <c r="U777" i="5"/>
  <c r="U776" i="5"/>
  <c r="R767" i="5" l="1"/>
  <c r="R766" i="5"/>
  <c r="Y786" i="5"/>
  <c r="Y787" i="5"/>
  <c r="V776" i="5"/>
  <c r="V777" i="5"/>
  <c r="Z786" i="5" l="1"/>
  <c r="Z787" i="5"/>
  <c r="W777" i="5"/>
  <c r="W776" i="5"/>
  <c r="S766" i="5" l="1"/>
  <c r="X777" i="5"/>
  <c r="X776" i="5"/>
  <c r="AA786" i="5"/>
  <c r="AA787" i="5"/>
  <c r="AB787" i="5" l="1"/>
  <c r="AB786" i="5"/>
  <c r="Y776" i="5"/>
  <c r="Y777" i="5"/>
  <c r="AC787" i="5" l="1"/>
  <c r="AC786" i="5"/>
  <c r="Z776" i="5"/>
  <c r="Z777" i="5"/>
  <c r="T766" i="5" l="1"/>
  <c r="AD786" i="5"/>
  <c r="AD787" i="5"/>
  <c r="AA777" i="5"/>
  <c r="AA776" i="5"/>
  <c r="AE787" i="5" l="1"/>
  <c r="AE786" i="5"/>
  <c r="AB777" i="5"/>
  <c r="AB776" i="5"/>
  <c r="AC777" i="5" l="1"/>
  <c r="AC776" i="5"/>
  <c r="AF787" i="5"/>
  <c r="AF786" i="5"/>
  <c r="U766" i="5" l="1"/>
  <c r="AG786" i="5"/>
  <c r="AG787" i="5"/>
  <c r="AD777" i="5"/>
  <c r="AD776" i="5"/>
  <c r="AH786" i="5" l="1"/>
  <c r="AH787" i="5"/>
  <c r="AE777" i="5"/>
  <c r="AE776" i="5"/>
  <c r="AI787" i="5" l="1"/>
  <c r="AI786" i="5"/>
  <c r="AF777" i="5"/>
  <c r="AF776" i="5"/>
  <c r="V766" i="5" l="1"/>
  <c r="AJ787" i="5"/>
  <c r="AJ786" i="5"/>
  <c r="AG777" i="5"/>
  <c r="AG776" i="5"/>
  <c r="AK787" i="5" l="1"/>
  <c r="AK786" i="5"/>
  <c r="AH776" i="5"/>
  <c r="AH777" i="5"/>
  <c r="AL787" i="5" l="1"/>
  <c r="AL786" i="5"/>
  <c r="AI776" i="5"/>
  <c r="AI777" i="5"/>
  <c r="W766" i="5" l="1"/>
  <c r="AJ776" i="5"/>
  <c r="AJ777" i="5"/>
  <c r="AM787" i="5"/>
  <c r="AM786" i="5"/>
  <c r="AN786" i="5" l="1"/>
  <c r="I786" i="5" s="1"/>
  <c r="AN787" i="5"/>
  <c r="AK776" i="5" l="1"/>
  <c r="AK777" i="5"/>
  <c r="X766" i="5" l="1"/>
  <c r="AL777" i="5" l="1"/>
  <c r="AL776" i="5"/>
  <c r="AM777" i="5" l="1"/>
  <c r="AM776" i="5"/>
  <c r="Y766" i="5" l="1"/>
  <c r="AN777" i="5"/>
  <c r="I777" i="5" s="1"/>
  <c r="AN776" i="5"/>
  <c r="I776" i="5" s="1"/>
  <c r="Z766" i="5" l="1"/>
  <c r="AA766" i="5" l="1"/>
  <c r="AB766" i="5" l="1"/>
  <c r="AC766" i="5" l="1"/>
  <c r="AD766" i="5" l="1"/>
  <c r="AE766" i="5" l="1"/>
  <c r="AF766" i="5" l="1"/>
  <c r="AF767" i="5"/>
  <c r="AG766" i="5" l="1"/>
  <c r="AH766" i="5" l="1"/>
  <c r="AI766" i="5" l="1"/>
  <c r="AJ766" i="5" l="1"/>
  <c r="AK766" i="5" l="1"/>
  <c r="AL766" i="5" l="1"/>
  <c r="AM766" i="5" l="1"/>
  <c r="AN766" i="5" l="1"/>
  <c r="I766" i="5" s="1"/>
  <c r="AM9" i="5" s="1"/>
  <c r="AL9" i="5" s="1"/>
  <c r="AK9" i="5" s="1"/>
  <c r="AJ9" i="5" s="1"/>
  <c r="AI9" i="5" s="1"/>
  <c r="AH9" i="5" s="1"/>
  <c r="AG9" i="5" s="1"/>
  <c r="AF9" i="5" s="1"/>
  <c r="AE9" i="5" s="1"/>
  <c r="AD9" i="5" s="1"/>
  <c r="AC9" i="5" s="1"/>
  <c r="AB9" i="5" s="1"/>
  <c r="AA9" i="5" s="1"/>
  <c r="Z9" i="5" s="1"/>
  <c r="Y9" i="5" s="1"/>
  <c r="X9" i="5" s="1"/>
  <c r="W9" i="5" s="1"/>
  <c r="V9" i="5" s="1"/>
  <c r="U9" i="5" s="1"/>
  <c r="T9" i="5" s="1"/>
  <c r="S9" i="5" s="1"/>
  <c r="R9" i="5" s="1"/>
  <c r="Q9" i="5" s="1"/>
  <c r="P9" i="5" s="1"/>
  <c r="O9" i="5" s="1"/>
  <c r="N9" i="5" s="1"/>
  <c r="M9" i="5" s="1"/>
  <c r="L9" i="5" l="1"/>
  <c r="L788" i="5"/>
  <c r="L763" i="5"/>
  <c r="L825" i="5"/>
  <c r="L817" i="5"/>
  <c r="L146" i="5"/>
  <c r="L16" i="5"/>
  <c r="L58" i="5"/>
  <c r="M58" i="5" s="1"/>
  <c r="N58" i="5" s="1"/>
  <c r="L61" i="5"/>
  <c r="M61" i="5" s="1"/>
  <c r="N61" i="5" s="1"/>
  <c r="L427" i="5"/>
  <c r="L428" i="5"/>
  <c r="L768" i="5"/>
  <c r="L17" i="5"/>
  <c r="L956" i="5" s="1"/>
  <c r="L958" i="5" s="1"/>
  <c r="L762" i="5"/>
  <c r="L772" i="5"/>
  <c r="L59" i="5"/>
  <c r="M59" i="5" s="1"/>
  <c r="N59" i="5" s="1"/>
  <c r="O59" i="5" s="1"/>
  <c r="L68" i="5"/>
  <c r="L60" i="5"/>
  <c r="M60" i="5" s="1"/>
  <c r="N60" i="5" s="1"/>
  <c r="O60" i="5" s="1"/>
  <c r="P60" i="5" s="1"/>
  <c r="Q60" i="5" s="1"/>
  <c r="R60" i="5" s="1"/>
  <c r="S60" i="5" s="1"/>
  <c r="T60" i="5" s="1"/>
  <c r="U60" i="5" s="1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F60" i="5" s="1"/>
  <c r="AG60" i="5" s="1"/>
  <c r="AH60" i="5" s="1"/>
  <c r="AI60" i="5" s="1"/>
  <c r="AJ60" i="5" s="1"/>
  <c r="AK60" i="5" s="1"/>
  <c r="AL60" i="5" s="1"/>
  <c r="AM60" i="5" s="1"/>
  <c r="L67" i="5"/>
  <c r="L429" i="5"/>
  <c r="L778" i="5"/>
  <c r="L12" i="5"/>
  <c r="L782" i="5"/>
  <c r="L143" i="5"/>
  <c r="L70" i="5"/>
  <c r="L69" i="5"/>
  <c r="L144" i="5"/>
  <c r="L10" i="5"/>
  <c r="L773" i="5"/>
  <c r="L13" i="5"/>
  <c r="L783" i="5"/>
  <c r="L145" i="5"/>
  <c r="L147" i="5"/>
  <c r="L62" i="5"/>
  <c r="M62" i="5" s="1"/>
  <c r="L426" i="5"/>
  <c r="M778" i="5"/>
  <c r="M12" i="5"/>
  <c r="M772" i="5"/>
  <c r="M782" i="5"/>
  <c r="M10" i="5"/>
  <c r="M143" i="5"/>
  <c r="M67" i="5"/>
  <c r="M146" i="5"/>
  <c r="M788" i="5"/>
  <c r="M13" i="5"/>
  <c r="M817" i="5"/>
  <c r="M145" i="5"/>
  <c r="M429" i="5"/>
  <c r="M16" i="5"/>
  <c r="M70" i="5"/>
  <c r="M144" i="5"/>
  <c r="M768" i="5"/>
  <c r="M762" i="5"/>
  <c r="M68" i="5"/>
  <c r="M825" i="5"/>
  <c r="M427" i="5"/>
  <c r="M17" i="5"/>
  <c r="M956" i="5" s="1"/>
  <c r="M428" i="5"/>
  <c r="M426" i="5"/>
  <c r="M147" i="5"/>
  <c r="M69" i="5"/>
  <c r="M785" i="5"/>
  <c r="M775" i="5"/>
  <c r="M765" i="5"/>
  <c r="S793" i="5"/>
  <c r="S17" i="5"/>
  <c r="S956" i="5" s="1"/>
  <c r="S817" i="5"/>
  <c r="S427" i="5"/>
  <c r="S782" i="5"/>
  <c r="S426" i="5"/>
  <c r="S740" i="5"/>
  <c r="S82" i="5" s="1"/>
  <c r="S146" i="5"/>
  <c r="S428" i="5"/>
  <c r="S765" i="5"/>
  <c r="S67" i="5"/>
  <c r="S145" i="5"/>
  <c r="S12" i="5"/>
  <c r="S147" i="5"/>
  <c r="S429" i="5"/>
  <c r="S144" i="5"/>
  <c r="S13" i="5"/>
  <c r="S772" i="5"/>
  <c r="S70" i="5"/>
  <c r="S69" i="5"/>
  <c r="S68" i="5"/>
  <c r="S785" i="5"/>
  <c r="S10" i="5"/>
  <c r="S762" i="5"/>
  <c r="S775" i="5"/>
  <c r="R793" i="5"/>
  <c r="R13" i="5"/>
  <c r="R772" i="5"/>
  <c r="R765" i="5"/>
  <c r="R428" i="5"/>
  <c r="R70" i="5"/>
  <c r="R426" i="5"/>
  <c r="R17" i="5"/>
  <c r="R956" i="5" s="1"/>
  <c r="R12" i="5"/>
  <c r="R782" i="5"/>
  <c r="R762" i="5"/>
  <c r="R427" i="5"/>
  <c r="R69" i="5"/>
  <c r="R145" i="5"/>
  <c r="R817" i="5"/>
  <c r="R429" i="5"/>
  <c r="R67" i="5"/>
  <c r="R775" i="5"/>
  <c r="R144" i="5"/>
  <c r="R785" i="5"/>
  <c r="R68" i="5"/>
  <c r="R146" i="5"/>
  <c r="R147" i="5"/>
  <c r="R740" i="5"/>
  <c r="R82" i="5" s="1"/>
  <c r="R10" i="5"/>
  <c r="AD793" i="5"/>
  <c r="AD17" i="5"/>
  <c r="AD956" i="5" s="1"/>
  <c r="AD817" i="5"/>
  <c r="AD765" i="5"/>
  <c r="AD146" i="5"/>
  <c r="AD426" i="5"/>
  <c r="AD70" i="5"/>
  <c r="AD785" i="5"/>
  <c r="AD69" i="5"/>
  <c r="AD147" i="5"/>
  <c r="AD68" i="5"/>
  <c r="AD782" i="5"/>
  <c r="AD762" i="5"/>
  <c r="AD145" i="5"/>
  <c r="AD144" i="5"/>
  <c r="AD429" i="5"/>
  <c r="AD428" i="5"/>
  <c r="AD13" i="5"/>
  <c r="AD740" i="5"/>
  <c r="AD82" i="5" s="1"/>
  <c r="AD427" i="5"/>
  <c r="AD772" i="5"/>
  <c r="AD10" i="5"/>
  <c r="AD12" i="5"/>
  <c r="AD775" i="5"/>
  <c r="AD67" i="5"/>
  <c r="Q793" i="5"/>
  <c r="Q12" i="5"/>
  <c r="Q13" i="5"/>
  <c r="Q772" i="5"/>
  <c r="Q817" i="5"/>
  <c r="Q144" i="5"/>
  <c r="Q146" i="5"/>
  <c r="Q70" i="5"/>
  <c r="Q785" i="5"/>
  <c r="Q427" i="5"/>
  <c r="Q429" i="5"/>
  <c r="Q17" i="5"/>
  <c r="Q956" i="5" s="1"/>
  <c r="Q782" i="5"/>
  <c r="Q69" i="5"/>
  <c r="Q775" i="5"/>
  <c r="Q145" i="5"/>
  <c r="Q426" i="5"/>
  <c r="Q740" i="5"/>
  <c r="Q82" i="5" s="1"/>
  <c r="Q428" i="5"/>
  <c r="Q762" i="5"/>
  <c r="Q147" i="5"/>
  <c r="Q67" i="5"/>
  <c r="Q765" i="5"/>
  <c r="Q10" i="5"/>
  <c r="Q68" i="5"/>
  <c r="W793" i="5"/>
  <c r="W17" i="5"/>
  <c r="W956" i="5" s="1"/>
  <c r="W12" i="5"/>
  <c r="W765" i="5"/>
  <c r="W817" i="5"/>
  <c r="W146" i="5"/>
  <c r="W10" i="5"/>
  <c r="W68" i="5"/>
  <c r="W13" i="5"/>
  <c r="W785" i="5"/>
  <c r="W782" i="5"/>
  <c r="W69" i="5"/>
  <c r="W70" i="5"/>
  <c r="W147" i="5"/>
  <c r="W740" i="5"/>
  <c r="W82" i="5" s="1"/>
  <c r="W428" i="5"/>
  <c r="W426" i="5"/>
  <c r="W772" i="5"/>
  <c r="W427" i="5"/>
  <c r="W145" i="5"/>
  <c r="W762" i="5"/>
  <c r="W429" i="5"/>
  <c r="W775" i="5"/>
  <c r="W144" i="5"/>
  <c r="W67" i="5"/>
  <c r="AA793" i="5"/>
  <c r="AA12" i="5"/>
  <c r="AA762" i="5"/>
  <c r="AA782" i="5"/>
  <c r="AA145" i="5"/>
  <c r="AA427" i="5"/>
  <c r="AA144" i="5"/>
  <c r="AA13" i="5"/>
  <c r="AA817" i="5"/>
  <c r="AA775" i="5"/>
  <c r="AA69" i="5"/>
  <c r="AA426" i="5"/>
  <c r="AA429" i="5"/>
  <c r="AA17" i="5"/>
  <c r="AA956" i="5" s="1"/>
  <c r="AA772" i="5"/>
  <c r="AA146" i="5"/>
  <c r="AA67" i="5"/>
  <c r="AA740" i="5"/>
  <c r="AA82" i="5" s="1"/>
  <c r="AA68" i="5"/>
  <c r="AA10" i="5"/>
  <c r="AA428" i="5"/>
  <c r="AA785" i="5"/>
  <c r="AA70" i="5"/>
  <c r="AA765" i="5"/>
  <c r="AA147" i="5"/>
  <c r="AC793" i="5"/>
  <c r="AC12" i="5"/>
  <c r="AC17" i="5"/>
  <c r="AC956" i="5" s="1"/>
  <c r="AC13" i="5"/>
  <c r="AC772" i="5"/>
  <c r="AC765" i="5"/>
  <c r="AC147" i="5"/>
  <c r="AC10" i="5"/>
  <c r="AC69" i="5"/>
  <c r="AC145" i="5"/>
  <c r="AC785" i="5"/>
  <c r="AC68" i="5"/>
  <c r="AC427" i="5"/>
  <c r="AC817" i="5"/>
  <c r="AC426" i="5"/>
  <c r="AC782" i="5"/>
  <c r="AC144" i="5"/>
  <c r="AC428" i="5"/>
  <c r="AC762" i="5"/>
  <c r="AC146" i="5"/>
  <c r="AC775" i="5"/>
  <c r="AC67" i="5"/>
  <c r="AC70" i="5"/>
  <c r="AC740" i="5"/>
  <c r="AC82" i="5" s="1"/>
  <c r="AC429" i="5"/>
  <c r="AE793" i="5"/>
  <c r="AE17" i="5"/>
  <c r="AE956" i="5" s="1"/>
  <c r="AE12" i="5"/>
  <c r="AE782" i="5"/>
  <c r="AE785" i="5"/>
  <c r="AE426" i="5"/>
  <c r="AE69" i="5"/>
  <c r="AE428" i="5"/>
  <c r="AE13" i="5"/>
  <c r="AE762" i="5"/>
  <c r="AE817" i="5"/>
  <c r="AE772" i="5"/>
  <c r="AE70" i="5"/>
  <c r="AE145" i="5"/>
  <c r="AE740" i="5"/>
  <c r="AE82" i="5" s="1"/>
  <c r="AE427" i="5"/>
  <c r="AE147" i="5"/>
  <c r="AE429" i="5"/>
  <c r="AE67" i="5"/>
  <c r="AE144" i="5"/>
  <c r="AE775" i="5"/>
  <c r="AE68" i="5"/>
  <c r="AE146" i="5"/>
  <c r="AE765" i="5"/>
  <c r="AE10" i="5"/>
  <c r="AG793" i="5"/>
  <c r="AG17" i="5"/>
  <c r="AG956" i="5" s="1"/>
  <c r="AG12" i="5"/>
  <c r="AG817" i="5"/>
  <c r="AG765" i="5"/>
  <c r="AG10" i="5"/>
  <c r="AG426" i="5"/>
  <c r="AG740" i="5"/>
  <c r="AG82" i="5" s="1"/>
  <c r="AG145" i="5"/>
  <c r="AG13" i="5"/>
  <c r="AG772" i="5"/>
  <c r="AG70" i="5"/>
  <c r="AG69" i="5"/>
  <c r="AG785" i="5"/>
  <c r="AG427" i="5"/>
  <c r="AG68" i="5"/>
  <c r="AG782" i="5"/>
  <c r="AG144" i="5"/>
  <c r="AG762" i="5"/>
  <c r="AG428" i="5"/>
  <c r="AG146" i="5"/>
  <c r="AG429" i="5"/>
  <c r="AG147" i="5"/>
  <c r="AG775" i="5"/>
  <c r="AG67" i="5"/>
  <c r="AK793" i="5"/>
  <c r="AK12" i="5"/>
  <c r="AK817" i="5"/>
  <c r="AK146" i="5"/>
  <c r="AK740" i="5"/>
  <c r="AK82" i="5" s="1"/>
  <c r="AK10" i="5"/>
  <c r="AK13" i="5"/>
  <c r="AK785" i="5"/>
  <c r="AK782" i="5"/>
  <c r="AK775" i="5"/>
  <c r="AK772" i="5"/>
  <c r="AK144" i="5"/>
  <c r="AK765" i="5"/>
  <c r="AK68" i="5"/>
  <c r="AK67" i="5"/>
  <c r="AK429" i="5"/>
  <c r="AK69" i="5"/>
  <c r="AK762" i="5"/>
  <c r="AK426" i="5"/>
  <c r="AK70" i="5"/>
  <c r="AK17" i="5"/>
  <c r="AK956" i="5" s="1"/>
  <c r="AK428" i="5"/>
  <c r="AK147" i="5"/>
  <c r="AK427" i="5"/>
  <c r="AK145" i="5"/>
  <c r="AM793" i="5"/>
  <c r="AM12" i="5"/>
  <c r="AM13" i="5"/>
  <c r="AM740" i="5"/>
  <c r="AM82" i="5" s="1"/>
  <c r="AM765" i="5"/>
  <c r="AM10" i="5"/>
  <c r="AM67" i="5"/>
  <c r="AM147" i="5"/>
  <c r="AM775" i="5"/>
  <c r="AM68" i="5"/>
  <c r="AM70" i="5"/>
  <c r="AM817" i="5"/>
  <c r="AM428" i="5"/>
  <c r="AM145" i="5"/>
  <c r="AM17" i="5"/>
  <c r="AM956" i="5" s="1"/>
  <c r="AM772" i="5"/>
  <c r="AM429" i="5"/>
  <c r="AM144" i="5"/>
  <c r="AM785" i="5"/>
  <c r="AM146" i="5"/>
  <c r="AM782" i="5"/>
  <c r="AM69" i="5"/>
  <c r="AM762" i="5"/>
  <c r="AM426" i="5"/>
  <c r="AM427" i="5"/>
  <c r="Y793" i="5"/>
  <c r="Y13" i="5"/>
  <c r="Y17" i="5"/>
  <c r="Y956" i="5" s="1"/>
  <c r="Y12" i="5"/>
  <c r="Y772" i="5"/>
  <c r="Y765" i="5"/>
  <c r="Y429" i="5"/>
  <c r="Y428" i="5"/>
  <c r="Y145" i="5"/>
  <c r="Y817" i="5"/>
  <c r="Y782" i="5"/>
  <c r="Y147" i="5"/>
  <c r="Y146" i="5"/>
  <c r="Y785" i="5"/>
  <c r="Y427" i="5"/>
  <c r="Y144" i="5"/>
  <c r="Y762" i="5"/>
  <c r="Y70" i="5"/>
  <c r="Y69" i="5"/>
  <c r="Y775" i="5"/>
  <c r="Y68" i="5"/>
  <c r="Y740" i="5"/>
  <c r="Y82" i="5" s="1"/>
  <c r="Y10" i="5"/>
  <c r="Y426" i="5"/>
  <c r="Y67" i="5"/>
  <c r="AI793" i="5"/>
  <c r="AI12" i="5"/>
  <c r="AI13" i="5"/>
  <c r="AI740" i="5"/>
  <c r="AI82" i="5" s="1"/>
  <c r="AI772" i="5"/>
  <c r="AI68" i="5"/>
  <c r="AI70" i="5"/>
  <c r="AI775" i="5"/>
  <c r="AI765" i="5"/>
  <c r="AI429" i="5"/>
  <c r="AI69" i="5"/>
  <c r="AI145" i="5"/>
  <c r="AI67" i="5"/>
  <c r="AI426" i="5"/>
  <c r="AI785" i="5"/>
  <c r="AI144" i="5"/>
  <c r="AI762" i="5"/>
  <c r="AI17" i="5"/>
  <c r="AI956" i="5" s="1"/>
  <c r="AI428" i="5"/>
  <c r="AI782" i="5"/>
  <c r="AI146" i="5"/>
  <c r="AI147" i="5"/>
  <c r="AI427" i="5"/>
  <c r="AI817" i="5"/>
  <c r="AI10" i="5"/>
  <c r="O793" i="5"/>
  <c r="O775" i="5"/>
  <c r="O772" i="5"/>
  <c r="O426" i="5"/>
  <c r="O427" i="5"/>
  <c r="O17" i="5"/>
  <c r="O956" i="5" s="1"/>
  <c r="O740" i="5"/>
  <c r="O82" i="5" s="1"/>
  <c r="O782" i="5"/>
  <c r="O68" i="5"/>
  <c r="O10" i="5"/>
  <c r="O146" i="5"/>
  <c r="O785" i="5"/>
  <c r="O145" i="5"/>
  <c r="O428" i="5"/>
  <c r="O817" i="5"/>
  <c r="O429" i="5"/>
  <c r="O70" i="5"/>
  <c r="O12" i="5"/>
  <c r="O69" i="5"/>
  <c r="O762" i="5"/>
  <c r="O13" i="5"/>
  <c r="O67" i="5"/>
  <c r="O147" i="5"/>
  <c r="O765" i="5"/>
  <c r="O144" i="5"/>
  <c r="U793" i="5"/>
  <c r="U17" i="5"/>
  <c r="U956" i="5" s="1"/>
  <c r="U775" i="5"/>
  <c r="U765" i="5"/>
  <c r="U147" i="5"/>
  <c r="U428" i="5"/>
  <c r="U144" i="5"/>
  <c r="U70" i="5"/>
  <c r="U817" i="5"/>
  <c r="U785" i="5"/>
  <c r="U145" i="5"/>
  <c r="U429" i="5"/>
  <c r="U69" i="5"/>
  <c r="U762" i="5"/>
  <c r="U67" i="5"/>
  <c r="U146" i="5"/>
  <c r="U782" i="5"/>
  <c r="U68" i="5"/>
  <c r="U426" i="5"/>
  <c r="U740" i="5"/>
  <c r="U82" i="5" s="1"/>
  <c r="U427" i="5"/>
  <c r="U772" i="5"/>
  <c r="U13" i="5"/>
  <c r="U12" i="5"/>
  <c r="U10" i="5"/>
  <c r="N772" i="5"/>
  <c r="N68" i="5"/>
  <c r="N10" i="5"/>
  <c r="N16" i="5"/>
  <c r="N817" i="5"/>
  <c r="N69" i="5"/>
  <c r="N428" i="5"/>
  <c r="N67" i="5"/>
  <c r="N13" i="5"/>
  <c r="N782" i="5"/>
  <c r="N429" i="5"/>
  <c r="N17" i="5"/>
  <c r="N956" i="5" s="1"/>
  <c r="N12" i="5"/>
  <c r="N426" i="5"/>
  <c r="N70" i="5"/>
  <c r="N762" i="5"/>
  <c r="N427" i="5"/>
  <c r="N785" i="5"/>
  <c r="N775" i="5"/>
  <c r="P793" i="5"/>
  <c r="P17" i="5"/>
  <c r="P956" i="5" s="1"/>
  <c r="P817" i="5"/>
  <c r="P762" i="5"/>
  <c r="P147" i="5"/>
  <c r="P10" i="5"/>
  <c r="P429" i="5"/>
  <c r="P740" i="5"/>
  <c r="P82" i="5" s="1"/>
  <c r="P772" i="5"/>
  <c r="P69" i="5"/>
  <c r="P68" i="5"/>
  <c r="P13" i="5"/>
  <c r="P775" i="5"/>
  <c r="P67" i="5"/>
  <c r="P144" i="5"/>
  <c r="P12" i="5"/>
  <c r="P785" i="5"/>
  <c r="P70" i="5"/>
  <c r="P427" i="5"/>
  <c r="P428" i="5"/>
  <c r="P782" i="5"/>
  <c r="P426" i="5"/>
  <c r="P765" i="5"/>
  <c r="P146" i="5"/>
  <c r="P145" i="5"/>
  <c r="T793" i="5"/>
  <c r="T17" i="5"/>
  <c r="T956" i="5" s="1"/>
  <c r="T13" i="5"/>
  <c r="T12" i="5"/>
  <c r="T775" i="5"/>
  <c r="T772" i="5"/>
  <c r="T10" i="5"/>
  <c r="T147" i="5"/>
  <c r="T144" i="5"/>
  <c r="T426" i="5"/>
  <c r="T765" i="5"/>
  <c r="T817" i="5"/>
  <c r="T67" i="5"/>
  <c r="T68" i="5"/>
  <c r="T429" i="5"/>
  <c r="T69" i="5"/>
  <c r="T782" i="5"/>
  <c r="T70" i="5"/>
  <c r="T146" i="5"/>
  <c r="T762" i="5"/>
  <c r="T428" i="5"/>
  <c r="T785" i="5"/>
  <c r="T145" i="5"/>
  <c r="T740" i="5"/>
  <c r="T82" i="5" s="1"/>
  <c r="T427" i="5"/>
  <c r="V793" i="5"/>
  <c r="V13" i="5"/>
  <c r="V17" i="5"/>
  <c r="V956" i="5" s="1"/>
  <c r="V12" i="5"/>
  <c r="V772" i="5"/>
  <c r="V817" i="5"/>
  <c r="V429" i="5"/>
  <c r="V68" i="5"/>
  <c r="V765" i="5"/>
  <c r="V740" i="5"/>
  <c r="V82" i="5" s="1"/>
  <c r="V144" i="5"/>
  <c r="V67" i="5"/>
  <c r="V147" i="5"/>
  <c r="V785" i="5"/>
  <c r="V426" i="5"/>
  <c r="V10" i="5"/>
  <c r="V762" i="5"/>
  <c r="V428" i="5"/>
  <c r="V427" i="5"/>
  <c r="V782" i="5"/>
  <c r="V69" i="5"/>
  <c r="V775" i="5"/>
  <c r="V146" i="5"/>
  <c r="V145" i="5"/>
  <c r="V70" i="5"/>
  <c r="X793" i="5"/>
  <c r="X13" i="5"/>
  <c r="X12" i="5"/>
  <c r="X785" i="5"/>
  <c r="X762" i="5"/>
  <c r="X67" i="5"/>
  <c r="X69" i="5"/>
  <c r="X68" i="5"/>
  <c r="X772" i="5"/>
  <c r="X817" i="5"/>
  <c r="X427" i="5"/>
  <c r="X145" i="5"/>
  <c r="X147" i="5"/>
  <c r="X426" i="5"/>
  <c r="X775" i="5"/>
  <c r="X429" i="5"/>
  <c r="X144" i="5"/>
  <c r="X10" i="5"/>
  <c r="X765" i="5"/>
  <c r="X70" i="5"/>
  <c r="X782" i="5"/>
  <c r="X146" i="5"/>
  <c r="X17" i="5"/>
  <c r="X956" i="5" s="1"/>
  <c r="X428" i="5"/>
  <c r="X740" i="5"/>
  <c r="X82" i="5" s="1"/>
  <c r="Z793" i="5"/>
  <c r="Z17" i="5"/>
  <c r="Z956" i="5" s="1"/>
  <c r="Z13" i="5"/>
  <c r="Z775" i="5"/>
  <c r="Z772" i="5"/>
  <c r="Z146" i="5"/>
  <c r="Z70" i="5"/>
  <c r="Z69" i="5"/>
  <c r="Z12" i="5"/>
  <c r="Z785" i="5"/>
  <c r="Z765" i="5"/>
  <c r="Z427" i="5"/>
  <c r="Z429" i="5"/>
  <c r="Z740" i="5"/>
  <c r="Z82" i="5" s="1"/>
  <c r="Z10" i="5"/>
  <c r="Z428" i="5"/>
  <c r="Z782" i="5"/>
  <c r="Z147" i="5"/>
  <c r="Z67" i="5"/>
  <c r="Z762" i="5"/>
  <c r="Z426" i="5"/>
  <c r="Z144" i="5"/>
  <c r="Z817" i="5"/>
  <c r="Z145" i="5"/>
  <c r="Z68" i="5"/>
  <c r="AB793" i="5"/>
  <c r="AB13" i="5"/>
  <c r="AB12" i="5"/>
  <c r="AB17" i="5"/>
  <c r="AB956" i="5" s="1"/>
  <c r="AB817" i="5"/>
  <c r="AB782" i="5"/>
  <c r="AB147" i="5"/>
  <c r="AB70" i="5"/>
  <c r="AB428" i="5"/>
  <c r="AB785" i="5"/>
  <c r="AB740" i="5"/>
  <c r="AB82" i="5" s="1"/>
  <c r="AB146" i="5"/>
  <c r="AB68" i="5"/>
  <c r="AB144" i="5"/>
  <c r="AB775" i="5"/>
  <c r="AB426" i="5"/>
  <c r="AB145" i="5"/>
  <c r="AB69" i="5"/>
  <c r="AB762" i="5"/>
  <c r="AB427" i="5"/>
  <c r="AB67" i="5"/>
  <c r="AB10" i="5"/>
  <c r="AB429" i="5"/>
  <c r="AB772" i="5"/>
  <c r="AB765" i="5"/>
  <c r="AF793" i="5"/>
  <c r="AF782" i="5"/>
  <c r="AF775" i="5"/>
  <c r="AF68" i="5"/>
  <c r="AF762" i="5"/>
  <c r="AF740" i="5"/>
  <c r="AF82" i="5" s="1"/>
  <c r="AF765" i="5"/>
  <c r="AF427" i="5"/>
  <c r="AF147" i="5"/>
  <c r="AF17" i="5"/>
  <c r="AF956" i="5" s="1"/>
  <c r="AF817" i="5"/>
  <c r="AF145" i="5"/>
  <c r="AF428" i="5"/>
  <c r="AF69" i="5"/>
  <c r="AF13" i="5"/>
  <c r="AF785" i="5"/>
  <c r="AF146" i="5"/>
  <c r="AF67" i="5"/>
  <c r="AF144" i="5"/>
  <c r="AF12" i="5"/>
  <c r="AF426" i="5"/>
  <c r="AF70" i="5"/>
  <c r="AF772" i="5"/>
  <c r="AF10" i="5"/>
  <c r="AF429" i="5"/>
  <c r="AH793" i="5"/>
  <c r="AH13" i="5"/>
  <c r="AH12" i="5"/>
  <c r="AH17" i="5"/>
  <c r="AH956" i="5" s="1"/>
  <c r="AH762" i="5"/>
  <c r="AH782" i="5"/>
  <c r="AH426" i="5"/>
  <c r="AH427" i="5"/>
  <c r="AH145" i="5"/>
  <c r="AH775" i="5"/>
  <c r="AH68" i="5"/>
  <c r="AH772" i="5"/>
  <c r="AH429" i="5"/>
  <c r="AH740" i="5"/>
  <c r="AH82" i="5" s="1"/>
  <c r="AH10" i="5"/>
  <c r="AH144" i="5"/>
  <c r="AH785" i="5"/>
  <c r="AH765" i="5"/>
  <c r="AH67" i="5"/>
  <c r="AH817" i="5"/>
  <c r="AH146" i="5"/>
  <c r="AH428" i="5"/>
  <c r="AH69" i="5"/>
  <c r="AH70" i="5"/>
  <c r="AH147" i="5"/>
  <c r="AJ793" i="5"/>
  <c r="AJ13" i="5"/>
  <c r="AJ12" i="5"/>
  <c r="AJ17" i="5"/>
  <c r="AJ956" i="5" s="1"/>
  <c r="AJ775" i="5"/>
  <c r="AJ817" i="5"/>
  <c r="AJ429" i="5"/>
  <c r="AJ67" i="5"/>
  <c r="AJ427" i="5"/>
  <c r="AJ10" i="5"/>
  <c r="AJ765" i="5"/>
  <c r="AJ772" i="5"/>
  <c r="AJ762" i="5"/>
  <c r="AJ144" i="5"/>
  <c r="AJ428" i="5"/>
  <c r="AJ145" i="5"/>
  <c r="AJ785" i="5"/>
  <c r="AJ146" i="5"/>
  <c r="AJ782" i="5"/>
  <c r="AJ69" i="5"/>
  <c r="AJ740" i="5"/>
  <c r="AJ82" i="5" s="1"/>
  <c r="AJ68" i="5"/>
  <c r="AJ147" i="5"/>
  <c r="AJ70" i="5"/>
  <c r="AJ426" i="5"/>
  <c r="AL793" i="5"/>
  <c r="AL13" i="5"/>
  <c r="AL785" i="5"/>
  <c r="AL765" i="5"/>
  <c r="AL429" i="5"/>
  <c r="AL428" i="5"/>
  <c r="AL147" i="5"/>
  <c r="AL68" i="5"/>
  <c r="AL12" i="5"/>
  <c r="AL762" i="5"/>
  <c r="AL817" i="5"/>
  <c r="AL427" i="5"/>
  <c r="AL144" i="5"/>
  <c r="AL10" i="5"/>
  <c r="AL17" i="5"/>
  <c r="AL956" i="5" s="1"/>
  <c r="AL775" i="5"/>
  <c r="AL146" i="5"/>
  <c r="AL782" i="5"/>
  <c r="AL145" i="5"/>
  <c r="AL740" i="5"/>
  <c r="AL82" i="5" s="1"/>
  <c r="AL772" i="5"/>
  <c r="AL69" i="5"/>
  <c r="AL426" i="5"/>
  <c r="AL70" i="5"/>
  <c r="AL67" i="5"/>
  <c r="AN9" i="5"/>
  <c r="AN14" i="5"/>
  <c r="AN15" i="5" s="1"/>
  <c r="AM14" i="5" s="1"/>
  <c r="AM15" i="5" s="1"/>
  <c r="AL14" i="5" s="1"/>
  <c r="AL15" i="5" s="1"/>
  <c r="AK14" i="5" s="1"/>
  <c r="AK15" i="5" s="1"/>
  <c r="AJ14" i="5" s="1"/>
  <c r="AJ15" i="5" s="1"/>
  <c r="AI14" i="5" s="1"/>
  <c r="AI15" i="5" s="1"/>
  <c r="AH14" i="5" s="1"/>
  <c r="AH15" i="5" s="1"/>
  <c r="AG14" i="5" s="1"/>
  <c r="AG15" i="5" s="1"/>
  <c r="AF14" i="5" s="1"/>
  <c r="AF15" i="5" s="1"/>
  <c r="AE14" i="5" s="1"/>
  <c r="AE15" i="5" s="1"/>
  <c r="AD14" i="5" s="1"/>
  <c r="AD15" i="5" s="1"/>
  <c r="AC14" i="5" s="1"/>
  <c r="AC15" i="5" s="1"/>
  <c r="AB14" i="5" s="1"/>
  <c r="AB15" i="5" s="1"/>
  <c r="AA14" i="5" s="1"/>
  <c r="AA15" i="5" s="1"/>
  <c r="Z14" i="5" s="1"/>
  <c r="Z15" i="5" s="1"/>
  <c r="Y14" i="5" s="1"/>
  <c r="Y15" i="5" s="1"/>
  <c r="X14" i="5" s="1"/>
  <c r="X15" i="5" s="1"/>
  <c r="W14" i="5" s="1"/>
  <c r="W15" i="5" s="1"/>
  <c r="V14" i="5" s="1"/>
  <c r="V15" i="5" s="1"/>
  <c r="U14" i="5" s="1"/>
  <c r="U15" i="5" s="1"/>
  <c r="T14" i="5" s="1"/>
  <c r="T15" i="5" s="1"/>
  <c r="S14" i="5" s="1"/>
  <c r="S15" i="5" s="1"/>
  <c r="R14" i="5" s="1"/>
  <c r="R15" i="5" s="1"/>
  <c r="Q14" i="5" s="1"/>
  <c r="Q15" i="5" s="1"/>
  <c r="P14" i="5" s="1"/>
  <c r="P15" i="5" s="1"/>
  <c r="O14" i="5" s="1"/>
  <c r="O15" i="5" s="1"/>
  <c r="N14" i="5" s="1"/>
  <c r="N15" i="5" s="1"/>
  <c r="M14" i="5" s="1"/>
  <c r="M15" i="5" s="1"/>
  <c r="L14" i="5" s="1"/>
  <c r="L15" i="5" s="1"/>
  <c r="L622" i="5" l="1"/>
  <c r="F163" i="5" a="1"/>
  <c r="N187" i="5" s="1"/>
  <c r="L131" i="5"/>
  <c r="L24" i="5" s="1"/>
  <c r="L134" i="5" s="1"/>
  <c r="AL421" i="5"/>
  <c r="AL434" i="5" s="1"/>
  <c r="AL515" i="5" s="1"/>
  <c r="AB421" i="5"/>
  <c r="AB433" i="5" s="1"/>
  <c r="AB495" i="5" s="1"/>
  <c r="AB505" i="5" s="1"/>
  <c r="X421" i="5"/>
  <c r="X433" i="5" s="1"/>
  <c r="X495" i="5" s="1"/>
  <c r="X499" i="5" s="1"/>
  <c r="Y421" i="5"/>
  <c r="Y435" i="5" s="1"/>
  <c r="Y535" i="5" s="1"/>
  <c r="Y552" i="5" s="1"/>
  <c r="AM421" i="5"/>
  <c r="AM435" i="5" s="1"/>
  <c r="AM535" i="5" s="1"/>
  <c r="AM541" i="5" s="1"/>
  <c r="AG421" i="5"/>
  <c r="AG433" i="5" s="1"/>
  <c r="AG495" i="5" s="1"/>
  <c r="AG509" i="5" s="1"/>
  <c r="AA421" i="5"/>
  <c r="AA434" i="5" s="1"/>
  <c r="AA515" i="5" s="1"/>
  <c r="AA521" i="5" s="1"/>
  <c r="S421" i="5"/>
  <c r="S432" i="5" s="1"/>
  <c r="S475" i="5" s="1"/>
  <c r="AJ421" i="5"/>
  <c r="AJ432" i="5" s="1"/>
  <c r="AJ475" i="5" s="1"/>
  <c r="AF421" i="5"/>
  <c r="AF434" i="5" s="1"/>
  <c r="AF515" i="5" s="1"/>
  <c r="AF519" i="5" s="1"/>
  <c r="V421" i="5"/>
  <c r="V435" i="5" s="1"/>
  <c r="V535" i="5" s="1"/>
  <c r="V544" i="5" s="1"/>
  <c r="T421" i="5"/>
  <c r="T432" i="5" s="1"/>
  <c r="T475" i="5" s="1"/>
  <c r="O421" i="5"/>
  <c r="O435" i="5" s="1"/>
  <c r="O535" i="5" s="1"/>
  <c r="O549" i="5" s="1"/>
  <c r="Z421" i="5"/>
  <c r="Z432" i="5" s="1"/>
  <c r="Z475" i="5" s="1"/>
  <c r="P421" i="5"/>
  <c r="P435" i="5" s="1"/>
  <c r="P535" i="5" s="1"/>
  <c r="P545" i="5" s="1"/>
  <c r="AI421" i="5"/>
  <c r="AI432" i="5" s="1"/>
  <c r="AI475" i="5" s="1"/>
  <c r="AE421" i="5"/>
  <c r="AE433" i="5" s="1"/>
  <c r="AE495" i="5" s="1"/>
  <c r="AE504" i="5" s="1"/>
  <c r="AC421" i="5"/>
  <c r="AC433" i="5" s="1"/>
  <c r="AC495" i="5" s="1"/>
  <c r="AC511" i="5" s="1"/>
  <c r="R421" i="5"/>
  <c r="R433" i="5" s="1"/>
  <c r="R495" i="5" s="1"/>
  <c r="R506" i="5" s="1"/>
  <c r="M421" i="5"/>
  <c r="M433" i="5" s="1"/>
  <c r="M495" i="5" s="1"/>
  <c r="M512" i="5" s="1"/>
  <c r="L421" i="5"/>
  <c r="L435" i="5" s="1"/>
  <c r="L535" i="5" s="1"/>
  <c r="L541" i="5" s="1"/>
  <c r="AH421" i="5"/>
  <c r="AH432" i="5" s="1"/>
  <c r="N421" i="5"/>
  <c r="N433" i="5" s="1"/>
  <c r="N495" i="5" s="1"/>
  <c r="N510" i="5" s="1"/>
  <c r="U421" i="5"/>
  <c r="U433" i="5" s="1"/>
  <c r="U495" i="5" s="1"/>
  <c r="U497" i="5" s="1"/>
  <c r="AK421" i="5"/>
  <c r="AK435" i="5" s="1"/>
  <c r="AK535" i="5" s="1"/>
  <c r="AK543" i="5" s="1"/>
  <c r="W421" i="5"/>
  <c r="W434" i="5" s="1"/>
  <c r="W515" i="5" s="1"/>
  <c r="W519" i="5" s="1"/>
  <c r="Q421" i="5"/>
  <c r="Q435" i="5" s="1"/>
  <c r="Q535" i="5" s="1"/>
  <c r="Q544" i="5" s="1"/>
  <c r="AD421" i="5"/>
  <c r="AD433" i="5" s="1"/>
  <c r="AD495" i="5" s="1"/>
  <c r="AD512" i="5" s="1"/>
  <c r="O737" i="5"/>
  <c r="M569" i="5"/>
  <c r="N62" i="5"/>
  <c r="N569" i="5" s="1"/>
  <c r="N595" i="5" s="1"/>
  <c r="L77" i="5"/>
  <c r="L75" i="5"/>
  <c r="M958" i="5"/>
  <c r="N958" i="5" s="1"/>
  <c r="O958" i="5" s="1"/>
  <c r="P958" i="5" s="1"/>
  <c r="Q958" i="5" s="1"/>
  <c r="R958" i="5" s="1"/>
  <c r="S958" i="5" s="1"/>
  <c r="T958" i="5" s="1"/>
  <c r="U958" i="5" s="1"/>
  <c r="V958" i="5" s="1"/>
  <c r="W958" i="5" s="1"/>
  <c r="X958" i="5" s="1"/>
  <c r="Y958" i="5" s="1"/>
  <c r="Z958" i="5" s="1"/>
  <c r="AA958" i="5" s="1"/>
  <c r="AB958" i="5" s="1"/>
  <c r="AC958" i="5" s="1"/>
  <c r="AD958" i="5" s="1"/>
  <c r="AE958" i="5" s="1"/>
  <c r="AF958" i="5" s="1"/>
  <c r="AG958" i="5" s="1"/>
  <c r="AH958" i="5" s="1"/>
  <c r="AI958" i="5" s="1"/>
  <c r="AJ958" i="5" s="1"/>
  <c r="AK958" i="5" s="1"/>
  <c r="AL958" i="5" s="1"/>
  <c r="AM958" i="5" s="1"/>
  <c r="L569" i="5"/>
  <c r="L623" i="5"/>
  <c r="L76" i="5"/>
  <c r="L565" i="5"/>
  <c r="L564" i="5"/>
  <c r="L672" i="5" s="1"/>
  <c r="L563" i="5"/>
  <c r="L671" i="5" s="1"/>
  <c r="L556" i="5"/>
  <c r="L685" i="5" s="1"/>
  <c r="L566" i="5"/>
  <c r="L653" i="5" s="1"/>
  <c r="L559" i="5"/>
  <c r="L640" i="5" s="1"/>
  <c r="L560" i="5"/>
  <c r="L641" i="5" s="1"/>
  <c r="L567" i="5"/>
  <c r="L678" i="5" s="1"/>
  <c r="L571" i="5"/>
  <c r="L555" i="5"/>
  <c r="L645" i="5" s="1"/>
  <c r="L557" i="5"/>
  <c r="L710" i="5" s="1"/>
  <c r="L570" i="5"/>
  <c r="L558" i="5"/>
  <c r="L663" i="5" s="1"/>
  <c r="L562" i="5"/>
  <c r="L646" i="5" s="1"/>
  <c r="L568" i="5"/>
  <c r="L727" i="5" s="1"/>
  <c r="L561" i="5"/>
  <c r="L714" i="5" s="1"/>
  <c r="L609" i="5"/>
  <c r="L610" i="5" s="1"/>
  <c r="L608" i="5" s="1"/>
  <c r="L613" i="5"/>
  <c r="L614" i="5" s="1"/>
  <c r="L612" i="5" s="1"/>
  <c r="L617" i="5"/>
  <c r="L618" i="5" s="1"/>
  <c r="L616" i="5" s="1"/>
  <c r="L774" i="5"/>
  <c r="L775" i="5" s="1"/>
  <c r="L779" i="5" s="1"/>
  <c r="M773" i="5" s="1"/>
  <c r="M774" i="5" s="1"/>
  <c r="L74" i="5"/>
  <c r="L71" i="5"/>
  <c r="L739" i="5"/>
  <c r="L91" i="9" s="1"/>
  <c r="L625" i="5"/>
  <c r="L624" i="5"/>
  <c r="L441" i="5"/>
  <c r="L823" i="5"/>
  <c r="L439" i="5"/>
  <c r="L440" i="5"/>
  <c r="L442" i="5"/>
  <c r="L11" i="5"/>
  <c r="L423" i="5"/>
  <c r="L21" i="5" s="1"/>
  <c r="L122" i="5" s="1"/>
  <c r="L28" i="5"/>
  <c r="L113" i="5" s="1"/>
  <c r="L29" i="5"/>
  <c r="L27" i="5"/>
  <c r="L112" i="5" s="1"/>
  <c r="L764" i="5"/>
  <c r="L742" i="5"/>
  <c r="L784" i="5"/>
  <c r="L785" i="5" s="1"/>
  <c r="L789" i="5" s="1"/>
  <c r="M783" i="5" s="1"/>
  <c r="M784" i="5" s="1"/>
  <c r="T737" i="5"/>
  <c r="P737" i="5"/>
  <c r="AC737" i="5"/>
  <c r="AM737" i="5"/>
  <c r="AE737" i="5"/>
  <c r="AI737" i="5"/>
  <c r="Q737" i="5"/>
  <c r="F163" i="5"/>
  <c r="O559" i="5"/>
  <c r="O712" i="5" s="1"/>
  <c r="O566" i="5"/>
  <c r="O701" i="5" s="1"/>
  <c r="O568" i="5"/>
  <c r="O655" i="5" s="1"/>
  <c r="O565" i="5"/>
  <c r="O652" i="5" s="1"/>
  <c r="O556" i="5"/>
  <c r="O709" i="5" s="1"/>
  <c r="O560" i="5"/>
  <c r="O713" i="5" s="1"/>
  <c r="O570" i="5"/>
  <c r="O562" i="5"/>
  <c r="O670" i="5" s="1"/>
  <c r="O567" i="5"/>
  <c r="O678" i="5" s="1"/>
  <c r="O558" i="5"/>
  <c r="O711" i="5" s="1"/>
  <c r="O564" i="5"/>
  <c r="O648" i="5" s="1"/>
  <c r="O561" i="5"/>
  <c r="O714" i="5" s="1"/>
  <c r="O563" i="5"/>
  <c r="O647" i="5" s="1"/>
  <c r="O557" i="5"/>
  <c r="O571" i="5"/>
  <c r="O601" i="5" s="1"/>
  <c r="O555" i="5"/>
  <c r="O723" i="5" s="1"/>
  <c r="P59" i="5"/>
  <c r="P77" i="5" s="1"/>
  <c r="AF11" i="5"/>
  <c r="AB11" i="5"/>
  <c r="X11" i="5"/>
  <c r="V71" i="5"/>
  <c r="V96" i="5" s="1"/>
  <c r="T11" i="5"/>
  <c r="P11" i="5"/>
  <c r="N624" i="5"/>
  <c r="N442" i="5"/>
  <c r="N440" i="5"/>
  <c r="N823" i="5"/>
  <c r="N825" i="5" s="1"/>
  <c r="N441" i="5"/>
  <c r="N439" i="5"/>
  <c r="O75" i="5"/>
  <c r="AI71" i="5"/>
  <c r="AI96" i="5" s="1"/>
  <c r="AG71" i="5"/>
  <c r="AG97" i="5" s="1"/>
  <c r="W71" i="5"/>
  <c r="W94" i="5" s="1"/>
  <c r="W737" i="5"/>
  <c r="Q11" i="5"/>
  <c r="AD737" i="5"/>
  <c r="R11" i="5"/>
  <c r="R737" i="5"/>
  <c r="S737" i="5"/>
  <c r="M568" i="5"/>
  <c r="M679" i="5" s="1"/>
  <c r="M559" i="5"/>
  <c r="M640" i="5" s="1"/>
  <c r="M563" i="5"/>
  <c r="M671" i="5" s="1"/>
  <c r="M558" i="5"/>
  <c r="M639" i="5" s="1"/>
  <c r="M565" i="5"/>
  <c r="M724" i="5" s="1"/>
  <c r="M555" i="5"/>
  <c r="M669" i="5" s="1"/>
  <c r="M571" i="5"/>
  <c r="M562" i="5"/>
  <c r="M646" i="5" s="1"/>
  <c r="M556" i="5"/>
  <c r="M560" i="5"/>
  <c r="M713" i="5" s="1"/>
  <c r="M561" i="5"/>
  <c r="M690" i="5" s="1"/>
  <c r="M557" i="5"/>
  <c r="M638" i="5" s="1"/>
  <c r="M567" i="5"/>
  <c r="M678" i="5" s="1"/>
  <c r="M570" i="5"/>
  <c r="M564" i="5"/>
  <c r="M672" i="5" s="1"/>
  <c r="M566" i="5"/>
  <c r="M677" i="5" s="1"/>
  <c r="F377" i="5" a="1"/>
  <c r="F377" i="5" s="1"/>
  <c r="AL71" i="5"/>
  <c r="AL95" i="5" s="1"/>
  <c r="AN793" i="5"/>
  <c r="AN17" i="5"/>
  <c r="AN956" i="5" s="1"/>
  <c r="AN775" i="5"/>
  <c r="AN772" i="5"/>
  <c r="AN70" i="5"/>
  <c r="AN144" i="5"/>
  <c r="AN427" i="5"/>
  <c r="AN67" i="5"/>
  <c r="AN147" i="5"/>
  <c r="AN782" i="5"/>
  <c r="AN145" i="5"/>
  <c r="AN765" i="5"/>
  <c r="AN737" i="5" s="1"/>
  <c r="AN68" i="5"/>
  <c r="AN426" i="5"/>
  <c r="AN785" i="5"/>
  <c r="AN429" i="5"/>
  <c r="AN13" i="5"/>
  <c r="AN428" i="5"/>
  <c r="AN817" i="5"/>
  <c r="I817" i="5" s="1"/>
  <c r="AN762" i="5"/>
  <c r="AN69" i="5"/>
  <c r="AN740" i="5"/>
  <c r="AN82" i="5" s="1"/>
  <c r="AN146" i="5"/>
  <c r="AN12" i="5"/>
  <c r="AN10" i="5"/>
  <c r="AN421" i="5" s="1"/>
  <c r="AN433" i="5" s="1"/>
  <c r="AN495" i="5" s="1"/>
  <c r="AJ737" i="5"/>
  <c r="AH71" i="5"/>
  <c r="AH96" i="5" s="1"/>
  <c r="AB737" i="5"/>
  <c r="AB71" i="5"/>
  <c r="AB96" i="5" s="1"/>
  <c r="Z71" i="5"/>
  <c r="Z95" i="5" s="1"/>
  <c r="Z11" i="5"/>
  <c r="P71" i="5"/>
  <c r="P96" i="5" s="1"/>
  <c r="N71" i="5"/>
  <c r="N74" i="5"/>
  <c r="N27" i="5"/>
  <c r="N112" i="5" s="1"/>
  <c r="N29" i="5"/>
  <c r="N114" i="5" s="1"/>
  <c r="N28" i="5"/>
  <c r="N113" i="5" s="1"/>
  <c r="U71" i="5"/>
  <c r="U95" i="5" s="1"/>
  <c r="U737" i="5"/>
  <c r="O58" i="5"/>
  <c r="O624" i="5" s="1"/>
  <c r="O76" i="5"/>
  <c r="AI11" i="5"/>
  <c r="Y11" i="5"/>
  <c r="Y737" i="5"/>
  <c r="AK737" i="5"/>
  <c r="AG11" i="5"/>
  <c r="AE11" i="5"/>
  <c r="AE71" i="5"/>
  <c r="AE95" i="5" s="1"/>
  <c r="W11" i="5"/>
  <c r="R71" i="5"/>
  <c r="R97" i="5" s="1"/>
  <c r="M737" i="5"/>
  <c r="AN60" i="5"/>
  <c r="F337" i="5" a="1"/>
  <c r="F297" i="5" a="1"/>
  <c r="F297" i="5" s="1"/>
  <c r="F255" i="5" a="1"/>
  <c r="F255" i="5" s="1"/>
  <c r="M75" i="5"/>
  <c r="M77" i="5"/>
  <c r="M71" i="5"/>
  <c r="M74" i="5"/>
  <c r="M78" i="5" s="1"/>
  <c r="AL435" i="5"/>
  <c r="AL535" i="5" s="1"/>
  <c r="AL548" i="5" s="1"/>
  <c r="AL11" i="5"/>
  <c r="AH11" i="5"/>
  <c r="AF737" i="5"/>
  <c r="X71" i="5"/>
  <c r="X96" i="5" s="1"/>
  <c r="T71" i="5"/>
  <c r="T96" i="5" s="1"/>
  <c r="N76" i="5"/>
  <c r="N561" i="5"/>
  <c r="N714" i="5" s="1"/>
  <c r="N558" i="5"/>
  <c r="N711" i="5" s="1"/>
  <c r="N567" i="5"/>
  <c r="N678" i="5" s="1"/>
  <c r="N570" i="5"/>
  <c r="N599" i="5" s="1"/>
  <c r="N566" i="5"/>
  <c r="N677" i="5" s="1"/>
  <c r="N571" i="5"/>
  <c r="N565" i="5"/>
  <c r="N724" i="5" s="1"/>
  <c r="N557" i="5"/>
  <c r="N662" i="5" s="1"/>
  <c r="N562" i="5"/>
  <c r="N694" i="5" s="1"/>
  <c r="N568" i="5"/>
  <c r="N655" i="5" s="1"/>
  <c r="N560" i="5"/>
  <c r="N665" i="5" s="1"/>
  <c r="N559" i="5"/>
  <c r="N688" i="5" s="1"/>
  <c r="N556" i="5"/>
  <c r="N661" i="5" s="1"/>
  <c r="N563" i="5"/>
  <c r="N695" i="5" s="1"/>
  <c r="N564" i="5"/>
  <c r="N720" i="5" s="1"/>
  <c r="N555" i="5"/>
  <c r="N675" i="5" s="1"/>
  <c r="N11" i="5"/>
  <c r="N625" i="5"/>
  <c r="N622" i="5"/>
  <c r="U11" i="5"/>
  <c r="O16" i="5"/>
  <c r="O29" i="5" s="1"/>
  <c r="O71" i="5"/>
  <c r="O95" i="5" s="1"/>
  <c r="O11" i="5"/>
  <c r="AM71" i="5"/>
  <c r="AM96" i="5" s="1"/>
  <c r="AK71" i="5"/>
  <c r="AK97" i="5" s="1"/>
  <c r="AK11" i="5"/>
  <c r="AG737" i="5"/>
  <c r="AC71" i="5"/>
  <c r="AC97" i="5" s="1"/>
  <c r="AC11" i="5"/>
  <c r="AA737" i="5"/>
  <c r="AA71" i="5"/>
  <c r="AA96" i="5" s="1"/>
  <c r="Q71" i="5"/>
  <c r="Q96" i="5" s="1"/>
  <c r="S11" i="5"/>
  <c r="M617" i="5"/>
  <c r="M618" i="5" s="1"/>
  <c r="M616" i="5" s="1"/>
  <c r="M609" i="5"/>
  <c r="M610" i="5" s="1"/>
  <c r="M608" i="5" s="1"/>
  <c r="M613" i="5"/>
  <c r="M614" i="5" s="1"/>
  <c r="M612" i="5" s="1"/>
  <c r="M76" i="5"/>
  <c r="M28" i="5"/>
  <c r="M113" i="5" s="1"/>
  <c r="M27" i="5"/>
  <c r="M112" i="5" s="1"/>
  <c r="M29" i="5"/>
  <c r="M295" i="5" s="1"/>
  <c r="AJ71" i="5"/>
  <c r="AJ96" i="5" s="1"/>
  <c r="AJ11" i="5"/>
  <c r="AH737" i="5"/>
  <c r="AL737" i="5"/>
  <c r="AF71" i="5"/>
  <c r="AF97" i="5" s="1"/>
  <c r="Z737" i="5"/>
  <c r="X737" i="5"/>
  <c r="V11" i="5"/>
  <c r="V737" i="5"/>
  <c r="N613" i="5"/>
  <c r="N614" i="5" s="1"/>
  <c r="N612" i="5" s="1"/>
  <c r="N617" i="5"/>
  <c r="N618" i="5" s="1"/>
  <c r="N616" i="5" s="1"/>
  <c r="N609" i="5"/>
  <c r="N610" i="5" s="1"/>
  <c r="N608" i="5" s="1"/>
  <c r="N619" i="5" s="1"/>
  <c r="N77" i="5"/>
  <c r="N75" i="5"/>
  <c r="O61" i="5"/>
  <c r="O613" i="5" s="1"/>
  <c r="O614" i="5" s="1"/>
  <c r="O612" i="5" s="1"/>
  <c r="O77" i="5"/>
  <c r="Y71" i="5"/>
  <c r="Y94" i="5" s="1"/>
  <c r="AM11" i="5"/>
  <c r="AA11" i="5"/>
  <c r="AD71" i="5"/>
  <c r="AD97" i="5" s="1"/>
  <c r="AD11" i="5"/>
  <c r="S71" i="5"/>
  <c r="S96" i="5" s="1"/>
  <c r="M440" i="5"/>
  <c r="M442" i="5"/>
  <c r="M823" i="5"/>
  <c r="M441" i="5"/>
  <c r="M439" i="5"/>
  <c r="F209" i="5" a="1"/>
  <c r="M739" i="5"/>
  <c r="M91" i="9" s="1"/>
  <c r="M622" i="5"/>
  <c r="M11" i="5"/>
  <c r="M625" i="5"/>
  <c r="M624" i="5"/>
  <c r="M623" i="5"/>
  <c r="AB188" i="5" s="1"/>
  <c r="M175" i="5" s="1"/>
  <c r="M181" i="5" s="1"/>
  <c r="L164" i="5" s="1"/>
  <c r="T174" i="5" s="1"/>
  <c r="L26" i="5"/>
  <c r="L375" i="5" s="1"/>
  <c r="L114" i="5"/>
  <c r="L295" i="5"/>
  <c r="M662" i="5"/>
  <c r="N703" i="5"/>
  <c r="O666" i="5"/>
  <c r="O690" i="5"/>
  <c r="O642" i="5"/>
  <c r="N709" i="5"/>
  <c r="N685" i="5"/>
  <c r="N646" i="5"/>
  <c r="N670" i="5"/>
  <c r="M665" i="5"/>
  <c r="M688" i="5"/>
  <c r="O727" i="5"/>
  <c r="L717" i="5"/>
  <c r="L675" i="5"/>
  <c r="L669" i="5"/>
  <c r="L651" i="5"/>
  <c r="L699" i="5"/>
  <c r="L693" i="5"/>
  <c r="N689" i="5"/>
  <c r="N641" i="5"/>
  <c r="N713" i="5"/>
  <c r="O664" i="5"/>
  <c r="M666" i="5"/>
  <c r="M714" i="5"/>
  <c r="N640" i="5"/>
  <c r="N638" i="5"/>
  <c r="M654" i="5"/>
  <c r="M661" i="5"/>
  <c r="M709" i="5"/>
  <c r="M685" i="5"/>
  <c r="M637" i="5"/>
  <c r="M655" i="5"/>
  <c r="O638" i="5"/>
  <c r="O710" i="5"/>
  <c r="O686" i="5"/>
  <c r="O662" i="5"/>
  <c r="O725" i="5"/>
  <c r="L639" i="5"/>
  <c r="L687" i="5"/>
  <c r="L700" i="5"/>
  <c r="L724" i="5"/>
  <c r="L676" i="5"/>
  <c r="L652" i="5"/>
  <c r="Z96" i="5"/>
  <c r="U434" i="5"/>
  <c r="U515" i="5" s="1"/>
  <c r="U531" i="5" s="1"/>
  <c r="AH94" i="5"/>
  <c r="AH97" i="5"/>
  <c r="AD96" i="5"/>
  <c r="L765" i="5"/>
  <c r="L626" i="5"/>
  <c r="L627" i="5" s="1"/>
  <c r="Z435" i="5"/>
  <c r="Z535" i="5" s="1"/>
  <c r="Z538" i="5" s="1"/>
  <c r="AB432" i="5"/>
  <c r="AB475" i="5" s="1"/>
  <c r="Q434" i="5"/>
  <c r="Q515" i="5" s="1"/>
  <c r="Q529" i="5" s="1"/>
  <c r="O434" i="5"/>
  <c r="O515" i="5" s="1"/>
  <c r="O520" i="5" s="1"/>
  <c r="AB435" i="5"/>
  <c r="AB535" i="5" s="1"/>
  <c r="AB549" i="5" s="1"/>
  <c r="N501" i="5"/>
  <c r="N498" i="5"/>
  <c r="N500" i="5"/>
  <c r="N504" i="5"/>
  <c r="N503" i="5"/>
  <c r="N508" i="5"/>
  <c r="N496" i="5"/>
  <c r="N509" i="5"/>
  <c r="N511" i="5"/>
  <c r="N505" i="5"/>
  <c r="Y96" i="5"/>
  <c r="AL432" i="5"/>
  <c r="U432" i="5"/>
  <c r="Q550" i="5"/>
  <c r="Q537" i="5"/>
  <c r="Q540" i="5"/>
  <c r="Q541" i="5"/>
  <c r="Q545" i="5"/>
  <c r="T94" i="5"/>
  <c r="V432" i="5"/>
  <c r="AB509" i="5"/>
  <c r="AB500" i="5"/>
  <c r="AB504" i="5"/>
  <c r="AB510" i="5"/>
  <c r="AB512" i="5"/>
  <c r="AB501" i="5"/>
  <c r="AF95" i="5"/>
  <c r="O171" i="5"/>
  <c r="S171" i="5"/>
  <c r="L171" i="5"/>
  <c r="N171" i="5"/>
  <c r="Q171" i="5"/>
  <c r="U187" i="5"/>
  <c r="X187" i="5"/>
  <c r="Q187" i="5"/>
  <c r="T187" i="5"/>
  <c r="P187" i="5"/>
  <c r="Y187" i="5"/>
  <c r="L187" i="5"/>
  <c r="Z187" i="5"/>
  <c r="M187" i="5"/>
  <c r="AC187" i="5"/>
  <c r="R187" i="5"/>
  <c r="R172" i="5"/>
  <c r="N172" i="5"/>
  <c r="L172" i="5"/>
  <c r="O172" i="5"/>
  <c r="T172" i="5"/>
  <c r="P172" i="5"/>
  <c r="M172" i="5"/>
  <c r="P177" i="5"/>
  <c r="Y177" i="5"/>
  <c r="S177" i="5"/>
  <c r="Q177" i="5"/>
  <c r="L177" i="5"/>
  <c r="U177" i="5"/>
  <c r="V177" i="5"/>
  <c r="W177" i="5"/>
  <c r="N177" i="5"/>
  <c r="N166" i="5"/>
  <c r="M182" i="5"/>
  <c r="V182" i="5"/>
  <c r="Q182" i="5"/>
  <c r="O182" i="5"/>
  <c r="S182" i="5"/>
  <c r="L182" i="5"/>
  <c r="Y182" i="5"/>
  <c r="W182" i="5"/>
  <c r="X182" i="5"/>
  <c r="N182" i="5"/>
  <c r="AA182" i="5"/>
  <c r="AC182" i="5"/>
  <c r="T182" i="5"/>
  <c r="F209" i="5"/>
  <c r="Y95" i="5"/>
  <c r="AH475" i="5"/>
  <c r="F337" i="5"/>
  <c r="V433" i="5"/>
  <c r="V495" i="5" s="1"/>
  <c r="X504" i="5"/>
  <c r="X501" i="5"/>
  <c r="X503" i="5"/>
  <c r="P191" i="5"/>
  <c r="W191" i="5"/>
  <c r="X191" i="5"/>
  <c r="O191" i="5"/>
  <c r="AC191" i="5"/>
  <c r="N191" i="5"/>
  <c r="R191" i="5"/>
  <c r="AB191" i="5"/>
  <c r="Q191" i="5"/>
  <c r="S191" i="5"/>
  <c r="T191" i="5"/>
  <c r="Y191" i="5"/>
  <c r="Z191" i="5"/>
  <c r="U176" i="5"/>
  <c r="W176" i="5"/>
  <c r="M176" i="5"/>
  <c r="P176" i="5"/>
  <c r="V176" i="5"/>
  <c r="S176" i="5"/>
  <c r="O176" i="5"/>
  <c r="X176" i="5"/>
  <c r="L176" i="5"/>
  <c r="M165" i="5"/>
  <c r="O170" i="5"/>
  <c r="M170" i="5"/>
  <c r="P170" i="5"/>
  <c r="Q170" i="5"/>
  <c r="N170" i="5"/>
  <c r="L170" i="5"/>
  <c r="O186" i="5"/>
  <c r="AA186" i="5"/>
  <c r="L186" i="5"/>
  <c r="V186" i="5"/>
  <c r="AC186" i="5"/>
  <c r="N186" i="5"/>
  <c r="M186" i="5"/>
  <c r="W186" i="5"/>
  <c r="Z186" i="5"/>
  <c r="Y186" i="5"/>
  <c r="AD95" i="5"/>
  <c r="V537" i="5"/>
  <c r="V540" i="5"/>
  <c r="V552" i="5"/>
  <c r="V545" i="5"/>
  <c r="V550" i="5"/>
  <c r="V539" i="5"/>
  <c r="V538" i="5"/>
  <c r="V541" i="5"/>
  <c r="V551" i="5"/>
  <c r="V549" i="5"/>
  <c r="O539" i="5"/>
  <c r="O538" i="5"/>
  <c r="O552" i="5"/>
  <c r="O545" i="5"/>
  <c r="O537" i="5"/>
  <c r="O541" i="5"/>
  <c r="O548" i="5"/>
  <c r="O551" i="5"/>
  <c r="O546" i="5"/>
  <c r="O550" i="5"/>
  <c r="O543" i="5"/>
  <c r="U501" i="5"/>
  <c r="U511" i="5"/>
  <c r="U512" i="5"/>
  <c r="U498" i="5"/>
  <c r="W525" i="5"/>
  <c r="W528" i="5"/>
  <c r="W517" i="5"/>
  <c r="W521" i="5"/>
  <c r="W518" i="5"/>
  <c r="W523" i="5"/>
  <c r="W526" i="5"/>
  <c r="AM94" i="5"/>
  <c r="O440" i="5"/>
  <c r="N432" i="5"/>
  <c r="X94" i="5"/>
  <c r="AB97" i="5"/>
  <c r="P179" i="5"/>
  <c r="X179" i="5"/>
  <c r="Q179" i="5"/>
  <c r="T179" i="5"/>
  <c r="Y179" i="5"/>
  <c r="R179" i="5"/>
  <c r="V179" i="5"/>
  <c r="M179" i="5"/>
  <c r="Z179" i="5"/>
  <c r="N179" i="5"/>
  <c r="O179" i="5"/>
  <c r="U179" i="5"/>
  <c r="P180" i="5"/>
  <c r="Q180" i="5"/>
  <c r="M180" i="5"/>
  <c r="X180" i="5"/>
  <c r="W180" i="5"/>
  <c r="S180" i="5"/>
  <c r="O180" i="5"/>
  <c r="U180" i="5"/>
  <c r="AA180" i="5"/>
  <c r="L180" i="5"/>
  <c r="V180" i="5"/>
  <c r="T180" i="5"/>
  <c r="O169" i="5"/>
  <c r="L169" i="5"/>
  <c r="M169" i="5"/>
  <c r="AB185" i="5"/>
  <c r="W185" i="5"/>
  <c r="Z185" i="5"/>
  <c r="N185" i="5"/>
  <c r="R185" i="5"/>
  <c r="Y185" i="5"/>
  <c r="S185" i="5"/>
  <c r="M185" i="5"/>
  <c r="AA185" i="5"/>
  <c r="U185" i="5"/>
  <c r="Q185" i="5"/>
  <c r="V185" i="5"/>
  <c r="X185" i="5"/>
  <c r="L190" i="5"/>
  <c r="X190" i="5"/>
  <c r="W190" i="5"/>
  <c r="AA190" i="5"/>
  <c r="S190" i="5"/>
  <c r="O190" i="5"/>
  <c r="P190" i="5"/>
  <c r="N190" i="5"/>
  <c r="Z190" i="5"/>
  <c r="AB190" i="5"/>
  <c r="T190" i="5"/>
  <c r="U190" i="5"/>
  <c r="AK551" i="5"/>
  <c r="AK548" i="5"/>
  <c r="AK538" i="5"/>
  <c r="AK541" i="5"/>
  <c r="AK540" i="5"/>
  <c r="AK544" i="5"/>
  <c r="AK537" i="5"/>
  <c r="AK552" i="5"/>
  <c r="AK432" i="5"/>
  <c r="O27" i="5"/>
  <c r="O28" i="5"/>
  <c r="P16" i="5"/>
  <c r="AM95" i="5"/>
  <c r="P536" i="5"/>
  <c r="P543" i="5"/>
  <c r="AB95" i="5"/>
  <c r="AF523" i="5"/>
  <c r="AF521" i="5"/>
  <c r="L167" i="5"/>
  <c r="M167" i="5"/>
  <c r="O167" i="5"/>
  <c r="AC183" i="5"/>
  <c r="L183" i="5"/>
  <c r="AB183" i="5"/>
  <c r="X183" i="5"/>
  <c r="S183" i="5"/>
  <c r="Z183" i="5"/>
  <c r="R183" i="5"/>
  <c r="Y183" i="5"/>
  <c r="V183" i="5"/>
  <c r="AA183" i="5"/>
  <c r="N183" i="5"/>
  <c r="M168" i="5"/>
  <c r="P168" i="5"/>
  <c r="N168" i="5"/>
  <c r="O168" i="5"/>
  <c r="L168" i="5"/>
  <c r="Q184" i="5"/>
  <c r="Z184" i="5"/>
  <c r="P184" i="5"/>
  <c r="Y184" i="5"/>
  <c r="U184" i="5"/>
  <c r="R184" i="5"/>
  <c r="S184" i="5"/>
  <c r="O184" i="5"/>
  <c r="V184" i="5"/>
  <c r="AB184" i="5"/>
  <c r="U173" i="5"/>
  <c r="N173" i="5"/>
  <c r="R173" i="5"/>
  <c r="P173" i="5"/>
  <c r="Q173" i="5"/>
  <c r="O173" i="5"/>
  <c r="L173" i="5"/>
  <c r="S173" i="5"/>
  <c r="L189" i="5"/>
  <c r="M189" i="5"/>
  <c r="O189" i="5"/>
  <c r="X189" i="5"/>
  <c r="P189" i="5"/>
  <c r="AA189" i="5"/>
  <c r="R189" i="5"/>
  <c r="Y189" i="5"/>
  <c r="N189" i="5"/>
  <c r="W189" i="5"/>
  <c r="U189" i="5"/>
  <c r="S189" i="5"/>
  <c r="Z178" i="5"/>
  <c r="Q178" i="5"/>
  <c r="T178" i="5"/>
  <c r="O178" i="5"/>
  <c r="N178" i="5"/>
  <c r="M178" i="5"/>
  <c r="L178" i="5"/>
  <c r="S178" i="5"/>
  <c r="W178" i="5"/>
  <c r="Y178" i="5"/>
  <c r="N637" i="5" l="1"/>
  <c r="X498" i="5"/>
  <c r="P551" i="5"/>
  <c r="Z433" i="5"/>
  <c r="Z495" i="5" s="1"/>
  <c r="W520" i="5"/>
  <c r="AB496" i="5"/>
  <c r="Z94" i="5"/>
  <c r="N664" i="5"/>
  <c r="O700" i="5"/>
  <c r="P541" i="5"/>
  <c r="W530" i="5"/>
  <c r="AB508" i="5"/>
  <c r="AD94" i="5"/>
  <c r="O703" i="5"/>
  <c r="P552" i="5"/>
  <c r="AD434" i="5"/>
  <c r="AD515" i="5" s="1"/>
  <c r="AK94" i="5"/>
  <c r="AB503" i="5"/>
  <c r="W433" i="5"/>
  <c r="W495" i="5" s="1"/>
  <c r="W501" i="5" s="1"/>
  <c r="O679" i="5"/>
  <c r="P550" i="5"/>
  <c r="P540" i="5"/>
  <c r="AB499" i="5"/>
  <c r="X435" i="5"/>
  <c r="X535" i="5" s="1"/>
  <c r="X536" i="5" s="1"/>
  <c r="AD510" i="5"/>
  <c r="AD432" i="5"/>
  <c r="AD499" i="5"/>
  <c r="AD509" i="5"/>
  <c r="AD504" i="5"/>
  <c r="L661" i="5"/>
  <c r="P565" i="5"/>
  <c r="P652" i="5" s="1"/>
  <c r="L637" i="5"/>
  <c r="P558" i="5"/>
  <c r="P687" i="5" s="1"/>
  <c r="M80" i="5"/>
  <c r="AG505" i="5"/>
  <c r="P544" i="5"/>
  <c r="AE511" i="5"/>
  <c r="AG500" i="5"/>
  <c r="M702" i="5"/>
  <c r="O675" i="5"/>
  <c r="Q432" i="5"/>
  <c r="X506" i="5"/>
  <c r="AG511" i="5"/>
  <c r="M726" i="5"/>
  <c r="L648" i="5"/>
  <c r="O645" i="5"/>
  <c r="X508" i="5"/>
  <c r="L688" i="5"/>
  <c r="O651" i="5"/>
  <c r="AK95" i="5"/>
  <c r="X505" i="5"/>
  <c r="O669" i="5"/>
  <c r="AE432" i="5"/>
  <c r="AE475" i="5" s="1"/>
  <c r="X511" i="5"/>
  <c r="Q552" i="5"/>
  <c r="O717" i="5"/>
  <c r="M789" i="5"/>
  <c r="N783" i="5" s="1"/>
  <c r="N788" i="5" s="1"/>
  <c r="N789" i="5" s="1"/>
  <c r="I785" i="5"/>
  <c r="X512" i="5"/>
  <c r="M114" i="5"/>
  <c r="M115" i="5" s="1"/>
  <c r="Q539" i="5"/>
  <c r="P434" i="5"/>
  <c r="P515" i="5" s="1"/>
  <c r="P518" i="5" s="1"/>
  <c r="O693" i="5"/>
  <c r="P538" i="5"/>
  <c r="AK550" i="5"/>
  <c r="W532" i="5"/>
  <c r="W529" i="5"/>
  <c r="O544" i="5"/>
  <c r="X500" i="5"/>
  <c r="AK433" i="5"/>
  <c r="AK495" i="5" s="1"/>
  <c r="AK508" i="5" s="1"/>
  <c r="AB511" i="5"/>
  <c r="Q543" i="5"/>
  <c r="Q549" i="5"/>
  <c r="W435" i="5"/>
  <c r="W535" i="5" s="1"/>
  <c r="W551" i="5" s="1"/>
  <c r="P432" i="5"/>
  <c r="P475" i="5" s="1"/>
  <c r="P483" i="5" s="1"/>
  <c r="Z97" i="5"/>
  <c r="L711" i="5"/>
  <c r="M703" i="5"/>
  <c r="O676" i="5"/>
  <c r="O699" i="5"/>
  <c r="Q546" i="5"/>
  <c r="P548" i="5"/>
  <c r="W516" i="5"/>
  <c r="X510" i="5"/>
  <c r="AB497" i="5"/>
  <c r="Q433" i="5"/>
  <c r="Q495" i="5" s="1"/>
  <c r="Q499" i="5" s="1"/>
  <c r="M727" i="5"/>
  <c r="L670" i="5"/>
  <c r="O724" i="5"/>
  <c r="Z434" i="5"/>
  <c r="Z515" i="5" s="1"/>
  <c r="Z524" i="5" s="1"/>
  <c r="P549" i="5"/>
  <c r="AK545" i="5"/>
  <c r="AK536" i="5"/>
  <c r="T95" i="5"/>
  <c r="W524" i="5"/>
  <c r="O540" i="5"/>
  <c r="X509" i="5"/>
  <c r="AL433" i="5"/>
  <c r="AL495" i="5" s="1"/>
  <c r="AB506" i="5"/>
  <c r="Q536" i="5"/>
  <c r="O433" i="5"/>
  <c r="O495" i="5" s="1"/>
  <c r="O505" i="5" s="1"/>
  <c r="AG434" i="5"/>
  <c r="AG515" i="5" s="1"/>
  <c r="AG521" i="5" s="1"/>
  <c r="AE434" i="5"/>
  <c r="AE515" i="5" s="1"/>
  <c r="AE529" i="5" s="1"/>
  <c r="O432" i="5"/>
  <c r="O475" i="5" s="1"/>
  <c r="O479" i="5" s="1"/>
  <c r="O653" i="5"/>
  <c r="N712" i="5"/>
  <c r="L696" i="5"/>
  <c r="L718" i="5"/>
  <c r="N666" i="5"/>
  <c r="M686" i="5"/>
  <c r="M619" i="5"/>
  <c r="T97" i="5"/>
  <c r="P539" i="5"/>
  <c r="AK549" i="5"/>
  <c r="AK539" i="5"/>
  <c r="P433" i="5"/>
  <c r="P495" i="5" s="1"/>
  <c r="P498" i="5" s="1"/>
  <c r="W531" i="5"/>
  <c r="O536" i="5"/>
  <c r="X496" i="5"/>
  <c r="AB498" i="5"/>
  <c r="Q548" i="5"/>
  <c r="AM97" i="5"/>
  <c r="AM98" i="5" s="1"/>
  <c r="W432" i="5"/>
  <c r="W475" i="5" s="1"/>
  <c r="W478" i="5" s="1"/>
  <c r="AE435" i="5"/>
  <c r="AE535" i="5" s="1"/>
  <c r="AE548" i="5" s="1"/>
  <c r="O677" i="5"/>
  <c r="M642" i="5"/>
  <c r="L720" i="5"/>
  <c r="L694" i="5"/>
  <c r="N690" i="5"/>
  <c r="M710" i="5"/>
  <c r="P537" i="5"/>
  <c r="X497" i="5"/>
  <c r="Q538" i="5"/>
  <c r="N642" i="5"/>
  <c r="Q551" i="5"/>
  <c r="X434" i="5"/>
  <c r="X515" i="5" s="1"/>
  <c r="X531" i="5" s="1"/>
  <c r="P546" i="5"/>
  <c r="AK546" i="5"/>
  <c r="AB94" i="5"/>
  <c r="AB98" i="5" s="1"/>
  <c r="AK96" i="5"/>
  <c r="AK98" i="5" s="1"/>
  <c r="X432" i="5"/>
  <c r="X475" i="5" s="1"/>
  <c r="X480" i="5" s="1"/>
  <c r="AK434" i="5"/>
  <c r="AK515" i="5" s="1"/>
  <c r="AK520" i="5" s="1"/>
  <c r="AB434" i="5"/>
  <c r="AB515" i="5" s="1"/>
  <c r="AB520" i="5" s="1"/>
  <c r="AG506" i="5"/>
  <c r="N693" i="5"/>
  <c r="AM432" i="5"/>
  <c r="AM544" i="5"/>
  <c r="AE510" i="5"/>
  <c r="O639" i="5"/>
  <c r="M719" i="5"/>
  <c r="AM551" i="5"/>
  <c r="AI434" i="5"/>
  <c r="AI515" i="5" s="1"/>
  <c r="AI532" i="5" s="1"/>
  <c r="AE501" i="5"/>
  <c r="N723" i="5"/>
  <c r="R509" i="5"/>
  <c r="AC509" i="5"/>
  <c r="L666" i="5"/>
  <c r="Y551" i="5"/>
  <c r="AM433" i="5"/>
  <c r="AM495" i="5" s="1"/>
  <c r="AM509" i="5" s="1"/>
  <c r="Y539" i="5"/>
  <c r="AA518" i="5"/>
  <c r="N639" i="5"/>
  <c r="L664" i="5"/>
  <c r="R498" i="5"/>
  <c r="AM537" i="5"/>
  <c r="P559" i="5"/>
  <c r="P640" i="5" s="1"/>
  <c r="AI94" i="5"/>
  <c r="AE497" i="5"/>
  <c r="Y545" i="5"/>
  <c r="AA528" i="5"/>
  <c r="M500" i="5"/>
  <c r="M664" i="5"/>
  <c r="AG510" i="5"/>
  <c r="AA519" i="5"/>
  <c r="AM536" i="5"/>
  <c r="P567" i="5"/>
  <c r="P678" i="5" s="1"/>
  <c r="AE499" i="5"/>
  <c r="Y538" i="5"/>
  <c r="AL546" i="5"/>
  <c r="S94" i="5"/>
  <c r="M511" i="5"/>
  <c r="AI435" i="5"/>
  <c r="AI535" i="5" s="1"/>
  <c r="AI548" i="5" s="1"/>
  <c r="M696" i="5"/>
  <c r="M712" i="5"/>
  <c r="N702" i="5"/>
  <c r="M701" i="5"/>
  <c r="AM539" i="5"/>
  <c r="P570" i="5"/>
  <c r="P598" i="5" s="1"/>
  <c r="AE512" i="5"/>
  <c r="Y543" i="5"/>
  <c r="S95" i="5"/>
  <c r="M648" i="5"/>
  <c r="L665" i="5"/>
  <c r="N654" i="5"/>
  <c r="R503" i="5"/>
  <c r="M599" i="5"/>
  <c r="AM546" i="5"/>
  <c r="P562" i="5"/>
  <c r="P670" i="5" s="1"/>
  <c r="AE498" i="5"/>
  <c r="Y544" i="5"/>
  <c r="AC506" i="5"/>
  <c r="AI433" i="5"/>
  <c r="AI495" i="5" s="1"/>
  <c r="AI497" i="5" s="1"/>
  <c r="M652" i="5"/>
  <c r="M720" i="5"/>
  <c r="L689" i="5"/>
  <c r="N726" i="5"/>
  <c r="AA529" i="5"/>
  <c r="AM548" i="5"/>
  <c r="AE506" i="5"/>
  <c r="AM550" i="5"/>
  <c r="P556" i="5"/>
  <c r="P685" i="5" s="1"/>
  <c r="AE500" i="5"/>
  <c r="AC501" i="5"/>
  <c r="O689" i="5"/>
  <c r="M700" i="5"/>
  <c r="R505" i="5"/>
  <c r="AA517" i="5"/>
  <c r="AJ97" i="5"/>
  <c r="AM538" i="5"/>
  <c r="P561" i="5"/>
  <c r="P666" i="5" s="1"/>
  <c r="AE496" i="5"/>
  <c r="AC504" i="5"/>
  <c r="O641" i="5"/>
  <c r="N663" i="5"/>
  <c r="N672" i="5"/>
  <c r="N115" i="5"/>
  <c r="U505" i="5"/>
  <c r="M509" i="5"/>
  <c r="T433" i="5"/>
  <c r="T495" i="5" s="1"/>
  <c r="T501" i="5" s="1"/>
  <c r="N717" i="5"/>
  <c r="O640" i="5"/>
  <c r="L686" i="5"/>
  <c r="L726" i="5"/>
  <c r="X95" i="5"/>
  <c r="O688" i="5"/>
  <c r="L662" i="5"/>
  <c r="L25" i="5"/>
  <c r="L135" i="5" s="1"/>
  <c r="N78" i="5"/>
  <c r="L619" i="5"/>
  <c r="L16" i="9" s="1"/>
  <c r="P58" i="5"/>
  <c r="P624" i="5" s="1"/>
  <c r="M423" i="5"/>
  <c r="M23" i="5" s="1"/>
  <c r="AC498" i="5"/>
  <c r="T435" i="5"/>
  <c r="T535" i="5" s="1"/>
  <c r="T549" i="5" s="1"/>
  <c r="O74" i="5"/>
  <c r="O78" i="5" s="1"/>
  <c r="W97" i="5"/>
  <c r="AM543" i="5"/>
  <c r="T434" i="5"/>
  <c r="T515" i="5" s="1"/>
  <c r="T523" i="5" s="1"/>
  <c r="L642" i="5"/>
  <c r="AN71" i="5"/>
  <c r="AN95" i="5" s="1"/>
  <c r="X178" i="5"/>
  <c r="AC189" i="5"/>
  <c r="Z189" i="5"/>
  <c r="N184" i="5"/>
  <c r="M184" i="5"/>
  <c r="U183" i="5"/>
  <c r="M183" i="5"/>
  <c r="R508" i="5"/>
  <c r="Y97" i="5"/>
  <c r="Y98" i="5" s="1"/>
  <c r="AM545" i="5"/>
  <c r="AC190" i="5"/>
  <c r="Q190" i="5"/>
  <c r="L185" i="5"/>
  <c r="P169" i="5"/>
  <c r="Z180" i="5"/>
  <c r="S179" i="5"/>
  <c r="Q59" i="5"/>
  <c r="Q566" i="5" s="1"/>
  <c r="AF94" i="5"/>
  <c r="O823" i="5"/>
  <c r="O825" i="5" s="1"/>
  <c r="N435" i="5"/>
  <c r="N535" i="5" s="1"/>
  <c r="N539" i="5" s="1"/>
  <c r="U503" i="5"/>
  <c r="V546" i="5"/>
  <c r="V548" i="5"/>
  <c r="X186" i="5"/>
  <c r="T186" i="5"/>
  <c r="R170" i="5"/>
  <c r="N176" i="5"/>
  <c r="L191" i="5"/>
  <c r="AE508" i="5"/>
  <c r="R182" i="5"/>
  <c r="L166" i="5"/>
  <c r="X177" i="5"/>
  <c r="S172" i="5"/>
  <c r="AB187" i="5"/>
  <c r="R171" i="5"/>
  <c r="Y540" i="5"/>
  <c r="AL544" i="5"/>
  <c r="AC497" i="5"/>
  <c r="N512" i="5"/>
  <c r="S97" i="5"/>
  <c r="AG96" i="5"/>
  <c r="O625" i="5"/>
  <c r="AH95" i="5"/>
  <c r="AH98" i="5" s="1"/>
  <c r="M695" i="5"/>
  <c r="N687" i="5"/>
  <c r="O719" i="5"/>
  <c r="L723" i="5"/>
  <c r="M689" i="5"/>
  <c r="N718" i="5"/>
  <c r="L690" i="5"/>
  <c r="N696" i="5"/>
  <c r="U496" i="5"/>
  <c r="M435" i="5"/>
  <c r="M535" i="5" s="1"/>
  <c r="M544" i="5" s="1"/>
  <c r="M505" i="5"/>
  <c r="O695" i="5"/>
  <c r="L702" i="5"/>
  <c r="M446" i="5"/>
  <c r="M131" i="5"/>
  <c r="O439" i="5"/>
  <c r="O445" i="5" s="1"/>
  <c r="U500" i="5"/>
  <c r="M434" i="5"/>
  <c r="M515" i="5" s="1"/>
  <c r="M525" i="5" s="1"/>
  <c r="AE503" i="5"/>
  <c r="M647" i="5"/>
  <c r="O671" i="5"/>
  <c r="L638" i="5"/>
  <c r="N648" i="5"/>
  <c r="V178" i="5"/>
  <c r="AB189" i="5"/>
  <c r="V189" i="5"/>
  <c r="W184" i="5"/>
  <c r="T184" i="5"/>
  <c r="T183" i="5"/>
  <c r="P183" i="5"/>
  <c r="R512" i="5"/>
  <c r="AM540" i="5"/>
  <c r="M190" i="5"/>
  <c r="Y190" i="5"/>
  <c r="O185" i="5"/>
  <c r="N169" i="5"/>
  <c r="R180" i="5"/>
  <c r="L179" i="5"/>
  <c r="P571" i="5"/>
  <c r="P601" i="5" s="1"/>
  <c r="O442" i="5"/>
  <c r="O448" i="5" s="1"/>
  <c r="U509" i="5"/>
  <c r="U508" i="5"/>
  <c r="V543" i="5"/>
  <c r="AD505" i="5"/>
  <c r="S186" i="5"/>
  <c r="U186" i="5"/>
  <c r="O181" i="5"/>
  <c r="R176" i="5"/>
  <c r="V191" i="5"/>
  <c r="AE505" i="5"/>
  <c r="AB182" i="5"/>
  <c r="M166" i="5"/>
  <c r="M177" i="5"/>
  <c r="W187" i="5"/>
  <c r="O187" i="5"/>
  <c r="M171" i="5"/>
  <c r="AL543" i="5"/>
  <c r="AD435" i="5"/>
  <c r="AD535" i="5" s="1"/>
  <c r="AD550" i="5" s="1"/>
  <c r="N506" i="5"/>
  <c r="O97" i="5"/>
  <c r="P76" i="5"/>
  <c r="O96" i="5"/>
  <c r="L433" i="5"/>
  <c r="L495" i="5" s="1"/>
  <c r="L508" i="5" s="1"/>
  <c r="O665" i="5"/>
  <c r="L709" i="5"/>
  <c r="M663" i="5"/>
  <c r="M641" i="5"/>
  <c r="N679" i="5"/>
  <c r="O113" i="5"/>
  <c r="M432" i="5"/>
  <c r="M598" i="5" s="1"/>
  <c r="O94" i="5"/>
  <c r="S435" i="5"/>
  <c r="S535" i="5" s="1"/>
  <c r="S543" i="5" s="1"/>
  <c r="M595" i="5"/>
  <c r="O112" i="5"/>
  <c r="U506" i="5"/>
  <c r="AI95" i="5"/>
  <c r="M510" i="5"/>
  <c r="AF96" i="5"/>
  <c r="AC499" i="5"/>
  <c r="V97" i="5"/>
  <c r="O622" i="5"/>
  <c r="M626" i="5"/>
  <c r="M627" i="5" s="1"/>
  <c r="R178" i="5"/>
  <c r="T189" i="5"/>
  <c r="M173" i="5"/>
  <c r="AA184" i="5"/>
  <c r="AC184" i="5"/>
  <c r="W183" i="5"/>
  <c r="O183" i="5"/>
  <c r="X97" i="5"/>
  <c r="R497" i="5"/>
  <c r="AM552" i="5"/>
  <c r="R190" i="5"/>
  <c r="L174" i="5"/>
  <c r="T185" i="5"/>
  <c r="Q169" i="5"/>
  <c r="AB180" i="5"/>
  <c r="W179" i="5"/>
  <c r="P564" i="5"/>
  <c r="P696" i="5" s="1"/>
  <c r="O441" i="5"/>
  <c r="O447" i="5" s="1"/>
  <c r="U510" i="5"/>
  <c r="U504" i="5"/>
  <c r="V536" i="5"/>
  <c r="AD508" i="5"/>
  <c r="R186" i="5"/>
  <c r="P186" i="5"/>
  <c r="L165" i="5"/>
  <c r="Q176" i="5"/>
  <c r="M191" i="5"/>
  <c r="AE509" i="5"/>
  <c r="N434" i="5"/>
  <c r="N515" i="5" s="1"/>
  <c r="N523" i="5" s="1"/>
  <c r="U182" i="5"/>
  <c r="T177" i="5"/>
  <c r="O177" i="5"/>
  <c r="S187" i="5"/>
  <c r="V187" i="5"/>
  <c r="P171" i="5"/>
  <c r="V434" i="5"/>
  <c r="V515" i="5" s="1"/>
  <c r="V524" i="5" s="1"/>
  <c r="AL551" i="5"/>
  <c r="O617" i="5"/>
  <c r="O618" i="5" s="1"/>
  <c r="O616" i="5" s="1"/>
  <c r="N497" i="5"/>
  <c r="AL94" i="5"/>
  <c r="N446" i="5"/>
  <c r="M711" i="5"/>
  <c r="L712" i="5"/>
  <c r="L744" i="5"/>
  <c r="L66" i="9" s="1"/>
  <c r="U499" i="5"/>
  <c r="AG499" i="5"/>
  <c r="AC95" i="5"/>
  <c r="L434" i="5"/>
  <c r="L515" i="5" s="1"/>
  <c r="L519" i="5" s="1"/>
  <c r="M653" i="5"/>
  <c r="N727" i="5"/>
  <c r="U178" i="5"/>
  <c r="P178" i="5"/>
  <c r="Q189" i="5"/>
  <c r="T173" i="5"/>
  <c r="X184" i="5"/>
  <c r="L184" i="5"/>
  <c r="Q183" i="5"/>
  <c r="N167" i="5"/>
  <c r="P95" i="5"/>
  <c r="AM549" i="5"/>
  <c r="V190" i="5"/>
  <c r="P185" i="5"/>
  <c r="AC185" i="5"/>
  <c r="Y180" i="5"/>
  <c r="N180" i="5"/>
  <c r="AA179" i="5"/>
  <c r="P555" i="5"/>
  <c r="P717" i="5" s="1"/>
  <c r="AD501" i="5"/>
  <c r="Q186" i="5"/>
  <c r="AB186" i="5"/>
  <c r="T176" i="5"/>
  <c r="U191" i="5"/>
  <c r="AA191" i="5"/>
  <c r="U435" i="5"/>
  <c r="U535" i="5" s="1"/>
  <c r="U549" i="5" s="1"/>
  <c r="Z182" i="5"/>
  <c r="P182" i="5"/>
  <c r="R177" i="5"/>
  <c r="Q172" i="5"/>
  <c r="AA187" i="5"/>
  <c r="Y536" i="5"/>
  <c r="AG504" i="5"/>
  <c r="AM434" i="5"/>
  <c r="AM515" i="5" s="1"/>
  <c r="AM524" i="5" s="1"/>
  <c r="AA523" i="5"/>
  <c r="N499" i="5"/>
  <c r="M503" i="5"/>
  <c r="P75" i="5"/>
  <c r="Y433" i="5"/>
  <c r="Y495" i="5" s="1"/>
  <c r="Y511" i="5" s="1"/>
  <c r="O687" i="5"/>
  <c r="M676" i="5"/>
  <c r="M725" i="5"/>
  <c r="L713" i="5"/>
  <c r="L78" i="5"/>
  <c r="AN958" i="5"/>
  <c r="U96" i="5"/>
  <c r="AF526" i="5"/>
  <c r="AL549" i="5"/>
  <c r="AJ434" i="5"/>
  <c r="AJ515" i="5" s="1"/>
  <c r="AJ526" i="5" s="1"/>
  <c r="M498" i="5"/>
  <c r="L432" i="5"/>
  <c r="L598" i="5" s="1"/>
  <c r="AH433" i="5"/>
  <c r="AH495" i="5" s="1"/>
  <c r="AH498" i="5" s="1"/>
  <c r="AG497" i="5"/>
  <c r="AG508" i="5"/>
  <c r="AL538" i="5"/>
  <c r="AC500" i="5"/>
  <c r="AC503" i="5"/>
  <c r="AA525" i="5"/>
  <c r="M497" i="5"/>
  <c r="AA432" i="5"/>
  <c r="AA475" i="5" s="1"/>
  <c r="AA480" i="5" s="1"/>
  <c r="M779" i="5"/>
  <c r="S433" i="5"/>
  <c r="S495" i="5" s="1"/>
  <c r="S512" i="5" s="1"/>
  <c r="O62" i="5"/>
  <c r="O569" i="5" s="1"/>
  <c r="O595" i="5" s="1"/>
  <c r="M687" i="5"/>
  <c r="M645" i="5"/>
  <c r="O646" i="5"/>
  <c r="R434" i="5"/>
  <c r="R515" i="5" s="1"/>
  <c r="R520" i="5" s="1"/>
  <c r="AF433" i="5"/>
  <c r="AF495" i="5" s="1"/>
  <c r="AF510" i="5" s="1"/>
  <c r="AH434" i="5"/>
  <c r="AH515" i="5" s="1"/>
  <c r="AH532" i="5" s="1"/>
  <c r="L654" i="5"/>
  <c r="AJ94" i="5"/>
  <c r="AL537" i="5"/>
  <c r="AF524" i="5"/>
  <c r="M508" i="5"/>
  <c r="AJ433" i="5"/>
  <c r="AJ495" i="5" s="1"/>
  <c r="AJ508" i="5" s="1"/>
  <c r="O718" i="5"/>
  <c r="AF525" i="5"/>
  <c r="R499" i="5"/>
  <c r="AA95" i="5"/>
  <c r="P568" i="5"/>
  <c r="P703" i="5" s="1"/>
  <c r="AE97" i="5"/>
  <c r="AA433" i="5"/>
  <c r="AA495" i="5" s="1"/>
  <c r="AA496" i="5" s="1"/>
  <c r="AD503" i="5"/>
  <c r="U94" i="5"/>
  <c r="AA97" i="5"/>
  <c r="Y541" i="5"/>
  <c r="AG498" i="5"/>
  <c r="S434" i="5"/>
  <c r="S515" i="5" s="1"/>
  <c r="S518" i="5" s="1"/>
  <c r="AL540" i="5"/>
  <c r="AC505" i="5"/>
  <c r="AA516" i="5"/>
  <c r="M499" i="5"/>
  <c r="AI97" i="5"/>
  <c r="AC434" i="5"/>
  <c r="AC515" i="5" s="1"/>
  <c r="AC525" i="5" s="1"/>
  <c r="AG95" i="5"/>
  <c r="Q97" i="5"/>
  <c r="AC94" i="5"/>
  <c r="AL97" i="5"/>
  <c r="N645" i="5"/>
  <c r="N719" i="5"/>
  <c r="O702" i="5"/>
  <c r="M694" i="5"/>
  <c r="O696" i="5"/>
  <c r="M717" i="5"/>
  <c r="O694" i="5"/>
  <c r="R95" i="5"/>
  <c r="L736" i="5"/>
  <c r="L793" i="5" s="1"/>
  <c r="R496" i="5"/>
  <c r="AG503" i="5"/>
  <c r="R94" i="5"/>
  <c r="R435" i="5"/>
  <c r="R535" i="5" s="1"/>
  <c r="R550" i="5" s="1"/>
  <c r="AF517" i="5"/>
  <c r="R511" i="5"/>
  <c r="P563" i="5"/>
  <c r="P647" i="5" s="1"/>
  <c r="P97" i="5"/>
  <c r="AD496" i="5"/>
  <c r="AD497" i="5"/>
  <c r="Y432" i="5"/>
  <c r="Y475" i="5" s="1"/>
  <c r="Y546" i="5"/>
  <c r="AG512" i="5"/>
  <c r="AL552" i="5"/>
  <c r="AC508" i="5"/>
  <c r="AJ95" i="5"/>
  <c r="AA530" i="5"/>
  <c r="M496" i="5"/>
  <c r="AG432" i="5"/>
  <c r="AG475" i="5" s="1"/>
  <c r="AG484" i="5" s="1"/>
  <c r="AE94" i="5"/>
  <c r="AG94" i="5"/>
  <c r="N623" i="5"/>
  <c r="N626" i="5" s="1"/>
  <c r="N627" i="5" s="1"/>
  <c r="N16" i="9" s="1"/>
  <c r="L677" i="5"/>
  <c r="N651" i="5"/>
  <c r="N647" i="5"/>
  <c r="O654" i="5"/>
  <c r="M670" i="5"/>
  <c r="O672" i="5"/>
  <c r="M693" i="5"/>
  <c r="N653" i="5"/>
  <c r="L719" i="5"/>
  <c r="L655" i="5"/>
  <c r="O661" i="5"/>
  <c r="N676" i="5"/>
  <c r="N295" i="5"/>
  <c r="N686" i="5"/>
  <c r="AF532" i="5"/>
  <c r="R504" i="5"/>
  <c r="AL550" i="5"/>
  <c r="AG501" i="5"/>
  <c r="AA524" i="5"/>
  <c r="L22" i="5"/>
  <c r="L123" i="5" s="1"/>
  <c r="L701" i="5"/>
  <c r="N699" i="5"/>
  <c r="N671" i="5"/>
  <c r="O726" i="5"/>
  <c r="M718" i="5"/>
  <c r="O720" i="5"/>
  <c r="M699" i="5"/>
  <c r="N725" i="5"/>
  <c r="L647" i="5"/>
  <c r="L679" i="5"/>
  <c r="O637" i="5"/>
  <c r="N700" i="5"/>
  <c r="AF529" i="5"/>
  <c r="N710" i="5"/>
  <c r="M506" i="5"/>
  <c r="M651" i="5"/>
  <c r="AF518" i="5"/>
  <c r="AA526" i="5"/>
  <c r="Q95" i="5"/>
  <c r="R432" i="5"/>
  <c r="R475" i="5" s="1"/>
  <c r="R488" i="5" s="1"/>
  <c r="AN11" i="5"/>
  <c r="AA94" i="5"/>
  <c r="AA532" i="5"/>
  <c r="AF516" i="5"/>
  <c r="R501" i="5"/>
  <c r="N598" i="5"/>
  <c r="AD500" i="5"/>
  <c r="AD506" i="5"/>
  <c r="P61" i="5"/>
  <c r="P613" i="5" s="1"/>
  <c r="P614" i="5" s="1"/>
  <c r="P612" i="5" s="1"/>
  <c r="AF531" i="5"/>
  <c r="AF528" i="5"/>
  <c r="R500" i="5"/>
  <c r="P566" i="5"/>
  <c r="P653" i="5" s="1"/>
  <c r="AC435" i="5"/>
  <c r="AC535" i="5" s="1"/>
  <c r="AC543" i="5" s="1"/>
  <c r="AD511" i="5"/>
  <c r="AD498" i="5"/>
  <c r="AH435" i="5"/>
  <c r="AH535" i="5" s="1"/>
  <c r="AH548" i="5" s="1"/>
  <c r="Y549" i="5"/>
  <c r="Y537" i="5"/>
  <c r="AG496" i="5"/>
  <c r="AL541" i="5"/>
  <c r="AL545" i="5"/>
  <c r="AC512" i="5"/>
  <c r="O609" i="5"/>
  <c r="O610" i="5" s="1"/>
  <c r="O608" i="5" s="1"/>
  <c r="AA520" i="5"/>
  <c r="M504" i="5"/>
  <c r="V95" i="5"/>
  <c r="L23" i="5"/>
  <c r="L124" i="5" s="1"/>
  <c r="Y434" i="5"/>
  <c r="Y515" i="5" s="1"/>
  <c r="Y518" i="5" s="1"/>
  <c r="L595" i="5"/>
  <c r="W96" i="5"/>
  <c r="L725" i="5"/>
  <c r="N669" i="5"/>
  <c r="M723" i="5"/>
  <c r="N701" i="5"/>
  <c r="L695" i="5"/>
  <c r="L703" i="5"/>
  <c r="O685" i="5"/>
  <c r="N652" i="5"/>
  <c r="O663" i="5"/>
  <c r="AA531" i="5"/>
  <c r="V94" i="5"/>
  <c r="Q94" i="5"/>
  <c r="I775" i="5"/>
  <c r="M675" i="5"/>
  <c r="AF530" i="5"/>
  <c r="R510" i="5"/>
  <c r="AA435" i="5"/>
  <c r="AA535" i="5" s="1"/>
  <c r="AA543" i="5" s="1"/>
  <c r="AE96" i="5"/>
  <c r="AC510" i="5"/>
  <c r="AF432" i="5"/>
  <c r="AF475" i="5" s="1"/>
  <c r="AF484" i="5" s="1"/>
  <c r="P560" i="5"/>
  <c r="P641" i="5" s="1"/>
  <c r="Y550" i="5"/>
  <c r="AL539" i="5"/>
  <c r="AC496" i="5"/>
  <c r="M501" i="5"/>
  <c r="AF435" i="5"/>
  <c r="AF535" i="5" s="1"/>
  <c r="AF541" i="5" s="1"/>
  <c r="AL96" i="5"/>
  <c r="R96" i="5"/>
  <c r="AF520" i="5"/>
  <c r="P557" i="5"/>
  <c r="P638" i="5" s="1"/>
  <c r="AC432" i="5"/>
  <c r="AJ435" i="5"/>
  <c r="AJ535" i="5" s="1"/>
  <c r="AJ538" i="5" s="1"/>
  <c r="U97" i="5"/>
  <c r="Y548" i="5"/>
  <c r="AL536" i="5"/>
  <c r="AG435" i="5"/>
  <c r="AG535" i="5" s="1"/>
  <c r="AG539" i="5" s="1"/>
  <c r="P94" i="5"/>
  <c r="AC96" i="5"/>
  <c r="AC98" i="5" s="1"/>
  <c r="W95" i="5"/>
  <c r="L115" i="5"/>
  <c r="P181" i="5"/>
  <c r="Q175" i="5"/>
  <c r="O188" i="5"/>
  <c r="W181" i="5"/>
  <c r="M188" i="5"/>
  <c r="L181" i="5"/>
  <c r="S175" i="5"/>
  <c r="R188" i="5"/>
  <c r="U174" i="5"/>
  <c r="Y181" i="5"/>
  <c r="V175" i="5"/>
  <c r="AC188" i="5"/>
  <c r="M381" i="5"/>
  <c r="N381" i="5"/>
  <c r="O381" i="5"/>
  <c r="L381" i="5"/>
  <c r="O397" i="5"/>
  <c r="S397" i="5"/>
  <c r="W397" i="5"/>
  <c r="AA397" i="5"/>
  <c r="P397" i="5"/>
  <c r="T397" i="5"/>
  <c r="X397" i="5"/>
  <c r="AB397" i="5"/>
  <c r="M397" i="5"/>
  <c r="Q397" i="5"/>
  <c r="U397" i="5"/>
  <c r="Y397" i="5"/>
  <c r="AC397" i="5"/>
  <c r="Z397" i="5"/>
  <c r="N397" i="5"/>
  <c r="L397" i="5"/>
  <c r="R397" i="5"/>
  <c r="V397" i="5"/>
  <c r="M382" i="5"/>
  <c r="N382" i="5"/>
  <c r="O382" i="5"/>
  <c r="P382" i="5"/>
  <c r="L382" i="5"/>
  <c r="N398" i="5"/>
  <c r="R398" i="5"/>
  <c r="V398" i="5"/>
  <c r="Z398" i="5"/>
  <c r="O398" i="5"/>
  <c r="S398" i="5"/>
  <c r="W398" i="5"/>
  <c r="AA398" i="5"/>
  <c r="P398" i="5"/>
  <c r="T398" i="5"/>
  <c r="X398" i="5"/>
  <c r="AB398" i="5"/>
  <c r="Y398" i="5"/>
  <c r="Q398" i="5"/>
  <c r="U398" i="5"/>
  <c r="L398" i="5"/>
  <c r="AC398" i="5"/>
  <c r="M398" i="5"/>
  <c r="N387" i="5"/>
  <c r="R387" i="5"/>
  <c r="O387" i="5"/>
  <c r="S387" i="5"/>
  <c r="P387" i="5"/>
  <c r="T387" i="5"/>
  <c r="Q387" i="5"/>
  <c r="U387" i="5"/>
  <c r="L387" i="5"/>
  <c r="M387" i="5"/>
  <c r="N403" i="5"/>
  <c r="R403" i="5"/>
  <c r="V403" i="5"/>
  <c r="Z403" i="5"/>
  <c r="M403" i="5"/>
  <c r="S403" i="5"/>
  <c r="X403" i="5"/>
  <c r="AC403" i="5"/>
  <c r="O403" i="5"/>
  <c r="T403" i="5"/>
  <c r="Y403" i="5"/>
  <c r="L403" i="5"/>
  <c r="P403" i="5"/>
  <c r="U403" i="5"/>
  <c r="AA403" i="5"/>
  <c r="Q403" i="5"/>
  <c r="W403" i="5"/>
  <c r="AB403" i="5"/>
  <c r="N392" i="5"/>
  <c r="R392" i="5"/>
  <c r="V392" i="5"/>
  <c r="Z392" i="5"/>
  <c r="O392" i="5"/>
  <c r="S392" i="5"/>
  <c r="W392" i="5"/>
  <c r="P392" i="5"/>
  <c r="T392" i="5"/>
  <c r="X392" i="5"/>
  <c r="Y392" i="5"/>
  <c r="L392" i="5"/>
  <c r="M392" i="5"/>
  <c r="Q392" i="5"/>
  <c r="U392" i="5"/>
  <c r="N305" i="5"/>
  <c r="O305" i="5"/>
  <c r="S305" i="5"/>
  <c r="R305" i="5"/>
  <c r="M305" i="5"/>
  <c r="P305" i="5"/>
  <c r="L305" i="5"/>
  <c r="Q305" i="5"/>
  <c r="O321" i="5"/>
  <c r="S321" i="5"/>
  <c r="W321" i="5"/>
  <c r="AA321" i="5"/>
  <c r="M321" i="5"/>
  <c r="R321" i="5"/>
  <c r="X321" i="5"/>
  <c r="AC321" i="5"/>
  <c r="N321" i="5"/>
  <c r="T321" i="5"/>
  <c r="Y321" i="5"/>
  <c r="P321" i="5"/>
  <c r="U321" i="5"/>
  <c r="Z321" i="5"/>
  <c r="L321" i="5"/>
  <c r="Q321" i="5"/>
  <c r="V321" i="5"/>
  <c r="AB321" i="5"/>
  <c r="P306" i="5"/>
  <c r="T306" i="5"/>
  <c r="Q306" i="5"/>
  <c r="M306" i="5"/>
  <c r="R306" i="5"/>
  <c r="N306" i="5"/>
  <c r="S306" i="5"/>
  <c r="O306" i="5"/>
  <c r="L306" i="5"/>
  <c r="M322" i="5"/>
  <c r="Q322" i="5"/>
  <c r="U322" i="5"/>
  <c r="P322" i="5"/>
  <c r="V322" i="5"/>
  <c r="Z322" i="5"/>
  <c r="R322" i="5"/>
  <c r="W322" i="5"/>
  <c r="AA322" i="5"/>
  <c r="N322" i="5"/>
  <c r="S322" i="5"/>
  <c r="X322" i="5"/>
  <c r="AB322" i="5"/>
  <c r="O322" i="5"/>
  <c r="T322" i="5"/>
  <c r="Y322" i="5"/>
  <c r="AC322" i="5"/>
  <c r="L322" i="5"/>
  <c r="P311" i="5"/>
  <c r="T311" i="5"/>
  <c r="X311" i="5"/>
  <c r="M311" i="5"/>
  <c r="R311" i="5"/>
  <c r="W311" i="5"/>
  <c r="L311" i="5"/>
  <c r="N311" i="5"/>
  <c r="S311" i="5"/>
  <c r="Y311" i="5"/>
  <c r="O311" i="5"/>
  <c r="U311" i="5"/>
  <c r="Q311" i="5"/>
  <c r="V311" i="5"/>
  <c r="N300" i="5"/>
  <c r="M300" i="5"/>
  <c r="L300" i="5"/>
  <c r="P316" i="5"/>
  <c r="T316" i="5"/>
  <c r="X316" i="5"/>
  <c r="AB316" i="5"/>
  <c r="Q316" i="5"/>
  <c r="V316" i="5"/>
  <c r="AA316" i="5"/>
  <c r="M316" i="5"/>
  <c r="R316" i="5"/>
  <c r="W316" i="5"/>
  <c r="AC316" i="5"/>
  <c r="N316" i="5"/>
  <c r="S316" i="5"/>
  <c r="Y316" i="5"/>
  <c r="O316" i="5"/>
  <c r="U316" i="5"/>
  <c r="Z316" i="5"/>
  <c r="L316" i="5"/>
  <c r="N385" i="5"/>
  <c r="R385" i="5"/>
  <c r="O385" i="5"/>
  <c r="S385" i="5"/>
  <c r="P385" i="5"/>
  <c r="Q385" i="5"/>
  <c r="M385" i="5"/>
  <c r="L385" i="5"/>
  <c r="O401" i="5"/>
  <c r="S401" i="5"/>
  <c r="W401" i="5"/>
  <c r="AA401" i="5"/>
  <c r="P401" i="5"/>
  <c r="T401" i="5"/>
  <c r="X401" i="5"/>
  <c r="AB401" i="5"/>
  <c r="M401" i="5"/>
  <c r="Q401" i="5"/>
  <c r="U401" i="5"/>
  <c r="Y401" i="5"/>
  <c r="AC401" i="5"/>
  <c r="V401" i="5"/>
  <c r="N401" i="5"/>
  <c r="R401" i="5"/>
  <c r="L401" i="5"/>
  <c r="Z401" i="5"/>
  <c r="N386" i="5"/>
  <c r="R386" i="5"/>
  <c r="O386" i="5"/>
  <c r="S386" i="5"/>
  <c r="P386" i="5"/>
  <c r="T386" i="5"/>
  <c r="L386" i="5"/>
  <c r="M386" i="5"/>
  <c r="Q386" i="5"/>
  <c r="N402" i="5"/>
  <c r="R402" i="5"/>
  <c r="V402" i="5"/>
  <c r="Z402" i="5"/>
  <c r="O402" i="5"/>
  <c r="S402" i="5"/>
  <c r="W402" i="5"/>
  <c r="AA402" i="5"/>
  <c r="P402" i="5"/>
  <c r="T402" i="5"/>
  <c r="X402" i="5"/>
  <c r="AB402" i="5"/>
  <c r="U402" i="5"/>
  <c r="M402" i="5"/>
  <c r="L402" i="5"/>
  <c r="Q402" i="5"/>
  <c r="Y402" i="5"/>
  <c r="AC402" i="5"/>
  <c r="P391" i="5"/>
  <c r="T391" i="5"/>
  <c r="X391" i="5"/>
  <c r="M391" i="5"/>
  <c r="Q391" i="5"/>
  <c r="U391" i="5"/>
  <c r="Y391" i="5"/>
  <c r="N391" i="5"/>
  <c r="R391" i="5"/>
  <c r="V391" i="5"/>
  <c r="W391" i="5"/>
  <c r="S391" i="5"/>
  <c r="L391" i="5"/>
  <c r="O391" i="5"/>
  <c r="M380" i="5"/>
  <c r="L380" i="5"/>
  <c r="N380" i="5"/>
  <c r="P396" i="5"/>
  <c r="T396" i="5"/>
  <c r="X396" i="5"/>
  <c r="AB396" i="5"/>
  <c r="M396" i="5"/>
  <c r="Q396" i="5"/>
  <c r="U396" i="5"/>
  <c r="Y396" i="5"/>
  <c r="AC396" i="5"/>
  <c r="N396" i="5"/>
  <c r="R396" i="5"/>
  <c r="V396" i="5"/>
  <c r="Z396" i="5"/>
  <c r="AA396" i="5"/>
  <c r="L396" i="5"/>
  <c r="O396" i="5"/>
  <c r="S396" i="5"/>
  <c r="W396" i="5"/>
  <c r="P309" i="5"/>
  <c r="T309" i="5"/>
  <c r="O309" i="5"/>
  <c r="U309" i="5"/>
  <c r="Q309" i="5"/>
  <c r="V309" i="5"/>
  <c r="M309" i="5"/>
  <c r="R309" i="5"/>
  <c r="W309" i="5"/>
  <c r="L309" i="5"/>
  <c r="N309" i="5"/>
  <c r="S309" i="5"/>
  <c r="P325" i="5"/>
  <c r="T325" i="5"/>
  <c r="X325" i="5"/>
  <c r="AB325" i="5"/>
  <c r="M325" i="5"/>
  <c r="Q325" i="5"/>
  <c r="U325" i="5"/>
  <c r="Y325" i="5"/>
  <c r="AC325" i="5"/>
  <c r="N325" i="5"/>
  <c r="R325" i="5"/>
  <c r="V325" i="5"/>
  <c r="Z325" i="5"/>
  <c r="L325" i="5"/>
  <c r="O325" i="5"/>
  <c r="S325" i="5"/>
  <c r="W325" i="5"/>
  <c r="AA325" i="5"/>
  <c r="M310" i="5"/>
  <c r="Q310" i="5"/>
  <c r="U310" i="5"/>
  <c r="O310" i="5"/>
  <c r="T310" i="5"/>
  <c r="P310" i="5"/>
  <c r="V310" i="5"/>
  <c r="R310" i="5"/>
  <c r="W310" i="5"/>
  <c r="N310" i="5"/>
  <c r="S310" i="5"/>
  <c r="X310" i="5"/>
  <c r="L310" i="5"/>
  <c r="L299" i="5"/>
  <c r="M299" i="5"/>
  <c r="N315" i="5"/>
  <c r="R315" i="5"/>
  <c r="V315" i="5"/>
  <c r="Z315" i="5"/>
  <c r="M315" i="5"/>
  <c r="S315" i="5"/>
  <c r="X315" i="5"/>
  <c r="AC315" i="5"/>
  <c r="L315" i="5"/>
  <c r="O315" i="5"/>
  <c r="T315" i="5"/>
  <c r="Y315" i="5"/>
  <c r="P315" i="5"/>
  <c r="U315" i="5"/>
  <c r="AA315" i="5"/>
  <c r="Q315" i="5"/>
  <c r="W315" i="5"/>
  <c r="AB315" i="5"/>
  <c r="P304" i="5"/>
  <c r="O304" i="5"/>
  <c r="R304" i="5"/>
  <c r="M304" i="5"/>
  <c r="L304" i="5"/>
  <c r="N304" i="5"/>
  <c r="Q304" i="5"/>
  <c r="M320" i="5"/>
  <c r="Q320" i="5"/>
  <c r="U320" i="5"/>
  <c r="Y320" i="5"/>
  <c r="AC320" i="5"/>
  <c r="O320" i="5"/>
  <c r="T320" i="5"/>
  <c r="Z320" i="5"/>
  <c r="P320" i="5"/>
  <c r="V320" i="5"/>
  <c r="AA320" i="5"/>
  <c r="L320" i="5"/>
  <c r="R320" i="5"/>
  <c r="W320" i="5"/>
  <c r="AB320" i="5"/>
  <c r="N320" i="5"/>
  <c r="S320" i="5"/>
  <c r="X320" i="5"/>
  <c r="O389" i="5"/>
  <c r="S389" i="5"/>
  <c r="W389" i="5"/>
  <c r="P389" i="5"/>
  <c r="T389" i="5"/>
  <c r="M389" i="5"/>
  <c r="Q389" i="5"/>
  <c r="U389" i="5"/>
  <c r="N389" i="5"/>
  <c r="V389" i="5"/>
  <c r="L389" i="5"/>
  <c r="R389" i="5"/>
  <c r="P405" i="5"/>
  <c r="T405" i="5"/>
  <c r="X405" i="5"/>
  <c r="AB405" i="5"/>
  <c r="Q405" i="5"/>
  <c r="V405" i="5"/>
  <c r="AA405" i="5"/>
  <c r="M405" i="5"/>
  <c r="R405" i="5"/>
  <c r="W405" i="5"/>
  <c r="AC405" i="5"/>
  <c r="N405" i="5"/>
  <c r="S405" i="5"/>
  <c r="Y405" i="5"/>
  <c r="L405" i="5"/>
  <c r="Z405" i="5"/>
  <c r="O405" i="5"/>
  <c r="U405" i="5"/>
  <c r="P390" i="5"/>
  <c r="T390" i="5"/>
  <c r="X390" i="5"/>
  <c r="M390" i="5"/>
  <c r="Q390" i="5"/>
  <c r="U390" i="5"/>
  <c r="N390" i="5"/>
  <c r="R390" i="5"/>
  <c r="V390" i="5"/>
  <c r="S390" i="5"/>
  <c r="O390" i="5"/>
  <c r="W390" i="5"/>
  <c r="L390" i="5"/>
  <c r="L379" i="5"/>
  <c r="M379" i="5"/>
  <c r="M395" i="5"/>
  <c r="Q395" i="5"/>
  <c r="U395" i="5"/>
  <c r="Y395" i="5"/>
  <c r="AC395" i="5"/>
  <c r="N395" i="5"/>
  <c r="R395" i="5"/>
  <c r="V395" i="5"/>
  <c r="Z395" i="5"/>
  <c r="O395" i="5"/>
  <c r="S395" i="5"/>
  <c r="W395" i="5"/>
  <c r="AA395" i="5"/>
  <c r="AB395" i="5"/>
  <c r="X395" i="5"/>
  <c r="P395" i="5"/>
  <c r="L395" i="5"/>
  <c r="T395" i="5"/>
  <c r="P384" i="5"/>
  <c r="M384" i="5"/>
  <c r="Q384" i="5"/>
  <c r="N384" i="5"/>
  <c r="R384" i="5"/>
  <c r="L384" i="5"/>
  <c r="O384" i="5"/>
  <c r="P400" i="5"/>
  <c r="T400" i="5"/>
  <c r="X400" i="5"/>
  <c r="AB400" i="5"/>
  <c r="M400" i="5"/>
  <c r="Q400" i="5"/>
  <c r="U400" i="5"/>
  <c r="Y400" i="5"/>
  <c r="AC400" i="5"/>
  <c r="N400" i="5"/>
  <c r="R400" i="5"/>
  <c r="V400" i="5"/>
  <c r="Z400" i="5"/>
  <c r="W400" i="5"/>
  <c r="L400" i="5"/>
  <c r="AA400" i="5"/>
  <c r="O400" i="5"/>
  <c r="S400" i="5"/>
  <c r="M313" i="5"/>
  <c r="Q313" i="5"/>
  <c r="U313" i="5"/>
  <c r="Y313" i="5"/>
  <c r="R313" i="5"/>
  <c r="W313" i="5"/>
  <c r="N313" i="5"/>
  <c r="S313" i="5"/>
  <c r="X313" i="5"/>
  <c r="O313" i="5"/>
  <c r="T313" i="5"/>
  <c r="Z313" i="5"/>
  <c r="L313" i="5"/>
  <c r="P313" i="5"/>
  <c r="V313" i="5"/>
  <c r="AA313" i="5"/>
  <c r="L298" i="5"/>
  <c r="N314" i="5"/>
  <c r="R314" i="5"/>
  <c r="V314" i="5"/>
  <c r="Z314" i="5"/>
  <c r="M314" i="5"/>
  <c r="S314" i="5"/>
  <c r="X314" i="5"/>
  <c r="O314" i="5"/>
  <c r="T314" i="5"/>
  <c r="Y314" i="5"/>
  <c r="P314" i="5"/>
  <c r="U314" i="5"/>
  <c r="AA314" i="5"/>
  <c r="Q314" i="5"/>
  <c r="W314" i="5"/>
  <c r="AB314" i="5"/>
  <c r="L314" i="5"/>
  <c r="M303" i="5"/>
  <c r="Q303" i="5"/>
  <c r="O303" i="5"/>
  <c r="P303" i="5"/>
  <c r="L303" i="5"/>
  <c r="N303" i="5"/>
  <c r="O319" i="5"/>
  <c r="S319" i="5"/>
  <c r="W319" i="5"/>
  <c r="AA319" i="5"/>
  <c r="Q319" i="5"/>
  <c r="V319" i="5"/>
  <c r="AB319" i="5"/>
  <c r="L319" i="5"/>
  <c r="M319" i="5"/>
  <c r="R319" i="5"/>
  <c r="X319" i="5"/>
  <c r="AC319" i="5"/>
  <c r="N319" i="5"/>
  <c r="T319" i="5"/>
  <c r="Y319" i="5"/>
  <c r="P319" i="5"/>
  <c r="U319" i="5"/>
  <c r="Z319" i="5"/>
  <c r="N308" i="5"/>
  <c r="R308" i="5"/>
  <c r="V308" i="5"/>
  <c r="O308" i="5"/>
  <c r="T308" i="5"/>
  <c r="P308" i="5"/>
  <c r="U308" i="5"/>
  <c r="L308" i="5"/>
  <c r="Q308" i="5"/>
  <c r="M308" i="5"/>
  <c r="S308" i="5"/>
  <c r="N324" i="5"/>
  <c r="R324" i="5"/>
  <c r="V324" i="5"/>
  <c r="Z324" i="5"/>
  <c r="O324" i="5"/>
  <c r="S324" i="5"/>
  <c r="W324" i="5"/>
  <c r="AA324" i="5"/>
  <c r="P324" i="5"/>
  <c r="T324" i="5"/>
  <c r="X324" i="5"/>
  <c r="AB324" i="5"/>
  <c r="M324" i="5"/>
  <c r="Q324" i="5"/>
  <c r="U324" i="5"/>
  <c r="Y324" i="5"/>
  <c r="AC324" i="5"/>
  <c r="L324" i="5"/>
  <c r="P393" i="5"/>
  <c r="T393" i="5"/>
  <c r="X393" i="5"/>
  <c r="M393" i="5"/>
  <c r="Q393" i="5"/>
  <c r="U393" i="5"/>
  <c r="Y393" i="5"/>
  <c r="N393" i="5"/>
  <c r="R393" i="5"/>
  <c r="V393" i="5"/>
  <c r="Z393" i="5"/>
  <c r="AA393" i="5"/>
  <c r="O393" i="5"/>
  <c r="S393" i="5"/>
  <c r="L393" i="5"/>
  <c r="W393" i="5"/>
  <c r="L378" i="5"/>
  <c r="M394" i="5"/>
  <c r="Q394" i="5"/>
  <c r="U394" i="5"/>
  <c r="Y394" i="5"/>
  <c r="N394" i="5"/>
  <c r="R394" i="5"/>
  <c r="V394" i="5"/>
  <c r="Z394" i="5"/>
  <c r="O394" i="5"/>
  <c r="S394" i="5"/>
  <c r="W394" i="5"/>
  <c r="AA394" i="5"/>
  <c r="AB394" i="5"/>
  <c r="T394" i="5"/>
  <c r="X394" i="5"/>
  <c r="L394" i="5"/>
  <c r="P394" i="5"/>
  <c r="M383" i="5"/>
  <c r="Q383" i="5"/>
  <c r="N383" i="5"/>
  <c r="O383" i="5"/>
  <c r="P383" i="5"/>
  <c r="L383" i="5"/>
  <c r="M399" i="5"/>
  <c r="Q399" i="5"/>
  <c r="U399" i="5"/>
  <c r="Y399" i="5"/>
  <c r="AC399" i="5"/>
  <c r="N399" i="5"/>
  <c r="R399" i="5"/>
  <c r="V399" i="5"/>
  <c r="Z399" i="5"/>
  <c r="O399" i="5"/>
  <c r="S399" i="5"/>
  <c r="W399" i="5"/>
  <c r="AA399" i="5"/>
  <c r="X399" i="5"/>
  <c r="T399" i="5"/>
  <c r="AB399" i="5"/>
  <c r="L399" i="5"/>
  <c r="P399" i="5"/>
  <c r="M388" i="5"/>
  <c r="Q388" i="5"/>
  <c r="U388" i="5"/>
  <c r="N388" i="5"/>
  <c r="R388" i="5"/>
  <c r="V388" i="5"/>
  <c r="O388" i="5"/>
  <c r="S388" i="5"/>
  <c r="L388" i="5"/>
  <c r="P388" i="5"/>
  <c r="T388" i="5"/>
  <c r="M404" i="5"/>
  <c r="Q404" i="5"/>
  <c r="U404" i="5"/>
  <c r="Y404" i="5"/>
  <c r="AC404" i="5"/>
  <c r="L404" i="5"/>
  <c r="R404" i="5"/>
  <c r="W404" i="5"/>
  <c r="AB404" i="5"/>
  <c r="N404" i="5"/>
  <c r="S404" i="5"/>
  <c r="X404" i="5"/>
  <c r="O404" i="5"/>
  <c r="T404" i="5"/>
  <c r="Z404" i="5"/>
  <c r="V404" i="5"/>
  <c r="AA404" i="5"/>
  <c r="P404" i="5"/>
  <c r="M301" i="5"/>
  <c r="N301" i="5"/>
  <c r="L301" i="5"/>
  <c r="O301" i="5"/>
  <c r="N317" i="5"/>
  <c r="R317" i="5"/>
  <c r="V317" i="5"/>
  <c r="Z317" i="5"/>
  <c r="O317" i="5"/>
  <c r="T317" i="5"/>
  <c r="Y317" i="5"/>
  <c r="P317" i="5"/>
  <c r="U317" i="5"/>
  <c r="AA317" i="5"/>
  <c r="Q317" i="5"/>
  <c r="W317" i="5"/>
  <c r="AB317" i="5"/>
  <c r="L317" i="5"/>
  <c r="M317" i="5"/>
  <c r="S317" i="5"/>
  <c r="X317" i="5"/>
  <c r="AC317" i="5"/>
  <c r="M302" i="5"/>
  <c r="N302" i="5"/>
  <c r="O302" i="5"/>
  <c r="P302" i="5"/>
  <c r="L302" i="5"/>
  <c r="M318" i="5"/>
  <c r="Q318" i="5"/>
  <c r="U318" i="5"/>
  <c r="Y318" i="5"/>
  <c r="AC318" i="5"/>
  <c r="N318" i="5"/>
  <c r="S318" i="5"/>
  <c r="X318" i="5"/>
  <c r="O318" i="5"/>
  <c r="T318" i="5"/>
  <c r="Z318" i="5"/>
  <c r="P318" i="5"/>
  <c r="V318" i="5"/>
  <c r="AA318" i="5"/>
  <c r="R318" i="5"/>
  <c r="W318" i="5"/>
  <c r="AB318" i="5"/>
  <c r="L318" i="5"/>
  <c r="P307" i="5"/>
  <c r="T307" i="5"/>
  <c r="N307" i="5"/>
  <c r="S307" i="5"/>
  <c r="L307" i="5"/>
  <c r="O307" i="5"/>
  <c r="U307" i="5"/>
  <c r="Q307" i="5"/>
  <c r="M307" i="5"/>
  <c r="R307" i="5"/>
  <c r="P323" i="5"/>
  <c r="T323" i="5"/>
  <c r="X323" i="5"/>
  <c r="AB323" i="5"/>
  <c r="L323" i="5"/>
  <c r="M323" i="5"/>
  <c r="Q323" i="5"/>
  <c r="U323" i="5"/>
  <c r="Y323" i="5"/>
  <c r="AC323" i="5"/>
  <c r="N323" i="5"/>
  <c r="R323" i="5"/>
  <c r="V323" i="5"/>
  <c r="Z323" i="5"/>
  <c r="O323" i="5"/>
  <c r="S323" i="5"/>
  <c r="W323" i="5"/>
  <c r="AA323" i="5"/>
  <c r="O312" i="5"/>
  <c r="S312" i="5"/>
  <c r="W312" i="5"/>
  <c r="P312" i="5"/>
  <c r="U312" i="5"/>
  <c r="Z312" i="5"/>
  <c r="Q312" i="5"/>
  <c r="V312" i="5"/>
  <c r="L312" i="5"/>
  <c r="M312" i="5"/>
  <c r="R312" i="5"/>
  <c r="X312" i="5"/>
  <c r="N312" i="5"/>
  <c r="T312" i="5"/>
  <c r="Y312" i="5"/>
  <c r="V174" i="5"/>
  <c r="M174" i="5"/>
  <c r="N174" i="5"/>
  <c r="T181" i="5"/>
  <c r="AC181" i="5"/>
  <c r="Q181" i="5"/>
  <c r="Z181" i="5"/>
  <c r="V181" i="5"/>
  <c r="R175" i="5"/>
  <c r="U175" i="5"/>
  <c r="O175" i="5"/>
  <c r="T188" i="5"/>
  <c r="AA188" i="5"/>
  <c r="Y188" i="5"/>
  <c r="S188" i="5"/>
  <c r="Q174" i="5"/>
  <c r="O174" i="5"/>
  <c r="P174" i="5"/>
  <c r="U181" i="5"/>
  <c r="S181" i="5"/>
  <c r="X181" i="5"/>
  <c r="R181" i="5"/>
  <c r="T175" i="5"/>
  <c r="W175" i="5"/>
  <c r="N175" i="5"/>
  <c r="U188" i="5"/>
  <c r="W188" i="5"/>
  <c r="X188" i="5"/>
  <c r="L188" i="5"/>
  <c r="Q188" i="5"/>
  <c r="S174" i="5"/>
  <c r="R174" i="5"/>
  <c r="AA181" i="5"/>
  <c r="AB181" i="5"/>
  <c r="N181" i="5"/>
  <c r="L175" i="5"/>
  <c r="P175" i="5"/>
  <c r="N188" i="5"/>
  <c r="P188" i="5"/>
  <c r="Z188" i="5"/>
  <c r="V188" i="5"/>
  <c r="L263" i="5"/>
  <c r="P263" i="5"/>
  <c r="T512" i="5"/>
  <c r="L136" i="5"/>
  <c r="O114" i="5"/>
  <c r="O295" i="5"/>
  <c r="T500" i="5"/>
  <c r="T498" i="5"/>
  <c r="T499" i="5"/>
  <c r="T504" i="5"/>
  <c r="P639" i="5"/>
  <c r="P714" i="5"/>
  <c r="T503" i="5"/>
  <c r="T506" i="5"/>
  <c r="T508" i="5"/>
  <c r="T509" i="5"/>
  <c r="T510" i="5"/>
  <c r="T505" i="5"/>
  <c r="W512" i="5"/>
  <c r="W496" i="5"/>
  <c r="P523" i="5"/>
  <c r="AI539" i="5"/>
  <c r="U523" i="5"/>
  <c r="AI537" i="5"/>
  <c r="AI549" i="5"/>
  <c r="AI543" i="5"/>
  <c r="O521" i="5"/>
  <c r="AI551" i="5"/>
  <c r="AI536" i="5"/>
  <c r="AI544" i="5"/>
  <c r="AI541" i="5"/>
  <c r="U526" i="5"/>
  <c r="Z548" i="5"/>
  <c r="AI540" i="5"/>
  <c r="AI550" i="5"/>
  <c r="AI545" i="5"/>
  <c r="AI552" i="5"/>
  <c r="AI546" i="5"/>
  <c r="AI538" i="5"/>
  <c r="U525" i="5"/>
  <c r="X519" i="5"/>
  <c r="L539" i="5"/>
  <c r="X526" i="5"/>
  <c r="L550" i="5"/>
  <c r="P526" i="5"/>
  <c r="L543" i="5"/>
  <c r="Q516" i="5"/>
  <c r="P519" i="5"/>
  <c r="L552" i="5"/>
  <c r="L448" i="5"/>
  <c r="O531" i="5"/>
  <c r="AB550" i="5"/>
  <c r="Z537" i="5"/>
  <c r="U532" i="5"/>
  <c r="U518" i="5"/>
  <c r="U529" i="5"/>
  <c r="U517" i="5"/>
  <c r="S506" i="5"/>
  <c r="S504" i="5"/>
  <c r="L601" i="5"/>
  <c r="N445" i="5"/>
  <c r="M601" i="5"/>
  <c r="O517" i="5"/>
  <c r="AB545" i="5"/>
  <c r="Z552" i="5"/>
  <c r="U528" i="5"/>
  <c r="U521" i="5"/>
  <c r="U516" i="5"/>
  <c r="U520" i="5"/>
  <c r="O600" i="5"/>
  <c r="M445" i="5"/>
  <c r="M448" i="5"/>
  <c r="L600" i="5"/>
  <c r="O528" i="5"/>
  <c r="AB537" i="5"/>
  <c r="Z549" i="5"/>
  <c r="U524" i="5"/>
  <c r="U519" i="5"/>
  <c r="U530" i="5"/>
  <c r="O525" i="5"/>
  <c r="O516" i="5"/>
  <c r="O529" i="5"/>
  <c r="O518" i="5"/>
  <c r="AB546" i="5"/>
  <c r="AB548" i="5"/>
  <c r="AB551" i="5"/>
  <c r="AB536" i="5"/>
  <c r="Z550" i="5"/>
  <c r="Z541" i="5"/>
  <c r="Z546" i="5"/>
  <c r="Z551" i="5"/>
  <c r="O523" i="5"/>
  <c r="O524" i="5"/>
  <c r="O519" i="5"/>
  <c r="O530" i="5"/>
  <c r="AE552" i="5"/>
  <c r="AE543" i="5"/>
  <c r="AE545" i="5"/>
  <c r="AB539" i="5"/>
  <c r="AB544" i="5"/>
  <c r="AB543" i="5"/>
  <c r="AB540" i="5"/>
  <c r="Z543" i="5"/>
  <c r="Z545" i="5"/>
  <c r="Z539" i="5"/>
  <c r="Z544" i="5"/>
  <c r="Q504" i="5"/>
  <c r="O532" i="5"/>
  <c r="O526" i="5"/>
  <c r="AE536" i="5"/>
  <c r="AB552" i="5"/>
  <c r="AB541" i="5"/>
  <c r="AB538" i="5"/>
  <c r="Z536" i="5"/>
  <c r="Z540" i="5"/>
  <c r="Q506" i="5"/>
  <c r="Q498" i="5"/>
  <c r="Q503" i="5"/>
  <c r="Q497" i="5"/>
  <c r="Q509" i="5"/>
  <c r="Q501" i="5"/>
  <c r="Q496" i="5"/>
  <c r="Q505" i="5"/>
  <c r="Q508" i="5"/>
  <c r="Q512" i="5"/>
  <c r="Q510" i="5"/>
  <c r="Q500" i="5"/>
  <c r="Q511" i="5"/>
  <c r="L540" i="5"/>
  <c r="L538" i="5"/>
  <c r="L544" i="5"/>
  <c r="L537" i="5"/>
  <c r="L551" i="5"/>
  <c r="L549" i="5"/>
  <c r="L545" i="5"/>
  <c r="L546" i="5"/>
  <c r="L548" i="5"/>
  <c r="L536" i="5"/>
  <c r="Q523" i="5"/>
  <c r="T537" i="5"/>
  <c r="S546" i="5"/>
  <c r="Q532" i="5"/>
  <c r="Q521" i="5"/>
  <c r="P521" i="5"/>
  <c r="P529" i="5"/>
  <c r="P528" i="5"/>
  <c r="P517" i="5"/>
  <c r="P520" i="5"/>
  <c r="P524" i="5"/>
  <c r="P530" i="5"/>
  <c r="P525" i="5"/>
  <c r="W505" i="5"/>
  <c r="W509" i="5"/>
  <c r="W500" i="5"/>
  <c r="P516" i="5"/>
  <c r="P531" i="5"/>
  <c r="P532" i="5"/>
  <c r="W497" i="5"/>
  <c r="W499" i="5"/>
  <c r="W540" i="5"/>
  <c r="W536" i="5"/>
  <c r="L516" i="5"/>
  <c r="L520" i="5"/>
  <c r="L517" i="5"/>
  <c r="L528" i="5"/>
  <c r="L531" i="5"/>
  <c r="L530" i="5"/>
  <c r="L523" i="5"/>
  <c r="L529" i="5"/>
  <c r="L630" i="5"/>
  <c r="L864" i="5"/>
  <c r="W548" i="5"/>
  <c r="L737" i="5"/>
  <c r="L738" i="5" s="1"/>
  <c r="L92" i="9" s="1"/>
  <c r="L769" i="5"/>
  <c r="L743" i="5" s="1"/>
  <c r="Q531" i="5"/>
  <c r="Q520" i="5"/>
  <c r="Q519" i="5"/>
  <c r="Q517" i="5"/>
  <c r="Q526" i="5"/>
  <c r="Q528" i="5"/>
  <c r="Q525" i="5"/>
  <c r="AD98" i="5"/>
  <c r="T548" i="5"/>
  <c r="Q518" i="5"/>
  <c r="Q530" i="5"/>
  <c r="Q524" i="5"/>
  <c r="T550" i="5"/>
  <c r="S550" i="5"/>
  <c r="W552" i="5"/>
  <c r="W550" i="5"/>
  <c r="W539" i="5"/>
  <c r="W537" i="5"/>
  <c r="X545" i="5"/>
  <c r="W544" i="5"/>
  <c r="W545" i="5"/>
  <c r="W543" i="5"/>
  <c r="W549" i="5"/>
  <c r="W546" i="5"/>
  <c r="W541" i="5"/>
  <c r="W538" i="5"/>
  <c r="X516" i="5"/>
  <c r="X532" i="5"/>
  <c r="R485" i="5"/>
  <c r="R478" i="5"/>
  <c r="R480" i="5"/>
  <c r="Y271" i="5"/>
  <c r="V271" i="5"/>
  <c r="S271" i="5"/>
  <c r="Z271" i="5"/>
  <c r="O271" i="5"/>
  <c r="R271" i="5"/>
  <c r="U271" i="5"/>
  <c r="Q271" i="5"/>
  <c r="N271" i="5"/>
  <c r="W271" i="5"/>
  <c r="X271" i="5"/>
  <c r="T271" i="5"/>
  <c r="P271" i="5"/>
  <c r="L271" i="5"/>
  <c r="M271" i="5"/>
  <c r="AA271" i="5"/>
  <c r="L256" i="5"/>
  <c r="W272" i="5"/>
  <c r="S272" i="5"/>
  <c r="T272" i="5"/>
  <c r="R272" i="5"/>
  <c r="Q272" i="5"/>
  <c r="P272" i="5"/>
  <c r="V272" i="5"/>
  <c r="O272" i="5"/>
  <c r="X272" i="5"/>
  <c r="N272" i="5"/>
  <c r="AA272" i="5"/>
  <c r="AB272" i="5"/>
  <c r="Y272" i="5"/>
  <c r="M272" i="5"/>
  <c r="L272" i="5"/>
  <c r="U272" i="5"/>
  <c r="Z272" i="5"/>
  <c r="Q261" i="5"/>
  <c r="L261" i="5"/>
  <c r="N261" i="5"/>
  <c r="M261" i="5"/>
  <c r="O261" i="5"/>
  <c r="P261" i="5"/>
  <c r="W277" i="5"/>
  <c r="S277" i="5"/>
  <c r="O277" i="5"/>
  <c r="X277" i="5"/>
  <c r="Z277" i="5"/>
  <c r="R277" i="5"/>
  <c r="Q277" i="5"/>
  <c r="L277" i="5"/>
  <c r="AB277" i="5"/>
  <c r="T277" i="5"/>
  <c r="AA277" i="5"/>
  <c r="U277" i="5"/>
  <c r="N277" i="5"/>
  <c r="V277" i="5"/>
  <c r="Y277" i="5"/>
  <c r="P277" i="5"/>
  <c r="M277" i="5"/>
  <c r="AC277" i="5"/>
  <c r="M266" i="5"/>
  <c r="R266" i="5"/>
  <c r="L266" i="5"/>
  <c r="V266" i="5"/>
  <c r="T266" i="5"/>
  <c r="P266" i="5"/>
  <c r="S266" i="5"/>
  <c r="U266" i="5"/>
  <c r="O266" i="5"/>
  <c r="N266" i="5"/>
  <c r="Q266" i="5"/>
  <c r="AB282" i="5"/>
  <c r="T282" i="5"/>
  <c r="W282" i="5"/>
  <c r="M282" i="5"/>
  <c r="O282" i="5"/>
  <c r="S282" i="5"/>
  <c r="Y282" i="5"/>
  <c r="N282" i="5"/>
  <c r="U282" i="5"/>
  <c r="AC282" i="5"/>
  <c r="AA282" i="5"/>
  <c r="R282" i="5"/>
  <c r="P282" i="5"/>
  <c r="Z282" i="5"/>
  <c r="X282" i="5"/>
  <c r="L282" i="5"/>
  <c r="V282" i="5"/>
  <c r="Q282" i="5"/>
  <c r="AL524" i="5"/>
  <c r="AL519" i="5"/>
  <c r="AL516" i="5"/>
  <c r="AL525" i="5"/>
  <c r="AL528" i="5"/>
  <c r="AL529" i="5"/>
  <c r="AL517" i="5"/>
  <c r="AL520" i="5"/>
  <c r="AL532" i="5"/>
  <c r="AL530" i="5"/>
  <c r="AL531" i="5"/>
  <c r="AL518" i="5"/>
  <c r="AL523" i="5"/>
  <c r="AL521" i="5"/>
  <c r="AL526" i="5"/>
  <c r="AI490" i="5"/>
  <c r="AI477" i="5"/>
  <c r="AI492" i="5"/>
  <c r="AI488" i="5"/>
  <c r="AI483" i="5"/>
  <c r="AI491" i="5"/>
  <c r="AI486" i="5"/>
  <c r="AI480" i="5"/>
  <c r="AI481" i="5"/>
  <c r="AI479" i="5"/>
  <c r="AI478" i="5"/>
  <c r="AI484" i="5"/>
  <c r="AI489" i="5"/>
  <c r="AI485" i="5"/>
  <c r="AI476" i="5"/>
  <c r="AD475" i="5"/>
  <c r="AD436" i="5"/>
  <c r="AL496" i="5"/>
  <c r="AL504" i="5"/>
  <c r="AL505" i="5"/>
  <c r="AL501" i="5"/>
  <c r="AL499" i="5"/>
  <c r="AL506" i="5"/>
  <c r="AL500" i="5"/>
  <c r="AL508" i="5"/>
  <c r="AL497" i="5"/>
  <c r="AL498" i="5"/>
  <c r="AL510" i="5"/>
  <c r="AL511" i="5"/>
  <c r="AL512" i="5"/>
  <c r="AL509" i="5"/>
  <c r="AL503" i="5"/>
  <c r="AH480" i="5"/>
  <c r="AH484" i="5"/>
  <c r="AH492" i="5"/>
  <c r="AH491" i="5"/>
  <c r="AH483" i="5"/>
  <c r="AH485" i="5"/>
  <c r="AH486" i="5"/>
  <c r="AH490" i="5"/>
  <c r="AH477" i="5"/>
  <c r="AH481" i="5"/>
  <c r="AH488" i="5"/>
  <c r="AH478" i="5"/>
  <c r="AH489" i="5"/>
  <c r="AH479" i="5"/>
  <c r="AH476" i="5"/>
  <c r="AJ492" i="5"/>
  <c r="AJ490" i="5"/>
  <c r="AJ489" i="5"/>
  <c r="AJ484" i="5"/>
  <c r="AJ479" i="5"/>
  <c r="AJ480" i="5"/>
  <c r="AJ476" i="5"/>
  <c r="AJ491" i="5"/>
  <c r="AJ477" i="5"/>
  <c r="AJ486" i="5"/>
  <c r="AJ481" i="5"/>
  <c r="AJ483" i="5"/>
  <c r="AJ478" i="5"/>
  <c r="AJ488" i="5"/>
  <c r="AJ485" i="5"/>
  <c r="S217" i="5"/>
  <c r="O217" i="5"/>
  <c r="Q217" i="5"/>
  <c r="R217" i="5"/>
  <c r="M217" i="5"/>
  <c r="P217" i="5"/>
  <c r="N217" i="5"/>
  <c r="L217" i="5"/>
  <c r="O219" i="5"/>
  <c r="L219" i="5"/>
  <c r="M219" i="5"/>
  <c r="U219" i="5"/>
  <c r="R219" i="5"/>
  <c r="Q219" i="5"/>
  <c r="T219" i="5"/>
  <c r="S219" i="5"/>
  <c r="N219" i="5"/>
  <c r="P219" i="5"/>
  <c r="U221" i="5"/>
  <c r="P221" i="5"/>
  <c r="V221" i="5"/>
  <c r="M221" i="5"/>
  <c r="N221" i="5"/>
  <c r="S221" i="5"/>
  <c r="R221" i="5"/>
  <c r="L221" i="5"/>
  <c r="W221" i="5"/>
  <c r="T221" i="5"/>
  <c r="O221" i="5"/>
  <c r="Q221" i="5"/>
  <c r="L214" i="5"/>
  <c r="O214" i="5"/>
  <c r="P214" i="5"/>
  <c r="M214" i="5"/>
  <c r="N214" i="5"/>
  <c r="Z230" i="5"/>
  <c r="W230" i="5"/>
  <c r="R230" i="5"/>
  <c r="T230" i="5"/>
  <c r="N230" i="5"/>
  <c r="AA230" i="5"/>
  <c r="M230" i="5"/>
  <c r="Q230" i="5"/>
  <c r="X230" i="5"/>
  <c r="V230" i="5"/>
  <c r="P230" i="5"/>
  <c r="O230" i="5"/>
  <c r="L230" i="5"/>
  <c r="AC230" i="5"/>
  <c r="S230" i="5"/>
  <c r="AB230" i="5"/>
  <c r="Y230" i="5"/>
  <c r="U230" i="5"/>
  <c r="Q220" i="5"/>
  <c r="P220" i="5"/>
  <c r="S220" i="5"/>
  <c r="U220" i="5"/>
  <c r="R220" i="5"/>
  <c r="T220" i="5"/>
  <c r="N220" i="5"/>
  <c r="L220" i="5"/>
  <c r="O220" i="5"/>
  <c r="V220" i="5"/>
  <c r="M220" i="5"/>
  <c r="M236" i="5"/>
  <c r="S236" i="5"/>
  <c r="V236" i="5"/>
  <c r="Y236" i="5"/>
  <c r="T236" i="5"/>
  <c r="L236" i="5"/>
  <c r="Z236" i="5"/>
  <c r="O236" i="5"/>
  <c r="W236" i="5"/>
  <c r="AC236" i="5"/>
  <c r="P236" i="5"/>
  <c r="U236" i="5"/>
  <c r="R236" i="5"/>
  <c r="AB236" i="5"/>
  <c r="N236" i="5"/>
  <c r="Q236" i="5"/>
  <c r="AA236" i="5"/>
  <c r="X236" i="5"/>
  <c r="AJ519" i="5"/>
  <c r="AJ529" i="5"/>
  <c r="AJ521" i="5"/>
  <c r="AJ528" i="5"/>
  <c r="AM499" i="5"/>
  <c r="AM508" i="5"/>
  <c r="AM512" i="5"/>
  <c r="AM503" i="5"/>
  <c r="AM498" i="5"/>
  <c r="AM510" i="5"/>
  <c r="AM496" i="5"/>
  <c r="AM504" i="5"/>
  <c r="AM497" i="5"/>
  <c r="T488" i="5"/>
  <c r="T483" i="5"/>
  <c r="T484" i="5"/>
  <c r="T485" i="5"/>
  <c r="T478" i="5"/>
  <c r="T489" i="5"/>
  <c r="T480" i="5"/>
  <c r="T490" i="5"/>
  <c r="T476" i="5"/>
  <c r="T492" i="5"/>
  <c r="T486" i="5"/>
  <c r="T481" i="5"/>
  <c r="T491" i="5"/>
  <c r="T477" i="5"/>
  <c r="T479" i="5"/>
  <c r="M259" i="5"/>
  <c r="L259" i="5"/>
  <c r="N259" i="5"/>
  <c r="O259" i="5"/>
  <c r="V275" i="5"/>
  <c r="O275" i="5"/>
  <c r="P275" i="5"/>
  <c r="AB275" i="5"/>
  <c r="L275" i="5"/>
  <c r="M275" i="5"/>
  <c r="AC275" i="5"/>
  <c r="Z275" i="5"/>
  <c r="T275" i="5"/>
  <c r="X275" i="5"/>
  <c r="AA275" i="5"/>
  <c r="U275" i="5"/>
  <c r="N275" i="5"/>
  <c r="Q275" i="5"/>
  <c r="S275" i="5"/>
  <c r="R275" i="5"/>
  <c r="W275" i="5"/>
  <c r="Y275" i="5"/>
  <c r="M260" i="5"/>
  <c r="O260" i="5"/>
  <c r="L260" i="5"/>
  <c r="P260" i="5"/>
  <c r="N260" i="5"/>
  <c r="Z276" i="5"/>
  <c r="N276" i="5"/>
  <c r="S276" i="5"/>
  <c r="AA276" i="5"/>
  <c r="R276" i="5"/>
  <c r="P276" i="5"/>
  <c r="Y276" i="5"/>
  <c r="V276" i="5"/>
  <c r="L276" i="5"/>
  <c r="AC276" i="5"/>
  <c r="Q276" i="5"/>
  <c r="W276" i="5"/>
  <c r="AB276" i="5"/>
  <c r="O276" i="5"/>
  <c r="U276" i="5"/>
  <c r="X276" i="5"/>
  <c r="M276" i="5"/>
  <c r="T276" i="5"/>
  <c r="P265" i="5"/>
  <c r="U265" i="5"/>
  <c r="Q265" i="5"/>
  <c r="M265" i="5"/>
  <c r="L265" i="5"/>
  <c r="N265" i="5"/>
  <c r="T265" i="5"/>
  <c r="R265" i="5"/>
  <c r="S265" i="5"/>
  <c r="O265" i="5"/>
  <c r="AC281" i="5"/>
  <c r="AB281" i="5"/>
  <c r="X281" i="5"/>
  <c r="P281" i="5"/>
  <c r="O281" i="5"/>
  <c r="M281" i="5"/>
  <c r="T281" i="5"/>
  <c r="L281" i="5"/>
  <c r="U281" i="5"/>
  <c r="N281" i="5"/>
  <c r="R281" i="5"/>
  <c r="Q281" i="5"/>
  <c r="W281" i="5"/>
  <c r="Y281" i="5"/>
  <c r="Z281" i="5"/>
  <c r="AA281" i="5"/>
  <c r="V281" i="5"/>
  <c r="S281" i="5"/>
  <c r="L270" i="5"/>
  <c r="T270" i="5"/>
  <c r="Q270" i="5"/>
  <c r="R270" i="5"/>
  <c r="Y270" i="5"/>
  <c r="V270" i="5"/>
  <c r="S270" i="5"/>
  <c r="Z270" i="5"/>
  <c r="X270" i="5"/>
  <c r="M270" i="5"/>
  <c r="W270" i="5"/>
  <c r="N270" i="5"/>
  <c r="O270" i="5"/>
  <c r="U270" i="5"/>
  <c r="P270" i="5"/>
  <c r="AK475" i="5"/>
  <c r="Q568" i="5"/>
  <c r="Q564" i="5"/>
  <c r="Q558" i="5"/>
  <c r="Q570" i="5"/>
  <c r="Q557" i="5"/>
  <c r="Q555" i="5"/>
  <c r="Q556" i="5"/>
  <c r="Q567" i="5"/>
  <c r="Q563" i="5"/>
  <c r="Q560" i="5"/>
  <c r="R59" i="5"/>
  <c r="Q75" i="5"/>
  <c r="AN435" i="5"/>
  <c r="AN535" i="5" s="1"/>
  <c r="P625" i="5"/>
  <c r="AD525" i="5"/>
  <c r="AD528" i="5"/>
  <c r="AD517" i="5"/>
  <c r="AD531" i="5"/>
  <c r="AD519" i="5"/>
  <c r="AD526" i="5"/>
  <c r="AD521" i="5"/>
  <c r="AD520" i="5"/>
  <c r="AD532" i="5"/>
  <c r="AD516" i="5"/>
  <c r="AD529" i="5"/>
  <c r="AD523" i="5"/>
  <c r="AD530" i="5"/>
  <c r="AD524" i="5"/>
  <c r="AD518" i="5"/>
  <c r="M546" i="5"/>
  <c r="M552" i="5"/>
  <c r="M543" i="5"/>
  <c r="M539" i="5"/>
  <c r="M538" i="5"/>
  <c r="M551" i="5"/>
  <c r="M536" i="5"/>
  <c r="M549" i="5"/>
  <c r="M548" i="5"/>
  <c r="O215" i="5"/>
  <c r="N215" i="5"/>
  <c r="Q215" i="5"/>
  <c r="P215" i="5"/>
  <c r="M215" i="5"/>
  <c r="L215" i="5"/>
  <c r="U225" i="5"/>
  <c r="P225" i="5"/>
  <c r="W225" i="5"/>
  <c r="Y225" i="5"/>
  <c r="M225" i="5"/>
  <c r="R225" i="5"/>
  <c r="V225" i="5"/>
  <c r="Q225" i="5"/>
  <c r="O225" i="5"/>
  <c r="S225" i="5"/>
  <c r="Z225" i="5"/>
  <c r="T225" i="5"/>
  <c r="X225" i="5"/>
  <c r="N225" i="5"/>
  <c r="AA225" i="5"/>
  <c r="L225" i="5"/>
  <c r="T227" i="5"/>
  <c r="Y227" i="5"/>
  <c r="W227" i="5"/>
  <c r="Z227" i="5"/>
  <c r="Q227" i="5"/>
  <c r="P227" i="5"/>
  <c r="N227" i="5"/>
  <c r="R227" i="5"/>
  <c r="M227" i="5"/>
  <c r="U227" i="5"/>
  <c r="S227" i="5"/>
  <c r="L227" i="5"/>
  <c r="AB227" i="5"/>
  <c r="AA227" i="5"/>
  <c r="AC227" i="5"/>
  <c r="V227" i="5"/>
  <c r="O227" i="5"/>
  <c r="X227" i="5"/>
  <c r="W229" i="5"/>
  <c r="AC229" i="5"/>
  <c r="O229" i="5"/>
  <c r="S229" i="5"/>
  <c r="L229" i="5"/>
  <c r="U229" i="5"/>
  <c r="AB229" i="5"/>
  <c r="T229" i="5"/>
  <c r="M229" i="5"/>
  <c r="Y229" i="5"/>
  <c r="X229" i="5"/>
  <c r="Z229" i="5"/>
  <c r="P229" i="5"/>
  <c r="AA229" i="5"/>
  <c r="R229" i="5"/>
  <c r="Q229" i="5"/>
  <c r="N229" i="5"/>
  <c r="V229" i="5"/>
  <c r="S218" i="5"/>
  <c r="P218" i="5"/>
  <c r="T218" i="5"/>
  <c r="R218" i="5"/>
  <c r="O218" i="5"/>
  <c r="N218" i="5"/>
  <c r="L218" i="5"/>
  <c r="Q218" i="5"/>
  <c r="M218" i="5"/>
  <c r="W234" i="5"/>
  <c r="X234" i="5"/>
  <c r="N234" i="5"/>
  <c r="U234" i="5"/>
  <c r="L234" i="5"/>
  <c r="Y234" i="5"/>
  <c r="Z234" i="5"/>
  <c r="R234" i="5"/>
  <c r="V234" i="5"/>
  <c r="AC234" i="5"/>
  <c r="P234" i="5"/>
  <c r="M234" i="5"/>
  <c r="T234" i="5"/>
  <c r="Q234" i="5"/>
  <c r="S234" i="5"/>
  <c r="AA234" i="5"/>
  <c r="O234" i="5"/>
  <c r="AB234" i="5"/>
  <c r="P224" i="5"/>
  <c r="R224" i="5"/>
  <c r="Y224" i="5"/>
  <c r="Q224" i="5"/>
  <c r="N224" i="5"/>
  <c r="L224" i="5"/>
  <c r="W224" i="5"/>
  <c r="O224" i="5"/>
  <c r="X224" i="5"/>
  <c r="U224" i="5"/>
  <c r="Z224" i="5"/>
  <c r="S224" i="5"/>
  <c r="T224" i="5"/>
  <c r="M224" i="5"/>
  <c r="V224" i="5"/>
  <c r="U475" i="5"/>
  <c r="S491" i="5"/>
  <c r="S480" i="5"/>
  <c r="S490" i="5"/>
  <c r="S481" i="5"/>
  <c r="S489" i="5"/>
  <c r="S477" i="5"/>
  <c r="S492" i="5"/>
  <c r="S478" i="5"/>
  <c r="S488" i="5"/>
  <c r="S476" i="5"/>
  <c r="S483" i="5"/>
  <c r="S486" i="5"/>
  <c r="S484" i="5"/>
  <c r="S479" i="5"/>
  <c r="S485" i="5"/>
  <c r="AA481" i="5"/>
  <c r="AA489" i="5"/>
  <c r="AA479" i="5"/>
  <c r="AA484" i="5"/>
  <c r="AA478" i="5"/>
  <c r="AA483" i="5"/>
  <c r="AA488" i="5"/>
  <c r="AM475" i="5"/>
  <c r="Q475" i="5"/>
  <c r="Q436" i="5"/>
  <c r="P479" i="5"/>
  <c r="P486" i="5"/>
  <c r="P485" i="5"/>
  <c r="P491" i="5"/>
  <c r="P480" i="5"/>
  <c r="P489" i="5"/>
  <c r="P481" i="5"/>
  <c r="P492" i="5"/>
  <c r="M263" i="5"/>
  <c r="R263" i="5"/>
  <c r="Q263" i="5"/>
  <c r="S263" i="5"/>
  <c r="N263" i="5"/>
  <c r="O263" i="5"/>
  <c r="T279" i="5"/>
  <c r="AC279" i="5"/>
  <c r="U279" i="5"/>
  <c r="W279" i="5"/>
  <c r="O279" i="5"/>
  <c r="L279" i="5"/>
  <c r="N279" i="5"/>
  <c r="R279" i="5"/>
  <c r="Y279" i="5"/>
  <c r="M279" i="5"/>
  <c r="X279" i="5"/>
  <c r="V279" i="5"/>
  <c r="Z279" i="5"/>
  <c r="S279" i="5"/>
  <c r="AA279" i="5"/>
  <c r="AB279" i="5"/>
  <c r="Q279" i="5"/>
  <c r="P279" i="5"/>
  <c r="N264" i="5"/>
  <c r="Q264" i="5"/>
  <c r="T264" i="5"/>
  <c r="S264" i="5"/>
  <c r="L264" i="5"/>
  <c r="R264" i="5"/>
  <c r="M264" i="5"/>
  <c r="P264" i="5"/>
  <c r="O264" i="5"/>
  <c r="W280" i="5"/>
  <c r="O280" i="5"/>
  <c r="Q280" i="5"/>
  <c r="N280" i="5"/>
  <c r="T280" i="5"/>
  <c r="AB280" i="5"/>
  <c r="Y280" i="5"/>
  <c r="AC280" i="5"/>
  <c r="L280" i="5"/>
  <c r="U280" i="5"/>
  <c r="S280" i="5"/>
  <c r="V280" i="5"/>
  <c r="R280" i="5"/>
  <c r="M280" i="5"/>
  <c r="AA280" i="5"/>
  <c r="X280" i="5"/>
  <c r="P280" i="5"/>
  <c r="Z280" i="5"/>
  <c r="X269" i="5"/>
  <c r="O269" i="5"/>
  <c r="M269" i="5"/>
  <c r="Q269" i="5"/>
  <c r="Y269" i="5"/>
  <c r="U269" i="5"/>
  <c r="T269" i="5"/>
  <c r="P269" i="5"/>
  <c r="L269" i="5"/>
  <c r="V269" i="5"/>
  <c r="N269" i="5"/>
  <c r="R269" i="5"/>
  <c r="S269" i="5"/>
  <c r="W269" i="5"/>
  <c r="L258" i="5"/>
  <c r="N258" i="5"/>
  <c r="M258" i="5"/>
  <c r="AA274" i="5"/>
  <c r="T274" i="5"/>
  <c r="Y274" i="5"/>
  <c r="V274" i="5"/>
  <c r="AC274" i="5"/>
  <c r="O274" i="5"/>
  <c r="M274" i="5"/>
  <c r="Z274" i="5"/>
  <c r="Q274" i="5"/>
  <c r="P274" i="5"/>
  <c r="AB274" i="5"/>
  <c r="W274" i="5"/>
  <c r="U274" i="5"/>
  <c r="N274" i="5"/>
  <c r="S274" i="5"/>
  <c r="X274" i="5"/>
  <c r="L274" i="5"/>
  <c r="R274" i="5"/>
  <c r="Z506" i="5"/>
  <c r="Z498" i="5"/>
  <c r="Z511" i="5"/>
  <c r="Z496" i="5"/>
  <c r="Z504" i="5"/>
  <c r="Z500" i="5"/>
  <c r="Z512" i="5"/>
  <c r="Z503" i="5"/>
  <c r="Z508" i="5"/>
  <c r="Z505" i="5"/>
  <c r="Z501" i="5"/>
  <c r="Z499" i="5"/>
  <c r="Z509" i="5"/>
  <c r="Z497" i="5"/>
  <c r="Z510" i="5"/>
  <c r="AN506" i="5"/>
  <c r="AN503" i="5"/>
  <c r="AN496" i="5"/>
  <c r="AN498" i="5"/>
  <c r="AN504" i="5"/>
  <c r="AN500" i="5"/>
  <c r="AN510" i="5"/>
  <c r="AN511" i="5"/>
  <c r="AN499" i="5"/>
  <c r="AN497" i="5"/>
  <c r="AN501" i="5"/>
  <c r="AN505" i="5"/>
  <c r="AN509" i="5"/>
  <c r="AN512" i="5"/>
  <c r="AN508" i="5"/>
  <c r="N552" i="5"/>
  <c r="M475" i="5"/>
  <c r="AB486" i="5"/>
  <c r="AB483" i="5"/>
  <c r="AB477" i="5"/>
  <c r="AB488" i="5"/>
  <c r="AB478" i="5"/>
  <c r="AB484" i="5"/>
  <c r="AB491" i="5"/>
  <c r="AB476" i="5"/>
  <c r="AB481" i="5"/>
  <c r="AB490" i="5"/>
  <c r="AB489" i="5"/>
  <c r="AB492" i="5"/>
  <c r="AB485" i="5"/>
  <c r="AB479" i="5"/>
  <c r="AB480" i="5"/>
  <c r="N423" i="5"/>
  <c r="AN432" i="5"/>
  <c r="P223" i="5"/>
  <c r="L223" i="5"/>
  <c r="Y223" i="5"/>
  <c r="S223" i="5"/>
  <c r="N223" i="5"/>
  <c r="R223" i="5"/>
  <c r="X223" i="5"/>
  <c r="O223" i="5"/>
  <c r="W223" i="5"/>
  <c r="V223" i="5"/>
  <c r="T223" i="5"/>
  <c r="U223" i="5"/>
  <c r="M223" i="5"/>
  <c r="Q223" i="5"/>
  <c r="R233" i="5"/>
  <c r="W233" i="5"/>
  <c r="N233" i="5"/>
  <c r="AC233" i="5"/>
  <c r="AB233" i="5"/>
  <c r="T233" i="5"/>
  <c r="Z233" i="5"/>
  <c r="Q233" i="5"/>
  <c r="O233" i="5"/>
  <c r="P233" i="5"/>
  <c r="Y233" i="5"/>
  <c r="S233" i="5"/>
  <c r="M233" i="5"/>
  <c r="L233" i="5"/>
  <c r="V233" i="5"/>
  <c r="AA233" i="5"/>
  <c r="X233" i="5"/>
  <c r="U233" i="5"/>
  <c r="X235" i="5"/>
  <c r="Z235" i="5"/>
  <c r="R235" i="5"/>
  <c r="O235" i="5"/>
  <c r="Q235" i="5"/>
  <c r="S235" i="5"/>
  <c r="L235" i="5"/>
  <c r="P235" i="5"/>
  <c r="AC235" i="5"/>
  <c r="M235" i="5"/>
  <c r="AA235" i="5"/>
  <c r="V235" i="5"/>
  <c r="AB235" i="5"/>
  <c r="N235" i="5"/>
  <c r="T235" i="5"/>
  <c r="Y235" i="5"/>
  <c r="U235" i="5"/>
  <c r="W235" i="5"/>
  <c r="Z237" i="5"/>
  <c r="Y237" i="5"/>
  <c r="AB237" i="5"/>
  <c r="P237" i="5"/>
  <c r="R237" i="5"/>
  <c r="O237" i="5"/>
  <c r="S237" i="5"/>
  <c r="N237" i="5"/>
  <c r="X237" i="5"/>
  <c r="Q237" i="5"/>
  <c r="T237" i="5"/>
  <c r="W237" i="5"/>
  <c r="L237" i="5"/>
  <c r="U237" i="5"/>
  <c r="AC237" i="5"/>
  <c r="V237" i="5"/>
  <c r="M237" i="5"/>
  <c r="AA237" i="5"/>
  <c r="S222" i="5"/>
  <c r="O222" i="5"/>
  <c r="T222" i="5"/>
  <c r="R222" i="5"/>
  <c r="U222" i="5"/>
  <c r="W222" i="5"/>
  <c r="N222" i="5"/>
  <c r="P222" i="5"/>
  <c r="Q222" i="5"/>
  <c r="V222" i="5"/>
  <c r="L222" i="5"/>
  <c r="M222" i="5"/>
  <c r="X222" i="5"/>
  <c r="L212" i="5"/>
  <c r="N212" i="5"/>
  <c r="M212" i="5"/>
  <c r="Q228" i="5"/>
  <c r="M228" i="5"/>
  <c r="N228" i="5"/>
  <c r="R228" i="5"/>
  <c r="U228" i="5"/>
  <c r="L228" i="5"/>
  <c r="AC228" i="5"/>
  <c r="AB228" i="5"/>
  <c r="S228" i="5"/>
  <c r="P228" i="5"/>
  <c r="AA228" i="5"/>
  <c r="W228" i="5"/>
  <c r="O228" i="5"/>
  <c r="X228" i="5"/>
  <c r="Z228" i="5"/>
  <c r="T228" i="5"/>
  <c r="V228" i="5"/>
  <c r="Y228" i="5"/>
  <c r="V475" i="5"/>
  <c r="V436" i="5"/>
  <c r="AN434" i="5"/>
  <c r="AN515" i="5" s="1"/>
  <c r="V529" i="5"/>
  <c r="V518" i="5"/>
  <c r="V530" i="5"/>
  <c r="V532" i="5"/>
  <c r="V523" i="5"/>
  <c r="V519" i="5"/>
  <c r="V531" i="5"/>
  <c r="V528" i="5"/>
  <c r="V517" i="5"/>
  <c r="AL436" i="5"/>
  <c r="AL475" i="5"/>
  <c r="O619" i="5"/>
  <c r="U267" i="5"/>
  <c r="O267" i="5"/>
  <c r="R267" i="5"/>
  <c r="W267" i="5"/>
  <c r="Q267" i="5"/>
  <c r="T267" i="5"/>
  <c r="V267" i="5"/>
  <c r="M267" i="5"/>
  <c r="P267" i="5"/>
  <c r="S267" i="5"/>
  <c r="L267" i="5"/>
  <c r="N267" i="5"/>
  <c r="Y283" i="5"/>
  <c r="P283" i="5"/>
  <c r="Q283" i="5"/>
  <c r="Z283" i="5"/>
  <c r="R283" i="5"/>
  <c r="V283" i="5"/>
  <c r="T283" i="5"/>
  <c r="AC283" i="5"/>
  <c r="L283" i="5"/>
  <c r="W283" i="5"/>
  <c r="U283" i="5"/>
  <c r="N283" i="5"/>
  <c r="X283" i="5"/>
  <c r="M283" i="5"/>
  <c r="S283" i="5"/>
  <c r="AB283" i="5"/>
  <c r="AA283" i="5"/>
  <c r="O283" i="5"/>
  <c r="W268" i="5"/>
  <c r="U268" i="5"/>
  <c r="M268" i="5"/>
  <c r="N268" i="5"/>
  <c r="P268" i="5"/>
  <c r="L268" i="5"/>
  <c r="S268" i="5"/>
  <c r="R268" i="5"/>
  <c r="O268" i="5"/>
  <c r="X268" i="5"/>
  <c r="V268" i="5"/>
  <c r="T268" i="5"/>
  <c r="Q268" i="5"/>
  <c r="M257" i="5"/>
  <c r="L257" i="5"/>
  <c r="W273" i="5"/>
  <c r="P273" i="5"/>
  <c r="R273" i="5"/>
  <c r="AA273" i="5"/>
  <c r="AB273" i="5"/>
  <c r="X273" i="5"/>
  <c r="U273" i="5"/>
  <c r="V273" i="5"/>
  <c r="M273" i="5"/>
  <c r="T273" i="5"/>
  <c r="Q273" i="5"/>
  <c r="S273" i="5"/>
  <c r="O273" i="5"/>
  <c r="Z273" i="5"/>
  <c r="N273" i="5"/>
  <c r="L273" i="5"/>
  <c r="Y273" i="5"/>
  <c r="AC273" i="5"/>
  <c r="O262" i="5"/>
  <c r="P262" i="5"/>
  <c r="N262" i="5"/>
  <c r="M262" i="5"/>
  <c r="R262" i="5"/>
  <c r="Q262" i="5"/>
  <c r="L262" i="5"/>
  <c r="Z278" i="5"/>
  <c r="W278" i="5"/>
  <c r="M278" i="5"/>
  <c r="O278" i="5"/>
  <c r="Y278" i="5"/>
  <c r="AC278" i="5"/>
  <c r="Q278" i="5"/>
  <c r="AA278" i="5"/>
  <c r="U278" i="5"/>
  <c r="X278" i="5"/>
  <c r="N278" i="5"/>
  <c r="AB278" i="5"/>
  <c r="V278" i="5"/>
  <c r="T278" i="5"/>
  <c r="R278" i="5"/>
  <c r="P278" i="5"/>
  <c r="S278" i="5"/>
  <c r="L278" i="5"/>
  <c r="P29" i="5"/>
  <c r="P27" i="5"/>
  <c r="P28" i="5"/>
  <c r="Q16" i="5"/>
  <c r="AA538" i="5"/>
  <c r="AA540" i="5"/>
  <c r="AA552" i="5"/>
  <c r="AA546" i="5"/>
  <c r="AA551" i="5"/>
  <c r="N475" i="5"/>
  <c r="V506" i="5"/>
  <c r="V505" i="5"/>
  <c r="V497" i="5"/>
  <c r="V504" i="5"/>
  <c r="V500" i="5"/>
  <c r="V509" i="5"/>
  <c r="V496" i="5"/>
  <c r="V498" i="5"/>
  <c r="V501" i="5"/>
  <c r="V510" i="5"/>
  <c r="V511" i="5"/>
  <c r="V503" i="5"/>
  <c r="V512" i="5"/>
  <c r="V499" i="5"/>
  <c r="V508" i="5"/>
  <c r="Z486" i="5"/>
  <c r="Z477" i="5"/>
  <c r="Z483" i="5"/>
  <c r="Z490" i="5"/>
  <c r="Z484" i="5"/>
  <c r="Z488" i="5"/>
  <c r="Z485" i="5"/>
  <c r="Z489" i="5"/>
  <c r="Z480" i="5"/>
  <c r="Z476" i="5"/>
  <c r="Z478" i="5"/>
  <c r="Z492" i="5"/>
  <c r="Z479" i="5"/>
  <c r="Z491" i="5"/>
  <c r="Z481" i="5"/>
  <c r="U538" i="5"/>
  <c r="W477" i="5"/>
  <c r="W490" i="5"/>
  <c r="W483" i="5"/>
  <c r="W489" i="5"/>
  <c r="W491" i="5"/>
  <c r="W479" i="5"/>
  <c r="W480" i="5"/>
  <c r="W488" i="5"/>
  <c r="M944" i="5"/>
  <c r="S231" i="5"/>
  <c r="AC231" i="5"/>
  <c r="Q231" i="5"/>
  <c r="W231" i="5"/>
  <c r="M231" i="5"/>
  <c r="Z231" i="5"/>
  <c r="L231" i="5"/>
  <c r="N231" i="5"/>
  <c r="O231" i="5"/>
  <c r="V231" i="5"/>
  <c r="AB231" i="5"/>
  <c r="Y231" i="5"/>
  <c r="R231" i="5"/>
  <c r="P231" i="5"/>
  <c r="T231" i="5"/>
  <c r="AA231" i="5"/>
  <c r="U231" i="5"/>
  <c r="X231" i="5"/>
  <c r="L211" i="5"/>
  <c r="M211" i="5"/>
  <c r="N213" i="5"/>
  <c r="L213" i="5"/>
  <c r="M213" i="5"/>
  <c r="O213" i="5"/>
  <c r="L210" i="5"/>
  <c r="Z226" i="5"/>
  <c r="Q226" i="5"/>
  <c r="N226" i="5"/>
  <c r="W226" i="5"/>
  <c r="V226" i="5"/>
  <c r="R226" i="5"/>
  <c r="L226" i="5"/>
  <c r="X226" i="5"/>
  <c r="S226" i="5"/>
  <c r="Y226" i="5"/>
  <c r="U226" i="5"/>
  <c r="P226" i="5"/>
  <c r="AB226" i="5"/>
  <c r="O226" i="5"/>
  <c r="AA226" i="5"/>
  <c r="M226" i="5"/>
  <c r="T226" i="5"/>
  <c r="Q216" i="5"/>
  <c r="N216" i="5"/>
  <c r="P216" i="5"/>
  <c r="M216" i="5"/>
  <c r="R216" i="5"/>
  <c r="L216" i="5"/>
  <c r="O216" i="5"/>
  <c r="O232" i="5"/>
  <c r="U232" i="5"/>
  <c r="M232" i="5"/>
  <c r="Y232" i="5"/>
  <c r="AA232" i="5"/>
  <c r="L232" i="5"/>
  <c r="S232" i="5"/>
  <c r="AB232" i="5"/>
  <c r="AC232" i="5"/>
  <c r="T232" i="5"/>
  <c r="N232" i="5"/>
  <c r="Q232" i="5"/>
  <c r="W232" i="5"/>
  <c r="X232" i="5"/>
  <c r="R232" i="5"/>
  <c r="P232" i="5"/>
  <c r="V232" i="5"/>
  <c r="Z232" i="5"/>
  <c r="AD544" i="5"/>
  <c r="AD536" i="5"/>
  <c r="AD541" i="5"/>
  <c r="AD540" i="5"/>
  <c r="AD538" i="5"/>
  <c r="AD551" i="5"/>
  <c r="AD548" i="5"/>
  <c r="AD537" i="5"/>
  <c r="X537" i="5" l="1"/>
  <c r="W498" i="5"/>
  <c r="W508" i="5"/>
  <c r="P700" i="5"/>
  <c r="X550" i="5"/>
  <c r="AA497" i="5"/>
  <c r="AM530" i="5"/>
  <c r="X548" i="5"/>
  <c r="W504" i="5"/>
  <c r="X540" i="5"/>
  <c r="M447" i="5"/>
  <c r="M444" i="5" s="1"/>
  <c r="M9" i="9" s="1"/>
  <c r="P676" i="5"/>
  <c r="Z98" i="5"/>
  <c r="AF552" i="5"/>
  <c r="X541" i="5"/>
  <c r="X552" i="5"/>
  <c r="X539" i="5"/>
  <c r="W436" i="5"/>
  <c r="P724" i="5"/>
  <c r="X538" i="5"/>
  <c r="W510" i="5"/>
  <c r="W468" i="5" s="1"/>
  <c r="X543" i="5"/>
  <c r="X546" i="5"/>
  <c r="X544" i="5"/>
  <c r="AE516" i="5"/>
  <c r="W511" i="5"/>
  <c r="X551" i="5"/>
  <c r="W506" i="5"/>
  <c r="AC516" i="5"/>
  <c r="X549" i="5"/>
  <c r="AE518" i="5"/>
  <c r="W503" i="5"/>
  <c r="AM516" i="5"/>
  <c r="AA500" i="5"/>
  <c r="AA458" i="5" s="1"/>
  <c r="AA509" i="5"/>
  <c r="AF540" i="5"/>
  <c r="AC520" i="5"/>
  <c r="AA499" i="5"/>
  <c r="AB436" i="5"/>
  <c r="AM526" i="5"/>
  <c r="P112" i="5"/>
  <c r="O481" i="5"/>
  <c r="P823" i="5"/>
  <c r="P825" i="5" s="1"/>
  <c r="AA503" i="5"/>
  <c r="AA461" i="5" s="1"/>
  <c r="AF536" i="5"/>
  <c r="AB521" i="5"/>
  <c r="AB459" i="5" s="1"/>
  <c r="AL98" i="5"/>
  <c r="M650" i="5"/>
  <c r="M658" i="5" s="1"/>
  <c r="AC519" i="5"/>
  <c r="AM523" i="5"/>
  <c r="Q61" i="5"/>
  <c r="X491" i="5"/>
  <c r="P440" i="5"/>
  <c r="P446" i="5" s="1"/>
  <c r="AA505" i="5"/>
  <c r="AC531" i="5"/>
  <c r="AF537" i="5"/>
  <c r="AF543" i="5"/>
  <c r="AC521" i="5"/>
  <c r="AC436" i="5"/>
  <c r="AA501" i="5"/>
  <c r="AC528" i="5"/>
  <c r="AB518" i="5"/>
  <c r="AC524" i="5"/>
  <c r="AC517" i="5"/>
  <c r="P113" i="5"/>
  <c r="AA512" i="5"/>
  <c r="AM532" i="5"/>
  <c r="AM517" i="5"/>
  <c r="P609" i="5"/>
  <c r="P610" i="5" s="1"/>
  <c r="P608" i="5" s="1"/>
  <c r="P619" i="5" s="1"/>
  <c r="X477" i="5"/>
  <c r="AA511" i="5"/>
  <c r="AC532" i="5"/>
  <c r="AK523" i="5"/>
  <c r="AB532" i="5"/>
  <c r="P622" i="5"/>
  <c r="AF548" i="5"/>
  <c r="AA506" i="5"/>
  <c r="AM525" i="5"/>
  <c r="AC526" i="5"/>
  <c r="AM518" i="5"/>
  <c r="AB528" i="5"/>
  <c r="AB466" i="5" s="1"/>
  <c r="AM528" i="5"/>
  <c r="AM519" i="5"/>
  <c r="P617" i="5"/>
  <c r="P618" i="5" s="1"/>
  <c r="P616" i="5" s="1"/>
  <c r="AA508" i="5"/>
  <c r="AC530" i="5"/>
  <c r="AF550" i="5"/>
  <c r="AB530" i="5"/>
  <c r="AB468" i="5" s="1"/>
  <c r="AB531" i="5"/>
  <c r="P663" i="5"/>
  <c r="AM520" i="5"/>
  <c r="AA504" i="5"/>
  <c r="AM529" i="5"/>
  <c r="AC518" i="5"/>
  <c r="AB519" i="5"/>
  <c r="AB457" i="5" s="1"/>
  <c r="P439" i="5"/>
  <c r="P445" i="5" s="1"/>
  <c r="AA510" i="5"/>
  <c r="AB526" i="5"/>
  <c r="P442" i="5"/>
  <c r="AM531" i="5"/>
  <c r="AM521" i="5"/>
  <c r="P74" i="5"/>
  <c r="P78" i="5" s="1"/>
  <c r="AA498" i="5"/>
  <c r="AA456" i="5" s="1"/>
  <c r="AF544" i="5"/>
  <c r="AB524" i="5"/>
  <c r="P711" i="5"/>
  <c r="AC523" i="5"/>
  <c r="Q58" i="5"/>
  <c r="Q74" i="5" s="1"/>
  <c r="P441" i="5"/>
  <c r="AF538" i="5"/>
  <c r="AB516" i="5"/>
  <c r="AM436" i="5"/>
  <c r="AC529" i="5"/>
  <c r="AF546" i="5"/>
  <c r="N784" i="5"/>
  <c r="O491" i="5"/>
  <c r="Z517" i="5"/>
  <c r="Z455" i="5" s="1"/>
  <c r="X518" i="5"/>
  <c r="S540" i="5"/>
  <c r="W485" i="5"/>
  <c r="W463" i="5" s="1"/>
  <c r="O508" i="5"/>
  <c r="P477" i="5"/>
  <c r="P501" i="5"/>
  <c r="P459" i="5" s="1"/>
  <c r="P580" i="5" s="1"/>
  <c r="Z516" i="5"/>
  <c r="Z454" i="5" s="1"/>
  <c r="AM505" i="5"/>
  <c r="AC475" i="5"/>
  <c r="AC479" i="5" s="1"/>
  <c r="R483" i="5"/>
  <c r="X520" i="5"/>
  <c r="S548" i="5"/>
  <c r="AE540" i="5"/>
  <c r="AE538" i="5"/>
  <c r="AB525" i="5"/>
  <c r="AB463" i="5" s="1"/>
  <c r="M16" i="9"/>
  <c r="W492" i="5"/>
  <c r="W470" i="5" s="1"/>
  <c r="O503" i="5"/>
  <c r="P476" i="5"/>
  <c r="P454" i="5" s="1"/>
  <c r="P575" i="5" s="1"/>
  <c r="P499" i="5"/>
  <c r="P457" i="5" s="1"/>
  <c r="P578" i="5" s="1"/>
  <c r="Z529" i="5"/>
  <c r="Z467" i="5" s="1"/>
  <c r="AM501" i="5"/>
  <c r="R479" i="5"/>
  <c r="AE546" i="5"/>
  <c r="X530" i="5"/>
  <c r="AE524" i="5"/>
  <c r="O497" i="5"/>
  <c r="O509" i="5"/>
  <c r="P497" i="5"/>
  <c r="W486" i="5"/>
  <c r="W464" i="5" s="1"/>
  <c r="W481" i="5"/>
  <c r="W459" i="5" s="1"/>
  <c r="AI519" i="5"/>
  <c r="O500" i="5"/>
  <c r="P478" i="5"/>
  <c r="P456" i="5" s="1"/>
  <c r="P577" i="5" s="1"/>
  <c r="P511" i="5"/>
  <c r="P469" i="5" s="1"/>
  <c r="P592" i="5" s="1"/>
  <c r="Z518" i="5"/>
  <c r="Z456" i="5" s="1"/>
  <c r="AM506" i="5"/>
  <c r="R476" i="5"/>
  <c r="AE525" i="5"/>
  <c r="R551" i="5"/>
  <c r="P654" i="5"/>
  <c r="AI528" i="5"/>
  <c r="AE520" i="5"/>
  <c r="W484" i="5"/>
  <c r="W476" i="5"/>
  <c r="W454" i="5" s="1"/>
  <c r="AI523" i="5"/>
  <c r="N540" i="5"/>
  <c r="P488" i="5"/>
  <c r="P484" i="5"/>
  <c r="P462" i="5" s="1"/>
  <c r="P584" i="5" s="1"/>
  <c r="O483" i="5"/>
  <c r="O461" i="5" s="1"/>
  <c r="O583" i="5" s="1"/>
  <c r="Z531" i="5"/>
  <c r="Z469" i="5" s="1"/>
  <c r="AM511" i="5"/>
  <c r="X521" i="5"/>
  <c r="AE517" i="5"/>
  <c r="P436" i="5"/>
  <c r="AB517" i="5"/>
  <c r="AB455" i="5" s="1"/>
  <c r="AB523" i="5"/>
  <c r="AB461" i="5" s="1"/>
  <c r="L80" i="5"/>
  <c r="L747" i="5" s="1"/>
  <c r="L887" i="5"/>
  <c r="N80" i="5"/>
  <c r="N747" i="5" s="1"/>
  <c r="O80" i="5"/>
  <c r="O747" i="5" s="1"/>
  <c r="O504" i="5"/>
  <c r="Z532" i="5"/>
  <c r="Z470" i="5" s="1"/>
  <c r="AE532" i="5"/>
  <c r="AG531" i="5"/>
  <c r="AE544" i="5"/>
  <c r="U543" i="5"/>
  <c r="AF478" i="5"/>
  <c r="N551" i="5"/>
  <c r="P490" i="5"/>
  <c r="O488" i="5"/>
  <c r="AM500" i="5"/>
  <c r="X523" i="5"/>
  <c r="AE530" i="5"/>
  <c r="AE531" i="5"/>
  <c r="AE550" i="5"/>
  <c r="S498" i="5"/>
  <c r="AB529" i="5"/>
  <c r="L650" i="5"/>
  <c r="L658" i="5" s="1"/>
  <c r="T98" i="5"/>
  <c r="AK503" i="5"/>
  <c r="X483" i="5"/>
  <c r="P500" i="5"/>
  <c r="P458" i="5" s="1"/>
  <c r="P579" i="5" s="1"/>
  <c r="AK504" i="5"/>
  <c r="P726" i="5"/>
  <c r="AK509" i="5"/>
  <c r="P688" i="5"/>
  <c r="X485" i="5"/>
  <c r="AK517" i="5"/>
  <c r="U548" i="5"/>
  <c r="M519" i="5"/>
  <c r="O499" i="5"/>
  <c r="O457" i="5" s="1"/>
  <c r="O578" i="5" s="1"/>
  <c r="O490" i="5"/>
  <c r="X476" i="5"/>
  <c r="X454" i="5" s="1"/>
  <c r="X481" i="5"/>
  <c r="X459" i="5" s="1"/>
  <c r="P509" i="5"/>
  <c r="P467" i="5" s="1"/>
  <c r="P590" i="5" s="1"/>
  <c r="Z530" i="5"/>
  <c r="Z468" i="5" s="1"/>
  <c r="AK510" i="5"/>
  <c r="X436" i="5"/>
  <c r="S536" i="5"/>
  <c r="S537" i="5"/>
  <c r="S549" i="5"/>
  <c r="AK530" i="5"/>
  <c r="AE539" i="5"/>
  <c r="AG516" i="5"/>
  <c r="AG529" i="5"/>
  <c r="AE537" i="5"/>
  <c r="AE526" i="5"/>
  <c r="S511" i="5"/>
  <c r="O446" i="5"/>
  <c r="O444" i="5" s="1"/>
  <c r="O883" i="5" s="1"/>
  <c r="O882" i="5" s="1"/>
  <c r="O492" i="5"/>
  <c r="AK496" i="5"/>
  <c r="AE519" i="5"/>
  <c r="Z436" i="5"/>
  <c r="O489" i="5"/>
  <c r="P510" i="5"/>
  <c r="AK501" i="5"/>
  <c r="U552" i="5"/>
  <c r="M532" i="5"/>
  <c r="O501" i="5"/>
  <c r="O459" i="5" s="1"/>
  <c r="O580" i="5" s="1"/>
  <c r="O476" i="5"/>
  <c r="X479" i="5"/>
  <c r="X457" i="5" s="1"/>
  <c r="P505" i="5"/>
  <c r="P463" i="5" s="1"/>
  <c r="P585" i="5" s="1"/>
  <c r="Z525" i="5"/>
  <c r="Z463" i="5" s="1"/>
  <c r="AK499" i="5"/>
  <c r="X517" i="5"/>
  <c r="AG526" i="5"/>
  <c r="AG524" i="5"/>
  <c r="AG532" i="5"/>
  <c r="S538" i="5"/>
  <c r="S456" i="5" s="1"/>
  <c r="O599" i="5"/>
  <c r="R552" i="5"/>
  <c r="X492" i="5"/>
  <c r="X470" i="5" s="1"/>
  <c r="AI506" i="5"/>
  <c r="N668" i="5"/>
  <c r="N681" i="5" s="1"/>
  <c r="X489" i="5"/>
  <c r="P512" i="5"/>
  <c r="AK500" i="5"/>
  <c r="AK525" i="5"/>
  <c r="AK529" i="5"/>
  <c r="O484" i="5"/>
  <c r="X490" i="5"/>
  <c r="X468" i="5" s="1"/>
  <c r="P508" i="5"/>
  <c r="Z523" i="5"/>
  <c r="Z461" i="5" s="1"/>
  <c r="O506" i="5"/>
  <c r="AK521" i="5"/>
  <c r="AG530" i="5"/>
  <c r="AJ510" i="5"/>
  <c r="U544" i="5"/>
  <c r="AC545" i="5"/>
  <c r="O511" i="5"/>
  <c r="O496" i="5"/>
  <c r="O485" i="5"/>
  <c r="O463" i="5" s="1"/>
  <c r="O585" i="5" s="1"/>
  <c r="X486" i="5"/>
  <c r="X464" i="5" s="1"/>
  <c r="P503" i="5"/>
  <c r="P461" i="5" s="1"/>
  <c r="P583" i="5" s="1"/>
  <c r="Z526" i="5"/>
  <c r="Z464" i="5" s="1"/>
  <c r="AK512" i="5"/>
  <c r="X524" i="5"/>
  <c r="AG525" i="5"/>
  <c r="AG518" i="5"/>
  <c r="AG520" i="5"/>
  <c r="AK524" i="5"/>
  <c r="N601" i="5"/>
  <c r="O598" i="5"/>
  <c r="O597" i="5" s="1"/>
  <c r="AJ500" i="5"/>
  <c r="AK436" i="5"/>
  <c r="AI503" i="5"/>
  <c r="AK498" i="5"/>
  <c r="AK531" i="5"/>
  <c r="O478" i="5"/>
  <c r="AK519" i="5"/>
  <c r="AK528" i="5"/>
  <c r="U546" i="5"/>
  <c r="O510" i="5"/>
  <c r="O498" i="5"/>
  <c r="O480" i="5"/>
  <c r="X484" i="5"/>
  <c r="AE436" i="5"/>
  <c r="P504" i="5"/>
  <c r="P506" i="5"/>
  <c r="P464" i="5" s="1"/>
  <c r="P586" i="5" s="1"/>
  <c r="Z520" i="5"/>
  <c r="Z458" i="5" s="1"/>
  <c r="Z521" i="5"/>
  <c r="Z459" i="5" s="1"/>
  <c r="AK505" i="5"/>
  <c r="O436" i="5"/>
  <c r="X529" i="5"/>
  <c r="AG523" i="5"/>
  <c r="AG528" i="5"/>
  <c r="AG519" i="5"/>
  <c r="AK518" i="5"/>
  <c r="AE549" i="5"/>
  <c r="S505" i="5"/>
  <c r="AJ503" i="5"/>
  <c r="AE521" i="5"/>
  <c r="AK511" i="5"/>
  <c r="AI526" i="5"/>
  <c r="O477" i="5"/>
  <c r="AK506" i="5"/>
  <c r="P702" i="5"/>
  <c r="P712" i="5"/>
  <c r="X488" i="5"/>
  <c r="AK497" i="5"/>
  <c r="AK532" i="5"/>
  <c r="X478" i="5"/>
  <c r="Z528" i="5"/>
  <c r="Z466" i="5" s="1"/>
  <c r="U551" i="5"/>
  <c r="AI530" i="5"/>
  <c r="O512" i="5"/>
  <c r="O486" i="5"/>
  <c r="P496" i="5"/>
  <c r="Z519" i="5"/>
  <c r="Z457" i="5" s="1"/>
  <c r="X528" i="5"/>
  <c r="AG517" i="5"/>
  <c r="S545" i="5"/>
  <c r="AE523" i="5"/>
  <c r="AE528" i="5"/>
  <c r="AK516" i="5"/>
  <c r="AE541" i="5"/>
  <c r="S508" i="5"/>
  <c r="AE551" i="5"/>
  <c r="AK526" i="5"/>
  <c r="X525" i="5"/>
  <c r="O722" i="5"/>
  <c r="O730" i="5" s="1"/>
  <c r="N674" i="5"/>
  <c r="N682" i="5" s="1"/>
  <c r="L692" i="5"/>
  <c r="L705" i="5" s="1"/>
  <c r="S98" i="5"/>
  <c r="M516" i="5"/>
  <c r="AF496" i="5"/>
  <c r="AI511" i="5"/>
  <c r="M517" i="5"/>
  <c r="M530" i="5"/>
  <c r="M529" i="5"/>
  <c r="M531" i="5"/>
  <c r="AI517" i="5"/>
  <c r="AI455" i="5" s="1"/>
  <c r="N944" i="5"/>
  <c r="AF508" i="5"/>
  <c r="P599" i="5"/>
  <c r="AI508" i="5"/>
  <c r="AJ98" i="5"/>
  <c r="M526" i="5"/>
  <c r="AI521" i="5"/>
  <c r="AI518" i="5"/>
  <c r="X98" i="5"/>
  <c r="M528" i="5"/>
  <c r="AI516" i="5"/>
  <c r="AH519" i="5"/>
  <c r="AF511" i="5"/>
  <c r="P600" i="5"/>
  <c r="M600" i="5"/>
  <c r="M597" i="5" s="1"/>
  <c r="AI500" i="5"/>
  <c r="AI501" i="5"/>
  <c r="AI459" i="5" s="1"/>
  <c r="T530" i="5"/>
  <c r="T468" i="5" s="1"/>
  <c r="M668" i="5"/>
  <c r="M681" i="5" s="1"/>
  <c r="P664" i="5"/>
  <c r="M520" i="5"/>
  <c r="AI512" i="5"/>
  <c r="AI470" i="5" s="1"/>
  <c r="M644" i="5"/>
  <c r="M657" i="5" s="1"/>
  <c r="AI509" i="5"/>
  <c r="M698" i="5"/>
  <c r="M706" i="5" s="1"/>
  <c r="M524" i="5"/>
  <c r="AI436" i="5"/>
  <c r="AI529" i="5"/>
  <c r="AI510" i="5"/>
  <c r="AI468" i="5" s="1"/>
  <c r="P723" i="5"/>
  <c r="AF98" i="5"/>
  <c r="AI496" i="5"/>
  <c r="AF500" i="5"/>
  <c r="AI504" i="5"/>
  <c r="AI462" i="5" s="1"/>
  <c r="M523" i="5"/>
  <c r="M518" i="5"/>
  <c r="AI525" i="5"/>
  <c r="AH512" i="5"/>
  <c r="AH470" i="5" s="1"/>
  <c r="L446" i="5"/>
  <c r="AG550" i="5"/>
  <c r="AI505" i="5"/>
  <c r="AH538" i="5"/>
  <c r="M674" i="5"/>
  <c r="M682" i="5" s="1"/>
  <c r="N650" i="5"/>
  <c r="N658" i="5" s="1"/>
  <c r="M521" i="5"/>
  <c r="AI531" i="5"/>
  <c r="AI469" i="5" s="1"/>
  <c r="AI520" i="5"/>
  <c r="M436" i="5"/>
  <c r="AH496" i="5"/>
  <c r="AI498" i="5"/>
  <c r="N692" i="5"/>
  <c r="N705" i="5" s="1"/>
  <c r="AG98" i="5"/>
  <c r="AI524" i="5"/>
  <c r="AG540" i="5"/>
  <c r="AI499" i="5"/>
  <c r="N525" i="5"/>
  <c r="O115" i="5"/>
  <c r="P642" i="5"/>
  <c r="R98" i="5"/>
  <c r="O98" i="5"/>
  <c r="N526" i="5"/>
  <c r="U541" i="5"/>
  <c r="AC550" i="5"/>
  <c r="AA544" i="5"/>
  <c r="AA537" i="5"/>
  <c r="S519" i="5"/>
  <c r="AJ523" i="5"/>
  <c r="R486" i="5"/>
  <c r="T539" i="5"/>
  <c r="T538" i="5"/>
  <c r="AF539" i="5"/>
  <c r="L740" i="5"/>
  <c r="L82" i="5" s="1"/>
  <c r="L97" i="5" s="1"/>
  <c r="L500" i="5"/>
  <c r="Y501" i="5"/>
  <c r="AJ509" i="5"/>
  <c r="R540" i="5"/>
  <c r="R458" i="5" s="1"/>
  <c r="P710" i="5"/>
  <c r="P718" i="5"/>
  <c r="P690" i="5"/>
  <c r="T496" i="5"/>
  <c r="U98" i="5"/>
  <c r="O716" i="5"/>
  <c r="O729" i="5" s="1"/>
  <c r="N517" i="5"/>
  <c r="AH497" i="5"/>
  <c r="U540" i="5"/>
  <c r="N436" i="5"/>
  <c r="AA548" i="5"/>
  <c r="AA466" i="5" s="1"/>
  <c r="S524" i="5"/>
  <c r="N545" i="5"/>
  <c r="AJ530" i="5"/>
  <c r="R491" i="5"/>
  <c r="T541" i="5"/>
  <c r="AF551" i="5"/>
  <c r="S497" i="5"/>
  <c r="T543" i="5"/>
  <c r="T461" i="5" s="1"/>
  <c r="T497" i="5"/>
  <c r="P694" i="5"/>
  <c r="P709" i="5"/>
  <c r="R537" i="5"/>
  <c r="AF479" i="5"/>
  <c r="AC536" i="5"/>
  <c r="AJ498" i="5"/>
  <c r="AC552" i="5"/>
  <c r="AA550" i="5"/>
  <c r="P686" i="5"/>
  <c r="U536" i="5"/>
  <c r="AA539" i="5"/>
  <c r="S526" i="5"/>
  <c r="S464" i="5" s="1"/>
  <c r="N537" i="5"/>
  <c r="AJ520" i="5"/>
  <c r="R477" i="5"/>
  <c r="T540" i="5"/>
  <c r="S552" i="5"/>
  <c r="S496" i="5"/>
  <c r="AF549" i="5"/>
  <c r="Y504" i="5"/>
  <c r="R544" i="5"/>
  <c r="T511" i="5"/>
  <c r="P646" i="5"/>
  <c r="P661" i="5"/>
  <c r="N531" i="5"/>
  <c r="N548" i="5"/>
  <c r="N448" i="5"/>
  <c r="U545" i="5"/>
  <c r="S510" i="5"/>
  <c r="AA545" i="5"/>
  <c r="R490" i="5"/>
  <c r="U539" i="5"/>
  <c r="AA536" i="5"/>
  <c r="M21" i="5"/>
  <c r="M122" i="5" s="1"/>
  <c r="N546" i="5"/>
  <c r="R492" i="5"/>
  <c r="S544" i="5"/>
  <c r="AF545" i="5"/>
  <c r="S501" i="5"/>
  <c r="Y496" i="5"/>
  <c r="AJ499" i="5"/>
  <c r="P648" i="5"/>
  <c r="P637" i="5"/>
  <c r="T531" i="5"/>
  <c r="T532" i="5"/>
  <c r="O650" i="5"/>
  <c r="O658" i="5" s="1"/>
  <c r="AF477" i="5"/>
  <c r="AH505" i="5"/>
  <c r="R543" i="5"/>
  <c r="AA541" i="5"/>
  <c r="AJ505" i="5"/>
  <c r="U537" i="5"/>
  <c r="S531" i="5"/>
  <c r="N543" i="5"/>
  <c r="L503" i="5"/>
  <c r="S503" i="5"/>
  <c r="U550" i="5"/>
  <c r="AA549" i="5"/>
  <c r="AA467" i="5" s="1"/>
  <c r="M22" i="5"/>
  <c r="M123" i="5" s="1"/>
  <c r="N541" i="5"/>
  <c r="U436" i="5"/>
  <c r="R484" i="5"/>
  <c r="S539" i="5"/>
  <c r="Y505" i="5"/>
  <c r="O623" i="5"/>
  <c r="O626" i="5" s="1"/>
  <c r="AJ511" i="5"/>
  <c r="S500" i="5"/>
  <c r="S541" i="5"/>
  <c r="P720" i="5"/>
  <c r="Y506" i="5"/>
  <c r="N698" i="5"/>
  <c r="N706" i="5" s="1"/>
  <c r="AE98" i="5"/>
  <c r="P98" i="5"/>
  <c r="AA98" i="5"/>
  <c r="L716" i="5"/>
  <c r="L729" i="5" s="1"/>
  <c r="AC537" i="5"/>
  <c r="AJ506" i="5"/>
  <c r="N516" i="5"/>
  <c r="R481" i="5"/>
  <c r="S499" i="5"/>
  <c r="N530" i="5"/>
  <c r="S509" i="5"/>
  <c r="AJ496" i="5"/>
  <c r="N538" i="5"/>
  <c r="S436" i="5"/>
  <c r="R489" i="5"/>
  <c r="S551" i="5"/>
  <c r="T524" i="5"/>
  <c r="T519" i="5"/>
  <c r="P677" i="5"/>
  <c r="L698" i="5"/>
  <c r="L706" i="5" s="1"/>
  <c r="O644" i="5"/>
  <c r="O657" i="5" s="1"/>
  <c r="M722" i="5"/>
  <c r="M730" i="5" s="1"/>
  <c r="L644" i="5"/>
  <c r="L657" i="5" s="1"/>
  <c r="L668" i="5"/>
  <c r="L681" i="5" s="1"/>
  <c r="AG480" i="5"/>
  <c r="AH545" i="5"/>
  <c r="L335" i="5"/>
  <c r="AH436" i="5"/>
  <c r="AC551" i="5"/>
  <c r="AG485" i="5"/>
  <c r="S521" i="5"/>
  <c r="AJ543" i="5"/>
  <c r="AH509" i="5"/>
  <c r="AN94" i="5"/>
  <c r="L506" i="5"/>
  <c r="L497" i="5"/>
  <c r="Y523" i="5"/>
  <c r="T525" i="5"/>
  <c r="P689" i="5"/>
  <c r="T516" i="5"/>
  <c r="R518" i="5"/>
  <c r="L674" i="5"/>
  <c r="L682" i="5" s="1"/>
  <c r="N644" i="5"/>
  <c r="N657" i="5" s="1"/>
  <c r="AD549" i="5"/>
  <c r="N524" i="5"/>
  <c r="AC538" i="5"/>
  <c r="AG490" i="5"/>
  <c r="S532" i="5"/>
  <c r="V525" i="5"/>
  <c r="V526" i="5"/>
  <c r="AJ540" i="5"/>
  <c r="N549" i="5"/>
  <c r="AA476" i="5"/>
  <c r="AH499" i="5"/>
  <c r="M537" i="5"/>
  <c r="Q559" i="5"/>
  <c r="Q712" i="5" s="1"/>
  <c r="Q565" i="5"/>
  <c r="Q700" i="5" s="1"/>
  <c r="AJ518" i="5"/>
  <c r="AJ516" i="5"/>
  <c r="T436" i="5"/>
  <c r="T536" i="5"/>
  <c r="L524" i="5"/>
  <c r="L496" i="5"/>
  <c r="L511" i="5"/>
  <c r="Y531" i="5"/>
  <c r="P645" i="5"/>
  <c r="T520" i="5"/>
  <c r="AH543" i="5"/>
  <c r="Y528" i="5"/>
  <c r="O698" i="5"/>
  <c r="O706" i="5" s="1"/>
  <c r="N131" i="5"/>
  <c r="M25" i="5"/>
  <c r="M135" i="5" s="1"/>
  <c r="M631" i="5" s="1"/>
  <c r="M24" i="5"/>
  <c r="M134" i="5" s="1"/>
  <c r="M26" i="5"/>
  <c r="N520" i="5"/>
  <c r="AJ551" i="5"/>
  <c r="T517" i="5"/>
  <c r="N528" i="5"/>
  <c r="AC539" i="5"/>
  <c r="AH511" i="5"/>
  <c r="R516" i="5"/>
  <c r="AC544" i="5"/>
  <c r="S530" i="5"/>
  <c r="AJ524" i="5"/>
  <c r="L512" i="5"/>
  <c r="AD552" i="5"/>
  <c r="N532" i="5"/>
  <c r="AC541" i="5"/>
  <c r="AF491" i="5"/>
  <c r="S517" i="5"/>
  <c r="V521" i="5"/>
  <c r="AJ539" i="5"/>
  <c r="N536" i="5"/>
  <c r="AA491" i="5"/>
  <c r="AA469" i="5" s="1"/>
  <c r="AH500" i="5"/>
  <c r="M540" i="5"/>
  <c r="Q561" i="5"/>
  <c r="Q642" i="5" s="1"/>
  <c r="AJ525" i="5"/>
  <c r="AN96" i="5"/>
  <c r="T551" i="5"/>
  <c r="L526" i="5"/>
  <c r="L504" i="5"/>
  <c r="Y500" i="5"/>
  <c r="Y499" i="5"/>
  <c r="R539" i="5"/>
  <c r="R536" i="5"/>
  <c r="P675" i="5"/>
  <c r="L510" i="5"/>
  <c r="AJ550" i="5"/>
  <c r="AN97" i="5"/>
  <c r="P651" i="5"/>
  <c r="N519" i="5"/>
  <c r="AJ541" i="5"/>
  <c r="T528" i="5"/>
  <c r="T466" i="5" s="1"/>
  <c r="AD545" i="5"/>
  <c r="N529" i="5"/>
  <c r="AC549" i="5"/>
  <c r="AF488" i="5"/>
  <c r="S523" i="5"/>
  <c r="S461" i="5" s="1"/>
  <c r="S529" i="5"/>
  <c r="V520" i="5"/>
  <c r="N544" i="5"/>
  <c r="AA477" i="5"/>
  <c r="AA490" i="5"/>
  <c r="AH510" i="5"/>
  <c r="AH508" i="5"/>
  <c r="M545" i="5"/>
  <c r="Q562" i="5"/>
  <c r="Q670" i="5" s="1"/>
  <c r="AJ532" i="5"/>
  <c r="O944" i="5"/>
  <c r="L521" i="5"/>
  <c r="L501" i="5"/>
  <c r="Y498" i="5"/>
  <c r="Y509" i="5"/>
  <c r="Y497" i="5"/>
  <c r="N600" i="5"/>
  <c r="R548" i="5"/>
  <c r="R545" i="5"/>
  <c r="AJ504" i="5"/>
  <c r="R436" i="5"/>
  <c r="P693" i="5"/>
  <c r="L722" i="5"/>
  <c r="L730" i="5" s="1"/>
  <c r="T529" i="5"/>
  <c r="T467" i="5" s="1"/>
  <c r="AG483" i="5"/>
  <c r="AH552" i="5"/>
  <c r="Y526" i="5"/>
  <c r="T518" i="5"/>
  <c r="AC548" i="5"/>
  <c r="AF476" i="5"/>
  <c r="S516" i="5"/>
  <c r="S520" i="5"/>
  <c r="V516" i="5"/>
  <c r="AH544" i="5"/>
  <c r="N550" i="5"/>
  <c r="AA486" i="5"/>
  <c r="AA485" i="5"/>
  <c r="AH506" i="5"/>
  <c r="AH501" i="5"/>
  <c r="M541" i="5"/>
  <c r="Q77" i="5"/>
  <c r="Q571" i="5"/>
  <c r="Q601" i="5" s="1"/>
  <c r="AA436" i="5"/>
  <c r="AJ531" i="5"/>
  <c r="L525" i="5"/>
  <c r="L532" i="5"/>
  <c r="L509" i="5"/>
  <c r="T545" i="5"/>
  <c r="Y503" i="5"/>
  <c r="Y510" i="5"/>
  <c r="L447" i="5"/>
  <c r="N447" i="5"/>
  <c r="AJ497" i="5"/>
  <c r="P672" i="5"/>
  <c r="P699" i="5"/>
  <c r="T526" i="5"/>
  <c r="Q98" i="5"/>
  <c r="W98" i="5"/>
  <c r="O692" i="5"/>
  <c r="O705" i="5" s="1"/>
  <c r="AI98" i="5"/>
  <c r="M692" i="5"/>
  <c r="M705" i="5" s="1"/>
  <c r="L631" i="5"/>
  <c r="L632" i="5" s="1"/>
  <c r="L18" i="9" s="1"/>
  <c r="L137" i="5"/>
  <c r="N521" i="5"/>
  <c r="S525" i="5"/>
  <c r="L499" i="5"/>
  <c r="L505" i="5"/>
  <c r="AH503" i="5"/>
  <c r="AJ517" i="5"/>
  <c r="T544" i="5"/>
  <c r="P669" i="5"/>
  <c r="AD539" i="5"/>
  <c r="AD543" i="5"/>
  <c r="N518" i="5"/>
  <c r="AC540" i="5"/>
  <c r="AD546" i="5"/>
  <c r="AC546" i="5"/>
  <c r="AF485" i="5"/>
  <c r="S528" i="5"/>
  <c r="AH550" i="5"/>
  <c r="AA492" i="5"/>
  <c r="AA470" i="5" s="1"/>
  <c r="AH504" i="5"/>
  <c r="M550" i="5"/>
  <c r="Q76" i="5"/>
  <c r="T552" i="5"/>
  <c r="L518" i="5"/>
  <c r="L498" i="5"/>
  <c r="T546" i="5"/>
  <c r="Y512" i="5"/>
  <c r="L599" i="5"/>
  <c r="L597" i="5" s="1"/>
  <c r="Y508" i="5"/>
  <c r="AJ501" i="5"/>
  <c r="T521" i="5"/>
  <c r="V98" i="5"/>
  <c r="N722" i="5"/>
  <c r="N730" i="5" s="1"/>
  <c r="O674" i="5"/>
  <c r="O682" i="5" s="1"/>
  <c r="M716" i="5"/>
  <c r="M729" i="5" s="1"/>
  <c r="L944" i="5"/>
  <c r="Y521" i="5"/>
  <c r="Y532" i="5"/>
  <c r="R531" i="5"/>
  <c r="AF481" i="5"/>
  <c r="AG486" i="5"/>
  <c r="AJ548" i="5"/>
  <c r="AJ466" i="5" s="1"/>
  <c r="AH549" i="5"/>
  <c r="AH524" i="5"/>
  <c r="AH516" i="5"/>
  <c r="Y525" i="5"/>
  <c r="L475" i="5"/>
  <c r="L476" i="5" s="1"/>
  <c r="L445" i="5"/>
  <c r="R541" i="5"/>
  <c r="R546" i="5"/>
  <c r="P655" i="5"/>
  <c r="R549" i="5"/>
  <c r="R524" i="5"/>
  <c r="AG543" i="5"/>
  <c r="AF436" i="5"/>
  <c r="AF503" i="5"/>
  <c r="AH526" i="5"/>
  <c r="R532" i="5"/>
  <c r="AH523" i="5"/>
  <c r="Y520" i="5"/>
  <c r="AH540" i="5"/>
  <c r="R526" i="5"/>
  <c r="AF492" i="5"/>
  <c r="AF486" i="5"/>
  <c r="AG489" i="5"/>
  <c r="AJ552" i="5"/>
  <c r="AH546" i="5"/>
  <c r="AH525" i="5"/>
  <c r="AG538" i="5"/>
  <c r="Y524" i="5"/>
  <c r="AF497" i="5"/>
  <c r="AF501" i="5"/>
  <c r="R538" i="5"/>
  <c r="P701" i="5"/>
  <c r="N716" i="5"/>
  <c r="N729" i="5" s="1"/>
  <c r="R519" i="5"/>
  <c r="R528" i="5"/>
  <c r="AH517" i="5"/>
  <c r="AH520" i="5"/>
  <c r="P727" i="5"/>
  <c r="AH528" i="5"/>
  <c r="AJ436" i="5"/>
  <c r="AF483" i="5"/>
  <c r="AF490" i="5"/>
  <c r="AF468" i="5" s="1"/>
  <c r="AG492" i="5"/>
  <c r="AG479" i="5"/>
  <c r="AJ545" i="5"/>
  <c r="AJ546" i="5"/>
  <c r="AH551" i="5"/>
  <c r="AH518" i="5"/>
  <c r="AH456" i="5" s="1"/>
  <c r="AG544" i="5"/>
  <c r="AF512" i="5"/>
  <c r="AF509" i="5"/>
  <c r="P62" i="5"/>
  <c r="P623" i="5" s="1"/>
  <c r="P626" i="5" s="1"/>
  <c r="P627" i="5" s="1"/>
  <c r="P695" i="5"/>
  <c r="P725" i="5"/>
  <c r="R529" i="5"/>
  <c r="R523" i="5"/>
  <c r="AG551" i="5"/>
  <c r="AG548" i="5"/>
  <c r="P679" i="5"/>
  <c r="AG491" i="5"/>
  <c r="AG546" i="5"/>
  <c r="AF489" i="5"/>
  <c r="AG476" i="5"/>
  <c r="AG481" i="5"/>
  <c r="AJ536" i="5"/>
  <c r="AJ544" i="5"/>
  <c r="AH541" i="5"/>
  <c r="AH531" i="5"/>
  <c r="I535" i="5"/>
  <c r="AG537" i="5"/>
  <c r="AG552" i="5"/>
  <c r="L436" i="5"/>
  <c r="Y517" i="5"/>
  <c r="P671" i="5"/>
  <c r="P713" i="5"/>
  <c r="R525" i="5"/>
  <c r="AH521" i="5"/>
  <c r="I495" i="5"/>
  <c r="AH537" i="5"/>
  <c r="AH530" i="5"/>
  <c r="AG478" i="5"/>
  <c r="Y519" i="5"/>
  <c r="AF504" i="5"/>
  <c r="Y529" i="5"/>
  <c r="R521" i="5"/>
  <c r="AF480" i="5"/>
  <c r="AG477" i="5"/>
  <c r="AG488" i="5"/>
  <c r="AJ549" i="5"/>
  <c r="AJ537" i="5"/>
  <c r="AH536" i="5"/>
  <c r="Y436" i="5"/>
  <c r="AH529" i="5"/>
  <c r="AG541" i="5"/>
  <c r="AG436" i="5"/>
  <c r="AF505" i="5"/>
  <c r="AF506" i="5"/>
  <c r="Y530" i="5"/>
  <c r="AJ512" i="5"/>
  <c r="P662" i="5"/>
  <c r="P719" i="5"/>
  <c r="P665" i="5"/>
  <c r="O668" i="5"/>
  <c r="O681" i="5" s="1"/>
  <c r="R530" i="5"/>
  <c r="AF499" i="5"/>
  <c r="AH539" i="5"/>
  <c r="AF498" i="5"/>
  <c r="I515" i="5"/>
  <c r="AG545" i="5"/>
  <c r="Y516" i="5"/>
  <c r="AG549" i="5"/>
  <c r="AG536" i="5"/>
  <c r="R517" i="5"/>
  <c r="W466" i="5"/>
  <c r="L945" i="5"/>
  <c r="P114" i="5"/>
  <c r="P295" i="5"/>
  <c r="M124" i="5"/>
  <c r="M335" i="5"/>
  <c r="L125" i="5"/>
  <c r="L86" i="9"/>
  <c r="L87" i="9" s="1"/>
  <c r="L745" i="5"/>
  <c r="L63" i="9" s="1"/>
  <c r="L62" i="9" s="1"/>
  <c r="P448" i="5"/>
  <c r="P447" i="5"/>
  <c r="AB458" i="5"/>
  <c r="AB467" i="5"/>
  <c r="W469" i="5"/>
  <c r="Q679" i="5"/>
  <c r="Q703" i="5"/>
  <c r="Q727" i="5"/>
  <c r="Q655" i="5"/>
  <c r="Q718" i="5"/>
  <c r="Q652" i="5"/>
  <c r="Q695" i="5"/>
  <c r="Q719" i="5"/>
  <c r="Q671" i="5"/>
  <c r="Q647" i="5"/>
  <c r="Q723" i="5"/>
  <c r="Q699" i="5"/>
  <c r="Q717" i="5"/>
  <c r="Q693" i="5"/>
  <c r="Q675" i="5"/>
  <c r="Q669" i="5"/>
  <c r="Q651" i="5"/>
  <c r="Q645" i="5"/>
  <c r="Q677" i="5"/>
  <c r="Q701" i="5"/>
  <c r="Q653" i="5"/>
  <c r="Q725" i="5"/>
  <c r="Q648" i="5"/>
  <c r="Q672" i="5"/>
  <c r="Q720" i="5"/>
  <c r="Q696" i="5"/>
  <c r="Q702" i="5"/>
  <c r="Q726" i="5"/>
  <c r="Q678" i="5"/>
  <c r="Q654" i="5"/>
  <c r="Q686" i="5"/>
  <c r="Q638" i="5"/>
  <c r="Q710" i="5"/>
  <c r="Q662" i="5"/>
  <c r="Q713" i="5"/>
  <c r="Q641" i="5"/>
  <c r="Q665" i="5"/>
  <c r="Q689" i="5"/>
  <c r="Q685" i="5"/>
  <c r="Q709" i="5"/>
  <c r="Q661" i="5"/>
  <c r="Q637" i="5"/>
  <c r="Q639" i="5"/>
  <c r="Q687" i="5"/>
  <c r="Q663" i="5"/>
  <c r="Q711" i="5"/>
  <c r="AB454" i="5"/>
  <c r="AB470" i="5"/>
  <c r="AB469" i="5"/>
  <c r="W457" i="5"/>
  <c r="W461" i="5"/>
  <c r="AB462" i="5"/>
  <c r="AB464" i="5"/>
  <c r="Q599" i="5"/>
  <c r="Q598" i="5"/>
  <c r="Q600" i="5"/>
  <c r="W458" i="5"/>
  <c r="AB456" i="5"/>
  <c r="P470" i="5"/>
  <c r="P593" i="5" s="1"/>
  <c r="W456" i="5"/>
  <c r="W467" i="5"/>
  <c r="W455" i="5"/>
  <c r="P466" i="5"/>
  <c r="P589" i="5" s="1"/>
  <c r="X456" i="5"/>
  <c r="P455" i="5"/>
  <c r="P576" i="5" s="1"/>
  <c r="Z462" i="5"/>
  <c r="M747" i="5"/>
  <c r="N484" i="5"/>
  <c r="N492" i="5"/>
  <c r="N486" i="5"/>
  <c r="N477" i="5"/>
  <c r="N490" i="5"/>
  <c r="N489" i="5"/>
  <c r="N478" i="5"/>
  <c r="N479" i="5"/>
  <c r="N488" i="5"/>
  <c r="N480" i="5"/>
  <c r="N476" i="5"/>
  <c r="N491" i="5"/>
  <c r="N483" i="5"/>
  <c r="N481" i="5"/>
  <c r="N485" i="5"/>
  <c r="Q28" i="5"/>
  <c r="Q113" i="5" s="1"/>
  <c r="Q29" i="5"/>
  <c r="Q27" i="5"/>
  <c r="R16" i="5"/>
  <c r="AE484" i="5"/>
  <c r="AE488" i="5"/>
  <c r="AE491" i="5"/>
  <c r="AE486" i="5"/>
  <c r="AE492" i="5"/>
  <c r="AE490" i="5"/>
  <c r="AE476" i="5"/>
  <c r="AE454" i="5" s="1"/>
  <c r="AE479" i="5"/>
  <c r="AE477" i="5"/>
  <c r="AE480" i="5"/>
  <c r="AE485" i="5"/>
  <c r="AE489" i="5"/>
  <c r="AE478" i="5"/>
  <c r="AE481" i="5"/>
  <c r="AE483" i="5"/>
  <c r="AN551" i="5"/>
  <c r="AN548" i="5"/>
  <c r="AN538" i="5"/>
  <c r="AN550" i="5"/>
  <c r="AN546" i="5"/>
  <c r="AN545" i="5"/>
  <c r="AN536" i="5"/>
  <c r="AN544" i="5"/>
  <c r="AN543" i="5"/>
  <c r="AN539" i="5"/>
  <c r="AN552" i="5"/>
  <c r="AN549" i="5"/>
  <c r="AN541" i="5"/>
  <c r="AN540" i="5"/>
  <c r="AN537" i="5"/>
  <c r="AC483" i="5"/>
  <c r="V479" i="5"/>
  <c r="V457" i="5" s="1"/>
  <c r="V489" i="5"/>
  <c r="V467" i="5" s="1"/>
  <c r="V490" i="5"/>
  <c r="V468" i="5" s="1"/>
  <c r="V491" i="5"/>
  <c r="V469" i="5" s="1"/>
  <c r="V477" i="5"/>
  <c r="V455" i="5" s="1"/>
  <c r="V483" i="5"/>
  <c r="V461" i="5" s="1"/>
  <c r="V481" i="5"/>
  <c r="V492" i="5"/>
  <c r="V470" i="5" s="1"/>
  <c r="V485" i="5"/>
  <c r="V476" i="5"/>
  <c r="V486" i="5"/>
  <c r="V478" i="5"/>
  <c r="V456" i="5" s="1"/>
  <c r="V480" i="5"/>
  <c r="V488" i="5"/>
  <c r="V466" i="5" s="1"/>
  <c r="V484" i="5"/>
  <c r="V462" i="5" s="1"/>
  <c r="AN436" i="5"/>
  <c r="AN475" i="5"/>
  <c r="N22" i="5"/>
  <c r="N123" i="5" s="1"/>
  <c r="N122" i="5"/>
  <c r="N23" i="5"/>
  <c r="O423" i="5"/>
  <c r="Q488" i="5"/>
  <c r="Q466" i="5" s="1"/>
  <c r="Q589" i="5" s="1"/>
  <c r="Q479" i="5"/>
  <c r="Q457" i="5" s="1"/>
  <c r="Q484" i="5"/>
  <c r="Q462" i="5" s="1"/>
  <c r="Q480" i="5"/>
  <c r="Q458" i="5" s="1"/>
  <c r="Q579" i="5" s="1"/>
  <c r="Q489" i="5"/>
  <c r="Q467" i="5" s="1"/>
  <c r="Q486" i="5"/>
  <c r="Q464" i="5" s="1"/>
  <c r="Q586" i="5" s="1"/>
  <c r="Q485" i="5"/>
  <c r="Q463" i="5" s="1"/>
  <c r="Q585" i="5" s="1"/>
  <c r="Q490" i="5"/>
  <c r="Q468" i="5" s="1"/>
  <c r="Q591" i="5" s="1"/>
  <c r="Q483" i="5"/>
  <c r="Q461" i="5" s="1"/>
  <c r="Q583" i="5" s="1"/>
  <c r="Q481" i="5"/>
  <c r="Q459" i="5" s="1"/>
  <c r="Q491" i="5"/>
  <c r="Q469" i="5" s="1"/>
  <c r="Q592" i="5" s="1"/>
  <c r="Q476" i="5"/>
  <c r="Q454" i="5" s="1"/>
  <c r="Q575" i="5" s="1"/>
  <c r="Q492" i="5"/>
  <c r="Q470" i="5" s="1"/>
  <c r="Q593" i="5" s="1"/>
  <c r="Q477" i="5"/>
  <c r="Q455" i="5" s="1"/>
  <c r="Q576" i="5" s="1"/>
  <c r="Q478" i="5"/>
  <c r="Q456" i="5" s="1"/>
  <c r="Q577" i="5" s="1"/>
  <c r="Y489" i="5"/>
  <c r="Y479" i="5"/>
  <c r="Y488" i="5"/>
  <c r="Y486" i="5"/>
  <c r="Y491" i="5"/>
  <c r="Y477" i="5"/>
  <c r="Y490" i="5"/>
  <c r="Y478" i="5"/>
  <c r="Y485" i="5"/>
  <c r="Y492" i="5"/>
  <c r="Y483" i="5"/>
  <c r="Y484" i="5"/>
  <c r="Y476" i="5"/>
  <c r="Y480" i="5"/>
  <c r="Y481" i="5"/>
  <c r="AK476" i="5"/>
  <c r="AK492" i="5"/>
  <c r="AK477" i="5"/>
  <c r="AK480" i="5"/>
  <c r="AK483" i="5"/>
  <c r="AK484" i="5"/>
  <c r="AK486" i="5"/>
  <c r="AK485" i="5"/>
  <c r="AK490" i="5"/>
  <c r="AK491" i="5"/>
  <c r="AK481" i="5"/>
  <c r="AK488" i="5"/>
  <c r="AK489" i="5"/>
  <c r="AK478" i="5"/>
  <c r="AK479" i="5"/>
  <c r="AL478" i="5"/>
  <c r="AL456" i="5" s="1"/>
  <c r="AL488" i="5"/>
  <c r="AL466" i="5" s="1"/>
  <c r="AL477" i="5"/>
  <c r="AL455" i="5" s="1"/>
  <c r="AL476" i="5"/>
  <c r="AL454" i="5" s="1"/>
  <c r="AL486" i="5"/>
  <c r="AL464" i="5" s="1"/>
  <c r="AL479" i="5"/>
  <c r="AL457" i="5" s="1"/>
  <c r="AL489" i="5"/>
  <c r="AL467" i="5" s="1"/>
  <c r="AL491" i="5"/>
  <c r="AL469" i="5" s="1"/>
  <c r="AL490" i="5"/>
  <c r="AL468" i="5" s="1"/>
  <c r="AL485" i="5"/>
  <c r="AL463" i="5" s="1"/>
  <c r="AL481" i="5"/>
  <c r="AL459" i="5" s="1"/>
  <c r="AL483" i="5"/>
  <c r="AL461" i="5" s="1"/>
  <c r="AL484" i="5"/>
  <c r="AL462" i="5" s="1"/>
  <c r="AL492" i="5"/>
  <c r="AL470" i="5" s="1"/>
  <c r="AL480" i="5"/>
  <c r="AL458" i="5" s="1"/>
  <c r="AM486" i="5"/>
  <c r="AM464" i="5" s="1"/>
  <c r="AM490" i="5"/>
  <c r="AM483" i="5"/>
  <c r="AM461" i="5" s="1"/>
  <c r="AM484" i="5"/>
  <c r="AM462" i="5" s="1"/>
  <c r="AM481" i="5"/>
  <c r="AM488" i="5"/>
  <c r="AM479" i="5"/>
  <c r="AM476" i="5"/>
  <c r="AM477" i="5"/>
  <c r="AM480" i="5"/>
  <c r="AM478" i="5"/>
  <c r="AM485" i="5"/>
  <c r="AM489" i="5"/>
  <c r="AM467" i="5" s="1"/>
  <c r="AM491" i="5"/>
  <c r="AM469" i="5" s="1"/>
  <c r="AM492" i="5"/>
  <c r="Q622" i="5"/>
  <c r="AD490" i="5"/>
  <c r="AD468" i="5" s="1"/>
  <c r="AD484" i="5"/>
  <c r="AD462" i="5" s="1"/>
  <c r="AD491" i="5"/>
  <c r="AD469" i="5" s="1"/>
  <c r="AD481" i="5"/>
  <c r="AD459" i="5" s="1"/>
  <c r="AD477" i="5"/>
  <c r="AD455" i="5" s="1"/>
  <c r="AD480" i="5"/>
  <c r="AD458" i="5" s="1"/>
  <c r="AD489" i="5"/>
  <c r="AD492" i="5"/>
  <c r="AD479" i="5"/>
  <c r="AD488" i="5"/>
  <c r="AD466" i="5" s="1"/>
  <c r="AD476" i="5"/>
  <c r="AD454" i="5" s="1"/>
  <c r="AD478" i="5"/>
  <c r="AD456" i="5" s="1"/>
  <c r="AD486" i="5"/>
  <c r="AD483" i="5"/>
  <c r="AD485" i="5"/>
  <c r="AN531" i="5"/>
  <c r="AN529" i="5"/>
  <c r="AN528" i="5"/>
  <c r="AN524" i="5"/>
  <c r="AN516" i="5"/>
  <c r="AN517" i="5"/>
  <c r="AN532" i="5"/>
  <c r="AN520" i="5"/>
  <c r="AN525" i="5"/>
  <c r="AN521" i="5"/>
  <c r="AN518" i="5"/>
  <c r="AN526" i="5"/>
  <c r="AN523" i="5"/>
  <c r="AN519" i="5"/>
  <c r="AN530" i="5"/>
  <c r="M479" i="5"/>
  <c r="M491" i="5"/>
  <c r="M480" i="5"/>
  <c r="M458" i="5" s="1"/>
  <c r="M579" i="5" s="1"/>
  <c r="M484" i="5"/>
  <c r="M488" i="5"/>
  <c r="M486" i="5"/>
  <c r="M483" i="5"/>
  <c r="M489" i="5"/>
  <c r="M476" i="5"/>
  <c r="M477" i="5"/>
  <c r="M478" i="5"/>
  <c r="M490" i="5"/>
  <c r="M481" i="5"/>
  <c r="M485" i="5"/>
  <c r="M492" i="5"/>
  <c r="M470" i="5" s="1"/>
  <c r="M593" i="5" s="1"/>
  <c r="Q617" i="5"/>
  <c r="Q618" i="5" s="1"/>
  <c r="Q616" i="5" s="1"/>
  <c r="Q613" i="5"/>
  <c r="Q614" i="5" s="1"/>
  <c r="Q612" i="5" s="1"/>
  <c r="Q609" i="5"/>
  <c r="Q610" i="5" s="1"/>
  <c r="Q608" i="5" s="1"/>
  <c r="R61" i="5"/>
  <c r="U490" i="5"/>
  <c r="U481" i="5"/>
  <c r="U480" i="5"/>
  <c r="U491" i="5"/>
  <c r="U485" i="5"/>
  <c r="U479" i="5"/>
  <c r="U488" i="5"/>
  <c r="U477" i="5"/>
  <c r="U486" i="5"/>
  <c r="U478" i="5"/>
  <c r="U456" i="5" s="1"/>
  <c r="U484" i="5"/>
  <c r="U489" i="5"/>
  <c r="U467" i="5" s="1"/>
  <c r="U483" i="5"/>
  <c r="U492" i="5"/>
  <c r="U476" i="5"/>
  <c r="O466" i="5"/>
  <c r="O589" i="5" s="1"/>
  <c r="R565" i="5"/>
  <c r="R561" i="5"/>
  <c r="R571" i="5"/>
  <c r="R601" i="5" s="1"/>
  <c r="R564" i="5"/>
  <c r="R560" i="5"/>
  <c r="R559" i="5"/>
  <c r="R562" i="5"/>
  <c r="R568" i="5"/>
  <c r="R570" i="5"/>
  <c r="R556" i="5"/>
  <c r="R557" i="5"/>
  <c r="R563" i="5"/>
  <c r="R566" i="5"/>
  <c r="R558" i="5"/>
  <c r="R555" i="5"/>
  <c r="R567" i="5"/>
  <c r="S59" i="5"/>
  <c r="R75" i="5"/>
  <c r="R76" i="5"/>
  <c r="R77" i="5"/>
  <c r="Q442" i="5" l="1"/>
  <c r="X458" i="5"/>
  <c r="AM454" i="5"/>
  <c r="AA462" i="5"/>
  <c r="O462" i="5"/>
  <c r="O584" i="5" s="1"/>
  <c r="AI461" i="5"/>
  <c r="Q823" i="5"/>
  <c r="Q825" i="5" s="1"/>
  <c r="W462" i="5"/>
  <c r="R58" i="5"/>
  <c r="R441" i="5" s="1"/>
  <c r="U469" i="5"/>
  <c r="AE458" i="5"/>
  <c r="P115" i="5"/>
  <c r="AA459" i="5"/>
  <c r="X469" i="5"/>
  <c r="Q441" i="5"/>
  <c r="AE456" i="5"/>
  <c r="M454" i="5"/>
  <c r="M575" i="5" s="1"/>
  <c r="AE467" i="5"/>
  <c r="Q625" i="5"/>
  <c r="AE455" i="5"/>
  <c r="X455" i="5"/>
  <c r="Q439" i="5"/>
  <c r="Q445" i="5" s="1"/>
  <c r="AE463" i="5"/>
  <c r="Q624" i="5"/>
  <c r="AM470" i="5"/>
  <c r="Q112" i="5"/>
  <c r="Q440" i="5"/>
  <c r="Q446" i="5" s="1"/>
  <c r="AK470" i="5"/>
  <c r="AM457" i="5"/>
  <c r="AM466" i="5"/>
  <c r="AM468" i="5"/>
  <c r="AC461" i="5"/>
  <c r="AF461" i="5"/>
  <c r="T470" i="5"/>
  <c r="S470" i="5"/>
  <c r="AI454" i="5"/>
  <c r="O464" i="5"/>
  <c r="O586" i="5" s="1"/>
  <c r="O455" i="5"/>
  <c r="O576" i="5" s="1"/>
  <c r="L792" i="5"/>
  <c r="L791" i="5" s="1"/>
  <c r="L89" i="9" s="1"/>
  <c r="L59" i="9" s="1"/>
  <c r="L751" i="5"/>
  <c r="L90" i="9" s="1"/>
  <c r="AG457" i="5"/>
  <c r="X466" i="5"/>
  <c r="AK461" i="5"/>
  <c r="AC492" i="5"/>
  <c r="AF455" i="5"/>
  <c r="L454" i="5"/>
  <c r="L575" i="5" s="1"/>
  <c r="AA463" i="5"/>
  <c r="S467" i="5"/>
  <c r="AA457" i="5"/>
  <c r="X467" i="5"/>
  <c r="O469" i="5"/>
  <c r="O592" i="5" s="1"/>
  <c r="AC490" i="5"/>
  <c r="X463" i="5"/>
  <c r="AM455" i="5"/>
  <c r="O456" i="5"/>
  <c r="O577" i="5" s="1"/>
  <c r="X462" i="5"/>
  <c r="AI464" i="5"/>
  <c r="O470" i="5"/>
  <c r="O593" i="5" s="1"/>
  <c r="AA464" i="5"/>
  <c r="U470" i="5"/>
  <c r="AK456" i="5"/>
  <c r="Q646" i="5"/>
  <c r="N444" i="5"/>
  <c r="N9" i="9" s="1"/>
  <c r="O468" i="5"/>
  <c r="O591" i="5" s="1"/>
  <c r="AM456" i="5"/>
  <c r="R470" i="5"/>
  <c r="U461" i="5"/>
  <c r="AK467" i="5"/>
  <c r="AG462" i="5"/>
  <c r="AI457" i="5"/>
  <c r="AJ461" i="5"/>
  <c r="O454" i="5"/>
  <c r="O575" i="5" s="1"/>
  <c r="O574" i="5" s="1"/>
  <c r="X461" i="5"/>
  <c r="AC478" i="5"/>
  <c r="AC456" i="5" s="1"/>
  <c r="M630" i="5"/>
  <c r="S463" i="5"/>
  <c r="P468" i="5"/>
  <c r="P591" i="5" s="1"/>
  <c r="O458" i="5"/>
  <c r="O579" i="5" s="1"/>
  <c r="R456" i="5"/>
  <c r="AE462" i="5"/>
  <c r="AF456" i="5"/>
  <c r="AF462" i="5"/>
  <c r="O792" i="5"/>
  <c r="O791" i="5" s="1"/>
  <c r="O89" i="9" s="1"/>
  <c r="O751" i="5"/>
  <c r="O90" i="9" s="1"/>
  <c r="N792" i="5"/>
  <c r="N751" i="5"/>
  <c r="N773" i="5" s="1"/>
  <c r="U454" i="5"/>
  <c r="U468" i="5"/>
  <c r="AC477" i="5"/>
  <c r="AE470" i="5"/>
  <c r="AF454" i="5"/>
  <c r="AI466" i="5"/>
  <c r="M469" i="5"/>
  <c r="M592" i="5" s="1"/>
  <c r="AF458" i="5"/>
  <c r="AE468" i="5"/>
  <c r="P80" i="5"/>
  <c r="AM458" i="5"/>
  <c r="AK462" i="5"/>
  <c r="Q590" i="5"/>
  <c r="AC491" i="5"/>
  <c r="AC469" i="5" s="1"/>
  <c r="AE464" i="5"/>
  <c r="N463" i="5"/>
  <c r="N585" i="5" s="1"/>
  <c r="M468" i="5"/>
  <c r="M591" i="5" s="1"/>
  <c r="AC488" i="5"/>
  <c r="AC466" i="5" s="1"/>
  <c r="T459" i="5"/>
  <c r="AM463" i="5"/>
  <c r="AC481" i="5"/>
  <c r="AC459" i="5" s="1"/>
  <c r="AC476" i="5"/>
  <c r="AC454" i="5" s="1"/>
  <c r="AE461" i="5"/>
  <c r="AE469" i="5"/>
  <c r="AJ458" i="5"/>
  <c r="AI456" i="5"/>
  <c r="AC486" i="5"/>
  <c r="S458" i="5"/>
  <c r="AC489" i="5"/>
  <c r="AC467" i="5" s="1"/>
  <c r="AE459" i="5"/>
  <c r="AE466" i="5"/>
  <c r="T463" i="5"/>
  <c r="AI463" i="5"/>
  <c r="O467" i="5"/>
  <c r="O590" i="5" s="1"/>
  <c r="O588" i="5" s="1"/>
  <c r="AM459" i="5"/>
  <c r="AC480" i="5"/>
  <c r="AC485" i="5"/>
  <c r="M464" i="5"/>
  <c r="M586" i="5" s="1"/>
  <c r="AK455" i="5"/>
  <c r="AC484" i="5"/>
  <c r="AC462" i="5" s="1"/>
  <c r="AJ468" i="5"/>
  <c r="AG458" i="5"/>
  <c r="U458" i="5"/>
  <c r="M457" i="5"/>
  <c r="M578" i="5" s="1"/>
  <c r="V458" i="5"/>
  <c r="AK466" i="5"/>
  <c r="M467" i="5"/>
  <c r="M590" i="5" s="1"/>
  <c r="AK459" i="5"/>
  <c r="R457" i="5"/>
  <c r="S466" i="5"/>
  <c r="AK454" i="5"/>
  <c r="V464" i="5"/>
  <c r="U464" i="5"/>
  <c r="Y464" i="5"/>
  <c r="L95" i="5"/>
  <c r="S454" i="5"/>
  <c r="AD461" i="5"/>
  <c r="AC463" i="5"/>
  <c r="T457" i="5"/>
  <c r="U466" i="5"/>
  <c r="M466" i="5"/>
  <c r="M589" i="5" s="1"/>
  <c r="AK463" i="5"/>
  <c r="AE457" i="5"/>
  <c r="L94" i="5"/>
  <c r="AH454" i="5"/>
  <c r="N597" i="5"/>
  <c r="AA468" i="5"/>
  <c r="AF469" i="5"/>
  <c r="T455" i="5"/>
  <c r="AA454" i="5"/>
  <c r="S462" i="5"/>
  <c r="AI467" i="5"/>
  <c r="AI458" i="5"/>
  <c r="AK458" i="5"/>
  <c r="AK457" i="5"/>
  <c r="AG464" i="5"/>
  <c r="U462" i="5"/>
  <c r="M461" i="5"/>
  <c r="M583" i="5" s="1"/>
  <c r="AK469" i="5"/>
  <c r="L96" i="5"/>
  <c r="AK468" i="5"/>
  <c r="R464" i="5"/>
  <c r="R586" i="5" s="1"/>
  <c r="S455" i="5"/>
  <c r="U457" i="5"/>
  <c r="M462" i="5"/>
  <c r="M584" i="5" s="1"/>
  <c r="AK464" i="5"/>
  <c r="AC464" i="5"/>
  <c r="L444" i="5"/>
  <c r="L913" i="5" s="1"/>
  <c r="L922" i="5" s="1"/>
  <c r="T456" i="5"/>
  <c r="AA455" i="5"/>
  <c r="T469" i="5"/>
  <c r="T454" i="5"/>
  <c r="P597" i="5"/>
  <c r="AD470" i="5"/>
  <c r="N455" i="5"/>
  <c r="N576" i="5" s="1"/>
  <c r="AF466" i="5"/>
  <c r="AG468" i="5"/>
  <c r="L741" i="5"/>
  <c r="L30" i="9" s="1"/>
  <c r="L82" i="9" s="1"/>
  <c r="AH463" i="5"/>
  <c r="Q580" i="5"/>
  <c r="N464" i="5"/>
  <c r="N586" i="5" s="1"/>
  <c r="Q666" i="5"/>
  <c r="AG461" i="5"/>
  <c r="Y459" i="5"/>
  <c r="M456" i="5"/>
  <c r="M577" i="5" s="1"/>
  <c r="Q78" i="5"/>
  <c r="Q944" i="5" s="1"/>
  <c r="Y456" i="5"/>
  <c r="N470" i="5"/>
  <c r="N593" i="5" s="1"/>
  <c r="Q714" i="5"/>
  <c r="AG467" i="5"/>
  <c r="Y461" i="5"/>
  <c r="V463" i="5"/>
  <c r="U455" i="5"/>
  <c r="Q690" i="5"/>
  <c r="AG459" i="5"/>
  <c r="AG466" i="5"/>
  <c r="AF459" i="5"/>
  <c r="T464" i="5"/>
  <c r="AJ462" i="5"/>
  <c r="P644" i="5"/>
  <c r="P657" i="5" s="1"/>
  <c r="R468" i="5"/>
  <c r="AF467" i="5"/>
  <c r="AD457" i="5"/>
  <c r="N469" i="5"/>
  <c r="N592" i="5" s="1"/>
  <c r="AF457" i="5"/>
  <c r="AJ463" i="5"/>
  <c r="AF463" i="5"/>
  <c r="T458" i="5"/>
  <c r="S459" i="5"/>
  <c r="AJ469" i="5"/>
  <c r="S457" i="5"/>
  <c r="Y469" i="5"/>
  <c r="R461" i="5"/>
  <c r="R583" i="5" s="1"/>
  <c r="AH468" i="5"/>
  <c r="AJ464" i="5"/>
  <c r="S469" i="5"/>
  <c r="AJ457" i="5"/>
  <c r="Y458" i="5"/>
  <c r="AJ467" i="5"/>
  <c r="N461" i="5"/>
  <c r="N583" i="5" s="1"/>
  <c r="U463" i="5"/>
  <c r="N458" i="5"/>
  <c r="N579" i="5" s="1"/>
  <c r="AG454" i="5"/>
  <c r="AD467" i="5"/>
  <c r="Y457" i="5"/>
  <c r="AC455" i="5"/>
  <c r="R455" i="5"/>
  <c r="R576" i="5" s="1"/>
  <c r="N466" i="5"/>
  <c r="N589" i="5" s="1"/>
  <c r="M455" i="5"/>
  <c r="M576" i="5" s="1"/>
  <c r="R467" i="5"/>
  <c r="R590" i="5" s="1"/>
  <c r="AC468" i="5"/>
  <c r="N457" i="5"/>
  <c r="N578" i="5" s="1"/>
  <c r="AG463" i="5"/>
  <c r="AF464" i="5"/>
  <c r="R459" i="5"/>
  <c r="R580" i="5" s="1"/>
  <c r="AH458" i="5"/>
  <c r="AH467" i="5"/>
  <c r="T462" i="5"/>
  <c r="S468" i="5"/>
  <c r="P650" i="5"/>
  <c r="P658" i="5" s="1"/>
  <c r="P698" i="5"/>
  <c r="P706" i="5" s="1"/>
  <c r="AH457" i="5"/>
  <c r="Y454" i="5"/>
  <c r="U459" i="5"/>
  <c r="AC470" i="5"/>
  <c r="N456" i="5"/>
  <c r="N577" i="5" s="1"/>
  <c r="O627" i="5"/>
  <c r="O16" i="9" s="1"/>
  <c r="AG469" i="5"/>
  <c r="AH455" i="5"/>
  <c r="AJ455" i="5"/>
  <c r="AJ470" i="5"/>
  <c r="AJ456" i="5"/>
  <c r="AN98" i="5"/>
  <c r="R469" i="5"/>
  <c r="R592" i="5" s="1"/>
  <c r="Y466" i="5"/>
  <c r="M459" i="5"/>
  <c r="M580" i="5" s="1"/>
  <c r="AC458" i="5"/>
  <c r="AG470" i="5"/>
  <c r="AH469" i="5"/>
  <c r="R466" i="5"/>
  <c r="R589" i="5" s="1"/>
  <c r="R462" i="5"/>
  <c r="R584" i="5" s="1"/>
  <c r="AJ459" i="5"/>
  <c r="R454" i="5"/>
  <c r="R575" i="5" s="1"/>
  <c r="Q694" i="5"/>
  <c r="V454" i="5"/>
  <c r="Q688" i="5"/>
  <c r="AC457" i="5"/>
  <c r="Q640" i="5"/>
  <c r="Q650" i="5" s="1"/>
  <c r="Q658" i="5" s="1"/>
  <c r="Y467" i="5"/>
  <c r="M632" i="5"/>
  <c r="M18" i="9" s="1"/>
  <c r="N467" i="5"/>
  <c r="N590" i="5" s="1"/>
  <c r="Q578" i="5"/>
  <c r="Q574" i="5" s="1"/>
  <c r="Q664" i="5"/>
  <c r="AD463" i="5"/>
  <c r="N459" i="5"/>
  <c r="N580" i="5" s="1"/>
  <c r="AH459" i="5"/>
  <c r="AJ454" i="5"/>
  <c r="P692" i="5"/>
  <c r="P705" i="5" s="1"/>
  <c r="AH461" i="5"/>
  <c r="O131" i="5"/>
  <c r="N24" i="5"/>
  <c r="N134" i="5" s="1"/>
  <c r="N630" i="5" s="1"/>
  <c r="N26" i="5"/>
  <c r="N25" i="5"/>
  <c r="N135" i="5" s="1"/>
  <c r="N631" i="5" s="1"/>
  <c r="V459" i="5"/>
  <c r="N462" i="5"/>
  <c r="N584" i="5" s="1"/>
  <c r="Q724" i="5"/>
  <c r="Q722" i="5" s="1"/>
  <c r="Q730" i="5" s="1"/>
  <c r="P674" i="5"/>
  <c r="P682" i="5" s="1"/>
  <c r="R463" i="5"/>
  <c r="R585" i="5" s="1"/>
  <c r="Q584" i="5"/>
  <c r="Q582" i="5" s="1"/>
  <c r="AD464" i="5"/>
  <c r="Q676" i="5"/>
  <c r="AG455" i="5"/>
  <c r="P716" i="5"/>
  <c r="P729" i="5" s="1"/>
  <c r="AH466" i="5"/>
  <c r="AG456" i="5"/>
  <c r="AH464" i="5"/>
  <c r="M375" i="5"/>
  <c r="M136" i="5"/>
  <c r="M137" i="5" s="1"/>
  <c r="N468" i="5"/>
  <c r="N591" i="5" s="1"/>
  <c r="Y470" i="5"/>
  <c r="M463" i="5"/>
  <c r="M585" i="5" s="1"/>
  <c r="AF470" i="5"/>
  <c r="AH462" i="5"/>
  <c r="L481" i="5"/>
  <c r="L459" i="5" s="1"/>
  <c r="L580" i="5" s="1"/>
  <c r="L484" i="5"/>
  <c r="L462" i="5" s="1"/>
  <c r="L584" i="5" s="1"/>
  <c r="Y463" i="5"/>
  <c r="L491" i="5"/>
  <c r="L469" i="5" s="1"/>
  <c r="L592" i="5" s="1"/>
  <c r="L477" i="5"/>
  <c r="L455" i="5" s="1"/>
  <c r="L576" i="5" s="1"/>
  <c r="L485" i="5"/>
  <c r="L463" i="5" s="1"/>
  <c r="L585" i="5" s="1"/>
  <c r="Y468" i="5"/>
  <c r="L486" i="5"/>
  <c r="L464" i="5" s="1"/>
  <c r="L586" i="5" s="1"/>
  <c r="P668" i="5"/>
  <c r="P681" i="5" s="1"/>
  <c r="Y462" i="5"/>
  <c r="L478" i="5"/>
  <c r="L456" i="5" s="1"/>
  <c r="L577" i="5" s="1"/>
  <c r="L490" i="5"/>
  <c r="L468" i="5" s="1"/>
  <c r="L591" i="5" s="1"/>
  <c r="P722" i="5"/>
  <c r="P730" i="5" s="1"/>
  <c r="Y455" i="5"/>
  <c r="L488" i="5"/>
  <c r="L466" i="5" s="1"/>
  <c r="L589" i="5" s="1"/>
  <c r="L483" i="5"/>
  <c r="L461" i="5" s="1"/>
  <c r="L583" i="5" s="1"/>
  <c r="L479" i="5"/>
  <c r="L457" i="5" s="1"/>
  <c r="L578" i="5" s="1"/>
  <c r="I475" i="5"/>
  <c r="L489" i="5"/>
  <c r="L467" i="5" s="1"/>
  <c r="L590" i="5" s="1"/>
  <c r="L480" i="5"/>
  <c r="L458" i="5" s="1"/>
  <c r="L579" i="5" s="1"/>
  <c r="P569" i="5"/>
  <c r="P595" i="5" s="1"/>
  <c r="L492" i="5"/>
  <c r="L470" i="5" s="1"/>
  <c r="L593" i="5" s="1"/>
  <c r="Q62" i="5"/>
  <c r="R62" i="5" s="1"/>
  <c r="R569" i="5" s="1"/>
  <c r="R595" i="5" s="1"/>
  <c r="M125" i="5"/>
  <c r="N124" i="5"/>
  <c r="N335" i="5"/>
  <c r="Q114" i="5"/>
  <c r="Q115" i="5" s="1"/>
  <c r="Q295" i="5"/>
  <c r="M883" i="5"/>
  <c r="M882" i="5" s="1"/>
  <c r="P444" i="5"/>
  <c r="P883" i="5" s="1"/>
  <c r="P882" i="5" s="1"/>
  <c r="Q448" i="5"/>
  <c r="Q447" i="5"/>
  <c r="Q716" i="5"/>
  <c r="Q729" i="5" s="1"/>
  <c r="O9" i="9"/>
  <c r="R577" i="5"/>
  <c r="R639" i="5"/>
  <c r="R711" i="5"/>
  <c r="R687" i="5"/>
  <c r="R663" i="5"/>
  <c r="R685" i="5"/>
  <c r="R661" i="5"/>
  <c r="R637" i="5"/>
  <c r="R709" i="5"/>
  <c r="R578" i="5"/>
  <c r="R688" i="5"/>
  <c r="R640" i="5"/>
  <c r="R664" i="5"/>
  <c r="R712" i="5"/>
  <c r="R642" i="5"/>
  <c r="R666" i="5"/>
  <c r="R690" i="5"/>
  <c r="R714" i="5"/>
  <c r="O913" i="5"/>
  <c r="O922" i="5" s="1"/>
  <c r="R702" i="5"/>
  <c r="R654" i="5"/>
  <c r="R726" i="5"/>
  <c r="R678" i="5"/>
  <c r="R695" i="5"/>
  <c r="R647" i="5"/>
  <c r="R671" i="5"/>
  <c r="R719" i="5"/>
  <c r="R593" i="5"/>
  <c r="R679" i="5"/>
  <c r="R655" i="5"/>
  <c r="R727" i="5"/>
  <c r="R703" i="5"/>
  <c r="R648" i="5"/>
  <c r="R720" i="5"/>
  <c r="R696" i="5"/>
  <c r="R672" i="5"/>
  <c r="R723" i="5"/>
  <c r="R717" i="5"/>
  <c r="R699" i="5"/>
  <c r="R675" i="5"/>
  <c r="R669" i="5"/>
  <c r="R693" i="5"/>
  <c r="R651" i="5"/>
  <c r="R645" i="5"/>
  <c r="R686" i="5"/>
  <c r="R710" i="5"/>
  <c r="R662" i="5"/>
  <c r="R638" i="5"/>
  <c r="R646" i="5"/>
  <c r="R670" i="5"/>
  <c r="R694" i="5"/>
  <c r="R718" i="5"/>
  <c r="R591" i="5"/>
  <c r="R701" i="5"/>
  <c r="R653" i="5"/>
  <c r="R677" i="5"/>
  <c r="R725" i="5"/>
  <c r="R713" i="5"/>
  <c r="R641" i="5"/>
  <c r="R665" i="5"/>
  <c r="R689" i="5"/>
  <c r="R652" i="5"/>
  <c r="R700" i="5"/>
  <c r="R724" i="5"/>
  <c r="R676" i="5"/>
  <c r="R579" i="5"/>
  <c r="N883" i="5"/>
  <c r="N882" i="5" s="1"/>
  <c r="N454" i="5"/>
  <c r="N575" i="5" s="1"/>
  <c r="R600" i="5"/>
  <c r="R598" i="5"/>
  <c r="R599" i="5"/>
  <c r="M913" i="5"/>
  <c r="M922" i="5" s="1"/>
  <c r="P582" i="5"/>
  <c r="P588" i="5"/>
  <c r="L93" i="9"/>
  <c r="N913" i="5"/>
  <c r="N922" i="5" s="1"/>
  <c r="P574" i="5"/>
  <c r="Q597" i="5"/>
  <c r="Q619" i="5"/>
  <c r="R617" i="5"/>
  <c r="R618" i="5" s="1"/>
  <c r="R616" i="5" s="1"/>
  <c r="R613" i="5"/>
  <c r="R614" i="5" s="1"/>
  <c r="R612" i="5" s="1"/>
  <c r="R609" i="5"/>
  <c r="R610" i="5" s="1"/>
  <c r="R608" i="5" s="1"/>
  <c r="S61" i="5"/>
  <c r="R440" i="5"/>
  <c r="R446" i="5" s="1"/>
  <c r="R442" i="5"/>
  <c r="R439" i="5"/>
  <c r="O582" i="5"/>
  <c r="Q588" i="5"/>
  <c r="P16" i="9"/>
  <c r="R27" i="5"/>
  <c r="R112" i="5" s="1"/>
  <c r="R28" i="5"/>
  <c r="R29" i="5"/>
  <c r="S16" i="5"/>
  <c r="M751" i="5"/>
  <c r="M792" i="5"/>
  <c r="S558" i="5"/>
  <c r="S562" i="5"/>
  <c r="S563" i="5"/>
  <c r="S567" i="5"/>
  <c r="S568" i="5"/>
  <c r="S560" i="5"/>
  <c r="S557" i="5"/>
  <c r="S559" i="5"/>
  <c r="S555" i="5"/>
  <c r="S566" i="5"/>
  <c r="S564" i="5"/>
  <c r="S556" i="5"/>
  <c r="S571" i="5"/>
  <c r="S601" i="5" s="1"/>
  <c r="S570" i="5"/>
  <c r="S565" i="5"/>
  <c r="S561" i="5"/>
  <c r="T59" i="5"/>
  <c r="S75" i="5"/>
  <c r="S76" i="5"/>
  <c r="S77" i="5"/>
  <c r="O22" i="5"/>
  <c r="O123" i="5" s="1"/>
  <c r="O21" i="5"/>
  <c r="O122" i="5" s="1"/>
  <c r="O23" i="5"/>
  <c r="P423" i="5"/>
  <c r="AN489" i="5"/>
  <c r="AN467" i="5" s="1"/>
  <c r="AN481" i="5"/>
  <c r="AN459" i="5" s="1"/>
  <c r="AN476" i="5"/>
  <c r="AN454" i="5" s="1"/>
  <c r="AN492" i="5"/>
  <c r="AN470" i="5" s="1"/>
  <c r="AN486" i="5"/>
  <c r="AN464" i="5" s="1"/>
  <c r="AN477" i="5"/>
  <c r="AN455" i="5" s="1"/>
  <c r="AN483" i="5"/>
  <c r="AN461" i="5" s="1"/>
  <c r="AN480" i="5"/>
  <c r="AN458" i="5" s="1"/>
  <c r="AN485" i="5"/>
  <c r="AN463" i="5" s="1"/>
  <c r="AN478" i="5"/>
  <c r="AN456" i="5" s="1"/>
  <c r="AN488" i="5"/>
  <c r="AN466" i="5" s="1"/>
  <c r="AN491" i="5"/>
  <c r="AN469" i="5" s="1"/>
  <c r="AN484" i="5"/>
  <c r="AN462" i="5" s="1"/>
  <c r="AN490" i="5"/>
  <c r="AN468" i="5" s="1"/>
  <c r="AN479" i="5"/>
  <c r="AN457" i="5" s="1"/>
  <c r="P944" i="5"/>
  <c r="R74" i="5" l="1"/>
  <c r="R78" i="5" s="1"/>
  <c r="R622" i="5"/>
  <c r="R625" i="5"/>
  <c r="R624" i="5"/>
  <c r="S58" i="5"/>
  <c r="R823" i="5"/>
  <c r="R825" i="5" s="1"/>
  <c r="R113" i="5"/>
  <c r="L98" i="5"/>
  <c r="M887" i="5"/>
  <c r="Q644" i="5"/>
  <c r="Q657" i="5" s="1"/>
  <c r="O783" i="5"/>
  <c r="O784" i="5" s="1"/>
  <c r="N90" i="9"/>
  <c r="R80" i="5"/>
  <c r="N125" i="5"/>
  <c r="Q80" i="5"/>
  <c r="Q747" i="5" s="1"/>
  <c r="L883" i="5"/>
  <c r="L882" i="5" s="1"/>
  <c r="L9" i="9"/>
  <c r="Q698" i="5"/>
  <c r="Q706" i="5" s="1"/>
  <c r="N582" i="5"/>
  <c r="Q692" i="5"/>
  <c r="Q705" i="5" s="1"/>
  <c r="M945" i="5"/>
  <c r="M86" i="9"/>
  <c r="M87" i="9" s="1"/>
  <c r="Q674" i="5"/>
  <c r="Q682" i="5" s="1"/>
  <c r="I470" i="5"/>
  <c r="I457" i="5"/>
  <c r="N588" i="5"/>
  <c r="Q668" i="5"/>
  <c r="Q681" i="5" s="1"/>
  <c r="N574" i="5"/>
  <c r="I458" i="5"/>
  <c r="I464" i="5"/>
  <c r="I461" i="5"/>
  <c r="O24" i="5"/>
  <c r="O134" i="5" s="1"/>
  <c r="O630" i="5" s="1"/>
  <c r="O25" i="5"/>
  <c r="O135" i="5" s="1"/>
  <c r="O631" i="5" s="1"/>
  <c r="O26" i="5"/>
  <c r="P131" i="5"/>
  <c r="I459" i="5"/>
  <c r="N632" i="5"/>
  <c r="N18" i="9" s="1"/>
  <c r="I455" i="5"/>
  <c r="L886" i="5"/>
  <c r="L885" i="5" s="1"/>
  <c r="L889" i="5" s="1"/>
  <c r="L893" i="5" s="1"/>
  <c r="L897" i="5" s="1"/>
  <c r="L918" i="5" s="1"/>
  <c r="L927" i="5" s="1"/>
  <c r="I466" i="5"/>
  <c r="L588" i="5"/>
  <c r="N375" i="5"/>
  <c r="N136" i="5"/>
  <c r="N137" i="5" s="1"/>
  <c r="I467" i="5"/>
  <c r="I456" i="5"/>
  <c r="R623" i="5"/>
  <c r="R626" i="5" s="1"/>
  <c r="R627" i="5" s="1"/>
  <c r="I463" i="5"/>
  <c r="S62" i="5"/>
  <c r="S569" i="5" s="1"/>
  <c r="S595" i="5" s="1"/>
  <c r="L582" i="5"/>
  <c r="L574" i="5"/>
  <c r="I468" i="5"/>
  <c r="I469" i="5"/>
  <c r="Q623" i="5"/>
  <c r="Q626" i="5" s="1"/>
  <c r="Q627" i="5" s="1"/>
  <c r="Q16" i="9" s="1"/>
  <c r="I462" i="5"/>
  <c r="Q569" i="5"/>
  <c r="Q595" i="5" s="1"/>
  <c r="Q603" i="5" s="1"/>
  <c r="O124" i="5"/>
  <c r="O335" i="5"/>
  <c r="R114" i="5"/>
  <c r="R115" i="5" s="1"/>
  <c r="R295" i="5"/>
  <c r="P913" i="5"/>
  <c r="P922" i="5" s="1"/>
  <c r="P9" i="9"/>
  <c r="Q444" i="5"/>
  <c r="Q9" i="9" s="1"/>
  <c r="R448" i="5"/>
  <c r="R447" i="5"/>
  <c r="R445" i="5"/>
  <c r="R574" i="5"/>
  <c r="R722" i="5"/>
  <c r="R730" i="5" s="1"/>
  <c r="R716" i="5"/>
  <c r="R729" i="5" s="1"/>
  <c r="R698" i="5"/>
  <c r="R706" i="5" s="1"/>
  <c r="R692" i="5"/>
  <c r="R705" i="5" s="1"/>
  <c r="R650" i="5"/>
  <c r="R658" i="5" s="1"/>
  <c r="R644" i="5"/>
  <c r="R657" i="5" s="1"/>
  <c r="R588" i="5"/>
  <c r="R674" i="5"/>
  <c r="R682" i="5" s="1"/>
  <c r="R668" i="5"/>
  <c r="R681" i="5" s="1"/>
  <c r="S590" i="5"/>
  <c r="S652" i="5"/>
  <c r="S724" i="5"/>
  <c r="S676" i="5"/>
  <c r="S700" i="5"/>
  <c r="S586" i="5"/>
  <c r="S720" i="5"/>
  <c r="S672" i="5"/>
  <c r="S648" i="5"/>
  <c r="S696" i="5"/>
  <c r="S576" i="5"/>
  <c r="S638" i="5"/>
  <c r="S662" i="5"/>
  <c r="S686" i="5"/>
  <c r="S710" i="5"/>
  <c r="S585" i="5"/>
  <c r="S671" i="5"/>
  <c r="S647" i="5"/>
  <c r="S695" i="5"/>
  <c r="S719" i="5"/>
  <c r="S723" i="5"/>
  <c r="S717" i="5"/>
  <c r="S693" i="5"/>
  <c r="S699" i="5"/>
  <c r="S651" i="5"/>
  <c r="S675" i="5"/>
  <c r="S669" i="5"/>
  <c r="S645" i="5"/>
  <c r="S593" i="5"/>
  <c r="S727" i="5"/>
  <c r="S679" i="5"/>
  <c r="S655" i="5"/>
  <c r="S703" i="5"/>
  <c r="S577" i="5"/>
  <c r="S711" i="5"/>
  <c r="S687" i="5"/>
  <c r="S663" i="5"/>
  <c r="S639" i="5"/>
  <c r="S591" i="5"/>
  <c r="S725" i="5"/>
  <c r="S653" i="5"/>
  <c r="S677" i="5"/>
  <c r="S701" i="5"/>
  <c r="S579" i="5"/>
  <c r="S689" i="5"/>
  <c r="S713" i="5"/>
  <c r="S641" i="5"/>
  <c r="S665" i="5"/>
  <c r="S584" i="5"/>
  <c r="S670" i="5"/>
  <c r="S694" i="5"/>
  <c r="S646" i="5"/>
  <c r="S718" i="5"/>
  <c r="S580" i="5"/>
  <c r="S666" i="5"/>
  <c r="S690" i="5"/>
  <c r="S714" i="5"/>
  <c r="S642" i="5"/>
  <c r="S575" i="5"/>
  <c r="S685" i="5"/>
  <c r="S709" i="5"/>
  <c r="S661" i="5"/>
  <c r="S637" i="5"/>
  <c r="S578" i="5"/>
  <c r="S664" i="5"/>
  <c r="S688" i="5"/>
  <c r="S640" i="5"/>
  <c r="S712" i="5"/>
  <c r="S592" i="5"/>
  <c r="S654" i="5"/>
  <c r="S678" i="5"/>
  <c r="S726" i="5"/>
  <c r="S702" i="5"/>
  <c r="R582" i="5"/>
  <c r="I454" i="5"/>
  <c r="S600" i="5"/>
  <c r="S599" i="5"/>
  <c r="S598" i="5"/>
  <c r="S583" i="5"/>
  <c r="S589" i="5"/>
  <c r="P603" i="5"/>
  <c r="P11" i="9" s="1"/>
  <c r="P914" i="5"/>
  <c r="P923" i="5" s="1"/>
  <c r="P49" i="9" s="1"/>
  <c r="N886" i="5"/>
  <c r="R619" i="5"/>
  <c r="M582" i="5"/>
  <c r="P747" i="5"/>
  <c r="R597" i="5"/>
  <c r="T559" i="5"/>
  <c r="T558" i="5"/>
  <c r="T563" i="5"/>
  <c r="T566" i="5"/>
  <c r="T561" i="5"/>
  <c r="T562" i="5"/>
  <c r="T565" i="5"/>
  <c r="T555" i="5"/>
  <c r="T557" i="5"/>
  <c r="T567" i="5"/>
  <c r="T571" i="5"/>
  <c r="T601" i="5" s="1"/>
  <c r="T560" i="5"/>
  <c r="T556" i="5"/>
  <c r="T568" i="5"/>
  <c r="T570" i="5"/>
  <c r="T564" i="5"/>
  <c r="U59" i="5"/>
  <c r="T77" i="5"/>
  <c r="T75" i="5"/>
  <c r="T76" i="5"/>
  <c r="S27" i="5"/>
  <c r="S112" i="5" s="1"/>
  <c r="S29" i="5"/>
  <c r="S28" i="5"/>
  <c r="S113" i="5" s="1"/>
  <c r="T16" i="5"/>
  <c r="M588" i="5"/>
  <c r="N774" i="5"/>
  <c r="N778" i="5"/>
  <c r="N779" i="5" s="1"/>
  <c r="O773" i="5" s="1"/>
  <c r="S617" i="5"/>
  <c r="S618" i="5" s="1"/>
  <c r="S616" i="5" s="1"/>
  <c r="S609" i="5"/>
  <c r="S610" i="5" s="1"/>
  <c r="S608" i="5" s="1"/>
  <c r="S613" i="5"/>
  <c r="S614" i="5" s="1"/>
  <c r="S612" i="5" s="1"/>
  <c r="T61" i="5"/>
  <c r="P23" i="5"/>
  <c r="P21" i="5"/>
  <c r="P122" i="5" s="1"/>
  <c r="P22" i="5"/>
  <c r="P123" i="5" s="1"/>
  <c r="Q423" i="5"/>
  <c r="M763" i="5"/>
  <c r="M90" i="9"/>
  <c r="M574" i="5"/>
  <c r="M886" i="5"/>
  <c r="O914" i="5"/>
  <c r="O923" i="5" s="1"/>
  <c r="O603" i="5"/>
  <c r="Q914" i="5"/>
  <c r="Q923" i="5" s="1"/>
  <c r="Q49" i="9" s="1"/>
  <c r="Q792" i="5"/>
  <c r="Q791" i="5" s="1"/>
  <c r="Q89" i="9" s="1"/>
  <c r="Q751" i="5"/>
  <c r="Q90" i="9" s="1"/>
  <c r="R747" i="5"/>
  <c r="R944" i="5"/>
  <c r="S823" i="5"/>
  <c r="S825" i="5" s="1"/>
  <c r="S442" i="5"/>
  <c r="S441" i="5"/>
  <c r="S440" i="5"/>
  <c r="S446" i="5" s="1"/>
  <c r="S439" i="5"/>
  <c r="T58" i="5"/>
  <c r="S622" i="5"/>
  <c r="S74" i="5"/>
  <c r="S625" i="5"/>
  <c r="S624" i="5"/>
  <c r="O788" i="5" l="1"/>
  <c r="O789" i="5" s="1"/>
  <c r="P783" i="5" s="1"/>
  <c r="S623" i="5"/>
  <c r="M885" i="5"/>
  <c r="M889" i="5" s="1"/>
  <c r="O125" i="5"/>
  <c r="N887" i="5"/>
  <c r="T62" i="5"/>
  <c r="N603" i="5"/>
  <c r="L914" i="5"/>
  <c r="L923" i="5" s="1"/>
  <c r="L49" i="9" s="1"/>
  <c r="N914" i="5"/>
  <c r="N923" i="5" s="1"/>
  <c r="N49" i="9" s="1"/>
  <c r="L603" i="5"/>
  <c r="L11" i="9" s="1"/>
  <c r="L13" i="9" s="1"/>
  <c r="L14" i="9" s="1"/>
  <c r="N885" i="5"/>
  <c r="N889" i="5" s="1"/>
  <c r="N892" i="5" s="1"/>
  <c r="N896" i="5" s="1"/>
  <c r="N917" i="5" s="1"/>
  <c r="N924" i="5" s="1"/>
  <c r="N50" i="9" s="1"/>
  <c r="P25" i="5"/>
  <c r="P135" i="5" s="1"/>
  <c r="P631" i="5" s="1"/>
  <c r="P24" i="5"/>
  <c r="P134" i="5" s="1"/>
  <c r="P630" i="5" s="1"/>
  <c r="Q131" i="5"/>
  <c r="P26" i="5"/>
  <c r="N86" i="9"/>
  <c r="N87" i="9" s="1"/>
  <c r="O375" i="5"/>
  <c r="O136" i="5"/>
  <c r="O137" i="5" s="1"/>
  <c r="N945" i="5"/>
  <c r="L892" i="5"/>
  <c r="L896" i="5" s="1"/>
  <c r="L917" i="5" s="1"/>
  <c r="L924" i="5" s="1"/>
  <c r="L50" i="9" s="1"/>
  <c r="Q883" i="5"/>
  <c r="Q882" i="5" s="1"/>
  <c r="Q913" i="5"/>
  <c r="Q922" i="5" s="1"/>
  <c r="P124" i="5"/>
  <c r="P335" i="5"/>
  <c r="S114" i="5"/>
  <c r="S115" i="5" s="1"/>
  <c r="R914" i="5"/>
  <c r="R923" i="5" s="1"/>
  <c r="R49" i="9" s="1"/>
  <c r="R444" i="5"/>
  <c r="R883" i="5" s="1"/>
  <c r="R882" i="5" s="1"/>
  <c r="R603" i="5"/>
  <c r="R11" i="9" s="1"/>
  <c r="S448" i="5"/>
  <c r="S447" i="5"/>
  <c r="S445" i="5"/>
  <c r="S582" i="5"/>
  <c r="S644" i="5"/>
  <c r="S657" i="5" s="1"/>
  <c r="S650" i="5"/>
  <c r="S658" i="5" s="1"/>
  <c r="S674" i="5"/>
  <c r="S682" i="5" s="1"/>
  <c r="S668" i="5"/>
  <c r="S681" i="5" s="1"/>
  <c r="S716" i="5"/>
  <c r="S729" i="5" s="1"/>
  <c r="S722" i="5"/>
  <c r="S730" i="5" s="1"/>
  <c r="S574" i="5"/>
  <c r="S692" i="5"/>
  <c r="S705" i="5" s="1"/>
  <c r="S698" i="5"/>
  <c r="S706" i="5" s="1"/>
  <c r="T593" i="5"/>
  <c r="T727" i="5"/>
  <c r="T679" i="5"/>
  <c r="T655" i="5"/>
  <c r="T703" i="5"/>
  <c r="T584" i="5"/>
  <c r="T646" i="5"/>
  <c r="T694" i="5"/>
  <c r="T718" i="5"/>
  <c r="T670" i="5"/>
  <c r="T577" i="5"/>
  <c r="T639" i="5"/>
  <c r="T663" i="5"/>
  <c r="T711" i="5"/>
  <c r="T687" i="5"/>
  <c r="T586" i="5"/>
  <c r="T696" i="5"/>
  <c r="T648" i="5"/>
  <c r="T720" i="5"/>
  <c r="T672" i="5"/>
  <c r="T579" i="5"/>
  <c r="T713" i="5"/>
  <c r="T665" i="5"/>
  <c r="T689" i="5"/>
  <c r="T641" i="5"/>
  <c r="T717" i="5"/>
  <c r="T699" i="5"/>
  <c r="T723" i="5"/>
  <c r="T693" i="5"/>
  <c r="T669" i="5"/>
  <c r="T651" i="5"/>
  <c r="T645" i="5"/>
  <c r="T675" i="5"/>
  <c r="T591" i="5"/>
  <c r="T701" i="5"/>
  <c r="T725" i="5"/>
  <c r="T653" i="5"/>
  <c r="T677" i="5"/>
  <c r="T592" i="5"/>
  <c r="T654" i="5"/>
  <c r="T702" i="5"/>
  <c r="T678" i="5"/>
  <c r="T726" i="5"/>
  <c r="T575" i="5"/>
  <c r="T661" i="5"/>
  <c r="T709" i="5"/>
  <c r="T637" i="5"/>
  <c r="T685" i="5"/>
  <c r="T576" i="5"/>
  <c r="T686" i="5"/>
  <c r="T710" i="5"/>
  <c r="T638" i="5"/>
  <c r="T662" i="5"/>
  <c r="T580" i="5"/>
  <c r="T642" i="5"/>
  <c r="T714" i="5"/>
  <c r="T666" i="5"/>
  <c r="T690" i="5"/>
  <c r="T578" i="5"/>
  <c r="T712" i="5"/>
  <c r="T640" i="5"/>
  <c r="T688" i="5"/>
  <c r="T664" i="5"/>
  <c r="T590" i="5"/>
  <c r="T652" i="5"/>
  <c r="T700" i="5"/>
  <c r="T724" i="5"/>
  <c r="T676" i="5"/>
  <c r="T585" i="5"/>
  <c r="T671" i="5"/>
  <c r="T695" i="5"/>
  <c r="T647" i="5"/>
  <c r="T719" i="5"/>
  <c r="S588" i="5"/>
  <c r="T583" i="5"/>
  <c r="T589" i="5"/>
  <c r="T598" i="5"/>
  <c r="T599" i="5"/>
  <c r="T600" i="5"/>
  <c r="R16" i="9"/>
  <c r="S619" i="5"/>
  <c r="O774" i="5"/>
  <c r="O778" i="5"/>
  <c r="O779" i="5" s="1"/>
  <c r="P773" i="5" s="1"/>
  <c r="P784" i="5"/>
  <c r="P788" i="5"/>
  <c r="P789" i="5" s="1"/>
  <c r="Q783" i="5" s="1"/>
  <c r="R792" i="5"/>
  <c r="R791" i="5" s="1"/>
  <c r="R89" i="9" s="1"/>
  <c r="R751" i="5"/>
  <c r="R90" i="9" s="1"/>
  <c r="S78" i="5"/>
  <c r="O11" i="9"/>
  <c r="Q11" i="9"/>
  <c r="S597" i="5"/>
  <c r="O49" i="9"/>
  <c r="M914" i="5"/>
  <c r="M923" i="5" s="1"/>
  <c r="M603" i="5"/>
  <c r="M767" i="5"/>
  <c r="M764" i="5"/>
  <c r="M736" i="5" s="1"/>
  <c r="M742" i="5"/>
  <c r="M769" i="5"/>
  <c r="P13" i="9"/>
  <c r="T569" i="5"/>
  <c r="T595" i="5" s="1"/>
  <c r="U62" i="5"/>
  <c r="T623" i="5"/>
  <c r="U560" i="5"/>
  <c r="U556" i="5"/>
  <c r="U564" i="5"/>
  <c r="U568" i="5"/>
  <c r="U571" i="5"/>
  <c r="U601" i="5" s="1"/>
  <c r="U570" i="5"/>
  <c r="U565" i="5"/>
  <c r="U555" i="5"/>
  <c r="U563" i="5"/>
  <c r="U566" i="5"/>
  <c r="U559" i="5"/>
  <c r="U567" i="5"/>
  <c r="U558" i="5"/>
  <c r="U561" i="5"/>
  <c r="U562" i="5"/>
  <c r="U557" i="5"/>
  <c r="V59" i="5"/>
  <c r="U76" i="5"/>
  <c r="U75" i="5"/>
  <c r="U77" i="5"/>
  <c r="T439" i="5"/>
  <c r="T440" i="5"/>
  <c r="T446" i="5" s="1"/>
  <c r="T823" i="5"/>
  <c r="T825" i="5" s="1"/>
  <c r="T442" i="5"/>
  <c r="T441" i="5"/>
  <c r="U58" i="5"/>
  <c r="T622" i="5"/>
  <c r="T624" i="5"/>
  <c r="T74" i="5"/>
  <c r="T78" i="5" s="1"/>
  <c r="T625" i="5"/>
  <c r="P792" i="5"/>
  <c r="P791" i="5" s="1"/>
  <c r="P89" i="9" s="1"/>
  <c r="P751" i="5"/>
  <c r="P90" i="9" s="1"/>
  <c r="N11" i="9"/>
  <c r="Q21" i="5"/>
  <c r="Q122" i="5" s="1"/>
  <c r="Q22" i="5"/>
  <c r="Q123" i="5" s="1"/>
  <c r="Q23" i="5"/>
  <c r="R423" i="5"/>
  <c r="R21" i="5" s="1"/>
  <c r="O632" i="5"/>
  <c r="O18" i="9" s="1"/>
  <c r="O886" i="5"/>
  <c r="M897" i="5"/>
  <c r="M918" i="5" s="1"/>
  <c r="M927" i="5" s="1"/>
  <c r="M892" i="5"/>
  <c r="M896" i="5" s="1"/>
  <c r="T613" i="5"/>
  <c r="T614" i="5" s="1"/>
  <c r="T612" i="5" s="1"/>
  <c r="T609" i="5"/>
  <c r="T610" i="5" s="1"/>
  <c r="T608" i="5" s="1"/>
  <c r="T617" i="5"/>
  <c r="T618" i="5" s="1"/>
  <c r="T616" i="5" s="1"/>
  <c r="U61" i="5"/>
  <c r="S626" i="5"/>
  <c r="S627" i="5" s="1"/>
  <c r="T27" i="5"/>
  <c r="T112" i="5" s="1"/>
  <c r="T28" i="5"/>
  <c r="T113" i="5" s="1"/>
  <c r="T29" i="5"/>
  <c r="U16" i="5"/>
  <c r="P125" i="5" l="1"/>
  <c r="S80" i="5"/>
  <c r="T80" i="5"/>
  <c r="O887" i="5"/>
  <c r="O885" i="5" s="1"/>
  <c r="O889" i="5" s="1"/>
  <c r="O892" i="5" s="1"/>
  <c r="O896" i="5" s="1"/>
  <c r="L894" i="5"/>
  <c r="M891" i="5" s="1"/>
  <c r="M893" i="5" s="1"/>
  <c r="L899" i="5"/>
  <c r="L83" i="9" s="1"/>
  <c r="Q25" i="5"/>
  <c r="Q135" i="5" s="1"/>
  <c r="Q631" i="5" s="1"/>
  <c r="Q24" i="5"/>
  <c r="Q134" i="5" s="1"/>
  <c r="Q630" i="5" s="1"/>
  <c r="R131" i="5"/>
  <c r="Q26" i="5"/>
  <c r="O945" i="5"/>
  <c r="P375" i="5"/>
  <c r="P136" i="5"/>
  <c r="P137" i="5" s="1"/>
  <c r="P86" i="9"/>
  <c r="P87" i="9" s="1"/>
  <c r="M917" i="5"/>
  <c r="M924" i="5" s="1"/>
  <c r="M50" i="9" s="1"/>
  <c r="O86" i="9"/>
  <c r="O87" i="9" s="1"/>
  <c r="R9" i="9"/>
  <c r="R13" i="9" s="1"/>
  <c r="R14" i="9" s="1"/>
  <c r="R913" i="5"/>
  <c r="R922" i="5" s="1"/>
  <c r="T114" i="5"/>
  <c r="T115" i="5" s="1"/>
  <c r="T295" i="5"/>
  <c r="Q124" i="5"/>
  <c r="Q335" i="5"/>
  <c r="T448" i="5"/>
  <c r="S444" i="5"/>
  <c r="S9" i="9" s="1"/>
  <c r="T447" i="5"/>
  <c r="T445" i="5"/>
  <c r="S603" i="5"/>
  <c r="S11" i="9" s="1"/>
  <c r="T644" i="5"/>
  <c r="T657" i="5" s="1"/>
  <c r="T650" i="5"/>
  <c r="T658" i="5" s="1"/>
  <c r="T716" i="5"/>
  <c r="T729" i="5" s="1"/>
  <c r="T722" i="5"/>
  <c r="T730" i="5" s="1"/>
  <c r="T668" i="5"/>
  <c r="T681" i="5" s="1"/>
  <c r="T674" i="5"/>
  <c r="T682" i="5" s="1"/>
  <c r="T698" i="5"/>
  <c r="T706" i="5" s="1"/>
  <c r="T692" i="5"/>
  <c r="T705" i="5" s="1"/>
  <c r="T574" i="5"/>
  <c r="U580" i="5"/>
  <c r="U690" i="5"/>
  <c r="U666" i="5"/>
  <c r="U642" i="5"/>
  <c r="U714" i="5"/>
  <c r="U575" i="5"/>
  <c r="U637" i="5"/>
  <c r="U685" i="5"/>
  <c r="U709" i="5"/>
  <c r="U661" i="5"/>
  <c r="T582" i="5"/>
  <c r="U577" i="5"/>
  <c r="U711" i="5"/>
  <c r="U687" i="5"/>
  <c r="U663" i="5"/>
  <c r="U639" i="5"/>
  <c r="U585" i="5"/>
  <c r="U671" i="5"/>
  <c r="U719" i="5"/>
  <c r="U695" i="5"/>
  <c r="U647" i="5"/>
  <c r="U579" i="5"/>
  <c r="U689" i="5"/>
  <c r="U713" i="5"/>
  <c r="U641" i="5"/>
  <c r="U665" i="5"/>
  <c r="U584" i="5"/>
  <c r="U694" i="5"/>
  <c r="U670" i="5"/>
  <c r="U646" i="5"/>
  <c r="U718" i="5"/>
  <c r="U578" i="5"/>
  <c r="U712" i="5"/>
  <c r="U640" i="5"/>
  <c r="U688" i="5"/>
  <c r="U664" i="5"/>
  <c r="U590" i="5"/>
  <c r="U676" i="5"/>
  <c r="U652" i="5"/>
  <c r="U700" i="5"/>
  <c r="U724" i="5"/>
  <c r="U586" i="5"/>
  <c r="U720" i="5"/>
  <c r="U672" i="5"/>
  <c r="U696" i="5"/>
  <c r="U648" i="5"/>
  <c r="U591" i="5"/>
  <c r="U725" i="5"/>
  <c r="U677" i="5"/>
  <c r="U653" i="5"/>
  <c r="U701" i="5"/>
  <c r="U576" i="5"/>
  <c r="U638" i="5"/>
  <c r="U710" i="5"/>
  <c r="U662" i="5"/>
  <c r="U686" i="5"/>
  <c r="U592" i="5"/>
  <c r="U702" i="5"/>
  <c r="U654" i="5"/>
  <c r="U726" i="5"/>
  <c r="U678" i="5"/>
  <c r="U723" i="5"/>
  <c r="U717" i="5"/>
  <c r="U699" i="5"/>
  <c r="U693" i="5"/>
  <c r="U675" i="5"/>
  <c r="U669" i="5"/>
  <c r="U651" i="5"/>
  <c r="U645" i="5"/>
  <c r="U593" i="5"/>
  <c r="U679" i="5"/>
  <c r="U703" i="5"/>
  <c r="U727" i="5"/>
  <c r="U655" i="5"/>
  <c r="U589" i="5"/>
  <c r="U583" i="5"/>
  <c r="U600" i="5"/>
  <c r="U599" i="5"/>
  <c r="U598" i="5"/>
  <c r="L51" i="9"/>
  <c r="Q13" i="9"/>
  <c r="Q14" i="9" s="1"/>
  <c r="S16" i="9"/>
  <c r="S914" i="5"/>
  <c r="S923" i="5" s="1"/>
  <c r="S49" i="9" s="1"/>
  <c r="T619" i="5"/>
  <c r="Q784" i="5"/>
  <c r="Q788" i="5"/>
  <c r="Q789" i="5" s="1"/>
  <c r="R783" i="5" s="1"/>
  <c r="P774" i="5"/>
  <c r="P778" i="5"/>
  <c r="P779" i="5" s="1"/>
  <c r="Q773" i="5" s="1"/>
  <c r="T588" i="5"/>
  <c r="V561" i="5"/>
  <c r="V571" i="5"/>
  <c r="V601" i="5" s="1"/>
  <c r="V558" i="5"/>
  <c r="V563" i="5"/>
  <c r="V568" i="5"/>
  <c r="V566" i="5"/>
  <c r="V556" i="5"/>
  <c r="V560" i="5"/>
  <c r="V559" i="5"/>
  <c r="V555" i="5"/>
  <c r="V565" i="5"/>
  <c r="V562" i="5"/>
  <c r="V567" i="5"/>
  <c r="V570" i="5"/>
  <c r="V557" i="5"/>
  <c r="V564" i="5"/>
  <c r="W59" i="5"/>
  <c r="V76" i="5"/>
  <c r="V75" i="5"/>
  <c r="V77" i="5"/>
  <c r="M49" i="9"/>
  <c r="R22" i="5"/>
  <c r="R123" i="5" s="1"/>
  <c r="R122" i="5"/>
  <c r="R23" i="5"/>
  <c r="S423" i="5"/>
  <c r="S22" i="5" s="1"/>
  <c r="U442" i="5"/>
  <c r="U441" i="5"/>
  <c r="U823" i="5"/>
  <c r="U825" i="5" s="1"/>
  <c r="U439" i="5"/>
  <c r="U440" i="5"/>
  <c r="U446" i="5" s="1"/>
  <c r="V58" i="5"/>
  <c r="U624" i="5"/>
  <c r="U74" i="5"/>
  <c r="U78" i="5" s="1"/>
  <c r="U625" i="5"/>
  <c r="U622" i="5"/>
  <c r="T626" i="5"/>
  <c r="T627" i="5" s="1"/>
  <c r="P632" i="5"/>
  <c r="P886" i="5"/>
  <c r="M793" i="5"/>
  <c r="M791" i="5" s="1"/>
  <c r="M89" i="9" s="1"/>
  <c r="M864" i="5"/>
  <c r="M740" i="5"/>
  <c r="M82" i="5" s="1"/>
  <c r="M738" i="5"/>
  <c r="M92" i="9" s="1"/>
  <c r="S944" i="5"/>
  <c r="U609" i="5"/>
  <c r="U610" i="5" s="1"/>
  <c r="U608" i="5" s="1"/>
  <c r="U617" i="5"/>
  <c r="U618" i="5" s="1"/>
  <c r="U616" i="5" s="1"/>
  <c r="U613" i="5"/>
  <c r="U614" i="5" s="1"/>
  <c r="U612" i="5" s="1"/>
  <c r="V61" i="5"/>
  <c r="M899" i="5"/>
  <c r="M83" i="9" s="1"/>
  <c r="N13" i="9"/>
  <c r="N14" i="9" s="1"/>
  <c r="T747" i="5"/>
  <c r="T944" i="5"/>
  <c r="U569" i="5"/>
  <c r="U595" i="5" s="1"/>
  <c r="V62" i="5"/>
  <c r="U623" i="5"/>
  <c r="U28" i="5"/>
  <c r="U113" i="5" s="1"/>
  <c r="U27" i="5"/>
  <c r="U112" i="5" s="1"/>
  <c r="U29" i="5"/>
  <c r="V16" i="5"/>
  <c r="T597" i="5"/>
  <c r="P14" i="9"/>
  <c r="M743" i="5"/>
  <c r="N763" i="5"/>
  <c r="M11" i="9"/>
  <c r="O13" i="9"/>
  <c r="O14" i="9" s="1"/>
  <c r="M894" i="5" l="1"/>
  <c r="P887" i="5"/>
  <c r="U80" i="5"/>
  <c r="Q125" i="5"/>
  <c r="P945" i="5"/>
  <c r="P885" i="5"/>
  <c r="P889" i="5" s="1"/>
  <c r="P892" i="5" s="1"/>
  <c r="P896" i="5" s="1"/>
  <c r="P917" i="5" s="1"/>
  <c r="P924" i="5" s="1"/>
  <c r="Q375" i="5"/>
  <c r="Q136" i="5"/>
  <c r="Q137" i="5" s="1"/>
  <c r="R25" i="5"/>
  <c r="R135" i="5" s="1"/>
  <c r="R631" i="5" s="1"/>
  <c r="R26" i="5"/>
  <c r="S131" i="5"/>
  <c r="R24" i="5"/>
  <c r="R134" i="5" s="1"/>
  <c r="R630" i="5" s="1"/>
  <c r="R124" i="5"/>
  <c r="R335" i="5"/>
  <c r="U114" i="5"/>
  <c r="U115" i="5" s="1"/>
  <c r="U295" i="5"/>
  <c r="S883" i="5"/>
  <c r="S882" i="5" s="1"/>
  <c r="O917" i="5"/>
  <c r="O924" i="5" s="1"/>
  <c r="O50" i="9" s="1"/>
  <c r="T444" i="5"/>
  <c r="T9" i="9" s="1"/>
  <c r="U448" i="5"/>
  <c r="S913" i="5"/>
  <c r="S922" i="5" s="1"/>
  <c r="U447" i="5"/>
  <c r="U445" i="5"/>
  <c r="U574" i="5"/>
  <c r="U588" i="5"/>
  <c r="U674" i="5"/>
  <c r="U682" i="5" s="1"/>
  <c r="U668" i="5"/>
  <c r="U681" i="5" s="1"/>
  <c r="U644" i="5"/>
  <c r="U657" i="5" s="1"/>
  <c r="U650" i="5"/>
  <c r="U658" i="5" s="1"/>
  <c r="U722" i="5"/>
  <c r="U730" i="5" s="1"/>
  <c r="U716" i="5"/>
  <c r="U729" i="5" s="1"/>
  <c r="U582" i="5"/>
  <c r="U698" i="5"/>
  <c r="U706" i="5" s="1"/>
  <c r="U692" i="5"/>
  <c r="U705" i="5" s="1"/>
  <c r="V590" i="5"/>
  <c r="V700" i="5"/>
  <c r="V724" i="5"/>
  <c r="V652" i="5"/>
  <c r="V676" i="5"/>
  <c r="V723" i="5"/>
  <c r="V675" i="5"/>
  <c r="V669" i="5"/>
  <c r="V717" i="5"/>
  <c r="V699" i="5"/>
  <c r="V693" i="5"/>
  <c r="V645" i="5"/>
  <c r="V651" i="5"/>
  <c r="V591" i="5"/>
  <c r="V725" i="5"/>
  <c r="V701" i="5"/>
  <c r="V677" i="5"/>
  <c r="V653" i="5"/>
  <c r="V586" i="5"/>
  <c r="V696" i="5"/>
  <c r="V720" i="5"/>
  <c r="V672" i="5"/>
  <c r="V648" i="5"/>
  <c r="V584" i="5"/>
  <c r="V718" i="5"/>
  <c r="V694" i="5"/>
  <c r="V646" i="5"/>
  <c r="V670" i="5"/>
  <c r="V579" i="5"/>
  <c r="V689" i="5"/>
  <c r="V641" i="5"/>
  <c r="V713" i="5"/>
  <c r="V665" i="5"/>
  <c r="V585" i="5"/>
  <c r="V671" i="5"/>
  <c r="V647" i="5"/>
  <c r="V719" i="5"/>
  <c r="V695" i="5"/>
  <c r="V576" i="5"/>
  <c r="V686" i="5"/>
  <c r="V662" i="5"/>
  <c r="V710" i="5"/>
  <c r="V638" i="5"/>
  <c r="V575" i="5"/>
  <c r="V685" i="5"/>
  <c r="V709" i="5"/>
  <c r="V661" i="5"/>
  <c r="V637" i="5"/>
  <c r="V577" i="5"/>
  <c r="V711" i="5"/>
  <c r="V663" i="5"/>
  <c r="V687" i="5"/>
  <c r="V639" i="5"/>
  <c r="V592" i="5"/>
  <c r="V702" i="5"/>
  <c r="V654" i="5"/>
  <c r="V678" i="5"/>
  <c r="V726" i="5"/>
  <c r="V578" i="5"/>
  <c r="V712" i="5"/>
  <c r="V664" i="5"/>
  <c r="V688" i="5"/>
  <c r="V640" i="5"/>
  <c r="V593" i="5"/>
  <c r="V679" i="5"/>
  <c r="V703" i="5"/>
  <c r="V727" i="5"/>
  <c r="V655" i="5"/>
  <c r="V580" i="5"/>
  <c r="V714" i="5"/>
  <c r="V666" i="5"/>
  <c r="V642" i="5"/>
  <c r="V690" i="5"/>
  <c r="T16" i="9"/>
  <c r="V599" i="5"/>
  <c r="V598" i="5"/>
  <c r="V600" i="5"/>
  <c r="V589" i="5"/>
  <c r="V583" i="5"/>
  <c r="T914" i="5"/>
  <c r="T923" i="5" s="1"/>
  <c r="T49" i="9" s="1"/>
  <c r="S13" i="9"/>
  <c r="S14" i="9" s="1"/>
  <c r="U619" i="5"/>
  <c r="U597" i="5"/>
  <c r="U626" i="5"/>
  <c r="U627" i="5" s="1"/>
  <c r="Q774" i="5"/>
  <c r="Q778" i="5"/>
  <c r="Q779" i="5" s="1"/>
  <c r="R773" i="5" s="1"/>
  <c r="R787" i="5"/>
  <c r="I787" i="5" s="1"/>
  <c r="R784" i="5"/>
  <c r="R788" i="5"/>
  <c r="R789" i="5" s="1"/>
  <c r="S783" i="5" s="1"/>
  <c r="V569" i="5"/>
  <c r="V595" i="5" s="1"/>
  <c r="W62" i="5"/>
  <c r="V623" i="5"/>
  <c r="M59" i="9"/>
  <c r="M93" i="9"/>
  <c r="W559" i="5"/>
  <c r="W568" i="5"/>
  <c r="W655" i="5" s="1"/>
  <c r="W556" i="5"/>
  <c r="W561" i="5"/>
  <c r="W565" i="5"/>
  <c r="W566" i="5"/>
  <c r="W563" i="5"/>
  <c r="W555" i="5"/>
  <c r="W562" i="5"/>
  <c r="W567" i="5"/>
  <c r="W592" i="5" s="1"/>
  <c r="W564" i="5"/>
  <c r="W571" i="5"/>
  <c r="W601" i="5" s="1"/>
  <c r="W558" i="5"/>
  <c r="W560" i="5"/>
  <c r="W557" i="5"/>
  <c r="W570" i="5"/>
  <c r="X59" i="5"/>
  <c r="W75" i="5"/>
  <c r="W76" i="5"/>
  <c r="W77" i="5"/>
  <c r="M94" i="5"/>
  <c r="M96" i="5"/>
  <c r="M95" i="5"/>
  <c r="M97" i="5"/>
  <c r="V823" i="5"/>
  <c r="V825" i="5" s="1"/>
  <c r="V439" i="5"/>
  <c r="V442" i="5"/>
  <c r="V440" i="5"/>
  <c r="V446" i="5" s="1"/>
  <c r="V441" i="5"/>
  <c r="W58" i="5"/>
  <c r="V625" i="5"/>
  <c r="V74" i="5"/>
  <c r="V78" i="5" s="1"/>
  <c r="V624" i="5"/>
  <c r="V622" i="5"/>
  <c r="S23" i="5"/>
  <c r="S123" i="5"/>
  <c r="S122" i="5"/>
  <c r="T423" i="5"/>
  <c r="N891" i="5"/>
  <c r="M51" i="9"/>
  <c r="M13" i="9"/>
  <c r="N742" i="5"/>
  <c r="N764" i="5"/>
  <c r="N768" i="5"/>
  <c r="T792" i="5"/>
  <c r="T791" i="5" s="1"/>
  <c r="T89" i="9" s="1"/>
  <c r="T751" i="5"/>
  <c r="T90" i="9" s="1"/>
  <c r="V617" i="5"/>
  <c r="V618" i="5" s="1"/>
  <c r="V616" i="5" s="1"/>
  <c r="V613" i="5"/>
  <c r="V614" i="5" s="1"/>
  <c r="V612" i="5" s="1"/>
  <c r="V609" i="5"/>
  <c r="V610" i="5" s="1"/>
  <c r="V608" i="5" s="1"/>
  <c r="W61" i="5"/>
  <c r="S747" i="5"/>
  <c r="M741" i="5"/>
  <c r="M30" i="9" s="1"/>
  <c r="P18" i="9"/>
  <c r="Q632" i="5"/>
  <c r="Q886" i="5"/>
  <c r="T603" i="5"/>
  <c r="V28" i="5"/>
  <c r="V113" i="5" s="1"/>
  <c r="V29" i="5"/>
  <c r="V27" i="5"/>
  <c r="V112" i="5" s="1"/>
  <c r="W16" i="5"/>
  <c r="U747" i="5"/>
  <c r="U944" i="5"/>
  <c r="R125" i="5" l="1"/>
  <c r="V80" i="5"/>
  <c r="Q887" i="5"/>
  <c r="Q885" i="5" s="1"/>
  <c r="Q889" i="5" s="1"/>
  <c r="Q892" i="5" s="1"/>
  <c r="Q896" i="5" s="1"/>
  <c r="Q917" i="5" s="1"/>
  <c r="Q924" i="5" s="1"/>
  <c r="Q945" i="5"/>
  <c r="S25" i="5"/>
  <c r="S135" i="5" s="1"/>
  <c r="S631" i="5" s="1"/>
  <c r="S24" i="5"/>
  <c r="S134" i="5" s="1"/>
  <c r="S630" i="5" s="1"/>
  <c r="T131" i="5"/>
  <c r="S26" i="5"/>
  <c r="R375" i="5"/>
  <c r="R136" i="5"/>
  <c r="R887" i="5" s="1"/>
  <c r="Q86" i="9"/>
  <c r="Q87" i="9" s="1"/>
  <c r="T883" i="5"/>
  <c r="T882" i="5" s="1"/>
  <c r="T913" i="5"/>
  <c r="T922" i="5" s="1"/>
  <c r="S124" i="5"/>
  <c r="S335" i="5"/>
  <c r="V114" i="5"/>
  <c r="V295" i="5"/>
  <c r="U444" i="5"/>
  <c r="U883" i="5" s="1"/>
  <c r="U882" i="5" s="1"/>
  <c r="V448" i="5"/>
  <c r="V447" i="5"/>
  <c r="V445" i="5"/>
  <c r="U603" i="5"/>
  <c r="U11" i="9" s="1"/>
  <c r="V698" i="5"/>
  <c r="V706" i="5" s="1"/>
  <c r="V692" i="5"/>
  <c r="V705" i="5" s="1"/>
  <c r="V588" i="5"/>
  <c r="V650" i="5"/>
  <c r="V658" i="5" s="1"/>
  <c r="V644" i="5"/>
  <c r="V657" i="5" s="1"/>
  <c r="V574" i="5"/>
  <c r="V722" i="5"/>
  <c r="V730" i="5" s="1"/>
  <c r="V716" i="5"/>
  <c r="V729" i="5" s="1"/>
  <c r="V582" i="5"/>
  <c r="V674" i="5"/>
  <c r="V682" i="5" s="1"/>
  <c r="V668" i="5"/>
  <c r="V681" i="5" s="1"/>
  <c r="W577" i="5"/>
  <c r="W639" i="5"/>
  <c r="W663" i="5"/>
  <c r="W711" i="5"/>
  <c r="W687" i="5"/>
  <c r="W584" i="5"/>
  <c r="W646" i="5"/>
  <c r="W694" i="5"/>
  <c r="W670" i="5"/>
  <c r="W718" i="5"/>
  <c r="W578" i="5"/>
  <c r="W712" i="5"/>
  <c r="W688" i="5"/>
  <c r="W640" i="5"/>
  <c r="W664" i="5"/>
  <c r="W580" i="5"/>
  <c r="W666" i="5"/>
  <c r="W642" i="5"/>
  <c r="W714" i="5"/>
  <c r="W690" i="5"/>
  <c r="W576" i="5"/>
  <c r="W686" i="5"/>
  <c r="W662" i="5"/>
  <c r="W710" i="5"/>
  <c r="W638" i="5"/>
  <c r="W586" i="5"/>
  <c r="W672" i="5"/>
  <c r="W720" i="5"/>
  <c r="W696" i="5"/>
  <c r="W648" i="5"/>
  <c r="W585" i="5"/>
  <c r="W671" i="5"/>
  <c r="W719" i="5"/>
  <c r="W695" i="5"/>
  <c r="W647" i="5"/>
  <c r="W575" i="5"/>
  <c r="W637" i="5"/>
  <c r="W661" i="5"/>
  <c r="W709" i="5"/>
  <c r="W685" i="5"/>
  <c r="W590" i="5"/>
  <c r="W652" i="5"/>
  <c r="W724" i="5"/>
  <c r="W700" i="5"/>
  <c r="W676" i="5"/>
  <c r="W723" i="5"/>
  <c r="W717" i="5"/>
  <c r="W651" i="5"/>
  <c r="W675" i="5"/>
  <c r="W699" i="5"/>
  <c r="W693" i="5"/>
  <c r="W645" i="5"/>
  <c r="W669" i="5"/>
  <c r="W579" i="5"/>
  <c r="W689" i="5"/>
  <c r="W713" i="5"/>
  <c r="W665" i="5"/>
  <c r="W641" i="5"/>
  <c r="W678" i="5"/>
  <c r="W702" i="5"/>
  <c r="W654" i="5"/>
  <c r="W726" i="5"/>
  <c r="W591" i="5"/>
  <c r="W701" i="5"/>
  <c r="W677" i="5"/>
  <c r="W725" i="5"/>
  <c r="W653" i="5"/>
  <c r="W593" i="5"/>
  <c r="W703" i="5"/>
  <c r="W679" i="5"/>
  <c r="W727" i="5"/>
  <c r="W598" i="5"/>
  <c r="W599" i="5"/>
  <c r="W600" i="5"/>
  <c r="W589" i="5"/>
  <c r="W583" i="5"/>
  <c r="V619" i="5"/>
  <c r="U16" i="9"/>
  <c r="R774" i="5"/>
  <c r="R778" i="5"/>
  <c r="R779" i="5" s="1"/>
  <c r="S773" i="5" s="1"/>
  <c r="S784" i="5"/>
  <c r="S788" i="5"/>
  <c r="S789" i="5" s="1"/>
  <c r="T783" i="5" s="1"/>
  <c r="W613" i="5"/>
  <c r="W614" i="5" s="1"/>
  <c r="W612" i="5" s="1"/>
  <c r="W609" i="5"/>
  <c r="W610" i="5" s="1"/>
  <c r="W608" i="5" s="1"/>
  <c r="W617" i="5"/>
  <c r="W618" i="5" s="1"/>
  <c r="W616" i="5" s="1"/>
  <c r="X61" i="5"/>
  <c r="N765" i="5"/>
  <c r="N736" i="5"/>
  <c r="M14" i="9"/>
  <c r="P50" i="9"/>
  <c r="U914" i="5"/>
  <c r="U923" i="5" s="1"/>
  <c r="U49" i="9" s="1"/>
  <c r="M82" i="9"/>
  <c r="V747" i="5"/>
  <c r="V944" i="5"/>
  <c r="M98" i="5"/>
  <c r="N739" i="5"/>
  <c r="N893" i="5"/>
  <c r="N897" i="5" s="1"/>
  <c r="X559" i="5"/>
  <c r="X555" i="5"/>
  <c r="X568" i="5"/>
  <c r="X565" i="5"/>
  <c r="X570" i="5"/>
  <c r="X564" i="5"/>
  <c r="X560" i="5"/>
  <c r="X561" i="5"/>
  <c r="X571" i="5"/>
  <c r="X601" i="5" s="1"/>
  <c r="X563" i="5"/>
  <c r="X567" i="5"/>
  <c r="X558" i="5"/>
  <c r="X562" i="5"/>
  <c r="X556" i="5"/>
  <c r="X557" i="5"/>
  <c r="X566" i="5"/>
  <c r="Y59" i="5"/>
  <c r="X76" i="5"/>
  <c r="X75" i="5"/>
  <c r="X77" i="5"/>
  <c r="V626" i="5"/>
  <c r="R632" i="5"/>
  <c r="R886" i="5"/>
  <c r="W27" i="5"/>
  <c r="W112" i="5" s="1"/>
  <c r="W29" i="5"/>
  <c r="W28" i="5"/>
  <c r="W113" i="5" s="1"/>
  <c r="X16" i="5"/>
  <c r="V597" i="5"/>
  <c r="U792" i="5"/>
  <c r="U791" i="5" s="1"/>
  <c r="U89" i="9" s="1"/>
  <c r="U751" i="5"/>
  <c r="U90" i="9" s="1"/>
  <c r="V115" i="5"/>
  <c r="T11" i="9"/>
  <c r="T13" i="9" s="1"/>
  <c r="Q18" i="9"/>
  <c r="S751" i="5"/>
  <c r="S90" i="9" s="1"/>
  <c r="S792" i="5"/>
  <c r="S791" i="5" s="1"/>
  <c r="S89" i="9" s="1"/>
  <c r="T22" i="5"/>
  <c r="T123" i="5" s="1"/>
  <c r="T21" i="5"/>
  <c r="T122" i="5" s="1"/>
  <c r="T23" i="5"/>
  <c r="U423" i="5"/>
  <c r="U23" i="5" s="1"/>
  <c r="U335" i="5" s="1"/>
  <c r="W439" i="5"/>
  <c r="W823" i="5"/>
  <c r="W825" i="5" s="1"/>
  <c r="W442" i="5"/>
  <c r="W440" i="5"/>
  <c r="W446" i="5" s="1"/>
  <c r="W441" i="5"/>
  <c r="X58" i="5"/>
  <c r="W624" i="5"/>
  <c r="W625" i="5"/>
  <c r="W74" i="5"/>
  <c r="W78" i="5" s="1"/>
  <c r="W622" i="5"/>
  <c r="W569" i="5"/>
  <c r="W595" i="5" s="1"/>
  <c r="X62" i="5"/>
  <c r="W623" i="5"/>
  <c r="W80" i="5" l="1"/>
  <c r="S125" i="5"/>
  <c r="R137" i="5"/>
  <c r="R86" i="9"/>
  <c r="R87" i="9" s="1"/>
  <c r="R945" i="5"/>
  <c r="S375" i="5"/>
  <c r="S136" i="5"/>
  <c r="S887" i="5" s="1"/>
  <c r="R885" i="5"/>
  <c r="R889" i="5" s="1"/>
  <c r="R892" i="5" s="1"/>
  <c r="R896" i="5" s="1"/>
  <c r="R917" i="5" s="1"/>
  <c r="R924" i="5" s="1"/>
  <c r="T24" i="5"/>
  <c r="T134" i="5" s="1"/>
  <c r="T630" i="5" s="1"/>
  <c r="T26" i="5"/>
  <c r="U131" i="5"/>
  <c r="T25" i="5"/>
  <c r="T135" i="5" s="1"/>
  <c r="T631" i="5" s="1"/>
  <c r="U9" i="9"/>
  <c r="U13" i="9" s="1"/>
  <c r="U14" i="9" s="1"/>
  <c r="U913" i="5"/>
  <c r="U922" i="5" s="1"/>
  <c r="T124" i="5"/>
  <c r="T335" i="5"/>
  <c r="W114" i="5"/>
  <c r="W115" i="5" s="1"/>
  <c r="S295" i="5"/>
  <c r="N91" i="9"/>
  <c r="M744" i="5"/>
  <c r="V444" i="5"/>
  <c r="V9" i="9" s="1"/>
  <c r="W448" i="5"/>
  <c r="W447" i="5"/>
  <c r="W445" i="5"/>
  <c r="W574" i="5"/>
  <c r="W698" i="5"/>
  <c r="W706" i="5" s="1"/>
  <c r="W692" i="5"/>
  <c r="W705" i="5" s="1"/>
  <c r="W716" i="5"/>
  <c r="W729" i="5" s="1"/>
  <c r="W722" i="5"/>
  <c r="W730" i="5" s="1"/>
  <c r="V603" i="5"/>
  <c r="V11" i="9" s="1"/>
  <c r="W674" i="5"/>
  <c r="W682" i="5" s="1"/>
  <c r="W668" i="5"/>
  <c r="W681" i="5" s="1"/>
  <c r="W644" i="5"/>
  <c r="W657" i="5" s="1"/>
  <c r="W650" i="5"/>
  <c r="W658" i="5" s="1"/>
  <c r="X584" i="5"/>
  <c r="X646" i="5"/>
  <c r="X718" i="5"/>
  <c r="X670" i="5"/>
  <c r="X694" i="5"/>
  <c r="X578" i="5"/>
  <c r="X664" i="5"/>
  <c r="X640" i="5"/>
  <c r="X688" i="5"/>
  <c r="X712" i="5"/>
  <c r="X576" i="5"/>
  <c r="X638" i="5"/>
  <c r="X710" i="5"/>
  <c r="X686" i="5"/>
  <c r="X662" i="5"/>
  <c r="X592" i="5"/>
  <c r="X678" i="5"/>
  <c r="X654" i="5"/>
  <c r="X702" i="5"/>
  <c r="X726" i="5"/>
  <c r="X579" i="5"/>
  <c r="X641" i="5"/>
  <c r="X689" i="5"/>
  <c r="X665" i="5"/>
  <c r="X713" i="5"/>
  <c r="X593" i="5"/>
  <c r="X727" i="5"/>
  <c r="X655" i="5"/>
  <c r="X703" i="5"/>
  <c r="X679" i="5"/>
  <c r="X591" i="5"/>
  <c r="X725" i="5"/>
  <c r="X677" i="5"/>
  <c r="X701" i="5"/>
  <c r="X653" i="5"/>
  <c r="X577" i="5"/>
  <c r="X663" i="5"/>
  <c r="X711" i="5"/>
  <c r="X639" i="5"/>
  <c r="X687" i="5"/>
  <c r="X580" i="5"/>
  <c r="X714" i="5"/>
  <c r="X666" i="5"/>
  <c r="X642" i="5"/>
  <c r="X690" i="5"/>
  <c r="X590" i="5"/>
  <c r="X676" i="5"/>
  <c r="X724" i="5"/>
  <c r="X700" i="5"/>
  <c r="X652" i="5"/>
  <c r="X575" i="5"/>
  <c r="X661" i="5"/>
  <c r="X637" i="5"/>
  <c r="X685" i="5"/>
  <c r="X709" i="5"/>
  <c r="X585" i="5"/>
  <c r="X695" i="5"/>
  <c r="X719" i="5"/>
  <c r="X647" i="5"/>
  <c r="X671" i="5"/>
  <c r="X586" i="5"/>
  <c r="X672" i="5"/>
  <c r="X648" i="5"/>
  <c r="X696" i="5"/>
  <c r="X720" i="5"/>
  <c r="X699" i="5"/>
  <c r="X723" i="5"/>
  <c r="X693" i="5"/>
  <c r="X717" i="5"/>
  <c r="X651" i="5"/>
  <c r="X645" i="5"/>
  <c r="X675" i="5"/>
  <c r="X669" i="5"/>
  <c r="X589" i="5"/>
  <c r="X583" i="5"/>
  <c r="X598" i="5"/>
  <c r="X599" i="5"/>
  <c r="X600" i="5"/>
  <c r="W626" i="5"/>
  <c r="W627" i="5" s="1"/>
  <c r="W619" i="5"/>
  <c r="S774" i="5"/>
  <c r="S778" i="5"/>
  <c r="S779" i="5" s="1"/>
  <c r="T773" i="5" s="1"/>
  <c r="T788" i="5"/>
  <c r="T789" i="5" s="1"/>
  <c r="U783" i="5" s="1"/>
  <c r="T784" i="5"/>
  <c r="V627" i="5"/>
  <c r="V16" i="9" s="1"/>
  <c r="W747" i="5"/>
  <c r="W944" i="5"/>
  <c r="V914" i="5"/>
  <c r="V923" i="5" s="1"/>
  <c r="V49" i="9" s="1"/>
  <c r="N737" i="5"/>
  <c r="N738" i="5" s="1"/>
  <c r="N92" i="9" s="1"/>
  <c r="I765" i="5"/>
  <c r="N769" i="5"/>
  <c r="T14" i="9"/>
  <c r="X28" i="5"/>
  <c r="X113" i="5" s="1"/>
  <c r="X29" i="5"/>
  <c r="X27" i="5"/>
  <c r="X112" i="5" s="1"/>
  <c r="Y16" i="5"/>
  <c r="R18" i="9"/>
  <c r="X617" i="5"/>
  <c r="X618" i="5" s="1"/>
  <c r="X616" i="5" s="1"/>
  <c r="X609" i="5"/>
  <c r="X610" i="5" s="1"/>
  <c r="X608" i="5" s="1"/>
  <c r="X613" i="5"/>
  <c r="X614" i="5" s="1"/>
  <c r="X612" i="5" s="1"/>
  <c r="Y61" i="5"/>
  <c r="Y559" i="5"/>
  <c r="Y566" i="5"/>
  <c r="Y570" i="5"/>
  <c r="Y571" i="5"/>
  <c r="Y601" i="5" s="1"/>
  <c r="Y560" i="5"/>
  <c r="Y568" i="5"/>
  <c r="Y593" i="5" s="1"/>
  <c r="Y555" i="5"/>
  <c r="Y567" i="5"/>
  <c r="Y592" i="5" s="1"/>
  <c r="Y563" i="5"/>
  <c r="Y565" i="5"/>
  <c r="Y557" i="5"/>
  <c r="Y558" i="5"/>
  <c r="Y556" i="5"/>
  <c r="Y564" i="5"/>
  <c r="Y562" i="5"/>
  <c r="Y561" i="5"/>
  <c r="Z59" i="5"/>
  <c r="Y76" i="5"/>
  <c r="Y75" i="5"/>
  <c r="Y77" i="5"/>
  <c r="W582" i="5"/>
  <c r="W588" i="5"/>
  <c r="U21" i="5"/>
  <c r="U122" i="5" s="1"/>
  <c r="U124" i="5"/>
  <c r="U22" i="5"/>
  <c r="U123" i="5" s="1"/>
  <c r="V423" i="5"/>
  <c r="X569" i="5"/>
  <c r="X595" i="5" s="1"/>
  <c r="Y62" i="5"/>
  <c r="X623" i="5"/>
  <c r="W597" i="5"/>
  <c r="N894" i="5"/>
  <c r="V792" i="5"/>
  <c r="V791" i="5" s="1"/>
  <c r="V89" i="9" s="1"/>
  <c r="V751" i="5"/>
  <c r="V90" i="9" s="1"/>
  <c r="S632" i="5"/>
  <c r="S886" i="5"/>
  <c r="X439" i="5"/>
  <c r="X440" i="5"/>
  <c r="X446" i="5" s="1"/>
  <c r="X441" i="5"/>
  <c r="X442" i="5"/>
  <c r="X823" i="5"/>
  <c r="X825" i="5" s="1"/>
  <c r="Y58" i="5"/>
  <c r="X625" i="5"/>
  <c r="X622" i="5"/>
  <c r="X624" i="5"/>
  <c r="X74" i="5"/>
  <c r="X78" i="5" s="1"/>
  <c r="N918" i="5"/>
  <c r="N927" i="5" s="1"/>
  <c r="N899" i="5"/>
  <c r="N83" i="9" s="1"/>
  <c r="Q50" i="9"/>
  <c r="N793" i="5"/>
  <c r="N791" i="5" s="1"/>
  <c r="N89" i="9" s="1"/>
  <c r="N864" i="5"/>
  <c r="N740" i="5"/>
  <c r="N82" i="5" s="1"/>
  <c r="X80" i="5" l="1"/>
  <c r="T375" i="5"/>
  <c r="T136" i="5"/>
  <c r="T137" i="5" s="1"/>
  <c r="S945" i="5"/>
  <c r="T86" i="9"/>
  <c r="T87" i="9" s="1"/>
  <c r="S86" i="9"/>
  <c r="S87" i="9" s="1"/>
  <c r="U24" i="5"/>
  <c r="U134" i="5" s="1"/>
  <c r="U630" i="5" s="1"/>
  <c r="V131" i="5"/>
  <c r="U25" i="5"/>
  <c r="U135" i="5" s="1"/>
  <c r="U631" i="5" s="1"/>
  <c r="U26" i="5"/>
  <c r="S137" i="5"/>
  <c r="S885" i="5"/>
  <c r="S889" i="5" s="1"/>
  <c r="S892" i="5" s="1"/>
  <c r="S896" i="5" s="1"/>
  <c r="S917" i="5" s="1"/>
  <c r="S924" i="5" s="1"/>
  <c r="T125" i="5"/>
  <c r="V913" i="5"/>
  <c r="V922" i="5" s="1"/>
  <c r="V883" i="5"/>
  <c r="V882" i="5" s="1"/>
  <c r="X114" i="5"/>
  <c r="X115" i="5" s="1"/>
  <c r="X295" i="5"/>
  <c r="X588" i="5"/>
  <c r="M745" i="5"/>
  <c r="M63" i="9" s="1"/>
  <c r="M62" i="9" s="1"/>
  <c r="M66" i="9"/>
  <c r="V13" i="9"/>
  <c r="V14" i="9" s="1"/>
  <c r="W444" i="5"/>
  <c r="W883" i="5" s="1"/>
  <c r="W882" i="5" s="1"/>
  <c r="X448" i="5"/>
  <c r="X447" i="5"/>
  <c r="X445" i="5"/>
  <c r="W603" i="5"/>
  <c r="W11" i="9" s="1"/>
  <c r="X692" i="5"/>
  <c r="X705" i="5" s="1"/>
  <c r="X698" i="5"/>
  <c r="X706" i="5" s="1"/>
  <c r="X644" i="5"/>
  <c r="X657" i="5" s="1"/>
  <c r="X650" i="5"/>
  <c r="X658" i="5" s="1"/>
  <c r="X582" i="5"/>
  <c r="X668" i="5"/>
  <c r="X681" i="5" s="1"/>
  <c r="X674" i="5"/>
  <c r="X682" i="5" s="1"/>
  <c r="X716" i="5"/>
  <c r="X729" i="5" s="1"/>
  <c r="X722" i="5"/>
  <c r="X730" i="5" s="1"/>
  <c r="X574" i="5"/>
  <c r="Y577" i="5"/>
  <c r="Y687" i="5"/>
  <c r="Y639" i="5"/>
  <c r="Y663" i="5"/>
  <c r="Y711" i="5"/>
  <c r="Y678" i="5"/>
  <c r="Y702" i="5"/>
  <c r="Y654" i="5"/>
  <c r="Y726" i="5"/>
  <c r="Y584" i="5"/>
  <c r="Y670" i="5"/>
  <c r="Y694" i="5"/>
  <c r="Y646" i="5"/>
  <c r="Y718" i="5"/>
  <c r="Y576" i="5"/>
  <c r="Y710" i="5"/>
  <c r="Y662" i="5"/>
  <c r="Y638" i="5"/>
  <c r="Y686" i="5"/>
  <c r="Y717" i="5"/>
  <c r="Y699" i="5"/>
  <c r="Y693" i="5"/>
  <c r="Y723" i="5"/>
  <c r="Y669" i="5"/>
  <c r="Y651" i="5"/>
  <c r="Y675" i="5"/>
  <c r="Y645" i="5"/>
  <c r="Y586" i="5"/>
  <c r="Y720" i="5"/>
  <c r="Y672" i="5"/>
  <c r="Y696" i="5"/>
  <c r="Y648" i="5"/>
  <c r="Y590" i="5"/>
  <c r="Y676" i="5"/>
  <c r="Y700" i="5"/>
  <c r="Y724" i="5"/>
  <c r="Y652" i="5"/>
  <c r="Y727" i="5"/>
  <c r="Y655" i="5"/>
  <c r="Y703" i="5"/>
  <c r="Y679" i="5"/>
  <c r="Y591" i="5"/>
  <c r="Y677" i="5"/>
  <c r="Y725" i="5"/>
  <c r="Y701" i="5"/>
  <c r="Y653" i="5"/>
  <c r="Y580" i="5"/>
  <c r="Y642" i="5"/>
  <c r="Y690" i="5"/>
  <c r="Y714" i="5"/>
  <c r="Y666" i="5"/>
  <c r="Y575" i="5"/>
  <c r="Y637" i="5"/>
  <c r="Y685" i="5"/>
  <c r="Y661" i="5"/>
  <c r="Y709" i="5"/>
  <c r="Y585" i="5"/>
  <c r="Y647" i="5"/>
  <c r="Y671" i="5"/>
  <c r="Y695" i="5"/>
  <c r="Y719" i="5"/>
  <c r="Y579" i="5"/>
  <c r="Y713" i="5"/>
  <c r="Y641" i="5"/>
  <c r="Y665" i="5"/>
  <c r="Y689" i="5"/>
  <c r="Y578" i="5"/>
  <c r="Y664" i="5"/>
  <c r="Y688" i="5"/>
  <c r="Y712" i="5"/>
  <c r="Y640" i="5"/>
  <c r="Y589" i="5"/>
  <c r="Y583" i="5"/>
  <c r="Y598" i="5"/>
  <c r="Y599" i="5"/>
  <c r="Y600" i="5"/>
  <c r="W914" i="5"/>
  <c r="W923" i="5" s="1"/>
  <c r="W49" i="9" s="1"/>
  <c r="W16" i="9"/>
  <c r="N741" i="5"/>
  <c r="N30" i="9" s="1"/>
  <c r="N82" i="9" s="1"/>
  <c r="T774" i="5"/>
  <c r="T778" i="5"/>
  <c r="T779" i="5" s="1"/>
  <c r="U773" i="5" s="1"/>
  <c r="U125" i="5"/>
  <c r="X619" i="5"/>
  <c r="R50" i="9"/>
  <c r="W792" i="5"/>
  <c r="W791" i="5" s="1"/>
  <c r="W89" i="9" s="1"/>
  <c r="W751" i="5"/>
  <c r="W90" i="9" s="1"/>
  <c r="U784" i="5"/>
  <c r="U788" i="5"/>
  <c r="U789" i="5" s="1"/>
  <c r="V783" i="5" s="1"/>
  <c r="T632" i="5"/>
  <c r="T886" i="5"/>
  <c r="X747" i="5"/>
  <c r="X944" i="5"/>
  <c r="S18" i="9"/>
  <c r="V23" i="5"/>
  <c r="V21" i="5"/>
  <c r="V122" i="5" s="1"/>
  <c r="V22" i="5"/>
  <c r="V123" i="5" s="1"/>
  <c r="W423" i="5"/>
  <c r="Z555" i="5"/>
  <c r="Z561" i="5"/>
  <c r="Z563" i="5"/>
  <c r="Z565" i="5"/>
  <c r="Z570" i="5"/>
  <c r="Z556" i="5"/>
  <c r="Z571" i="5"/>
  <c r="Z601" i="5" s="1"/>
  <c r="Z568" i="5"/>
  <c r="Z564" i="5"/>
  <c r="Z558" i="5"/>
  <c r="Z559" i="5"/>
  <c r="Z562" i="5"/>
  <c r="Z567" i="5"/>
  <c r="Z654" i="5" s="1"/>
  <c r="Z566" i="5"/>
  <c r="Z560" i="5"/>
  <c r="Z557" i="5"/>
  <c r="AA59" i="5"/>
  <c r="Z76" i="5"/>
  <c r="Z77" i="5"/>
  <c r="Z75" i="5"/>
  <c r="N97" i="5"/>
  <c r="I97" i="5" s="1"/>
  <c r="N96" i="5"/>
  <c r="I96" i="5" s="1"/>
  <c r="N94" i="5"/>
  <c r="N95" i="5"/>
  <c r="I95" i="5" s="1"/>
  <c r="I82" i="5"/>
  <c r="N59" i="9"/>
  <c r="N93" i="9"/>
  <c r="X597" i="5"/>
  <c r="O891" i="5"/>
  <c r="O893" i="5" s="1"/>
  <c r="N51" i="9"/>
  <c r="X626" i="5"/>
  <c r="Y617" i="5"/>
  <c r="Y618" i="5" s="1"/>
  <c r="Y616" i="5" s="1"/>
  <c r="Y613" i="5"/>
  <c r="Y614" i="5" s="1"/>
  <c r="Y612" i="5" s="1"/>
  <c r="Y609" i="5"/>
  <c r="Y610" i="5" s="1"/>
  <c r="Z61" i="5"/>
  <c r="Y440" i="5"/>
  <c r="Y446" i="5" s="1"/>
  <c r="Y439" i="5"/>
  <c r="Y823" i="5"/>
  <c r="Y825" i="5" s="1"/>
  <c r="Y442" i="5"/>
  <c r="Y441" i="5"/>
  <c r="Z58" i="5"/>
  <c r="Y624" i="5"/>
  <c r="Y625" i="5"/>
  <c r="Y622" i="5"/>
  <c r="Y74" i="5"/>
  <c r="Y78" i="5" s="1"/>
  <c r="Y569" i="5"/>
  <c r="Y595" i="5" s="1"/>
  <c r="Z62" i="5"/>
  <c r="Y623" i="5"/>
  <c r="Y27" i="5"/>
  <c r="Y112" i="5" s="1"/>
  <c r="Y29" i="5"/>
  <c r="Y28" i="5"/>
  <c r="Y113" i="5" s="1"/>
  <c r="Z16" i="5"/>
  <c r="N743" i="5"/>
  <c r="O763" i="5"/>
  <c r="T887" i="5" l="1"/>
  <c r="Y80" i="5"/>
  <c r="T945" i="5"/>
  <c r="T885" i="5"/>
  <c r="T889" i="5" s="1"/>
  <c r="T892" i="5" s="1"/>
  <c r="T896" i="5" s="1"/>
  <c r="T917" i="5" s="1"/>
  <c r="T924" i="5" s="1"/>
  <c r="V26" i="5"/>
  <c r="V136" i="5" s="1"/>
  <c r="W131" i="5"/>
  <c r="V24" i="5"/>
  <c r="V134" i="5" s="1"/>
  <c r="V630" i="5" s="1"/>
  <c r="V25" i="5"/>
  <c r="V135" i="5" s="1"/>
  <c r="V631" i="5" s="1"/>
  <c r="U375" i="5"/>
  <c r="U136" i="5"/>
  <c r="U887" i="5" s="1"/>
  <c r="W9" i="9"/>
  <c r="W13" i="9" s="1"/>
  <c r="W14" i="9" s="1"/>
  <c r="W913" i="5"/>
  <c r="W922" i="5" s="1"/>
  <c r="Y114" i="5"/>
  <c r="Y115" i="5" s="1"/>
  <c r="Y295" i="5"/>
  <c r="V124" i="5"/>
  <c r="V335" i="5"/>
  <c r="X444" i="5"/>
  <c r="X883" i="5" s="1"/>
  <c r="X882" i="5" s="1"/>
  <c r="Y448" i="5"/>
  <c r="Y447" i="5"/>
  <c r="Y445" i="5"/>
  <c r="X603" i="5"/>
  <c r="X11" i="9" s="1"/>
  <c r="Y698" i="5"/>
  <c r="Y706" i="5" s="1"/>
  <c r="Y692" i="5"/>
  <c r="Y705" i="5" s="1"/>
  <c r="Y582" i="5"/>
  <c r="Y650" i="5"/>
  <c r="Y658" i="5" s="1"/>
  <c r="Y644" i="5"/>
  <c r="Y657" i="5" s="1"/>
  <c r="Y716" i="5"/>
  <c r="Y729" i="5" s="1"/>
  <c r="Y722" i="5"/>
  <c r="Y730" i="5" s="1"/>
  <c r="Y574" i="5"/>
  <c r="X914" i="5"/>
  <c r="X923" i="5" s="1"/>
  <c r="X49" i="9" s="1"/>
  <c r="Y668" i="5"/>
  <c r="Y681" i="5" s="1"/>
  <c r="Y674" i="5"/>
  <c r="Y682" i="5" s="1"/>
  <c r="Z591" i="5"/>
  <c r="Z701" i="5"/>
  <c r="Z677" i="5"/>
  <c r="Z653" i="5"/>
  <c r="Z725" i="5"/>
  <c r="Z575" i="5"/>
  <c r="Z685" i="5"/>
  <c r="Z709" i="5"/>
  <c r="Z661" i="5"/>
  <c r="Z637" i="5"/>
  <c r="Z580" i="5"/>
  <c r="Z642" i="5"/>
  <c r="Z714" i="5"/>
  <c r="Z690" i="5"/>
  <c r="Z666" i="5"/>
  <c r="Z592" i="5"/>
  <c r="Z702" i="5"/>
  <c r="Z726" i="5"/>
  <c r="Z678" i="5"/>
  <c r="Z586" i="5"/>
  <c r="Z648" i="5"/>
  <c r="Z672" i="5"/>
  <c r="Z720" i="5"/>
  <c r="Z696" i="5"/>
  <c r="Z723" i="5"/>
  <c r="Z717" i="5"/>
  <c r="Z699" i="5"/>
  <c r="Z693" i="5"/>
  <c r="Z675" i="5"/>
  <c r="Z669" i="5"/>
  <c r="Z645" i="5"/>
  <c r="Z651" i="5"/>
  <c r="Z576" i="5"/>
  <c r="Z710" i="5"/>
  <c r="Z662" i="5"/>
  <c r="Z638" i="5"/>
  <c r="Z686" i="5"/>
  <c r="Z584" i="5"/>
  <c r="Z670" i="5"/>
  <c r="Z718" i="5"/>
  <c r="Z694" i="5"/>
  <c r="Z646" i="5"/>
  <c r="Z593" i="5"/>
  <c r="Z655" i="5"/>
  <c r="Z727" i="5"/>
  <c r="Z703" i="5"/>
  <c r="Z679" i="5"/>
  <c r="Z590" i="5"/>
  <c r="Z676" i="5"/>
  <c r="Z652" i="5"/>
  <c r="Z724" i="5"/>
  <c r="Z700" i="5"/>
  <c r="Z577" i="5"/>
  <c r="Z639" i="5"/>
  <c r="Z711" i="5"/>
  <c r="Z663" i="5"/>
  <c r="Z687" i="5"/>
  <c r="Z579" i="5"/>
  <c r="Z641" i="5"/>
  <c r="Z665" i="5"/>
  <c r="Z713" i="5"/>
  <c r="Z689" i="5"/>
  <c r="Z578" i="5"/>
  <c r="Z640" i="5"/>
  <c r="Z664" i="5"/>
  <c r="Z688" i="5"/>
  <c r="Z712" i="5"/>
  <c r="Z585" i="5"/>
  <c r="Z671" i="5"/>
  <c r="Z719" i="5"/>
  <c r="Z695" i="5"/>
  <c r="Z647" i="5"/>
  <c r="Z600" i="5"/>
  <c r="Z599" i="5"/>
  <c r="Z598" i="5"/>
  <c r="Z589" i="5"/>
  <c r="Z583" i="5"/>
  <c r="Y608" i="5"/>
  <c r="Y619" i="5" s="1"/>
  <c r="V788" i="5"/>
  <c r="V789" i="5" s="1"/>
  <c r="W783" i="5" s="1"/>
  <c r="V784" i="5"/>
  <c r="U774" i="5"/>
  <c r="U778" i="5"/>
  <c r="U779" i="5" s="1"/>
  <c r="V773" i="5" s="1"/>
  <c r="Z27" i="5"/>
  <c r="Z112" i="5" s="1"/>
  <c r="Z29" i="5"/>
  <c r="Z28" i="5"/>
  <c r="Z113" i="5" s="1"/>
  <c r="AA16" i="5"/>
  <c r="Y588" i="5"/>
  <c r="Z569" i="5"/>
  <c r="Z595" i="5" s="1"/>
  <c r="AA62" i="5"/>
  <c r="Z623" i="5"/>
  <c r="Z617" i="5"/>
  <c r="Z618" i="5" s="1"/>
  <c r="Z616" i="5" s="1"/>
  <c r="Z609" i="5"/>
  <c r="Z610" i="5" s="1"/>
  <c r="Z608" i="5" s="1"/>
  <c r="Z613" i="5"/>
  <c r="Z614" i="5" s="1"/>
  <c r="Z612" i="5" s="1"/>
  <c r="AA61" i="5"/>
  <c r="X627" i="5"/>
  <c r="X16" i="9" s="1"/>
  <c r="N98" i="5"/>
  <c r="I98" i="5" s="1"/>
  <c r="I94" i="5"/>
  <c r="X792" i="5"/>
  <c r="X791" i="5" s="1"/>
  <c r="X89" i="9" s="1"/>
  <c r="X751" i="5"/>
  <c r="X90" i="9" s="1"/>
  <c r="S50" i="9"/>
  <c r="O897" i="5"/>
  <c r="O899" i="5" s="1"/>
  <c r="O59" i="9"/>
  <c r="P59" i="9" s="1"/>
  <c r="O768" i="5"/>
  <c r="O739" i="5" s="1"/>
  <c r="N744" i="5" s="1"/>
  <c r="O764" i="5"/>
  <c r="O736" i="5" s="1"/>
  <c r="O742" i="5"/>
  <c r="Y597" i="5"/>
  <c r="AA560" i="5"/>
  <c r="AA556" i="5"/>
  <c r="AA566" i="5"/>
  <c r="AA568" i="5"/>
  <c r="AA571" i="5"/>
  <c r="AA601" i="5" s="1"/>
  <c r="AA567" i="5"/>
  <c r="AA559" i="5"/>
  <c r="AA570" i="5"/>
  <c r="AA562" i="5"/>
  <c r="AA564" i="5"/>
  <c r="AA563" i="5"/>
  <c r="AA557" i="5"/>
  <c r="AA561" i="5"/>
  <c r="AA565" i="5"/>
  <c r="AA558" i="5"/>
  <c r="AA555" i="5"/>
  <c r="AB59" i="5"/>
  <c r="AA75" i="5"/>
  <c r="AA76" i="5"/>
  <c r="AA77" i="5"/>
  <c r="T18" i="9"/>
  <c r="U632" i="5"/>
  <c r="U886" i="5"/>
  <c r="Y626" i="5"/>
  <c r="Y627" i="5" s="1"/>
  <c r="Y747" i="5"/>
  <c r="Y944" i="5"/>
  <c r="Z823" i="5"/>
  <c r="Z825" i="5" s="1"/>
  <c r="Z440" i="5"/>
  <c r="Z446" i="5" s="1"/>
  <c r="Z442" i="5"/>
  <c r="Z441" i="5"/>
  <c r="Z439" i="5"/>
  <c r="AA58" i="5"/>
  <c r="Z74" i="5"/>
  <c r="Z78" i="5" s="1"/>
  <c r="Z625" i="5"/>
  <c r="Z624" i="5"/>
  <c r="Z622" i="5"/>
  <c r="W22" i="5"/>
  <c r="W123" i="5" s="1"/>
  <c r="W23" i="5"/>
  <c r="W21" i="5"/>
  <c r="W122" i="5" s="1"/>
  <c r="X423" i="5"/>
  <c r="X23" i="5" s="1"/>
  <c r="X335" i="5" s="1"/>
  <c r="V125" i="5" l="1"/>
  <c r="V887" i="5"/>
  <c r="Z80" i="5"/>
  <c r="U137" i="5"/>
  <c r="U885" i="5"/>
  <c r="U889" i="5" s="1"/>
  <c r="U892" i="5" s="1"/>
  <c r="U896" i="5" s="1"/>
  <c r="U917" i="5" s="1"/>
  <c r="U924" i="5" s="1"/>
  <c r="U86" i="9"/>
  <c r="U87" i="9" s="1"/>
  <c r="U945" i="5"/>
  <c r="W25" i="5"/>
  <c r="W135" i="5" s="1"/>
  <c r="W631" i="5" s="1"/>
  <c r="W26" i="5"/>
  <c r="W24" i="5"/>
  <c r="W134" i="5" s="1"/>
  <c r="W630" i="5" s="1"/>
  <c r="X131" i="5"/>
  <c r="V137" i="5"/>
  <c r="X9" i="9"/>
  <c r="X13" i="9" s="1"/>
  <c r="V945" i="5"/>
  <c r="V86" i="9"/>
  <c r="V87" i="9" s="1"/>
  <c r="Z114" i="5"/>
  <c r="Z115" i="5" s="1"/>
  <c r="Z295" i="5"/>
  <c r="W124" i="5"/>
  <c r="W125" i="5" s="1"/>
  <c r="W335" i="5"/>
  <c r="X913" i="5"/>
  <c r="X922" i="5" s="1"/>
  <c r="N745" i="5"/>
  <c r="N63" i="9" s="1"/>
  <c r="N66" i="9"/>
  <c r="Y444" i="5"/>
  <c r="Y883" i="5" s="1"/>
  <c r="Y882" i="5" s="1"/>
  <c r="Z448" i="5"/>
  <c r="Z447" i="5"/>
  <c r="Z445" i="5"/>
  <c r="Z722" i="5"/>
  <c r="Z730" i="5" s="1"/>
  <c r="Z716" i="5"/>
  <c r="Z729" i="5" s="1"/>
  <c r="Z674" i="5"/>
  <c r="Z682" i="5" s="1"/>
  <c r="Z668" i="5"/>
  <c r="Z681" i="5" s="1"/>
  <c r="Z574" i="5"/>
  <c r="Z698" i="5"/>
  <c r="Z706" i="5" s="1"/>
  <c r="Z692" i="5"/>
  <c r="Z705" i="5" s="1"/>
  <c r="Z582" i="5"/>
  <c r="Z644" i="5"/>
  <c r="Z657" i="5" s="1"/>
  <c r="Z650" i="5"/>
  <c r="Z658" i="5" s="1"/>
  <c r="AA590" i="5"/>
  <c r="AA652" i="5"/>
  <c r="AA676" i="5"/>
  <c r="AA700" i="5"/>
  <c r="AA724" i="5"/>
  <c r="AA586" i="5"/>
  <c r="AA720" i="5"/>
  <c r="AA672" i="5"/>
  <c r="AA648" i="5"/>
  <c r="AA696" i="5"/>
  <c r="AA592" i="5"/>
  <c r="AA726" i="5"/>
  <c r="AA678" i="5"/>
  <c r="AA702" i="5"/>
  <c r="AA654" i="5"/>
  <c r="AA575" i="5"/>
  <c r="AA637" i="5"/>
  <c r="AA685" i="5"/>
  <c r="AA709" i="5"/>
  <c r="AA661" i="5"/>
  <c r="Z588" i="5"/>
  <c r="AA723" i="5"/>
  <c r="AA717" i="5"/>
  <c r="AA699" i="5"/>
  <c r="AA693" i="5"/>
  <c r="AA675" i="5"/>
  <c r="AA651" i="5"/>
  <c r="AA669" i="5"/>
  <c r="AA645" i="5"/>
  <c r="AA576" i="5"/>
  <c r="AA638" i="5"/>
  <c r="AA662" i="5"/>
  <c r="AA710" i="5"/>
  <c r="AA686" i="5"/>
  <c r="AA593" i="5"/>
  <c r="AA655" i="5"/>
  <c r="AA679" i="5"/>
  <c r="AA727" i="5"/>
  <c r="AA703" i="5"/>
  <c r="AA577" i="5"/>
  <c r="AA711" i="5"/>
  <c r="AA639" i="5"/>
  <c r="AA663" i="5"/>
  <c r="AA687" i="5"/>
  <c r="AA585" i="5"/>
  <c r="AA695" i="5"/>
  <c r="AA671" i="5"/>
  <c r="AA719" i="5"/>
  <c r="AA647" i="5"/>
  <c r="AA578" i="5"/>
  <c r="AA688" i="5"/>
  <c r="AA712" i="5"/>
  <c r="AA640" i="5"/>
  <c r="AA664" i="5"/>
  <c r="AA591" i="5"/>
  <c r="AA653" i="5"/>
  <c r="AA677" i="5"/>
  <c r="AA701" i="5"/>
  <c r="AA725" i="5"/>
  <c r="AA580" i="5"/>
  <c r="AA666" i="5"/>
  <c r="AA642" i="5"/>
  <c r="AA690" i="5"/>
  <c r="AA714" i="5"/>
  <c r="AA584" i="5"/>
  <c r="AA694" i="5"/>
  <c r="AA670" i="5"/>
  <c r="AA718" i="5"/>
  <c r="AA646" i="5"/>
  <c r="AA579" i="5"/>
  <c r="AA713" i="5"/>
  <c r="AA689" i="5"/>
  <c r="AA641" i="5"/>
  <c r="AA665" i="5"/>
  <c r="AA583" i="5"/>
  <c r="AA589" i="5"/>
  <c r="AA598" i="5"/>
  <c r="AA599" i="5"/>
  <c r="AA600" i="5"/>
  <c r="Y16" i="9"/>
  <c r="Y603" i="5"/>
  <c r="Y11" i="9" s="1"/>
  <c r="O894" i="5"/>
  <c r="P891" i="5" s="1"/>
  <c r="V774" i="5"/>
  <c r="V778" i="5"/>
  <c r="V779" i="5" s="1"/>
  <c r="W773" i="5" s="1"/>
  <c r="W784" i="5"/>
  <c r="W788" i="5"/>
  <c r="W789" i="5" s="1"/>
  <c r="X783" i="5" s="1"/>
  <c r="AA823" i="5"/>
  <c r="AA825" i="5" s="1"/>
  <c r="AA439" i="5"/>
  <c r="AA442" i="5"/>
  <c r="AA441" i="5"/>
  <c r="AA440" i="5"/>
  <c r="AA446" i="5" s="1"/>
  <c r="AB58" i="5"/>
  <c r="AA624" i="5"/>
  <c r="AA625" i="5"/>
  <c r="AA622" i="5"/>
  <c r="AA74" i="5"/>
  <c r="AA78" i="5" s="1"/>
  <c r="Y792" i="5"/>
  <c r="Y791" i="5" s="1"/>
  <c r="Y89" i="9" s="1"/>
  <c r="Y751" i="5"/>
  <c r="Y90" i="9" s="1"/>
  <c r="U18" i="9"/>
  <c r="AB566" i="5"/>
  <c r="AB571" i="5"/>
  <c r="AB601" i="5" s="1"/>
  <c r="AB563" i="5"/>
  <c r="AB562" i="5"/>
  <c r="AB561" i="5"/>
  <c r="AB565" i="5"/>
  <c r="AB558" i="5"/>
  <c r="AB570" i="5"/>
  <c r="AB555" i="5"/>
  <c r="AB567" i="5"/>
  <c r="AB568" i="5"/>
  <c r="AB564" i="5"/>
  <c r="AB560" i="5"/>
  <c r="AB559" i="5"/>
  <c r="AB557" i="5"/>
  <c r="AB556" i="5"/>
  <c r="AC59" i="5"/>
  <c r="AB76" i="5"/>
  <c r="AB77" i="5"/>
  <c r="AB75" i="5"/>
  <c r="O741" i="5"/>
  <c r="O30" i="9" s="1"/>
  <c r="O864" i="5"/>
  <c r="O738" i="5"/>
  <c r="O92" i="9" s="1"/>
  <c r="Y914" i="5"/>
  <c r="Y923" i="5" s="1"/>
  <c r="Y49" i="9" s="1"/>
  <c r="T50" i="9"/>
  <c r="O918" i="5"/>
  <c r="O927" i="5" s="1"/>
  <c r="O83" i="9"/>
  <c r="AA609" i="5"/>
  <c r="AA610" i="5" s="1"/>
  <c r="AA608" i="5" s="1"/>
  <c r="AA617" i="5"/>
  <c r="AA618" i="5" s="1"/>
  <c r="AA616" i="5" s="1"/>
  <c r="AA613" i="5"/>
  <c r="AA614" i="5" s="1"/>
  <c r="AA612" i="5" s="1"/>
  <c r="AB61" i="5"/>
  <c r="Z626" i="5"/>
  <c r="Z627" i="5" s="1"/>
  <c r="O91" i="9"/>
  <c r="V632" i="5"/>
  <c r="V886" i="5"/>
  <c r="AA569" i="5"/>
  <c r="AA595" i="5" s="1"/>
  <c r="AB62" i="5"/>
  <c r="AA623" i="5"/>
  <c r="AA27" i="5"/>
  <c r="AA112" i="5" s="1"/>
  <c r="AA29" i="5"/>
  <c r="AA28" i="5"/>
  <c r="AA113" i="5" s="1"/>
  <c r="AB16" i="5"/>
  <c r="X21" i="5"/>
  <c r="X122" i="5" s="1"/>
  <c r="X124" i="5"/>
  <c r="X22" i="5"/>
  <c r="X123" i="5" s="1"/>
  <c r="Y423" i="5"/>
  <c r="Z747" i="5"/>
  <c r="Z944" i="5"/>
  <c r="Z597" i="5"/>
  <c r="O769" i="5"/>
  <c r="Q59" i="9"/>
  <c r="Z619" i="5"/>
  <c r="AA80" i="5" l="1"/>
  <c r="Y913" i="5"/>
  <c r="Y922" i="5" s="1"/>
  <c r="Y9" i="9"/>
  <c r="Y13" i="9" s="1"/>
  <c r="Y14" i="9" s="1"/>
  <c r="V885" i="5"/>
  <c r="V889" i="5" s="1"/>
  <c r="V892" i="5" s="1"/>
  <c r="V896" i="5" s="1"/>
  <c r="V917" i="5" s="1"/>
  <c r="V924" i="5" s="1"/>
  <c r="X26" i="5"/>
  <c r="X136" i="5" s="1"/>
  <c r="X86" i="9" s="1"/>
  <c r="X87" i="9" s="1"/>
  <c r="Y131" i="5"/>
  <c r="X25" i="5"/>
  <c r="X135" i="5" s="1"/>
  <c r="X631" i="5" s="1"/>
  <c r="X24" i="5"/>
  <c r="X134" i="5" s="1"/>
  <c r="X137" i="5" s="1"/>
  <c r="W375" i="5"/>
  <c r="W136" i="5"/>
  <c r="W137" i="5" s="1"/>
  <c r="AA114" i="5"/>
  <c r="AA115" i="5" s="1"/>
  <c r="AA295" i="5"/>
  <c r="N62" i="9"/>
  <c r="Z444" i="5"/>
  <c r="Z883" i="5" s="1"/>
  <c r="Z882" i="5" s="1"/>
  <c r="AA448" i="5"/>
  <c r="AA447" i="5"/>
  <c r="AA445" i="5"/>
  <c r="AA588" i="5"/>
  <c r="AA692" i="5"/>
  <c r="AA705" i="5" s="1"/>
  <c r="AA698" i="5"/>
  <c r="AA706" i="5" s="1"/>
  <c r="AA644" i="5"/>
  <c r="AA657" i="5" s="1"/>
  <c r="AA650" i="5"/>
  <c r="AA658" i="5" s="1"/>
  <c r="Z914" i="5"/>
  <c r="Z923" i="5" s="1"/>
  <c r="Z49" i="9" s="1"/>
  <c r="AA674" i="5"/>
  <c r="AA682" i="5" s="1"/>
  <c r="AA668" i="5"/>
  <c r="AA681" i="5" s="1"/>
  <c r="AA574" i="5"/>
  <c r="AA582" i="5"/>
  <c r="AA716" i="5"/>
  <c r="AA729" i="5" s="1"/>
  <c r="AA722" i="5"/>
  <c r="AA730" i="5" s="1"/>
  <c r="AB579" i="5"/>
  <c r="AB689" i="5"/>
  <c r="AB713" i="5"/>
  <c r="AB641" i="5"/>
  <c r="AB665" i="5"/>
  <c r="AB580" i="5"/>
  <c r="AB690" i="5"/>
  <c r="AB666" i="5"/>
  <c r="AB714" i="5"/>
  <c r="AB642" i="5"/>
  <c r="AB591" i="5"/>
  <c r="AB653" i="5"/>
  <c r="AB677" i="5"/>
  <c r="AB725" i="5"/>
  <c r="AB701" i="5"/>
  <c r="O51" i="9"/>
  <c r="AB575" i="5"/>
  <c r="AB685" i="5"/>
  <c r="AB637" i="5"/>
  <c r="AB709" i="5"/>
  <c r="AB661" i="5"/>
  <c r="AB586" i="5"/>
  <c r="AB696" i="5"/>
  <c r="AB648" i="5"/>
  <c r="AB720" i="5"/>
  <c r="AB672" i="5"/>
  <c r="AB584" i="5"/>
  <c r="AB646" i="5"/>
  <c r="AB718" i="5"/>
  <c r="AB694" i="5"/>
  <c r="AB670" i="5"/>
  <c r="AB578" i="5"/>
  <c r="AB664" i="5"/>
  <c r="AB688" i="5"/>
  <c r="AB712" i="5"/>
  <c r="AB640" i="5"/>
  <c r="AB592" i="5"/>
  <c r="AB654" i="5"/>
  <c r="AB726" i="5"/>
  <c r="AB702" i="5"/>
  <c r="AB678" i="5"/>
  <c r="AB590" i="5"/>
  <c r="AB652" i="5"/>
  <c r="AB676" i="5"/>
  <c r="AB700" i="5"/>
  <c r="AB724" i="5"/>
  <c r="AB723" i="5"/>
  <c r="AB717" i="5"/>
  <c r="AB699" i="5"/>
  <c r="AB693" i="5"/>
  <c r="AB675" i="5"/>
  <c r="AB651" i="5"/>
  <c r="AB645" i="5"/>
  <c r="AB669" i="5"/>
  <c r="AB576" i="5"/>
  <c r="AB638" i="5"/>
  <c r="AB662" i="5"/>
  <c r="AB686" i="5"/>
  <c r="AB710" i="5"/>
  <c r="AB593" i="5"/>
  <c r="AB727" i="5"/>
  <c r="AB703" i="5"/>
  <c r="AB655" i="5"/>
  <c r="AB679" i="5"/>
  <c r="AB577" i="5"/>
  <c r="AB639" i="5"/>
  <c r="AB663" i="5"/>
  <c r="AB687" i="5"/>
  <c r="AB711" i="5"/>
  <c r="AB585" i="5"/>
  <c r="AB719" i="5"/>
  <c r="AB695" i="5"/>
  <c r="AB671" i="5"/>
  <c r="AB647" i="5"/>
  <c r="AB600" i="5"/>
  <c r="AB599" i="5"/>
  <c r="AB598" i="5"/>
  <c r="AB589" i="5"/>
  <c r="AB583" i="5"/>
  <c r="Z16" i="9"/>
  <c r="AA626" i="5"/>
  <c r="AA627" i="5" s="1"/>
  <c r="O93" i="9"/>
  <c r="AA597" i="5"/>
  <c r="X788" i="5"/>
  <c r="X789" i="5" s="1"/>
  <c r="Y783" i="5" s="1"/>
  <c r="X784" i="5"/>
  <c r="W774" i="5"/>
  <c r="W778" i="5"/>
  <c r="W779" i="5" s="1"/>
  <c r="X773" i="5" s="1"/>
  <c r="R59" i="9"/>
  <c r="X125" i="5"/>
  <c r="O82" i="9"/>
  <c r="W632" i="5"/>
  <c r="W886" i="5"/>
  <c r="U50" i="9"/>
  <c r="AB29" i="5"/>
  <c r="AB28" i="5"/>
  <c r="AB113" i="5" s="1"/>
  <c r="AB27" i="5"/>
  <c r="AB112" i="5" s="1"/>
  <c r="AC16" i="5"/>
  <c r="Z603" i="5"/>
  <c r="P893" i="5"/>
  <c r="P897" i="5" s="1"/>
  <c r="AB569" i="5"/>
  <c r="AB595" i="5" s="1"/>
  <c r="AC62" i="5"/>
  <c r="AB623" i="5"/>
  <c r="V18" i="9"/>
  <c r="X14" i="9"/>
  <c r="AA619" i="5"/>
  <c r="AA747" i="5"/>
  <c r="AA944" i="5"/>
  <c r="AB440" i="5"/>
  <c r="AB446" i="5" s="1"/>
  <c r="AB442" i="5"/>
  <c r="AB441" i="5"/>
  <c r="AB439" i="5"/>
  <c r="AB823" i="5"/>
  <c r="AB825" i="5" s="1"/>
  <c r="AC58" i="5"/>
  <c r="AB622" i="5"/>
  <c r="AB624" i="5"/>
  <c r="AB74" i="5"/>
  <c r="AB78" i="5" s="1"/>
  <c r="AB625" i="5"/>
  <c r="P763" i="5"/>
  <c r="O743" i="5"/>
  <c r="Z792" i="5"/>
  <c r="Z791" i="5" s="1"/>
  <c r="Z89" i="9" s="1"/>
  <c r="Z751" i="5"/>
  <c r="Z90" i="9" s="1"/>
  <c r="Y23" i="5"/>
  <c r="Y21" i="5"/>
  <c r="Y122" i="5" s="1"/>
  <c r="Y22" i="5"/>
  <c r="Y123" i="5" s="1"/>
  <c r="Z423" i="5"/>
  <c r="AB617" i="5"/>
  <c r="AB618" i="5" s="1"/>
  <c r="AB616" i="5" s="1"/>
  <c r="AB613" i="5"/>
  <c r="AB614" i="5" s="1"/>
  <c r="AB612" i="5" s="1"/>
  <c r="AB609" i="5"/>
  <c r="AB610" i="5" s="1"/>
  <c r="AB608" i="5" s="1"/>
  <c r="AC61" i="5"/>
  <c r="AC555" i="5"/>
  <c r="AC559" i="5"/>
  <c r="AC570" i="5"/>
  <c r="AC557" i="5"/>
  <c r="AC571" i="5"/>
  <c r="AC601" i="5" s="1"/>
  <c r="AC565" i="5"/>
  <c r="AC561" i="5"/>
  <c r="AC563" i="5"/>
  <c r="AC568" i="5"/>
  <c r="AC564" i="5"/>
  <c r="AC558" i="5"/>
  <c r="AC562" i="5"/>
  <c r="AC560" i="5"/>
  <c r="AC556" i="5"/>
  <c r="AC566" i="5"/>
  <c r="AC567" i="5"/>
  <c r="AD59" i="5"/>
  <c r="AC75" i="5"/>
  <c r="AC76" i="5"/>
  <c r="AC77" i="5"/>
  <c r="X887" i="5" l="1"/>
  <c r="X945" i="5"/>
  <c r="AB80" i="5"/>
  <c r="W887" i="5"/>
  <c r="W945" i="5"/>
  <c r="W86" i="9"/>
  <c r="W87" i="9" s="1"/>
  <c r="X630" i="5"/>
  <c r="X632" i="5" s="1"/>
  <c r="W885" i="5"/>
  <c r="W889" i="5" s="1"/>
  <c r="W892" i="5" s="1"/>
  <c r="W896" i="5" s="1"/>
  <c r="W917" i="5" s="1"/>
  <c r="W924" i="5" s="1"/>
  <c r="Y25" i="5"/>
  <c r="Y135" i="5" s="1"/>
  <c r="Y631" i="5" s="1"/>
  <c r="Z131" i="5"/>
  <c r="Y24" i="5"/>
  <c r="Y134" i="5" s="1"/>
  <c r="Y630" i="5" s="1"/>
  <c r="Y26" i="5"/>
  <c r="AB114" i="5"/>
  <c r="AB115" i="5" s="1"/>
  <c r="AB295" i="5"/>
  <c r="Z913" i="5"/>
  <c r="Z922" i="5" s="1"/>
  <c r="Z9" i="9"/>
  <c r="Y124" i="5"/>
  <c r="Y335" i="5"/>
  <c r="AA444" i="5"/>
  <c r="AA883" i="5" s="1"/>
  <c r="AA882" i="5" s="1"/>
  <c r="AB448" i="5"/>
  <c r="AB447" i="5"/>
  <c r="AB445" i="5"/>
  <c r="AB582" i="5"/>
  <c r="AB674" i="5"/>
  <c r="AB682" i="5" s="1"/>
  <c r="AB668" i="5"/>
  <c r="AB681" i="5" s="1"/>
  <c r="AA914" i="5"/>
  <c r="AA923" i="5" s="1"/>
  <c r="AA49" i="9" s="1"/>
  <c r="AB716" i="5"/>
  <c r="AB729" i="5" s="1"/>
  <c r="AB722" i="5"/>
  <c r="AB730" i="5" s="1"/>
  <c r="AB574" i="5"/>
  <c r="AB650" i="5"/>
  <c r="AB658" i="5" s="1"/>
  <c r="AB644" i="5"/>
  <c r="AB657" i="5" s="1"/>
  <c r="AB698" i="5"/>
  <c r="AB706" i="5" s="1"/>
  <c r="AB692" i="5"/>
  <c r="AB705" i="5" s="1"/>
  <c r="AC575" i="5"/>
  <c r="AC709" i="5"/>
  <c r="AC661" i="5"/>
  <c r="AC637" i="5"/>
  <c r="AC685" i="5"/>
  <c r="AC586" i="5"/>
  <c r="AC648" i="5"/>
  <c r="AC696" i="5"/>
  <c r="AC720" i="5"/>
  <c r="AC672" i="5"/>
  <c r="AC590" i="5"/>
  <c r="AC652" i="5"/>
  <c r="AC700" i="5"/>
  <c r="AC676" i="5"/>
  <c r="AC724" i="5"/>
  <c r="AC578" i="5"/>
  <c r="AC640" i="5"/>
  <c r="AC712" i="5"/>
  <c r="AC664" i="5"/>
  <c r="AC688" i="5"/>
  <c r="AC579" i="5"/>
  <c r="AC641" i="5"/>
  <c r="AC713" i="5"/>
  <c r="AC665" i="5"/>
  <c r="AC689" i="5"/>
  <c r="AC593" i="5"/>
  <c r="AC655" i="5"/>
  <c r="AC703" i="5"/>
  <c r="AC679" i="5"/>
  <c r="AC727" i="5"/>
  <c r="AC723" i="5"/>
  <c r="AC717" i="5"/>
  <c r="AC699" i="5"/>
  <c r="AC693" i="5"/>
  <c r="AC675" i="5"/>
  <c r="AC669" i="5"/>
  <c r="AC645" i="5"/>
  <c r="AC651" i="5"/>
  <c r="AC592" i="5"/>
  <c r="AC654" i="5"/>
  <c r="AC702" i="5"/>
  <c r="AC726" i="5"/>
  <c r="AC678" i="5"/>
  <c r="AC584" i="5"/>
  <c r="AC694" i="5"/>
  <c r="AC670" i="5"/>
  <c r="AC718" i="5"/>
  <c r="AC646" i="5"/>
  <c r="AC585" i="5"/>
  <c r="AC719" i="5"/>
  <c r="AC647" i="5"/>
  <c r="AC695" i="5"/>
  <c r="AC671" i="5"/>
  <c r="AC576" i="5"/>
  <c r="AC710" i="5"/>
  <c r="AC686" i="5"/>
  <c r="AC638" i="5"/>
  <c r="AC662" i="5"/>
  <c r="AB588" i="5"/>
  <c r="AC591" i="5"/>
  <c r="AC725" i="5"/>
  <c r="AC701" i="5"/>
  <c r="AC653" i="5"/>
  <c r="AC677" i="5"/>
  <c r="AC577" i="5"/>
  <c r="AC639" i="5"/>
  <c r="AC711" i="5"/>
  <c r="AC663" i="5"/>
  <c r="AC687" i="5"/>
  <c r="AC580" i="5"/>
  <c r="AC690" i="5"/>
  <c r="AC666" i="5"/>
  <c r="AC714" i="5"/>
  <c r="AC642" i="5"/>
  <c r="AA603" i="5"/>
  <c r="AA11" i="9" s="1"/>
  <c r="AA16" i="9"/>
  <c r="AC600" i="5"/>
  <c r="AC599" i="5"/>
  <c r="AC598" i="5"/>
  <c r="AC589" i="5"/>
  <c r="AC583" i="5"/>
  <c r="P894" i="5"/>
  <c r="P51" i="9" s="1"/>
  <c r="X774" i="5"/>
  <c r="X778" i="5"/>
  <c r="X779" i="5" s="1"/>
  <c r="Y773" i="5" s="1"/>
  <c r="Y784" i="5"/>
  <c r="Y788" i="5"/>
  <c r="Y789" i="5" s="1"/>
  <c r="Z783" i="5" s="1"/>
  <c r="AD555" i="5"/>
  <c r="AD560" i="5"/>
  <c r="AD564" i="5"/>
  <c r="AD557" i="5"/>
  <c r="AD565" i="5"/>
  <c r="AD568" i="5"/>
  <c r="AD559" i="5"/>
  <c r="AD562" i="5"/>
  <c r="AD561" i="5"/>
  <c r="AD567" i="5"/>
  <c r="AD566" i="5"/>
  <c r="AD571" i="5"/>
  <c r="AD601" i="5" s="1"/>
  <c r="AD563" i="5"/>
  <c r="AD570" i="5"/>
  <c r="AD558" i="5"/>
  <c r="AD556" i="5"/>
  <c r="AE59" i="5"/>
  <c r="AD76" i="5"/>
  <c r="AD77" i="5"/>
  <c r="AD75" i="5"/>
  <c r="AC442" i="5"/>
  <c r="AC823" i="5"/>
  <c r="AC825" i="5" s="1"/>
  <c r="AC440" i="5"/>
  <c r="AC446" i="5" s="1"/>
  <c r="AC439" i="5"/>
  <c r="AC441" i="5"/>
  <c r="AD58" i="5"/>
  <c r="AC625" i="5"/>
  <c r="AC622" i="5"/>
  <c r="AC624" i="5"/>
  <c r="AC74" i="5"/>
  <c r="AC78" i="5" s="1"/>
  <c r="AA751" i="5"/>
  <c r="AA90" i="9" s="1"/>
  <c r="AA792" i="5"/>
  <c r="AA791" i="5" s="1"/>
  <c r="AA89" i="9" s="1"/>
  <c r="Z11" i="9"/>
  <c r="AB597" i="5"/>
  <c r="AB747" i="5"/>
  <c r="AB944" i="5"/>
  <c r="AB626" i="5"/>
  <c r="AB627" i="5" s="1"/>
  <c r="S59" i="9"/>
  <c r="V50" i="9"/>
  <c r="AC609" i="5"/>
  <c r="AC610" i="5" s="1"/>
  <c r="AC608" i="5" s="1"/>
  <c r="AC617" i="5"/>
  <c r="AC618" i="5" s="1"/>
  <c r="AC616" i="5" s="1"/>
  <c r="AC613" i="5"/>
  <c r="AC614" i="5" s="1"/>
  <c r="AC612" i="5" s="1"/>
  <c r="AD61" i="5"/>
  <c r="P767" i="5"/>
  <c r="P742" i="5"/>
  <c r="P764" i="5"/>
  <c r="P736" i="5" s="1"/>
  <c r="P768" i="5"/>
  <c r="AC569" i="5"/>
  <c r="AC595" i="5" s="1"/>
  <c r="AD62" i="5"/>
  <c r="AC623" i="5"/>
  <c r="AB619" i="5"/>
  <c r="Z23" i="5"/>
  <c r="Z21" i="5"/>
  <c r="Z122" i="5" s="1"/>
  <c r="Z22" i="5"/>
  <c r="Z123" i="5" s="1"/>
  <c r="AA423" i="5"/>
  <c r="P918" i="5"/>
  <c r="P927" i="5" s="1"/>
  <c r="P899" i="5"/>
  <c r="P83" i="9" s="1"/>
  <c r="AC27" i="5"/>
  <c r="AC112" i="5" s="1"/>
  <c r="AC29" i="5"/>
  <c r="AC28" i="5"/>
  <c r="AC113" i="5" s="1"/>
  <c r="AD16" i="5"/>
  <c r="W18" i="9"/>
  <c r="X886" i="5" l="1"/>
  <c r="X885" i="5" s="1"/>
  <c r="X889" i="5" s="1"/>
  <c r="AC80" i="5"/>
  <c r="Y125" i="5"/>
  <c r="V375" i="5"/>
  <c r="Y136" i="5"/>
  <c r="Y137" i="5" s="1"/>
  <c r="Z26" i="5"/>
  <c r="AA131" i="5"/>
  <c r="Z24" i="5"/>
  <c r="Z134" i="5" s="1"/>
  <c r="Z630" i="5" s="1"/>
  <c r="Z25" i="5"/>
  <c r="Z135" i="5" s="1"/>
  <c r="Z631" i="5" s="1"/>
  <c r="AA9" i="9"/>
  <c r="AA13" i="9" s="1"/>
  <c r="AA14" i="9" s="1"/>
  <c r="AA913" i="5"/>
  <c r="AA922" i="5" s="1"/>
  <c r="AC114" i="5"/>
  <c r="AC115" i="5" s="1"/>
  <c r="AC295" i="5"/>
  <c r="Z124" i="5"/>
  <c r="Z125" i="5" s="1"/>
  <c r="AB444" i="5"/>
  <c r="AB913" i="5" s="1"/>
  <c r="AB922" i="5" s="1"/>
  <c r="AC448" i="5"/>
  <c r="AC447" i="5"/>
  <c r="AC445" i="5"/>
  <c r="AC588" i="5"/>
  <c r="AC574" i="5"/>
  <c r="AC698" i="5"/>
  <c r="AC706" i="5" s="1"/>
  <c r="AC692" i="5"/>
  <c r="AC705" i="5" s="1"/>
  <c r="AC582" i="5"/>
  <c r="AC650" i="5"/>
  <c r="AC658" i="5" s="1"/>
  <c r="AC644" i="5"/>
  <c r="AC657" i="5" s="1"/>
  <c r="AC722" i="5"/>
  <c r="AC730" i="5" s="1"/>
  <c r="AC716" i="5"/>
  <c r="AC729" i="5" s="1"/>
  <c r="AC674" i="5"/>
  <c r="AC682" i="5" s="1"/>
  <c r="AC668" i="5"/>
  <c r="AC681" i="5" s="1"/>
  <c r="AD580" i="5"/>
  <c r="AD642" i="5"/>
  <c r="AD690" i="5"/>
  <c r="AD666" i="5"/>
  <c r="AD714" i="5"/>
  <c r="AD590" i="5"/>
  <c r="AD676" i="5"/>
  <c r="AD652" i="5"/>
  <c r="AD700" i="5"/>
  <c r="AD724" i="5"/>
  <c r="AD577" i="5"/>
  <c r="AD687" i="5"/>
  <c r="AD663" i="5"/>
  <c r="AD711" i="5"/>
  <c r="AD639" i="5"/>
  <c r="AD591" i="5"/>
  <c r="AD653" i="5"/>
  <c r="AD677" i="5"/>
  <c r="AD701" i="5"/>
  <c r="AD725" i="5"/>
  <c r="AD578" i="5"/>
  <c r="AD688" i="5"/>
  <c r="AD664" i="5"/>
  <c r="AD712" i="5"/>
  <c r="AD640" i="5"/>
  <c r="AD586" i="5"/>
  <c r="AD648" i="5"/>
  <c r="AD696" i="5"/>
  <c r="AD720" i="5"/>
  <c r="AD672" i="5"/>
  <c r="AD585" i="5"/>
  <c r="AD719" i="5"/>
  <c r="AD695" i="5"/>
  <c r="AD647" i="5"/>
  <c r="AD671" i="5"/>
  <c r="AD717" i="5"/>
  <c r="AD723" i="5"/>
  <c r="AD693" i="5"/>
  <c r="AD675" i="5"/>
  <c r="AD669" i="5"/>
  <c r="AD699" i="5"/>
  <c r="AD651" i="5"/>
  <c r="AD645" i="5"/>
  <c r="AD575" i="5"/>
  <c r="AD637" i="5"/>
  <c r="AD685" i="5"/>
  <c r="AD709" i="5"/>
  <c r="AD661" i="5"/>
  <c r="AD584" i="5"/>
  <c r="AD670" i="5"/>
  <c r="AD694" i="5"/>
  <c r="AD646" i="5"/>
  <c r="AD718" i="5"/>
  <c r="AD576" i="5"/>
  <c r="AD686" i="5"/>
  <c r="AD710" i="5"/>
  <c r="AD638" i="5"/>
  <c r="AD662" i="5"/>
  <c r="AB603" i="5"/>
  <c r="AB11" i="9" s="1"/>
  <c r="AD592" i="5"/>
  <c r="AD678" i="5"/>
  <c r="AD702" i="5"/>
  <c r="AD654" i="5"/>
  <c r="AD726" i="5"/>
  <c r="AD593" i="5"/>
  <c r="AD655" i="5"/>
  <c r="AD727" i="5"/>
  <c r="AD703" i="5"/>
  <c r="AD679" i="5"/>
  <c r="AD579" i="5"/>
  <c r="AD713" i="5"/>
  <c r="AD641" i="5"/>
  <c r="AD665" i="5"/>
  <c r="AD689" i="5"/>
  <c r="AB914" i="5"/>
  <c r="AB923" i="5" s="1"/>
  <c r="AB49" i="9" s="1"/>
  <c r="AD589" i="5"/>
  <c r="AD583" i="5"/>
  <c r="AD598" i="5"/>
  <c r="AD599" i="5"/>
  <c r="AD600" i="5"/>
  <c r="Q891" i="5"/>
  <c r="Q893" i="5" s="1"/>
  <c r="Q897" i="5" s="1"/>
  <c r="AB16" i="9"/>
  <c r="AC619" i="5"/>
  <c r="AC626" i="5"/>
  <c r="AC627" i="5" s="1"/>
  <c r="Z784" i="5"/>
  <c r="Z788" i="5"/>
  <c r="Z789" i="5" s="1"/>
  <c r="AA783" i="5" s="1"/>
  <c r="Y774" i="5"/>
  <c r="Y778" i="5"/>
  <c r="Y779" i="5" s="1"/>
  <c r="Z773" i="5" s="1"/>
  <c r="AA21" i="5"/>
  <c r="AA122" i="5" s="1"/>
  <c r="AA22" i="5"/>
  <c r="AA123" i="5" s="1"/>
  <c r="AA23" i="5"/>
  <c r="AB423" i="5"/>
  <c r="AD569" i="5"/>
  <c r="AD595" i="5" s="1"/>
  <c r="AE62" i="5"/>
  <c r="AD623" i="5"/>
  <c r="T59" i="9"/>
  <c r="U59" i="9" s="1"/>
  <c r="P739" i="5"/>
  <c r="W50" i="9"/>
  <c r="X892" i="5"/>
  <c r="X896" i="5" s="1"/>
  <c r="X917" i="5" s="1"/>
  <c r="X924" i="5" s="1"/>
  <c r="Y632" i="5"/>
  <c r="Y886" i="5"/>
  <c r="AE557" i="5"/>
  <c r="AE560" i="5"/>
  <c r="AE561" i="5"/>
  <c r="AE559" i="5"/>
  <c r="AE567" i="5"/>
  <c r="AE570" i="5"/>
  <c r="AE556" i="5"/>
  <c r="AE555" i="5"/>
  <c r="AE566" i="5"/>
  <c r="AE564" i="5"/>
  <c r="AE562" i="5"/>
  <c r="AE565" i="5"/>
  <c r="AE571" i="5"/>
  <c r="AE601" i="5" s="1"/>
  <c r="AE563" i="5"/>
  <c r="AE568" i="5"/>
  <c r="AE558" i="5"/>
  <c r="AF59" i="5"/>
  <c r="AE77" i="5"/>
  <c r="AE76" i="5"/>
  <c r="AE75" i="5"/>
  <c r="AD27" i="5"/>
  <c r="AD112" i="5" s="1"/>
  <c r="AD29" i="5"/>
  <c r="AD28" i="5"/>
  <c r="AD113" i="5" s="1"/>
  <c r="AE16" i="5"/>
  <c r="P769" i="5"/>
  <c r="AD617" i="5"/>
  <c r="AD613" i="5"/>
  <c r="AD609" i="5"/>
  <c r="AE61" i="5"/>
  <c r="X18" i="9"/>
  <c r="AB792" i="5"/>
  <c r="AB791" i="5" s="1"/>
  <c r="AB89" i="9" s="1"/>
  <c r="AB751" i="5"/>
  <c r="AB90" i="9" s="1"/>
  <c r="P864" i="5"/>
  <c r="P741" i="5"/>
  <c r="P30" i="9" s="1"/>
  <c r="P738" i="5"/>
  <c r="P92" i="9" s="1"/>
  <c r="AC597" i="5"/>
  <c r="Z13" i="9"/>
  <c r="Z14" i="9" s="1"/>
  <c r="AC747" i="5"/>
  <c r="AC944" i="5"/>
  <c r="AD439" i="5"/>
  <c r="AD440" i="5"/>
  <c r="AD446" i="5" s="1"/>
  <c r="AD441" i="5"/>
  <c r="AD442" i="5"/>
  <c r="AD823" i="5"/>
  <c r="AD825" i="5" s="1"/>
  <c r="AE58" i="5"/>
  <c r="AD624" i="5"/>
  <c r="AD625" i="5"/>
  <c r="AD622" i="5"/>
  <c r="AD74" i="5"/>
  <c r="AD78" i="5" s="1"/>
  <c r="Y887" i="5" l="1"/>
  <c r="Y885" i="5" s="1"/>
  <c r="Y889" i="5" s="1"/>
  <c r="Y892" i="5" s="1"/>
  <c r="Y896" i="5" s="1"/>
  <c r="Y917" i="5" s="1"/>
  <c r="Y924" i="5" s="1"/>
  <c r="AD80" i="5"/>
  <c r="Y86" i="9"/>
  <c r="Y87" i="9" s="1"/>
  <c r="Y945" i="5"/>
  <c r="AB131" i="5"/>
  <c r="AA24" i="5"/>
  <c r="AA134" i="5" s="1"/>
  <c r="AA630" i="5" s="1"/>
  <c r="AA25" i="5"/>
  <c r="AA135" i="5" s="1"/>
  <c r="AA631" i="5" s="1"/>
  <c r="AA26" i="5"/>
  <c r="Z375" i="5"/>
  <c r="Z136" i="5"/>
  <c r="Z137" i="5" s="1"/>
  <c r="AB883" i="5"/>
  <c r="AB882" i="5" s="1"/>
  <c r="AB9" i="9"/>
  <c r="AB13" i="9" s="1"/>
  <c r="AB14" i="9" s="1"/>
  <c r="AD114" i="5"/>
  <c r="AD115" i="5" s="1"/>
  <c r="AD295" i="5"/>
  <c r="AA124" i="5"/>
  <c r="AA335" i="5"/>
  <c r="P91" i="9"/>
  <c r="P93" i="9" s="1"/>
  <c r="O744" i="5"/>
  <c r="AC444" i="5"/>
  <c r="AC913" i="5" s="1"/>
  <c r="AC922" i="5" s="1"/>
  <c r="AD448" i="5"/>
  <c r="AD447" i="5"/>
  <c r="AD445" i="5"/>
  <c r="AC603" i="5"/>
  <c r="AC11" i="9" s="1"/>
  <c r="AD582" i="5"/>
  <c r="AD698" i="5"/>
  <c r="AD706" i="5" s="1"/>
  <c r="AD692" i="5"/>
  <c r="AD705" i="5" s="1"/>
  <c r="AD722" i="5"/>
  <c r="AD730" i="5" s="1"/>
  <c r="AD716" i="5"/>
  <c r="AD729" i="5" s="1"/>
  <c r="AD644" i="5"/>
  <c r="AD657" i="5" s="1"/>
  <c r="AD650" i="5"/>
  <c r="AD658" i="5" s="1"/>
  <c r="AD668" i="5"/>
  <c r="AD681" i="5" s="1"/>
  <c r="AD674" i="5"/>
  <c r="AD682" i="5" s="1"/>
  <c r="AD574" i="5"/>
  <c r="AE591" i="5"/>
  <c r="AE725" i="5"/>
  <c r="AE677" i="5"/>
  <c r="AE701" i="5"/>
  <c r="AE653" i="5"/>
  <c r="AE576" i="5"/>
  <c r="AE662" i="5"/>
  <c r="AE710" i="5"/>
  <c r="AE638" i="5"/>
  <c r="AE686" i="5"/>
  <c r="AE577" i="5"/>
  <c r="AE687" i="5"/>
  <c r="AE639" i="5"/>
  <c r="AE663" i="5"/>
  <c r="AE711" i="5"/>
  <c r="AE590" i="5"/>
  <c r="AE676" i="5"/>
  <c r="AE700" i="5"/>
  <c r="AE652" i="5"/>
  <c r="AE724" i="5"/>
  <c r="AE723" i="5"/>
  <c r="AE717" i="5"/>
  <c r="AE693" i="5"/>
  <c r="AE669" i="5"/>
  <c r="AE651" i="5"/>
  <c r="AE699" i="5"/>
  <c r="AE675" i="5"/>
  <c r="AE645" i="5"/>
  <c r="AE578" i="5"/>
  <c r="AE640" i="5"/>
  <c r="AE664" i="5"/>
  <c r="AE712" i="5"/>
  <c r="AE688" i="5"/>
  <c r="AE593" i="5"/>
  <c r="AE703" i="5"/>
  <c r="AE655" i="5"/>
  <c r="AE727" i="5"/>
  <c r="AE679" i="5"/>
  <c r="AE584" i="5"/>
  <c r="AE694" i="5"/>
  <c r="AE718" i="5"/>
  <c r="AE670" i="5"/>
  <c r="AE646" i="5"/>
  <c r="AE575" i="5"/>
  <c r="AE661" i="5"/>
  <c r="AE709" i="5"/>
  <c r="AE637" i="5"/>
  <c r="AE685" i="5"/>
  <c r="AE580" i="5"/>
  <c r="AE714" i="5"/>
  <c r="AE642" i="5"/>
  <c r="AE666" i="5"/>
  <c r="AE690" i="5"/>
  <c r="AD588" i="5"/>
  <c r="AE592" i="5"/>
  <c r="AE678" i="5"/>
  <c r="AE702" i="5"/>
  <c r="AE654" i="5"/>
  <c r="AE726" i="5"/>
  <c r="AE585" i="5"/>
  <c r="AE647" i="5"/>
  <c r="AE671" i="5"/>
  <c r="AE695" i="5"/>
  <c r="AE719" i="5"/>
  <c r="AE586" i="5"/>
  <c r="AE648" i="5"/>
  <c r="AE720" i="5"/>
  <c r="AE696" i="5"/>
  <c r="AE672" i="5"/>
  <c r="AE579" i="5"/>
  <c r="AE665" i="5"/>
  <c r="AE713" i="5"/>
  <c r="AE689" i="5"/>
  <c r="AE641" i="5"/>
  <c r="AD610" i="5"/>
  <c r="AD608" i="5" s="1"/>
  <c r="AE589" i="5"/>
  <c r="AE583" i="5"/>
  <c r="AD614" i="5"/>
  <c r="AD612" i="5" s="1"/>
  <c r="AD618" i="5"/>
  <c r="AD616" i="5" s="1"/>
  <c r="AE600" i="5"/>
  <c r="AE598" i="5"/>
  <c r="AE599" i="5"/>
  <c r="AC16" i="9"/>
  <c r="AC914" i="5"/>
  <c r="Q894" i="5"/>
  <c r="Q51" i="9" s="1"/>
  <c r="AD597" i="5"/>
  <c r="Z774" i="5"/>
  <c r="Z778" i="5"/>
  <c r="Z779" i="5" s="1"/>
  <c r="AA773" i="5" s="1"/>
  <c r="AA784" i="5"/>
  <c r="AA788" i="5"/>
  <c r="AA789" i="5" s="1"/>
  <c r="AB783" i="5" s="1"/>
  <c r="AD747" i="5"/>
  <c r="AD944" i="5"/>
  <c r="AE823" i="5"/>
  <c r="AE825" i="5" s="1"/>
  <c r="AE441" i="5"/>
  <c r="AE439" i="5"/>
  <c r="AE442" i="5"/>
  <c r="AE440" i="5"/>
  <c r="AE446" i="5" s="1"/>
  <c r="AF58" i="5"/>
  <c r="AE625" i="5"/>
  <c r="AE74" i="5"/>
  <c r="AE78" i="5" s="1"/>
  <c r="AE624" i="5"/>
  <c r="AE622" i="5"/>
  <c r="AC792" i="5"/>
  <c r="AC791" i="5" s="1"/>
  <c r="AC89" i="9" s="1"/>
  <c r="AC751" i="5"/>
  <c r="AC90" i="9" s="1"/>
  <c r="AD626" i="5"/>
  <c r="AD627" i="5" s="1"/>
  <c r="AE569" i="5"/>
  <c r="AE595" i="5" s="1"/>
  <c r="AF62" i="5"/>
  <c r="AE623" i="5"/>
  <c r="AC923" i="5"/>
  <c r="AC49" i="9" s="1"/>
  <c r="Q918" i="5"/>
  <c r="Q927" i="5" s="1"/>
  <c r="Q899" i="5"/>
  <c r="Q83" i="9" s="1"/>
  <c r="AD131" i="5"/>
  <c r="AE617" i="5"/>
  <c r="AE609" i="5"/>
  <c r="AE613" i="5"/>
  <c r="AF61" i="5"/>
  <c r="P743" i="5"/>
  <c r="Q763" i="5"/>
  <c r="Z632" i="5"/>
  <c r="Z886" i="5"/>
  <c r="AE27" i="5"/>
  <c r="AE112" i="5" s="1"/>
  <c r="AE28" i="5"/>
  <c r="AE113" i="5" s="1"/>
  <c r="AE29" i="5"/>
  <c r="AF16" i="5"/>
  <c r="Y18" i="9"/>
  <c r="V59" i="9"/>
  <c r="W59" i="9" s="1"/>
  <c r="P82" i="9"/>
  <c r="AF564" i="5"/>
  <c r="AF568" i="5"/>
  <c r="AF558" i="5"/>
  <c r="AF561" i="5"/>
  <c r="AF562" i="5"/>
  <c r="AF559" i="5"/>
  <c r="AF563" i="5"/>
  <c r="AF567" i="5"/>
  <c r="AF560" i="5"/>
  <c r="AF566" i="5"/>
  <c r="AF565" i="5"/>
  <c r="AF556" i="5"/>
  <c r="AF570" i="5"/>
  <c r="AF571" i="5"/>
  <c r="AF601" i="5" s="1"/>
  <c r="AF555" i="5"/>
  <c r="AF557" i="5"/>
  <c r="AG59" i="5"/>
  <c r="AF76" i="5"/>
  <c r="AF75" i="5"/>
  <c r="AF77" i="5"/>
  <c r="X50" i="9"/>
  <c r="AB23" i="5"/>
  <c r="AB21" i="5"/>
  <c r="AB122" i="5" s="1"/>
  <c r="AB22" i="5"/>
  <c r="AB123" i="5" s="1"/>
  <c r="AC423" i="5"/>
  <c r="Z887" i="5" l="1"/>
  <c r="AE80" i="5"/>
  <c r="Z945" i="5"/>
  <c r="Z885" i="5"/>
  <c r="Z889" i="5" s="1"/>
  <c r="Z892" i="5" s="1"/>
  <c r="Z896" i="5" s="1"/>
  <c r="Z917" i="5" s="1"/>
  <c r="Z924" i="5" s="1"/>
  <c r="AB25" i="5"/>
  <c r="AB135" i="5" s="1"/>
  <c r="AB631" i="5" s="1"/>
  <c r="AC131" i="5"/>
  <c r="AD24" i="5" s="1"/>
  <c r="AD134" i="5" s="1"/>
  <c r="AB26" i="5"/>
  <c r="AB24" i="5"/>
  <c r="AB134" i="5" s="1"/>
  <c r="AB630" i="5" s="1"/>
  <c r="Z86" i="9"/>
  <c r="Z87" i="9" s="1"/>
  <c r="AA375" i="5"/>
  <c r="AA136" i="5"/>
  <c r="AA887" i="5" s="1"/>
  <c r="AA125" i="5"/>
  <c r="AC9" i="9"/>
  <c r="AC13" i="9" s="1"/>
  <c r="AC14" i="9" s="1"/>
  <c r="AE114" i="5"/>
  <c r="AE115" i="5" s="1"/>
  <c r="AE295" i="5"/>
  <c r="AB124" i="5"/>
  <c r="AB335" i="5"/>
  <c r="AC883" i="5"/>
  <c r="AC882" i="5" s="1"/>
  <c r="O745" i="5"/>
  <c r="O63" i="9" s="1"/>
  <c r="O62" i="9" s="1"/>
  <c r="O66" i="9"/>
  <c r="AD444" i="5"/>
  <c r="AD883" i="5" s="1"/>
  <c r="AD882" i="5" s="1"/>
  <c r="AE448" i="5"/>
  <c r="AE447" i="5"/>
  <c r="AE445" i="5"/>
  <c r="AD603" i="5"/>
  <c r="AD11" i="9" s="1"/>
  <c r="AE582" i="5"/>
  <c r="AD914" i="5"/>
  <c r="AD923" i="5" s="1"/>
  <c r="AD49" i="9" s="1"/>
  <c r="AE716" i="5"/>
  <c r="AE729" i="5" s="1"/>
  <c r="AE722" i="5"/>
  <c r="AE730" i="5" s="1"/>
  <c r="AE644" i="5"/>
  <c r="AE657" i="5" s="1"/>
  <c r="AE650" i="5"/>
  <c r="AE658" i="5" s="1"/>
  <c r="AE674" i="5"/>
  <c r="AE682" i="5" s="1"/>
  <c r="AE668" i="5"/>
  <c r="AE681" i="5" s="1"/>
  <c r="AE698" i="5"/>
  <c r="AE706" i="5" s="1"/>
  <c r="AE692" i="5"/>
  <c r="AE705" i="5" s="1"/>
  <c r="AE574" i="5"/>
  <c r="AE588" i="5"/>
  <c r="AF576" i="5"/>
  <c r="AF662" i="5"/>
  <c r="AF710" i="5"/>
  <c r="AF638" i="5"/>
  <c r="AF686" i="5"/>
  <c r="AF575" i="5"/>
  <c r="AF709" i="5"/>
  <c r="AF685" i="5"/>
  <c r="AF637" i="5"/>
  <c r="AF661" i="5"/>
  <c r="AF592" i="5"/>
  <c r="AF726" i="5"/>
  <c r="AF702" i="5"/>
  <c r="AF654" i="5"/>
  <c r="AF678" i="5"/>
  <c r="AF580" i="5"/>
  <c r="AF642" i="5"/>
  <c r="AF714" i="5"/>
  <c r="AF690" i="5"/>
  <c r="AF666" i="5"/>
  <c r="AF590" i="5"/>
  <c r="AF724" i="5"/>
  <c r="AF652" i="5"/>
  <c r="AF700" i="5"/>
  <c r="AF676" i="5"/>
  <c r="AF591" i="5"/>
  <c r="AF701" i="5"/>
  <c r="AF677" i="5"/>
  <c r="AF653" i="5"/>
  <c r="AF725" i="5"/>
  <c r="AF578" i="5"/>
  <c r="AF664" i="5"/>
  <c r="AF712" i="5"/>
  <c r="AF640" i="5"/>
  <c r="AF688" i="5"/>
  <c r="AF593" i="5"/>
  <c r="AF727" i="5"/>
  <c r="AF703" i="5"/>
  <c r="AF679" i="5"/>
  <c r="AF655" i="5"/>
  <c r="AF723" i="5"/>
  <c r="AF717" i="5"/>
  <c r="AF699" i="5"/>
  <c r="AF675" i="5"/>
  <c r="AF669" i="5"/>
  <c r="AF651" i="5"/>
  <c r="AF645" i="5"/>
  <c r="AF693" i="5"/>
  <c r="AF585" i="5"/>
  <c r="AF671" i="5"/>
  <c r="AF695" i="5"/>
  <c r="AF647" i="5"/>
  <c r="AF719" i="5"/>
  <c r="AF577" i="5"/>
  <c r="AF687" i="5"/>
  <c r="AF639" i="5"/>
  <c r="AF663" i="5"/>
  <c r="AF711" i="5"/>
  <c r="AF579" i="5"/>
  <c r="AF641" i="5"/>
  <c r="AF713" i="5"/>
  <c r="AF665" i="5"/>
  <c r="AF689" i="5"/>
  <c r="AF584" i="5"/>
  <c r="AF670" i="5"/>
  <c r="AF694" i="5"/>
  <c r="AF646" i="5"/>
  <c r="AF718" i="5"/>
  <c r="AF586" i="5"/>
  <c r="AF720" i="5"/>
  <c r="AF696" i="5"/>
  <c r="AF648" i="5"/>
  <c r="AF672" i="5"/>
  <c r="AD619" i="5"/>
  <c r="AD16" i="9" s="1"/>
  <c r="AE618" i="5"/>
  <c r="AE616" i="5" s="1"/>
  <c r="AF589" i="5"/>
  <c r="AF583" i="5"/>
  <c r="AE614" i="5"/>
  <c r="AE612" i="5" s="1"/>
  <c r="AF600" i="5"/>
  <c r="AF598" i="5"/>
  <c r="AF599" i="5"/>
  <c r="AE610" i="5"/>
  <c r="AE608" i="5" s="1"/>
  <c r="R891" i="5"/>
  <c r="R893" i="5" s="1"/>
  <c r="R897" i="5" s="1"/>
  <c r="AE626" i="5"/>
  <c r="AE627" i="5" s="1"/>
  <c r="AB788" i="5"/>
  <c r="AB789" i="5" s="1"/>
  <c r="AC783" i="5" s="1"/>
  <c r="AB784" i="5"/>
  <c r="AA774" i="5"/>
  <c r="AA778" i="5"/>
  <c r="AA779" i="5" s="1"/>
  <c r="AB773" i="5" s="1"/>
  <c r="Q767" i="5"/>
  <c r="Q764" i="5"/>
  <c r="Q736" i="5" s="1"/>
  <c r="Q742" i="5"/>
  <c r="Q768" i="5"/>
  <c r="AD792" i="5"/>
  <c r="AD791" i="5" s="1"/>
  <c r="AD89" i="9" s="1"/>
  <c r="AD751" i="5"/>
  <c r="AD90" i="9" s="1"/>
  <c r="AF569" i="5"/>
  <c r="AF595" i="5" s="1"/>
  <c r="AG62" i="5"/>
  <c r="AF623" i="5"/>
  <c r="AE944" i="5"/>
  <c r="AE747" i="5"/>
  <c r="AF609" i="5"/>
  <c r="AF617" i="5"/>
  <c r="AF613" i="5"/>
  <c r="AG61" i="5"/>
  <c r="AE131" i="5"/>
  <c r="AG568" i="5"/>
  <c r="AG562" i="5"/>
  <c r="AG557" i="5"/>
  <c r="AG565" i="5"/>
  <c r="AG555" i="5"/>
  <c r="AG556" i="5"/>
  <c r="AG567" i="5"/>
  <c r="AG566" i="5"/>
  <c r="AG559" i="5"/>
  <c r="AG563" i="5"/>
  <c r="AG561" i="5"/>
  <c r="AG571" i="5"/>
  <c r="AG601" i="5" s="1"/>
  <c r="AG564" i="5"/>
  <c r="AG570" i="5"/>
  <c r="AG558" i="5"/>
  <c r="AG560" i="5"/>
  <c r="AH59" i="5"/>
  <c r="AG76" i="5"/>
  <c r="AG75" i="5"/>
  <c r="AG77" i="5"/>
  <c r="X59" i="9"/>
  <c r="Y59" i="9" s="1"/>
  <c r="Z59" i="9" s="1"/>
  <c r="AF27" i="5"/>
  <c r="AF112" i="5" s="1"/>
  <c r="AF29" i="5"/>
  <c r="AF28" i="5"/>
  <c r="AF113" i="5" s="1"/>
  <c r="AG16" i="5"/>
  <c r="AC22" i="5"/>
  <c r="AC123" i="5" s="1"/>
  <c r="AC21" i="5"/>
  <c r="AC122" i="5" s="1"/>
  <c r="AC23" i="5"/>
  <c r="AD423" i="5"/>
  <c r="AA632" i="5"/>
  <c r="AA886" i="5"/>
  <c r="AE597" i="5"/>
  <c r="Z18" i="9"/>
  <c r="Y50" i="9"/>
  <c r="AF823" i="5"/>
  <c r="AF825" i="5" s="1"/>
  <c r="AF440" i="5"/>
  <c r="AF446" i="5" s="1"/>
  <c r="AF442" i="5"/>
  <c r="AF441" i="5"/>
  <c r="AF439" i="5"/>
  <c r="AG58" i="5"/>
  <c r="AF624" i="5"/>
  <c r="AF74" i="5"/>
  <c r="AF78" i="5" s="1"/>
  <c r="AF622" i="5"/>
  <c r="AF625" i="5"/>
  <c r="AF80" i="5" l="1"/>
  <c r="AD26" i="5"/>
  <c r="AD375" i="5" s="1"/>
  <c r="AD25" i="5"/>
  <c r="AD135" i="5" s="1"/>
  <c r="AB375" i="5"/>
  <c r="AB136" i="5"/>
  <c r="AB137" i="5" s="1"/>
  <c r="AC26" i="5"/>
  <c r="AC24" i="5"/>
  <c r="AC134" i="5" s="1"/>
  <c r="AC630" i="5" s="1"/>
  <c r="AC25" i="5"/>
  <c r="AC135" i="5" s="1"/>
  <c r="AC631" i="5" s="1"/>
  <c r="AA137" i="5"/>
  <c r="AA86" i="9"/>
  <c r="AA87" i="9" s="1"/>
  <c r="AA945" i="5"/>
  <c r="AA885" i="5"/>
  <c r="AA889" i="5" s="1"/>
  <c r="AA892" i="5" s="1"/>
  <c r="AA896" i="5" s="1"/>
  <c r="AA917" i="5" s="1"/>
  <c r="AA924" i="5" s="1"/>
  <c r="AD913" i="5"/>
  <c r="AD922" i="5" s="1"/>
  <c r="AB125" i="5"/>
  <c r="AC124" i="5"/>
  <c r="AC335" i="5"/>
  <c r="AF114" i="5"/>
  <c r="AF115" i="5" s="1"/>
  <c r="AF295" i="5"/>
  <c r="AD136" i="5"/>
  <c r="AD137" i="5" s="1"/>
  <c r="AD9" i="9"/>
  <c r="AD13" i="9" s="1"/>
  <c r="AD14" i="9" s="1"/>
  <c r="AE444" i="5"/>
  <c r="AE883" i="5" s="1"/>
  <c r="AE882" i="5" s="1"/>
  <c r="AF448" i="5"/>
  <c r="AF447" i="5"/>
  <c r="AF445" i="5"/>
  <c r="AE914" i="5"/>
  <c r="AE923" i="5" s="1"/>
  <c r="AE49" i="9" s="1"/>
  <c r="AF674" i="5"/>
  <c r="AF682" i="5" s="1"/>
  <c r="AF668" i="5"/>
  <c r="AF681" i="5" s="1"/>
  <c r="AF650" i="5"/>
  <c r="AF658" i="5" s="1"/>
  <c r="AF644" i="5"/>
  <c r="AF657" i="5" s="1"/>
  <c r="AF698" i="5"/>
  <c r="AF706" i="5" s="1"/>
  <c r="AF692" i="5"/>
  <c r="AF705" i="5" s="1"/>
  <c r="AF574" i="5"/>
  <c r="AF716" i="5"/>
  <c r="AF729" i="5" s="1"/>
  <c r="AF722" i="5"/>
  <c r="AF730" i="5" s="1"/>
  <c r="AG585" i="5"/>
  <c r="AG719" i="5"/>
  <c r="AG647" i="5"/>
  <c r="AG671" i="5"/>
  <c r="AG695" i="5"/>
  <c r="AG575" i="5"/>
  <c r="AG661" i="5"/>
  <c r="AG685" i="5"/>
  <c r="AG637" i="5"/>
  <c r="AG709" i="5"/>
  <c r="AG584" i="5"/>
  <c r="AG646" i="5"/>
  <c r="AG694" i="5"/>
  <c r="AG670" i="5"/>
  <c r="AG718" i="5"/>
  <c r="AF582" i="5"/>
  <c r="AG579" i="5"/>
  <c r="AG641" i="5"/>
  <c r="AG665" i="5"/>
  <c r="AG713" i="5"/>
  <c r="AG689" i="5"/>
  <c r="AG591" i="5"/>
  <c r="AG725" i="5"/>
  <c r="AG701" i="5"/>
  <c r="AG677" i="5"/>
  <c r="AG653" i="5"/>
  <c r="AG590" i="5"/>
  <c r="AG676" i="5"/>
  <c r="AG652" i="5"/>
  <c r="AG700" i="5"/>
  <c r="AG724" i="5"/>
  <c r="AG577" i="5"/>
  <c r="AG663" i="5"/>
  <c r="AG639" i="5"/>
  <c r="AG687" i="5"/>
  <c r="AG711" i="5"/>
  <c r="AG580" i="5"/>
  <c r="AG714" i="5"/>
  <c r="AG690" i="5"/>
  <c r="AG666" i="5"/>
  <c r="AG642" i="5"/>
  <c r="AG592" i="5"/>
  <c r="AG654" i="5"/>
  <c r="AG702" i="5"/>
  <c r="AG678" i="5"/>
  <c r="AG726" i="5"/>
  <c r="AG576" i="5"/>
  <c r="AG710" i="5"/>
  <c r="AG638" i="5"/>
  <c r="AG686" i="5"/>
  <c r="AG662" i="5"/>
  <c r="AG586" i="5"/>
  <c r="AG696" i="5"/>
  <c r="AG648" i="5"/>
  <c r="AG720" i="5"/>
  <c r="AG672" i="5"/>
  <c r="AG578" i="5"/>
  <c r="AG688" i="5"/>
  <c r="AG664" i="5"/>
  <c r="AG640" i="5"/>
  <c r="AG712" i="5"/>
  <c r="AG723" i="5"/>
  <c r="AG699" i="5"/>
  <c r="AG693" i="5"/>
  <c r="AG717" i="5"/>
  <c r="AG675" i="5"/>
  <c r="AG651" i="5"/>
  <c r="AG645" i="5"/>
  <c r="AG669" i="5"/>
  <c r="AG593" i="5"/>
  <c r="AG679" i="5"/>
  <c r="AG703" i="5"/>
  <c r="AG727" i="5"/>
  <c r="AG655" i="5"/>
  <c r="AF588" i="5"/>
  <c r="AE619" i="5"/>
  <c r="AE16" i="9" s="1"/>
  <c r="AG589" i="5"/>
  <c r="AG583" i="5"/>
  <c r="AF618" i="5"/>
  <c r="AF616" i="5" s="1"/>
  <c r="AF610" i="5"/>
  <c r="AF608" i="5" s="1"/>
  <c r="AG599" i="5"/>
  <c r="AG598" i="5"/>
  <c r="AG600" i="5"/>
  <c r="AF614" i="5"/>
  <c r="AF612" i="5" s="1"/>
  <c r="AF597" i="5"/>
  <c r="AC788" i="5"/>
  <c r="AC789" i="5" s="1"/>
  <c r="AD783" i="5" s="1"/>
  <c r="AC784" i="5"/>
  <c r="AG442" i="5"/>
  <c r="AG440" i="5"/>
  <c r="AG446" i="5" s="1"/>
  <c r="AG441" i="5"/>
  <c r="AG439" i="5"/>
  <c r="AG823" i="5"/>
  <c r="AG825" i="5" s="1"/>
  <c r="AH58" i="5"/>
  <c r="AG622" i="5"/>
  <c r="AG625" i="5"/>
  <c r="AG74" i="5"/>
  <c r="AG78" i="5" s="1"/>
  <c r="AG624" i="5"/>
  <c r="R894" i="5"/>
  <c r="Z50" i="9"/>
  <c r="Q739" i="5"/>
  <c r="R918" i="5"/>
  <c r="R927" i="5" s="1"/>
  <c r="R899" i="5"/>
  <c r="R83" i="9" s="1"/>
  <c r="AE603" i="5"/>
  <c r="Q769" i="5"/>
  <c r="AD21" i="5"/>
  <c r="AD122" i="5" s="1"/>
  <c r="AD23" i="5"/>
  <c r="AD22" i="5"/>
  <c r="AD123" i="5" s="1"/>
  <c r="AE423" i="5"/>
  <c r="AG27" i="5"/>
  <c r="AG112" i="5" s="1"/>
  <c r="AG29" i="5"/>
  <c r="AG28" i="5"/>
  <c r="AG113" i="5" s="1"/>
  <c r="AH16" i="5"/>
  <c r="AI16" i="5" s="1"/>
  <c r="AE26" i="5"/>
  <c r="AE375" i="5" s="1"/>
  <c r="AE25" i="5"/>
  <c r="AE135" i="5" s="1"/>
  <c r="AE24" i="5"/>
  <c r="AE134" i="5" s="1"/>
  <c r="AF131" i="5"/>
  <c r="AG613" i="5"/>
  <c r="AG609" i="5"/>
  <c r="AG617" i="5"/>
  <c r="AH61" i="5"/>
  <c r="AF626" i="5"/>
  <c r="AF627" i="5" s="1"/>
  <c r="AF944" i="5"/>
  <c r="AF747" i="5"/>
  <c r="AA18" i="9"/>
  <c r="AA59" i="9"/>
  <c r="AB59" i="9" s="1"/>
  <c r="AC59" i="9" s="1"/>
  <c r="AH557" i="5"/>
  <c r="AH561" i="5"/>
  <c r="AH563" i="5"/>
  <c r="AH556" i="5"/>
  <c r="AH567" i="5"/>
  <c r="AH560" i="5"/>
  <c r="AH568" i="5"/>
  <c r="AH566" i="5"/>
  <c r="AH559" i="5"/>
  <c r="AH562" i="5"/>
  <c r="AH571" i="5"/>
  <c r="AH601" i="5" s="1"/>
  <c r="AH565" i="5"/>
  <c r="AH564" i="5"/>
  <c r="AH570" i="5"/>
  <c r="AH555" i="5"/>
  <c r="AH558" i="5"/>
  <c r="AI59" i="5"/>
  <c r="AH75" i="5"/>
  <c r="AH77" i="5"/>
  <c r="AH76" i="5"/>
  <c r="AB632" i="5"/>
  <c r="AB886" i="5"/>
  <c r="AE792" i="5"/>
  <c r="AE791" i="5" s="1"/>
  <c r="AE89" i="9" s="1"/>
  <c r="AE751" i="5"/>
  <c r="AE90" i="9" s="1"/>
  <c r="AG569" i="5"/>
  <c r="AG595" i="5" s="1"/>
  <c r="AH62" i="5"/>
  <c r="AG623" i="5"/>
  <c r="Q741" i="5"/>
  <c r="Q30" i="9" s="1"/>
  <c r="Q738" i="5"/>
  <c r="Q92" i="9" s="1"/>
  <c r="Q864" i="5"/>
  <c r="AB774" i="5"/>
  <c r="AB778" i="5"/>
  <c r="AB779" i="5" s="1"/>
  <c r="AC773" i="5" s="1"/>
  <c r="AB887" i="5" l="1"/>
  <c r="AD631" i="5"/>
  <c r="AG80" i="5"/>
  <c r="AC375" i="5"/>
  <c r="AC136" i="5"/>
  <c r="AC137" i="5" s="1"/>
  <c r="AB86" i="9"/>
  <c r="AB87" i="9" s="1"/>
  <c r="AB885" i="5"/>
  <c r="AB889" i="5" s="1"/>
  <c r="AB892" i="5" s="1"/>
  <c r="AB896" i="5" s="1"/>
  <c r="AB917" i="5" s="1"/>
  <c r="AB924" i="5" s="1"/>
  <c r="AB945" i="5"/>
  <c r="AC945" i="5"/>
  <c r="AC125" i="5"/>
  <c r="AE9" i="9"/>
  <c r="AD124" i="5"/>
  <c r="AD335" i="5"/>
  <c r="AG114" i="5"/>
  <c r="AG115" i="5" s="1"/>
  <c r="AG295" i="5"/>
  <c r="AE913" i="5"/>
  <c r="AE922" i="5" s="1"/>
  <c r="AE136" i="5"/>
  <c r="AE137" i="5" s="1"/>
  <c r="Q91" i="9"/>
  <c r="Q93" i="9" s="1"/>
  <c r="P744" i="5"/>
  <c r="AF444" i="5"/>
  <c r="AF883" i="5" s="1"/>
  <c r="AF882" i="5" s="1"/>
  <c r="AG448" i="5"/>
  <c r="AG447" i="5"/>
  <c r="AG445" i="5"/>
  <c r="AG716" i="5"/>
  <c r="AG729" i="5" s="1"/>
  <c r="AG722" i="5"/>
  <c r="AG730" i="5" s="1"/>
  <c r="AG650" i="5"/>
  <c r="AG658" i="5" s="1"/>
  <c r="AG644" i="5"/>
  <c r="AG657" i="5" s="1"/>
  <c r="AG574" i="5"/>
  <c r="AG698" i="5"/>
  <c r="AG706" i="5" s="1"/>
  <c r="AG692" i="5"/>
  <c r="AG705" i="5" s="1"/>
  <c r="AG674" i="5"/>
  <c r="AG682" i="5" s="1"/>
  <c r="AG668" i="5"/>
  <c r="AG681" i="5" s="1"/>
  <c r="AH585" i="5"/>
  <c r="AH695" i="5"/>
  <c r="AH647" i="5"/>
  <c r="AH719" i="5"/>
  <c r="AH671" i="5"/>
  <c r="AH584" i="5"/>
  <c r="AH646" i="5"/>
  <c r="AH718" i="5"/>
  <c r="AH670" i="5"/>
  <c r="AH694" i="5"/>
  <c r="AH579" i="5"/>
  <c r="AH689" i="5"/>
  <c r="AH713" i="5"/>
  <c r="AH665" i="5"/>
  <c r="AH641" i="5"/>
  <c r="AH580" i="5"/>
  <c r="AH714" i="5"/>
  <c r="AH666" i="5"/>
  <c r="AH690" i="5"/>
  <c r="AH642" i="5"/>
  <c r="AH586" i="5"/>
  <c r="AH696" i="5"/>
  <c r="AH672" i="5"/>
  <c r="AH720" i="5"/>
  <c r="AH648" i="5"/>
  <c r="AH578" i="5"/>
  <c r="AH688" i="5"/>
  <c r="AH712" i="5"/>
  <c r="AH664" i="5"/>
  <c r="AH640" i="5"/>
  <c r="AH592" i="5"/>
  <c r="AH654" i="5"/>
  <c r="AH726" i="5"/>
  <c r="AH702" i="5"/>
  <c r="AH678" i="5"/>
  <c r="AH576" i="5"/>
  <c r="AH662" i="5"/>
  <c r="AH686" i="5"/>
  <c r="AH638" i="5"/>
  <c r="AH710" i="5"/>
  <c r="AG582" i="5"/>
  <c r="AH699" i="5"/>
  <c r="AH717" i="5"/>
  <c r="AH675" i="5"/>
  <c r="AH669" i="5"/>
  <c r="AH723" i="5"/>
  <c r="AH651" i="5"/>
  <c r="AH645" i="5"/>
  <c r="AH693" i="5"/>
  <c r="AH593" i="5"/>
  <c r="AH655" i="5"/>
  <c r="AH679" i="5"/>
  <c r="AH727" i="5"/>
  <c r="AH703" i="5"/>
  <c r="AH577" i="5"/>
  <c r="AH639" i="5"/>
  <c r="AH663" i="5"/>
  <c r="AH687" i="5"/>
  <c r="AH711" i="5"/>
  <c r="AH590" i="5"/>
  <c r="AH700" i="5"/>
  <c r="AH676" i="5"/>
  <c r="AH724" i="5"/>
  <c r="AH652" i="5"/>
  <c r="AH591" i="5"/>
  <c r="AH677" i="5"/>
  <c r="AH725" i="5"/>
  <c r="AH701" i="5"/>
  <c r="AH653" i="5"/>
  <c r="AH575" i="5"/>
  <c r="AH685" i="5"/>
  <c r="AH661" i="5"/>
  <c r="AH709" i="5"/>
  <c r="AH637" i="5"/>
  <c r="AF603" i="5"/>
  <c r="AF11" i="9" s="1"/>
  <c r="AG588" i="5"/>
  <c r="AF619" i="5"/>
  <c r="AF16" i="9" s="1"/>
  <c r="AG618" i="5"/>
  <c r="AG616" i="5" s="1"/>
  <c r="AH598" i="5"/>
  <c r="AH600" i="5"/>
  <c r="AH599" i="5"/>
  <c r="AG610" i="5"/>
  <c r="AG608" i="5" s="1"/>
  <c r="AH589" i="5"/>
  <c r="AH583" i="5"/>
  <c r="AG614" i="5"/>
  <c r="AG612" i="5" s="1"/>
  <c r="AF914" i="5"/>
  <c r="AF923" i="5" s="1"/>
  <c r="AF49" i="9" s="1"/>
  <c r="AJ16" i="5"/>
  <c r="AI28" i="5"/>
  <c r="AI27" i="5"/>
  <c r="AI29" i="5"/>
  <c r="AI295" i="5" s="1"/>
  <c r="AG626" i="5"/>
  <c r="AG627" i="5" s="1"/>
  <c r="AC774" i="5"/>
  <c r="AC778" i="5"/>
  <c r="AC779" i="5" s="1"/>
  <c r="AD773" i="5" s="1"/>
  <c r="AB18" i="9"/>
  <c r="Q82" i="9"/>
  <c r="AE11" i="9"/>
  <c r="AG944" i="5"/>
  <c r="AG747" i="5"/>
  <c r="AA50" i="9"/>
  <c r="S891" i="5"/>
  <c r="R51" i="9"/>
  <c r="AD788" i="5"/>
  <c r="AD789" i="5" s="1"/>
  <c r="AE783" i="5" s="1"/>
  <c r="AD784" i="5"/>
  <c r="AI565" i="5"/>
  <c r="AI556" i="5"/>
  <c r="AI559" i="5"/>
  <c r="AI566" i="5"/>
  <c r="AI562" i="5"/>
  <c r="AI558" i="5"/>
  <c r="AI567" i="5"/>
  <c r="AI557" i="5"/>
  <c r="AI571" i="5"/>
  <c r="AI601" i="5" s="1"/>
  <c r="AI563" i="5"/>
  <c r="AI561" i="5"/>
  <c r="AI564" i="5"/>
  <c r="AI568" i="5"/>
  <c r="AI555" i="5"/>
  <c r="AI570" i="5"/>
  <c r="AI560" i="5"/>
  <c r="AJ59" i="5"/>
  <c r="AI77" i="5"/>
  <c r="AI76" i="5"/>
  <c r="AI75" i="5"/>
  <c r="AF751" i="5"/>
  <c r="AF90" i="9" s="1"/>
  <c r="AF792" i="5"/>
  <c r="AF791" i="5" s="1"/>
  <c r="AF89" i="9" s="1"/>
  <c r="AH617" i="5"/>
  <c r="AH609" i="5"/>
  <c r="AH613" i="5"/>
  <c r="AI61" i="5"/>
  <c r="AF24" i="5"/>
  <c r="AF134" i="5" s="1"/>
  <c r="AF25" i="5"/>
  <c r="AF135" i="5" s="1"/>
  <c r="AF26" i="5"/>
  <c r="AF375" i="5" s="1"/>
  <c r="AG131" i="5"/>
  <c r="AG597" i="5"/>
  <c r="AD630" i="5"/>
  <c r="Q743" i="5"/>
  <c r="R763" i="5"/>
  <c r="AH569" i="5"/>
  <c r="AH595" i="5" s="1"/>
  <c r="AI62" i="5"/>
  <c r="AH623" i="5"/>
  <c r="AD59" i="9"/>
  <c r="AE59" i="9" s="1"/>
  <c r="AH28" i="5"/>
  <c r="AH113" i="5" s="1"/>
  <c r="AH27" i="5"/>
  <c r="AH112" i="5" s="1"/>
  <c r="AH29" i="5"/>
  <c r="AE23" i="5"/>
  <c r="AE22" i="5"/>
  <c r="AE123" i="5" s="1"/>
  <c r="AE631" i="5" s="1"/>
  <c r="AE21" i="5"/>
  <c r="AE122" i="5" s="1"/>
  <c r="AF423" i="5"/>
  <c r="AC632" i="5"/>
  <c r="AC886" i="5"/>
  <c r="AH823" i="5"/>
  <c r="AH825" i="5" s="1"/>
  <c r="AH440" i="5"/>
  <c r="AH446" i="5" s="1"/>
  <c r="AH441" i="5"/>
  <c r="AH439" i="5"/>
  <c r="AH442" i="5"/>
  <c r="AI58" i="5"/>
  <c r="AH625" i="5"/>
  <c r="AH74" i="5"/>
  <c r="AH78" i="5" s="1"/>
  <c r="AH622" i="5"/>
  <c r="AH624" i="5"/>
  <c r="AD86" i="9" l="1"/>
  <c r="AD87" i="9" s="1"/>
  <c r="AD887" i="5"/>
  <c r="AH80" i="5"/>
  <c r="AC86" i="9"/>
  <c r="AC87" i="9" s="1"/>
  <c r="AC887" i="5"/>
  <c r="AC885" i="5"/>
  <c r="AC889" i="5" s="1"/>
  <c r="AC892" i="5" s="1"/>
  <c r="AC896" i="5" s="1"/>
  <c r="AC917" i="5" s="1"/>
  <c r="AC924" i="5" s="1"/>
  <c r="AE13" i="9"/>
  <c r="AE14" i="9" s="1"/>
  <c r="AD125" i="5"/>
  <c r="AF913" i="5"/>
  <c r="AF922" i="5" s="1"/>
  <c r="AF9" i="9"/>
  <c r="AF13" i="9" s="1"/>
  <c r="AF14" i="9" s="1"/>
  <c r="AD945" i="5"/>
  <c r="AE124" i="5"/>
  <c r="AE335" i="5"/>
  <c r="AH114" i="5"/>
  <c r="AH115" i="5" s="1"/>
  <c r="AH295" i="5"/>
  <c r="AF136" i="5"/>
  <c r="AF137" i="5" s="1"/>
  <c r="P66" i="9"/>
  <c r="P745" i="5"/>
  <c r="P63" i="9" s="1"/>
  <c r="P62" i="9" s="1"/>
  <c r="AG444" i="5"/>
  <c r="AG913" i="5" s="1"/>
  <c r="AG922" i="5" s="1"/>
  <c r="AH448" i="5"/>
  <c r="AH447" i="5"/>
  <c r="AH445" i="5"/>
  <c r="AH722" i="5"/>
  <c r="AH730" i="5" s="1"/>
  <c r="AH716" i="5"/>
  <c r="AH729" i="5" s="1"/>
  <c r="AH698" i="5"/>
  <c r="AH706" i="5" s="1"/>
  <c r="AH692" i="5"/>
  <c r="AH705" i="5" s="1"/>
  <c r="AH650" i="5"/>
  <c r="AH658" i="5" s="1"/>
  <c r="AH644" i="5"/>
  <c r="AH657" i="5" s="1"/>
  <c r="AH582" i="5"/>
  <c r="AH668" i="5"/>
  <c r="AH681" i="5" s="1"/>
  <c r="AH674" i="5"/>
  <c r="AH682" i="5" s="1"/>
  <c r="AH574" i="5"/>
  <c r="AI584" i="5"/>
  <c r="AI646" i="5"/>
  <c r="AI718" i="5"/>
  <c r="AI670" i="5"/>
  <c r="AI694" i="5"/>
  <c r="AI579" i="5"/>
  <c r="AI689" i="5"/>
  <c r="AI665" i="5"/>
  <c r="AI641" i="5"/>
  <c r="AI713" i="5"/>
  <c r="AI576" i="5"/>
  <c r="AI662" i="5"/>
  <c r="AI638" i="5"/>
  <c r="AI686" i="5"/>
  <c r="AI710" i="5"/>
  <c r="AI591" i="5"/>
  <c r="AI725" i="5"/>
  <c r="AI677" i="5"/>
  <c r="AI701" i="5"/>
  <c r="AI653" i="5"/>
  <c r="AH588" i="5"/>
  <c r="AG603" i="5"/>
  <c r="AG11" i="9" s="1"/>
  <c r="AI580" i="5"/>
  <c r="AI714" i="5"/>
  <c r="AI666" i="5"/>
  <c r="AI642" i="5"/>
  <c r="AI690" i="5"/>
  <c r="AI592" i="5"/>
  <c r="AI726" i="5"/>
  <c r="AI654" i="5"/>
  <c r="AI702" i="5"/>
  <c r="AI678" i="5"/>
  <c r="AI578" i="5"/>
  <c r="AI688" i="5"/>
  <c r="AI712" i="5"/>
  <c r="AI664" i="5"/>
  <c r="AI640" i="5"/>
  <c r="AI593" i="5"/>
  <c r="AI727" i="5"/>
  <c r="AI679" i="5"/>
  <c r="AI703" i="5"/>
  <c r="AI655" i="5"/>
  <c r="AI590" i="5"/>
  <c r="AI676" i="5"/>
  <c r="AI652" i="5"/>
  <c r="AI724" i="5"/>
  <c r="AI700" i="5"/>
  <c r="AI586" i="5"/>
  <c r="AI696" i="5"/>
  <c r="AI672" i="5"/>
  <c r="AI720" i="5"/>
  <c r="AI648" i="5"/>
  <c r="AI723" i="5"/>
  <c r="AI717" i="5"/>
  <c r="AI693" i="5"/>
  <c r="AI699" i="5"/>
  <c r="AI651" i="5"/>
  <c r="AI669" i="5"/>
  <c r="AI675" i="5"/>
  <c r="AI645" i="5"/>
  <c r="AI585" i="5"/>
  <c r="AI671" i="5"/>
  <c r="AI647" i="5"/>
  <c r="AI719" i="5"/>
  <c r="AI695" i="5"/>
  <c r="AI577" i="5"/>
  <c r="AI687" i="5"/>
  <c r="AI711" i="5"/>
  <c r="AI639" i="5"/>
  <c r="AI663" i="5"/>
  <c r="AI575" i="5"/>
  <c r="AI685" i="5"/>
  <c r="AI709" i="5"/>
  <c r="AI637" i="5"/>
  <c r="AI661" i="5"/>
  <c r="AG619" i="5"/>
  <c r="AG16" i="9" s="1"/>
  <c r="AH614" i="5"/>
  <c r="AH612" i="5" s="1"/>
  <c r="AI583" i="5"/>
  <c r="AI589" i="5"/>
  <c r="AH610" i="5"/>
  <c r="AH608" i="5" s="1"/>
  <c r="AH618" i="5"/>
  <c r="AH616" i="5" s="1"/>
  <c r="AI600" i="5"/>
  <c r="AI599" i="5"/>
  <c r="AI598" i="5"/>
  <c r="AG914" i="5"/>
  <c r="AG923" i="5" s="1"/>
  <c r="AG49" i="9" s="1"/>
  <c r="AK16" i="5"/>
  <c r="AJ29" i="5"/>
  <c r="AJ295" i="5" s="1"/>
  <c r="AJ28" i="5"/>
  <c r="AJ27" i="5"/>
  <c r="R742" i="5"/>
  <c r="R764" i="5"/>
  <c r="R736" i="5" s="1"/>
  <c r="R768" i="5"/>
  <c r="R739" i="5" s="1"/>
  <c r="AG24" i="5"/>
  <c r="AG134" i="5" s="1"/>
  <c r="AG26" i="5"/>
  <c r="AG375" i="5" s="1"/>
  <c r="AG25" i="5"/>
  <c r="AG135" i="5" s="1"/>
  <c r="AH131" i="5"/>
  <c r="AI131" i="5" s="1"/>
  <c r="AJ131" i="5" s="1"/>
  <c r="AI617" i="5"/>
  <c r="AI609" i="5"/>
  <c r="AI613" i="5"/>
  <c r="AJ61" i="5"/>
  <c r="AF59" i="9"/>
  <c r="AB50" i="9"/>
  <c r="AE630" i="5"/>
  <c r="AH944" i="5"/>
  <c r="AH747" i="5"/>
  <c r="AJ564" i="5"/>
  <c r="AJ570" i="5"/>
  <c r="AJ559" i="5"/>
  <c r="AJ568" i="5"/>
  <c r="AJ566" i="5"/>
  <c r="AJ567" i="5"/>
  <c r="AJ561" i="5"/>
  <c r="AJ558" i="5"/>
  <c r="AJ563" i="5"/>
  <c r="AJ556" i="5"/>
  <c r="AJ560" i="5"/>
  <c r="AJ565" i="5"/>
  <c r="AJ562" i="5"/>
  <c r="AJ571" i="5"/>
  <c r="AJ601" i="5" s="1"/>
  <c r="AJ557" i="5"/>
  <c r="AJ555" i="5"/>
  <c r="AK59" i="5"/>
  <c r="AJ76" i="5"/>
  <c r="AJ75" i="5"/>
  <c r="AJ77" i="5"/>
  <c r="AE788" i="5"/>
  <c r="AE789" i="5" s="1"/>
  <c r="AF783" i="5" s="1"/>
  <c r="AE784" i="5"/>
  <c r="AC18" i="9"/>
  <c r="AH626" i="5"/>
  <c r="AD632" i="5"/>
  <c r="AD886" i="5"/>
  <c r="AG751" i="5"/>
  <c r="AG90" i="9" s="1"/>
  <c r="AG792" i="5"/>
  <c r="AG791" i="5" s="1"/>
  <c r="AG89" i="9" s="1"/>
  <c r="AD774" i="5"/>
  <c r="AD778" i="5"/>
  <c r="AD779" i="5" s="1"/>
  <c r="AE773" i="5" s="1"/>
  <c r="AI823" i="5"/>
  <c r="AI825" i="5" s="1"/>
  <c r="AI442" i="5"/>
  <c r="AI439" i="5"/>
  <c r="AI440" i="5"/>
  <c r="AI446" i="5" s="1"/>
  <c r="AI441" i="5"/>
  <c r="AJ58" i="5"/>
  <c r="AI625" i="5"/>
  <c r="AI622" i="5"/>
  <c r="AI74" i="5"/>
  <c r="AI78" i="5" s="1"/>
  <c r="AI624" i="5"/>
  <c r="AI114" i="5"/>
  <c r="AI112" i="5"/>
  <c r="AI113" i="5"/>
  <c r="AF21" i="5"/>
  <c r="AF122" i="5" s="1"/>
  <c r="AF22" i="5"/>
  <c r="AF123" i="5" s="1"/>
  <c r="AF631" i="5" s="1"/>
  <c r="AF23" i="5"/>
  <c r="AG423" i="5"/>
  <c r="AI569" i="5"/>
  <c r="AI595" i="5" s="1"/>
  <c r="AJ62" i="5"/>
  <c r="AI623" i="5"/>
  <c r="AH597" i="5"/>
  <c r="S893" i="5"/>
  <c r="S897" i="5" s="1"/>
  <c r="AI80" i="5" l="1"/>
  <c r="AE125" i="5"/>
  <c r="AE887" i="5"/>
  <c r="AE945" i="5"/>
  <c r="AD885" i="5"/>
  <c r="AD889" i="5" s="1"/>
  <c r="AD892" i="5" s="1"/>
  <c r="AD896" i="5" s="1"/>
  <c r="AD917" i="5" s="1"/>
  <c r="AD924" i="5" s="1"/>
  <c r="AE86" i="9"/>
  <c r="AE87" i="9" s="1"/>
  <c r="AF124" i="5"/>
  <c r="AF335" i="5"/>
  <c r="AG136" i="5"/>
  <c r="AG137" i="5" s="1"/>
  <c r="R91" i="9"/>
  <c r="Q744" i="5"/>
  <c r="AG9" i="9"/>
  <c r="AG13" i="9" s="1"/>
  <c r="AG14" i="9" s="1"/>
  <c r="AG883" i="5"/>
  <c r="AG882" i="5" s="1"/>
  <c r="AH444" i="5"/>
  <c r="AH9" i="9" s="1"/>
  <c r="AI588" i="5"/>
  <c r="AI448" i="5"/>
  <c r="AI447" i="5"/>
  <c r="AI445" i="5"/>
  <c r="AI644" i="5"/>
  <c r="AI657" i="5" s="1"/>
  <c r="AI650" i="5"/>
  <c r="AI658" i="5" s="1"/>
  <c r="AI716" i="5"/>
  <c r="AI729" i="5" s="1"/>
  <c r="AI722" i="5"/>
  <c r="AI730" i="5" s="1"/>
  <c r="AI692" i="5"/>
  <c r="AI705" i="5" s="1"/>
  <c r="AI698" i="5"/>
  <c r="AI706" i="5" s="1"/>
  <c r="AH603" i="5"/>
  <c r="AH11" i="9" s="1"/>
  <c r="AI674" i="5"/>
  <c r="AI682" i="5" s="1"/>
  <c r="AI668" i="5"/>
  <c r="AI681" i="5" s="1"/>
  <c r="AI574" i="5"/>
  <c r="AJ717" i="5"/>
  <c r="AJ699" i="5"/>
  <c r="AJ693" i="5"/>
  <c r="AJ669" i="5"/>
  <c r="AJ723" i="5"/>
  <c r="AJ651" i="5"/>
  <c r="AJ645" i="5"/>
  <c r="AJ675" i="5"/>
  <c r="AJ590" i="5"/>
  <c r="AJ652" i="5"/>
  <c r="AJ724" i="5"/>
  <c r="AJ700" i="5"/>
  <c r="AJ676" i="5"/>
  <c r="AJ577" i="5"/>
  <c r="AJ687" i="5"/>
  <c r="AJ711" i="5"/>
  <c r="AJ663" i="5"/>
  <c r="AJ639" i="5"/>
  <c r="AJ593" i="5"/>
  <c r="AJ679" i="5"/>
  <c r="AJ655" i="5"/>
  <c r="AJ727" i="5"/>
  <c r="AJ703" i="5"/>
  <c r="AJ579" i="5"/>
  <c r="AJ665" i="5"/>
  <c r="AJ689" i="5"/>
  <c r="AJ713" i="5"/>
  <c r="AJ641" i="5"/>
  <c r="AJ578" i="5"/>
  <c r="AJ688" i="5"/>
  <c r="AJ640" i="5"/>
  <c r="AJ712" i="5"/>
  <c r="AJ664" i="5"/>
  <c r="AI582" i="5"/>
  <c r="AJ575" i="5"/>
  <c r="AJ685" i="5"/>
  <c r="AJ637" i="5"/>
  <c r="AJ709" i="5"/>
  <c r="AJ661" i="5"/>
  <c r="AJ592" i="5"/>
  <c r="AJ702" i="5"/>
  <c r="AJ678" i="5"/>
  <c r="AJ654" i="5"/>
  <c r="AJ726" i="5"/>
  <c r="AJ576" i="5"/>
  <c r="AJ686" i="5"/>
  <c r="AJ710" i="5"/>
  <c r="AJ662" i="5"/>
  <c r="AJ638" i="5"/>
  <c r="AJ580" i="5"/>
  <c r="AJ642" i="5"/>
  <c r="AJ690" i="5"/>
  <c r="AJ714" i="5"/>
  <c r="AJ666" i="5"/>
  <c r="AJ584" i="5"/>
  <c r="AJ694" i="5"/>
  <c r="AJ646" i="5"/>
  <c r="AJ670" i="5"/>
  <c r="AJ718" i="5"/>
  <c r="AJ585" i="5"/>
  <c r="AJ647" i="5"/>
  <c r="AJ695" i="5"/>
  <c r="AJ719" i="5"/>
  <c r="AJ671" i="5"/>
  <c r="AJ591" i="5"/>
  <c r="AJ677" i="5"/>
  <c r="AJ653" i="5"/>
  <c r="AJ725" i="5"/>
  <c r="AJ701" i="5"/>
  <c r="AJ586" i="5"/>
  <c r="AJ696" i="5"/>
  <c r="AJ672" i="5"/>
  <c r="AJ720" i="5"/>
  <c r="AJ648" i="5"/>
  <c r="AH619" i="5"/>
  <c r="AJ583" i="5"/>
  <c r="AJ589" i="5"/>
  <c r="AI614" i="5"/>
  <c r="AI612" i="5" s="1"/>
  <c r="AI610" i="5"/>
  <c r="AI608" i="5" s="1"/>
  <c r="AJ598" i="5"/>
  <c r="AJ600" i="5"/>
  <c r="AJ599" i="5"/>
  <c r="AI618" i="5"/>
  <c r="AI616" i="5" s="1"/>
  <c r="R769" i="5"/>
  <c r="S763" i="5" s="1"/>
  <c r="AL16" i="5"/>
  <c r="AK27" i="5"/>
  <c r="AK28" i="5"/>
  <c r="AK29" i="5"/>
  <c r="AK295" i="5" s="1"/>
  <c r="AI597" i="5"/>
  <c r="AJ25" i="5"/>
  <c r="AJ135" i="5" s="1"/>
  <c r="AJ26" i="5"/>
  <c r="AJ375" i="5" s="1"/>
  <c r="AJ24" i="5"/>
  <c r="AJ134" i="5" s="1"/>
  <c r="AK131" i="5"/>
  <c r="AD18" i="9"/>
  <c r="AH914" i="5"/>
  <c r="AH923" i="5" s="1"/>
  <c r="AH49" i="9" s="1"/>
  <c r="AF788" i="5"/>
  <c r="AF789" i="5" s="1"/>
  <c r="AG783" i="5" s="1"/>
  <c r="AF784" i="5"/>
  <c r="AK563" i="5"/>
  <c r="AK558" i="5"/>
  <c r="AK557" i="5"/>
  <c r="AK560" i="5"/>
  <c r="AK567" i="5"/>
  <c r="AK561" i="5"/>
  <c r="AK555" i="5"/>
  <c r="AK564" i="5"/>
  <c r="AK566" i="5"/>
  <c r="AK568" i="5"/>
  <c r="AK559" i="5"/>
  <c r="AK571" i="5"/>
  <c r="AK601" i="5" s="1"/>
  <c r="AK556" i="5"/>
  <c r="AK570" i="5"/>
  <c r="AK565" i="5"/>
  <c r="AK562" i="5"/>
  <c r="AL59" i="5"/>
  <c r="AK76" i="5"/>
  <c r="AK75" i="5"/>
  <c r="AK77" i="5"/>
  <c r="AE632" i="5"/>
  <c r="AE886" i="5"/>
  <c r="AE885" i="5" s="1"/>
  <c r="AE889" i="5" s="1"/>
  <c r="R741" i="5"/>
  <c r="R30" i="9" s="1"/>
  <c r="R82" i="9" s="1"/>
  <c r="R864" i="5"/>
  <c r="R738" i="5"/>
  <c r="R92" i="9" s="1"/>
  <c r="AI626" i="5"/>
  <c r="AI627" i="5" s="1"/>
  <c r="AE774" i="5"/>
  <c r="AE778" i="5"/>
  <c r="AE779" i="5" s="1"/>
  <c r="AF773" i="5" s="1"/>
  <c r="AC50" i="9"/>
  <c r="AH792" i="5"/>
  <c r="AH791" i="5" s="1"/>
  <c r="AH89" i="9" s="1"/>
  <c r="AH751" i="5"/>
  <c r="AH90" i="9" s="1"/>
  <c r="S918" i="5"/>
  <c r="S927" i="5" s="1"/>
  <c r="S899" i="5"/>
  <c r="S83" i="9" s="1"/>
  <c r="AF630" i="5"/>
  <c r="AJ442" i="5"/>
  <c r="AJ439" i="5"/>
  <c r="AJ823" i="5"/>
  <c r="AJ825" i="5" s="1"/>
  <c r="AJ440" i="5"/>
  <c r="AJ446" i="5" s="1"/>
  <c r="AJ441" i="5"/>
  <c r="AK58" i="5"/>
  <c r="AJ622" i="5"/>
  <c r="AJ74" i="5"/>
  <c r="AJ78" i="5" s="1"/>
  <c r="AJ624" i="5"/>
  <c r="AJ625" i="5"/>
  <c r="AJ114" i="5"/>
  <c r="AJ113" i="5"/>
  <c r="AJ112" i="5"/>
  <c r="S894" i="5"/>
  <c r="AJ569" i="5"/>
  <c r="AJ595" i="5" s="1"/>
  <c r="AK62" i="5"/>
  <c r="AJ623" i="5"/>
  <c r="AG21" i="5"/>
  <c r="AG122" i="5" s="1"/>
  <c r="AG22" i="5"/>
  <c r="AG123" i="5" s="1"/>
  <c r="AG631" i="5" s="1"/>
  <c r="AG23" i="5"/>
  <c r="AH423" i="5"/>
  <c r="AI423" i="5" s="1"/>
  <c r="AJ423" i="5" s="1"/>
  <c r="AI944" i="5"/>
  <c r="AI747" i="5"/>
  <c r="AH627" i="5"/>
  <c r="AJ613" i="5"/>
  <c r="AJ617" i="5"/>
  <c r="AJ609" i="5"/>
  <c r="AK61" i="5"/>
  <c r="AH25" i="5"/>
  <c r="AH135" i="5" s="1"/>
  <c r="AH24" i="5"/>
  <c r="AH134" i="5" s="1"/>
  <c r="AH26" i="5"/>
  <c r="AH375" i="5" s="1"/>
  <c r="AI24" i="5"/>
  <c r="AI134" i="5" s="1"/>
  <c r="AI25" i="5"/>
  <c r="AI135" i="5" s="1"/>
  <c r="AI26" i="5"/>
  <c r="AI375" i="5" s="1"/>
  <c r="AI115" i="5"/>
  <c r="AG59" i="9"/>
  <c r="AF125" i="5" l="1"/>
  <c r="AF887" i="5"/>
  <c r="AJ80" i="5"/>
  <c r="AF945" i="5"/>
  <c r="AF86" i="9"/>
  <c r="AF87" i="9" s="1"/>
  <c r="AH883" i="5"/>
  <c r="AH882" i="5" s="1"/>
  <c r="AG124" i="5"/>
  <c r="AG335" i="5"/>
  <c r="AH913" i="5"/>
  <c r="AH922" i="5" s="1"/>
  <c r="R93" i="9"/>
  <c r="AI136" i="5"/>
  <c r="AI137" i="5" s="1"/>
  <c r="AH136" i="5"/>
  <c r="AH137" i="5" s="1"/>
  <c r="AJ136" i="5"/>
  <c r="AJ137" i="5" s="1"/>
  <c r="Q66" i="9"/>
  <c r="Q745" i="5"/>
  <c r="Q63" i="9" s="1"/>
  <c r="Q62" i="9" s="1"/>
  <c r="AI444" i="5"/>
  <c r="AI913" i="5" s="1"/>
  <c r="AI922" i="5" s="1"/>
  <c r="AJ448" i="5"/>
  <c r="AJ447" i="5"/>
  <c r="AJ445" i="5"/>
  <c r="AH16" i="9"/>
  <c r="AJ716" i="5"/>
  <c r="AJ729" i="5" s="1"/>
  <c r="AJ722" i="5"/>
  <c r="AJ730" i="5" s="1"/>
  <c r="AJ644" i="5"/>
  <c r="AJ657" i="5" s="1"/>
  <c r="AJ650" i="5"/>
  <c r="AJ658" i="5" s="1"/>
  <c r="R743" i="5"/>
  <c r="AJ698" i="5"/>
  <c r="AJ706" i="5" s="1"/>
  <c r="AJ692" i="5"/>
  <c r="AJ705" i="5" s="1"/>
  <c r="AI914" i="5"/>
  <c r="AI923" i="5" s="1"/>
  <c r="AI49" i="9" s="1"/>
  <c r="AJ668" i="5"/>
  <c r="AJ681" i="5" s="1"/>
  <c r="AJ674" i="5"/>
  <c r="AJ682" i="5" s="1"/>
  <c r="AJ574" i="5"/>
  <c r="AK579" i="5"/>
  <c r="AK641" i="5"/>
  <c r="AK713" i="5"/>
  <c r="AK689" i="5"/>
  <c r="AK665" i="5"/>
  <c r="AK590" i="5"/>
  <c r="AK652" i="5"/>
  <c r="AK724" i="5"/>
  <c r="AK700" i="5"/>
  <c r="AK676" i="5"/>
  <c r="AK723" i="5"/>
  <c r="AK717" i="5"/>
  <c r="AK699" i="5"/>
  <c r="AK693" i="5"/>
  <c r="AK675" i="5"/>
  <c r="AK669" i="5"/>
  <c r="AK645" i="5"/>
  <c r="AK651" i="5"/>
  <c r="AK576" i="5"/>
  <c r="AK662" i="5"/>
  <c r="AK638" i="5"/>
  <c r="AK710" i="5"/>
  <c r="AK686" i="5"/>
  <c r="AK593" i="5"/>
  <c r="AK679" i="5"/>
  <c r="AK703" i="5"/>
  <c r="AK655" i="5"/>
  <c r="AK727" i="5"/>
  <c r="AK580" i="5"/>
  <c r="AK666" i="5"/>
  <c r="AK690" i="5"/>
  <c r="AK714" i="5"/>
  <c r="AK642" i="5"/>
  <c r="AK577" i="5"/>
  <c r="AK663" i="5"/>
  <c r="AK687" i="5"/>
  <c r="AK711" i="5"/>
  <c r="AK639" i="5"/>
  <c r="AJ588" i="5"/>
  <c r="AK584" i="5"/>
  <c r="AK646" i="5"/>
  <c r="AK718" i="5"/>
  <c r="AK670" i="5"/>
  <c r="AK694" i="5"/>
  <c r="AK586" i="5"/>
  <c r="AK696" i="5"/>
  <c r="AK672" i="5"/>
  <c r="AK648" i="5"/>
  <c r="AK720" i="5"/>
  <c r="AK578" i="5"/>
  <c r="AK688" i="5"/>
  <c r="AK712" i="5"/>
  <c r="AK664" i="5"/>
  <c r="AK640" i="5"/>
  <c r="AK575" i="5"/>
  <c r="AK685" i="5"/>
  <c r="AK637" i="5"/>
  <c r="AK661" i="5"/>
  <c r="AK709" i="5"/>
  <c r="AK591" i="5"/>
  <c r="AK653" i="5"/>
  <c r="AK725" i="5"/>
  <c r="AK677" i="5"/>
  <c r="AK701" i="5"/>
  <c r="AK592" i="5"/>
  <c r="AK702" i="5"/>
  <c r="AK654" i="5"/>
  <c r="AK678" i="5"/>
  <c r="AK726" i="5"/>
  <c r="AK585" i="5"/>
  <c r="AK719" i="5"/>
  <c r="AK695" i="5"/>
  <c r="AK671" i="5"/>
  <c r="AK647" i="5"/>
  <c r="AJ582" i="5"/>
  <c r="AI619" i="5"/>
  <c r="AI16" i="9" s="1"/>
  <c r="AJ618" i="5"/>
  <c r="AJ616" i="5" s="1"/>
  <c r="AJ614" i="5"/>
  <c r="AJ612" i="5" s="1"/>
  <c r="AK589" i="5"/>
  <c r="AK583" i="5"/>
  <c r="AJ610" i="5"/>
  <c r="AJ608" i="5" s="1"/>
  <c r="AK600" i="5"/>
  <c r="AK598" i="5"/>
  <c r="AK599" i="5"/>
  <c r="AI603" i="5"/>
  <c r="AI11" i="9" s="1"/>
  <c r="AH13" i="9"/>
  <c r="AH14" i="9" s="1"/>
  <c r="AK423" i="5"/>
  <c r="AJ22" i="5"/>
  <c r="AJ123" i="5" s="1"/>
  <c r="AJ631" i="5" s="1"/>
  <c r="AJ21" i="5"/>
  <c r="AJ122" i="5" s="1"/>
  <c r="AJ630" i="5" s="1"/>
  <c r="AJ23" i="5"/>
  <c r="AK24" i="5"/>
  <c r="AK134" i="5" s="1"/>
  <c r="AL131" i="5"/>
  <c r="AK25" i="5"/>
  <c r="AK135" i="5" s="1"/>
  <c r="AK26" i="5"/>
  <c r="AK375" i="5" s="1"/>
  <c r="AM16" i="5"/>
  <c r="AN16" i="5" s="1"/>
  <c r="AL27" i="5"/>
  <c r="AL28" i="5"/>
  <c r="AL29" i="5"/>
  <c r="AL295" i="5" s="1"/>
  <c r="AG788" i="5"/>
  <c r="AG789" i="5" s="1"/>
  <c r="AH783" i="5" s="1"/>
  <c r="AG784" i="5"/>
  <c r="AG630" i="5"/>
  <c r="S51" i="9"/>
  <c r="T891" i="5"/>
  <c r="AK439" i="5"/>
  <c r="AK440" i="5"/>
  <c r="AK446" i="5" s="1"/>
  <c r="AK823" i="5"/>
  <c r="AK825" i="5" s="1"/>
  <c r="AK442" i="5"/>
  <c r="AK441" i="5"/>
  <c r="AL58" i="5"/>
  <c r="AK624" i="5"/>
  <c r="AK74" i="5"/>
  <c r="AK78" i="5" s="1"/>
  <c r="AK622" i="5"/>
  <c r="AK625" i="5"/>
  <c r="AK113" i="5"/>
  <c r="AK112" i="5"/>
  <c r="AK114" i="5"/>
  <c r="AL567" i="5"/>
  <c r="AL570" i="5"/>
  <c r="AL556" i="5"/>
  <c r="AL560" i="5"/>
  <c r="AL562" i="5"/>
  <c r="AL566" i="5"/>
  <c r="AL571" i="5"/>
  <c r="AL601" i="5" s="1"/>
  <c r="AL555" i="5"/>
  <c r="AL561" i="5"/>
  <c r="AL557" i="5"/>
  <c r="AL565" i="5"/>
  <c r="AL563" i="5"/>
  <c r="AL558" i="5"/>
  <c r="AL559" i="5"/>
  <c r="AL568" i="5"/>
  <c r="AL564" i="5"/>
  <c r="AM59" i="5"/>
  <c r="AL75" i="5"/>
  <c r="AL76" i="5"/>
  <c r="AL77" i="5"/>
  <c r="AI883" i="5"/>
  <c r="AI882" i="5" s="1"/>
  <c r="S767" i="5"/>
  <c r="S764" i="5"/>
  <c r="S736" i="5" s="1"/>
  <c r="S742" i="5"/>
  <c r="S768" i="5"/>
  <c r="S739" i="5" s="1"/>
  <c r="AJ597" i="5"/>
  <c r="AK613" i="5"/>
  <c r="AK617" i="5"/>
  <c r="AK609" i="5"/>
  <c r="AL61" i="5"/>
  <c r="AI792" i="5"/>
  <c r="AI791" i="5" s="1"/>
  <c r="AI89" i="9" s="1"/>
  <c r="AI751" i="5"/>
  <c r="AI90" i="9" s="1"/>
  <c r="AH22" i="5"/>
  <c r="AH123" i="5" s="1"/>
  <c r="AH631" i="5" s="1"/>
  <c r="AH23" i="5"/>
  <c r="AH21" i="5"/>
  <c r="AH122" i="5" s="1"/>
  <c r="AI22" i="5"/>
  <c r="AI123" i="5" s="1"/>
  <c r="AI631" i="5" s="1"/>
  <c r="AI21" i="5"/>
  <c r="AI122" i="5" s="1"/>
  <c r="AI23" i="5"/>
  <c r="AJ115" i="5"/>
  <c r="AH59" i="9"/>
  <c r="AE892" i="5"/>
  <c r="AE896" i="5" s="1"/>
  <c r="AE917" i="5" s="1"/>
  <c r="AE924" i="5" s="1"/>
  <c r="AD50" i="9"/>
  <c r="AK569" i="5"/>
  <c r="AK595" i="5" s="1"/>
  <c r="AL62" i="5"/>
  <c r="AK623" i="5"/>
  <c r="AJ944" i="5"/>
  <c r="AJ747" i="5"/>
  <c r="AF632" i="5"/>
  <c r="AF886" i="5"/>
  <c r="AF885" i="5" s="1"/>
  <c r="AF889" i="5" s="1"/>
  <c r="AE18" i="9"/>
  <c r="AJ626" i="5"/>
  <c r="AJ627" i="5" s="1"/>
  <c r="AF774" i="5"/>
  <c r="AF778" i="5"/>
  <c r="AF779" i="5" s="1"/>
  <c r="AG773" i="5" s="1"/>
  <c r="AG945" i="5" l="1"/>
  <c r="AG887" i="5"/>
  <c r="AK80" i="5"/>
  <c r="AK747" i="5" s="1"/>
  <c r="AI9" i="9"/>
  <c r="AI13" i="9" s="1"/>
  <c r="AI14" i="9" s="1"/>
  <c r="AG86" i="9"/>
  <c r="AG87" i="9" s="1"/>
  <c r="AG125" i="5"/>
  <c r="AI124" i="5"/>
  <c r="AI335" i="5"/>
  <c r="AH124" i="5"/>
  <c r="AH86" i="9" s="1"/>
  <c r="AH87" i="9" s="1"/>
  <c r="AH335" i="5"/>
  <c r="AJ124" i="5"/>
  <c r="AJ335" i="5"/>
  <c r="AK136" i="5"/>
  <c r="AK137" i="5" s="1"/>
  <c r="AJ444" i="5"/>
  <c r="AJ883" i="5" s="1"/>
  <c r="AJ882" i="5" s="1"/>
  <c r="S91" i="9"/>
  <c r="R744" i="5"/>
  <c r="AK448" i="5"/>
  <c r="AK447" i="5"/>
  <c r="AK445" i="5"/>
  <c r="AK582" i="5"/>
  <c r="AK650" i="5"/>
  <c r="AK658" i="5" s="1"/>
  <c r="AK644" i="5"/>
  <c r="AK657" i="5" s="1"/>
  <c r="AK588" i="5"/>
  <c r="AK722" i="5"/>
  <c r="AK730" i="5" s="1"/>
  <c r="AK716" i="5"/>
  <c r="AK729" i="5" s="1"/>
  <c r="AK574" i="5"/>
  <c r="AK698" i="5"/>
  <c r="AK706" i="5" s="1"/>
  <c r="AK692" i="5"/>
  <c r="AK705" i="5" s="1"/>
  <c r="AK674" i="5"/>
  <c r="AK682" i="5" s="1"/>
  <c r="AK668" i="5"/>
  <c r="AK681" i="5" s="1"/>
  <c r="AL593" i="5"/>
  <c r="AL655" i="5"/>
  <c r="AL703" i="5"/>
  <c r="AL679" i="5"/>
  <c r="AL727" i="5"/>
  <c r="AL590" i="5"/>
  <c r="AL676" i="5"/>
  <c r="AL724" i="5"/>
  <c r="AL652" i="5"/>
  <c r="AL700" i="5"/>
  <c r="AL575" i="5"/>
  <c r="AL637" i="5"/>
  <c r="AL661" i="5"/>
  <c r="AL709" i="5"/>
  <c r="AL685" i="5"/>
  <c r="AL576" i="5"/>
  <c r="AL686" i="5"/>
  <c r="AL710" i="5"/>
  <c r="AL638" i="5"/>
  <c r="AL662" i="5"/>
  <c r="AJ603" i="5"/>
  <c r="AJ11" i="9" s="1"/>
  <c r="AL577" i="5"/>
  <c r="AL663" i="5"/>
  <c r="AL687" i="5"/>
  <c r="AL639" i="5"/>
  <c r="AL711" i="5"/>
  <c r="AL580" i="5"/>
  <c r="AL714" i="5"/>
  <c r="AL666" i="5"/>
  <c r="AL642" i="5"/>
  <c r="AL690" i="5"/>
  <c r="AL584" i="5"/>
  <c r="AL670" i="5"/>
  <c r="AL718" i="5"/>
  <c r="AL694" i="5"/>
  <c r="AL646" i="5"/>
  <c r="AL592" i="5"/>
  <c r="AL726" i="5"/>
  <c r="AL678" i="5"/>
  <c r="AL702" i="5"/>
  <c r="AL654" i="5"/>
  <c r="AL578" i="5"/>
  <c r="AL664" i="5"/>
  <c r="AL688" i="5"/>
  <c r="AL640" i="5"/>
  <c r="AL712" i="5"/>
  <c r="AL591" i="5"/>
  <c r="AL653" i="5"/>
  <c r="AL725" i="5"/>
  <c r="AL677" i="5"/>
  <c r="AL701" i="5"/>
  <c r="AL586" i="5"/>
  <c r="AL648" i="5"/>
  <c r="AL720" i="5"/>
  <c r="AL672" i="5"/>
  <c r="AL696" i="5"/>
  <c r="AL585" i="5"/>
  <c r="AL671" i="5"/>
  <c r="AL695" i="5"/>
  <c r="AL647" i="5"/>
  <c r="AL719" i="5"/>
  <c r="AL723" i="5"/>
  <c r="AL717" i="5"/>
  <c r="AL675" i="5"/>
  <c r="AL669" i="5"/>
  <c r="AL693" i="5"/>
  <c r="AL699" i="5"/>
  <c r="AL645" i="5"/>
  <c r="AL651" i="5"/>
  <c r="AL579" i="5"/>
  <c r="AL641" i="5"/>
  <c r="AL713" i="5"/>
  <c r="AL665" i="5"/>
  <c r="AL689" i="5"/>
  <c r="AJ619" i="5"/>
  <c r="AJ16" i="9" s="1"/>
  <c r="AK614" i="5"/>
  <c r="AK612" i="5" s="1"/>
  <c r="AL599" i="5"/>
  <c r="AL598" i="5"/>
  <c r="AL600" i="5"/>
  <c r="AK610" i="5"/>
  <c r="AK608" i="5" s="1"/>
  <c r="AK618" i="5"/>
  <c r="AK616" i="5" s="1"/>
  <c r="AL589" i="5"/>
  <c r="AL583" i="5"/>
  <c r="AN27" i="5"/>
  <c r="AN28" i="5"/>
  <c r="AN29" i="5"/>
  <c r="AJ632" i="5"/>
  <c r="AJ18" i="9" s="1"/>
  <c r="AM29" i="5"/>
  <c r="AM295" i="5" s="1"/>
  <c r="AM28" i="5"/>
  <c r="AM27" i="5"/>
  <c r="AL423" i="5"/>
  <c r="AK22" i="5"/>
  <c r="AK123" i="5" s="1"/>
  <c r="AK631" i="5" s="1"/>
  <c r="AK21" i="5"/>
  <c r="AK122" i="5" s="1"/>
  <c r="AK23" i="5"/>
  <c r="AL26" i="5"/>
  <c r="AL375" i="5" s="1"/>
  <c r="AM131" i="5"/>
  <c r="AN131" i="5" s="1"/>
  <c r="AL25" i="5"/>
  <c r="AL135" i="5" s="1"/>
  <c r="AL24" i="5"/>
  <c r="AL134" i="5" s="1"/>
  <c r="AH788" i="5"/>
  <c r="AH789" i="5" s="1"/>
  <c r="AI783" i="5" s="1"/>
  <c r="AH784" i="5"/>
  <c r="S864" i="5"/>
  <c r="S738" i="5"/>
  <c r="S92" i="9" s="1"/>
  <c r="S741" i="5"/>
  <c r="S30" i="9" s="1"/>
  <c r="S82" i="9" s="1"/>
  <c r="AM560" i="5"/>
  <c r="AM566" i="5"/>
  <c r="AM557" i="5"/>
  <c r="AM558" i="5"/>
  <c r="AM555" i="5"/>
  <c r="AM563" i="5"/>
  <c r="AM562" i="5"/>
  <c r="AM559" i="5"/>
  <c r="AM571" i="5"/>
  <c r="AM601" i="5" s="1"/>
  <c r="AM570" i="5"/>
  <c r="AM564" i="5"/>
  <c r="AM568" i="5"/>
  <c r="AM567" i="5"/>
  <c r="AM561" i="5"/>
  <c r="AM565" i="5"/>
  <c r="AM556" i="5"/>
  <c r="AN59" i="5"/>
  <c r="AM75" i="5"/>
  <c r="AM77" i="5"/>
  <c r="AM76" i="5"/>
  <c r="AK115" i="5"/>
  <c r="AK944" i="5"/>
  <c r="T893" i="5"/>
  <c r="T897" i="5" s="1"/>
  <c r="AJ886" i="5"/>
  <c r="AG774" i="5"/>
  <c r="AG778" i="5"/>
  <c r="AG779" i="5" s="1"/>
  <c r="AH773" i="5" s="1"/>
  <c r="AL569" i="5"/>
  <c r="AL595" i="5" s="1"/>
  <c r="AM62" i="5"/>
  <c r="AL623" i="5"/>
  <c r="AI630" i="5"/>
  <c r="AE50" i="9"/>
  <c r="AK597" i="5"/>
  <c r="AF892" i="5"/>
  <c r="AF896" i="5" s="1"/>
  <c r="AF917" i="5" s="1"/>
  <c r="AF924" i="5" s="1"/>
  <c r="AJ792" i="5"/>
  <c r="AJ791" i="5" s="1"/>
  <c r="AJ89" i="9" s="1"/>
  <c r="AJ751" i="5"/>
  <c r="AJ90" i="9" s="1"/>
  <c r="AJ914" i="5"/>
  <c r="AJ923" i="5" s="1"/>
  <c r="AJ49" i="9" s="1"/>
  <c r="AH630" i="5"/>
  <c r="AH632" i="5" s="1"/>
  <c r="S769" i="5"/>
  <c r="AL442" i="5"/>
  <c r="AL439" i="5"/>
  <c r="AL440" i="5"/>
  <c r="AL446" i="5" s="1"/>
  <c r="AL441" i="5"/>
  <c r="AL823" i="5"/>
  <c r="AL825" i="5" s="1"/>
  <c r="AM58" i="5"/>
  <c r="AL74" i="5"/>
  <c r="AL78" i="5" s="1"/>
  <c r="AL625" i="5"/>
  <c r="AL624" i="5"/>
  <c r="AL622" i="5"/>
  <c r="AL112" i="5"/>
  <c r="AL114" i="5"/>
  <c r="AL113" i="5"/>
  <c r="AG632" i="5"/>
  <c r="AG886" i="5"/>
  <c r="AG885" i="5" s="1"/>
  <c r="AG889" i="5" s="1"/>
  <c r="AF18" i="9"/>
  <c r="AI59" i="9"/>
  <c r="AL609" i="5"/>
  <c r="AL613" i="5"/>
  <c r="AL617" i="5"/>
  <c r="AM61" i="5"/>
  <c r="AK626" i="5"/>
  <c r="AK627" i="5" s="1"/>
  <c r="AJ945" i="5" l="1"/>
  <c r="AJ887" i="5"/>
  <c r="AH125" i="5"/>
  <c r="AH887" i="5"/>
  <c r="AI125" i="5"/>
  <c r="AI887" i="5"/>
  <c r="AL80" i="5"/>
  <c r="AL747" i="5" s="1"/>
  <c r="AH945" i="5"/>
  <c r="AJ86" i="9"/>
  <c r="AJ87" i="9" s="1"/>
  <c r="AJ885" i="5"/>
  <c r="AJ889" i="5" s="1"/>
  <c r="AI945" i="5"/>
  <c r="AI86" i="9"/>
  <c r="AI87" i="9" s="1"/>
  <c r="AJ125" i="5"/>
  <c r="AJ9" i="9"/>
  <c r="AJ13" i="9" s="1"/>
  <c r="AJ14" i="9" s="1"/>
  <c r="AJ913" i="5"/>
  <c r="AJ922" i="5" s="1"/>
  <c r="AK124" i="5"/>
  <c r="AK335" i="5"/>
  <c r="AN295" i="5"/>
  <c r="W295" i="5"/>
  <c r="AK444" i="5"/>
  <c r="AK883" i="5" s="1"/>
  <c r="AK882" i="5" s="1"/>
  <c r="S93" i="9"/>
  <c r="AL136" i="5"/>
  <c r="AL137" i="5" s="1"/>
  <c r="R745" i="5"/>
  <c r="R63" i="9" s="1"/>
  <c r="R62" i="9" s="1"/>
  <c r="R66" i="9"/>
  <c r="AL448" i="5"/>
  <c r="AL447" i="5"/>
  <c r="AL445" i="5"/>
  <c r="AK603" i="5"/>
  <c r="AK11" i="9" s="1"/>
  <c r="AL574" i="5"/>
  <c r="AL722" i="5"/>
  <c r="AL730" i="5" s="1"/>
  <c r="AL716" i="5"/>
  <c r="AL729" i="5" s="1"/>
  <c r="AL644" i="5"/>
  <c r="AL657" i="5" s="1"/>
  <c r="AL650" i="5"/>
  <c r="AL658" i="5" s="1"/>
  <c r="AL674" i="5"/>
  <c r="AL682" i="5" s="1"/>
  <c r="AL668" i="5"/>
  <c r="AL681" i="5" s="1"/>
  <c r="AK914" i="5"/>
  <c r="AK923" i="5" s="1"/>
  <c r="AK49" i="9" s="1"/>
  <c r="AL698" i="5"/>
  <c r="AL706" i="5" s="1"/>
  <c r="AL692" i="5"/>
  <c r="AL705" i="5" s="1"/>
  <c r="AM586" i="5"/>
  <c r="AM672" i="5"/>
  <c r="AM720" i="5"/>
  <c r="AM696" i="5"/>
  <c r="AM648" i="5"/>
  <c r="AM584" i="5"/>
  <c r="AM718" i="5"/>
  <c r="AM646" i="5"/>
  <c r="AM694" i="5"/>
  <c r="AM670" i="5"/>
  <c r="AM576" i="5"/>
  <c r="AM710" i="5"/>
  <c r="AM638" i="5"/>
  <c r="AM662" i="5"/>
  <c r="AM686" i="5"/>
  <c r="AM591" i="5"/>
  <c r="AM677" i="5"/>
  <c r="AM725" i="5"/>
  <c r="AM701" i="5"/>
  <c r="AM653" i="5"/>
  <c r="AL582" i="5"/>
  <c r="AM592" i="5"/>
  <c r="AM702" i="5"/>
  <c r="AM726" i="5"/>
  <c r="AM678" i="5"/>
  <c r="AM654" i="5"/>
  <c r="AM723" i="5"/>
  <c r="AM717" i="5"/>
  <c r="AM651" i="5"/>
  <c r="AM693" i="5"/>
  <c r="AM675" i="5"/>
  <c r="AM669" i="5"/>
  <c r="AM699" i="5"/>
  <c r="AM645" i="5"/>
  <c r="AM579" i="5"/>
  <c r="AM665" i="5"/>
  <c r="AM713" i="5"/>
  <c r="AM641" i="5"/>
  <c r="AM689" i="5"/>
  <c r="AL588" i="5"/>
  <c r="AM590" i="5"/>
  <c r="AM652" i="5"/>
  <c r="AM700" i="5"/>
  <c r="AM676" i="5"/>
  <c r="AM724" i="5"/>
  <c r="AM580" i="5"/>
  <c r="AM690" i="5"/>
  <c r="AM714" i="5"/>
  <c r="AM666" i="5"/>
  <c r="AM642" i="5"/>
  <c r="AM585" i="5"/>
  <c r="AM719" i="5"/>
  <c r="AM695" i="5"/>
  <c r="AM647" i="5"/>
  <c r="AM671" i="5"/>
  <c r="AM575" i="5"/>
  <c r="AM637" i="5"/>
  <c r="AM685" i="5"/>
  <c r="AM661" i="5"/>
  <c r="AM709" i="5"/>
  <c r="AM593" i="5"/>
  <c r="AM655" i="5"/>
  <c r="AM679" i="5"/>
  <c r="AM703" i="5"/>
  <c r="AM727" i="5"/>
  <c r="AM578" i="5"/>
  <c r="AM712" i="5"/>
  <c r="AM688" i="5"/>
  <c r="AM640" i="5"/>
  <c r="AM664" i="5"/>
  <c r="AM577" i="5"/>
  <c r="AM663" i="5"/>
  <c r="AM687" i="5"/>
  <c r="AM711" i="5"/>
  <c r="AM639" i="5"/>
  <c r="AK619" i="5"/>
  <c r="AK16" i="9" s="1"/>
  <c r="AL610" i="5"/>
  <c r="AL608" i="5" s="1"/>
  <c r="AL614" i="5"/>
  <c r="AL612" i="5" s="1"/>
  <c r="AM589" i="5"/>
  <c r="AM583" i="5"/>
  <c r="AL618" i="5"/>
  <c r="AL616" i="5" s="1"/>
  <c r="AM598" i="5"/>
  <c r="AM599" i="5"/>
  <c r="AM600" i="5"/>
  <c r="AK630" i="5"/>
  <c r="AK632" i="5" s="1"/>
  <c r="AK18" i="9" s="1"/>
  <c r="AM26" i="5"/>
  <c r="AM375" i="5" s="1"/>
  <c r="AM24" i="5"/>
  <c r="AM134" i="5" s="1"/>
  <c r="AM25" i="5"/>
  <c r="AM135" i="5" s="1"/>
  <c r="AN24" i="5"/>
  <c r="AN134" i="5" s="1"/>
  <c r="AN26" i="5"/>
  <c r="Y375" i="5" s="1"/>
  <c r="AN25" i="5"/>
  <c r="AN135" i="5" s="1"/>
  <c r="AM423" i="5"/>
  <c r="AN423" i="5" s="1"/>
  <c r="AL21" i="5"/>
  <c r="AL122" i="5" s="1"/>
  <c r="AL23" i="5"/>
  <c r="AL22" i="5"/>
  <c r="AL123" i="5" s="1"/>
  <c r="AL631" i="5" s="1"/>
  <c r="AL597" i="5"/>
  <c r="AM613" i="5"/>
  <c r="AM609" i="5"/>
  <c r="AM617" i="5"/>
  <c r="AN61" i="5"/>
  <c r="AH18" i="9"/>
  <c r="AF50" i="9"/>
  <c r="AL626" i="5"/>
  <c r="AL627" i="5" s="1"/>
  <c r="AH774" i="5"/>
  <c r="AH778" i="5"/>
  <c r="AH779" i="5" s="1"/>
  <c r="AI773" i="5" s="1"/>
  <c r="T918" i="5"/>
  <c r="T927" i="5" s="1"/>
  <c r="T899" i="5"/>
  <c r="T83" i="9" s="1"/>
  <c r="AN565" i="5"/>
  <c r="AN568" i="5"/>
  <c r="AN561" i="5"/>
  <c r="AN555" i="5"/>
  <c r="AN570" i="5"/>
  <c r="AN562" i="5"/>
  <c r="AN558" i="5"/>
  <c r="AN557" i="5"/>
  <c r="AN567" i="5"/>
  <c r="AN560" i="5"/>
  <c r="AN566" i="5"/>
  <c r="AN556" i="5"/>
  <c r="AN564" i="5"/>
  <c r="AN559" i="5"/>
  <c r="AN563" i="5"/>
  <c r="AN571" i="5"/>
  <c r="AN76" i="5"/>
  <c r="I76" i="5" s="1"/>
  <c r="AN77" i="5"/>
  <c r="I77" i="5" s="1"/>
  <c r="AN75" i="5"/>
  <c r="I75" i="5" s="1"/>
  <c r="AH886" i="5"/>
  <c r="AH885" i="5" s="1"/>
  <c r="AH889" i="5" s="1"/>
  <c r="AG892" i="5"/>
  <c r="AG896" i="5" s="1"/>
  <c r="AG917" i="5" s="1"/>
  <c r="AG924" i="5" s="1"/>
  <c r="AL115" i="5"/>
  <c r="AL944" i="5"/>
  <c r="AI632" i="5"/>
  <c r="AI886" i="5"/>
  <c r="AM569" i="5"/>
  <c r="AM595" i="5" s="1"/>
  <c r="AM623" i="5"/>
  <c r="AN62" i="5"/>
  <c r="AK792" i="5"/>
  <c r="AK791" i="5" s="1"/>
  <c r="AK89" i="9" s="1"/>
  <c r="AK751" i="5"/>
  <c r="AK90" i="9" s="1"/>
  <c r="AI788" i="5"/>
  <c r="AI789" i="5" s="1"/>
  <c r="AJ783" i="5" s="1"/>
  <c r="AI784" i="5"/>
  <c r="AK913" i="5"/>
  <c r="AK922" i="5" s="1"/>
  <c r="AG18" i="9"/>
  <c r="AM823" i="5"/>
  <c r="AM825" i="5" s="1"/>
  <c r="AM439" i="5"/>
  <c r="AM440" i="5"/>
  <c r="AM446" i="5" s="1"/>
  <c r="AM442" i="5"/>
  <c r="AM441" i="5"/>
  <c r="AM622" i="5"/>
  <c r="AN58" i="5"/>
  <c r="AM74" i="5"/>
  <c r="AM78" i="5" s="1"/>
  <c r="AM624" i="5"/>
  <c r="AM625" i="5"/>
  <c r="AM113" i="5"/>
  <c r="AM114" i="5"/>
  <c r="AM112" i="5"/>
  <c r="S743" i="5"/>
  <c r="T763" i="5"/>
  <c r="AJ59" i="9"/>
  <c r="T894" i="5"/>
  <c r="AM80" i="5" l="1"/>
  <c r="AK945" i="5"/>
  <c r="AK887" i="5"/>
  <c r="AI885" i="5"/>
  <c r="AI889" i="5" s="1"/>
  <c r="AI892" i="5" s="1"/>
  <c r="AI896" i="5" s="1"/>
  <c r="AI917" i="5" s="1"/>
  <c r="AI924" i="5" s="1"/>
  <c r="AI50" i="9" s="1"/>
  <c r="AK9" i="9"/>
  <c r="AK13" i="9" s="1"/>
  <c r="AK14" i="9" s="1"/>
  <c r="AK86" i="9"/>
  <c r="AK87" i="9" s="1"/>
  <c r="AK125" i="5"/>
  <c r="J297" i="5" a="1"/>
  <c r="J297" i="5" s="1"/>
  <c r="AN375" i="5"/>
  <c r="X375" i="5"/>
  <c r="J377" i="5" s="1" a="1"/>
  <c r="AL124" i="5"/>
  <c r="AL335" i="5"/>
  <c r="AN136" i="5"/>
  <c r="AN137" i="5" s="1"/>
  <c r="AM136" i="5"/>
  <c r="I377" i="5" s="1" a="1"/>
  <c r="I377" i="5" s="1"/>
  <c r="AL444" i="5"/>
  <c r="AL883" i="5" s="1"/>
  <c r="AL882" i="5" s="1"/>
  <c r="AM448" i="5"/>
  <c r="AM447" i="5"/>
  <c r="AM445" i="5"/>
  <c r="AM674" i="5"/>
  <c r="AM682" i="5" s="1"/>
  <c r="AM668" i="5"/>
  <c r="AM681" i="5" s="1"/>
  <c r="AM698" i="5"/>
  <c r="AM706" i="5" s="1"/>
  <c r="AM692" i="5"/>
  <c r="AM705" i="5" s="1"/>
  <c r="AM650" i="5"/>
  <c r="AM658" i="5" s="1"/>
  <c r="AM644" i="5"/>
  <c r="AM657" i="5" s="1"/>
  <c r="AM588" i="5"/>
  <c r="AM716" i="5"/>
  <c r="AM729" i="5" s="1"/>
  <c r="AM722" i="5"/>
  <c r="AM730" i="5" s="1"/>
  <c r="AM574" i="5"/>
  <c r="AN640" i="5"/>
  <c r="AN712" i="5"/>
  <c r="AN688" i="5"/>
  <c r="AN664" i="5"/>
  <c r="AN575" i="5"/>
  <c r="I575" i="5" s="1"/>
  <c r="AN661" i="5"/>
  <c r="AN685" i="5"/>
  <c r="AN637" i="5"/>
  <c r="AN709" i="5"/>
  <c r="AN662" i="5"/>
  <c r="AN638" i="5"/>
  <c r="AN686" i="5"/>
  <c r="AN710" i="5"/>
  <c r="AN723" i="5"/>
  <c r="AN699" i="5"/>
  <c r="AN717" i="5"/>
  <c r="AN693" i="5"/>
  <c r="AN651" i="5"/>
  <c r="AN645" i="5"/>
  <c r="AN675" i="5"/>
  <c r="AN669" i="5"/>
  <c r="AN689" i="5"/>
  <c r="AN641" i="5"/>
  <c r="AN665" i="5"/>
  <c r="AN713" i="5"/>
  <c r="AN646" i="5"/>
  <c r="AN670" i="5"/>
  <c r="AN718" i="5"/>
  <c r="AN694" i="5"/>
  <c r="AN679" i="5"/>
  <c r="AN655" i="5"/>
  <c r="AN703" i="5"/>
  <c r="AN727" i="5"/>
  <c r="AN672" i="5"/>
  <c r="AN696" i="5"/>
  <c r="AN720" i="5"/>
  <c r="AN648" i="5"/>
  <c r="AN678" i="5"/>
  <c r="AN654" i="5"/>
  <c r="AN726" i="5"/>
  <c r="AN702" i="5"/>
  <c r="AN700" i="5"/>
  <c r="AN724" i="5"/>
  <c r="AN652" i="5"/>
  <c r="AN676" i="5"/>
  <c r="AL603" i="5"/>
  <c r="AL11" i="9" s="1"/>
  <c r="AN647" i="5"/>
  <c r="AN719" i="5"/>
  <c r="AN671" i="5"/>
  <c r="AN695" i="5"/>
  <c r="AN725" i="5"/>
  <c r="AN677" i="5"/>
  <c r="AN701" i="5"/>
  <c r="AN653" i="5"/>
  <c r="AN663" i="5"/>
  <c r="AN711" i="5"/>
  <c r="AN687" i="5"/>
  <c r="AN639" i="5"/>
  <c r="AN642" i="5"/>
  <c r="AN690" i="5"/>
  <c r="AN714" i="5"/>
  <c r="AN666" i="5"/>
  <c r="AM582" i="5"/>
  <c r="AK886" i="5"/>
  <c r="AK885" i="5" s="1"/>
  <c r="AK889" i="5" s="1"/>
  <c r="AK892" i="5" s="1"/>
  <c r="AK896" i="5" s="1"/>
  <c r="AK917" i="5" s="1"/>
  <c r="AK924" i="5" s="1"/>
  <c r="AK50" i="9" s="1"/>
  <c r="M86" i="5"/>
  <c r="M102" i="5" s="1"/>
  <c r="N86" i="5"/>
  <c r="N102" i="5" s="1"/>
  <c r="AL619" i="5"/>
  <c r="AL16" i="9" s="1"/>
  <c r="AN592" i="5"/>
  <c r="I592" i="5" s="1"/>
  <c r="AN601" i="5"/>
  <c r="I601" i="5" s="1"/>
  <c r="AN576" i="5"/>
  <c r="I576" i="5" s="1"/>
  <c r="AN583" i="5"/>
  <c r="AN589" i="5"/>
  <c r="AM618" i="5"/>
  <c r="AM616" i="5" s="1"/>
  <c r="AN585" i="5"/>
  <c r="I585" i="5" s="1"/>
  <c r="AN591" i="5"/>
  <c r="I591" i="5" s="1"/>
  <c r="AN577" i="5"/>
  <c r="I577" i="5" s="1"/>
  <c r="AN580" i="5"/>
  <c r="I580" i="5" s="1"/>
  <c r="AM610" i="5"/>
  <c r="AM608" i="5" s="1"/>
  <c r="AN579" i="5"/>
  <c r="I579" i="5" s="1"/>
  <c r="AM614" i="5"/>
  <c r="AM612" i="5" s="1"/>
  <c r="AN578" i="5"/>
  <c r="I578" i="5" s="1"/>
  <c r="AN584" i="5"/>
  <c r="I584" i="5" s="1"/>
  <c r="AN593" i="5"/>
  <c r="I593" i="5" s="1"/>
  <c r="AN590" i="5"/>
  <c r="I590" i="5" s="1"/>
  <c r="AN586" i="5"/>
  <c r="I586" i="5" s="1"/>
  <c r="AN599" i="5"/>
  <c r="I599" i="5" s="1"/>
  <c r="AN600" i="5"/>
  <c r="I600" i="5" s="1"/>
  <c r="AN598" i="5"/>
  <c r="I598" i="5" s="1"/>
  <c r="AL914" i="5"/>
  <c r="AL923" i="5" s="1"/>
  <c r="AL49" i="9" s="1"/>
  <c r="AM22" i="5"/>
  <c r="AM123" i="5" s="1"/>
  <c r="AM631" i="5" s="1"/>
  <c r="AM21" i="5"/>
  <c r="AM122" i="5" s="1"/>
  <c r="AM630" i="5" s="1"/>
  <c r="AM632" i="5" s="1"/>
  <c r="AM18" i="9" s="1"/>
  <c r="AM23" i="5"/>
  <c r="AM124" i="5" s="1"/>
  <c r="AM887" i="5" s="1"/>
  <c r="AN23" i="5"/>
  <c r="AN22" i="5"/>
  <c r="AN123" i="5" s="1"/>
  <c r="AN21" i="5"/>
  <c r="AN122" i="5" s="1"/>
  <c r="AL630" i="5"/>
  <c r="AL632" i="5" s="1"/>
  <c r="AL18" i="9" s="1"/>
  <c r="AJ784" i="5"/>
  <c r="AJ788" i="5"/>
  <c r="AJ789" i="5" s="1"/>
  <c r="AK783" i="5" s="1"/>
  <c r="AK784" i="5" s="1"/>
  <c r="U891" i="5"/>
  <c r="U893" i="5" s="1"/>
  <c r="U897" i="5" s="1"/>
  <c r="T51" i="9"/>
  <c r="AM944" i="5"/>
  <c r="AM747" i="5"/>
  <c r="AM792" i="5" s="1"/>
  <c r="AM791" i="5" s="1"/>
  <c r="AM89" i="9" s="1"/>
  <c r="AG50" i="9"/>
  <c r="M87" i="5"/>
  <c r="M103" i="5" s="1"/>
  <c r="T87" i="5"/>
  <c r="T103" i="5" s="1"/>
  <c r="S87" i="5"/>
  <c r="S103" i="5" s="1"/>
  <c r="AG87" i="5"/>
  <c r="AG103" i="5" s="1"/>
  <c r="X87" i="5"/>
  <c r="X103" i="5" s="1"/>
  <c r="AI87" i="5"/>
  <c r="AI103" i="5" s="1"/>
  <c r="L87" i="5"/>
  <c r="L103" i="5" s="1"/>
  <c r="AE87" i="5"/>
  <c r="AE103" i="5" s="1"/>
  <c r="V87" i="5"/>
  <c r="V103" i="5" s="1"/>
  <c r="AB87" i="5"/>
  <c r="AB103" i="5" s="1"/>
  <c r="O87" i="5"/>
  <c r="O103" i="5" s="1"/>
  <c r="AL87" i="5"/>
  <c r="AL103" i="5" s="1"/>
  <c r="Z87" i="5"/>
  <c r="Z103" i="5" s="1"/>
  <c r="Q87" i="5"/>
  <c r="Q103" i="5" s="1"/>
  <c r="N87" i="5"/>
  <c r="N103" i="5" s="1"/>
  <c r="R87" i="5"/>
  <c r="R103" i="5" s="1"/>
  <c r="AH87" i="5"/>
  <c r="AH103" i="5" s="1"/>
  <c r="AF87" i="5"/>
  <c r="AF103" i="5" s="1"/>
  <c r="Y87" i="5"/>
  <c r="Y103" i="5" s="1"/>
  <c r="W87" i="5"/>
  <c r="W103" i="5" s="1"/>
  <c r="AD87" i="5"/>
  <c r="AD103" i="5" s="1"/>
  <c r="P87" i="5"/>
  <c r="P103" i="5" s="1"/>
  <c r="AN87" i="5"/>
  <c r="AN103" i="5" s="1"/>
  <c r="AC87" i="5"/>
  <c r="AC103" i="5" s="1"/>
  <c r="U87" i="5"/>
  <c r="U103" i="5" s="1"/>
  <c r="AA87" i="5"/>
  <c r="AA103" i="5" s="1"/>
  <c r="AM87" i="5"/>
  <c r="AM103" i="5" s="1"/>
  <c r="AK87" i="5"/>
  <c r="AK103" i="5" s="1"/>
  <c r="AJ87" i="5"/>
  <c r="AJ103" i="5" s="1"/>
  <c r="AI774" i="5"/>
  <c r="AI778" i="5"/>
  <c r="AI779" i="5" s="1"/>
  <c r="AJ773" i="5" s="1"/>
  <c r="AJ774" i="5" s="1"/>
  <c r="AN439" i="5"/>
  <c r="AN445" i="5" s="1"/>
  <c r="AN823" i="5"/>
  <c r="AN825" i="5" s="1"/>
  <c r="I825" i="5" s="1"/>
  <c r="AN441" i="5"/>
  <c r="AN447" i="5" s="1"/>
  <c r="I447" i="5" s="1"/>
  <c r="AN440" i="5"/>
  <c r="AN446" i="5" s="1"/>
  <c r="I446" i="5" s="1"/>
  <c r="AN442" i="5"/>
  <c r="AN448" i="5" s="1"/>
  <c r="I448" i="5" s="1"/>
  <c r="AN625" i="5"/>
  <c r="AN624" i="5"/>
  <c r="AN74" i="5"/>
  <c r="I74" i="5" s="1"/>
  <c r="AN622" i="5"/>
  <c r="AN114" i="5"/>
  <c r="AN113" i="5"/>
  <c r="AN112" i="5"/>
  <c r="AL792" i="5"/>
  <c r="AL791" i="5" s="1"/>
  <c r="AL89" i="9" s="1"/>
  <c r="AL751" i="5"/>
  <c r="AL90" i="9" s="1"/>
  <c r="AH892" i="5"/>
  <c r="AH896" i="5" s="1"/>
  <c r="AH917" i="5" s="1"/>
  <c r="AH924" i="5" s="1"/>
  <c r="AH50" i="9" s="1"/>
  <c r="AM597" i="5"/>
  <c r="AN569" i="5"/>
  <c r="AN595" i="5" s="1"/>
  <c r="I595" i="5" s="1"/>
  <c r="AN623" i="5"/>
  <c r="AI18" i="9"/>
  <c r="T86" i="5"/>
  <c r="T102" i="5" s="1"/>
  <c r="U86" i="5"/>
  <c r="U102" i="5" s="1"/>
  <c r="AB86" i="5"/>
  <c r="AB102" i="5" s="1"/>
  <c r="L86" i="5"/>
  <c r="L102" i="5" s="1"/>
  <c r="AI86" i="5"/>
  <c r="AI102" i="5" s="1"/>
  <c r="AN86" i="5"/>
  <c r="AN102" i="5" s="1"/>
  <c r="Z86" i="5"/>
  <c r="Z102" i="5" s="1"/>
  <c r="S86" i="5"/>
  <c r="S102" i="5" s="1"/>
  <c r="AF86" i="5"/>
  <c r="AF102" i="5" s="1"/>
  <c r="R86" i="5"/>
  <c r="R102" i="5" s="1"/>
  <c r="AL86" i="5"/>
  <c r="AL102" i="5" s="1"/>
  <c r="AM86" i="5"/>
  <c r="AM102" i="5" s="1"/>
  <c r="Q86" i="5"/>
  <c r="Q102" i="5" s="1"/>
  <c r="AC86" i="5"/>
  <c r="AC102" i="5" s="1"/>
  <c r="AK86" i="5"/>
  <c r="AK102" i="5" s="1"/>
  <c r="O86" i="5"/>
  <c r="O102" i="5" s="1"/>
  <c r="V86" i="5"/>
  <c r="V102" i="5" s="1"/>
  <c r="P86" i="5"/>
  <c r="P102" i="5" s="1"/>
  <c r="W86" i="5"/>
  <c r="W102" i="5" s="1"/>
  <c r="X86" i="5"/>
  <c r="X102" i="5" s="1"/>
  <c r="AG86" i="5"/>
  <c r="AG102" i="5" s="1"/>
  <c r="AE86" i="5"/>
  <c r="AE102" i="5" s="1"/>
  <c r="AA86" i="5"/>
  <c r="AA102" i="5" s="1"/>
  <c r="AH86" i="5"/>
  <c r="AH102" i="5" s="1"/>
  <c r="AD86" i="5"/>
  <c r="AD102" i="5" s="1"/>
  <c r="AJ86" i="5"/>
  <c r="AJ102" i="5" s="1"/>
  <c r="Y86" i="5"/>
  <c r="Y102" i="5" s="1"/>
  <c r="AK59" i="9"/>
  <c r="T767" i="5"/>
  <c r="T764" i="5"/>
  <c r="T736" i="5" s="1"/>
  <c r="T738" i="5" s="1"/>
  <c r="T92" i="9" s="1"/>
  <c r="T742" i="5"/>
  <c r="T768" i="5"/>
  <c r="T739" i="5" s="1"/>
  <c r="T91" i="9" s="1"/>
  <c r="AJ892" i="5"/>
  <c r="AJ896" i="5" s="1"/>
  <c r="AJ917" i="5" s="1"/>
  <c r="AJ924" i="5" s="1"/>
  <c r="AJ50" i="9" s="1"/>
  <c r="AM115" i="5"/>
  <c r="AM626" i="5"/>
  <c r="AM627" i="5" s="1"/>
  <c r="AJ88" i="5"/>
  <c r="AJ104" i="5" s="1"/>
  <c r="X88" i="5"/>
  <c r="X104" i="5" s="1"/>
  <c r="W88" i="5"/>
  <c r="W104" i="5" s="1"/>
  <c r="AB88" i="5"/>
  <c r="AB104" i="5" s="1"/>
  <c r="Z88" i="5"/>
  <c r="Z104" i="5" s="1"/>
  <c r="Q88" i="5"/>
  <c r="Q104" i="5" s="1"/>
  <c r="AA88" i="5"/>
  <c r="AA104" i="5" s="1"/>
  <c r="AG88" i="5"/>
  <c r="AG104" i="5" s="1"/>
  <c r="AM88" i="5"/>
  <c r="AM104" i="5" s="1"/>
  <c r="V88" i="5"/>
  <c r="V104" i="5" s="1"/>
  <c r="AF88" i="5"/>
  <c r="AF104" i="5" s="1"/>
  <c r="AH88" i="5"/>
  <c r="AH104" i="5" s="1"/>
  <c r="AN88" i="5"/>
  <c r="AN104" i="5" s="1"/>
  <c r="P88" i="5"/>
  <c r="P104" i="5" s="1"/>
  <c r="AD88" i="5"/>
  <c r="AD104" i="5" s="1"/>
  <c r="R88" i="5"/>
  <c r="R104" i="5" s="1"/>
  <c r="T88" i="5"/>
  <c r="T104" i="5" s="1"/>
  <c r="M88" i="5"/>
  <c r="M104" i="5" s="1"/>
  <c r="AL88" i="5"/>
  <c r="AL104" i="5" s="1"/>
  <c r="U88" i="5"/>
  <c r="U104" i="5" s="1"/>
  <c r="AK88" i="5"/>
  <c r="AK104" i="5" s="1"/>
  <c r="AC88" i="5"/>
  <c r="AC104" i="5" s="1"/>
  <c r="Y88" i="5"/>
  <c r="Y104" i="5" s="1"/>
  <c r="O88" i="5"/>
  <c r="O104" i="5" s="1"/>
  <c r="AI88" i="5"/>
  <c r="AI104" i="5" s="1"/>
  <c r="S88" i="5"/>
  <c r="S104" i="5" s="1"/>
  <c r="AE88" i="5"/>
  <c r="AE104" i="5" s="1"/>
  <c r="N88" i="5"/>
  <c r="N104" i="5" s="1"/>
  <c r="L88" i="5"/>
  <c r="L104" i="5" s="1"/>
  <c r="AN617" i="5"/>
  <c r="AN618" i="5" s="1"/>
  <c r="AN616" i="5" s="1"/>
  <c r="AN613" i="5"/>
  <c r="AN614" i="5" s="1"/>
  <c r="AN612" i="5" s="1"/>
  <c r="AN609" i="5"/>
  <c r="AN610" i="5" s="1"/>
  <c r="AN608" i="5" s="1"/>
  <c r="AL9" i="9"/>
  <c r="AL913" i="5"/>
  <c r="AL922" i="5" s="1"/>
  <c r="AM444" i="5"/>
  <c r="AM883" i="5" s="1"/>
  <c r="AM882" i="5" s="1"/>
  <c r="AL886" i="5"/>
  <c r="I297" i="5" a="1"/>
  <c r="I583" i="5"/>
  <c r="I589" i="5"/>
  <c r="AN124" i="5" l="1"/>
  <c r="Z335" i="5"/>
  <c r="AN630" i="5"/>
  <c r="AM751" i="5"/>
  <c r="AM90" i="9" s="1"/>
  <c r="I445" i="5"/>
  <c r="AK788" i="5"/>
  <c r="AK789" i="5" s="1"/>
  <c r="AL783" i="5" s="1"/>
  <c r="T864" i="5"/>
  <c r="AN626" i="5"/>
  <c r="AN627" i="5" s="1"/>
  <c r="AJ778" i="5"/>
  <c r="AJ779" i="5" s="1"/>
  <c r="AK773" i="5" s="1"/>
  <c r="AK774" i="5" s="1"/>
  <c r="AN631" i="5"/>
  <c r="AN632" i="5" s="1"/>
  <c r="AN18" i="9" s="1"/>
  <c r="K18" i="9" s="1"/>
  <c r="AL945" i="5"/>
  <c r="AL887" i="5"/>
  <c r="AL885" i="5" s="1"/>
  <c r="AL889" i="5" s="1"/>
  <c r="AL892" i="5" s="1"/>
  <c r="AL896" i="5" s="1"/>
  <c r="AL917" i="5" s="1"/>
  <c r="AL924" i="5" s="1"/>
  <c r="AL50" i="9" s="1"/>
  <c r="AL59" i="9"/>
  <c r="AM59" i="9" s="1"/>
  <c r="AM603" i="5"/>
  <c r="AM11" i="9" s="1"/>
  <c r="S744" i="5"/>
  <c r="S745" i="5" s="1"/>
  <c r="S63" i="9" s="1"/>
  <c r="S62" i="9" s="1"/>
  <c r="AM619" i="5"/>
  <c r="AM16" i="9" s="1"/>
  <c r="T741" i="5"/>
  <c r="T30" i="9" s="1"/>
  <c r="T82" i="9" s="1"/>
  <c r="AN722" i="5"/>
  <c r="AN730" i="5" s="1"/>
  <c r="I103" i="5"/>
  <c r="N146" i="5" s="1"/>
  <c r="I146" i="5" s="1"/>
  <c r="AN644" i="5"/>
  <c r="AN657" i="5" s="1"/>
  <c r="AL13" i="9"/>
  <c r="AL14" i="9" s="1"/>
  <c r="AN125" i="5"/>
  <c r="I88" i="5"/>
  <c r="AM886" i="5"/>
  <c r="I104" i="5"/>
  <c r="N147" i="5" s="1"/>
  <c r="I147" i="5" s="1"/>
  <c r="AN115" i="5"/>
  <c r="I115" i="5" s="1"/>
  <c r="AL125" i="5"/>
  <c r="I102" i="5"/>
  <c r="N201" i="5" s="1"/>
  <c r="AN668" i="5"/>
  <c r="AN681" i="5" s="1"/>
  <c r="AN674" i="5"/>
  <c r="AN682" i="5" s="1"/>
  <c r="AM86" i="9"/>
  <c r="AM87" i="9" s="1"/>
  <c r="AN698" i="5"/>
  <c r="AN706" i="5" s="1"/>
  <c r="I86" i="5"/>
  <c r="N203" i="5" s="1"/>
  <c r="AM914" i="5"/>
  <c r="AM923" i="5" s="1"/>
  <c r="AM49" i="9" s="1"/>
  <c r="AN78" i="5"/>
  <c r="AN944" i="5" s="1"/>
  <c r="K944" i="5" s="1"/>
  <c r="I87" i="5"/>
  <c r="N249" i="5" s="1"/>
  <c r="T769" i="5"/>
  <c r="T743" i="5" s="1"/>
  <c r="AN692" i="5"/>
  <c r="AN705" i="5" s="1"/>
  <c r="AN650" i="5"/>
  <c r="AN658" i="5" s="1"/>
  <c r="AN574" i="5"/>
  <c r="I574" i="5" s="1"/>
  <c r="AM137" i="5"/>
  <c r="I137" i="5" s="1"/>
  <c r="AM335" i="5"/>
  <c r="AN335" i="5"/>
  <c r="AN716" i="5"/>
  <c r="AN729" i="5" s="1"/>
  <c r="AL86" i="9"/>
  <c r="AL87" i="9" s="1"/>
  <c r="AN582" i="5"/>
  <c r="I582" i="5" s="1"/>
  <c r="AN588" i="5"/>
  <c r="I588" i="5" s="1"/>
  <c r="AN597" i="5"/>
  <c r="I597" i="5" s="1"/>
  <c r="AM9" i="9"/>
  <c r="AM913" i="5"/>
  <c r="AM922" i="5" s="1"/>
  <c r="I337" i="5" a="1"/>
  <c r="AM125" i="5"/>
  <c r="AM945" i="5"/>
  <c r="AN945" i="5"/>
  <c r="J377" i="5"/>
  <c r="L377" i="5" s="1"/>
  <c r="T93" i="9"/>
  <c r="AN444" i="5"/>
  <c r="AN883" i="5" s="1"/>
  <c r="AN882" i="5" s="1"/>
  <c r="AN619" i="5"/>
  <c r="AN16" i="9" s="1"/>
  <c r="AN886" i="5"/>
  <c r="U894" i="5"/>
  <c r="U51" i="9" s="1"/>
  <c r="AL788" i="5"/>
  <c r="AL789" i="5" s="1"/>
  <c r="AM783" i="5" s="1"/>
  <c r="AL784" i="5"/>
  <c r="I297" i="5"/>
  <c r="U918" i="5"/>
  <c r="U927" i="5" s="1"/>
  <c r="U899" i="5"/>
  <c r="U83" i="9" s="1"/>
  <c r="AK85" i="5"/>
  <c r="M85" i="5"/>
  <c r="AM85" i="5"/>
  <c r="AN85" i="5"/>
  <c r="P85" i="5"/>
  <c r="W85" i="5"/>
  <c r="AA85" i="5"/>
  <c r="AG85" i="5"/>
  <c r="Z85" i="5"/>
  <c r="AL85" i="5"/>
  <c r="AH85" i="5"/>
  <c r="AF85" i="5"/>
  <c r="AE85" i="5"/>
  <c r="O85" i="5"/>
  <c r="AC85" i="5"/>
  <c r="AB85" i="5"/>
  <c r="N85" i="5"/>
  <c r="V85" i="5"/>
  <c r="AD85" i="5"/>
  <c r="R85" i="5"/>
  <c r="Q85" i="5"/>
  <c r="AI85" i="5"/>
  <c r="S85" i="5"/>
  <c r="L85" i="5"/>
  <c r="L101" i="5" s="1"/>
  <c r="Y85" i="5"/>
  <c r="AJ85" i="5"/>
  <c r="X85" i="5"/>
  <c r="T85" i="5"/>
  <c r="U85" i="5"/>
  <c r="U767" i="5"/>
  <c r="AM13" i="9" l="1"/>
  <c r="AM14" i="9" s="1"/>
  <c r="AN86" i="9"/>
  <c r="AN87" i="9" s="1"/>
  <c r="AK778" i="5"/>
  <c r="AK779" i="5" s="1"/>
  <c r="AL773" i="5" s="1"/>
  <c r="S66" i="9"/>
  <c r="AN887" i="5"/>
  <c r="AN80" i="5"/>
  <c r="I80" i="5" s="1"/>
  <c r="N145" i="5"/>
  <c r="I145" i="5" s="1"/>
  <c r="N247" i="5"/>
  <c r="J337" i="5" a="1"/>
  <c r="I78" i="5"/>
  <c r="AM885" i="5"/>
  <c r="AM889" i="5" s="1"/>
  <c r="AM892" i="5" s="1"/>
  <c r="AM896" i="5" s="1"/>
  <c r="AM917" i="5" s="1"/>
  <c r="AM924" i="5" s="1"/>
  <c r="AM50" i="9" s="1"/>
  <c r="I125" i="5"/>
  <c r="U763" i="5"/>
  <c r="U764" i="5" s="1"/>
  <c r="U736" i="5" s="1"/>
  <c r="U864" i="5" s="1"/>
  <c r="AN603" i="5"/>
  <c r="I603" i="5" s="1"/>
  <c r="AN914" i="5"/>
  <c r="AN923" i="5" s="1"/>
  <c r="AN49" i="9" s="1"/>
  <c r="AD321" i="5"/>
  <c r="AE321" i="5" s="1"/>
  <c r="AD322" i="5"/>
  <c r="AE322" i="5" s="1"/>
  <c r="Z311" i="5"/>
  <c r="AA311" i="5" s="1"/>
  <c r="O300" i="5"/>
  <c r="P300" i="5" s="1"/>
  <c r="AD403" i="5"/>
  <c r="AE403" i="5" s="1"/>
  <c r="AF403" i="5" s="1"/>
  <c r="AG403" i="5" s="1"/>
  <c r="AD397" i="5"/>
  <c r="W388" i="5"/>
  <c r="X388" i="5" s="1"/>
  <c r="X389" i="5"/>
  <c r="Y389" i="5" s="1"/>
  <c r="AC394" i="5"/>
  <c r="AD394" i="5" s="1"/>
  <c r="U386" i="5"/>
  <c r="V386" i="5" s="1"/>
  <c r="Y390" i="5"/>
  <c r="Z390" i="5" s="1"/>
  <c r="AA390" i="5" s="1"/>
  <c r="AB390" i="5" s="1"/>
  <c r="AC390" i="5" s="1"/>
  <c r="O380" i="5"/>
  <c r="P380" i="5" s="1"/>
  <c r="AD325" i="5"/>
  <c r="AE325" i="5" s="1"/>
  <c r="AD315" i="5"/>
  <c r="AE315" i="5" s="1"/>
  <c r="V387" i="5"/>
  <c r="W387" i="5" s="1"/>
  <c r="P381" i="5"/>
  <c r="Q381" i="5" s="1"/>
  <c r="AD395" i="5"/>
  <c r="AE395" i="5" s="1"/>
  <c r="AF395" i="5" s="1"/>
  <c r="AD404" i="5"/>
  <c r="AE404" i="5" s="1"/>
  <c r="AF404" i="5" s="1"/>
  <c r="AD405" i="5"/>
  <c r="AE405" i="5" s="1"/>
  <c r="AF405" i="5" s="1"/>
  <c r="AD400" i="5"/>
  <c r="AE400" i="5" s="1"/>
  <c r="AD396" i="5"/>
  <c r="AE396" i="5" s="1"/>
  <c r="AB313" i="5"/>
  <c r="AC313" i="5" s="1"/>
  <c r="M298" i="5"/>
  <c r="N298" i="5" s="1"/>
  <c r="O298" i="5" s="1"/>
  <c r="AC314" i="5"/>
  <c r="AD314" i="5" s="1"/>
  <c r="R303" i="5"/>
  <c r="S303" i="5" s="1"/>
  <c r="AD319" i="5"/>
  <c r="AE319" i="5" s="1"/>
  <c r="W308" i="5"/>
  <c r="X308" i="5" s="1"/>
  <c r="AD324" i="5"/>
  <c r="AE324" i="5" s="1"/>
  <c r="AD398" i="5"/>
  <c r="AE398" i="5" s="1"/>
  <c r="AF398" i="5" s="1"/>
  <c r="AD402" i="5"/>
  <c r="AE402" i="5" s="1"/>
  <c r="S384" i="5"/>
  <c r="T384" i="5" s="1"/>
  <c r="T385" i="5"/>
  <c r="U385" i="5" s="1"/>
  <c r="V385" i="5" s="1"/>
  <c r="W385" i="5" s="1"/>
  <c r="AD401" i="5"/>
  <c r="AE401" i="5" s="1"/>
  <c r="AB393" i="5"/>
  <c r="AC393" i="5" s="1"/>
  <c r="T305" i="5"/>
  <c r="U305" i="5" s="1"/>
  <c r="U306" i="5"/>
  <c r="V306" i="5" s="1"/>
  <c r="AD316" i="5"/>
  <c r="X309" i="5"/>
  <c r="Y309" i="5" s="1"/>
  <c r="Y310" i="5"/>
  <c r="Z310" i="5" s="1"/>
  <c r="N299" i="5"/>
  <c r="O299" i="5" s="1"/>
  <c r="S304" i="5"/>
  <c r="T304" i="5" s="1"/>
  <c r="AD320" i="5"/>
  <c r="AE320" i="5" s="1"/>
  <c r="M377" i="5"/>
  <c r="I255" i="5" a="1"/>
  <c r="AD281" i="5" s="1"/>
  <c r="P301" i="5"/>
  <c r="Q301" i="5" s="1"/>
  <c r="AD317" i="5"/>
  <c r="AE317" i="5" s="1"/>
  <c r="AF317" i="5" s="1"/>
  <c r="Q302" i="5"/>
  <c r="R302" i="5" s="1"/>
  <c r="AD318" i="5"/>
  <c r="AE318" i="5" s="1"/>
  <c r="AF318" i="5" s="1"/>
  <c r="V307" i="5"/>
  <c r="W307" i="5" s="1"/>
  <c r="AD323" i="5"/>
  <c r="AE323" i="5" s="1"/>
  <c r="AA312" i="5"/>
  <c r="AB312" i="5" s="1"/>
  <c r="AC312" i="5" s="1"/>
  <c r="AD312" i="5" s="1"/>
  <c r="L297" i="5"/>
  <c r="M297" i="5" s="1"/>
  <c r="AA392" i="5"/>
  <c r="AB392" i="5" s="1"/>
  <c r="Q382" i="5"/>
  <c r="R382" i="5" s="1"/>
  <c r="M378" i="5"/>
  <c r="N378" i="5" s="1"/>
  <c r="O378" i="5" s="1"/>
  <c r="P378" i="5" s="1"/>
  <c r="Q378" i="5" s="1"/>
  <c r="Z391" i="5"/>
  <c r="AA391" i="5" s="1"/>
  <c r="AD399" i="5"/>
  <c r="AE399" i="5" s="1"/>
  <c r="R383" i="5"/>
  <c r="S383" i="5" s="1"/>
  <c r="N379" i="5"/>
  <c r="O379" i="5" s="1"/>
  <c r="I209" i="5" a="1"/>
  <c r="AD232" i="5" s="1"/>
  <c r="AJ89" i="5"/>
  <c r="AJ101" i="5"/>
  <c r="AJ105" i="5" s="1"/>
  <c r="AJ142" i="5" s="1"/>
  <c r="N89" i="5"/>
  <c r="N101" i="5"/>
  <c r="N105" i="5" s="1"/>
  <c r="N142" i="5" s="1"/>
  <c r="AE89" i="5"/>
  <c r="AE101" i="5"/>
  <c r="AE105" i="5" s="1"/>
  <c r="AE142" i="5" s="1"/>
  <c r="AN89" i="5"/>
  <c r="AN101" i="5"/>
  <c r="AN105" i="5" s="1"/>
  <c r="AN142" i="5" s="1"/>
  <c r="U89" i="5"/>
  <c r="U101" i="5"/>
  <c r="U105" i="5" s="1"/>
  <c r="U142" i="5" s="1"/>
  <c r="AD89" i="5"/>
  <c r="AD101" i="5"/>
  <c r="AD105" i="5" s="1"/>
  <c r="AD142" i="5" s="1"/>
  <c r="AF89" i="5"/>
  <c r="AF101" i="5"/>
  <c r="AF105" i="5" s="1"/>
  <c r="AF142" i="5" s="1"/>
  <c r="AI89" i="5"/>
  <c r="AI101" i="5"/>
  <c r="AI105" i="5" s="1"/>
  <c r="AI142" i="5" s="1"/>
  <c r="AH89" i="5"/>
  <c r="AH101" i="5"/>
  <c r="AH105" i="5" s="1"/>
  <c r="AH142" i="5" s="1"/>
  <c r="T89" i="5"/>
  <c r="T101" i="5"/>
  <c r="T105" i="5" s="1"/>
  <c r="T142" i="5" s="1"/>
  <c r="X89" i="5"/>
  <c r="X101" i="5"/>
  <c r="X105" i="5" s="1"/>
  <c r="X142" i="5" s="1"/>
  <c r="V89" i="5"/>
  <c r="V101" i="5"/>
  <c r="V105" i="5" s="1"/>
  <c r="V142" i="5" s="1"/>
  <c r="AB89" i="5"/>
  <c r="AB101" i="5"/>
  <c r="AB105" i="5" s="1"/>
  <c r="AB142" i="5" s="1"/>
  <c r="AL89" i="5"/>
  <c r="AL101" i="5"/>
  <c r="AL105" i="5" s="1"/>
  <c r="AL142" i="5" s="1"/>
  <c r="P89" i="5"/>
  <c r="P101" i="5"/>
  <c r="P105" i="5" s="1"/>
  <c r="P142" i="5" s="1"/>
  <c r="AK89" i="5"/>
  <c r="AK101" i="5"/>
  <c r="AK105" i="5" s="1"/>
  <c r="AK142" i="5" s="1"/>
  <c r="Z89" i="5"/>
  <c r="Z101" i="5"/>
  <c r="Z105" i="5" s="1"/>
  <c r="Z142" i="5" s="1"/>
  <c r="Q89" i="5"/>
  <c r="Q101" i="5"/>
  <c r="Q105" i="5" s="1"/>
  <c r="Q142" i="5" s="1"/>
  <c r="AC89" i="5"/>
  <c r="AC101" i="5"/>
  <c r="AC105" i="5" s="1"/>
  <c r="AC142" i="5" s="1"/>
  <c r="S89" i="5"/>
  <c r="S101" i="5"/>
  <c r="S105" i="5" s="1"/>
  <c r="S142" i="5" s="1"/>
  <c r="Y89" i="5"/>
  <c r="Y101" i="5"/>
  <c r="Y105" i="5" s="1"/>
  <c r="Y142" i="5" s="1"/>
  <c r="R89" i="5"/>
  <c r="R101" i="5"/>
  <c r="R105" i="5" s="1"/>
  <c r="R142" i="5" s="1"/>
  <c r="O89" i="5"/>
  <c r="O101" i="5"/>
  <c r="O105" i="5" s="1"/>
  <c r="O142" i="5" s="1"/>
  <c r="AG89" i="5"/>
  <c r="AG101" i="5"/>
  <c r="AG105" i="5" s="1"/>
  <c r="AG142" i="5" s="1"/>
  <c r="AA89" i="5"/>
  <c r="AA101" i="5"/>
  <c r="AA105" i="5" s="1"/>
  <c r="AA142" i="5" s="1"/>
  <c r="AM89" i="5"/>
  <c r="AM101" i="5"/>
  <c r="AM105" i="5" s="1"/>
  <c r="AM142" i="5" s="1"/>
  <c r="W89" i="5"/>
  <c r="W101" i="5"/>
  <c r="W105" i="5" s="1"/>
  <c r="W142" i="5" s="1"/>
  <c r="M89" i="5"/>
  <c r="M101" i="5"/>
  <c r="M105" i="5" s="1"/>
  <c r="M142" i="5" s="1"/>
  <c r="U768" i="5"/>
  <c r="U739" i="5" s="1"/>
  <c r="U91" i="9" s="1"/>
  <c r="L407" i="5"/>
  <c r="L409" i="5" s="1"/>
  <c r="I337" i="5"/>
  <c r="K945" i="5"/>
  <c r="K16" i="9"/>
  <c r="I444" i="5"/>
  <c r="AN913" i="5"/>
  <c r="AN922" i="5" s="1"/>
  <c r="AN9" i="9"/>
  <c r="K9" i="9" s="1"/>
  <c r="V891" i="5"/>
  <c r="V893" i="5" s="1"/>
  <c r="V897" i="5" s="1"/>
  <c r="V899" i="5" s="1"/>
  <c r="V83" i="9" s="1"/>
  <c r="AN885" i="5"/>
  <c r="AN889" i="5" s="1"/>
  <c r="AN892" i="5" s="1"/>
  <c r="AN896" i="5" s="1"/>
  <c r="AN917" i="5" s="1"/>
  <c r="AN924" i="5" s="1"/>
  <c r="AM784" i="5"/>
  <c r="AM788" i="5"/>
  <c r="AM789" i="5" s="1"/>
  <c r="AN783" i="5" s="1"/>
  <c r="AN788" i="5" s="1"/>
  <c r="I788" i="5" s="1"/>
  <c r="AL774" i="5"/>
  <c r="AL778" i="5"/>
  <c r="AL779" i="5" s="1"/>
  <c r="AM773" i="5" s="1"/>
  <c r="AM774" i="5" s="1"/>
  <c r="L105" i="5"/>
  <c r="I85" i="5"/>
  <c r="L89" i="5"/>
  <c r="L91" i="5" s="1"/>
  <c r="AJ282" i="5" l="1"/>
  <c r="AD275" i="5"/>
  <c r="AN747" i="5"/>
  <c r="AN792" i="5" s="1"/>
  <c r="AN791" i="5" s="1"/>
  <c r="AN89" i="9" s="1"/>
  <c r="AE275" i="5"/>
  <c r="I163" i="5" a="1"/>
  <c r="AE189" i="5" s="1"/>
  <c r="AM282" i="5"/>
  <c r="W266" i="5"/>
  <c r="X266" i="5" s="1"/>
  <c r="Y266" i="5" s="1"/>
  <c r="AE274" i="5"/>
  <c r="U264" i="5"/>
  <c r="V264" i="5" s="1"/>
  <c r="AF277" i="5"/>
  <c r="AE277" i="5"/>
  <c r="S262" i="5"/>
  <c r="T262" i="5" s="1"/>
  <c r="AK280" i="5"/>
  <c r="AF280" i="5"/>
  <c r="AF281" i="5"/>
  <c r="AK282" i="5"/>
  <c r="AD276" i="5"/>
  <c r="AD277" i="5"/>
  <c r="N257" i="5"/>
  <c r="O257" i="5" s="1"/>
  <c r="P257" i="5" s="1"/>
  <c r="AE394" i="5"/>
  <c r="AF394" i="5" s="1"/>
  <c r="AK283" i="5"/>
  <c r="AJ281" i="5"/>
  <c r="AL283" i="5"/>
  <c r="AE278" i="5"/>
  <c r="Z389" i="5"/>
  <c r="AA389" i="5" s="1"/>
  <c r="AL281" i="5"/>
  <c r="AN283" i="5"/>
  <c r="AD280" i="5"/>
  <c r="AF401" i="5"/>
  <c r="AG401" i="5" s="1"/>
  <c r="AH401" i="5" s="1"/>
  <c r="J337" i="5"/>
  <c r="AI281" i="5"/>
  <c r="AK281" i="5"/>
  <c r="AJ283" i="5"/>
  <c r="AE280" i="5"/>
  <c r="AF399" i="5"/>
  <c r="AG399" i="5" s="1"/>
  <c r="AD273" i="5"/>
  <c r="AA270" i="5"/>
  <c r="AB270" i="5" s="1"/>
  <c r="AG277" i="5"/>
  <c r="AD278" i="5"/>
  <c r="AI282" i="5"/>
  <c r="V918" i="5"/>
  <c r="V927" i="5" s="1"/>
  <c r="AH280" i="5"/>
  <c r="AG278" i="5"/>
  <c r="AL282" i="5"/>
  <c r="O258" i="5"/>
  <c r="P258" i="5" s="1"/>
  <c r="AF283" i="5"/>
  <c r="AJ280" i="5"/>
  <c r="AE283" i="5"/>
  <c r="AH277" i="5"/>
  <c r="AI280" i="5"/>
  <c r="AG280" i="5"/>
  <c r="AE282" i="5"/>
  <c r="AF278" i="5"/>
  <c r="R261" i="5"/>
  <c r="S261" i="5" s="1"/>
  <c r="AH278" i="5"/>
  <c r="AG276" i="5"/>
  <c r="AC272" i="5"/>
  <c r="AD272" i="5" s="1"/>
  <c r="AI283" i="5"/>
  <c r="AD282" i="5"/>
  <c r="AE281" i="5"/>
  <c r="Q260" i="5"/>
  <c r="R260" i="5" s="1"/>
  <c r="M256" i="5"/>
  <c r="N256" i="5" s="1"/>
  <c r="X267" i="5"/>
  <c r="Y267" i="5" s="1"/>
  <c r="AF282" i="5"/>
  <c r="AD283" i="5"/>
  <c r="AH281" i="5"/>
  <c r="T744" i="5"/>
  <c r="T66" i="9" s="1"/>
  <c r="AM283" i="5"/>
  <c r="I255" i="5"/>
  <c r="R169" i="5" s="1"/>
  <c r="S169" i="5" s="1"/>
  <c r="AF185" i="5" s="1"/>
  <c r="T263" i="5" s="1"/>
  <c r="U263" i="5" s="1"/>
  <c r="AH279" i="5" s="1"/>
  <c r="Z269" i="5" s="1"/>
  <c r="AA269" i="5" s="1"/>
  <c r="AD274" i="5" s="1"/>
  <c r="AG281" i="5"/>
  <c r="U769" i="5"/>
  <c r="V763" i="5" s="1"/>
  <c r="V764" i="5" s="1"/>
  <c r="V736" i="5" s="1"/>
  <c r="V265" i="5"/>
  <c r="W265" i="5" s="1"/>
  <c r="AE279" i="5"/>
  <c r="AF275" i="5"/>
  <c r="AB271" i="5"/>
  <c r="AC271" i="5" s="1"/>
  <c r="AH282" i="5"/>
  <c r="AG283" i="5"/>
  <c r="P259" i="5"/>
  <c r="Q259" i="5" s="1"/>
  <c r="R259" i="5" s="1"/>
  <c r="AI278" i="5"/>
  <c r="AL190" i="5"/>
  <c r="AG282" i="5"/>
  <c r="AH283" i="5"/>
  <c r="AN11" i="9"/>
  <c r="R301" i="5"/>
  <c r="V305" i="5"/>
  <c r="W305" i="5" s="1"/>
  <c r="U741" i="5"/>
  <c r="U30" i="9" s="1"/>
  <c r="U82" i="9" s="1"/>
  <c r="Q380" i="5"/>
  <c r="R380" i="5" s="1"/>
  <c r="T171" i="5"/>
  <c r="U171" i="5" s="1"/>
  <c r="V171" i="5" s="1"/>
  <c r="S302" i="5"/>
  <c r="T302" i="5" s="1"/>
  <c r="U738" i="5"/>
  <c r="U92" i="9" s="1"/>
  <c r="U93" i="9" s="1"/>
  <c r="AI189" i="5"/>
  <c r="AI234" i="5"/>
  <c r="AL236" i="5"/>
  <c r="AD233" i="5"/>
  <c r="AK234" i="5"/>
  <c r="AK190" i="5"/>
  <c r="AK236" i="5"/>
  <c r="U742" i="5"/>
  <c r="AH233" i="5"/>
  <c r="AJ189" i="5"/>
  <c r="AJ233" i="5"/>
  <c r="AI236" i="5"/>
  <c r="AD236" i="5"/>
  <c r="X307" i="5"/>
  <c r="Z177" i="5"/>
  <c r="AA177" i="5" s="1"/>
  <c r="AB177" i="5" s="1"/>
  <c r="AI191" i="5"/>
  <c r="AF184" i="5"/>
  <c r="AH189" i="5"/>
  <c r="AF191" i="5"/>
  <c r="AF232" i="5"/>
  <c r="AE190" i="5"/>
  <c r="AE186" i="5"/>
  <c r="AH232" i="5"/>
  <c r="AN237" i="5"/>
  <c r="AE233" i="5"/>
  <c r="AE232" i="5"/>
  <c r="AF236" i="5"/>
  <c r="AE316" i="5"/>
  <c r="AF316" i="5" s="1"/>
  <c r="AJ236" i="5"/>
  <c r="T303" i="5"/>
  <c r="U303" i="5" s="1"/>
  <c r="V303" i="5" s="1"/>
  <c r="AJ237" i="5"/>
  <c r="AM237" i="5"/>
  <c r="AL237" i="5"/>
  <c r="Z309" i="5"/>
  <c r="AA309" i="5" s="1"/>
  <c r="AB309" i="5" s="1"/>
  <c r="AM236" i="5"/>
  <c r="AI237" i="5"/>
  <c r="I89" i="5"/>
  <c r="AH235" i="5"/>
  <c r="AG231" i="5"/>
  <c r="AF231" i="5"/>
  <c r="O166" i="5"/>
  <c r="P166" i="5" s="1"/>
  <c r="AA178" i="5"/>
  <c r="AB178" i="5" s="1"/>
  <c r="AE183" i="5"/>
  <c r="AF235" i="5"/>
  <c r="AD229" i="5"/>
  <c r="AE314" i="5"/>
  <c r="AF314" i="5" s="1"/>
  <c r="AG395" i="5"/>
  <c r="AH395" i="5" s="1"/>
  <c r="I105" i="5"/>
  <c r="AB311" i="5"/>
  <c r="AC311" i="5" s="1"/>
  <c r="AD311" i="5" s="1"/>
  <c r="M210" i="5"/>
  <c r="N210" i="5" s="1"/>
  <c r="V173" i="5"/>
  <c r="W173" i="5" s="1"/>
  <c r="AE187" i="5"/>
  <c r="AD235" i="5"/>
  <c r="Y308" i="5"/>
  <c r="Z308" i="5" s="1"/>
  <c r="AA310" i="5"/>
  <c r="AB310" i="5" s="1"/>
  <c r="AL235" i="5"/>
  <c r="AG237" i="5"/>
  <c r="AE229" i="5"/>
  <c r="W174" i="5"/>
  <c r="X174" i="5" s="1"/>
  <c r="Y174" i="5" s="1"/>
  <c r="Z174" i="5" s="1"/>
  <c r="AA174" i="5" s="1"/>
  <c r="AB225" i="5"/>
  <c r="AC225" i="5" s="1"/>
  <c r="AF183" i="5"/>
  <c r="AK235" i="5"/>
  <c r="AN784" i="5"/>
  <c r="I784" i="5" s="1"/>
  <c r="AE237" i="5"/>
  <c r="AD234" i="5"/>
  <c r="AD230" i="5"/>
  <c r="AF189" i="5"/>
  <c r="AF319" i="5"/>
  <c r="AG319" i="5" s="1"/>
  <c r="AH319" i="5" s="1"/>
  <c r="Q214" i="5"/>
  <c r="R214" i="5" s="1"/>
  <c r="S214" i="5" s="1"/>
  <c r="T214" i="5" s="1"/>
  <c r="U214" i="5" s="1"/>
  <c r="AE235" i="5"/>
  <c r="AC226" i="5"/>
  <c r="AD226" i="5" s="1"/>
  <c r="U172" i="5"/>
  <c r="V172" i="5" s="1"/>
  <c r="AB179" i="5"/>
  <c r="AC179" i="5" s="1"/>
  <c r="X175" i="5"/>
  <c r="Y175" i="5" s="1"/>
  <c r="AM778" i="5"/>
  <c r="AM779" i="5" s="1"/>
  <c r="AN773" i="5" s="1"/>
  <c r="AN778" i="5" s="1"/>
  <c r="I778" i="5" s="1"/>
  <c r="AF187" i="5"/>
  <c r="AD237" i="5"/>
  <c r="AF233" i="5"/>
  <c r="AF230" i="5"/>
  <c r="W306" i="5"/>
  <c r="X306" i="5" s="1"/>
  <c r="AN50" i="9"/>
  <c r="M407" i="5"/>
  <c r="M409" i="5" s="1"/>
  <c r="S216" i="5"/>
  <c r="T216" i="5" s="1"/>
  <c r="AK237" i="5"/>
  <c r="AD227" i="5"/>
  <c r="AE227" i="5" s="1"/>
  <c r="N211" i="5"/>
  <c r="O211" i="5" s="1"/>
  <c r="AJ235" i="5"/>
  <c r="O212" i="5"/>
  <c r="P212" i="5" s="1"/>
  <c r="AI235" i="5"/>
  <c r="AG233" i="5"/>
  <c r="Q300" i="5"/>
  <c r="R300" i="5" s="1"/>
  <c r="N165" i="5"/>
  <c r="AF188" i="5" s="1"/>
  <c r="AF276" i="5" s="1"/>
  <c r="AE397" i="5"/>
  <c r="AF397" i="5" s="1"/>
  <c r="AG397" i="5" s="1"/>
  <c r="AH397" i="5" s="1"/>
  <c r="P379" i="5"/>
  <c r="Q379" i="5" s="1"/>
  <c r="Y388" i="5"/>
  <c r="Z388" i="5" s="1"/>
  <c r="N377" i="5"/>
  <c r="O377" i="5" s="1"/>
  <c r="X221" i="5"/>
  <c r="Y221" i="5" s="1"/>
  <c r="AJ234" i="5"/>
  <c r="W220" i="5"/>
  <c r="X220" i="5" s="1"/>
  <c r="AF237" i="5"/>
  <c r="AG235" i="5"/>
  <c r="AH236" i="5"/>
  <c r="AE230" i="5"/>
  <c r="I101" i="5"/>
  <c r="N144" i="5" s="1"/>
  <c r="I144" i="5" s="1"/>
  <c r="AF402" i="5"/>
  <c r="AG402" i="5" s="1"/>
  <c r="P299" i="5"/>
  <c r="Q299" i="5" s="1"/>
  <c r="L327" i="5"/>
  <c r="L329" i="5" s="1"/>
  <c r="L331" i="5" s="1"/>
  <c r="V219" i="5"/>
  <c r="W219" i="5" s="1"/>
  <c r="X219" i="5" s="1"/>
  <c r="Y219" i="5" s="1"/>
  <c r="U218" i="5"/>
  <c r="V218" i="5" s="1"/>
  <c r="AH231" i="5"/>
  <c r="AH237" i="5"/>
  <c r="AH234" i="5"/>
  <c r="AE236" i="5"/>
  <c r="U384" i="5"/>
  <c r="V384" i="5" s="1"/>
  <c r="AD393" i="5"/>
  <c r="AE393" i="5" s="1"/>
  <c r="AF393" i="5" s="1"/>
  <c r="AG393" i="5" s="1"/>
  <c r="AF324" i="5"/>
  <c r="AG324" i="5" s="1"/>
  <c r="AH324" i="5" s="1"/>
  <c r="AE228" i="5"/>
  <c r="AF228" i="5" s="1"/>
  <c r="AI233" i="5"/>
  <c r="AG230" i="5"/>
  <c r="AG234" i="5"/>
  <c r="AG236" i="5"/>
  <c r="W386" i="5"/>
  <c r="X386" i="5" s="1"/>
  <c r="AN751" i="5"/>
  <c r="AN90" i="9" s="1"/>
  <c r="Z223" i="5"/>
  <c r="AA223" i="5" s="1"/>
  <c r="T217" i="5"/>
  <c r="U217" i="5" s="1"/>
  <c r="L142" i="5"/>
  <c r="L148" i="5" s="1"/>
  <c r="AF229" i="5"/>
  <c r="AF234" i="5"/>
  <c r="AD231" i="5"/>
  <c r="AG232" i="5"/>
  <c r="U304" i="5"/>
  <c r="V304" i="5" s="1"/>
  <c r="I209" i="5"/>
  <c r="AI232" i="5"/>
  <c r="Y222" i="5"/>
  <c r="Z222" i="5" s="1"/>
  <c r="AA224" i="5"/>
  <c r="AB224" i="5" s="1"/>
  <c r="R215" i="5"/>
  <c r="S215" i="5" s="1"/>
  <c r="V894" i="5"/>
  <c r="W891" i="5" s="1"/>
  <c r="P213" i="5"/>
  <c r="Q213" i="5" s="1"/>
  <c r="R213" i="5" s="1"/>
  <c r="S213" i="5" s="1"/>
  <c r="AE234" i="5"/>
  <c r="AE231" i="5"/>
  <c r="AE182" i="5"/>
  <c r="AI279" i="5"/>
  <c r="AF279" i="5"/>
  <c r="AJ279" i="5"/>
  <c r="AD279" i="5"/>
  <c r="AG279" i="5"/>
  <c r="AF320" i="5"/>
  <c r="AG188" i="5"/>
  <c r="AE276" i="5"/>
  <c r="AH188" i="5"/>
  <c r="AG317" i="5"/>
  <c r="AG318" i="5"/>
  <c r="AH318" i="5" s="1"/>
  <c r="AD313" i="5"/>
  <c r="P298" i="5"/>
  <c r="Q298" i="5" s="1"/>
  <c r="R299" i="5"/>
  <c r="S299" i="5" s="1"/>
  <c r="T299" i="5" s="1"/>
  <c r="R378" i="5"/>
  <c r="AD390" i="5"/>
  <c r="AE390" i="5" s="1"/>
  <c r="AF390" i="5" s="1"/>
  <c r="AG390" i="5" s="1"/>
  <c r="AH390" i="5" s="1"/>
  <c r="AI390" i="5" s="1"/>
  <c r="AJ390" i="5" s="1"/>
  <c r="AK390" i="5" s="1"/>
  <c r="AL390" i="5" s="1"/>
  <c r="AM390" i="5" s="1"/>
  <c r="AN390" i="5" s="1"/>
  <c r="N297" i="5"/>
  <c r="O297" i="5" s="1"/>
  <c r="P297" i="5" s="1"/>
  <c r="S382" i="5"/>
  <c r="AF396" i="5"/>
  <c r="AG396" i="5" s="1"/>
  <c r="S301" i="5"/>
  <c r="T301" i="5" s="1"/>
  <c r="AF323" i="5"/>
  <c r="X387" i="5"/>
  <c r="AC392" i="5"/>
  <c r="AD392" i="5" s="1"/>
  <c r="AG404" i="5"/>
  <c r="AH404" i="5" s="1"/>
  <c r="AF315" i="5"/>
  <c r="AG405" i="5"/>
  <c r="AH405" i="5" s="1"/>
  <c r="AG398" i="5"/>
  <c r="R381" i="5"/>
  <c r="T383" i="5"/>
  <c r="U383" i="5" s="1"/>
  <c r="AE312" i="5"/>
  <c r="AF312" i="5" s="1"/>
  <c r="AH403" i="5"/>
  <c r="AI403" i="5" s="1"/>
  <c r="AF321" i="5"/>
  <c r="AG321" i="5" s="1"/>
  <c r="AH321" i="5" s="1"/>
  <c r="AF325" i="5"/>
  <c r="AG325" i="5" s="1"/>
  <c r="AH325" i="5" s="1"/>
  <c r="AF322" i="5"/>
  <c r="AF400" i="5"/>
  <c r="AB391" i="5"/>
  <c r="AC391" i="5" s="1"/>
  <c r="X385" i="5"/>
  <c r="Y385" i="5" s="1"/>
  <c r="T745" i="5"/>
  <c r="T63" i="9" s="1"/>
  <c r="T62" i="9" s="1"/>
  <c r="AJ186" i="5"/>
  <c r="AI231" i="5"/>
  <c r="AI277" i="5"/>
  <c r="AJ232" i="5"/>
  <c r="AK233" i="5"/>
  <c r="AL233" i="5" s="1"/>
  <c r="AM233" i="5" s="1"/>
  <c r="AN233" i="5" s="1"/>
  <c r="AK279" i="5"/>
  <c r="AL279" i="5" s="1"/>
  <c r="AM279" i="5" s="1"/>
  <c r="AL188" i="5"/>
  <c r="AM235" i="5"/>
  <c r="AN235" i="5" s="1"/>
  <c r="AL234" i="5"/>
  <c r="AK187" i="5"/>
  <c r="AL187" i="5" s="1"/>
  <c r="AM187" i="5" s="1"/>
  <c r="AN187" i="5" s="1"/>
  <c r="AL280" i="5"/>
  <c r="AM280" i="5" s="1"/>
  <c r="AC270" i="5"/>
  <c r="AD270" i="5" s="1"/>
  <c r="AE270" i="5" s="1"/>
  <c r="AF270" i="5" s="1"/>
  <c r="AG270" i="5" s="1"/>
  <c r="AH270" i="5" s="1"/>
  <c r="AI270" i="5" s="1"/>
  <c r="AJ270" i="5" s="1"/>
  <c r="AK270" i="5" s="1"/>
  <c r="AL270" i="5" s="1"/>
  <c r="AM270" i="5" s="1"/>
  <c r="AN270" i="5" s="1"/>
  <c r="AN282" i="5"/>
  <c r="AG229" i="5"/>
  <c r="AH229" i="5" s="1"/>
  <c r="AI229" i="5" s="1"/>
  <c r="M327" i="5"/>
  <c r="AM281" i="5"/>
  <c r="AD271" i="5"/>
  <c r="AE271" i="5" s="1"/>
  <c r="AF271" i="5" s="1"/>
  <c r="AJ278" i="5"/>
  <c r="AK278" i="5" s="1"/>
  <c r="AL278" i="5" s="1"/>
  <c r="AN236" i="5"/>
  <c r="AM189" i="5"/>
  <c r="AN189" i="5" s="1"/>
  <c r="AN281" i="5"/>
  <c r="AM234" i="5"/>
  <c r="AN234" i="5" s="1"/>
  <c r="AN279" i="5"/>
  <c r="AJ231" i="5"/>
  <c r="AK231" i="5" s="1"/>
  <c r="AK232" i="5"/>
  <c r="AL232" i="5" s="1"/>
  <c r="W264" i="5"/>
  <c r="X264" i="5" s="1"/>
  <c r="AG275" i="5"/>
  <c r="AH275" i="5" s="1"/>
  <c r="S259" i="5"/>
  <c r="AF181" i="5"/>
  <c r="AJ277" i="5"/>
  <c r="Q257" i="5"/>
  <c r="R257" i="5" s="1"/>
  <c r="S257" i="5" s="1"/>
  <c r="T257" i="5" s="1"/>
  <c r="AF182" i="5"/>
  <c r="AG182" i="5" s="1"/>
  <c r="AH182" i="5" s="1"/>
  <c r="AF274" i="5"/>
  <c r="AG274" i="5" s="1"/>
  <c r="AH230" i="5"/>
  <c r="AH276" i="5"/>
  <c r="AG228" i="5"/>
  <c r="AH228" i="5" s="1"/>
  <c r="AI228" i="5" s="1"/>
  <c r="L68" i="9"/>
  <c r="L53" i="9"/>
  <c r="M91" i="5"/>
  <c r="AF227" i="5"/>
  <c r="AN59" i="9"/>
  <c r="V767" i="5"/>
  <c r="AE273" i="5"/>
  <c r="AN789" i="5"/>
  <c r="AD190" i="5" l="1"/>
  <c r="P167" i="5"/>
  <c r="Q167" i="5" s="1"/>
  <c r="AI188" i="5"/>
  <c r="AD184" i="5"/>
  <c r="AH190" i="5"/>
  <c r="AE191" i="5"/>
  <c r="AH191" i="5"/>
  <c r="AM188" i="5"/>
  <c r="AN188" i="5" s="1"/>
  <c r="AN190" i="5"/>
  <c r="AG394" i="5"/>
  <c r="AH394" i="5" s="1"/>
  <c r="AD185" i="5"/>
  <c r="AH187" i="5"/>
  <c r="AD181" i="5"/>
  <c r="AE181" i="5" s="1"/>
  <c r="AG190" i="5"/>
  <c r="AC180" i="5"/>
  <c r="AD180" i="5" s="1"/>
  <c r="AE180" i="5" s="1"/>
  <c r="AF180" i="5" s="1"/>
  <c r="AG186" i="5"/>
  <c r="AK191" i="5"/>
  <c r="AG191" i="5"/>
  <c r="S170" i="5"/>
  <c r="T170" i="5" s="1"/>
  <c r="U170" i="5" s="1"/>
  <c r="AJ187" i="5"/>
  <c r="AK186" i="5"/>
  <c r="AL186" i="5" s="1"/>
  <c r="Y176" i="5"/>
  <c r="Z176" i="5" s="1"/>
  <c r="AA176" i="5" s="1"/>
  <c r="M164" i="5"/>
  <c r="N164" i="5" s="1"/>
  <c r="AE188" i="5"/>
  <c r="AE184" i="5"/>
  <c r="AG187" i="5"/>
  <c r="AG183" i="5"/>
  <c r="AH183" i="5" s="1"/>
  <c r="AK188" i="5"/>
  <c r="AJ188" i="5"/>
  <c r="I163" i="5"/>
  <c r="L163" i="5" s="1"/>
  <c r="L193" i="5" s="1"/>
  <c r="L197" i="5" s="1"/>
  <c r="AD183" i="5"/>
  <c r="AF186" i="5"/>
  <c r="AM190" i="5"/>
  <c r="AF190" i="5"/>
  <c r="AG184" i="5"/>
  <c r="AD189" i="5"/>
  <c r="AD186" i="5"/>
  <c r="AJ191" i="5"/>
  <c r="AD191" i="5"/>
  <c r="AG189" i="5"/>
  <c r="AD187" i="5"/>
  <c r="Q168" i="5"/>
  <c r="R168" i="5" s="1"/>
  <c r="S168" i="5" s="1"/>
  <c r="T168" i="5" s="1"/>
  <c r="U168" i="5" s="1"/>
  <c r="V168" i="5" s="1"/>
  <c r="W168" i="5" s="1"/>
  <c r="AD182" i="5" s="1"/>
  <c r="Y268" i="5" s="1"/>
  <c r="Z268" i="5" s="1"/>
  <c r="AE185" i="5"/>
  <c r="AN191" i="5"/>
  <c r="AL189" i="5"/>
  <c r="AK189" i="5"/>
  <c r="V170" i="5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AG170" i="5" s="1"/>
  <c r="AH170" i="5" s="1"/>
  <c r="AI170" i="5" s="1"/>
  <c r="AJ170" i="5" s="1"/>
  <c r="AK170" i="5" s="1"/>
  <c r="AL170" i="5" s="1"/>
  <c r="AM170" i="5" s="1"/>
  <c r="AN170" i="5" s="1"/>
  <c r="AH185" i="5"/>
  <c r="AL191" i="5"/>
  <c r="AI186" i="5"/>
  <c r="AI185" i="5"/>
  <c r="AH184" i="5"/>
  <c r="Z266" i="5"/>
  <c r="AA266" i="5" s="1"/>
  <c r="AB266" i="5" s="1"/>
  <c r="AD188" i="5"/>
  <c r="AI187" i="5"/>
  <c r="AG185" i="5"/>
  <c r="AJ190" i="5"/>
  <c r="AH186" i="5"/>
  <c r="AM191" i="5"/>
  <c r="AI190" i="5"/>
  <c r="AB269" i="5"/>
  <c r="AC269" i="5" s="1"/>
  <c r="AH399" i="5"/>
  <c r="AI399" i="5" s="1"/>
  <c r="AE272" i="5"/>
  <c r="AF272" i="5" s="1"/>
  <c r="U262" i="5"/>
  <c r="V262" i="5" s="1"/>
  <c r="V263" i="5"/>
  <c r="W263" i="5" s="1"/>
  <c r="X263" i="5" s="1"/>
  <c r="T261" i="5"/>
  <c r="U261" i="5" s="1"/>
  <c r="V261" i="5" s="1"/>
  <c r="T169" i="5"/>
  <c r="U169" i="5" s="1"/>
  <c r="V169" i="5" s="1"/>
  <c r="W169" i="5" s="1"/>
  <c r="X169" i="5" s="1"/>
  <c r="Y169" i="5" s="1"/>
  <c r="Z169" i="5" s="1"/>
  <c r="AA169" i="5" s="1"/>
  <c r="AB169" i="5" s="1"/>
  <c r="AC169" i="5" s="1"/>
  <c r="AD169" i="5" s="1"/>
  <c r="AE169" i="5" s="1"/>
  <c r="AF169" i="5" s="1"/>
  <c r="AG169" i="5" s="1"/>
  <c r="AH169" i="5" s="1"/>
  <c r="AI169" i="5" s="1"/>
  <c r="AJ169" i="5" s="1"/>
  <c r="AK169" i="5" s="1"/>
  <c r="AL169" i="5" s="1"/>
  <c r="AM169" i="5" s="1"/>
  <c r="AN169" i="5" s="1"/>
  <c r="L367" i="5"/>
  <c r="L369" i="5" s="1"/>
  <c r="Q258" i="5"/>
  <c r="AC177" i="5"/>
  <c r="AD177" i="5" s="1"/>
  <c r="AE177" i="5" s="1"/>
  <c r="AF177" i="5" s="1"/>
  <c r="AG177" i="5" s="1"/>
  <c r="AH177" i="5" s="1"/>
  <c r="W171" i="5"/>
  <c r="X171" i="5" s="1"/>
  <c r="Y171" i="5" s="1"/>
  <c r="Z171" i="5" s="1"/>
  <c r="AA171" i="5" s="1"/>
  <c r="AB171" i="5" s="1"/>
  <c r="AC171" i="5" s="1"/>
  <c r="AD171" i="5" s="1"/>
  <c r="AE171" i="5" s="1"/>
  <c r="AF171" i="5" s="1"/>
  <c r="AG171" i="5" s="1"/>
  <c r="AH171" i="5" s="1"/>
  <c r="AI171" i="5" s="1"/>
  <c r="AJ171" i="5" s="1"/>
  <c r="AK171" i="5" s="1"/>
  <c r="AL171" i="5" s="1"/>
  <c r="AM171" i="5" s="1"/>
  <c r="AN171" i="5" s="1"/>
  <c r="X305" i="5"/>
  <c r="Y305" i="5" s="1"/>
  <c r="Z267" i="5"/>
  <c r="AA267" i="5" s="1"/>
  <c r="AB267" i="5" s="1"/>
  <c r="M163" i="5"/>
  <c r="M193" i="5" s="1"/>
  <c r="X168" i="5"/>
  <c r="Y168" i="5" s="1"/>
  <c r="Z168" i="5" s="1"/>
  <c r="AA168" i="5" s="1"/>
  <c r="L195" i="5"/>
  <c r="L199" i="5" s="1"/>
  <c r="L203" i="5" s="1"/>
  <c r="S260" i="5"/>
  <c r="T260" i="5" s="1"/>
  <c r="U260" i="5" s="1"/>
  <c r="U743" i="5"/>
  <c r="O256" i="5"/>
  <c r="P256" i="5" s="1"/>
  <c r="Q256" i="5" s="1"/>
  <c r="R256" i="5" s="1"/>
  <c r="L255" i="5"/>
  <c r="V742" i="5"/>
  <c r="X265" i="5"/>
  <c r="Y265" i="5" s="1"/>
  <c r="V768" i="5"/>
  <c r="V739" i="5" s="1"/>
  <c r="V91" i="9" s="1"/>
  <c r="N327" i="5"/>
  <c r="AE226" i="5"/>
  <c r="AF226" i="5" s="1"/>
  <c r="AA268" i="5"/>
  <c r="AB268" i="5" s="1"/>
  <c r="AC268" i="5" s="1"/>
  <c r="AD268" i="5" s="1"/>
  <c r="AE268" i="5" s="1"/>
  <c r="S380" i="5"/>
  <c r="T380" i="5" s="1"/>
  <c r="U380" i="5" s="1"/>
  <c r="K11" i="9"/>
  <c r="AN13" i="9"/>
  <c r="AB176" i="5"/>
  <c r="AC176" i="5" s="1"/>
  <c r="Y307" i="5"/>
  <c r="Z307" i="5" s="1"/>
  <c r="Q212" i="5"/>
  <c r="R212" i="5" s="1"/>
  <c r="S212" i="5" s="1"/>
  <c r="M329" i="5"/>
  <c r="M331" i="5" s="1"/>
  <c r="AI395" i="5"/>
  <c r="AJ395" i="5" s="1"/>
  <c r="AK395" i="5" s="1"/>
  <c r="AL395" i="5" s="1"/>
  <c r="AM395" i="5" s="1"/>
  <c r="AN395" i="5" s="1"/>
  <c r="AG314" i="5"/>
  <c r="AH314" i="5" s="1"/>
  <c r="N407" i="5"/>
  <c r="AG316" i="5"/>
  <c r="AH316" i="5" s="1"/>
  <c r="AN774" i="5"/>
  <c r="I774" i="5" s="1"/>
  <c r="Y386" i="5"/>
  <c r="Z386" i="5" s="1"/>
  <c r="AA386" i="5" s="1"/>
  <c r="AB386" i="5" s="1"/>
  <c r="AE311" i="5"/>
  <c r="AF311" i="5" s="1"/>
  <c r="AG311" i="5" s="1"/>
  <c r="AH311" i="5" s="1"/>
  <c r="AI311" i="5" s="1"/>
  <c r="AJ311" i="5" s="1"/>
  <c r="AK311" i="5" s="1"/>
  <c r="AL311" i="5" s="1"/>
  <c r="AM311" i="5" s="1"/>
  <c r="AN311" i="5" s="1"/>
  <c r="AD179" i="5"/>
  <c r="AE179" i="5" s="1"/>
  <c r="AF179" i="5" s="1"/>
  <c r="AG179" i="5" s="1"/>
  <c r="AH179" i="5" s="1"/>
  <c r="O165" i="5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AG165" i="5" s="1"/>
  <c r="AH165" i="5" s="1"/>
  <c r="AI165" i="5" s="1"/>
  <c r="AJ165" i="5" s="1"/>
  <c r="AK165" i="5" s="1"/>
  <c r="AL165" i="5" s="1"/>
  <c r="AM165" i="5" s="1"/>
  <c r="AN165" i="5" s="1"/>
  <c r="S300" i="5"/>
  <c r="T300" i="5" s="1"/>
  <c r="V214" i="5"/>
  <c r="W214" i="5" s="1"/>
  <c r="O210" i="5"/>
  <c r="P210" i="5" s="1"/>
  <c r="P211" i="5"/>
  <c r="Q211" i="5" s="1"/>
  <c r="R211" i="5" s="1"/>
  <c r="AG180" i="5"/>
  <c r="AH180" i="5" s="1"/>
  <c r="AI180" i="5" s="1"/>
  <c r="AJ180" i="5" s="1"/>
  <c r="AK180" i="5" s="1"/>
  <c r="AL180" i="5" s="1"/>
  <c r="AM180" i="5" s="1"/>
  <c r="AN180" i="5" s="1"/>
  <c r="AD225" i="5"/>
  <c r="AE225" i="5" s="1"/>
  <c r="AF225" i="5" s="1"/>
  <c r="AG225" i="5" s="1"/>
  <c r="AC178" i="5"/>
  <c r="AD178" i="5" s="1"/>
  <c r="X173" i="5"/>
  <c r="Y173" i="5" s="1"/>
  <c r="Z173" i="5" s="1"/>
  <c r="AA173" i="5" s="1"/>
  <c r="AB173" i="5" s="1"/>
  <c r="AC173" i="5" s="1"/>
  <c r="W172" i="5"/>
  <c r="X172" i="5" s="1"/>
  <c r="AB174" i="5"/>
  <c r="AC174" i="5" s="1"/>
  <c r="AD174" i="5" s="1"/>
  <c r="AE174" i="5" s="1"/>
  <c r="AF174" i="5" s="1"/>
  <c r="Z219" i="5"/>
  <c r="AA219" i="5" s="1"/>
  <c r="AB219" i="5" s="1"/>
  <c r="P377" i="5"/>
  <c r="Q377" i="5" s="1"/>
  <c r="R377" i="5" s="1"/>
  <c r="S377" i="5" s="1"/>
  <c r="T377" i="5" s="1"/>
  <c r="U377" i="5" s="1"/>
  <c r="V377" i="5" s="1"/>
  <c r="W377" i="5" s="1"/>
  <c r="X377" i="5" s="1"/>
  <c r="Y377" i="5" s="1"/>
  <c r="Z377" i="5" s="1"/>
  <c r="AA377" i="5" s="1"/>
  <c r="AB377" i="5" s="1"/>
  <c r="AC377" i="5" s="1"/>
  <c r="AD377" i="5" s="1"/>
  <c r="AE377" i="5" s="1"/>
  <c r="AF377" i="5" s="1"/>
  <c r="AG377" i="5" s="1"/>
  <c r="AH377" i="5" s="1"/>
  <c r="AI377" i="5" s="1"/>
  <c r="AJ377" i="5" s="1"/>
  <c r="AK377" i="5" s="1"/>
  <c r="AL377" i="5" s="1"/>
  <c r="AM377" i="5" s="1"/>
  <c r="AN377" i="5" s="1"/>
  <c r="U216" i="5"/>
  <c r="V216" i="5" s="1"/>
  <c r="W216" i="5" s="1"/>
  <c r="X216" i="5" s="1"/>
  <c r="Q166" i="5"/>
  <c r="R166" i="5" s="1"/>
  <c r="S166" i="5" s="1"/>
  <c r="T166" i="5" s="1"/>
  <c r="U166" i="5" s="1"/>
  <c r="Z175" i="5"/>
  <c r="AA175" i="5" s="1"/>
  <c r="Z221" i="5"/>
  <c r="AA221" i="5" s="1"/>
  <c r="AB221" i="5" s="1"/>
  <c r="R167" i="5"/>
  <c r="S167" i="5" s="1"/>
  <c r="V217" i="5"/>
  <c r="W217" i="5" s="1"/>
  <c r="AC310" i="5"/>
  <c r="AD310" i="5" s="1"/>
  <c r="N409" i="5"/>
  <c r="AB223" i="5"/>
  <c r="AC223" i="5" s="1"/>
  <c r="W218" i="5"/>
  <c r="X218" i="5" s="1"/>
  <c r="Y218" i="5" s="1"/>
  <c r="Z218" i="5" s="1"/>
  <c r="AA218" i="5" s="1"/>
  <c r="AB218" i="5" s="1"/>
  <c r="AC218" i="5" s="1"/>
  <c r="AD218" i="5" s="1"/>
  <c r="AE218" i="5" s="1"/>
  <c r="AF218" i="5" s="1"/>
  <c r="AG218" i="5" s="1"/>
  <c r="AH218" i="5" s="1"/>
  <c r="AI218" i="5" s="1"/>
  <c r="AJ218" i="5" s="1"/>
  <c r="AK218" i="5" s="1"/>
  <c r="AL218" i="5" s="1"/>
  <c r="AM218" i="5" s="1"/>
  <c r="AN218" i="5" s="1"/>
  <c r="R379" i="5"/>
  <c r="S379" i="5" s="1"/>
  <c r="V51" i="9"/>
  <c r="AD228" i="5"/>
  <c r="L209" i="5"/>
  <c r="T215" i="5"/>
  <c r="U215" i="5" s="1"/>
  <c r="N143" i="5"/>
  <c r="O143" i="5" s="1"/>
  <c r="W384" i="5"/>
  <c r="T213" i="5"/>
  <c r="U213" i="5" s="1"/>
  <c r="V213" i="5" s="1"/>
  <c r="Y220" i="5"/>
  <c r="Z220" i="5" s="1"/>
  <c r="AA220" i="5" s="1"/>
  <c r="AB220" i="5" s="1"/>
  <c r="AC224" i="5"/>
  <c r="AD224" i="5" s="1"/>
  <c r="AE224" i="5" s="1"/>
  <c r="AF224" i="5" s="1"/>
  <c r="AG224" i="5" s="1"/>
  <c r="AH224" i="5" s="1"/>
  <c r="AI224" i="5" s="1"/>
  <c r="AJ224" i="5" s="1"/>
  <c r="AK224" i="5" s="1"/>
  <c r="AL224" i="5" s="1"/>
  <c r="AM224" i="5" s="1"/>
  <c r="AN224" i="5" s="1"/>
  <c r="AA222" i="5"/>
  <c r="AB222" i="5" s="1"/>
  <c r="AC222" i="5" s="1"/>
  <c r="AD222" i="5" s="1"/>
  <c r="AE222" i="5" s="1"/>
  <c r="AH317" i="5"/>
  <c r="AI317" i="5" s="1"/>
  <c r="AJ317" i="5" s="1"/>
  <c r="AK317" i="5" s="1"/>
  <c r="AL317" i="5" s="1"/>
  <c r="AM317" i="5" s="1"/>
  <c r="AN317" i="5" s="1"/>
  <c r="AI405" i="5"/>
  <c r="AJ405" i="5" s="1"/>
  <c r="AK405" i="5" s="1"/>
  <c r="AL405" i="5" s="1"/>
  <c r="AM405" i="5" s="1"/>
  <c r="AG320" i="5"/>
  <c r="AD391" i="5"/>
  <c r="AE391" i="5" s="1"/>
  <c r="AF391" i="5" s="1"/>
  <c r="AH396" i="5"/>
  <c r="AI396" i="5" s="1"/>
  <c r="U302" i="5"/>
  <c r="V302" i="5" s="1"/>
  <c r="W302" i="5" s="1"/>
  <c r="X302" i="5" s="1"/>
  <c r="Z305" i="5"/>
  <c r="AA305" i="5" s="1"/>
  <c r="AB305" i="5" s="1"/>
  <c r="AG315" i="5"/>
  <c r="AH315" i="5" s="1"/>
  <c r="AI397" i="5"/>
  <c r="AJ397" i="5" s="1"/>
  <c r="AE313" i="5"/>
  <c r="AF313" i="5" s="1"/>
  <c r="AJ403" i="5"/>
  <c r="AK403" i="5" s="1"/>
  <c r="AL403" i="5" s="1"/>
  <c r="AC309" i="5"/>
  <c r="AD309" i="5" s="1"/>
  <c r="AE309" i="5" s="1"/>
  <c r="AF309" i="5" s="1"/>
  <c r="AG309" i="5" s="1"/>
  <c r="AH309" i="5" s="1"/>
  <c r="AI309" i="5" s="1"/>
  <c r="AJ309" i="5" s="1"/>
  <c r="AK309" i="5" s="1"/>
  <c r="AL309" i="5" s="1"/>
  <c r="AM309" i="5" s="1"/>
  <c r="AN309" i="5" s="1"/>
  <c r="AA308" i="5"/>
  <c r="AB308" i="5" s="1"/>
  <c r="AA388" i="5"/>
  <c r="AB388" i="5" s="1"/>
  <c r="S381" i="5"/>
  <c r="T381" i="5" s="1"/>
  <c r="U381" i="5" s="1"/>
  <c r="V381" i="5" s="1"/>
  <c r="Y387" i="5"/>
  <c r="Z387" i="5" s="1"/>
  <c r="AA387" i="5" s="1"/>
  <c r="AB389" i="5"/>
  <c r="Z385" i="5"/>
  <c r="AA385" i="5" s="1"/>
  <c r="AB385" i="5" s="1"/>
  <c r="AC385" i="5" s="1"/>
  <c r="AD385" i="5" s="1"/>
  <c r="AE385" i="5" s="1"/>
  <c r="AF385" i="5" s="1"/>
  <c r="AG385" i="5" s="1"/>
  <c r="AH385" i="5" s="1"/>
  <c r="AI385" i="5" s="1"/>
  <c r="AJ385" i="5" s="1"/>
  <c r="AK385" i="5" s="1"/>
  <c r="AL385" i="5" s="1"/>
  <c r="AM385" i="5" s="1"/>
  <c r="AN385" i="5" s="1"/>
  <c r="AG312" i="5"/>
  <c r="AI314" i="5"/>
  <c r="AH398" i="5"/>
  <c r="AI398" i="5" s="1"/>
  <c r="AI404" i="5"/>
  <c r="W303" i="5"/>
  <c r="X303" i="5" s="1"/>
  <c r="Y303" i="5" s="1"/>
  <c r="Z303" i="5" s="1"/>
  <c r="AA303" i="5" s="1"/>
  <c r="AB303" i="5" s="1"/>
  <c r="AC303" i="5" s="1"/>
  <c r="AD303" i="5" s="1"/>
  <c r="AE303" i="5" s="1"/>
  <c r="AF303" i="5" s="1"/>
  <c r="AG303" i="5" s="1"/>
  <c r="AH303" i="5" s="1"/>
  <c r="AI303" i="5" s="1"/>
  <c r="AJ303" i="5" s="1"/>
  <c r="AK303" i="5" s="1"/>
  <c r="AL303" i="5" s="1"/>
  <c r="AM303" i="5" s="1"/>
  <c r="AN303" i="5" s="1"/>
  <c r="AI401" i="5"/>
  <c r="AJ401" i="5" s="1"/>
  <c r="AK401" i="5" s="1"/>
  <c r="AI318" i="5"/>
  <c r="AJ318" i="5" s="1"/>
  <c r="T382" i="5"/>
  <c r="U301" i="5"/>
  <c r="AG323" i="5"/>
  <c r="AH323" i="5" s="1"/>
  <c r="X384" i="5"/>
  <c r="W304" i="5"/>
  <c r="Q297" i="5"/>
  <c r="Q327" i="5" s="1"/>
  <c r="V383" i="5"/>
  <c r="W383" i="5" s="1"/>
  <c r="X383" i="5" s="1"/>
  <c r="Y383" i="5" s="1"/>
  <c r="Z383" i="5" s="1"/>
  <c r="Y306" i="5"/>
  <c r="S378" i="5"/>
  <c r="T378" i="5" s="1"/>
  <c r="AG322" i="5"/>
  <c r="AH322" i="5" s="1"/>
  <c r="AH393" i="5"/>
  <c r="AI393" i="5" s="1"/>
  <c r="AH402" i="5"/>
  <c r="AI402" i="5" s="1"/>
  <c r="AJ402" i="5" s="1"/>
  <c r="AK402" i="5" s="1"/>
  <c r="AL402" i="5" s="1"/>
  <c r="AM402" i="5" s="1"/>
  <c r="AN402" i="5" s="1"/>
  <c r="AI325" i="5"/>
  <c r="AJ325" i="5" s="1"/>
  <c r="AI321" i="5"/>
  <c r="AJ321" i="5" s="1"/>
  <c r="AK321" i="5" s="1"/>
  <c r="AL321" i="5" s="1"/>
  <c r="AM321" i="5" s="1"/>
  <c r="AN321" i="5" s="1"/>
  <c r="AI324" i="5"/>
  <c r="AJ324" i="5" s="1"/>
  <c r="AK324" i="5" s="1"/>
  <c r="AL324" i="5" s="1"/>
  <c r="AM324" i="5" s="1"/>
  <c r="AN324" i="5" s="1"/>
  <c r="AI319" i="5"/>
  <c r="AJ319" i="5" s="1"/>
  <c r="AK319" i="5" s="1"/>
  <c r="AL319" i="5" s="1"/>
  <c r="AE392" i="5"/>
  <c r="AF392" i="5" s="1"/>
  <c r="AI394" i="5"/>
  <c r="AJ394" i="5" s="1"/>
  <c r="AK394" i="5" s="1"/>
  <c r="AL394" i="5" s="1"/>
  <c r="AG400" i="5"/>
  <c r="U299" i="5"/>
  <c r="V299" i="5" s="1"/>
  <c r="W299" i="5" s="1"/>
  <c r="X299" i="5" s="1"/>
  <c r="Y299" i="5" s="1"/>
  <c r="Z299" i="5" s="1"/>
  <c r="AA299" i="5" s="1"/>
  <c r="AB299" i="5" s="1"/>
  <c r="AC299" i="5" s="1"/>
  <c r="AD299" i="5" s="1"/>
  <c r="AE299" i="5" s="1"/>
  <c r="AF299" i="5" s="1"/>
  <c r="AG299" i="5" s="1"/>
  <c r="AH299" i="5" s="1"/>
  <c r="AI299" i="5" s="1"/>
  <c r="AJ299" i="5" s="1"/>
  <c r="AK299" i="5" s="1"/>
  <c r="AL299" i="5" s="1"/>
  <c r="AM299" i="5" s="1"/>
  <c r="AN299" i="5" s="1"/>
  <c r="R298" i="5"/>
  <c r="S298" i="5" s="1"/>
  <c r="T298" i="5" s="1"/>
  <c r="U298" i="5" s="1"/>
  <c r="V298" i="5" s="1"/>
  <c r="W298" i="5" s="1"/>
  <c r="X298" i="5" s="1"/>
  <c r="Y298" i="5" s="1"/>
  <c r="Z298" i="5" s="1"/>
  <c r="AA298" i="5" s="1"/>
  <c r="AB298" i="5" s="1"/>
  <c r="AC298" i="5" s="1"/>
  <c r="AD298" i="5" s="1"/>
  <c r="AE298" i="5" s="1"/>
  <c r="AF298" i="5" s="1"/>
  <c r="AG298" i="5" s="1"/>
  <c r="AH298" i="5" s="1"/>
  <c r="AI298" i="5" s="1"/>
  <c r="AJ298" i="5" s="1"/>
  <c r="AK298" i="5" s="1"/>
  <c r="AL298" i="5" s="1"/>
  <c r="AM298" i="5" s="1"/>
  <c r="AN298" i="5" s="1"/>
  <c r="M367" i="5"/>
  <c r="AG271" i="5"/>
  <c r="AH271" i="5" s="1"/>
  <c r="AI271" i="5" s="1"/>
  <c r="AJ271" i="5" s="1"/>
  <c r="AK271" i="5" s="1"/>
  <c r="AL271" i="5" s="1"/>
  <c r="AM271" i="5" s="1"/>
  <c r="AN271" i="5" s="1"/>
  <c r="Y264" i="5"/>
  <c r="Z264" i="5" s="1"/>
  <c r="AA264" i="5" s="1"/>
  <c r="AB264" i="5" s="1"/>
  <c r="AC264" i="5" s="1"/>
  <c r="AD264" i="5" s="1"/>
  <c r="AE264" i="5" s="1"/>
  <c r="AF264" i="5" s="1"/>
  <c r="AG264" i="5" s="1"/>
  <c r="AH264" i="5" s="1"/>
  <c r="AI264" i="5" s="1"/>
  <c r="AJ264" i="5" s="1"/>
  <c r="AK264" i="5" s="1"/>
  <c r="AL264" i="5" s="1"/>
  <c r="AM264" i="5" s="1"/>
  <c r="AN264" i="5" s="1"/>
  <c r="AC266" i="5"/>
  <c r="AD266" i="5" s="1"/>
  <c r="AE266" i="5" s="1"/>
  <c r="AF266" i="5" s="1"/>
  <c r="AG266" i="5" s="1"/>
  <c r="AH266" i="5" s="1"/>
  <c r="AI266" i="5" s="1"/>
  <c r="AJ266" i="5" s="1"/>
  <c r="AK266" i="5" s="1"/>
  <c r="AL266" i="5" s="1"/>
  <c r="AM266" i="5" s="1"/>
  <c r="AN266" i="5" s="1"/>
  <c r="AD269" i="5"/>
  <c r="AE269" i="5" s="1"/>
  <c r="Y263" i="5"/>
  <c r="Z263" i="5" s="1"/>
  <c r="AA263" i="5" s="1"/>
  <c r="AB263" i="5" s="1"/>
  <c r="AC263" i="5" s="1"/>
  <c r="AD263" i="5" s="1"/>
  <c r="AE263" i="5" s="1"/>
  <c r="AF263" i="5" s="1"/>
  <c r="AG263" i="5" s="1"/>
  <c r="AH263" i="5" s="1"/>
  <c r="AI263" i="5" s="1"/>
  <c r="AJ263" i="5" s="1"/>
  <c r="AK263" i="5" s="1"/>
  <c r="AL263" i="5" s="1"/>
  <c r="AM263" i="5" s="1"/>
  <c r="AN263" i="5" s="1"/>
  <c r="AN280" i="5"/>
  <c r="AG272" i="5"/>
  <c r="AH272" i="5" s="1"/>
  <c r="AI272" i="5" s="1"/>
  <c r="AJ272" i="5" s="1"/>
  <c r="AK272" i="5" s="1"/>
  <c r="AL272" i="5" s="1"/>
  <c r="AM272" i="5" s="1"/>
  <c r="AN272" i="5" s="1"/>
  <c r="AL231" i="5"/>
  <c r="AM231" i="5" s="1"/>
  <c r="V769" i="5"/>
  <c r="V743" i="5" s="1"/>
  <c r="AC267" i="5"/>
  <c r="AD267" i="5" s="1"/>
  <c r="AE267" i="5" s="1"/>
  <c r="AF267" i="5" s="1"/>
  <c r="AG267" i="5" s="1"/>
  <c r="AH267" i="5" s="1"/>
  <c r="AI267" i="5" s="1"/>
  <c r="AJ267" i="5" s="1"/>
  <c r="AK267" i="5" s="1"/>
  <c r="AL267" i="5" s="1"/>
  <c r="AM267" i="5" s="1"/>
  <c r="AN267" i="5" s="1"/>
  <c r="AM232" i="5"/>
  <c r="AN232" i="5" s="1"/>
  <c r="U257" i="5"/>
  <c r="V257" i="5" s="1"/>
  <c r="W257" i="5" s="1"/>
  <c r="X257" i="5" s="1"/>
  <c r="Y257" i="5" s="1"/>
  <c r="Z257" i="5" s="1"/>
  <c r="AA257" i="5" s="1"/>
  <c r="AB257" i="5" s="1"/>
  <c r="AC257" i="5" s="1"/>
  <c r="AD257" i="5" s="1"/>
  <c r="AE257" i="5" s="1"/>
  <c r="AF257" i="5" s="1"/>
  <c r="AG257" i="5" s="1"/>
  <c r="AH257" i="5" s="1"/>
  <c r="AI257" i="5" s="1"/>
  <c r="AJ257" i="5" s="1"/>
  <c r="AK257" i="5" s="1"/>
  <c r="AL257" i="5" s="1"/>
  <c r="AM257" i="5" s="1"/>
  <c r="AN257" i="5" s="1"/>
  <c r="AI183" i="5"/>
  <c r="AJ183" i="5" s="1"/>
  <c r="AI275" i="5"/>
  <c r="AJ275" i="5" s="1"/>
  <c r="AM186" i="5"/>
  <c r="AN186" i="5" s="1"/>
  <c r="AM278" i="5"/>
  <c r="AN278" i="5" s="1"/>
  <c r="AJ229" i="5"/>
  <c r="O407" i="5"/>
  <c r="M53" i="9"/>
  <c r="N91" i="5"/>
  <c r="M68" i="9"/>
  <c r="T259" i="5"/>
  <c r="U259" i="5" s="1"/>
  <c r="V259" i="5" s="1"/>
  <c r="W259" i="5" s="1"/>
  <c r="X259" i="5" s="1"/>
  <c r="Y259" i="5" s="1"/>
  <c r="Z259" i="5" s="1"/>
  <c r="AA259" i="5" s="1"/>
  <c r="AB259" i="5" s="1"/>
  <c r="AC259" i="5" s="1"/>
  <c r="AD259" i="5" s="1"/>
  <c r="AE259" i="5" s="1"/>
  <c r="AF259" i="5" s="1"/>
  <c r="AG259" i="5" s="1"/>
  <c r="AH259" i="5" s="1"/>
  <c r="AI259" i="5" s="1"/>
  <c r="AJ259" i="5" s="1"/>
  <c r="AK259" i="5" s="1"/>
  <c r="AL259" i="5" s="1"/>
  <c r="AM259" i="5" s="1"/>
  <c r="AN259" i="5" s="1"/>
  <c r="AI230" i="5"/>
  <c r="AJ230" i="5" s="1"/>
  <c r="AJ185" i="5"/>
  <c r="AK185" i="5" s="1"/>
  <c r="AL185" i="5" s="1"/>
  <c r="R258" i="5"/>
  <c r="S258" i="5" s="1"/>
  <c r="T258" i="5" s="1"/>
  <c r="U258" i="5" s="1"/>
  <c r="V258" i="5" s="1"/>
  <c r="W258" i="5" s="1"/>
  <c r="X258" i="5" s="1"/>
  <c r="AF273" i="5"/>
  <c r="AG273" i="5" s="1"/>
  <c r="AH273" i="5" s="1"/>
  <c r="W893" i="5"/>
  <c r="W897" i="5" s="1"/>
  <c r="W262" i="5"/>
  <c r="X262" i="5" s="1"/>
  <c r="Y262" i="5" s="1"/>
  <c r="Z262" i="5" s="1"/>
  <c r="AA262" i="5" s="1"/>
  <c r="AB262" i="5" s="1"/>
  <c r="AC262" i="5" s="1"/>
  <c r="AD262" i="5" s="1"/>
  <c r="AE262" i="5" s="1"/>
  <c r="AF262" i="5" s="1"/>
  <c r="AG262" i="5" s="1"/>
  <c r="AH262" i="5" s="1"/>
  <c r="AI262" i="5" s="1"/>
  <c r="AJ262" i="5" s="1"/>
  <c r="AK262" i="5" s="1"/>
  <c r="AL262" i="5" s="1"/>
  <c r="AM262" i="5" s="1"/>
  <c r="AN262" i="5" s="1"/>
  <c r="AI182" i="5"/>
  <c r="AG227" i="5"/>
  <c r="W261" i="5"/>
  <c r="X261" i="5" s="1"/>
  <c r="Y261" i="5" s="1"/>
  <c r="Z261" i="5" s="1"/>
  <c r="AA261" i="5" s="1"/>
  <c r="AB261" i="5" s="1"/>
  <c r="AC261" i="5" s="1"/>
  <c r="AD261" i="5" s="1"/>
  <c r="AE261" i="5" s="1"/>
  <c r="AF261" i="5" s="1"/>
  <c r="AG261" i="5" s="1"/>
  <c r="AH261" i="5" s="1"/>
  <c r="AI261" i="5" s="1"/>
  <c r="AJ261" i="5" s="1"/>
  <c r="AK261" i="5" s="1"/>
  <c r="AL261" i="5" s="1"/>
  <c r="AM261" i="5" s="1"/>
  <c r="AN261" i="5" s="1"/>
  <c r="AN779" i="5"/>
  <c r="AJ228" i="5"/>
  <c r="N329" i="5"/>
  <c r="O327" i="5"/>
  <c r="L46" i="9"/>
  <c r="M141" i="5"/>
  <c r="M148" i="5" s="1"/>
  <c r="V741" i="5"/>
  <c r="V30" i="9" s="1"/>
  <c r="V82" i="9" s="1"/>
  <c r="V738" i="5"/>
  <c r="V92" i="9" s="1"/>
  <c r="V864" i="5"/>
  <c r="AI276" i="5"/>
  <c r="AJ276" i="5" s="1"/>
  <c r="AH274" i="5"/>
  <c r="AI184" i="5"/>
  <c r="AJ182" i="5"/>
  <c r="AK277" i="5"/>
  <c r="AG181" i="5"/>
  <c r="AH181" i="5" s="1"/>
  <c r="N163" i="5" l="1"/>
  <c r="N193" i="5" s="1"/>
  <c r="L201" i="5"/>
  <c r="AB168" i="5"/>
  <c r="AC168" i="5" s="1"/>
  <c r="AD168" i="5" s="1"/>
  <c r="AE168" i="5" s="1"/>
  <c r="AF168" i="5" s="1"/>
  <c r="AG168" i="5" s="1"/>
  <c r="AH168" i="5" s="1"/>
  <c r="AI168" i="5" s="1"/>
  <c r="AJ168" i="5" s="1"/>
  <c r="AK168" i="5" s="1"/>
  <c r="AL168" i="5" s="1"/>
  <c r="AM168" i="5" s="1"/>
  <c r="AN168" i="5" s="1"/>
  <c r="O164" i="5"/>
  <c r="P164" i="5" s="1"/>
  <c r="Q164" i="5" s="1"/>
  <c r="M369" i="5"/>
  <c r="M371" i="5" s="1"/>
  <c r="AF268" i="5"/>
  <c r="AG268" i="5" s="1"/>
  <c r="AH268" i="5" s="1"/>
  <c r="AI268" i="5" s="1"/>
  <c r="AJ268" i="5" s="1"/>
  <c r="AK268" i="5" s="1"/>
  <c r="AL268" i="5" s="1"/>
  <c r="AM268" i="5" s="1"/>
  <c r="AN268" i="5" s="1"/>
  <c r="AI177" i="5"/>
  <c r="AJ177" i="5" s="1"/>
  <c r="AK177" i="5" s="1"/>
  <c r="AL177" i="5" s="1"/>
  <c r="AM177" i="5" s="1"/>
  <c r="AN177" i="5" s="1"/>
  <c r="AJ399" i="5"/>
  <c r="AK399" i="5" s="1"/>
  <c r="AL399" i="5" s="1"/>
  <c r="AM399" i="5" s="1"/>
  <c r="U300" i="5"/>
  <c r="V300" i="5" s="1"/>
  <c r="V260" i="5"/>
  <c r="W260" i="5" s="1"/>
  <c r="AA307" i="5"/>
  <c r="AB307" i="5" s="1"/>
  <c r="AC307" i="5" s="1"/>
  <c r="AD307" i="5" s="1"/>
  <c r="AE307" i="5" s="1"/>
  <c r="AF307" i="5" s="1"/>
  <c r="AG307" i="5" s="1"/>
  <c r="AH307" i="5" s="1"/>
  <c r="AI307" i="5" s="1"/>
  <c r="AJ307" i="5" s="1"/>
  <c r="AK307" i="5" s="1"/>
  <c r="AL307" i="5" s="1"/>
  <c r="AM307" i="5" s="1"/>
  <c r="AN307" i="5" s="1"/>
  <c r="U744" i="5"/>
  <c r="U745" i="5" s="1"/>
  <c r="U63" i="9" s="1"/>
  <c r="U62" i="9" s="1"/>
  <c r="AD176" i="5"/>
  <c r="AE176" i="5" s="1"/>
  <c r="AF176" i="5" s="1"/>
  <c r="AG176" i="5" s="1"/>
  <c r="AH176" i="5" s="1"/>
  <c r="AI176" i="5" s="1"/>
  <c r="AJ176" i="5" s="1"/>
  <c r="AD223" i="5"/>
  <c r="AE223" i="5" s="1"/>
  <c r="AF223" i="5" s="1"/>
  <c r="AG223" i="5" s="1"/>
  <c r="AH223" i="5" s="1"/>
  <c r="AI223" i="5" s="1"/>
  <c r="AJ223" i="5" s="1"/>
  <c r="W213" i="5"/>
  <c r="X213" i="5" s="1"/>
  <c r="Y213" i="5" s="1"/>
  <c r="Z213" i="5" s="1"/>
  <c r="AA213" i="5" s="1"/>
  <c r="AG226" i="5"/>
  <c r="AH226" i="5" s="1"/>
  <c r="Z265" i="5"/>
  <c r="AA265" i="5" s="1"/>
  <c r="AB265" i="5" s="1"/>
  <c r="AC265" i="5" s="1"/>
  <c r="AD265" i="5" s="1"/>
  <c r="AE265" i="5" s="1"/>
  <c r="AF265" i="5" s="1"/>
  <c r="AG265" i="5" s="1"/>
  <c r="AH265" i="5" s="1"/>
  <c r="AI265" i="5" s="1"/>
  <c r="AJ265" i="5" s="1"/>
  <c r="AK265" i="5" s="1"/>
  <c r="AL265" i="5" s="1"/>
  <c r="AM265" i="5" s="1"/>
  <c r="AN265" i="5" s="1"/>
  <c r="Y172" i="5"/>
  <c r="Z172" i="5" s="1"/>
  <c r="AA172" i="5" s="1"/>
  <c r="AB172" i="5" s="1"/>
  <c r="L285" i="5"/>
  <c r="M255" i="5"/>
  <c r="T212" i="5"/>
  <c r="U212" i="5" s="1"/>
  <c r="V212" i="5" s="1"/>
  <c r="K13" i="9"/>
  <c r="AN14" i="9"/>
  <c r="N331" i="5"/>
  <c r="AJ314" i="5"/>
  <c r="AK314" i="5" s="1"/>
  <c r="AL314" i="5" s="1"/>
  <c r="AM314" i="5" s="1"/>
  <c r="AN314" i="5" s="1"/>
  <c r="AF222" i="5"/>
  <c r="AG222" i="5" s="1"/>
  <c r="AH222" i="5" s="1"/>
  <c r="AI222" i="5" s="1"/>
  <c r="AJ222" i="5" s="1"/>
  <c r="AK222" i="5" s="1"/>
  <c r="AL222" i="5" s="1"/>
  <c r="AM222" i="5" s="1"/>
  <c r="AN222" i="5" s="1"/>
  <c r="AC220" i="5"/>
  <c r="AD220" i="5" s="1"/>
  <c r="AE220" i="5" s="1"/>
  <c r="AF220" i="5" s="1"/>
  <c r="AG220" i="5" s="1"/>
  <c r="AH220" i="5" s="1"/>
  <c r="AI220" i="5" s="1"/>
  <c r="AJ220" i="5" s="1"/>
  <c r="AK220" i="5" s="1"/>
  <c r="AL220" i="5" s="1"/>
  <c r="AM220" i="5" s="1"/>
  <c r="AN220" i="5" s="1"/>
  <c r="AI179" i="5"/>
  <c r="AJ179" i="5" s="1"/>
  <c r="AK179" i="5" s="1"/>
  <c r="AL179" i="5" s="1"/>
  <c r="AM179" i="5" s="1"/>
  <c r="AN179" i="5" s="1"/>
  <c r="AH225" i="5"/>
  <c r="AI225" i="5" s="1"/>
  <c r="AJ225" i="5" s="1"/>
  <c r="AK225" i="5" s="1"/>
  <c r="AL225" i="5" s="1"/>
  <c r="AM225" i="5" s="1"/>
  <c r="AN225" i="5" s="1"/>
  <c r="AG174" i="5"/>
  <c r="AH174" i="5" s="1"/>
  <c r="AI174" i="5" s="1"/>
  <c r="AJ174" i="5" s="1"/>
  <c r="AK174" i="5" s="1"/>
  <c r="AL174" i="5" s="1"/>
  <c r="AM174" i="5" s="1"/>
  <c r="AN174" i="5" s="1"/>
  <c r="AC219" i="5"/>
  <c r="AD219" i="5" s="1"/>
  <c r="AE219" i="5" s="1"/>
  <c r="AF219" i="5" s="1"/>
  <c r="AG219" i="5" s="1"/>
  <c r="AH219" i="5" s="1"/>
  <c r="AI219" i="5" s="1"/>
  <c r="AJ219" i="5" s="1"/>
  <c r="AK219" i="5" s="1"/>
  <c r="AL219" i="5" s="1"/>
  <c r="AM219" i="5" s="1"/>
  <c r="AN219" i="5" s="1"/>
  <c r="AE178" i="5"/>
  <c r="AF178" i="5" s="1"/>
  <c r="AG178" i="5" s="1"/>
  <c r="AH178" i="5" s="1"/>
  <c r="AD173" i="5"/>
  <c r="AE173" i="5" s="1"/>
  <c r="AF173" i="5" s="1"/>
  <c r="AG173" i="5" s="1"/>
  <c r="AH173" i="5" s="1"/>
  <c r="AI173" i="5" s="1"/>
  <c r="AJ173" i="5" s="1"/>
  <c r="AK173" i="5" s="1"/>
  <c r="AL173" i="5" s="1"/>
  <c r="AM173" i="5" s="1"/>
  <c r="AN173" i="5" s="1"/>
  <c r="AI316" i="5"/>
  <c r="AJ316" i="5" s="1"/>
  <c r="AK316" i="5" s="1"/>
  <c r="AL316" i="5" s="1"/>
  <c r="AM316" i="5" s="1"/>
  <c r="AN316" i="5" s="1"/>
  <c r="V166" i="5"/>
  <c r="W166" i="5" s="1"/>
  <c r="X166" i="5" s="1"/>
  <c r="Y166" i="5" s="1"/>
  <c r="Z166" i="5" s="1"/>
  <c r="AA166" i="5" s="1"/>
  <c r="AB166" i="5" s="1"/>
  <c r="AC166" i="5" s="1"/>
  <c r="AD166" i="5" s="1"/>
  <c r="AE166" i="5" s="1"/>
  <c r="AF166" i="5" s="1"/>
  <c r="AG166" i="5" s="1"/>
  <c r="AH166" i="5" s="1"/>
  <c r="AI166" i="5" s="1"/>
  <c r="AJ166" i="5" s="1"/>
  <c r="AK166" i="5" s="1"/>
  <c r="AL166" i="5" s="1"/>
  <c r="AM166" i="5" s="1"/>
  <c r="AN166" i="5" s="1"/>
  <c r="S211" i="5"/>
  <c r="T211" i="5" s="1"/>
  <c r="U211" i="5" s="1"/>
  <c r="V211" i="5" s="1"/>
  <c r="W211" i="5" s="1"/>
  <c r="X211" i="5" s="1"/>
  <c r="Y211" i="5" s="1"/>
  <c r="Z211" i="5" s="1"/>
  <c r="AA211" i="5" s="1"/>
  <c r="AB211" i="5" s="1"/>
  <c r="AC211" i="5" s="1"/>
  <c r="AD211" i="5" s="1"/>
  <c r="AE211" i="5" s="1"/>
  <c r="AF211" i="5" s="1"/>
  <c r="AG211" i="5" s="1"/>
  <c r="AH211" i="5" s="1"/>
  <c r="AI211" i="5" s="1"/>
  <c r="AJ211" i="5" s="1"/>
  <c r="AK211" i="5" s="1"/>
  <c r="AL211" i="5" s="1"/>
  <c r="AM211" i="5" s="1"/>
  <c r="AN211" i="5" s="1"/>
  <c r="AN405" i="5"/>
  <c r="Q210" i="5"/>
  <c r="R210" i="5" s="1"/>
  <c r="X217" i="5"/>
  <c r="Y217" i="5" s="1"/>
  <c r="Z217" i="5" s="1"/>
  <c r="AE310" i="5"/>
  <c r="AF310" i="5" s="1"/>
  <c r="AG310" i="5" s="1"/>
  <c r="AH310" i="5" s="1"/>
  <c r="AI310" i="5" s="1"/>
  <c r="AJ310" i="5" s="1"/>
  <c r="AK310" i="5" s="1"/>
  <c r="AL310" i="5" s="1"/>
  <c r="AM310" i="5" s="1"/>
  <c r="AN310" i="5" s="1"/>
  <c r="AC221" i="5"/>
  <c r="AD221" i="5" s="1"/>
  <c r="AE221" i="5" s="1"/>
  <c r="AF221" i="5" s="1"/>
  <c r="AG221" i="5" s="1"/>
  <c r="AH221" i="5" s="1"/>
  <c r="AI221" i="5" s="1"/>
  <c r="AJ221" i="5" s="1"/>
  <c r="AK221" i="5" s="1"/>
  <c r="AL221" i="5" s="1"/>
  <c r="AM221" i="5" s="1"/>
  <c r="AN221" i="5" s="1"/>
  <c r="V215" i="5"/>
  <c r="W215" i="5" s="1"/>
  <c r="X215" i="5" s="1"/>
  <c r="Y215" i="5" s="1"/>
  <c r="Z215" i="5" s="1"/>
  <c r="AA215" i="5" s="1"/>
  <c r="AB215" i="5" s="1"/>
  <c r="AC215" i="5" s="1"/>
  <c r="AD215" i="5" s="1"/>
  <c r="AE215" i="5" s="1"/>
  <c r="AF215" i="5" s="1"/>
  <c r="AG215" i="5" s="1"/>
  <c r="AH215" i="5" s="1"/>
  <c r="AI215" i="5" s="1"/>
  <c r="AJ215" i="5" s="1"/>
  <c r="AK215" i="5" s="1"/>
  <c r="AL215" i="5" s="1"/>
  <c r="AM215" i="5" s="1"/>
  <c r="AN215" i="5" s="1"/>
  <c r="Y216" i="5"/>
  <c r="Z216" i="5" s="1"/>
  <c r="AA216" i="5" s="1"/>
  <c r="AB216" i="5" s="1"/>
  <c r="AC216" i="5" s="1"/>
  <c r="AD216" i="5" s="1"/>
  <c r="AE216" i="5" s="1"/>
  <c r="AF216" i="5" s="1"/>
  <c r="AG216" i="5" s="1"/>
  <c r="AH216" i="5" s="1"/>
  <c r="AI216" i="5" s="1"/>
  <c r="AJ216" i="5" s="1"/>
  <c r="AK216" i="5" s="1"/>
  <c r="AL216" i="5" s="1"/>
  <c r="AM216" i="5" s="1"/>
  <c r="AN216" i="5" s="1"/>
  <c r="T167" i="5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AG167" i="5" s="1"/>
  <c r="AH167" i="5" s="1"/>
  <c r="AI167" i="5" s="1"/>
  <c r="AJ167" i="5" s="1"/>
  <c r="AK167" i="5" s="1"/>
  <c r="AL167" i="5" s="1"/>
  <c r="AM167" i="5" s="1"/>
  <c r="AN167" i="5" s="1"/>
  <c r="T379" i="5"/>
  <c r="U379" i="5" s="1"/>
  <c r="L239" i="5"/>
  <c r="M209" i="5"/>
  <c r="P143" i="5"/>
  <c r="Q143" i="5" s="1"/>
  <c r="AH320" i="5"/>
  <c r="AI320" i="5" s="1"/>
  <c r="AJ396" i="5"/>
  <c r="AK396" i="5" s="1"/>
  <c r="AL396" i="5" s="1"/>
  <c r="AM396" i="5" s="1"/>
  <c r="AN396" i="5" s="1"/>
  <c r="AG313" i="5"/>
  <c r="AK397" i="5"/>
  <c r="AL397" i="5" s="1"/>
  <c r="AC388" i="5"/>
  <c r="AJ393" i="5"/>
  <c r="AK393" i="5" s="1"/>
  <c r="AL393" i="5" s="1"/>
  <c r="V380" i="5"/>
  <c r="W380" i="5" s="1"/>
  <c r="X380" i="5" s="1"/>
  <c r="Y380" i="5" s="1"/>
  <c r="Z380" i="5" s="1"/>
  <c r="AA380" i="5" s="1"/>
  <c r="AB380" i="5" s="1"/>
  <c r="AC380" i="5" s="1"/>
  <c r="AD380" i="5" s="1"/>
  <c r="AE380" i="5" s="1"/>
  <c r="AF380" i="5" s="1"/>
  <c r="AG380" i="5" s="1"/>
  <c r="AH380" i="5" s="1"/>
  <c r="AI380" i="5" s="1"/>
  <c r="AJ380" i="5" s="1"/>
  <c r="AK380" i="5" s="1"/>
  <c r="AL380" i="5" s="1"/>
  <c r="AM380" i="5" s="1"/>
  <c r="AN380" i="5" s="1"/>
  <c r="AK318" i="5"/>
  <c r="AL318" i="5" s="1"/>
  <c r="AM318" i="5" s="1"/>
  <c r="AN318" i="5" s="1"/>
  <c r="AI315" i="5"/>
  <c r="AJ315" i="5" s="1"/>
  <c r="AK315" i="5" s="1"/>
  <c r="AL315" i="5" s="1"/>
  <c r="AM315" i="5" s="1"/>
  <c r="AN315" i="5" s="1"/>
  <c r="AC386" i="5"/>
  <c r="AD386" i="5" s="1"/>
  <c r="AM319" i="5"/>
  <c r="AN319" i="5" s="1"/>
  <c r="AG392" i="5"/>
  <c r="AH392" i="5" s="1"/>
  <c r="AI392" i="5" s="1"/>
  <c r="AJ392" i="5" s="1"/>
  <c r="AK392" i="5" s="1"/>
  <c r="AL392" i="5" s="1"/>
  <c r="AM392" i="5" s="1"/>
  <c r="AN392" i="5" s="1"/>
  <c r="AM394" i="5"/>
  <c r="AN394" i="5" s="1"/>
  <c r="AA383" i="5"/>
  <c r="AB383" i="5" s="1"/>
  <c r="AC383" i="5" s="1"/>
  <c r="AD383" i="5" s="1"/>
  <c r="AE383" i="5" s="1"/>
  <c r="AF383" i="5" s="1"/>
  <c r="AG383" i="5" s="1"/>
  <c r="AH383" i="5" s="1"/>
  <c r="AI383" i="5" s="1"/>
  <c r="AJ383" i="5" s="1"/>
  <c r="AK383" i="5" s="1"/>
  <c r="AL383" i="5" s="1"/>
  <c r="AM383" i="5" s="1"/>
  <c r="AN383" i="5" s="1"/>
  <c r="AC305" i="5"/>
  <c r="AD305" i="5" s="1"/>
  <c r="AE305" i="5" s="1"/>
  <c r="AF305" i="5" s="1"/>
  <c r="AG305" i="5" s="1"/>
  <c r="AH305" i="5" s="1"/>
  <c r="AI305" i="5" s="1"/>
  <c r="AJ305" i="5" s="1"/>
  <c r="AK305" i="5" s="1"/>
  <c r="AL305" i="5" s="1"/>
  <c r="AM305" i="5" s="1"/>
  <c r="AN305" i="5" s="1"/>
  <c r="AG391" i="5"/>
  <c r="AH391" i="5" s="1"/>
  <c r="AI391" i="5" s="1"/>
  <c r="AJ391" i="5" s="1"/>
  <c r="AK391" i="5" s="1"/>
  <c r="AL391" i="5" s="1"/>
  <c r="AM391" i="5" s="1"/>
  <c r="AN391" i="5" s="1"/>
  <c r="AJ404" i="5"/>
  <c r="AK404" i="5" s="1"/>
  <c r="AL404" i="5" s="1"/>
  <c r="AM404" i="5" s="1"/>
  <c r="AN404" i="5" s="1"/>
  <c r="Y302" i="5"/>
  <c r="AK325" i="5"/>
  <c r="AL325" i="5" s="1"/>
  <c r="AM325" i="5" s="1"/>
  <c r="AN325" i="5" s="1"/>
  <c r="U378" i="5"/>
  <c r="V301" i="5"/>
  <c r="W301" i="5" s="1"/>
  <c r="X301" i="5" s="1"/>
  <c r="Y301" i="5" s="1"/>
  <c r="Z301" i="5" s="1"/>
  <c r="AA301" i="5" s="1"/>
  <c r="AH312" i="5"/>
  <c r="AI312" i="5" s="1"/>
  <c r="AJ312" i="5" s="1"/>
  <c r="AC389" i="5"/>
  <c r="AD389" i="5" s="1"/>
  <c r="AE389" i="5" s="1"/>
  <c r="AF389" i="5" s="1"/>
  <c r="AG389" i="5" s="1"/>
  <c r="AH389" i="5" s="1"/>
  <c r="AI389" i="5" s="1"/>
  <c r="AJ389" i="5" s="1"/>
  <c r="AK389" i="5" s="1"/>
  <c r="AL389" i="5" s="1"/>
  <c r="AM389" i="5" s="1"/>
  <c r="AN389" i="5" s="1"/>
  <c r="U382" i="5"/>
  <c r="V382" i="5" s="1"/>
  <c r="W382" i="5" s="1"/>
  <c r="AB387" i="5"/>
  <c r="AC387" i="5" s="1"/>
  <c r="AD387" i="5" s="1"/>
  <c r="AE387" i="5" s="1"/>
  <c r="AF387" i="5" s="1"/>
  <c r="AG387" i="5" s="1"/>
  <c r="AH387" i="5" s="1"/>
  <c r="AI387" i="5" s="1"/>
  <c r="AJ387" i="5" s="1"/>
  <c r="AK387" i="5" s="1"/>
  <c r="AL387" i="5" s="1"/>
  <c r="AM387" i="5" s="1"/>
  <c r="AN387" i="5" s="1"/>
  <c r="L371" i="5"/>
  <c r="AI322" i="5"/>
  <c r="AJ322" i="5" s="1"/>
  <c r="AK322" i="5" s="1"/>
  <c r="AL322" i="5" s="1"/>
  <c r="AM322" i="5" s="1"/>
  <c r="AN322" i="5" s="1"/>
  <c r="AL401" i="5"/>
  <c r="AM401" i="5" s="1"/>
  <c r="AN401" i="5" s="1"/>
  <c r="AJ398" i="5"/>
  <c r="AK398" i="5" s="1"/>
  <c r="AC308" i="5"/>
  <c r="AD308" i="5" s="1"/>
  <c r="AM403" i="5"/>
  <c r="AN403" i="5" s="1"/>
  <c r="Z306" i="5"/>
  <c r="AA306" i="5" s="1"/>
  <c r="R297" i="5"/>
  <c r="X304" i="5"/>
  <c r="AI323" i="5"/>
  <c r="AJ323" i="5" s="1"/>
  <c r="AH400" i="5"/>
  <c r="AI400" i="5" s="1"/>
  <c r="Y384" i="5"/>
  <c r="Z384" i="5" s="1"/>
  <c r="AA384" i="5" s="1"/>
  <c r="AB384" i="5" s="1"/>
  <c r="AC384" i="5" s="1"/>
  <c r="AD384" i="5" s="1"/>
  <c r="AE384" i="5" s="1"/>
  <c r="AF384" i="5" s="1"/>
  <c r="AG384" i="5" s="1"/>
  <c r="AH384" i="5" s="1"/>
  <c r="AI384" i="5" s="1"/>
  <c r="AJ384" i="5" s="1"/>
  <c r="AK384" i="5" s="1"/>
  <c r="AL384" i="5" s="1"/>
  <c r="AM384" i="5" s="1"/>
  <c r="AN384" i="5" s="1"/>
  <c r="W381" i="5"/>
  <c r="AI226" i="5"/>
  <c r="AJ226" i="5" s="1"/>
  <c r="AK226" i="5" s="1"/>
  <c r="Q407" i="5"/>
  <c r="V93" i="9"/>
  <c r="P327" i="5"/>
  <c r="P329" i="5" s="1"/>
  <c r="N367" i="5"/>
  <c r="N369" i="5" s="1"/>
  <c r="N195" i="5"/>
  <c r="X260" i="5"/>
  <c r="Y260" i="5" s="1"/>
  <c r="Z260" i="5" s="1"/>
  <c r="AA260" i="5" s="1"/>
  <c r="AB260" i="5" s="1"/>
  <c r="AC260" i="5" s="1"/>
  <c r="AD260" i="5" s="1"/>
  <c r="AE260" i="5" s="1"/>
  <c r="AF260" i="5" s="1"/>
  <c r="AG260" i="5" s="1"/>
  <c r="AH260" i="5" s="1"/>
  <c r="AI260" i="5" s="1"/>
  <c r="AJ260" i="5" s="1"/>
  <c r="AK260" i="5" s="1"/>
  <c r="AL260" i="5" s="1"/>
  <c r="AM260" i="5" s="1"/>
  <c r="AN260" i="5" s="1"/>
  <c r="S210" i="5"/>
  <c r="T210" i="5" s="1"/>
  <c r="S256" i="5"/>
  <c r="T256" i="5" s="1"/>
  <c r="U256" i="5" s="1"/>
  <c r="V256" i="5" s="1"/>
  <c r="W256" i="5" s="1"/>
  <c r="X256" i="5" s="1"/>
  <c r="AN231" i="5"/>
  <c r="W763" i="5"/>
  <c r="W742" i="5" s="1"/>
  <c r="W894" i="5"/>
  <c r="X891" i="5" s="1"/>
  <c r="O329" i="5"/>
  <c r="AK275" i="5"/>
  <c r="AL275" i="5" s="1"/>
  <c r="AK229" i="5"/>
  <c r="AL229" i="5" s="1"/>
  <c r="AM229" i="5" s="1"/>
  <c r="AN229" i="5" s="1"/>
  <c r="AL277" i="5"/>
  <c r="AM277" i="5" s="1"/>
  <c r="AN277" i="5" s="1"/>
  <c r="AM185" i="5"/>
  <c r="AN185" i="5" s="1"/>
  <c r="AI273" i="5"/>
  <c r="AJ273" i="5" s="1"/>
  <c r="AK273" i="5" s="1"/>
  <c r="AL273" i="5" s="1"/>
  <c r="AM273" i="5" s="1"/>
  <c r="AN273" i="5" s="1"/>
  <c r="AK230" i="5"/>
  <c r="AL230" i="5" s="1"/>
  <c r="AM230" i="5" s="1"/>
  <c r="AN230" i="5" s="1"/>
  <c r="AJ184" i="5"/>
  <c r="AK184" i="5" s="1"/>
  <c r="M46" i="9"/>
  <c r="N141" i="5"/>
  <c r="N148" i="5" s="1"/>
  <c r="AK182" i="5"/>
  <c r="AL182" i="5" s="1"/>
  <c r="X214" i="5"/>
  <c r="Y214" i="5" s="1"/>
  <c r="Z214" i="5" s="1"/>
  <c r="AA214" i="5" s="1"/>
  <c r="AB214" i="5" s="1"/>
  <c r="AK183" i="5"/>
  <c r="W918" i="5"/>
  <c r="W927" i="5" s="1"/>
  <c r="W899" i="5"/>
  <c r="W83" i="9" s="1"/>
  <c r="Y258" i="5"/>
  <c r="Z258" i="5" s="1"/>
  <c r="AA258" i="5" s="1"/>
  <c r="AB258" i="5" s="1"/>
  <c r="AC258" i="5" s="1"/>
  <c r="AD258" i="5" s="1"/>
  <c r="AE258" i="5" s="1"/>
  <c r="AF258" i="5" s="1"/>
  <c r="AG258" i="5" s="1"/>
  <c r="AH258" i="5" s="1"/>
  <c r="AI258" i="5" s="1"/>
  <c r="AJ258" i="5" s="1"/>
  <c r="AK258" i="5" s="1"/>
  <c r="AL258" i="5" s="1"/>
  <c r="AM258" i="5" s="1"/>
  <c r="AN258" i="5" s="1"/>
  <c r="P407" i="5"/>
  <c r="P409" i="5" s="1"/>
  <c r="R407" i="5"/>
  <c r="AI181" i="5"/>
  <c r="O163" i="5"/>
  <c r="P163" i="5" s="1"/>
  <c r="P193" i="5" s="1"/>
  <c r="AF269" i="5"/>
  <c r="AG269" i="5" s="1"/>
  <c r="AH269" i="5" s="1"/>
  <c r="AI269" i="5" s="1"/>
  <c r="AJ269" i="5" s="1"/>
  <c r="AK269" i="5" s="1"/>
  <c r="AB175" i="5"/>
  <c r="AC175" i="5" s="1"/>
  <c r="AD175" i="5" s="1"/>
  <c r="AE175" i="5" s="1"/>
  <c r="AH227" i="5"/>
  <c r="W767" i="5"/>
  <c r="N53" i="9"/>
  <c r="N68" i="9"/>
  <c r="O91" i="5"/>
  <c r="AK228" i="5"/>
  <c r="AL228" i="5" s="1"/>
  <c r="AI274" i="5"/>
  <c r="AJ274" i="5" s="1"/>
  <c r="AK274" i="5" s="1"/>
  <c r="AL274" i="5" s="1"/>
  <c r="AM274" i="5" s="1"/>
  <c r="AN274" i="5" s="1"/>
  <c r="AK276" i="5"/>
  <c r="AL276" i="5" s="1"/>
  <c r="M197" i="5"/>
  <c r="M195" i="5"/>
  <c r="M201" i="5" s="1"/>
  <c r="O409" i="5"/>
  <c r="AN399" i="5" l="1"/>
  <c r="W300" i="5"/>
  <c r="X300" i="5" s="1"/>
  <c r="Y300" i="5" s="1"/>
  <c r="Z300" i="5" s="1"/>
  <c r="AA300" i="5" s="1"/>
  <c r="AB300" i="5" s="1"/>
  <c r="AC300" i="5" s="1"/>
  <c r="AD300" i="5" s="1"/>
  <c r="AE300" i="5" s="1"/>
  <c r="AF300" i="5" s="1"/>
  <c r="AG300" i="5" s="1"/>
  <c r="AH300" i="5" s="1"/>
  <c r="AI300" i="5" s="1"/>
  <c r="AJ300" i="5" s="1"/>
  <c r="AK300" i="5" s="1"/>
  <c r="AL300" i="5" s="1"/>
  <c r="AM300" i="5" s="1"/>
  <c r="AN300" i="5" s="1"/>
  <c r="R164" i="5"/>
  <c r="S164" i="5" s="1"/>
  <c r="T164" i="5" s="1"/>
  <c r="U66" i="9"/>
  <c r="AK176" i="5"/>
  <c r="AL176" i="5" s="1"/>
  <c r="AM176" i="5" s="1"/>
  <c r="AN176" i="5" s="1"/>
  <c r="AK223" i="5"/>
  <c r="AL223" i="5" s="1"/>
  <c r="AM223" i="5" s="1"/>
  <c r="AN223" i="5" s="1"/>
  <c r="AA217" i="5"/>
  <c r="AB217" i="5" s="1"/>
  <c r="AC217" i="5" s="1"/>
  <c r="AD217" i="5" s="1"/>
  <c r="AE217" i="5" s="1"/>
  <c r="AF217" i="5" s="1"/>
  <c r="AG217" i="5" s="1"/>
  <c r="AH217" i="5" s="1"/>
  <c r="AI217" i="5" s="1"/>
  <c r="AJ217" i="5" s="1"/>
  <c r="AK217" i="5" s="1"/>
  <c r="AL217" i="5" s="1"/>
  <c r="AM217" i="5" s="1"/>
  <c r="AN217" i="5" s="1"/>
  <c r="AB213" i="5"/>
  <c r="AC213" i="5" s="1"/>
  <c r="AD213" i="5" s="1"/>
  <c r="AE213" i="5" s="1"/>
  <c r="AF213" i="5" s="1"/>
  <c r="AG213" i="5" s="1"/>
  <c r="AH213" i="5" s="1"/>
  <c r="AI213" i="5" s="1"/>
  <c r="AJ213" i="5" s="1"/>
  <c r="AK213" i="5" s="1"/>
  <c r="AL213" i="5" s="1"/>
  <c r="AM213" i="5" s="1"/>
  <c r="AN213" i="5" s="1"/>
  <c r="AC172" i="5"/>
  <c r="AD172" i="5" s="1"/>
  <c r="AE172" i="5" s="1"/>
  <c r="AF172" i="5" s="1"/>
  <c r="AG172" i="5" s="1"/>
  <c r="AH172" i="5" s="1"/>
  <c r="AI172" i="5" s="1"/>
  <c r="AJ172" i="5" s="1"/>
  <c r="AK172" i="5" s="1"/>
  <c r="AL172" i="5" s="1"/>
  <c r="AM172" i="5" s="1"/>
  <c r="AN172" i="5" s="1"/>
  <c r="W212" i="5"/>
  <c r="X212" i="5" s="1"/>
  <c r="Y212" i="5" s="1"/>
  <c r="Z212" i="5" s="1"/>
  <c r="AA212" i="5" s="1"/>
  <c r="AB212" i="5" s="1"/>
  <c r="AC212" i="5" s="1"/>
  <c r="AD212" i="5" s="1"/>
  <c r="AE212" i="5" s="1"/>
  <c r="AF212" i="5" s="1"/>
  <c r="AG212" i="5" s="1"/>
  <c r="AH212" i="5" s="1"/>
  <c r="AI212" i="5" s="1"/>
  <c r="AJ212" i="5" s="1"/>
  <c r="AK212" i="5" s="1"/>
  <c r="AL212" i="5" s="1"/>
  <c r="AM212" i="5" s="1"/>
  <c r="AN212" i="5" s="1"/>
  <c r="N255" i="5"/>
  <c r="M285" i="5"/>
  <c r="L289" i="5"/>
  <c r="L287" i="5"/>
  <c r="L291" i="5" s="1"/>
  <c r="P331" i="5"/>
  <c r="AI178" i="5"/>
  <c r="AJ178" i="5" s="1"/>
  <c r="AK178" i="5" s="1"/>
  <c r="AL178" i="5" s="1"/>
  <c r="AM178" i="5" s="1"/>
  <c r="AN178" i="5" s="1"/>
  <c r="AE386" i="5"/>
  <c r="AF386" i="5" s="1"/>
  <c r="AG386" i="5" s="1"/>
  <c r="AH386" i="5" s="1"/>
  <c r="AI386" i="5" s="1"/>
  <c r="AJ386" i="5" s="1"/>
  <c r="AK386" i="5" s="1"/>
  <c r="AL386" i="5" s="1"/>
  <c r="AM386" i="5" s="1"/>
  <c r="AN386" i="5" s="1"/>
  <c r="M239" i="5"/>
  <c r="M241" i="5" s="1"/>
  <c r="M245" i="5" s="1"/>
  <c r="N209" i="5"/>
  <c r="L241" i="5"/>
  <c r="L243" i="5"/>
  <c r="L152" i="5"/>
  <c r="L25" i="9" s="1"/>
  <c r="L80" i="9" s="1"/>
  <c r="AM393" i="5"/>
  <c r="AN393" i="5" s="1"/>
  <c r="V379" i="5"/>
  <c r="W379" i="5" s="1"/>
  <c r="X379" i="5" s="1"/>
  <c r="AB301" i="5"/>
  <c r="AC301" i="5" s="1"/>
  <c r="AD301" i="5" s="1"/>
  <c r="AE301" i="5" s="1"/>
  <c r="AF301" i="5" s="1"/>
  <c r="AG301" i="5" s="1"/>
  <c r="AH301" i="5" s="1"/>
  <c r="AI301" i="5" s="1"/>
  <c r="AJ301" i="5" s="1"/>
  <c r="AK301" i="5" s="1"/>
  <c r="AL301" i="5" s="1"/>
  <c r="AM301" i="5" s="1"/>
  <c r="AN301" i="5" s="1"/>
  <c r="AJ320" i="5"/>
  <c r="AK320" i="5" s="1"/>
  <c r="AL320" i="5" s="1"/>
  <c r="AM320" i="5" s="1"/>
  <c r="AN320" i="5" s="1"/>
  <c r="AH313" i="5"/>
  <c r="AI313" i="5" s="1"/>
  <c r="AJ313" i="5" s="1"/>
  <c r="AK313" i="5" s="1"/>
  <c r="AJ400" i="5"/>
  <c r="AK400" i="5" s="1"/>
  <c r="AL400" i="5" s="1"/>
  <c r="AM400" i="5" s="1"/>
  <c r="AN400" i="5" s="1"/>
  <c r="AB306" i="5"/>
  <c r="AC306" i="5" s="1"/>
  <c r="AD306" i="5" s="1"/>
  <c r="AE306" i="5" s="1"/>
  <c r="AF306" i="5" s="1"/>
  <c r="AG306" i="5" s="1"/>
  <c r="AH306" i="5" s="1"/>
  <c r="AI306" i="5" s="1"/>
  <c r="AJ306" i="5" s="1"/>
  <c r="AK306" i="5" s="1"/>
  <c r="AL306" i="5" s="1"/>
  <c r="AM306" i="5" s="1"/>
  <c r="AN306" i="5" s="1"/>
  <c r="AD388" i="5"/>
  <c r="AE388" i="5" s="1"/>
  <c r="AF388" i="5" s="1"/>
  <c r="AG388" i="5" s="1"/>
  <c r="AH388" i="5" s="1"/>
  <c r="AI388" i="5" s="1"/>
  <c r="AJ388" i="5" s="1"/>
  <c r="AK388" i="5" s="1"/>
  <c r="AL388" i="5" s="1"/>
  <c r="AM388" i="5" s="1"/>
  <c r="AN388" i="5" s="1"/>
  <c r="AM397" i="5"/>
  <c r="AN397" i="5" s="1"/>
  <c r="X381" i="5"/>
  <c r="Y381" i="5" s="1"/>
  <c r="Z381" i="5" s="1"/>
  <c r="AA381" i="5" s="1"/>
  <c r="AB381" i="5" s="1"/>
  <c r="AC381" i="5" s="1"/>
  <c r="AD381" i="5" s="1"/>
  <c r="AE381" i="5" s="1"/>
  <c r="AF381" i="5" s="1"/>
  <c r="AG381" i="5" s="1"/>
  <c r="AH381" i="5" s="1"/>
  <c r="AK323" i="5"/>
  <c r="AL323" i="5" s="1"/>
  <c r="AM323" i="5" s="1"/>
  <c r="AN323" i="5" s="1"/>
  <c r="X382" i="5"/>
  <c r="Y382" i="5" s="1"/>
  <c r="Z382" i="5" s="1"/>
  <c r="AA382" i="5" s="1"/>
  <c r="AB382" i="5" s="1"/>
  <c r="AC382" i="5" s="1"/>
  <c r="AD382" i="5" s="1"/>
  <c r="AE382" i="5" s="1"/>
  <c r="AF382" i="5" s="1"/>
  <c r="AG382" i="5" s="1"/>
  <c r="AH382" i="5" s="1"/>
  <c r="AI382" i="5" s="1"/>
  <c r="AJ382" i="5" s="1"/>
  <c r="AK382" i="5" s="1"/>
  <c r="AL382" i="5" s="1"/>
  <c r="AM382" i="5" s="1"/>
  <c r="AN382" i="5" s="1"/>
  <c r="AE308" i="5"/>
  <c r="AF308" i="5" s="1"/>
  <c r="AG308" i="5" s="1"/>
  <c r="AH308" i="5" s="1"/>
  <c r="AI308" i="5" s="1"/>
  <c r="AJ308" i="5" s="1"/>
  <c r="AK308" i="5" s="1"/>
  <c r="AL308" i="5" s="1"/>
  <c r="AM308" i="5" s="1"/>
  <c r="AN308" i="5" s="1"/>
  <c r="AK312" i="5"/>
  <c r="AL312" i="5" s="1"/>
  <c r="AM312" i="5" s="1"/>
  <c r="AN312" i="5" s="1"/>
  <c r="V378" i="5"/>
  <c r="O331" i="5"/>
  <c r="Z302" i="5"/>
  <c r="AA302" i="5" s="1"/>
  <c r="AB302" i="5" s="1"/>
  <c r="S297" i="5"/>
  <c r="S327" i="5" s="1"/>
  <c r="Y304" i="5"/>
  <c r="Z304" i="5" s="1"/>
  <c r="AA304" i="5" s="1"/>
  <c r="AB304" i="5" s="1"/>
  <c r="AC304" i="5" s="1"/>
  <c r="AD304" i="5" s="1"/>
  <c r="AE304" i="5" s="1"/>
  <c r="AF304" i="5" s="1"/>
  <c r="AG304" i="5" s="1"/>
  <c r="AH304" i="5" s="1"/>
  <c r="AI304" i="5" s="1"/>
  <c r="AJ304" i="5" s="1"/>
  <c r="AK304" i="5" s="1"/>
  <c r="AL304" i="5" s="1"/>
  <c r="AM304" i="5" s="1"/>
  <c r="AN304" i="5" s="1"/>
  <c r="N371" i="5"/>
  <c r="N803" i="5" s="1"/>
  <c r="AL398" i="5"/>
  <c r="AM398" i="5" s="1"/>
  <c r="AN398" i="5" s="1"/>
  <c r="R327" i="5"/>
  <c r="R329" i="5" s="1"/>
  <c r="AL226" i="5"/>
  <c r="AM226" i="5" s="1"/>
  <c r="AN226" i="5" s="1"/>
  <c r="O367" i="5"/>
  <c r="O369" i="5" s="1"/>
  <c r="O371" i="5" s="1"/>
  <c r="Q329" i="5"/>
  <c r="W764" i="5"/>
  <c r="W736" i="5" s="1"/>
  <c r="W738" i="5" s="1"/>
  <c r="W92" i="9" s="1"/>
  <c r="U210" i="5"/>
  <c r="V210" i="5" s="1"/>
  <c r="W51" i="9"/>
  <c r="W768" i="5"/>
  <c r="W739" i="5" s="1"/>
  <c r="Q409" i="5"/>
  <c r="AL184" i="5"/>
  <c r="AM184" i="5" s="1"/>
  <c r="AN184" i="5" s="1"/>
  <c r="AM182" i="5"/>
  <c r="AN182" i="5" s="1"/>
  <c r="AM228" i="5"/>
  <c r="AN228" i="5" s="1"/>
  <c r="AM275" i="5"/>
  <c r="AN275" i="5" s="1"/>
  <c r="R409" i="5"/>
  <c r="Y256" i="5"/>
  <c r="Z256" i="5" s="1"/>
  <c r="AA256" i="5" s="1"/>
  <c r="AB256" i="5" s="1"/>
  <c r="AC256" i="5" s="1"/>
  <c r="AD256" i="5" s="1"/>
  <c r="AE256" i="5" s="1"/>
  <c r="AF256" i="5" s="1"/>
  <c r="AG256" i="5" s="1"/>
  <c r="AH256" i="5" s="1"/>
  <c r="AI256" i="5" s="1"/>
  <c r="AJ256" i="5" s="1"/>
  <c r="AK256" i="5" s="1"/>
  <c r="AL256" i="5" s="1"/>
  <c r="AM256" i="5" s="1"/>
  <c r="AN256" i="5" s="1"/>
  <c r="S407" i="5"/>
  <c r="S409" i="5" s="1"/>
  <c r="AF175" i="5"/>
  <c r="AG175" i="5" s="1"/>
  <c r="AH175" i="5" s="1"/>
  <c r="AI175" i="5" s="1"/>
  <c r="AJ175" i="5" s="1"/>
  <c r="AK175" i="5" s="1"/>
  <c r="AL175" i="5" s="1"/>
  <c r="AM175" i="5" s="1"/>
  <c r="AN175" i="5" s="1"/>
  <c r="AM276" i="5"/>
  <c r="AN276" i="5" s="1"/>
  <c r="N199" i="5"/>
  <c r="O53" i="9"/>
  <c r="O68" i="9"/>
  <c r="P91" i="5"/>
  <c r="X893" i="5"/>
  <c r="X897" i="5" s="1"/>
  <c r="U164" i="5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AG164" i="5" s="1"/>
  <c r="AH164" i="5" s="1"/>
  <c r="AI164" i="5" s="1"/>
  <c r="AJ164" i="5" s="1"/>
  <c r="AK164" i="5" s="1"/>
  <c r="AL164" i="5" s="1"/>
  <c r="AM164" i="5" s="1"/>
  <c r="AN164" i="5" s="1"/>
  <c r="AL269" i="5"/>
  <c r="AM269" i="5" s="1"/>
  <c r="AN269" i="5" s="1"/>
  <c r="M199" i="5"/>
  <c r="M203" i="5" s="1"/>
  <c r="Q163" i="5"/>
  <c r="R163" i="5" s="1"/>
  <c r="R193" i="5" s="1"/>
  <c r="N197" i="5"/>
  <c r="AJ181" i="5"/>
  <c r="AK181" i="5" s="1"/>
  <c r="AL181" i="5" s="1"/>
  <c r="AM181" i="5" s="1"/>
  <c r="AN181" i="5" s="1"/>
  <c r="AI227" i="5"/>
  <c r="AJ227" i="5" s="1"/>
  <c r="O193" i="5"/>
  <c r="P195" i="5" s="1"/>
  <c r="R143" i="5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AG143" i="5" s="1"/>
  <c r="AH143" i="5" s="1"/>
  <c r="AI143" i="5" s="1"/>
  <c r="AJ143" i="5" s="1"/>
  <c r="AK143" i="5" s="1"/>
  <c r="AL143" i="5" s="1"/>
  <c r="AM143" i="5" s="1"/>
  <c r="AN143" i="5" s="1"/>
  <c r="AC214" i="5"/>
  <c r="AD214" i="5" s="1"/>
  <c r="AE214" i="5" s="1"/>
  <c r="AF214" i="5" s="1"/>
  <c r="AG214" i="5" s="1"/>
  <c r="AH214" i="5" s="1"/>
  <c r="AI214" i="5" s="1"/>
  <c r="AJ214" i="5" s="1"/>
  <c r="AK214" i="5" s="1"/>
  <c r="AL214" i="5" s="1"/>
  <c r="AM214" i="5" s="1"/>
  <c r="AN214" i="5" s="1"/>
  <c r="N46" i="9"/>
  <c r="O141" i="5"/>
  <c r="O148" i="5" s="1"/>
  <c r="P197" i="5"/>
  <c r="AL183" i="5"/>
  <c r="AM183" i="5" s="1"/>
  <c r="AN183" i="5" s="1"/>
  <c r="L153" i="5" l="1"/>
  <c r="M289" i="5"/>
  <c r="M287" i="5"/>
  <c r="M291" i="5" s="1"/>
  <c r="M156" i="5" s="1"/>
  <c r="O255" i="5"/>
  <c r="P255" i="5" s="1"/>
  <c r="P285" i="5" s="1"/>
  <c r="P289" i="5" s="1"/>
  <c r="N285" i="5"/>
  <c r="P367" i="5"/>
  <c r="P369" i="5" s="1"/>
  <c r="P371" i="5" s="1"/>
  <c r="L245" i="5"/>
  <c r="L247" i="5"/>
  <c r="L803" i="5" s="1"/>
  <c r="L807" i="5" s="1"/>
  <c r="M247" i="5"/>
  <c r="M803" i="5" s="1"/>
  <c r="M807" i="5" s="1"/>
  <c r="L154" i="5"/>
  <c r="L45" i="9" s="1"/>
  <c r="L44" i="9" s="1"/>
  <c r="L155" i="5"/>
  <c r="L938" i="5" s="1"/>
  <c r="O209" i="5"/>
  <c r="N239" i="5"/>
  <c r="N805" i="5"/>
  <c r="L850" i="5"/>
  <c r="L865" i="5"/>
  <c r="M155" i="5"/>
  <c r="M243" i="5"/>
  <c r="M153" i="5" s="1"/>
  <c r="M865" i="5" s="1"/>
  <c r="M152" i="5"/>
  <c r="M25" i="9" s="1"/>
  <c r="M80" i="9" s="1"/>
  <c r="Y379" i="5"/>
  <c r="Z379" i="5" s="1"/>
  <c r="AA379" i="5" s="1"/>
  <c r="AC302" i="5"/>
  <c r="AD302" i="5" s="1"/>
  <c r="AE302" i="5" s="1"/>
  <c r="AF302" i="5" s="1"/>
  <c r="AG302" i="5" s="1"/>
  <c r="AH302" i="5" s="1"/>
  <c r="AI302" i="5" s="1"/>
  <c r="AJ302" i="5" s="1"/>
  <c r="AK302" i="5" s="1"/>
  <c r="AL302" i="5" s="1"/>
  <c r="AM302" i="5" s="1"/>
  <c r="AN302" i="5" s="1"/>
  <c r="AL313" i="5"/>
  <c r="AI381" i="5"/>
  <c r="AJ381" i="5" s="1"/>
  <c r="AK381" i="5" s="1"/>
  <c r="AL381" i="5" s="1"/>
  <c r="AM381" i="5" s="1"/>
  <c r="AN381" i="5" s="1"/>
  <c r="S329" i="5"/>
  <c r="S331" i="5" s="1"/>
  <c r="R331" i="5"/>
  <c r="Q331" i="5"/>
  <c r="T297" i="5"/>
  <c r="U297" i="5" s="1"/>
  <c r="V297" i="5" s="1"/>
  <c r="W297" i="5" s="1"/>
  <c r="X297" i="5" s="1"/>
  <c r="Y297" i="5" s="1"/>
  <c r="Z297" i="5" s="1"/>
  <c r="AA297" i="5" s="1"/>
  <c r="AB297" i="5" s="1"/>
  <c r="AC297" i="5" s="1"/>
  <c r="AD297" i="5" s="1"/>
  <c r="AE297" i="5" s="1"/>
  <c r="AF297" i="5" s="1"/>
  <c r="AG297" i="5" s="1"/>
  <c r="AH297" i="5" s="1"/>
  <c r="AI297" i="5" s="1"/>
  <c r="AJ297" i="5" s="1"/>
  <c r="AK297" i="5" s="1"/>
  <c r="AL297" i="5" s="1"/>
  <c r="AM297" i="5" s="1"/>
  <c r="AN297" i="5" s="1"/>
  <c r="W378" i="5"/>
  <c r="X378" i="5" s="1"/>
  <c r="Y378" i="5" s="1"/>
  <c r="Z378" i="5" s="1"/>
  <c r="AA378" i="5" s="1"/>
  <c r="AB378" i="5" s="1"/>
  <c r="AC378" i="5" s="1"/>
  <c r="AD378" i="5" s="1"/>
  <c r="AE378" i="5" s="1"/>
  <c r="AF378" i="5" s="1"/>
  <c r="AG378" i="5" s="1"/>
  <c r="AH378" i="5" s="1"/>
  <c r="AI378" i="5" s="1"/>
  <c r="N807" i="5"/>
  <c r="W741" i="5"/>
  <c r="W30" i="9" s="1"/>
  <c r="W82" i="9" s="1"/>
  <c r="W864" i="5"/>
  <c r="W91" i="9"/>
  <c r="W93" i="9" s="1"/>
  <c r="V744" i="5"/>
  <c r="W769" i="5"/>
  <c r="X763" i="5" s="1"/>
  <c r="W210" i="5"/>
  <c r="X210" i="5" s="1"/>
  <c r="M850" i="5"/>
  <c r="AK227" i="5"/>
  <c r="AL227" i="5" s="1"/>
  <c r="AM227" i="5" s="1"/>
  <c r="AN227" i="5" s="1"/>
  <c r="P141" i="5"/>
  <c r="P148" i="5" s="1"/>
  <c r="O46" i="9"/>
  <c r="O197" i="5"/>
  <c r="O195" i="5"/>
  <c r="X894" i="5"/>
  <c r="P199" i="5"/>
  <c r="S163" i="5"/>
  <c r="Q193" i="5"/>
  <c r="M157" i="5"/>
  <c r="X918" i="5"/>
  <c r="X927" i="5" s="1"/>
  <c r="X899" i="5"/>
  <c r="X83" i="9" s="1"/>
  <c r="R197" i="5"/>
  <c r="Q91" i="5"/>
  <c r="P68" i="9"/>
  <c r="P53" i="9"/>
  <c r="M154" i="5" l="1"/>
  <c r="M45" i="9" s="1"/>
  <c r="M44" i="9" s="1"/>
  <c r="N289" i="5"/>
  <c r="N287" i="5"/>
  <c r="N291" i="5" s="1"/>
  <c r="O285" i="5"/>
  <c r="O289" i="5" s="1"/>
  <c r="Q255" i="5"/>
  <c r="P287" i="5"/>
  <c r="AB379" i="5"/>
  <c r="AC379" i="5" s="1"/>
  <c r="AD379" i="5" s="1"/>
  <c r="AE379" i="5" s="1"/>
  <c r="AF379" i="5" s="1"/>
  <c r="AG379" i="5" s="1"/>
  <c r="AH379" i="5" s="1"/>
  <c r="AI379" i="5" s="1"/>
  <c r="AJ379" i="5" s="1"/>
  <c r="AK379" i="5" s="1"/>
  <c r="AL379" i="5" s="1"/>
  <c r="AM379" i="5" s="1"/>
  <c r="AN379" i="5" s="1"/>
  <c r="P209" i="5"/>
  <c r="O239" i="5"/>
  <c r="N241" i="5"/>
  <c r="T327" i="5"/>
  <c r="T329" i="5" s="1"/>
  <c r="T331" i="5" s="1"/>
  <c r="L20" i="9"/>
  <c r="L22" i="9" s="1"/>
  <c r="L848" i="5"/>
  <c r="L156" i="5"/>
  <c r="L249" i="5"/>
  <c r="L805" i="5" s="1"/>
  <c r="L809" i="5" s="1"/>
  <c r="L157" i="5"/>
  <c r="M249" i="5"/>
  <c r="M805" i="5" s="1"/>
  <c r="M809" i="5" s="1"/>
  <c r="N243" i="5"/>
  <c r="N153" i="5" s="1"/>
  <c r="N865" i="5" s="1"/>
  <c r="N152" i="5"/>
  <c r="N25" i="9" s="1"/>
  <c r="N80" i="9" s="1"/>
  <c r="AJ378" i="5"/>
  <c r="AK378" i="5" s="1"/>
  <c r="AL378" i="5" s="1"/>
  <c r="AM378" i="5" s="1"/>
  <c r="AN378" i="5" s="1"/>
  <c r="AM313" i="5"/>
  <c r="AN313" i="5" s="1"/>
  <c r="R367" i="5"/>
  <c r="P291" i="5"/>
  <c r="P201" i="5"/>
  <c r="O201" i="5"/>
  <c r="Q367" i="5"/>
  <c r="Q369" i="5" s="1"/>
  <c r="W743" i="5"/>
  <c r="V745" i="5"/>
  <c r="V63" i="9" s="1"/>
  <c r="V62" i="9" s="1"/>
  <c r="V66" i="9"/>
  <c r="U327" i="5"/>
  <c r="Y210" i="5"/>
  <c r="Z210" i="5" s="1"/>
  <c r="AA210" i="5" s="1"/>
  <c r="AB210" i="5" s="1"/>
  <c r="AC210" i="5" s="1"/>
  <c r="AD210" i="5" s="1"/>
  <c r="AE210" i="5" s="1"/>
  <c r="AF210" i="5" s="1"/>
  <c r="AG210" i="5" s="1"/>
  <c r="AH210" i="5" s="1"/>
  <c r="AI210" i="5" s="1"/>
  <c r="AJ210" i="5" s="1"/>
  <c r="AK210" i="5" s="1"/>
  <c r="AL210" i="5" s="1"/>
  <c r="AM210" i="5" s="1"/>
  <c r="AN210" i="5" s="1"/>
  <c r="T407" i="5"/>
  <c r="T409" i="5" s="1"/>
  <c r="Q68" i="9"/>
  <c r="R91" i="5"/>
  <c r="Q53" i="9"/>
  <c r="N809" i="5"/>
  <c r="Q197" i="5"/>
  <c r="M20" i="9"/>
  <c r="M848" i="5"/>
  <c r="M938" i="5"/>
  <c r="O199" i="5"/>
  <c r="R195" i="5"/>
  <c r="P46" i="9"/>
  <c r="Q141" i="5"/>
  <c r="Q148" i="5" s="1"/>
  <c r="Y891" i="5"/>
  <c r="X51" i="9"/>
  <c r="Q195" i="5"/>
  <c r="S193" i="5"/>
  <c r="T163" i="5"/>
  <c r="N938" i="5"/>
  <c r="N20" i="9"/>
  <c r="N22" i="9" s="1"/>
  <c r="N40" i="9" s="1"/>
  <c r="N848" i="5"/>
  <c r="X767" i="5"/>
  <c r="X742" i="5"/>
  <c r="X764" i="5"/>
  <c r="X736" i="5" s="1"/>
  <c r="X768" i="5"/>
  <c r="X739" i="5" s="1"/>
  <c r="R255" i="5" l="1"/>
  <c r="Q285" i="5"/>
  <c r="S255" i="5"/>
  <c r="S285" i="5" s="1"/>
  <c r="S289" i="5" s="1"/>
  <c r="O287" i="5"/>
  <c r="O291" i="5" s="1"/>
  <c r="U329" i="5"/>
  <c r="U331" i="5" s="1"/>
  <c r="N850" i="5"/>
  <c r="L939" i="5"/>
  <c r="L849" i="5"/>
  <c r="N245" i="5"/>
  <c r="N155" i="5"/>
  <c r="N154" i="5"/>
  <c r="N45" i="9" s="1"/>
  <c r="N44" i="9" s="1"/>
  <c r="L937" i="5"/>
  <c r="L40" i="9"/>
  <c r="L847" i="5"/>
  <c r="L23" i="9"/>
  <c r="L27" i="9"/>
  <c r="L863" i="5"/>
  <c r="L866" i="5" s="1"/>
  <c r="L867" i="5" s="1"/>
  <c r="O243" i="5"/>
  <c r="O153" i="5" s="1"/>
  <c r="O152" i="5"/>
  <c r="O25" i="9" s="1"/>
  <c r="O80" i="9" s="1"/>
  <c r="P239" i="5"/>
  <c r="Q209" i="5"/>
  <c r="O241" i="5"/>
  <c r="T367" i="5"/>
  <c r="Q371" i="5"/>
  <c r="R201" i="5"/>
  <c r="Q201" i="5"/>
  <c r="P203" i="5"/>
  <c r="O203" i="5"/>
  <c r="R369" i="5"/>
  <c r="R371" i="5" s="1"/>
  <c r="X91" i="9"/>
  <c r="W744" i="5"/>
  <c r="U407" i="5"/>
  <c r="U409" i="5" s="1"/>
  <c r="X741" i="5"/>
  <c r="X30" i="9" s="1"/>
  <c r="X82" i="9" s="1"/>
  <c r="X738" i="5"/>
  <c r="X92" i="9" s="1"/>
  <c r="X864" i="5"/>
  <c r="N863" i="5"/>
  <c r="N866" i="5" s="1"/>
  <c r="N23" i="9"/>
  <c r="N847" i="5"/>
  <c r="N27" i="9"/>
  <c r="N937" i="5"/>
  <c r="R199" i="5"/>
  <c r="N849" i="5"/>
  <c r="N939" i="5"/>
  <c r="S91" i="5"/>
  <c r="R53" i="9"/>
  <c r="R68" i="9"/>
  <c r="S197" i="5"/>
  <c r="S195" i="5"/>
  <c r="Q199" i="5"/>
  <c r="M22" i="9"/>
  <c r="Q46" i="9"/>
  <c r="R141" i="5"/>
  <c r="R148" i="5" s="1"/>
  <c r="X769" i="5"/>
  <c r="T193" i="5"/>
  <c r="U163" i="5"/>
  <c r="Y893" i="5"/>
  <c r="Y897" i="5" s="1"/>
  <c r="M849" i="5"/>
  <c r="M939" i="5"/>
  <c r="L851" i="5" l="1"/>
  <c r="L853" i="5" s="1"/>
  <c r="L858" i="5" s="1"/>
  <c r="L859" i="5" s="1"/>
  <c r="L940" i="5" s="1"/>
  <c r="Q289" i="5"/>
  <c r="Q287" i="5"/>
  <c r="Q291" i="5" s="1"/>
  <c r="R285" i="5"/>
  <c r="T255" i="5"/>
  <c r="L868" i="5"/>
  <c r="L873" i="5" s="1"/>
  <c r="L874" i="5" s="1"/>
  <c r="O245" i="5"/>
  <c r="O154" i="5"/>
  <c r="O45" i="9" s="1"/>
  <c r="O44" i="9" s="1"/>
  <c r="O155" i="5"/>
  <c r="R209" i="5"/>
  <c r="S209" i="5" s="1"/>
  <c r="S239" i="5" s="1"/>
  <c r="S243" i="5" s="1"/>
  <c r="Q239" i="5"/>
  <c r="N157" i="5"/>
  <c r="N156" i="5"/>
  <c r="P243" i="5"/>
  <c r="P153" i="5" s="1"/>
  <c r="P152" i="5"/>
  <c r="P25" i="9" s="1"/>
  <c r="P80" i="9" s="1"/>
  <c r="P241" i="5"/>
  <c r="O850" i="5"/>
  <c r="O865" i="5"/>
  <c r="L32" i="9"/>
  <c r="L28" i="9"/>
  <c r="O247" i="5"/>
  <c r="O803" i="5" s="1"/>
  <c r="S367" i="5"/>
  <c r="S369" i="5" s="1"/>
  <c r="S371" i="5" s="1"/>
  <c r="U367" i="5"/>
  <c r="S201" i="5"/>
  <c r="R203" i="5"/>
  <c r="Q203" i="5"/>
  <c r="X93" i="9"/>
  <c r="W745" i="5"/>
  <c r="W63" i="9" s="1"/>
  <c r="W62" i="9" s="1"/>
  <c r="W66" i="9"/>
  <c r="N867" i="5"/>
  <c r="N868" i="5"/>
  <c r="V327" i="5"/>
  <c r="V329" i="5" s="1"/>
  <c r="N851" i="5"/>
  <c r="N852" i="5" s="1"/>
  <c r="V407" i="5"/>
  <c r="V409" i="5" s="1"/>
  <c r="Y894" i="5"/>
  <c r="X743" i="5"/>
  <c r="Y763" i="5"/>
  <c r="R46" i="9"/>
  <c r="S141" i="5"/>
  <c r="S148" i="5" s="1"/>
  <c r="S199" i="5"/>
  <c r="Y918" i="5"/>
  <c r="Y927" i="5" s="1"/>
  <c r="Y899" i="5"/>
  <c r="Y83" i="9" s="1"/>
  <c r="M937" i="5"/>
  <c r="M863" i="5"/>
  <c r="M27" i="9"/>
  <c r="M847" i="5"/>
  <c r="M23" i="9"/>
  <c r="M40" i="9"/>
  <c r="T91" i="5"/>
  <c r="S53" i="9"/>
  <c r="S68" i="9"/>
  <c r="N28" i="9"/>
  <c r="N32" i="9"/>
  <c r="U193" i="5"/>
  <c r="V163" i="5"/>
  <c r="L871" i="5"/>
  <c r="M870" i="5" s="1"/>
  <c r="T197" i="5"/>
  <c r="T195" i="5"/>
  <c r="T201" i="5" s="1"/>
  <c r="S153" i="5" l="1"/>
  <c r="S865" i="5" s="1"/>
  <c r="L852" i="5"/>
  <c r="L856" i="5" s="1"/>
  <c r="M855" i="5" s="1"/>
  <c r="L916" i="5"/>
  <c r="L926" i="5" s="1"/>
  <c r="L932" i="5" s="1"/>
  <c r="L933" i="5" s="1"/>
  <c r="L946" i="5" s="1"/>
  <c r="L943" i="5" s="1"/>
  <c r="R289" i="5"/>
  <c r="S287" i="5"/>
  <c r="S291" i="5" s="1"/>
  <c r="T285" i="5"/>
  <c r="U255" i="5"/>
  <c r="R287" i="5"/>
  <c r="R291" i="5" s="1"/>
  <c r="U369" i="5"/>
  <c r="U371" i="5" s="1"/>
  <c r="Q241" i="5"/>
  <c r="Q243" i="5"/>
  <c r="Q153" i="5" s="1"/>
  <c r="Q152" i="5"/>
  <c r="Q25" i="9" s="1"/>
  <c r="Q80" i="9" s="1"/>
  <c r="L33" i="9"/>
  <c r="L835" i="5"/>
  <c r="R239" i="5"/>
  <c r="O807" i="5"/>
  <c r="P850" i="5"/>
  <c r="P865" i="5"/>
  <c r="T209" i="5"/>
  <c r="U209" i="5" s="1"/>
  <c r="U239" i="5" s="1"/>
  <c r="U243" i="5" s="1"/>
  <c r="O249" i="5"/>
  <c r="O805" i="5" s="1"/>
  <c r="O809" i="5" s="1"/>
  <c r="O939" i="5" s="1"/>
  <c r="O157" i="5"/>
  <c r="O156" i="5"/>
  <c r="P245" i="5"/>
  <c r="P249" i="5" s="1"/>
  <c r="P805" i="5" s="1"/>
  <c r="P809" i="5" s="1"/>
  <c r="Q247" i="5"/>
  <c r="Q803" i="5" s="1"/>
  <c r="Q807" i="5" s="1"/>
  <c r="Q848" i="5" s="1"/>
  <c r="P154" i="5"/>
  <c r="P45" i="9" s="1"/>
  <c r="P44" i="9" s="1"/>
  <c r="P155" i="5"/>
  <c r="P247" i="5"/>
  <c r="P803" i="5" s="1"/>
  <c r="P807" i="5" s="1"/>
  <c r="T369" i="5"/>
  <c r="T371" i="5" s="1"/>
  <c r="S152" i="5"/>
  <c r="S25" i="9" s="1"/>
  <c r="S80" i="9" s="1"/>
  <c r="V331" i="5"/>
  <c r="S203" i="5"/>
  <c r="S850" i="5"/>
  <c r="W327" i="5"/>
  <c r="W329" i="5" s="1"/>
  <c r="X327" i="5"/>
  <c r="W407" i="5"/>
  <c r="W409" i="5" s="1"/>
  <c r="M866" i="5"/>
  <c r="T199" i="5"/>
  <c r="N835" i="5"/>
  <c r="N33" i="9"/>
  <c r="M851" i="5"/>
  <c r="V193" i="5"/>
  <c r="W163" i="5"/>
  <c r="T68" i="9"/>
  <c r="T53" i="9"/>
  <c r="U91" i="5"/>
  <c r="M32" i="9"/>
  <c r="M28" i="9"/>
  <c r="Y767" i="5"/>
  <c r="Y742" i="5"/>
  <c r="Y764" i="5"/>
  <c r="Y736" i="5" s="1"/>
  <c r="Y768" i="5"/>
  <c r="Y739" i="5" s="1"/>
  <c r="U197" i="5"/>
  <c r="U195" i="5"/>
  <c r="L915" i="5"/>
  <c r="L925" i="5" s="1"/>
  <c r="L79" i="9"/>
  <c r="T141" i="5"/>
  <c r="T148" i="5" s="1"/>
  <c r="S46" i="9"/>
  <c r="Z891" i="5"/>
  <c r="Y51" i="9"/>
  <c r="L941" i="5"/>
  <c r="Q938" i="5" l="1"/>
  <c r="V255" i="5"/>
  <c r="U285" i="5"/>
  <c r="T289" i="5"/>
  <c r="T287" i="5"/>
  <c r="T291" i="5" s="1"/>
  <c r="Q20" i="9"/>
  <c r="Q22" i="9" s="1"/>
  <c r="Q937" i="5" s="1"/>
  <c r="O849" i="5"/>
  <c r="P939" i="5"/>
  <c r="P849" i="5"/>
  <c r="R243" i="5"/>
  <c r="R153" i="5" s="1"/>
  <c r="R152" i="5"/>
  <c r="R25" i="9" s="1"/>
  <c r="R80" i="9" s="1"/>
  <c r="R241" i="5"/>
  <c r="R247" i="5" s="1"/>
  <c r="R803" i="5" s="1"/>
  <c r="Q850" i="5"/>
  <c r="Q865" i="5"/>
  <c r="P20" i="9"/>
  <c r="P22" i="9" s="1"/>
  <c r="P848" i="5"/>
  <c r="P938" i="5"/>
  <c r="L837" i="5"/>
  <c r="L842" i="5" s="1"/>
  <c r="L843" i="5" s="1"/>
  <c r="L836" i="5"/>
  <c r="P156" i="5"/>
  <c r="P157" i="5"/>
  <c r="T239" i="5"/>
  <c r="U241" i="5" s="1"/>
  <c r="W209" i="5"/>
  <c r="W239" i="5" s="1"/>
  <c r="W243" i="5" s="1"/>
  <c r="Q245" i="5"/>
  <c r="Q249" i="5" s="1"/>
  <c r="Q805" i="5" s="1"/>
  <c r="Q809" i="5" s="1"/>
  <c r="Q155" i="5"/>
  <c r="Q154" i="5"/>
  <c r="Q45" i="9" s="1"/>
  <c r="Q44" i="9" s="1"/>
  <c r="O938" i="5"/>
  <c r="O848" i="5"/>
  <c r="O20" i="9"/>
  <c r="O22" i="9" s="1"/>
  <c r="O847" i="5" s="1"/>
  <c r="V209" i="5"/>
  <c r="V239" i="5" s="1"/>
  <c r="V243" i="5" s="1"/>
  <c r="U152" i="5"/>
  <c r="U25" i="9" s="1"/>
  <c r="U80" i="9" s="1"/>
  <c r="S241" i="5"/>
  <c r="V367" i="5"/>
  <c r="W331" i="5"/>
  <c r="U201" i="5"/>
  <c r="T203" i="5"/>
  <c r="Y91" i="9"/>
  <c r="X744" i="5"/>
  <c r="M867" i="5"/>
  <c r="M868" i="5"/>
  <c r="X329" i="5"/>
  <c r="X331" i="5" s="1"/>
  <c r="X407" i="5"/>
  <c r="X409" i="5" s="1"/>
  <c r="U141" i="5"/>
  <c r="U148" i="5" s="1"/>
  <c r="T46" i="9"/>
  <c r="L960" i="5"/>
  <c r="L948" i="5"/>
  <c r="Z893" i="5"/>
  <c r="Z897" i="5" s="1"/>
  <c r="U199" i="5"/>
  <c r="Y769" i="5"/>
  <c r="M835" i="5"/>
  <c r="M33" i="9"/>
  <c r="Y864" i="5"/>
  <c r="Y741" i="5"/>
  <c r="Y30" i="9" s="1"/>
  <c r="Y82" i="9" s="1"/>
  <c r="Y738" i="5"/>
  <c r="Y92" i="9" s="1"/>
  <c r="W193" i="5"/>
  <c r="X163" i="5"/>
  <c r="N837" i="5"/>
  <c r="N842" i="5" s="1"/>
  <c r="N843" i="5" s="1"/>
  <c r="N836" i="5"/>
  <c r="Q40" i="9"/>
  <c r="V91" i="5"/>
  <c r="U68" i="9"/>
  <c r="U53" i="9"/>
  <c r="V197" i="5"/>
  <c r="V195" i="5"/>
  <c r="M852" i="5"/>
  <c r="M853" i="5"/>
  <c r="L67" i="9"/>
  <c r="L929" i="5"/>
  <c r="L930" i="5" s="1"/>
  <c r="L81" i="9" s="1"/>
  <c r="Q27" i="9" l="1"/>
  <c r="Q23" i="9"/>
  <c r="Q847" i="5"/>
  <c r="Q863" i="5"/>
  <c r="U289" i="5"/>
  <c r="U153" i="5" s="1"/>
  <c r="U865" i="5" s="1"/>
  <c r="U287" i="5"/>
  <c r="U291" i="5" s="1"/>
  <c r="V285" i="5"/>
  <c r="W255" i="5"/>
  <c r="O27" i="9"/>
  <c r="O32" i="9" s="1"/>
  <c r="O23" i="9"/>
  <c r="O863" i="5"/>
  <c r="O866" i="5" s="1"/>
  <c r="O40" i="9"/>
  <c r="O937" i="5"/>
  <c r="L840" i="5"/>
  <c r="U245" i="5"/>
  <c r="U155" i="5"/>
  <c r="Q849" i="5"/>
  <c r="Q939" i="5"/>
  <c r="S245" i="5"/>
  <c r="S155" i="5"/>
  <c r="S154" i="5"/>
  <c r="S45" i="9" s="1"/>
  <c r="S44" i="9" s="1"/>
  <c r="W241" i="5"/>
  <c r="R865" i="5"/>
  <c r="R850" i="5"/>
  <c r="P40" i="9"/>
  <c r="P937" i="5"/>
  <c r="P23" i="9"/>
  <c r="P847" i="5"/>
  <c r="P851" i="5" s="1"/>
  <c r="P852" i="5" s="1"/>
  <c r="P863" i="5"/>
  <c r="P866" i="5" s="1"/>
  <c r="P27" i="9"/>
  <c r="Q866" i="5"/>
  <c r="Q867" i="5" s="1"/>
  <c r="Q156" i="5"/>
  <c r="Q157" i="5"/>
  <c r="X209" i="5"/>
  <c r="X239" i="5" s="1"/>
  <c r="X243" i="5" s="1"/>
  <c r="L876" i="5"/>
  <c r="L35" i="9"/>
  <c r="T243" i="5"/>
  <c r="T153" i="5" s="1"/>
  <c r="T152" i="5"/>
  <c r="T25" i="9" s="1"/>
  <c r="T80" i="9" s="1"/>
  <c r="V241" i="5"/>
  <c r="S247" i="5"/>
  <c r="S803" i="5" s="1"/>
  <c r="S807" i="5" s="1"/>
  <c r="R245" i="5"/>
  <c r="R154" i="5"/>
  <c r="R45" i="9" s="1"/>
  <c r="R44" i="9" s="1"/>
  <c r="R155" i="5"/>
  <c r="R807" i="5" s="1"/>
  <c r="V152" i="5"/>
  <c r="V25" i="9" s="1"/>
  <c r="V80" i="9" s="1"/>
  <c r="T241" i="5"/>
  <c r="V369" i="5"/>
  <c r="V371" i="5" s="1"/>
  <c r="W367" i="5"/>
  <c r="W369" i="5" s="1"/>
  <c r="V201" i="5"/>
  <c r="U203" i="5"/>
  <c r="Y93" i="9"/>
  <c r="X66" i="9"/>
  <c r="X745" i="5"/>
  <c r="X63" i="9" s="1"/>
  <c r="X62" i="9" s="1"/>
  <c r="Y327" i="5"/>
  <c r="Y329" i="5" s="1"/>
  <c r="Z327" i="5"/>
  <c r="U850" i="5"/>
  <c r="N840" i="5"/>
  <c r="AD367" i="5"/>
  <c r="M856" i="5"/>
  <c r="N855" i="5" s="1"/>
  <c r="N853" i="5" s="1"/>
  <c r="N858" i="5" s="1"/>
  <c r="N859" i="5" s="1"/>
  <c r="Y407" i="5"/>
  <c r="Y409" i="5" s="1"/>
  <c r="Z894" i="5"/>
  <c r="AA891" i="5" s="1"/>
  <c r="M871" i="5"/>
  <c r="N870" i="5" s="1"/>
  <c r="M858" i="5"/>
  <c r="M859" i="5" s="1"/>
  <c r="W91" i="5"/>
  <c r="V53" i="9"/>
  <c r="V68" i="9"/>
  <c r="Y743" i="5"/>
  <c r="Z763" i="5"/>
  <c r="L950" i="5"/>
  <c r="V141" i="5"/>
  <c r="V148" i="5" s="1"/>
  <c r="U46" i="9"/>
  <c r="X193" i="5"/>
  <c r="Y163" i="5"/>
  <c r="O851" i="5"/>
  <c r="L962" i="5"/>
  <c r="M873" i="5"/>
  <c r="Q28" i="9"/>
  <c r="Q32" i="9"/>
  <c r="N35" i="9"/>
  <c r="W197" i="5"/>
  <c r="W195" i="5"/>
  <c r="W201" i="5" s="1"/>
  <c r="Z918" i="5"/>
  <c r="Z927" i="5" s="1"/>
  <c r="Z899" i="5"/>
  <c r="Z83" i="9" s="1"/>
  <c r="V199" i="5"/>
  <c r="M836" i="5"/>
  <c r="M837" i="5"/>
  <c r="M842" i="5" s="1"/>
  <c r="M843" i="5" s="1"/>
  <c r="Q851" i="5" l="1"/>
  <c r="Q852" i="5" s="1"/>
  <c r="V155" i="5"/>
  <c r="U154" i="5"/>
  <c r="U45" i="9" s="1"/>
  <c r="U156" i="5"/>
  <c r="O28" i="9"/>
  <c r="W285" i="5"/>
  <c r="X255" i="5"/>
  <c r="V287" i="5"/>
  <c r="V291" i="5" s="1"/>
  <c r="V289" i="5"/>
  <c r="V153" i="5" s="1"/>
  <c r="V865" i="5" s="1"/>
  <c r="U44" i="9"/>
  <c r="U157" i="5"/>
  <c r="W247" i="5"/>
  <c r="Y209" i="5"/>
  <c r="R249" i="5"/>
  <c r="R805" i="5" s="1"/>
  <c r="R809" i="5" s="1"/>
  <c r="S249" i="5"/>
  <c r="S805" i="5" s="1"/>
  <c r="R156" i="5"/>
  <c r="R157" i="5"/>
  <c r="S938" i="5"/>
  <c r="S20" i="9"/>
  <c r="S22" i="9" s="1"/>
  <c r="S847" i="5" s="1"/>
  <c r="S848" i="5"/>
  <c r="P868" i="5"/>
  <c r="P867" i="5"/>
  <c r="T245" i="5"/>
  <c r="U247" i="5"/>
  <c r="U803" i="5" s="1"/>
  <c r="U807" i="5" s="1"/>
  <c r="U848" i="5" s="1"/>
  <c r="T154" i="5"/>
  <c r="T45" i="9" s="1"/>
  <c r="T44" i="9" s="1"/>
  <c r="T155" i="5"/>
  <c r="R848" i="5"/>
  <c r="R938" i="5"/>
  <c r="R20" i="9"/>
  <c r="R22" i="9" s="1"/>
  <c r="W245" i="5"/>
  <c r="V247" i="5"/>
  <c r="V803" i="5" s="1"/>
  <c r="V807" i="5" s="1"/>
  <c r="V938" i="5" s="1"/>
  <c r="V245" i="5"/>
  <c r="V249" i="5" s="1"/>
  <c r="L69" i="9"/>
  <c r="L65" i="9" s="1"/>
  <c r="L54" i="9"/>
  <c r="T247" i="5"/>
  <c r="T803" i="5" s="1"/>
  <c r="S157" i="5"/>
  <c r="S156" i="5"/>
  <c r="X241" i="5"/>
  <c r="X247" i="5" s="1"/>
  <c r="P28" i="9"/>
  <c r="P32" i="9"/>
  <c r="W371" i="5"/>
  <c r="T865" i="5"/>
  <c r="T850" i="5"/>
  <c r="L78" i="9"/>
  <c r="L37" i="9"/>
  <c r="X367" i="5"/>
  <c r="Y331" i="5"/>
  <c r="V203" i="5"/>
  <c r="O868" i="5"/>
  <c r="O867" i="5"/>
  <c r="Z329" i="5"/>
  <c r="Z51" i="9"/>
  <c r="N873" i="5"/>
  <c r="N874" i="5" s="1"/>
  <c r="AE367" i="5"/>
  <c r="AA407" i="5"/>
  <c r="Z407" i="5"/>
  <c r="Z409" i="5" s="1"/>
  <c r="M35" i="9"/>
  <c r="AA893" i="5"/>
  <c r="AA897" i="5" s="1"/>
  <c r="O852" i="5"/>
  <c r="N856" i="5"/>
  <c r="O855" i="5" s="1"/>
  <c r="Z767" i="5"/>
  <c r="Z742" i="5"/>
  <c r="Z764" i="5"/>
  <c r="Z736" i="5" s="1"/>
  <c r="Z768" i="5"/>
  <c r="Z739" i="5" s="1"/>
  <c r="X91" i="5"/>
  <c r="W53" i="9"/>
  <c r="W68" i="9"/>
  <c r="Y193" i="5"/>
  <c r="Z163" i="5"/>
  <c r="L966" i="5"/>
  <c r="N916" i="5"/>
  <c r="N926" i="5" s="1"/>
  <c r="N932" i="5" s="1"/>
  <c r="N940" i="5"/>
  <c r="N941" i="5" s="1"/>
  <c r="M840" i="5"/>
  <c r="W199" i="5"/>
  <c r="W155" i="5"/>
  <c r="N78" i="9"/>
  <c r="N37" i="9"/>
  <c r="Q835" i="5"/>
  <c r="Q33" i="9"/>
  <c r="L964" i="5"/>
  <c r="O835" i="5"/>
  <c r="O33" i="9"/>
  <c r="X197" i="5"/>
  <c r="X195" i="5"/>
  <c r="X201" i="5" s="1"/>
  <c r="V46" i="9"/>
  <c r="W141" i="5"/>
  <c r="W148" i="5" s="1"/>
  <c r="M874" i="5"/>
  <c r="M916" i="5"/>
  <c r="M926" i="5" s="1"/>
  <c r="M932" i="5" s="1"/>
  <c r="M933" i="5" s="1"/>
  <c r="M946" i="5" s="1"/>
  <c r="M943" i="5" s="1"/>
  <c r="M940" i="5"/>
  <c r="V850" i="5" l="1"/>
  <c r="X245" i="5"/>
  <c r="V154" i="5"/>
  <c r="V45" i="9" s="1"/>
  <c r="V805" i="5"/>
  <c r="X285" i="5"/>
  <c r="X152" i="5" s="1"/>
  <c r="X25" i="9" s="1"/>
  <c r="X80" i="9" s="1"/>
  <c r="Y255" i="5"/>
  <c r="W803" i="5"/>
  <c r="W807" i="5" s="1"/>
  <c r="W287" i="5"/>
  <c r="W152" i="5"/>
  <c r="W25" i="9" s="1"/>
  <c r="W80" i="9" s="1"/>
  <c r="W289" i="5"/>
  <c r="W153" i="5" s="1"/>
  <c r="W865" i="5" s="1"/>
  <c r="V44" i="9"/>
  <c r="S40" i="9"/>
  <c r="S27" i="9"/>
  <c r="S32" i="9" s="1"/>
  <c r="S863" i="5"/>
  <c r="S866" i="5" s="1"/>
  <c r="S867" i="5" s="1"/>
  <c r="Y239" i="5"/>
  <c r="Z209" i="5"/>
  <c r="S809" i="5"/>
  <c r="S939" i="5" s="1"/>
  <c r="L60" i="9"/>
  <c r="L58" i="9" s="1"/>
  <c r="L71" i="9" s="1"/>
  <c r="L77" i="9"/>
  <c r="L84" i="9" s="1"/>
  <c r="L95" i="9" s="1"/>
  <c r="L96" i="9" s="1"/>
  <c r="L52" i="9" s="1"/>
  <c r="L48" i="9" s="1"/>
  <c r="L56" i="9" s="1"/>
  <c r="L38" i="9"/>
  <c r="T156" i="5"/>
  <c r="T157" i="5"/>
  <c r="U249" i="5"/>
  <c r="U805" i="5" s="1"/>
  <c r="U809" i="5" s="1"/>
  <c r="U849" i="5" s="1"/>
  <c r="X249" i="5"/>
  <c r="R847" i="5"/>
  <c r="R27" i="9"/>
  <c r="R40" i="9"/>
  <c r="R23" i="9"/>
  <c r="R863" i="5"/>
  <c r="R866" i="5" s="1"/>
  <c r="R867" i="5" s="1"/>
  <c r="R937" i="5"/>
  <c r="V848" i="5"/>
  <c r="U938" i="5"/>
  <c r="V20" i="9"/>
  <c r="V22" i="9" s="1"/>
  <c r="V847" i="5" s="1"/>
  <c r="P835" i="5"/>
  <c r="P33" i="9"/>
  <c r="S23" i="9"/>
  <c r="V156" i="5"/>
  <c r="S937" i="5"/>
  <c r="U20" i="9"/>
  <c r="U22" i="9" s="1"/>
  <c r="V157" i="5"/>
  <c r="V809" i="5" s="1"/>
  <c r="V939" i="5" s="1"/>
  <c r="W249" i="5"/>
  <c r="T249" i="5"/>
  <c r="T805" i="5" s="1"/>
  <c r="T807" i="5"/>
  <c r="R849" i="5"/>
  <c r="R939" i="5"/>
  <c r="Y367" i="5"/>
  <c r="Y369" i="5" s="1"/>
  <c r="X369" i="5"/>
  <c r="Z331" i="5"/>
  <c r="W203" i="5"/>
  <c r="Z91" i="9"/>
  <c r="Y744" i="5"/>
  <c r="AA327" i="5"/>
  <c r="AA329" i="5" s="1"/>
  <c r="AA331" i="5" s="1"/>
  <c r="N871" i="5"/>
  <c r="O870" i="5" s="1"/>
  <c r="O873" i="5" s="1"/>
  <c r="N79" i="9"/>
  <c r="N915" i="5"/>
  <c r="N925" i="5" s="1"/>
  <c r="AB407" i="5"/>
  <c r="AB409" i="5" s="1"/>
  <c r="AF367" i="5"/>
  <c r="AA409" i="5"/>
  <c r="Y197" i="5"/>
  <c r="Y195" i="5"/>
  <c r="AA918" i="5"/>
  <c r="AA927" i="5" s="1"/>
  <c r="AA899" i="5"/>
  <c r="AA83" i="9" s="1"/>
  <c r="M79" i="9"/>
  <c r="M876" i="5"/>
  <c r="M915" i="5"/>
  <c r="M925" i="5" s="1"/>
  <c r="Q836" i="5"/>
  <c r="Q837" i="5"/>
  <c r="Q842" i="5" s="1"/>
  <c r="Q843" i="5" s="1"/>
  <c r="Q35" i="9" s="1"/>
  <c r="O837" i="5"/>
  <c r="O842" i="5" s="1"/>
  <c r="O843" i="5" s="1"/>
  <c r="O836" i="5"/>
  <c r="N77" i="9"/>
  <c r="N38" i="9"/>
  <c r="W157" i="5"/>
  <c r="N933" i="5"/>
  <c r="N946" i="5" s="1"/>
  <c r="N943" i="5" s="1"/>
  <c r="N948" i="5" s="1"/>
  <c r="X68" i="9"/>
  <c r="X53" i="9"/>
  <c r="Y91" i="5"/>
  <c r="M941" i="5"/>
  <c r="M960" i="5" s="1"/>
  <c r="X141" i="5"/>
  <c r="X148" i="5" s="1"/>
  <c r="W46" i="9"/>
  <c r="Z769" i="5"/>
  <c r="O853" i="5"/>
  <c r="O858" i="5" s="1"/>
  <c r="O859" i="5" s="1"/>
  <c r="X199" i="5"/>
  <c r="Z193" i="5"/>
  <c r="AA163" i="5"/>
  <c r="Z741" i="5"/>
  <c r="Z30" i="9" s="1"/>
  <c r="Z82" i="9" s="1"/>
  <c r="Z738" i="5"/>
  <c r="Z92" i="9" s="1"/>
  <c r="Z864" i="5"/>
  <c r="AA894" i="5"/>
  <c r="M78" i="9"/>
  <c r="M37" i="9"/>
  <c r="S849" i="5" l="1"/>
  <c r="S851" i="5" s="1"/>
  <c r="V849" i="5"/>
  <c r="V851" i="5" s="1"/>
  <c r="V852" i="5" s="1"/>
  <c r="W850" i="5"/>
  <c r="W154" i="5"/>
  <c r="W45" i="9" s="1"/>
  <c r="W291" i="5"/>
  <c r="W156" i="5" s="1"/>
  <c r="Z255" i="5"/>
  <c r="Y285" i="5"/>
  <c r="S28" i="9"/>
  <c r="X287" i="5"/>
  <c r="X291" i="5" s="1"/>
  <c r="X156" i="5" s="1"/>
  <c r="X289" i="5"/>
  <c r="X153" i="5" s="1"/>
  <c r="X850" i="5" s="1"/>
  <c r="W44" i="9"/>
  <c r="V40" i="9"/>
  <c r="Z239" i="5"/>
  <c r="AA209" i="5"/>
  <c r="V27" i="9"/>
  <c r="Y241" i="5"/>
  <c r="Y243" i="5"/>
  <c r="V23" i="9"/>
  <c r="R851" i="5"/>
  <c r="R852" i="5" s="1"/>
  <c r="T809" i="5"/>
  <c r="W805" i="5"/>
  <c r="W809" i="5" s="1"/>
  <c r="R28" i="9"/>
  <c r="R32" i="9"/>
  <c r="P837" i="5"/>
  <c r="P842" i="5" s="1"/>
  <c r="P843" i="5" s="1"/>
  <c r="P35" i="9" s="1"/>
  <c r="P836" i="5"/>
  <c r="V863" i="5"/>
  <c r="V866" i="5" s="1"/>
  <c r="V867" i="5" s="1"/>
  <c r="T938" i="5"/>
  <c r="T848" i="5"/>
  <c r="T20" i="9"/>
  <c r="T22" i="9" s="1"/>
  <c r="U939" i="5"/>
  <c r="V937" i="5"/>
  <c r="L73" i="9"/>
  <c r="Y152" i="5"/>
  <c r="Y25" i="9" s="1"/>
  <c r="Y80" i="9" s="1"/>
  <c r="Y371" i="5"/>
  <c r="X371" i="5"/>
  <c r="X803" i="5" s="1"/>
  <c r="X154" i="5"/>
  <c r="X45" i="9" s="1"/>
  <c r="X155" i="5"/>
  <c r="Z367" i="5"/>
  <c r="Z369" i="5" s="1"/>
  <c r="Y201" i="5"/>
  <c r="X203" i="5"/>
  <c r="Z93" i="9"/>
  <c r="Y66" i="9"/>
  <c r="Y745" i="5"/>
  <c r="Y63" i="9" s="1"/>
  <c r="Y62" i="9" s="1"/>
  <c r="AB327" i="5"/>
  <c r="AB329" i="5" s="1"/>
  <c r="AB331" i="5" s="1"/>
  <c r="AD407" i="5"/>
  <c r="O871" i="5"/>
  <c r="P870" i="5" s="1"/>
  <c r="P871" i="5" s="1"/>
  <c r="Q870" i="5" s="1"/>
  <c r="Q868" i="5" s="1"/>
  <c r="X865" i="5"/>
  <c r="N929" i="5"/>
  <c r="N67" i="9"/>
  <c r="AG367" i="5"/>
  <c r="Q840" i="5"/>
  <c r="U27" i="9"/>
  <c r="U23" i="9"/>
  <c r="U937" i="5"/>
  <c r="U847" i="5"/>
  <c r="U863" i="5"/>
  <c r="U40" i="9"/>
  <c r="Y141" i="5"/>
  <c r="Y148" i="5" s="1"/>
  <c r="X46" i="9"/>
  <c r="O840" i="5"/>
  <c r="S852" i="5"/>
  <c r="M77" i="9"/>
  <c r="M60" i="9"/>
  <c r="M38" i="9"/>
  <c r="O874" i="5"/>
  <c r="O940" i="5"/>
  <c r="O916" i="5"/>
  <c r="O926" i="5" s="1"/>
  <c r="O932" i="5" s="1"/>
  <c r="O933" i="5" s="1"/>
  <c r="O946" i="5" s="1"/>
  <c r="O943" i="5" s="1"/>
  <c r="Z743" i="5"/>
  <c r="AA763" i="5"/>
  <c r="S835" i="5"/>
  <c r="S33" i="9"/>
  <c r="O35" i="9"/>
  <c r="Q78" i="9"/>
  <c r="Q37" i="9"/>
  <c r="X157" i="5"/>
  <c r="M948" i="5"/>
  <c r="M67" i="9"/>
  <c r="M929" i="5"/>
  <c r="V28" i="9"/>
  <c r="V32" i="9"/>
  <c r="AA193" i="5"/>
  <c r="AB163" i="5"/>
  <c r="AA51" i="9"/>
  <c r="AB891" i="5"/>
  <c r="Z197" i="5"/>
  <c r="Z195" i="5"/>
  <c r="Z201" i="5" s="1"/>
  <c r="W938" i="5"/>
  <c r="W20" i="9"/>
  <c r="W22" i="9" s="1"/>
  <c r="W848" i="5"/>
  <c r="Z91" i="5"/>
  <c r="Y68" i="9"/>
  <c r="Y53" i="9"/>
  <c r="M54" i="9"/>
  <c r="M69" i="9"/>
  <c r="N876" i="5"/>
  <c r="O856" i="5"/>
  <c r="P855" i="5" s="1"/>
  <c r="Y155" i="5"/>
  <c r="Y199" i="5"/>
  <c r="N960" i="5"/>
  <c r="Y289" i="5" l="1"/>
  <c r="Y153" i="5" s="1"/>
  <c r="Y287" i="5"/>
  <c r="Y291" i="5" s="1"/>
  <c r="Z285" i="5"/>
  <c r="AA255" i="5"/>
  <c r="Y154" i="5"/>
  <c r="Y45" i="9" s="1"/>
  <c r="P840" i="5"/>
  <c r="AB209" i="5"/>
  <c r="AA239" i="5"/>
  <c r="Y247" i="5"/>
  <c r="Y803" i="5" s="1"/>
  <c r="Y807" i="5" s="1"/>
  <c r="Y245" i="5"/>
  <c r="Y249" i="5" s="1"/>
  <c r="X807" i="5"/>
  <c r="Z243" i="5"/>
  <c r="Z241" i="5"/>
  <c r="P37" i="9"/>
  <c r="P78" i="9"/>
  <c r="Z152" i="5"/>
  <c r="Z25" i="9" s="1"/>
  <c r="Z80" i="9" s="1"/>
  <c r="X805" i="5"/>
  <c r="X809" i="5" s="1"/>
  <c r="T23" i="9"/>
  <c r="T40" i="9"/>
  <c r="T937" i="5"/>
  <c r="T847" i="5"/>
  <c r="T27" i="9"/>
  <c r="T863" i="5"/>
  <c r="T866" i="5" s="1"/>
  <c r="T867" i="5" s="1"/>
  <c r="R33" i="9"/>
  <c r="R835" i="5"/>
  <c r="T849" i="5"/>
  <c r="T939" i="5"/>
  <c r="Z371" i="5"/>
  <c r="AA367" i="5"/>
  <c r="AA369" i="5" s="1"/>
  <c r="X44" i="9"/>
  <c r="Y203" i="5"/>
  <c r="AC327" i="5"/>
  <c r="AC329" i="5" s="1"/>
  <c r="AD327" i="5"/>
  <c r="AC407" i="5"/>
  <c r="AC409" i="5" s="1"/>
  <c r="AH367" i="5"/>
  <c r="W849" i="5"/>
  <c r="W939" i="5"/>
  <c r="U851" i="5"/>
  <c r="N54" i="9"/>
  <c r="N69" i="9"/>
  <c r="N65" i="9" s="1"/>
  <c r="W23" i="9"/>
  <c r="W27" i="9"/>
  <c r="W937" i="5"/>
  <c r="W847" i="5"/>
  <c r="W863" i="5"/>
  <c r="W866" i="5" s="1"/>
  <c r="W867" i="5" s="1"/>
  <c r="W40" i="9"/>
  <c r="AA197" i="5"/>
  <c r="AA195" i="5"/>
  <c r="Y865" i="5"/>
  <c r="Y850" i="5"/>
  <c r="Q38" i="9"/>
  <c r="Q77" i="9"/>
  <c r="AA767" i="5"/>
  <c r="AA742" i="5"/>
  <c r="AA764" i="5"/>
  <c r="AA736" i="5" s="1"/>
  <c r="AA768" i="5"/>
  <c r="AA739" i="5" s="1"/>
  <c r="O941" i="5"/>
  <c r="M65" i="9"/>
  <c r="N60" i="9"/>
  <c r="N58" i="9" s="1"/>
  <c r="M58" i="9"/>
  <c r="P853" i="5"/>
  <c r="P858" i="5" s="1"/>
  <c r="P859" i="5" s="1"/>
  <c r="Z68" i="9"/>
  <c r="AA91" i="5"/>
  <c r="Z53" i="9"/>
  <c r="AB893" i="5"/>
  <c r="AB897" i="5" s="1"/>
  <c r="V835" i="5"/>
  <c r="V33" i="9"/>
  <c r="Z199" i="5"/>
  <c r="M950" i="5"/>
  <c r="P873" i="5"/>
  <c r="O876" i="5"/>
  <c r="O79" i="9"/>
  <c r="O915" i="5"/>
  <c r="O925" i="5" s="1"/>
  <c r="Z141" i="5"/>
  <c r="Z148" i="5" s="1"/>
  <c r="Y46" i="9"/>
  <c r="AB193" i="5"/>
  <c r="AC163" i="5"/>
  <c r="M930" i="5"/>
  <c r="M81" i="9" s="1"/>
  <c r="M84" i="9" s="1"/>
  <c r="M95" i="9" s="1"/>
  <c r="M96" i="9" s="1"/>
  <c r="M52" i="9" s="1"/>
  <c r="M48" i="9" s="1"/>
  <c r="M56" i="9" s="1"/>
  <c r="N930" i="5"/>
  <c r="N81" i="9" s="1"/>
  <c r="N84" i="9" s="1"/>
  <c r="N95" i="9" s="1"/>
  <c r="M962" i="5"/>
  <c r="O78" i="9"/>
  <c r="O37" i="9"/>
  <c r="S836" i="5"/>
  <c r="S837" i="5"/>
  <c r="S842" i="5" s="1"/>
  <c r="S843" i="5" s="1"/>
  <c r="Q873" i="5"/>
  <c r="Q874" i="5" s="1"/>
  <c r="U866" i="5"/>
  <c r="U867" i="5" s="1"/>
  <c r="U32" i="9"/>
  <c r="U28" i="9"/>
  <c r="Y44" i="9" l="1"/>
  <c r="AB255" i="5"/>
  <c r="AA285" i="5"/>
  <c r="Z289" i="5"/>
  <c r="Z153" i="5" s="1"/>
  <c r="Z287" i="5"/>
  <c r="Z291" i="5" s="1"/>
  <c r="Y805" i="5"/>
  <c r="Y157" i="5"/>
  <c r="Y156" i="5"/>
  <c r="X849" i="5"/>
  <c r="X939" i="5"/>
  <c r="Y20" i="9"/>
  <c r="Y22" i="9" s="1"/>
  <c r="Y27" i="9" s="1"/>
  <c r="Y938" i="5"/>
  <c r="Y848" i="5"/>
  <c r="Z247" i="5"/>
  <c r="Z803" i="5" s="1"/>
  <c r="Z807" i="5" s="1"/>
  <c r="Z245" i="5"/>
  <c r="Z249" i="5" s="1"/>
  <c r="T851" i="5"/>
  <c r="T852" i="5" s="1"/>
  <c r="AA241" i="5"/>
  <c r="AA245" i="5" s="1"/>
  <c r="AA243" i="5"/>
  <c r="AC209" i="5"/>
  <c r="AB239" i="5"/>
  <c r="AB243" i="5" s="1"/>
  <c r="X848" i="5"/>
  <c r="X20" i="9"/>
  <c r="X22" i="9" s="1"/>
  <c r="X938" i="5"/>
  <c r="Z155" i="5"/>
  <c r="T32" i="9"/>
  <c r="T28" i="9"/>
  <c r="R836" i="5"/>
  <c r="R837" i="5"/>
  <c r="R842" i="5" s="1"/>
  <c r="R843" i="5" s="1"/>
  <c r="R35" i="9" s="1"/>
  <c r="P77" i="9"/>
  <c r="P38" i="9"/>
  <c r="AA371" i="5"/>
  <c r="AA152" i="5"/>
  <c r="AA25" i="9" s="1"/>
  <c r="AA80" i="9" s="1"/>
  <c r="AC367" i="5"/>
  <c r="AB367" i="5"/>
  <c r="AC331" i="5"/>
  <c r="AA201" i="5"/>
  <c r="Z203" i="5"/>
  <c r="AE407" i="5"/>
  <c r="AE409" i="5" s="1"/>
  <c r="AA91" i="9"/>
  <c r="Z744" i="5"/>
  <c r="AD329" i="5"/>
  <c r="AD409" i="5"/>
  <c r="W851" i="5"/>
  <c r="W852" i="5" s="1"/>
  <c r="AI367" i="5"/>
  <c r="P856" i="5"/>
  <c r="Q855" i="5" s="1"/>
  <c r="Q853" i="5" s="1"/>
  <c r="Q858" i="5" s="1"/>
  <c r="Q859" i="5" s="1"/>
  <c r="N71" i="9"/>
  <c r="AA769" i="5"/>
  <c r="AA743" i="5" s="1"/>
  <c r="S35" i="9"/>
  <c r="W32" i="9"/>
  <c r="W28" i="9"/>
  <c r="Q871" i="5"/>
  <c r="R870" i="5" s="1"/>
  <c r="R868" i="5" s="1"/>
  <c r="S840" i="5"/>
  <c r="M964" i="5"/>
  <c r="N962" i="5"/>
  <c r="AC193" i="5"/>
  <c r="AD163" i="5"/>
  <c r="O67" i="9"/>
  <c r="O929" i="5"/>
  <c r="O930" i="5" s="1"/>
  <c r="O81" i="9" s="1"/>
  <c r="P874" i="5"/>
  <c r="AB894" i="5"/>
  <c r="AA864" i="5"/>
  <c r="AA741" i="5"/>
  <c r="AA30" i="9" s="1"/>
  <c r="AA82" i="9" s="1"/>
  <c r="AA738" i="5"/>
  <c r="AA92" i="9" s="1"/>
  <c r="AA199" i="5"/>
  <c r="Q79" i="9"/>
  <c r="Q915" i="5"/>
  <c r="Q925" i="5" s="1"/>
  <c r="AB197" i="5"/>
  <c r="AB195" i="5"/>
  <c r="Z46" i="9"/>
  <c r="AA141" i="5"/>
  <c r="AA148" i="5" s="1"/>
  <c r="M966" i="5"/>
  <c r="N950" i="5"/>
  <c r="AB918" i="5"/>
  <c r="AB927" i="5" s="1"/>
  <c r="AB899" i="5"/>
  <c r="AB83" i="9" s="1"/>
  <c r="M71" i="9"/>
  <c r="M73" i="9" s="1"/>
  <c r="O960" i="5"/>
  <c r="O948" i="5"/>
  <c r="V836" i="5"/>
  <c r="V837" i="5"/>
  <c r="V842" i="5" s="1"/>
  <c r="V843" i="5" s="1"/>
  <c r="V35" i="9" s="1"/>
  <c r="AB91" i="5"/>
  <c r="AA53" i="9"/>
  <c r="AA68" i="9"/>
  <c r="U835" i="5"/>
  <c r="U33" i="9"/>
  <c r="O60" i="9"/>
  <c r="O38" i="9"/>
  <c r="O77" i="9"/>
  <c r="N96" i="9"/>
  <c r="N52" i="9" s="1"/>
  <c r="N48" i="9" s="1"/>
  <c r="N56" i="9" s="1"/>
  <c r="O54" i="9"/>
  <c r="O69" i="9"/>
  <c r="AF407" i="5"/>
  <c r="P940" i="5"/>
  <c r="P916" i="5"/>
  <c r="P926" i="5" s="1"/>
  <c r="P932" i="5" s="1"/>
  <c r="P933" i="5" s="1"/>
  <c r="P946" i="5" s="1"/>
  <c r="P943" i="5" s="1"/>
  <c r="Y809" i="5"/>
  <c r="U852" i="5"/>
  <c r="Z865" i="5" l="1"/>
  <c r="Z850" i="5"/>
  <c r="Y863" i="5"/>
  <c r="Y866" i="5" s="1"/>
  <c r="Y867" i="5" s="1"/>
  <c r="AA247" i="5"/>
  <c r="Y937" i="5"/>
  <c r="AB241" i="5"/>
  <c r="AB245" i="5" s="1"/>
  <c r="AB249" i="5" s="1"/>
  <c r="AB152" i="5"/>
  <c r="AB25" i="9" s="1"/>
  <c r="AB80" i="9" s="1"/>
  <c r="AA289" i="5"/>
  <c r="AA287" i="5"/>
  <c r="AA291" i="5" s="1"/>
  <c r="AA156" i="5" s="1"/>
  <c r="Y40" i="9"/>
  <c r="AA153" i="5"/>
  <c r="AA850" i="5" s="1"/>
  <c r="Z154" i="5"/>
  <c r="Z45" i="9" s="1"/>
  <c r="Z44" i="9" s="1"/>
  <c r="AC255" i="5"/>
  <c r="AB285" i="5"/>
  <c r="Y23" i="9"/>
  <c r="Y847" i="5"/>
  <c r="Z156" i="5"/>
  <c r="Z157" i="5"/>
  <c r="Z805" i="5"/>
  <c r="Z809" i="5" s="1"/>
  <c r="Z939" i="5" s="1"/>
  <c r="AA249" i="5"/>
  <c r="AA155" i="5"/>
  <c r="AA803" i="5"/>
  <c r="AA807" i="5" s="1"/>
  <c r="AA938" i="5" s="1"/>
  <c r="X863" i="5"/>
  <c r="X866" i="5" s="1"/>
  <c r="X867" i="5" s="1"/>
  <c r="X847" i="5"/>
  <c r="X851" i="5" s="1"/>
  <c r="X852" i="5" s="1"/>
  <c r="X937" i="5"/>
  <c r="X27" i="9"/>
  <c r="X40" i="9"/>
  <c r="X23" i="9"/>
  <c r="AC239" i="5"/>
  <c r="AD209" i="5"/>
  <c r="AD239" i="5" s="1"/>
  <c r="AD243" i="5" s="1"/>
  <c r="AB247" i="5"/>
  <c r="T835" i="5"/>
  <c r="T33" i="9"/>
  <c r="R840" i="5"/>
  <c r="R78" i="9"/>
  <c r="R37" i="9"/>
  <c r="AI369" i="5"/>
  <c r="AF369" i="5"/>
  <c r="AB369" i="5"/>
  <c r="AE369" i="5"/>
  <c r="AH369" i="5"/>
  <c r="AC369" i="5"/>
  <c r="AD369" i="5"/>
  <c r="AG369" i="5"/>
  <c r="AD331" i="5"/>
  <c r="AB201" i="5"/>
  <c r="AA203" i="5"/>
  <c r="AF409" i="5"/>
  <c r="AA93" i="9"/>
  <c r="Z745" i="5"/>
  <c r="Z63" i="9" s="1"/>
  <c r="Z62" i="9" s="1"/>
  <c r="Z66" i="9"/>
  <c r="AE327" i="5"/>
  <c r="AE329" i="5" s="1"/>
  <c r="AB763" i="5"/>
  <c r="AB742" i="5" s="1"/>
  <c r="N73" i="9"/>
  <c r="AJ367" i="5"/>
  <c r="O84" i="9"/>
  <c r="O95" i="9" s="1"/>
  <c r="O96" i="9" s="1"/>
  <c r="O52" i="9" s="1"/>
  <c r="O48" i="9" s="1"/>
  <c r="O56" i="9" s="1"/>
  <c r="V78" i="9"/>
  <c r="V37" i="9"/>
  <c r="R873" i="5"/>
  <c r="W835" i="5"/>
  <c r="W33" i="9"/>
  <c r="Y849" i="5"/>
  <c r="Y939" i="5"/>
  <c r="AG407" i="5"/>
  <c r="AG409" i="5" s="1"/>
  <c r="V840" i="5"/>
  <c r="AB141" i="5"/>
  <c r="AB148" i="5" s="1"/>
  <c r="AA46" i="9"/>
  <c r="Z938" i="5"/>
  <c r="Z20" i="9"/>
  <c r="Z22" i="9" s="1"/>
  <c r="Z848" i="5"/>
  <c r="O65" i="9"/>
  <c r="S78" i="9"/>
  <c r="S37" i="9"/>
  <c r="P941" i="5"/>
  <c r="P948" i="5" s="1"/>
  <c r="O58" i="9"/>
  <c r="P60" i="9"/>
  <c r="Y28" i="9"/>
  <c r="Y32" i="9"/>
  <c r="N964" i="5"/>
  <c r="O962" i="5"/>
  <c r="U836" i="5"/>
  <c r="U837" i="5"/>
  <c r="U842" i="5" s="1"/>
  <c r="U843" i="5" s="1"/>
  <c r="Q67" i="9"/>
  <c r="Q929" i="5"/>
  <c r="AA157" i="5"/>
  <c r="AD193" i="5"/>
  <c r="AE163" i="5"/>
  <c r="Q940" i="5"/>
  <c r="Q941" i="5" s="1"/>
  <c r="Q916" i="5"/>
  <c r="Q926" i="5" s="1"/>
  <c r="Q932" i="5" s="1"/>
  <c r="Q933" i="5" s="1"/>
  <c r="Q946" i="5" s="1"/>
  <c r="Q943" i="5" s="1"/>
  <c r="AB767" i="5"/>
  <c r="AB68" i="9"/>
  <c r="AB53" i="9"/>
  <c r="AC91" i="5"/>
  <c r="Q856" i="5"/>
  <c r="R855" i="5" s="1"/>
  <c r="N966" i="5"/>
  <c r="O950" i="5"/>
  <c r="AB199" i="5"/>
  <c r="AB51" i="9"/>
  <c r="AC891" i="5"/>
  <c r="P876" i="5"/>
  <c r="P79" i="9"/>
  <c r="P915" i="5"/>
  <c r="P925" i="5" s="1"/>
  <c r="AC197" i="5"/>
  <c r="AC195" i="5"/>
  <c r="AC201" i="5" s="1"/>
  <c r="AD241" i="5"/>
  <c r="Y851" i="5" l="1"/>
  <c r="AA865" i="5"/>
  <c r="AA154" i="5"/>
  <c r="AA45" i="9" s="1"/>
  <c r="AA44" i="9" s="1"/>
  <c r="AB287" i="5"/>
  <c r="AB291" i="5" s="1"/>
  <c r="AB289" i="5"/>
  <c r="AB153" i="5" s="1"/>
  <c r="AB850" i="5" s="1"/>
  <c r="AB155" i="5"/>
  <c r="AC285" i="5"/>
  <c r="AC152" i="5" s="1"/>
  <c r="AC25" i="9" s="1"/>
  <c r="AC80" i="9" s="1"/>
  <c r="AD255" i="5"/>
  <c r="Z849" i="5"/>
  <c r="AA805" i="5"/>
  <c r="AA809" i="5" s="1"/>
  <c r="AA939" i="5" s="1"/>
  <c r="AC243" i="5"/>
  <c r="AC241" i="5"/>
  <c r="AD247" i="5" s="1"/>
  <c r="X32" i="9"/>
  <c r="X28" i="9"/>
  <c r="AE209" i="5"/>
  <c r="AE239" i="5" s="1"/>
  <c r="AE243" i="5" s="1"/>
  <c r="AA20" i="9"/>
  <c r="AA22" i="9" s="1"/>
  <c r="AA27" i="9" s="1"/>
  <c r="AB154" i="5"/>
  <c r="AB45" i="9" s="1"/>
  <c r="R77" i="9"/>
  <c r="R38" i="9"/>
  <c r="AA848" i="5"/>
  <c r="AI371" i="5"/>
  <c r="T837" i="5"/>
  <c r="T842" i="5" s="1"/>
  <c r="T843" i="5" s="1"/>
  <c r="T35" i="9" s="1"/>
  <c r="T836" i="5"/>
  <c r="AD371" i="5"/>
  <c r="AG371" i="5"/>
  <c r="AH371" i="5"/>
  <c r="AF371" i="5"/>
  <c r="AE371" i="5"/>
  <c r="AC371" i="5"/>
  <c r="AB371" i="5"/>
  <c r="AB803" i="5" s="1"/>
  <c r="AB807" i="5" s="1"/>
  <c r="AE331" i="5"/>
  <c r="AD245" i="5"/>
  <c r="AB203" i="5"/>
  <c r="AF327" i="5"/>
  <c r="AF329" i="5" s="1"/>
  <c r="AB768" i="5"/>
  <c r="AB739" i="5" s="1"/>
  <c r="AB764" i="5"/>
  <c r="AB736" i="5" s="1"/>
  <c r="AB738" i="5" s="1"/>
  <c r="AB92" i="9" s="1"/>
  <c r="AJ369" i="5"/>
  <c r="AK367" i="5"/>
  <c r="AK369" i="5" s="1"/>
  <c r="O71" i="9"/>
  <c r="O73" i="9" s="1"/>
  <c r="Q960" i="5"/>
  <c r="Y852" i="5"/>
  <c r="AE193" i="5"/>
  <c r="AF163" i="5"/>
  <c r="U840" i="5"/>
  <c r="P58" i="9"/>
  <c r="Q60" i="9"/>
  <c r="AC141" i="5"/>
  <c r="AC148" i="5" s="1"/>
  <c r="AB46" i="9"/>
  <c r="W837" i="5"/>
  <c r="W842" i="5" s="1"/>
  <c r="W843" i="5" s="1"/>
  <c r="W35" i="9" s="1"/>
  <c r="W836" i="5"/>
  <c r="V38" i="9"/>
  <c r="V77" i="9"/>
  <c r="P54" i="9"/>
  <c r="P69" i="9"/>
  <c r="Q876" i="5"/>
  <c r="P950" i="5"/>
  <c r="O966" i="5"/>
  <c r="AC53" i="9"/>
  <c r="AD91" i="5"/>
  <c r="AC68" i="9"/>
  <c r="AD197" i="5"/>
  <c r="AD195" i="5"/>
  <c r="Y835" i="5"/>
  <c r="Y33" i="9"/>
  <c r="Z23" i="9"/>
  <c r="Z27" i="9"/>
  <c r="Z847" i="5"/>
  <c r="Z937" i="5"/>
  <c r="Z863" i="5"/>
  <c r="Z866" i="5" s="1"/>
  <c r="Z867" i="5" s="1"/>
  <c r="Z40" i="9"/>
  <c r="R874" i="5"/>
  <c r="AC893" i="5"/>
  <c r="AC897" i="5" s="1"/>
  <c r="S38" i="9"/>
  <c r="S77" i="9"/>
  <c r="AH407" i="5"/>
  <c r="AH409" i="5" s="1"/>
  <c r="R871" i="5"/>
  <c r="S870" i="5" s="1"/>
  <c r="S868" i="5" s="1"/>
  <c r="AC199" i="5"/>
  <c r="P67" i="9"/>
  <c r="P929" i="5"/>
  <c r="P930" i="5" s="1"/>
  <c r="P81" i="9" s="1"/>
  <c r="P84" i="9" s="1"/>
  <c r="P95" i="9" s="1"/>
  <c r="P96" i="9" s="1"/>
  <c r="P52" i="9" s="1"/>
  <c r="AB156" i="5"/>
  <c r="AB157" i="5"/>
  <c r="R853" i="5"/>
  <c r="R858" i="5" s="1"/>
  <c r="R859" i="5" s="1"/>
  <c r="Q948" i="5"/>
  <c r="U35" i="9"/>
  <c r="O964" i="5"/>
  <c r="P960" i="5"/>
  <c r="AB865" i="5" l="1"/>
  <c r="AE255" i="5"/>
  <c r="AE285" i="5" s="1"/>
  <c r="AD285" i="5"/>
  <c r="AC289" i="5"/>
  <c r="AC153" i="5" s="1"/>
  <c r="AC287" i="5"/>
  <c r="AC291" i="5" s="1"/>
  <c r="AC155" i="5"/>
  <c r="Z851" i="5"/>
  <c r="Z852" i="5" s="1"/>
  <c r="AD287" i="5"/>
  <c r="AD291" i="5" s="1"/>
  <c r="AB805" i="5"/>
  <c r="AB809" i="5" s="1"/>
  <c r="AA849" i="5"/>
  <c r="AA937" i="5"/>
  <c r="X33" i="9"/>
  <c r="X835" i="5"/>
  <c r="AC247" i="5"/>
  <c r="AC803" i="5" s="1"/>
  <c r="AC807" i="5" s="1"/>
  <c r="AC245" i="5"/>
  <c r="AC249" i="5" s="1"/>
  <c r="AA23" i="9"/>
  <c r="AA863" i="5"/>
  <c r="AA866" i="5" s="1"/>
  <c r="AA867" i="5" s="1"/>
  <c r="AE241" i="5"/>
  <c r="AE247" i="5" s="1"/>
  <c r="AB44" i="9"/>
  <c r="AF209" i="5"/>
  <c r="AB20" i="9"/>
  <c r="AB22" i="9" s="1"/>
  <c r="AB863" i="5" s="1"/>
  <c r="AB938" i="5"/>
  <c r="AB848" i="5"/>
  <c r="AA847" i="5"/>
  <c r="T840" i="5"/>
  <c r="T78" i="9"/>
  <c r="T37" i="9"/>
  <c r="AK371" i="5"/>
  <c r="AJ371" i="5"/>
  <c r="AF331" i="5"/>
  <c r="AD201" i="5"/>
  <c r="AD803" i="5" s="1"/>
  <c r="AC203" i="5"/>
  <c r="AB91" i="9"/>
  <c r="AB93" i="9" s="1"/>
  <c r="AA744" i="5"/>
  <c r="AB864" i="5"/>
  <c r="AG327" i="5"/>
  <c r="AG329" i="5" s="1"/>
  <c r="AG331" i="5" s="1"/>
  <c r="AB769" i="5"/>
  <c r="AC763" i="5" s="1"/>
  <c r="AB741" i="5"/>
  <c r="AB30" i="9" s="1"/>
  <c r="AB82" i="9" s="1"/>
  <c r="P48" i="9"/>
  <c r="P56" i="9" s="1"/>
  <c r="AL367" i="5"/>
  <c r="AL369" i="5" s="1"/>
  <c r="R856" i="5"/>
  <c r="S855" i="5" s="1"/>
  <c r="S853" i="5" s="1"/>
  <c r="S858" i="5" s="1"/>
  <c r="S859" i="5" s="1"/>
  <c r="P65" i="9"/>
  <c r="P71" i="9" s="1"/>
  <c r="AC894" i="5"/>
  <c r="AC51" i="9" s="1"/>
  <c r="W840" i="5"/>
  <c r="R876" i="5"/>
  <c r="R79" i="9"/>
  <c r="R915" i="5"/>
  <c r="R925" i="5" s="1"/>
  <c r="AC918" i="5"/>
  <c r="AC927" i="5" s="1"/>
  <c r="AC899" i="5"/>
  <c r="AC83" i="9" s="1"/>
  <c r="Z32" i="9"/>
  <c r="Z28" i="9"/>
  <c r="Q54" i="9"/>
  <c r="Q69" i="9"/>
  <c r="Q65" i="9" s="1"/>
  <c r="AF193" i="5"/>
  <c r="AG163" i="5"/>
  <c r="AD53" i="9"/>
  <c r="AD68" i="9"/>
  <c r="AE91" i="5"/>
  <c r="AD141" i="5"/>
  <c r="AD148" i="5" s="1"/>
  <c r="AC46" i="9"/>
  <c r="U78" i="9"/>
  <c r="U37" i="9"/>
  <c r="P962" i="5"/>
  <c r="S873" i="5"/>
  <c r="S874" i="5" s="1"/>
  <c r="Q930" i="5"/>
  <c r="Q81" i="9" s="1"/>
  <c r="Q84" i="9" s="1"/>
  <c r="Q95" i="9" s="1"/>
  <c r="Q96" i="9" s="1"/>
  <c r="Q52" i="9" s="1"/>
  <c r="W78" i="9"/>
  <c r="W37" i="9"/>
  <c r="AE289" i="5"/>
  <c r="AE287" i="5"/>
  <c r="AE197" i="5"/>
  <c r="AE152" i="5"/>
  <c r="AE25" i="9" s="1"/>
  <c r="AE80" i="9" s="1"/>
  <c r="AE195" i="5"/>
  <c r="AA32" i="9"/>
  <c r="AA28" i="9"/>
  <c r="R940" i="5"/>
  <c r="R941" i="5" s="1"/>
  <c r="R916" i="5"/>
  <c r="R926" i="5" s="1"/>
  <c r="R932" i="5" s="1"/>
  <c r="R933" i="5" s="1"/>
  <c r="R946" i="5" s="1"/>
  <c r="R943" i="5" s="1"/>
  <c r="AI407" i="5"/>
  <c r="AI409" i="5" s="1"/>
  <c r="Y837" i="5"/>
  <c r="Y842" i="5" s="1"/>
  <c r="Y843" i="5" s="1"/>
  <c r="Y35" i="9" s="1"/>
  <c r="Y836" i="5"/>
  <c r="AD199" i="5"/>
  <c r="AD155" i="5"/>
  <c r="AD154" i="5"/>
  <c r="AD45" i="9" s="1"/>
  <c r="P966" i="5"/>
  <c r="Q950" i="5"/>
  <c r="Q58" i="9"/>
  <c r="R60" i="9"/>
  <c r="AA851" i="5" l="1"/>
  <c r="AA852" i="5" s="1"/>
  <c r="S876" i="5"/>
  <c r="AC850" i="5"/>
  <c r="AC865" i="5"/>
  <c r="AB937" i="5"/>
  <c r="AD289" i="5"/>
  <c r="AD153" i="5" s="1"/>
  <c r="AD865" i="5" s="1"/>
  <c r="AD152" i="5"/>
  <c r="AD25" i="9" s="1"/>
  <c r="AD80" i="9" s="1"/>
  <c r="AB23" i="9"/>
  <c r="AB847" i="5"/>
  <c r="AB27" i="9"/>
  <c r="AB32" i="9" s="1"/>
  <c r="AF255" i="5"/>
  <c r="AF285" i="5" s="1"/>
  <c r="AF152" i="5" s="1"/>
  <c r="AF25" i="9" s="1"/>
  <c r="AF80" i="9" s="1"/>
  <c r="AG255" i="5"/>
  <c r="AG285" i="5" s="1"/>
  <c r="AC154" i="5"/>
  <c r="AC45" i="9" s="1"/>
  <c r="AC44" i="9" s="1"/>
  <c r="AC157" i="5"/>
  <c r="AC156" i="5"/>
  <c r="X837" i="5"/>
  <c r="X842" i="5" s="1"/>
  <c r="X843" i="5" s="1"/>
  <c r="X35" i="9" s="1"/>
  <c r="X836" i="5"/>
  <c r="AF239" i="5"/>
  <c r="AG209" i="5"/>
  <c r="AG239" i="5" s="1"/>
  <c r="AG243" i="5" s="1"/>
  <c r="AC805" i="5"/>
  <c r="AC809" i="5" s="1"/>
  <c r="AD249" i="5"/>
  <c r="AE245" i="5"/>
  <c r="AE249" i="5" s="1"/>
  <c r="T77" i="9"/>
  <c r="T38" i="9"/>
  <c r="AD807" i="5"/>
  <c r="AD938" i="5" s="1"/>
  <c r="AE291" i="5"/>
  <c r="AL371" i="5"/>
  <c r="AE201" i="5"/>
  <c r="AE803" i="5" s="1"/>
  <c r="AD203" i="5"/>
  <c r="AB743" i="5"/>
  <c r="AA745" i="5"/>
  <c r="AA63" i="9" s="1"/>
  <c r="AA66" i="9"/>
  <c r="AB866" i="5"/>
  <c r="AB867" i="5" s="1"/>
  <c r="P73" i="9"/>
  <c r="AH327" i="5"/>
  <c r="AH329" i="5" s="1"/>
  <c r="AH331" i="5" s="1"/>
  <c r="AI327" i="5"/>
  <c r="Y840" i="5"/>
  <c r="AN367" i="5"/>
  <c r="AM367" i="5"/>
  <c r="AD891" i="5"/>
  <c r="AD893" i="5" s="1"/>
  <c r="AD897" i="5" s="1"/>
  <c r="Q71" i="9"/>
  <c r="Q48" i="9"/>
  <c r="Q56" i="9" s="1"/>
  <c r="S871" i="5"/>
  <c r="T870" i="5" s="1"/>
  <c r="T868" i="5" s="1"/>
  <c r="Z835" i="5"/>
  <c r="Z33" i="9"/>
  <c r="AC938" i="5"/>
  <c r="AC848" i="5"/>
  <c r="AC20" i="9"/>
  <c r="AC22" i="9" s="1"/>
  <c r="R67" i="9"/>
  <c r="R929" i="5"/>
  <c r="R930" i="5" s="1"/>
  <c r="R81" i="9" s="1"/>
  <c r="R84" i="9" s="1"/>
  <c r="R95" i="9" s="1"/>
  <c r="R96" i="9" s="1"/>
  <c r="R52" i="9" s="1"/>
  <c r="P964" i="5"/>
  <c r="Q962" i="5"/>
  <c r="AD46" i="9"/>
  <c r="AD44" i="9" s="1"/>
  <c r="AE141" i="5"/>
  <c r="AE148" i="5" s="1"/>
  <c r="AF91" i="5"/>
  <c r="AE53" i="9"/>
  <c r="AE68" i="9"/>
  <c r="AG193" i="5"/>
  <c r="AH163" i="5"/>
  <c r="R54" i="9"/>
  <c r="R69" i="9"/>
  <c r="S940" i="5"/>
  <c r="S941" i="5" s="1"/>
  <c r="S916" i="5"/>
  <c r="S926" i="5" s="1"/>
  <c r="S932" i="5" s="1"/>
  <c r="S933" i="5" s="1"/>
  <c r="S946" i="5" s="1"/>
  <c r="S943" i="5" s="1"/>
  <c r="R58" i="9"/>
  <c r="S60" i="9"/>
  <c r="AD156" i="5"/>
  <c r="AD157" i="5"/>
  <c r="R960" i="5"/>
  <c r="AC767" i="5"/>
  <c r="AC742" i="5"/>
  <c r="AC764" i="5"/>
  <c r="AC736" i="5" s="1"/>
  <c r="AC768" i="5"/>
  <c r="AC739" i="5" s="1"/>
  <c r="AE199" i="5"/>
  <c r="AE155" i="5"/>
  <c r="AE154" i="5"/>
  <c r="AE45" i="9" s="1"/>
  <c r="U38" i="9"/>
  <c r="U77" i="9"/>
  <c r="Y78" i="9"/>
  <c r="Y37" i="9"/>
  <c r="AA835" i="5"/>
  <c r="AA33" i="9"/>
  <c r="W77" i="9"/>
  <c r="W38" i="9"/>
  <c r="Q966" i="5"/>
  <c r="AJ407" i="5"/>
  <c r="AJ409" i="5" s="1"/>
  <c r="R948" i="5"/>
  <c r="R950" i="5" s="1"/>
  <c r="AE153" i="5"/>
  <c r="S79" i="9"/>
  <c r="S915" i="5"/>
  <c r="S925" i="5" s="1"/>
  <c r="AB939" i="5"/>
  <c r="AB849" i="5"/>
  <c r="AF197" i="5"/>
  <c r="AF195" i="5"/>
  <c r="S856" i="5"/>
  <c r="T855" i="5" s="1"/>
  <c r="AH209" i="5" l="1"/>
  <c r="AH239" i="5" s="1"/>
  <c r="AD850" i="5"/>
  <c r="AF287" i="5"/>
  <c r="AF289" i="5"/>
  <c r="AB28" i="9"/>
  <c r="AB851" i="5"/>
  <c r="AB852" i="5" s="1"/>
  <c r="AH255" i="5"/>
  <c r="AG241" i="5"/>
  <c r="X840" i="5"/>
  <c r="AI209" i="5"/>
  <c r="AI239" i="5" s="1"/>
  <c r="AC849" i="5"/>
  <c r="AC939" i="5"/>
  <c r="AF241" i="5"/>
  <c r="AF155" i="5" s="1"/>
  <c r="AF243" i="5"/>
  <c r="X78" i="9"/>
  <c r="X37" i="9"/>
  <c r="AD20" i="9"/>
  <c r="AD22" i="9" s="1"/>
  <c r="AD27" i="9" s="1"/>
  <c r="AD805" i="5"/>
  <c r="AD809" i="5" s="1"/>
  <c r="AD848" i="5"/>
  <c r="AE807" i="5"/>
  <c r="AE848" i="5" s="1"/>
  <c r="AF291" i="5"/>
  <c r="AG245" i="5"/>
  <c r="AF201" i="5"/>
  <c r="AE203" i="5"/>
  <c r="AE805" i="5" s="1"/>
  <c r="AC91" i="9"/>
  <c r="AB744" i="5"/>
  <c r="AA62" i="9"/>
  <c r="AA40" i="9"/>
  <c r="T873" i="5"/>
  <c r="T874" i="5" s="1"/>
  <c r="AI329" i="5"/>
  <c r="S948" i="5"/>
  <c r="S950" i="5" s="1"/>
  <c r="Q73" i="9"/>
  <c r="AD894" i="5"/>
  <c r="AE891" i="5" s="1"/>
  <c r="AM369" i="5"/>
  <c r="AN369" i="5"/>
  <c r="S58" i="9"/>
  <c r="T60" i="9"/>
  <c r="AB835" i="5"/>
  <c r="AB33" i="9"/>
  <c r="Z836" i="5"/>
  <c r="Z837" i="5"/>
  <c r="Z842" i="5" s="1"/>
  <c r="Z843" i="5" s="1"/>
  <c r="Z35" i="9" s="1"/>
  <c r="AH193" i="5"/>
  <c r="AI163" i="5"/>
  <c r="Q964" i="5"/>
  <c r="R962" i="5"/>
  <c r="R48" i="9"/>
  <c r="R56" i="9" s="1"/>
  <c r="AH285" i="5"/>
  <c r="AI255" i="5"/>
  <c r="T853" i="5"/>
  <c r="T858" i="5" s="1"/>
  <c r="T859" i="5" s="1"/>
  <c r="AH243" i="5"/>
  <c r="AH241" i="5"/>
  <c r="R966" i="5"/>
  <c r="Y77" i="9"/>
  <c r="Y38" i="9"/>
  <c r="AE156" i="5"/>
  <c r="AE157" i="5"/>
  <c r="AD918" i="5"/>
  <c r="AD927" i="5" s="1"/>
  <c r="AD899" i="5"/>
  <c r="AD83" i="9" s="1"/>
  <c r="S54" i="9"/>
  <c r="S69" i="9"/>
  <c r="AF199" i="5"/>
  <c r="AE865" i="5"/>
  <c r="AE850" i="5"/>
  <c r="AK407" i="5"/>
  <c r="AK409" i="5" s="1"/>
  <c r="AC769" i="5"/>
  <c r="AG197" i="5"/>
  <c r="AG152" i="5"/>
  <c r="AG25" i="9" s="1"/>
  <c r="AG80" i="9" s="1"/>
  <c r="AG195" i="5"/>
  <c r="R65" i="9"/>
  <c r="R71" i="9" s="1"/>
  <c r="AG289" i="5"/>
  <c r="AG287" i="5"/>
  <c r="S67" i="9"/>
  <c r="S929" i="5"/>
  <c r="S930" i="5" s="1"/>
  <c r="S81" i="9" s="1"/>
  <c r="S84" i="9" s="1"/>
  <c r="S95" i="9" s="1"/>
  <c r="S96" i="9" s="1"/>
  <c r="S52" i="9" s="1"/>
  <c r="AA837" i="5"/>
  <c r="AA842" i="5" s="1"/>
  <c r="AA843" i="5" s="1"/>
  <c r="AA35" i="9" s="1"/>
  <c r="AA836" i="5"/>
  <c r="AC864" i="5"/>
  <c r="AC738" i="5"/>
  <c r="AC92" i="9" s="1"/>
  <c r="AC741" i="5"/>
  <c r="AC30" i="9" s="1"/>
  <c r="AC82" i="9" s="1"/>
  <c r="S960" i="5"/>
  <c r="AF68" i="9"/>
  <c r="AF53" i="9"/>
  <c r="AG91" i="5"/>
  <c r="AE46" i="9"/>
  <c r="AE44" i="9" s="1"/>
  <c r="AF141" i="5"/>
  <c r="AF148" i="5" s="1"/>
  <c r="T871" i="5"/>
  <c r="U870" i="5" s="1"/>
  <c r="U868" i="5" s="1"/>
  <c r="AC863" i="5"/>
  <c r="AC23" i="9"/>
  <c r="AC27" i="9"/>
  <c r="AC937" i="5"/>
  <c r="AC847" i="5"/>
  <c r="AC851" i="5" l="1"/>
  <c r="AF153" i="5"/>
  <c r="AF850" i="5" s="1"/>
  <c r="AF154" i="5"/>
  <c r="AF45" i="9" s="1"/>
  <c r="AJ209" i="5"/>
  <c r="AD863" i="5"/>
  <c r="AD847" i="5"/>
  <c r="AD937" i="5"/>
  <c r="AD23" i="9"/>
  <c r="AE938" i="5"/>
  <c r="AF245" i="5"/>
  <c r="AF249" i="5" s="1"/>
  <c r="AF247" i="5"/>
  <c r="AF803" i="5"/>
  <c r="AF807" i="5" s="1"/>
  <c r="X77" i="9"/>
  <c r="X38" i="9"/>
  <c r="AG247" i="5"/>
  <c r="AE20" i="9"/>
  <c r="AE22" i="9" s="1"/>
  <c r="AE863" i="5" s="1"/>
  <c r="AG291" i="5"/>
  <c r="AI331" i="5"/>
  <c r="AN371" i="5"/>
  <c r="AM371" i="5"/>
  <c r="AH245" i="5"/>
  <c r="AH249" i="5" s="1"/>
  <c r="AG201" i="5"/>
  <c r="AH247" i="5"/>
  <c r="AF203" i="5"/>
  <c r="AF805" i="5" s="1"/>
  <c r="AC93" i="9"/>
  <c r="AB66" i="9"/>
  <c r="AB745" i="5"/>
  <c r="AB63" i="9" s="1"/>
  <c r="T915" i="5"/>
  <c r="T925" i="5" s="1"/>
  <c r="T67" i="9" s="1"/>
  <c r="T876" i="5"/>
  <c r="T69" i="9" s="1"/>
  <c r="T79" i="9"/>
  <c r="AF865" i="5"/>
  <c r="AJ327" i="5"/>
  <c r="AJ329" i="5" s="1"/>
  <c r="AD51" i="9"/>
  <c r="S65" i="9"/>
  <c r="S71" i="9" s="1"/>
  <c r="S48" i="9"/>
  <c r="S56" i="9" s="1"/>
  <c r="T856" i="5"/>
  <c r="U855" i="5" s="1"/>
  <c r="U853" i="5" s="1"/>
  <c r="U858" i="5" s="1"/>
  <c r="U859" i="5" s="1"/>
  <c r="U873" i="5"/>
  <c r="U874" i="5" s="1"/>
  <c r="AA78" i="9"/>
  <c r="AA37" i="9"/>
  <c r="AG155" i="5"/>
  <c r="AG154" i="5"/>
  <c r="AG45" i="9" s="1"/>
  <c r="AG199" i="5"/>
  <c r="AD849" i="5"/>
  <c r="AD939" i="5"/>
  <c r="AH289" i="5"/>
  <c r="AH287" i="5"/>
  <c r="AI193" i="5"/>
  <c r="AJ163" i="5"/>
  <c r="AC852" i="5"/>
  <c r="AC32" i="9"/>
  <c r="AC28" i="9"/>
  <c r="AG141" i="5"/>
  <c r="AG148" i="5" s="1"/>
  <c r="AF46" i="9"/>
  <c r="AJ239" i="5"/>
  <c r="AK209" i="5"/>
  <c r="AC743" i="5"/>
  <c r="AD763" i="5"/>
  <c r="AF157" i="5"/>
  <c r="AF156" i="5"/>
  <c r="AD28" i="9"/>
  <c r="AH197" i="5"/>
  <c r="AH152" i="5"/>
  <c r="AH25" i="9" s="1"/>
  <c r="AH80" i="9" s="1"/>
  <c r="AH195" i="5"/>
  <c r="Z78" i="9"/>
  <c r="Z37" i="9"/>
  <c r="AB836" i="5"/>
  <c r="AB837" i="5"/>
  <c r="AB842" i="5" s="1"/>
  <c r="AB843" i="5" s="1"/>
  <c r="AB35" i="9" s="1"/>
  <c r="AI243" i="5"/>
  <c r="AI241" i="5"/>
  <c r="AG153" i="5"/>
  <c r="R964" i="5"/>
  <c r="S962" i="5"/>
  <c r="R73" i="9"/>
  <c r="Z840" i="5"/>
  <c r="T58" i="9"/>
  <c r="U60" i="9"/>
  <c r="AC866" i="5"/>
  <c r="AC867" i="5" s="1"/>
  <c r="AH91" i="5"/>
  <c r="AG53" i="9"/>
  <c r="AG68" i="9"/>
  <c r="AA840" i="5"/>
  <c r="AE809" i="5"/>
  <c r="AL407" i="5"/>
  <c r="AL409" i="5" s="1"/>
  <c r="S966" i="5"/>
  <c r="AE893" i="5"/>
  <c r="AE897" i="5" s="1"/>
  <c r="T940" i="5"/>
  <c r="T941" i="5" s="1"/>
  <c r="T916" i="5"/>
  <c r="T926" i="5" s="1"/>
  <c r="T932" i="5" s="1"/>
  <c r="T933" i="5" s="1"/>
  <c r="T946" i="5" s="1"/>
  <c r="T943" i="5" s="1"/>
  <c r="AI285" i="5"/>
  <c r="AJ255" i="5"/>
  <c r="AD851" i="5" l="1"/>
  <c r="AD852" i="5" s="1"/>
  <c r="AF44" i="9"/>
  <c r="AE847" i="5"/>
  <c r="AE27" i="9"/>
  <c r="AE23" i="9"/>
  <c r="AG803" i="5"/>
  <c r="AE937" i="5"/>
  <c r="AG249" i="5"/>
  <c r="AG807" i="5"/>
  <c r="AG938" i="5" s="1"/>
  <c r="AH291" i="5"/>
  <c r="AJ331" i="5"/>
  <c r="AI245" i="5"/>
  <c r="AI249" i="5" s="1"/>
  <c r="AI247" i="5"/>
  <c r="AH201" i="5"/>
  <c r="AH803" i="5" s="1"/>
  <c r="AG203" i="5"/>
  <c r="T929" i="5"/>
  <c r="T930" i="5" s="1"/>
  <c r="T81" i="9" s="1"/>
  <c r="T84" i="9" s="1"/>
  <c r="T95" i="9" s="1"/>
  <c r="T96" i="9" s="1"/>
  <c r="T52" i="9" s="1"/>
  <c r="AB62" i="9"/>
  <c r="AB40" i="9"/>
  <c r="T54" i="9"/>
  <c r="AK327" i="5"/>
  <c r="AK329" i="5" s="1"/>
  <c r="AK331" i="5" s="1"/>
  <c r="S73" i="9"/>
  <c r="AE894" i="5"/>
  <c r="AE51" i="9" s="1"/>
  <c r="T960" i="5"/>
  <c r="T962" i="5" s="1"/>
  <c r="AB840" i="5"/>
  <c r="AD853" i="5"/>
  <c r="AD858" i="5" s="1"/>
  <c r="AD859" i="5" s="1"/>
  <c r="AJ285" i="5"/>
  <c r="AK255" i="5"/>
  <c r="AE849" i="5"/>
  <c r="AE939" i="5"/>
  <c r="AI91" i="5"/>
  <c r="AH53" i="9"/>
  <c r="AH68" i="9"/>
  <c r="AJ243" i="5"/>
  <c r="AJ241" i="5"/>
  <c r="AC835" i="5"/>
  <c r="AC33" i="9"/>
  <c r="AI152" i="5"/>
  <c r="AI25" i="9" s="1"/>
  <c r="AI80" i="9" s="1"/>
  <c r="AI197" i="5"/>
  <c r="AI195" i="5"/>
  <c r="U940" i="5"/>
  <c r="U941" i="5" s="1"/>
  <c r="U916" i="5"/>
  <c r="U926" i="5" s="1"/>
  <c r="U932" i="5" s="1"/>
  <c r="U933" i="5" s="1"/>
  <c r="U946" i="5" s="1"/>
  <c r="U943" i="5" s="1"/>
  <c r="AA38" i="9"/>
  <c r="AA77" i="9"/>
  <c r="U876" i="5"/>
  <c r="U79" i="9"/>
  <c r="U915" i="5"/>
  <c r="U925" i="5" s="1"/>
  <c r="AI289" i="5"/>
  <c r="AI287" i="5"/>
  <c r="AF809" i="5"/>
  <c r="AH199" i="5"/>
  <c r="AH155" i="5"/>
  <c r="AH154" i="5"/>
  <c r="AH45" i="9" s="1"/>
  <c r="AD767" i="5"/>
  <c r="AD764" i="5"/>
  <c r="AD736" i="5" s="1"/>
  <c r="AD742" i="5"/>
  <c r="AD768" i="5"/>
  <c r="AD739" i="5" s="1"/>
  <c r="AG156" i="5"/>
  <c r="AG157" i="5"/>
  <c r="AE28" i="9"/>
  <c r="U871" i="5"/>
  <c r="V870" i="5" s="1"/>
  <c r="V868" i="5" s="1"/>
  <c r="AE918" i="5"/>
  <c r="AE927" i="5" s="1"/>
  <c r="AE899" i="5"/>
  <c r="AE83" i="9" s="1"/>
  <c r="AM407" i="5"/>
  <c r="AM409" i="5" s="1"/>
  <c r="AN407" i="5"/>
  <c r="U58" i="9"/>
  <c r="V60" i="9"/>
  <c r="S964" i="5"/>
  <c r="AG865" i="5"/>
  <c r="AG850" i="5"/>
  <c r="AH141" i="5"/>
  <c r="AH148" i="5" s="1"/>
  <c r="AG46" i="9"/>
  <c r="AG44" i="9" s="1"/>
  <c r="AF938" i="5"/>
  <c r="AF20" i="9"/>
  <c r="AF22" i="9" s="1"/>
  <c r="AF848" i="5"/>
  <c r="T65" i="9"/>
  <c r="T71" i="9" s="1"/>
  <c r="T948" i="5"/>
  <c r="T950" i="5" s="1"/>
  <c r="AB78" i="9"/>
  <c r="AB37" i="9"/>
  <c r="Z38" i="9"/>
  <c r="Z77" i="9"/>
  <c r="AH153" i="5"/>
  <c r="AK239" i="5"/>
  <c r="AL209" i="5"/>
  <c r="AJ193" i="5"/>
  <c r="AK163" i="5"/>
  <c r="U856" i="5"/>
  <c r="V855" i="5" s="1"/>
  <c r="AE851" i="5" l="1"/>
  <c r="AE853" i="5" s="1"/>
  <c r="AE858" i="5" s="1"/>
  <c r="AE859" i="5" s="1"/>
  <c r="AG805" i="5"/>
  <c r="AG848" i="5"/>
  <c r="AG20" i="9"/>
  <c r="AG22" i="9" s="1"/>
  <c r="AG863" i="5" s="1"/>
  <c r="AG809" i="5"/>
  <c r="AG939" i="5" s="1"/>
  <c r="AI291" i="5"/>
  <c r="AJ245" i="5"/>
  <c r="AJ247" i="5"/>
  <c r="AI201" i="5"/>
  <c r="AI803" i="5" s="1"/>
  <c r="AH203" i="5"/>
  <c r="AH805" i="5" s="1"/>
  <c r="T48" i="9"/>
  <c r="T56" i="9" s="1"/>
  <c r="T73" i="9" s="1"/>
  <c r="AF891" i="5"/>
  <c r="AF893" i="5" s="1"/>
  <c r="AF897" i="5" s="1"/>
  <c r="AD91" i="9"/>
  <c r="AC744" i="5"/>
  <c r="AL327" i="5"/>
  <c r="AL329" i="5" s="1"/>
  <c r="AN409" i="5"/>
  <c r="U948" i="5"/>
  <c r="U950" i="5" s="1"/>
  <c r="V873" i="5"/>
  <c r="V874" i="5" s="1"/>
  <c r="AL239" i="5"/>
  <c r="AM209" i="5"/>
  <c r="AD769" i="5"/>
  <c r="AJ289" i="5"/>
  <c r="AJ287" i="5"/>
  <c r="AJ197" i="5"/>
  <c r="AJ152" i="5"/>
  <c r="AJ25" i="9" s="1"/>
  <c r="AJ80" i="9" s="1"/>
  <c r="AJ195" i="5"/>
  <c r="T964" i="5"/>
  <c r="U54" i="9"/>
  <c r="U69" i="9"/>
  <c r="AK285" i="5"/>
  <c r="AL255" i="5"/>
  <c r="AI141" i="5"/>
  <c r="AI148" i="5" s="1"/>
  <c r="AH46" i="9"/>
  <c r="AH44" i="9" s="1"/>
  <c r="U960" i="5"/>
  <c r="U962" i="5" s="1"/>
  <c r="AI68" i="9"/>
  <c r="AJ91" i="5"/>
  <c r="AI53" i="9"/>
  <c r="V853" i="5"/>
  <c r="V858" i="5" s="1"/>
  <c r="V859" i="5" s="1"/>
  <c r="AK243" i="5"/>
  <c r="AK241" i="5"/>
  <c r="AK247" i="5" s="1"/>
  <c r="T966" i="5"/>
  <c r="AF847" i="5"/>
  <c r="AF23" i="9"/>
  <c r="AF863" i="5"/>
  <c r="AF937" i="5"/>
  <c r="AF27" i="9"/>
  <c r="V58" i="9"/>
  <c r="W60" i="9"/>
  <c r="AH807" i="5"/>
  <c r="AF849" i="5"/>
  <c r="AF939" i="5"/>
  <c r="U67" i="9"/>
  <c r="U929" i="5"/>
  <c r="U930" i="5" s="1"/>
  <c r="U81" i="9" s="1"/>
  <c r="U84" i="9" s="1"/>
  <c r="U95" i="9" s="1"/>
  <c r="U96" i="9" s="1"/>
  <c r="U52" i="9" s="1"/>
  <c r="AI199" i="5"/>
  <c r="AI155" i="5"/>
  <c r="AI154" i="5"/>
  <c r="AI45" i="9" s="1"/>
  <c r="AG849" i="5"/>
  <c r="AK193" i="5"/>
  <c r="AL163" i="5"/>
  <c r="AH865" i="5"/>
  <c r="AH850" i="5"/>
  <c r="AB77" i="9"/>
  <c r="AB38" i="9"/>
  <c r="AD864" i="5"/>
  <c r="AD866" i="5" s="1"/>
  <c r="AD738" i="5"/>
  <c r="AD92" i="9" s="1"/>
  <c r="AD741" i="5"/>
  <c r="AD30" i="9" s="1"/>
  <c r="AH156" i="5"/>
  <c r="AH157" i="5"/>
  <c r="AI153" i="5"/>
  <c r="AC837" i="5"/>
  <c r="AC842" i="5" s="1"/>
  <c r="AC843" i="5" s="1"/>
  <c r="AC35" i="9" s="1"/>
  <c r="AC836" i="5"/>
  <c r="AD940" i="5"/>
  <c r="AD941" i="5" s="1"/>
  <c r="AD916" i="5"/>
  <c r="AD926" i="5" s="1"/>
  <c r="AD932" i="5" s="1"/>
  <c r="AE852" i="5" l="1"/>
  <c r="AG27" i="9"/>
  <c r="AG847" i="5"/>
  <c r="AG851" i="5" s="1"/>
  <c r="AG853" i="5" s="1"/>
  <c r="AG23" i="9"/>
  <c r="AG937" i="5"/>
  <c r="AI807" i="5"/>
  <c r="AI938" i="5" s="1"/>
  <c r="AH809" i="5"/>
  <c r="AJ291" i="5"/>
  <c r="AL331" i="5"/>
  <c r="AK245" i="5"/>
  <c r="AJ249" i="5"/>
  <c r="AJ201" i="5"/>
  <c r="AJ803" i="5" s="1"/>
  <c r="AI203" i="5"/>
  <c r="AI805" i="5" s="1"/>
  <c r="AD93" i="9"/>
  <c r="AC66" i="9"/>
  <c r="AC745" i="5"/>
  <c r="AC63" i="9" s="1"/>
  <c r="AD867" i="5"/>
  <c r="AD868" i="5"/>
  <c r="AD873" i="5" s="1"/>
  <c r="AD874" i="5" s="1"/>
  <c r="AN327" i="5"/>
  <c r="AM327" i="5"/>
  <c r="U65" i="9"/>
  <c r="U71" i="9" s="1"/>
  <c r="AF894" i="5"/>
  <c r="AF51" i="9" s="1"/>
  <c r="AJ153" i="5"/>
  <c r="AJ850" i="5" s="1"/>
  <c r="AF851" i="5"/>
  <c r="AF852" i="5" s="1"/>
  <c r="V856" i="5"/>
  <c r="W855" i="5" s="1"/>
  <c r="W853" i="5" s="1"/>
  <c r="U48" i="9"/>
  <c r="U56" i="9" s="1"/>
  <c r="U964" i="5"/>
  <c r="AE940" i="5"/>
  <c r="AE941" i="5" s="1"/>
  <c r="AE916" i="5"/>
  <c r="AE926" i="5" s="1"/>
  <c r="AE932" i="5" s="1"/>
  <c r="AE933" i="5" s="1"/>
  <c r="AE946" i="5" s="1"/>
  <c r="AE943" i="5" s="1"/>
  <c r="AI157" i="5"/>
  <c r="AI156" i="5"/>
  <c r="AG28" i="9"/>
  <c r="AF28" i="9"/>
  <c r="AK91" i="5"/>
  <c r="AJ68" i="9"/>
  <c r="AJ53" i="9"/>
  <c r="AK289" i="5"/>
  <c r="AK287" i="5"/>
  <c r="AM239" i="5"/>
  <c r="AN209" i="5"/>
  <c r="AN239" i="5" s="1"/>
  <c r="AD82" i="9"/>
  <c r="AD32" i="9"/>
  <c r="AC840" i="5"/>
  <c r="AF918" i="5"/>
  <c r="AF927" i="5" s="1"/>
  <c r="AF899" i="5"/>
  <c r="AF83" i="9" s="1"/>
  <c r="W58" i="9"/>
  <c r="X60" i="9"/>
  <c r="U966" i="5"/>
  <c r="V940" i="5"/>
  <c r="V941" i="5" s="1"/>
  <c r="V916" i="5"/>
  <c r="V926" i="5" s="1"/>
  <c r="V932" i="5" s="1"/>
  <c r="V933" i="5" s="1"/>
  <c r="V946" i="5" s="1"/>
  <c r="V943" i="5" s="1"/>
  <c r="AL243" i="5"/>
  <c r="AL241" i="5"/>
  <c r="AL247" i="5" s="1"/>
  <c r="AC78" i="9"/>
  <c r="AC37" i="9"/>
  <c r="AL193" i="5"/>
  <c r="AM163" i="5"/>
  <c r="AH938" i="5"/>
  <c r="AH848" i="5"/>
  <c r="AH20" i="9"/>
  <c r="AH22" i="9" s="1"/>
  <c r="AJ141" i="5"/>
  <c r="AJ148" i="5" s="1"/>
  <c r="AI46" i="9"/>
  <c r="AI44" i="9" s="1"/>
  <c r="AJ199" i="5"/>
  <c r="AJ155" i="5"/>
  <c r="AJ154" i="5"/>
  <c r="AJ45" i="9" s="1"/>
  <c r="V876" i="5"/>
  <c r="V79" i="9"/>
  <c r="V915" i="5"/>
  <c r="V925" i="5" s="1"/>
  <c r="AH939" i="5"/>
  <c r="AH849" i="5"/>
  <c r="AI865" i="5"/>
  <c r="AI850" i="5"/>
  <c r="AK197" i="5"/>
  <c r="AK152" i="5"/>
  <c r="AK25" i="9" s="1"/>
  <c r="AK80" i="9" s="1"/>
  <c r="AK195" i="5"/>
  <c r="AL285" i="5"/>
  <c r="AM255" i="5"/>
  <c r="AE763" i="5"/>
  <c r="AD743" i="5"/>
  <c r="V871" i="5"/>
  <c r="W870" i="5" s="1"/>
  <c r="W868" i="5" s="1"/>
  <c r="AI20" i="9" l="1"/>
  <c r="AI22" i="9" s="1"/>
  <c r="AI23" i="9" s="1"/>
  <c r="AI848" i="5"/>
  <c r="AI809" i="5"/>
  <c r="AK291" i="5"/>
  <c r="AK249" i="5"/>
  <c r="AL245" i="5"/>
  <c r="AK201" i="5"/>
  <c r="AK803" i="5" s="1"/>
  <c r="AJ203" i="5"/>
  <c r="AJ805" i="5" s="1"/>
  <c r="AC62" i="9"/>
  <c r="AC40" i="9"/>
  <c r="AM329" i="5"/>
  <c r="AN329" i="5"/>
  <c r="AG891" i="5"/>
  <c r="AG893" i="5" s="1"/>
  <c r="AG897" i="5" s="1"/>
  <c r="U73" i="9"/>
  <c r="AE948" i="5"/>
  <c r="AJ865" i="5"/>
  <c r="AF853" i="5"/>
  <c r="AF858" i="5" s="1"/>
  <c r="AF859" i="5" s="1"/>
  <c r="AF940" i="5" s="1"/>
  <c r="AF941" i="5" s="1"/>
  <c r="AK153" i="5"/>
  <c r="AK865" i="5" s="1"/>
  <c r="W858" i="5"/>
  <c r="W859" i="5" s="1"/>
  <c r="W916" i="5" s="1"/>
  <c r="W926" i="5" s="1"/>
  <c r="W932" i="5" s="1"/>
  <c r="W933" i="5" s="1"/>
  <c r="W946" i="5" s="1"/>
  <c r="W943" i="5" s="1"/>
  <c r="W856" i="5"/>
  <c r="X855" i="5" s="1"/>
  <c r="X853" i="5" s="1"/>
  <c r="X858" i="5" s="1"/>
  <c r="X859" i="5" s="1"/>
  <c r="V948" i="5"/>
  <c r="V950" i="5" s="1"/>
  <c r="V966" i="5" s="1"/>
  <c r="AG852" i="5"/>
  <c r="AG858" i="5"/>
  <c r="AG859" i="5" s="1"/>
  <c r="AG940" i="5" s="1"/>
  <c r="AG941" i="5" s="1"/>
  <c r="AM285" i="5"/>
  <c r="AN255" i="5"/>
  <c r="AN285" i="5" s="1"/>
  <c r="AH23" i="9"/>
  <c r="AH937" i="5"/>
  <c r="AH847" i="5"/>
  <c r="AH851" i="5" s="1"/>
  <c r="AH27" i="9"/>
  <c r="AH863" i="5"/>
  <c r="AD835" i="5"/>
  <c r="AD33" i="9"/>
  <c r="AK141" i="5"/>
  <c r="AK148" i="5" s="1"/>
  <c r="AJ46" i="9"/>
  <c r="AJ44" i="9" s="1"/>
  <c r="AM193" i="5"/>
  <c r="AN163" i="5"/>
  <c r="AN193" i="5" s="1"/>
  <c r="W873" i="5"/>
  <c r="W874" i="5" s="1"/>
  <c r="AL289" i="5"/>
  <c r="AL287" i="5"/>
  <c r="AJ807" i="5"/>
  <c r="AN243" i="5"/>
  <c r="AN241" i="5"/>
  <c r="AN245" i="5" s="1"/>
  <c r="AI849" i="5"/>
  <c r="AI939" i="5"/>
  <c r="AE960" i="5"/>
  <c r="V67" i="9"/>
  <c r="V929" i="5"/>
  <c r="V930" i="5" s="1"/>
  <c r="V81" i="9" s="1"/>
  <c r="V84" i="9" s="1"/>
  <c r="V95" i="9" s="1"/>
  <c r="V96" i="9" s="1"/>
  <c r="V52" i="9" s="1"/>
  <c r="AL152" i="5"/>
  <c r="AL25" i="9" s="1"/>
  <c r="AL80" i="9" s="1"/>
  <c r="AL197" i="5"/>
  <c r="AL195" i="5"/>
  <c r="AK155" i="5"/>
  <c r="AK154" i="5"/>
  <c r="AK45" i="9" s="1"/>
  <c r="AK199" i="5"/>
  <c r="AJ157" i="5"/>
  <c r="AJ156" i="5"/>
  <c r="AC77" i="9"/>
  <c r="AC38" i="9"/>
  <c r="AM243" i="5"/>
  <c r="AM241" i="5"/>
  <c r="AM247" i="5" s="1"/>
  <c r="AD79" i="9"/>
  <c r="AD915" i="5"/>
  <c r="AD925" i="5" s="1"/>
  <c r="X58" i="9"/>
  <c r="Y60" i="9"/>
  <c r="AK68" i="9"/>
  <c r="AK53" i="9"/>
  <c r="AL91" i="5"/>
  <c r="AE767" i="5"/>
  <c r="AE742" i="5"/>
  <c r="AE764" i="5"/>
  <c r="AE736" i="5" s="1"/>
  <c r="AE768" i="5"/>
  <c r="AE739" i="5" s="1"/>
  <c r="V54" i="9"/>
  <c r="V69" i="9"/>
  <c r="V960" i="5"/>
  <c r="V962" i="5" s="1"/>
  <c r="AI847" i="5" l="1"/>
  <c r="AI863" i="5"/>
  <c r="AI27" i="9"/>
  <c r="AI28" i="9" s="1"/>
  <c r="AI937" i="5"/>
  <c r="AK807" i="5"/>
  <c r="AK938" i="5" s="1"/>
  <c r="AJ809" i="5"/>
  <c r="AJ939" i="5" s="1"/>
  <c r="AL291" i="5"/>
  <c r="AN331" i="5"/>
  <c r="AM331" i="5"/>
  <c r="AM245" i="5"/>
  <c r="AN249" i="5" s="1"/>
  <c r="AN247" i="5"/>
  <c r="AL201" i="5"/>
  <c r="AL803" i="5" s="1"/>
  <c r="AL249" i="5"/>
  <c r="AK203" i="5"/>
  <c r="AK805" i="5" s="1"/>
  <c r="AE91" i="9"/>
  <c r="AD744" i="5"/>
  <c r="AK850" i="5"/>
  <c r="W940" i="5"/>
  <c r="W941" i="5" s="1"/>
  <c r="W960" i="5" s="1"/>
  <c r="W962" i="5" s="1"/>
  <c r="AI851" i="5"/>
  <c r="AI853" i="5" s="1"/>
  <c r="AI858" i="5" s="1"/>
  <c r="AI859" i="5" s="1"/>
  <c r="AF916" i="5"/>
  <c r="AF926" i="5" s="1"/>
  <c r="AF932" i="5" s="1"/>
  <c r="AF933" i="5" s="1"/>
  <c r="AF946" i="5" s="1"/>
  <c r="AF943" i="5" s="1"/>
  <c r="AF948" i="5" s="1"/>
  <c r="AG916" i="5"/>
  <c r="AG926" i="5" s="1"/>
  <c r="AL153" i="5"/>
  <c r="AL865" i="5" s="1"/>
  <c r="V65" i="9"/>
  <c r="V71" i="9" s="1"/>
  <c r="AG918" i="5"/>
  <c r="AG927" i="5" s="1"/>
  <c r="AG899" i="5"/>
  <c r="AG83" i="9" s="1"/>
  <c r="W876" i="5"/>
  <c r="W79" i="9"/>
  <c r="W915" i="5"/>
  <c r="W925" i="5" s="1"/>
  <c r="AD837" i="5"/>
  <c r="AD842" i="5" s="1"/>
  <c r="AD843" i="5" s="1"/>
  <c r="AD836" i="5"/>
  <c r="Y58" i="9"/>
  <c r="Z60" i="9"/>
  <c r="AD67" i="9"/>
  <c r="AD929" i="5"/>
  <c r="X940" i="5"/>
  <c r="X941" i="5" s="1"/>
  <c r="X916" i="5"/>
  <c r="X926" i="5" s="1"/>
  <c r="X932" i="5" s="1"/>
  <c r="X933" i="5" s="1"/>
  <c r="X946" i="5" s="1"/>
  <c r="X943" i="5" s="1"/>
  <c r="AJ938" i="5"/>
  <c r="AJ20" i="9"/>
  <c r="AJ22" i="9" s="1"/>
  <c r="AJ848" i="5"/>
  <c r="W871" i="5"/>
  <c r="X870" i="5" s="1"/>
  <c r="X868" i="5" s="1"/>
  <c r="AK46" i="9"/>
  <c r="AK44" i="9" s="1"/>
  <c r="AL141" i="5"/>
  <c r="AL148" i="5" s="1"/>
  <c r="AH28" i="9"/>
  <c r="AN289" i="5"/>
  <c r="AN287" i="5"/>
  <c r="AN291" i="5" s="1"/>
  <c r="V964" i="5"/>
  <c r="AE769" i="5"/>
  <c r="AL53" i="9"/>
  <c r="AL68" i="9"/>
  <c r="AM91" i="5"/>
  <c r="AL154" i="5"/>
  <c r="AL45" i="9" s="1"/>
  <c r="AL199" i="5"/>
  <c r="AL155" i="5"/>
  <c r="X856" i="5"/>
  <c r="Y855" i="5" s="1"/>
  <c r="AN152" i="5"/>
  <c r="AN25" i="9" s="1"/>
  <c r="AN197" i="5"/>
  <c r="AN195" i="5"/>
  <c r="AH853" i="5"/>
  <c r="AH858" i="5" s="1"/>
  <c r="AH859" i="5" s="1"/>
  <c r="AH852" i="5"/>
  <c r="AM289" i="5"/>
  <c r="AM287" i="5"/>
  <c r="AG894" i="5"/>
  <c r="AE738" i="5"/>
  <c r="AE92" i="9" s="1"/>
  <c r="AE741" i="5"/>
  <c r="AE30" i="9" s="1"/>
  <c r="AE864" i="5"/>
  <c r="AE866" i="5" s="1"/>
  <c r="AK157" i="5"/>
  <c r="AK156" i="5"/>
  <c r="V48" i="9"/>
  <c r="V56" i="9" s="1"/>
  <c r="AM197" i="5"/>
  <c r="AM152" i="5"/>
  <c r="AM25" i="9" s="1"/>
  <c r="AM80" i="9" s="1"/>
  <c r="AM195" i="5"/>
  <c r="AJ849" i="5" l="1"/>
  <c r="AK20" i="9"/>
  <c r="AK22" i="9" s="1"/>
  <c r="AK863" i="5" s="1"/>
  <c r="AK848" i="5"/>
  <c r="AL807" i="5"/>
  <c r="AN201" i="5"/>
  <c r="AN803" i="5" s="1"/>
  <c r="AM249" i="5"/>
  <c r="AM291" i="5"/>
  <c r="AM201" i="5"/>
  <c r="AM803" i="5" s="1"/>
  <c r="AL203" i="5"/>
  <c r="AL805" i="5" s="1"/>
  <c r="AE93" i="9"/>
  <c r="AD745" i="5"/>
  <c r="AD63" i="9" s="1"/>
  <c r="AD66" i="9"/>
  <c r="AE867" i="5"/>
  <c r="AE868" i="5"/>
  <c r="AE873" i="5" s="1"/>
  <c r="AE874" i="5" s="1"/>
  <c r="W948" i="5"/>
  <c r="W950" i="5" s="1"/>
  <c r="W966" i="5" s="1"/>
  <c r="AI852" i="5"/>
  <c r="AL850" i="5"/>
  <c r="X948" i="5"/>
  <c r="AF960" i="5"/>
  <c r="AG932" i="5"/>
  <c r="AG933" i="5" s="1"/>
  <c r="AG946" i="5" s="1"/>
  <c r="AG960" i="5" s="1"/>
  <c r="AD840" i="5"/>
  <c r="AM153" i="5"/>
  <c r="AM865" i="5" s="1"/>
  <c r="V73" i="9"/>
  <c r="AK809" i="5"/>
  <c r="X873" i="5"/>
  <c r="X874" i="5" s="1"/>
  <c r="AN80" i="9"/>
  <c r="K25" i="9"/>
  <c r="AM199" i="5"/>
  <c r="AM155" i="5"/>
  <c r="AM154" i="5"/>
  <c r="AM45" i="9" s="1"/>
  <c r="AH891" i="5"/>
  <c r="AG51" i="9"/>
  <c r="AH940" i="5"/>
  <c r="AH941" i="5" s="1"/>
  <c r="AH916" i="5"/>
  <c r="AH926" i="5" s="1"/>
  <c r="Y853" i="5"/>
  <c r="Y858" i="5" s="1"/>
  <c r="Y859" i="5" s="1"/>
  <c r="X960" i="5"/>
  <c r="X962" i="5" s="1"/>
  <c r="Z58" i="9"/>
  <c r="AA60" i="9"/>
  <c r="AD35" i="9"/>
  <c r="W54" i="9"/>
  <c r="W69" i="9"/>
  <c r="AN155" i="5"/>
  <c r="AN199" i="5"/>
  <c r="AN154" i="5"/>
  <c r="AN45" i="9" s="1"/>
  <c r="AL938" i="5"/>
  <c r="AL20" i="9"/>
  <c r="AL22" i="9" s="1"/>
  <c r="AL848" i="5"/>
  <c r="AE743" i="5"/>
  <c r="AF763" i="5"/>
  <c r="AM141" i="5"/>
  <c r="AM148" i="5" s="1"/>
  <c r="AL46" i="9"/>
  <c r="AL44" i="9" s="1"/>
  <c r="AJ23" i="9"/>
  <c r="AJ847" i="5"/>
  <c r="AJ851" i="5" s="1"/>
  <c r="AJ863" i="5"/>
  <c r="AJ937" i="5"/>
  <c r="AJ27" i="9"/>
  <c r="AK23" i="9"/>
  <c r="AK847" i="5"/>
  <c r="AK937" i="5"/>
  <c r="AK27" i="9"/>
  <c r="AK28" i="9" s="1"/>
  <c r="AE82" i="9"/>
  <c r="AE32" i="9"/>
  <c r="AN153" i="5"/>
  <c r="AL156" i="5"/>
  <c r="AL157" i="5"/>
  <c r="AM68" i="9"/>
  <c r="AM53" i="9"/>
  <c r="AN91" i="5"/>
  <c r="W964" i="5"/>
  <c r="W67" i="9"/>
  <c r="W929" i="5"/>
  <c r="W930" i="5" s="1"/>
  <c r="W81" i="9" s="1"/>
  <c r="W84" i="9" s="1"/>
  <c r="W95" i="9" s="1"/>
  <c r="W96" i="9" s="1"/>
  <c r="W52" i="9" s="1"/>
  <c r="AI940" i="5"/>
  <c r="AI941" i="5" s="1"/>
  <c r="AI916" i="5"/>
  <c r="AI926" i="5" s="1"/>
  <c r="AL809" i="5" l="1"/>
  <c r="AN203" i="5"/>
  <c r="AN805" i="5" s="1"/>
  <c r="AM203" i="5"/>
  <c r="AM805" i="5" s="1"/>
  <c r="AD62" i="9"/>
  <c r="AD40" i="9"/>
  <c r="X950" i="5"/>
  <c r="X966" i="5" s="1"/>
  <c r="AG943" i="5"/>
  <c r="AG948" i="5" s="1"/>
  <c r="W65" i="9"/>
  <c r="W71" i="9" s="1"/>
  <c r="AM850" i="5"/>
  <c r="W48" i="9"/>
  <c r="W56" i="9" s="1"/>
  <c r="AL849" i="5"/>
  <c r="AL939" i="5"/>
  <c r="AJ28" i="9"/>
  <c r="AD78" i="9"/>
  <c r="AD37" i="9"/>
  <c r="Y940" i="5"/>
  <c r="Y941" i="5" s="1"/>
  <c r="Y916" i="5"/>
  <c r="Y926" i="5" s="1"/>
  <c r="Y932" i="5" s="1"/>
  <c r="Y933" i="5" s="1"/>
  <c r="Y946" i="5" s="1"/>
  <c r="Y943" i="5" s="1"/>
  <c r="AN865" i="5"/>
  <c r="I865" i="5" s="1"/>
  <c r="AN850" i="5"/>
  <c r="AN157" i="5"/>
  <c r="AN156" i="5"/>
  <c r="AA58" i="9"/>
  <c r="AB60" i="9"/>
  <c r="Y856" i="5"/>
  <c r="Z855" i="5" s="1"/>
  <c r="AH893" i="5"/>
  <c r="AH897" i="5" s="1"/>
  <c r="AM807" i="5"/>
  <c r="AN807" i="5"/>
  <c r="X964" i="5"/>
  <c r="AL937" i="5"/>
  <c r="AL847" i="5"/>
  <c r="AL27" i="9"/>
  <c r="AL23" i="9"/>
  <c r="AL863" i="5"/>
  <c r="AM156" i="5"/>
  <c r="AM157" i="5"/>
  <c r="X876" i="5"/>
  <c r="X79" i="9"/>
  <c r="X915" i="5"/>
  <c r="X925" i="5" s="1"/>
  <c r="AK849" i="5"/>
  <c r="AK851" i="5" s="1"/>
  <c r="AK939" i="5"/>
  <c r="AN53" i="9"/>
  <c r="AN68" i="9"/>
  <c r="AE835" i="5"/>
  <c r="AE33" i="9"/>
  <c r="AN141" i="5"/>
  <c r="AN148" i="5" s="1"/>
  <c r="AN46" i="9" s="1"/>
  <c r="AN44" i="9" s="1"/>
  <c r="AM46" i="9"/>
  <c r="AM44" i="9" s="1"/>
  <c r="AJ853" i="5"/>
  <c r="AJ858" i="5" s="1"/>
  <c r="AJ859" i="5" s="1"/>
  <c r="AJ852" i="5"/>
  <c r="AF742" i="5"/>
  <c r="AF764" i="5"/>
  <c r="AF736" i="5" s="1"/>
  <c r="AF768" i="5"/>
  <c r="AF739" i="5" s="1"/>
  <c r="AE79" i="9"/>
  <c r="AE915" i="5"/>
  <c r="AE925" i="5" s="1"/>
  <c r="X871" i="5"/>
  <c r="Y870" i="5" s="1"/>
  <c r="Y868" i="5" s="1"/>
  <c r="AF91" i="9" l="1"/>
  <c r="AE744" i="5"/>
  <c r="W73" i="9"/>
  <c r="I850" i="5"/>
  <c r="AF769" i="5"/>
  <c r="AG763" i="5" s="1"/>
  <c r="Y948" i="5"/>
  <c r="Y950" i="5" s="1"/>
  <c r="Y966" i="5" s="1"/>
  <c r="AE67" i="9"/>
  <c r="AE929" i="5"/>
  <c r="AE930" i="5" s="1"/>
  <c r="AE81" i="9" s="1"/>
  <c r="AJ940" i="5"/>
  <c r="AJ941" i="5" s="1"/>
  <c r="AJ916" i="5"/>
  <c r="AJ926" i="5" s="1"/>
  <c r="AK852" i="5"/>
  <c r="AK853" i="5"/>
  <c r="AK858" i="5" s="1"/>
  <c r="AK859" i="5" s="1"/>
  <c r="AL28" i="9"/>
  <c r="AH918" i="5"/>
  <c r="AH927" i="5" s="1"/>
  <c r="AH899" i="5"/>
  <c r="AH83" i="9" s="1"/>
  <c r="AD38" i="9"/>
  <c r="AD77" i="9"/>
  <c r="AF741" i="5"/>
  <c r="AF30" i="9" s="1"/>
  <c r="AF738" i="5"/>
  <c r="AF92" i="9" s="1"/>
  <c r="AF864" i="5"/>
  <c r="AF866" i="5" s="1"/>
  <c r="AM809" i="5"/>
  <c r="X67" i="9"/>
  <c r="X929" i="5"/>
  <c r="X930" i="5" s="1"/>
  <c r="X81" i="9" s="1"/>
  <c r="X84" i="9" s="1"/>
  <c r="X95" i="9" s="1"/>
  <c r="X96" i="9" s="1"/>
  <c r="X52" i="9" s="1"/>
  <c r="AN938" i="5"/>
  <c r="AN848" i="5"/>
  <c r="AN20" i="9"/>
  <c r="I807" i="5"/>
  <c r="Z853" i="5"/>
  <c r="Z858" i="5" s="1"/>
  <c r="Z859" i="5" s="1"/>
  <c r="Y873" i="5"/>
  <c r="Y874" i="5" s="1"/>
  <c r="Y876" i="5" s="1"/>
  <c r="AE837" i="5"/>
  <c r="AE842" i="5" s="1"/>
  <c r="AE843" i="5" s="1"/>
  <c r="AE836" i="5"/>
  <c r="AM938" i="5"/>
  <c r="AM20" i="9"/>
  <c r="AM22" i="9" s="1"/>
  <c r="AM848" i="5"/>
  <c r="AB58" i="9"/>
  <c r="AC60" i="9"/>
  <c r="AC58" i="9" s="1"/>
  <c r="AL851" i="5"/>
  <c r="X54" i="9"/>
  <c r="X69" i="9"/>
  <c r="AH894" i="5"/>
  <c r="Y960" i="5"/>
  <c r="Y962" i="5" s="1"/>
  <c r="AN809" i="5" l="1"/>
  <c r="AN939" i="5" s="1"/>
  <c r="AF93" i="9"/>
  <c r="AE745" i="5"/>
  <c r="AE63" i="9" s="1"/>
  <c r="AE66" i="9"/>
  <c r="AF867" i="5"/>
  <c r="AF868" i="5"/>
  <c r="AF743" i="5"/>
  <c r="AE840" i="5"/>
  <c r="X48" i="9"/>
  <c r="X56" i="9" s="1"/>
  <c r="Z856" i="5"/>
  <c r="AA855" i="5" s="1"/>
  <c r="AA853" i="5" s="1"/>
  <c r="AA858" i="5" s="1"/>
  <c r="AA859" i="5" s="1"/>
  <c r="AL853" i="5"/>
  <c r="AL858" i="5" s="1"/>
  <c r="AL859" i="5" s="1"/>
  <c r="AL852" i="5"/>
  <c r="Y79" i="9"/>
  <c r="Y915" i="5"/>
  <c r="Y925" i="5" s="1"/>
  <c r="AH51" i="9"/>
  <c r="AI891" i="5"/>
  <c r="AK940" i="5"/>
  <c r="AK941" i="5" s="1"/>
  <c r="AK916" i="5"/>
  <c r="AK926" i="5" s="1"/>
  <c r="AM27" i="9"/>
  <c r="AM28" i="9" s="1"/>
  <c r="AM847" i="5"/>
  <c r="AM937" i="5"/>
  <c r="AM23" i="9"/>
  <c r="AM863" i="5"/>
  <c r="AN22" i="9"/>
  <c r="K20" i="9"/>
  <c r="X65" i="9"/>
  <c r="X71" i="9" s="1"/>
  <c r="AF82" i="9"/>
  <c r="AF32" i="9"/>
  <c r="AG767" i="5"/>
  <c r="AG764" i="5"/>
  <c r="AG736" i="5" s="1"/>
  <c r="AG742" i="5"/>
  <c r="AG768" i="5"/>
  <c r="AG739" i="5" s="1"/>
  <c r="Y964" i="5"/>
  <c r="AE35" i="9"/>
  <c r="I848" i="5"/>
  <c r="AM849" i="5"/>
  <c r="AM939" i="5"/>
  <c r="AD60" i="9"/>
  <c r="AD58" i="9" s="1"/>
  <c r="AH932" i="5"/>
  <c r="AH933" i="5" s="1"/>
  <c r="AH946" i="5" s="1"/>
  <c r="Y871" i="5"/>
  <c r="Z870" i="5" s="1"/>
  <c r="Z868" i="5" s="1"/>
  <c r="Z940" i="5"/>
  <c r="Z941" i="5" s="1"/>
  <c r="Z916" i="5"/>
  <c r="Z926" i="5" s="1"/>
  <c r="Z932" i="5" s="1"/>
  <c r="Z933" i="5" s="1"/>
  <c r="Z946" i="5" s="1"/>
  <c r="Z943" i="5" s="1"/>
  <c r="K938" i="5"/>
  <c r="AN849" i="5" l="1"/>
  <c r="K939" i="5"/>
  <c r="I809" i="5"/>
  <c r="AG91" i="9"/>
  <c r="AF744" i="5"/>
  <c r="AF66" i="9" s="1"/>
  <c r="AE62" i="9"/>
  <c r="AE40" i="9"/>
  <c r="X73" i="9"/>
  <c r="I849" i="5"/>
  <c r="AM851" i="5"/>
  <c r="AM853" i="5" s="1"/>
  <c r="AM858" i="5" s="1"/>
  <c r="AM859" i="5" s="1"/>
  <c r="Z948" i="5"/>
  <c r="Z950" i="5" s="1"/>
  <c r="Z966" i="5" s="1"/>
  <c r="AA940" i="5"/>
  <c r="AA941" i="5" s="1"/>
  <c r="AA916" i="5"/>
  <c r="AA926" i="5" s="1"/>
  <c r="AA932" i="5" s="1"/>
  <c r="AA933" i="5" s="1"/>
  <c r="AA946" i="5" s="1"/>
  <c r="AA943" i="5" s="1"/>
  <c r="AI893" i="5"/>
  <c r="AI897" i="5" s="1"/>
  <c r="Y54" i="9"/>
  <c r="Y69" i="9"/>
  <c r="Z873" i="5"/>
  <c r="Z874" i="5" s="1"/>
  <c r="AH943" i="5"/>
  <c r="AH948" i="5" s="1"/>
  <c r="AH960" i="5"/>
  <c r="AG738" i="5"/>
  <c r="AG92" i="9" s="1"/>
  <c r="AG741" i="5"/>
  <c r="AG30" i="9" s="1"/>
  <c r="AG864" i="5"/>
  <c r="AG866" i="5" s="1"/>
  <c r="AE78" i="9"/>
  <c r="AE37" i="9"/>
  <c r="Y67" i="9"/>
  <c r="Y929" i="5"/>
  <c r="Y930" i="5" s="1"/>
  <c r="Y81" i="9" s="1"/>
  <c r="Y84" i="9" s="1"/>
  <c r="Y95" i="9" s="1"/>
  <c r="Y96" i="9" s="1"/>
  <c r="Y52" i="9" s="1"/>
  <c r="AL940" i="5"/>
  <c r="AL941" i="5" s="1"/>
  <c r="AL916" i="5"/>
  <c r="AL926" i="5" s="1"/>
  <c r="Z960" i="5"/>
  <c r="Z962" i="5" s="1"/>
  <c r="AA856" i="5"/>
  <c r="AB855" i="5" s="1"/>
  <c r="AG769" i="5"/>
  <c r="AF33" i="9"/>
  <c r="AF835" i="5"/>
  <c r="AN937" i="5"/>
  <c r="K937" i="5" s="1"/>
  <c r="AN23" i="9"/>
  <c r="AN863" i="5"/>
  <c r="AN27" i="9"/>
  <c r="AN847" i="5"/>
  <c r="K22" i="9"/>
  <c r="AF745" i="5" l="1"/>
  <c r="AF63" i="9" s="1"/>
  <c r="AF62" i="9" s="1"/>
  <c r="AG93" i="9"/>
  <c r="AG867" i="5"/>
  <c r="AG868" i="5"/>
  <c r="Y48" i="9"/>
  <c r="Y56" i="9" s="1"/>
  <c r="AM852" i="5"/>
  <c r="Y65" i="9"/>
  <c r="Y71" i="9" s="1"/>
  <c r="AI894" i="5"/>
  <c r="AI51" i="9" s="1"/>
  <c r="AA948" i="5"/>
  <c r="AA950" i="5" s="1"/>
  <c r="AA966" i="5" s="1"/>
  <c r="AN28" i="9"/>
  <c r="K27" i="9"/>
  <c r="AB853" i="5"/>
  <c r="AB858" i="5" s="1"/>
  <c r="AB859" i="5" s="1"/>
  <c r="AG82" i="9"/>
  <c r="AG32" i="9"/>
  <c r="Z871" i="5"/>
  <c r="AA870" i="5" s="1"/>
  <c r="AA868" i="5" s="1"/>
  <c r="Z964" i="5"/>
  <c r="AH763" i="5"/>
  <c r="AG743" i="5"/>
  <c r="I863" i="5"/>
  <c r="AF836" i="5"/>
  <c r="AF837" i="5"/>
  <c r="AF842" i="5" s="1"/>
  <c r="AF843" i="5" s="1"/>
  <c r="AF35" i="9" s="1"/>
  <c r="AE77" i="9"/>
  <c r="AE84" i="9" s="1"/>
  <c r="AE95" i="9" s="1"/>
  <c r="AE38" i="9"/>
  <c r="AE60" i="9"/>
  <c r="AE58" i="9" s="1"/>
  <c r="Z876" i="5"/>
  <c r="Z79" i="9"/>
  <c r="Z915" i="5"/>
  <c r="Z925" i="5" s="1"/>
  <c r="AI918" i="5"/>
  <c r="AI927" i="5" s="1"/>
  <c r="AI899" i="5"/>
  <c r="AI83" i="9" s="1"/>
  <c r="AM940" i="5"/>
  <c r="AM941" i="5" s="1"/>
  <c r="AM916" i="5"/>
  <c r="AM926" i="5" s="1"/>
  <c r="AN851" i="5"/>
  <c r="I847" i="5"/>
  <c r="AA960" i="5"/>
  <c r="AA962" i="5" s="1"/>
  <c r="AF40" i="9" l="1"/>
  <c r="Y73" i="9"/>
  <c r="AJ891" i="5"/>
  <c r="AJ893" i="5" s="1"/>
  <c r="AJ897" i="5" s="1"/>
  <c r="AA964" i="5"/>
  <c r="AN852" i="5"/>
  <c r="I852" i="5" s="1"/>
  <c r="AN853" i="5"/>
  <c r="I851" i="5"/>
  <c r="Z54" i="9"/>
  <c r="Z69" i="9"/>
  <c r="AG835" i="5"/>
  <c r="AG33" i="9"/>
  <c r="AB940" i="5"/>
  <c r="AB941" i="5" s="1"/>
  <c r="AB916" i="5"/>
  <c r="AB926" i="5" s="1"/>
  <c r="AB932" i="5" s="1"/>
  <c r="AB933" i="5" s="1"/>
  <c r="AB946" i="5" s="1"/>
  <c r="AB943" i="5" s="1"/>
  <c r="AI932" i="5"/>
  <c r="AI933" i="5" s="1"/>
  <c r="AI946" i="5" s="1"/>
  <c r="AF78" i="9"/>
  <c r="AF37" i="9"/>
  <c r="Z67" i="9"/>
  <c r="Z929" i="5"/>
  <c r="Z930" i="5" s="1"/>
  <c r="Z81" i="9" s="1"/>
  <c r="Z84" i="9" s="1"/>
  <c r="Z95" i="9" s="1"/>
  <c r="Z96" i="9" s="1"/>
  <c r="Z52" i="9" s="1"/>
  <c r="AF840" i="5"/>
  <c r="AH767" i="5"/>
  <c r="AH742" i="5"/>
  <c r="AH764" i="5"/>
  <c r="AH736" i="5" s="1"/>
  <c r="AH768" i="5"/>
  <c r="AH739" i="5" s="1"/>
  <c r="AA873" i="5"/>
  <c r="AA874" i="5" s="1"/>
  <c r="AB856" i="5"/>
  <c r="AC855" i="5" s="1"/>
  <c r="Z65" i="9" l="1"/>
  <c r="Z71" i="9" s="1"/>
  <c r="AH91" i="9"/>
  <c r="AG744" i="5"/>
  <c r="AJ894" i="5"/>
  <c r="AK891" i="5" s="1"/>
  <c r="AB948" i="5"/>
  <c r="AB950" i="5" s="1"/>
  <c r="AB966" i="5" s="1"/>
  <c r="Z48" i="9"/>
  <c r="Z56" i="9" s="1"/>
  <c r="AA876" i="5"/>
  <c r="AA79" i="9"/>
  <c r="AA915" i="5"/>
  <c r="AA925" i="5" s="1"/>
  <c r="AH738" i="5"/>
  <c r="AH92" i="9" s="1"/>
  <c r="AH93" i="9" s="1"/>
  <c r="AH741" i="5"/>
  <c r="AH30" i="9" s="1"/>
  <c r="AH864" i="5"/>
  <c r="AH866" i="5" s="1"/>
  <c r="AI943" i="5"/>
  <c r="AI948" i="5" s="1"/>
  <c r="AI960" i="5"/>
  <c r="AJ918" i="5"/>
  <c r="AJ927" i="5" s="1"/>
  <c r="AJ899" i="5"/>
  <c r="AJ83" i="9" s="1"/>
  <c r="AC853" i="5"/>
  <c r="AC858" i="5" s="1"/>
  <c r="AC859" i="5" s="1"/>
  <c r="AF38" i="9"/>
  <c r="AF77" i="9"/>
  <c r="AF60" i="9"/>
  <c r="AF58" i="9" s="1"/>
  <c r="AG836" i="5"/>
  <c r="AG837" i="5"/>
  <c r="AG842" i="5" s="1"/>
  <c r="AG843" i="5" s="1"/>
  <c r="AG35" i="9" s="1"/>
  <c r="AA871" i="5"/>
  <c r="AB870" i="5" s="1"/>
  <c r="AB868" i="5" s="1"/>
  <c r="AH769" i="5"/>
  <c r="AB960" i="5"/>
  <c r="AB962" i="5" s="1"/>
  <c r="AN858" i="5"/>
  <c r="Z73" i="9" l="1"/>
  <c r="AG66" i="9"/>
  <c r="AG745" i="5"/>
  <c r="AG63" i="9" s="1"/>
  <c r="AH867" i="5"/>
  <c r="AH868" i="5"/>
  <c r="AH873" i="5" s="1"/>
  <c r="AH874" i="5" s="1"/>
  <c r="AJ51" i="9"/>
  <c r="I858" i="5"/>
  <c r="AN859" i="5"/>
  <c r="AG78" i="9"/>
  <c r="AG37" i="9"/>
  <c r="AC940" i="5"/>
  <c r="AC941" i="5" s="1"/>
  <c r="AC916" i="5"/>
  <c r="AC926" i="5" s="1"/>
  <c r="AC932" i="5" s="1"/>
  <c r="AJ932" i="5"/>
  <c r="AJ933" i="5" s="1"/>
  <c r="AJ946" i="5" s="1"/>
  <c r="AK893" i="5"/>
  <c r="AK897" i="5" s="1"/>
  <c r="AB964" i="5"/>
  <c r="AG840" i="5"/>
  <c r="AC856" i="5"/>
  <c r="AD855" i="5" s="1"/>
  <c r="AD856" i="5" s="1"/>
  <c r="AE855" i="5" s="1"/>
  <c r="AE856" i="5" s="1"/>
  <c r="AF855" i="5" s="1"/>
  <c r="AF856" i="5" s="1"/>
  <c r="AG855" i="5" s="1"/>
  <c r="AG856" i="5" s="1"/>
  <c r="AH855" i="5" s="1"/>
  <c r="AH856" i="5" s="1"/>
  <c r="AI855" i="5" s="1"/>
  <c r="AI856" i="5" s="1"/>
  <c r="AJ855" i="5" s="1"/>
  <c r="AJ856" i="5" s="1"/>
  <c r="AK855" i="5" s="1"/>
  <c r="AK856" i="5" s="1"/>
  <c r="AL855" i="5" s="1"/>
  <c r="AL856" i="5" s="1"/>
  <c r="AM855" i="5" s="1"/>
  <c r="AM856" i="5" s="1"/>
  <c r="AN855" i="5" s="1"/>
  <c r="AN856" i="5" s="1"/>
  <c r="I853" i="5"/>
  <c r="AH82" i="9"/>
  <c r="AH32" i="9"/>
  <c r="AA67" i="9"/>
  <c r="AA929" i="5"/>
  <c r="AA930" i="5" s="1"/>
  <c r="AA81" i="9" s="1"/>
  <c r="AA84" i="9" s="1"/>
  <c r="AA95" i="9" s="1"/>
  <c r="AA96" i="9" s="1"/>
  <c r="AA52" i="9" s="1"/>
  <c r="AH743" i="5"/>
  <c r="AI763" i="5"/>
  <c r="AB873" i="5"/>
  <c r="AB874" i="5" s="1"/>
  <c r="AA54" i="9"/>
  <c r="AA69" i="9"/>
  <c r="AG62" i="9" l="1"/>
  <c r="AG40" i="9"/>
  <c r="AB871" i="5"/>
  <c r="AC870" i="5" s="1"/>
  <c r="AA65" i="9"/>
  <c r="AA71" i="9" s="1"/>
  <c r="AH79" i="9"/>
  <c r="AH915" i="5"/>
  <c r="AH925" i="5" s="1"/>
  <c r="AC933" i="5"/>
  <c r="AC946" i="5" s="1"/>
  <c r="AC943" i="5" s="1"/>
  <c r="AC948" i="5" s="1"/>
  <c r="AC950" i="5" s="1"/>
  <c r="AD933" i="5"/>
  <c r="AD946" i="5" s="1"/>
  <c r="AA48" i="9"/>
  <c r="AA56" i="9" s="1"/>
  <c r="AN940" i="5"/>
  <c r="AN916" i="5"/>
  <c r="AN926" i="5" s="1"/>
  <c r="I859" i="5"/>
  <c r="AJ943" i="5"/>
  <c r="AJ948" i="5" s="1"/>
  <c r="AJ960" i="5"/>
  <c r="AB876" i="5"/>
  <c r="AB79" i="9"/>
  <c r="AB915" i="5"/>
  <c r="AB925" i="5" s="1"/>
  <c r="AK918" i="5"/>
  <c r="AK927" i="5" s="1"/>
  <c r="AK899" i="5"/>
  <c r="AK83" i="9" s="1"/>
  <c r="AI767" i="5"/>
  <c r="AI742" i="5"/>
  <c r="AI764" i="5"/>
  <c r="AI736" i="5" s="1"/>
  <c r="AI768" i="5"/>
  <c r="AI739" i="5" s="1"/>
  <c r="AH33" i="9"/>
  <c r="AH835" i="5"/>
  <c r="AK894" i="5"/>
  <c r="AG77" i="9"/>
  <c r="AG38" i="9"/>
  <c r="AG60" i="9"/>
  <c r="AG58" i="9" s="1"/>
  <c r="AI91" i="9" l="1"/>
  <c r="AH744" i="5"/>
  <c r="AC868" i="5"/>
  <c r="AC873" i="5" s="1"/>
  <c r="AC874" i="5" s="1"/>
  <c r="AC876" i="5" s="1"/>
  <c r="AA73" i="9"/>
  <c r="AH837" i="5"/>
  <c r="AH842" i="5" s="1"/>
  <c r="AH843" i="5" s="1"/>
  <c r="AH836" i="5"/>
  <c r="AL891" i="5"/>
  <c r="AK51" i="9"/>
  <c r="AB67" i="9"/>
  <c r="AB929" i="5"/>
  <c r="AB930" i="5" s="1"/>
  <c r="AB81" i="9" s="1"/>
  <c r="AB84" i="9" s="1"/>
  <c r="AB95" i="9" s="1"/>
  <c r="AB96" i="9" s="1"/>
  <c r="AB52" i="9" s="1"/>
  <c r="AI769" i="5"/>
  <c r="AN941" i="5"/>
  <c r="K940" i="5"/>
  <c r="AC966" i="5"/>
  <c r="AI741" i="5"/>
  <c r="AI30" i="9" s="1"/>
  <c r="AI738" i="5"/>
  <c r="AI92" i="9" s="1"/>
  <c r="AI864" i="5"/>
  <c r="AI866" i="5" s="1"/>
  <c r="AK932" i="5"/>
  <c r="AK933" i="5" s="1"/>
  <c r="AK946" i="5" s="1"/>
  <c r="AB54" i="9"/>
  <c r="AB69" i="9"/>
  <c r="AC960" i="5"/>
  <c r="AC962" i="5" s="1"/>
  <c r="AH67" i="9"/>
  <c r="AH929" i="5"/>
  <c r="AF873" i="5"/>
  <c r="AF874" i="5" s="1"/>
  <c r="AD943" i="5"/>
  <c r="AD948" i="5" s="1"/>
  <c r="AD950" i="5" s="1"/>
  <c r="AD960" i="5"/>
  <c r="AI93" i="9" l="1"/>
  <c r="AH745" i="5"/>
  <c r="AH63" i="9" s="1"/>
  <c r="AH66" i="9"/>
  <c r="AI867" i="5"/>
  <c r="AI868" i="5"/>
  <c r="AI873" i="5" s="1"/>
  <c r="AI874" i="5" s="1"/>
  <c r="AC915" i="5"/>
  <c r="AC79" i="9"/>
  <c r="AC871" i="5"/>
  <c r="AD870" i="5" s="1"/>
  <c r="AD871" i="5" s="1"/>
  <c r="AE870" i="5" s="1"/>
  <c r="AE871" i="5" s="1"/>
  <c r="AF870" i="5" s="1"/>
  <c r="AF871" i="5" s="1"/>
  <c r="AG870" i="5" s="1"/>
  <c r="AH840" i="5"/>
  <c r="AD966" i="5"/>
  <c r="AE950" i="5"/>
  <c r="AI743" i="5"/>
  <c r="AJ763" i="5"/>
  <c r="AC964" i="5"/>
  <c r="AD962" i="5"/>
  <c r="AF79" i="9"/>
  <c r="AF915" i="5"/>
  <c r="AF925" i="5" s="1"/>
  <c r="AC54" i="9"/>
  <c r="AC69" i="9"/>
  <c r="AD876" i="5"/>
  <c r="AL893" i="5"/>
  <c r="AL897" i="5" s="1"/>
  <c r="AB48" i="9"/>
  <c r="AB56" i="9" s="1"/>
  <c r="AG873" i="5"/>
  <c r="AG874" i="5" s="1"/>
  <c r="AC925" i="5"/>
  <c r="AK943" i="5"/>
  <c r="AK948" i="5" s="1"/>
  <c r="AK960" i="5"/>
  <c r="AI82" i="9"/>
  <c r="AI32" i="9"/>
  <c r="K941" i="5"/>
  <c r="AB65" i="9"/>
  <c r="AB71" i="9" s="1"/>
  <c r="AH35" i="9"/>
  <c r="AH62" i="9" l="1"/>
  <c r="AH40" i="9"/>
  <c r="AB73" i="9"/>
  <c r="AC67" i="9"/>
  <c r="AC65" i="9" s="1"/>
  <c r="AC71" i="9" s="1"/>
  <c r="AC929" i="5"/>
  <c r="AG871" i="5"/>
  <c r="AH870" i="5" s="1"/>
  <c r="AH871" i="5" s="1"/>
  <c r="AI870" i="5" s="1"/>
  <c r="AI871" i="5" s="1"/>
  <c r="AJ870" i="5" s="1"/>
  <c r="AL894" i="5"/>
  <c r="AD54" i="9"/>
  <c r="AD69" i="9"/>
  <c r="AD65" i="9" s="1"/>
  <c r="AD71" i="9" s="1"/>
  <c r="AE876" i="5"/>
  <c r="AJ767" i="5"/>
  <c r="AJ764" i="5"/>
  <c r="AJ736" i="5" s="1"/>
  <c r="AJ742" i="5"/>
  <c r="AJ768" i="5"/>
  <c r="AJ739" i="5" s="1"/>
  <c r="AG79" i="9"/>
  <c r="AG915" i="5"/>
  <c r="AG925" i="5" s="1"/>
  <c r="AI79" i="9"/>
  <c r="AI915" i="5"/>
  <c r="AI925" i="5" s="1"/>
  <c r="AD964" i="5"/>
  <c r="AE962" i="5"/>
  <c r="AE966" i="5"/>
  <c r="AF950" i="5"/>
  <c r="AL918" i="5"/>
  <c r="AL927" i="5" s="1"/>
  <c r="AL899" i="5"/>
  <c r="AL83" i="9" s="1"/>
  <c r="AH78" i="9"/>
  <c r="AH37" i="9"/>
  <c r="AI835" i="5"/>
  <c r="AI33" i="9"/>
  <c r="AF67" i="9"/>
  <c r="AF929" i="5"/>
  <c r="AF930" i="5" s="1"/>
  <c r="AF81" i="9" s="1"/>
  <c r="AF84" i="9" s="1"/>
  <c r="AF95" i="9" s="1"/>
  <c r="AJ91" i="9" l="1"/>
  <c r="AI744" i="5"/>
  <c r="AL51" i="9"/>
  <c r="AM891" i="5"/>
  <c r="AI836" i="5"/>
  <c r="AI837" i="5"/>
  <c r="AI842" i="5" s="1"/>
  <c r="AI843" i="5" s="1"/>
  <c r="AL932" i="5"/>
  <c r="AL933" i="5" s="1"/>
  <c r="AL946" i="5" s="1"/>
  <c r="AG67" i="9"/>
  <c r="AG929" i="5"/>
  <c r="AJ769" i="5"/>
  <c r="AE54" i="9"/>
  <c r="AE69" i="9"/>
  <c r="AE65" i="9" s="1"/>
  <c r="AE71" i="9" s="1"/>
  <c r="AF876" i="5"/>
  <c r="AD930" i="5"/>
  <c r="AD81" i="9" s="1"/>
  <c r="AD84" i="9" s="1"/>
  <c r="AD95" i="9" s="1"/>
  <c r="AC930" i="5"/>
  <c r="AC81" i="9" s="1"/>
  <c r="AC84" i="9" s="1"/>
  <c r="AC95" i="9" s="1"/>
  <c r="AC96" i="9" s="1"/>
  <c r="AC52" i="9" s="1"/>
  <c r="AC48" i="9" s="1"/>
  <c r="AC56" i="9" s="1"/>
  <c r="AC73" i="9" s="1"/>
  <c r="AE964" i="5"/>
  <c r="AF962" i="5"/>
  <c r="AH77" i="9"/>
  <c r="AH38" i="9"/>
  <c r="AH60" i="9"/>
  <c r="AH58" i="9" s="1"/>
  <c r="AF966" i="5"/>
  <c r="AG950" i="5"/>
  <c r="AI67" i="9"/>
  <c r="AI929" i="5"/>
  <c r="AI930" i="5" s="1"/>
  <c r="AI81" i="9" s="1"/>
  <c r="AJ864" i="5"/>
  <c r="AJ866" i="5" s="1"/>
  <c r="AJ738" i="5"/>
  <c r="AJ92" i="9" s="1"/>
  <c r="AJ741" i="5"/>
  <c r="AJ30" i="9" s="1"/>
  <c r="AJ93" i="9" l="1"/>
  <c r="AI745" i="5"/>
  <c r="AI63" i="9" s="1"/>
  <c r="AI66" i="9"/>
  <c r="AJ867" i="5"/>
  <c r="AJ868" i="5"/>
  <c r="AJ873" i="5" s="1"/>
  <c r="AJ874" i="5" s="1"/>
  <c r="AF964" i="5"/>
  <c r="AG962" i="5"/>
  <c r="AL943" i="5"/>
  <c r="AL948" i="5" s="1"/>
  <c r="AL960" i="5"/>
  <c r="AJ82" i="9"/>
  <c r="AJ32" i="9"/>
  <c r="AJ743" i="5"/>
  <c r="AK763" i="5"/>
  <c r="AM893" i="5"/>
  <c r="AM897" i="5" s="1"/>
  <c r="AF54" i="9"/>
  <c r="AF69" i="9"/>
  <c r="AF65" i="9" s="1"/>
  <c r="AF71" i="9" s="1"/>
  <c r="AG876" i="5"/>
  <c r="AG930" i="5"/>
  <c r="AG81" i="9" s="1"/>
  <c r="AG84" i="9" s="1"/>
  <c r="AG95" i="9" s="1"/>
  <c r="AH930" i="5"/>
  <c r="AH81" i="9" s="1"/>
  <c r="AH84" i="9" s="1"/>
  <c r="AH95" i="9" s="1"/>
  <c r="AI35" i="9"/>
  <c r="AG966" i="5"/>
  <c r="AH950" i="5"/>
  <c r="AD96" i="9"/>
  <c r="AI840" i="5"/>
  <c r="AI62" i="9" l="1"/>
  <c r="AI40" i="9"/>
  <c r="AJ871" i="5"/>
  <c r="AK870" i="5" s="1"/>
  <c r="AG54" i="9"/>
  <c r="AG69" i="9"/>
  <c r="AG65" i="9" s="1"/>
  <c r="AG71" i="9" s="1"/>
  <c r="AH876" i="5"/>
  <c r="AM918" i="5"/>
  <c r="AM927" i="5" s="1"/>
  <c r="AM899" i="5"/>
  <c r="AM83" i="9" s="1"/>
  <c r="AJ835" i="5"/>
  <c r="AJ33" i="9"/>
  <c r="AG964" i="5"/>
  <c r="AH962" i="5"/>
  <c r="AD52" i="9"/>
  <c r="AD48" i="9" s="1"/>
  <c r="AD56" i="9" s="1"/>
  <c r="AD73" i="9" s="1"/>
  <c r="AE96" i="9"/>
  <c r="AH966" i="5"/>
  <c r="AI950" i="5"/>
  <c r="AI78" i="9"/>
  <c r="AI37" i="9"/>
  <c r="AK767" i="5"/>
  <c r="AK742" i="5"/>
  <c r="AK764" i="5"/>
  <c r="AK736" i="5" s="1"/>
  <c r="AK768" i="5"/>
  <c r="AK739" i="5" s="1"/>
  <c r="AJ79" i="9"/>
  <c r="AJ915" i="5"/>
  <c r="AJ925" i="5" s="1"/>
  <c r="AM894" i="5"/>
  <c r="AK91" i="9" l="1"/>
  <c r="AJ744" i="5"/>
  <c r="AI966" i="5"/>
  <c r="AJ950" i="5"/>
  <c r="AH964" i="5"/>
  <c r="AI962" i="5"/>
  <c r="AJ837" i="5"/>
  <c r="AJ842" i="5" s="1"/>
  <c r="AJ843" i="5" s="1"/>
  <c r="AJ836" i="5"/>
  <c r="AN891" i="5"/>
  <c r="AM51" i="9"/>
  <c r="AJ67" i="9"/>
  <c r="AJ929" i="5"/>
  <c r="AJ930" i="5" s="1"/>
  <c r="AJ81" i="9" s="1"/>
  <c r="AK769" i="5"/>
  <c r="AK738" i="5"/>
  <c r="AK92" i="9" s="1"/>
  <c r="AK864" i="5"/>
  <c r="AK866" i="5" s="1"/>
  <c r="AK741" i="5"/>
  <c r="AK30" i="9" s="1"/>
  <c r="AI77" i="9"/>
  <c r="AI84" i="9" s="1"/>
  <c r="AI95" i="9" s="1"/>
  <c r="AI38" i="9"/>
  <c r="AI60" i="9"/>
  <c r="AI58" i="9" s="1"/>
  <c r="AE52" i="9"/>
  <c r="AE48" i="9" s="1"/>
  <c r="AE56" i="9" s="1"/>
  <c r="AE73" i="9" s="1"/>
  <c r="AF96" i="9"/>
  <c r="AM932" i="5"/>
  <c r="AM933" i="5" s="1"/>
  <c r="AM946" i="5" s="1"/>
  <c r="AH54" i="9"/>
  <c r="AH69" i="9"/>
  <c r="AH65" i="9" s="1"/>
  <c r="AH71" i="9" s="1"/>
  <c r="AI876" i="5"/>
  <c r="AK93" i="9" l="1"/>
  <c r="AJ66" i="9"/>
  <c r="AJ745" i="5"/>
  <c r="AJ63" i="9" s="1"/>
  <c r="AK867" i="5"/>
  <c r="AK868" i="5"/>
  <c r="AK873" i="5" s="1"/>
  <c r="AK874" i="5" s="1"/>
  <c r="AJ840" i="5"/>
  <c r="AI54" i="9"/>
  <c r="AI69" i="9"/>
  <c r="AI65" i="9" s="1"/>
  <c r="AI71" i="9" s="1"/>
  <c r="AJ966" i="5"/>
  <c r="AK950" i="5"/>
  <c r="AM943" i="5"/>
  <c r="AM948" i="5" s="1"/>
  <c r="AM960" i="5"/>
  <c r="AJ35" i="9"/>
  <c r="AJ876" i="5"/>
  <c r="AK32" i="9"/>
  <c r="AK82" i="9"/>
  <c r="AF52" i="9"/>
  <c r="AF48" i="9" s="1"/>
  <c r="AF56" i="9" s="1"/>
  <c r="AF73" i="9" s="1"/>
  <c r="AG96" i="9"/>
  <c r="AK743" i="5"/>
  <c r="AL763" i="5"/>
  <c r="AN893" i="5"/>
  <c r="AN897" i="5" s="1"/>
  <c r="AI964" i="5"/>
  <c r="AJ962" i="5"/>
  <c r="AJ62" i="9" l="1"/>
  <c r="AJ40" i="9"/>
  <c r="AK871" i="5"/>
  <c r="AL870" i="5" s="1"/>
  <c r="AK835" i="5"/>
  <c r="AK33" i="9"/>
  <c r="AK79" i="9"/>
  <c r="AK915" i="5"/>
  <c r="AK925" i="5" s="1"/>
  <c r="AN918" i="5"/>
  <c r="AN927" i="5" s="1"/>
  <c r="AN899" i="5"/>
  <c r="AN83" i="9" s="1"/>
  <c r="AJ54" i="9"/>
  <c r="AJ69" i="9"/>
  <c r="AJ65" i="9" s="1"/>
  <c r="AK966" i="5"/>
  <c r="AL950" i="5"/>
  <c r="AN894" i="5"/>
  <c r="AN51" i="9" s="1"/>
  <c r="AG52" i="9"/>
  <c r="AG48" i="9" s="1"/>
  <c r="AG56" i="9" s="1"/>
  <c r="AG73" i="9" s="1"/>
  <c r="AH96" i="9"/>
  <c r="AJ964" i="5"/>
  <c r="AK962" i="5"/>
  <c r="AL767" i="5"/>
  <c r="AL764" i="5"/>
  <c r="AL736" i="5" s="1"/>
  <c r="AL742" i="5"/>
  <c r="AL768" i="5"/>
  <c r="AL739" i="5" s="1"/>
  <c r="AJ78" i="9"/>
  <c r="AJ37" i="9"/>
  <c r="AL91" i="9" l="1"/>
  <c r="AK744" i="5"/>
  <c r="AL769" i="5"/>
  <c r="AN932" i="5"/>
  <c r="AN933" i="5" s="1"/>
  <c r="AN946" i="5" s="1"/>
  <c r="AK67" i="9"/>
  <c r="AK929" i="5"/>
  <c r="AK930" i="5" s="1"/>
  <c r="AK81" i="9" s="1"/>
  <c r="AL966" i="5"/>
  <c r="AM950" i="5"/>
  <c r="AK964" i="5"/>
  <c r="AL962" i="5"/>
  <c r="AJ77" i="9"/>
  <c r="AJ84" i="9" s="1"/>
  <c r="AJ95" i="9" s="1"/>
  <c r="AJ38" i="9"/>
  <c r="AJ60" i="9"/>
  <c r="AJ58" i="9" s="1"/>
  <c r="AJ71" i="9" s="1"/>
  <c r="AL864" i="5"/>
  <c r="AL866" i="5" s="1"/>
  <c r="AL741" i="5"/>
  <c r="AL30" i="9" s="1"/>
  <c r="AL738" i="5"/>
  <c r="AL92" i="9" s="1"/>
  <c r="AH52" i="9"/>
  <c r="AH48" i="9" s="1"/>
  <c r="AH56" i="9" s="1"/>
  <c r="AH73" i="9" s="1"/>
  <c r="AI96" i="9"/>
  <c r="AI52" i="9" s="1"/>
  <c r="AI48" i="9" s="1"/>
  <c r="AI56" i="9" s="1"/>
  <c r="AI73" i="9" s="1"/>
  <c r="AK837" i="5"/>
  <c r="AK842" i="5" s="1"/>
  <c r="AK843" i="5" s="1"/>
  <c r="AK836" i="5"/>
  <c r="AL93" i="9" l="1"/>
  <c r="AK66" i="9"/>
  <c r="AK745" i="5"/>
  <c r="AK63" i="9" s="1"/>
  <c r="AL867" i="5"/>
  <c r="AL868" i="5"/>
  <c r="AL873" i="5" s="1"/>
  <c r="AL874" i="5" s="1"/>
  <c r="AK840" i="5"/>
  <c r="AJ96" i="9"/>
  <c r="AJ52" i="9" s="1"/>
  <c r="AJ48" i="9" s="1"/>
  <c r="AJ56" i="9" s="1"/>
  <c r="AJ73" i="9" s="1"/>
  <c r="AL82" i="9"/>
  <c r="AL32" i="9"/>
  <c r="AM966" i="5"/>
  <c r="AK35" i="9"/>
  <c r="AK876" i="5"/>
  <c r="AN943" i="5"/>
  <c r="AN948" i="5" s="1"/>
  <c r="AN960" i="5"/>
  <c r="I966" i="5" s="1"/>
  <c r="I972" i="5" s="1"/>
  <c r="AL964" i="5"/>
  <c r="AM962" i="5"/>
  <c r="AL743" i="5"/>
  <c r="AM763" i="5"/>
  <c r="AK62" i="9" l="1"/>
  <c r="AK40" i="9"/>
  <c r="AL871" i="5"/>
  <c r="AM870" i="5" s="1"/>
  <c r="AK54" i="9"/>
  <c r="AK69" i="9"/>
  <c r="AK65" i="9" s="1"/>
  <c r="AM964" i="5"/>
  <c r="AN962" i="5"/>
  <c r="AN964" i="5" s="1"/>
  <c r="AK78" i="9"/>
  <c r="AK37" i="9"/>
  <c r="AL835" i="5"/>
  <c r="AL33" i="9"/>
  <c r="AM767" i="5"/>
  <c r="AM742" i="5"/>
  <c r="AM764" i="5"/>
  <c r="AM736" i="5" s="1"/>
  <c r="AM768" i="5"/>
  <c r="AM739" i="5" s="1"/>
  <c r="I964" i="5"/>
  <c r="K948" i="5"/>
  <c r="AN950" i="5"/>
  <c r="AN966" i="5" s="1"/>
  <c r="I968" i="5" s="1"/>
  <c r="AL79" i="9"/>
  <c r="AL915" i="5"/>
  <c r="AL925" i="5" s="1"/>
  <c r="AM91" i="9" l="1"/>
  <c r="AL744" i="5"/>
  <c r="I970" i="5"/>
  <c r="AM769" i="5"/>
  <c r="AL67" i="9"/>
  <c r="AL929" i="5"/>
  <c r="AL930" i="5" s="1"/>
  <c r="AL81" i="9" s="1"/>
  <c r="AM738" i="5"/>
  <c r="AM92" i="9" s="1"/>
  <c r="AM864" i="5"/>
  <c r="AM866" i="5" s="1"/>
  <c r="AM741" i="5"/>
  <c r="AM30" i="9" s="1"/>
  <c r="AK77" i="9"/>
  <c r="AK84" i="9" s="1"/>
  <c r="AK95" i="9" s="1"/>
  <c r="AK96" i="9" s="1"/>
  <c r="AK52" i="9" s="1"/>
  <c r="AK48" i="9" s="1"/>
  <c r="AK56" i="9" s="1"/>
  <c r="AK38" i="9"/>
  <c r="AK60" i="9"/>
  <c r="AK58" i="9" s="1"/>
  <c r="AK71" i="9" s="1"/>
  <c r="AL836" i="5"/>
  <c r="AL837" i="5"/>
  <c r="AL842" i="5" s="1"/>
  <c r="AL843" i="5" s="1"/>
  <c r="AM93" i="9" l="1"/>
  <c r="AL745" i="5"/>
  <c r="AL63" i="9" s="1"/>
  <c r="AL66" i="9"/>
  <c r="AM867" i="5"/>
  <c r="AM868" i="5"/>
  <c r="AM873" i="5" s="1"/>
  <c r="AM874" i="5" s="1"/>
  <c r="AK73" i="9"/>
  <c r="AM32" i="9"/>
  <c r="AM82" i="9"/>
  <c r="AL35" i="9"/>
  <c r="AL876" i="5"/>
  <c r="AL840" i="5"/>
  <c r="AN763" i="5"/>
  <c r="AM743" i="5"/>
  <c r="AL62" i="9" l="1"/>
  <c r="AL40" i="9"/>
  <c r="AM79" i="9"/>
  <c r="AM915" i="5"/>
  <c r="AM925" i="5" s="1"/>
  <c r="AM871" i="5"/>
  <c r="AN870" i="5" s="1"/>
  <c r="AN767" i="5"/>
  <c r="I767" i="5" s="1"/>
  <c r="AN764" i="5"/>
  <c r="AN742" i="5"/>
  <c r="AN768" i="5"/>
  <c r="AN769" i="5" s="1"/>
  <c r="AN743" i="5" s="1"/>
  <c r="AN745" i="5" s="1"/>
  <c r="AN63" i="9" s="1"/>
  <c r="AL54" i="9"/>
  <c r="AL69" i="9"/>
  <c r="AL65" i="9" s="1"/>
  <c r="AL78" i="9"/>
  <c r="AL37" i="9"/>
  <c r="AM33" i="9"/>
  <c r="AM835" i="5"/>
  <c r="AN62" i="9" l="1"/>
  <c r="AN40" i="9"/>
  <c r="AM67" i="9"/>
  <c r="AM929" i="5"/>
  <c r="AM930" i="5" s="1"/>
  <c r="AM81" i="9" s="1"/>
  <c r="I764" i="5"/>
  <c r="AN736" i="5"/>
  <c r="AM836" i="5"/>
  <c r="AM837" i="5"/>
  <c r="AM842" i="5" s="1"/>
  <c r="AM843" i="5" s="1"/>
  <c r="AL77" i="9"/>
  <c r="AL84" i="9" s="1"/>
  <c r="AL95" i="9" s="1"/>
  <c r="AL96" i="9" s="1"/>
  <c r="AL52" i="9" s="1"/>
  <c r="AL48" i="9" s="1"/>
  <c r="AL56" i="9" s="1"/>
  <c r="AL38" i="9"/>
  <c r="AL60" i="9"/>
  <c r="AL58" i="9" s="1"/>
  <c r="AL71" i="9" s="1"/>
  <c r="AN739" i="5"/>
  <c r="I768" i="5"/>
  <c r="AN91" i="9" l="1"/>
  <c r="AM744" i="5"/>
  <c r="AL73" i="9"/>
  <c r="AN738" i="5"/>
  <c r="AN92" i="9" s="1"/>
  <c r="AN864" i="5"/>
  <c r="AN741" i="5"/>
  <c r="AN30" i="9" s="1"/>
  <c r="AM35" i="9"/>
  <c r="AM876" i="5"/>
  <c r="AM840" i="5"/>
  <c r="AN93" i="9" l="1"/>
  <c r="AM745" i="5"/>
  <c r="AM63" i="9" s="1"/>
  <c r="AM66" i="9"/>
  <c r="AN82" i="9"/>
  <c r="K30" i="9"/>
  <c r="AN32" i="9"/>
  <c r="I864" i="5"/>
  <c r="AN866" i="5"/>
  <c r="AM54" i="9"/>
  <c r="AM69" i="9"/>
  <c r="AM78" i="9"/>
  <c r="AM37" i="9"/>
  <c r="AM65" i="9" l="1"/>
  <c r="AM62" i="9"/>
  <c r="AM40" i="9"/>
  <c r="AN867" i="5"/>
  <c r="I867" i="5" s="1"/>
  <c r="AN868" i="5"/>
  <c r="I868" i="5" s="1"/>
  <c r="AN33" i="9"/>
  <c r="AN835" i="5"/>
  <c r="K32" i="9"/>
  <c r="AM38" i="9"/>
  <c r="AM60" i="9"/>
  <c r="AM58" i="9" s="1"/>
  <c r="AM77" i="9"/>
  <c r="AM84" i="9" s="1"/>
  <c r="AM95" i="9" s="1"/>
  <c r="AM96" i="9" s="1"/>
  <c r="AM52" i="9" s="1"/>
  <c r="AM48" i="9" s="1"/>
  <c r="AM56" i="9" s="1"/>
  <c r="I866" i="5"/>
  <c r="AM71" i="9" l="1"/>
  <c r="AM73" i="9" s="1"/>
  <c r="AN836" i="5"/>
  <c r="AN837" i="5"/>
  <c r="I837" i="5" s="1"/>
  <c r="I835" i="5"/>
  <c r="AN871" i="5"/>
  <c r="AN873" i="5"/>
  <c r="AN874" i="5" l="1"/>
  <c r="I873" i="5"/>
  <c r="AN842" i="5"/>
  <c r="AN840" i="5"/>
  <c r="I836" i="5"/>
  <c r="I842" i="5" l="1"/>
  <c r="AN843" i="5"/>
  <c r="AN876" i="5" s="1"/>
  <c r="AN79" i="9"/>
  <c r="AN915" i="5"/>
  <c r="AN925" i="5" s="1"/>
  <c r="I874" i="5"/>
  <c r="AN54" i="9" l="1"/>
  <c r="AN69" i="9"/>
  <c r="AN35" i="9"/>
  <c r="I843" i="5"/>
  <c r="AN67" i="9"/>
  <c r="AN929" i="5"/>
  <c r="AN930" i="5" s="1"/>
  <c r="AN81" i="9" s="1"/>
  <c r="AN37" i="9" l="1"/>
  <c r="AN78" i="9"/>
  <c r="K35" i="9"/>
  <c r="AN65" i="9"/>
  <c r="AN38" i="9" l="1"/>
  <c r="AN60" i="9"/>
  <c r="AN58" i="9" s="1"/>
  <c r="AN71" i="9" s="1"/>
  <c r="AN77" i="9"/>
  <c r="AN84" i="9" s="1"/>
  <c r="AN95" i="9" s="1"/>
  <c r="AN96" i="9" s="1"/>
  <c r="K37" i="9"/>
  <c r="H98" i="9" l="1"/>
  <c r="AN52" i="9"/>
  <c r="AN48" i="9" s="1"/>
  <c r="AN56" i="9" s="1"/>
  <c r="AN73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<sst xmlns="http://schemas.openxmlformats.org/spreadsheetml/2006/main" count="1664" uniqueCount="414">
  <si>
    <t>Выручка</t>
  </si>
  <si>
    <t>Ед. измерения</t>
  </si>
  <si>
    <t>Ввводные данные</t>
  </si>
  <si>
    <t>Link 1</t>
  </si>
  <si>
    <t>Ссылка</t>
  </si>
  <si>
    <t>Calculate</t>
  </si>
  <si>
    <t>Расчет</t>
  </si>
  <si>
    <t>Other</t>
  </si>
  <si>
    <t>PL</t>
  </si>
  <si>
    <t>%</t>
  </si>
  <si>
    <t>дни</t>
  </si>
  <si>
    <t>х</t>
  </si>
  <si>
    <t>Налог на прибыль</t>
  </si>
  <si>
    <t>Изменение оборотного капитала</t>
  </si>
  <si>
    <t>Амортизация</t>
  </si>
  <si>
    <t xml:space="preserve">Чистая прибыль </t>
  </si>
  <si>
    <t xml:space="preserve">EBIT </t>
  </si>
  <si>
    <t>EBITDА</t>
  </si>
  <si>
    <t>Возникновение налогового убытка</t>
  </si>
  <si>
    <t>Списание налового убытка</t>
  </si>
  <si>
    <t>Налоговый убыток на начало</t>
  </si>
  <si>
    <t>Налоговый убыток на конец</t>
  </si>
  <si>
    <t>Итого налог на прибыль</t>
  </si>
  <si>
    <t>(+) Амортизация</t>
  </si>
  <si>
    <t>BS</t>
  </si>
  <si>
    <t>Проверка баланса</t>
  </si>
  <si>
    <t>Чистая прибыль</t>
  </si>
  <si>
    <t>Денежный поток от операционной деятельности</t>
  </si>
  <si>
    <t>Денежный поток от инвестиционной деятельности</t>
  </si>
  <si>
    <t>Денежный поток от финансовой деятельности</t>
  </si>
  <si>
    <t>Дата начала операционной деятельности</t>
  </si>
  <si>
    <t>Горизонт планирования</t>
  </si>
  <si>
    <t>дата</t>
  </si>
  <si>
    <t>лет</t>
  </si>
  <si>
    <t>Стоимость заемных средств</t>
  </si>
  <si>
    <t xml:space="preserve">Стоимость собственного капитала </t>
  </si>
  <si>
    <t>Себестоимость сырьевая</t>
  </si>
  <si>
    <t>ИТОГО</t>
  </si>
  <si>
    <t>Себестоимость</t>
  </si>
  <si>
    <t>Процентные расходы</t>
  </si>
  <si>
    <t>Сальдо на начало периода</t>
  </si>
  <si>
    <t>Поступление</t>
  </si>
  <si>
    <t>Выбытие</t>
  </si>
  <si>
    <t>Сальдо на конец периода</t>
  </si>
  <si>
    <t>год</t>
  </si>
  <si>
    <t>Дата начала анализа</t>
  </si>
  <si>
    <t>Налог на имущество</t>
  </si>
  <si>
    <t>Срок кредитной линии</t>
  </si>
  <si>
    <t>выбор</t>
  </si>
  <si>
    <t>ВВОДНЫЕ ВРЕМЕННЫЕ ПАРАМЕТРЫ МОДЕЛИ</t>
  </si>
  <si>
    <t>ФИНАНСИРОВАНИЕ</t>
  </si>
  <si>
    <t>ОБОРОТНЫЙ КАПИТАЛ</t>
  </si>
  <si>
    <t>КОНЕЦ ЛИСТА</t>
  </si>
  <si>
    <t>Дата начала прогнозного периода</t>
  </si>
  <si>
    <t>ВРЕМЕННЫЕ ПАРАМЕТРЫ ПРОЕКТА</t>
  </si>
  <si>
    <t>НАЛОГОВОЕ ОКРУЖЕНИЕ ПРОЕКТА</t>
  </si>
  <si>
    <t>Социальные отчисления от несчастных случаев и проф. заболеваний (рабочие)</t>
  </si>
  <si>
    <t>Социальные отчисления (ПФР, ФСС, ФОМС)</t>
  </si>
  <si>
    <t>Социальные отчисления от несчастных случаев и проф. заболеваний (служащие)</t>
  </si>
  <si>
    <t>Общепроизводственные и административные расходы</t>
  </si>
  <si>
    <t>Социальные отчисления во внебюджетные фонды</t>
  </si>
  <si>
    <t>Год привлечения кредита</t>
  </si>
  <si>
    <t>Аннуитетный платеж</t>
  </si>
  <si>
    <t>Остаток ОД на конец периода</t>
  </si>
  <si>
    <t>Количество лет до погашения</t>
  </si>
  <si>
    <t>Начисление %</t>
  </si>
  <si>
    <t>Капитализация % в тело ОД</t>
  </si>
  <si>
    <t>Привлечение кредита/Остаток долга на начало периода</t>
  </si>
  <si>
    <t>Возврат ОД (аннуитетный платеж)</t>
  </si>
  <si>
    <t>Маржинальная прибыль</t>
  </si>
  <si>
    <t>% рентабельность по EBITDA</t>
  </si>
  <si>
    <t>% рентабельность по EBIT</t>
  </si>
  <si>
    <t>% рентабельность по чистой прибыли</t>
  </si>
  <si>
    <t>% рентабельность по маржинальной прибыли</t>
  </si>
  <si>
    <t>ПРОГНОЗ ОБОРОТНОГО КАПИТАЛА</t>
  </si>
  <si>
    <t xml:space="preserve">EBT </t>
  </si>
  <si>
    <t>% рентабельность по EBT</t>
  </si>
  <si>
    <t>ПЕРИОДЫ ОБОРАЧИВАЕМОСТИ ЭЛЕМЕНТОВ ОБОРОТНОГО КАПИТАЛА</t>
  </si>
  <si>
    <t>БАЗА ДЛЯ РАСЧЕТА ЭЛЕМЕНТОВ ОБОРОТНОГО КАПИТАЛА</t>
  </si>
  <si>
    <t>Запасы</t>
  </si>
  <si>
    <t>Прогноз 3-х форм финансовой отчетности</t>
  </si>
  <si>
    <t>Незавершенные капитальные вложения</t>
  </si>
  <si>
    <t>Основные средства</t>
  </si>
  <si>
    <t>ИТОГО АКТИВ</t>
  </si>
  <si>
    <t>ВНЕОБОРОТНЫЕ АКТИВЫ</t>
  </si>
  <si>
    <t>ОБОРОТНЫЕ АКТИВЫ</t>
  </si>
  <si>
    <t>Уставной капитал</t>
  </si>
  <si>
    <t>Нераспределенная прибыль</t>
  </si>
  <si>
    <t>КАПИТАЛ И РЕЗЕРВЫ</t>
  </si>
  <si>
    <t>ДОЛГОСРОЧНЫЕ ОБЯЗАТЕЛЬСТВА</t>
  </si>
  <si>
    <t>КРАТКОСРОЧНЫЕ ОБЯЗАТЕЛЬСТВА</t>
  </si>
  <si>
    <t>ИТОГО ПАССИВ</t>
  </si>
  <si>
    <t>Денежные средства</t>
  </si>
  <si>
    <t>Базовый год индексации</t>
  </si>
  <si>
    <t>x</t>
  </si>
  <si>
    <t>Проценты в ОФР</t>
  </si>
  <si>
    <t>(+) Процентые расходы</t>
  </si>
  <si>
    <t>(-) Капитальные затраты</t>
  </si>
  <si>
    <t>(+) Привлечение кредита</t>
  </si>
  <si>
    <t>(-) Процентные расходы к уплате</t>
  </si>
  <si>
    <t>(-) Возврат кредита</t>
  </si>
  <si>
    <t>Долгосрочные кредиты и займы</t>
  </si>
  <si>
    <t>Краткосрочные кредиты и займы</t>
  </si>
  <si>
    <t>Денежный средства на конец периода</t>
  </si>
  <si>
    <t>Значение/База</t>
  </si>
  <si>
    <t xml:space="preserve">Сумма </t>
  </si>
  <si>
    <t>Доля заемного финансирования (финансирование капитальных вложений)</t>
  </si>
  <si>
    <t>FCFF</t>
  </si>
  <si>
    <t>EBIAT</t>
  </si>
  <si>
    <t>Корректировка денежного потока для фирмы</t>
  </si>
  <si>
    <t>(+/-) Изменения в оборотном капитале</t>
  </si>
  <si>
    <t>(+/-) Изменение оборотного капитала</t>
  </si>
  <si>
    <t>IRR</t>
  </si>
  <si>
    <t>Фактор дисконтирования</t>
  </si>
  <si>
    <t>NPV</t>
  </si>
  <si>
    <t>Чистый денежный поток за период</t>
  </si>
  <si>
    <t>Долг/EBITDA</t>
  </si>
  <si>
    <t>(+) Взнос в УК</t>
  </si>
  <si>
    <t>Изменение формулы</t>
  </si>
  <si>
    <t>МАКРОЭКОНОМИЧЕСКИЕ ПАРАМЕТРЫ ПРОЕКТА</t>
  </si>
  <si>
    <t>Обменный курс рубля к доллару</t>
  </si>
  <si>
    <t>Индекс роста заработной платы (RUB)</t>
  </si>
  <si>
    <t>ОПЕРАЦИОННЫЕ ЗАТРАТЫ</t>
  </si>
  <si>
    <t>Доля прибыли к зачету против убытков</t>
  </si>
  <si>
    <t>Ставка налога на прибыль</t>
  </si>
  <si>
    <t>RUB/USD</t>
  </si>
  <si>
    <t>Срок амортизации</t>
  </si>
  <si>
    <t>Оборачиваемость запасов</t>
  </si>
  <si>
    <t>ПЕРЕФОРМУЛИРОВАТЬ</t>
  </si>
  <si>
    <t>ПРОГНОЗ ОПЕРАЦИОННЫХ ЗАТРАТ</t>
  </si>
  <si>
    <t>Дата окончания операционной деятельности</t>
  </si>
  <si>
    <t>ПРОГНОЗ ФИНАНСИРОВАНИЯ</t>
  </si>
  <si>
    <t>Техническая ячейка</t>
  </si>
  <si>
    <t>Количество дней в году</t>
  </si>
  <si>
    <t>ПРОГНОЗ НАЛОГОВ</t>
  </si>
  <si>
    <t>Ставка налога на имущество</t>
  </si>
  <si>
    <t>для FCFF</t>
  </si>
  <si>
    <t>Налоговая база с учетом ОНА</t>
  </si>
  <si>
    <t>Дебиторская задолженость</t>
  </si>
  <si>
    <t>Кредиторская задолженость</t>
  </si>
  <si>
    <t>CF</t>
  </si>
  <si>
    <t>Налоги (кроме налога на прибыль)</t>
  </si>
  <si>
    <t>Дебиторская задолженность</t>
  </si>
  <si>
    <t>Кредиторская задолженность</t>
  </si>
  <si>
    <t>ИТОГО АМОРТИЗАЦИЯ ЗА ПЕРИОД</t>
  </si>
  <si>
    <t>Год начала погашения ОД кредита</t>
  </si>
  <si>
    <t>т</t>
  </si>
  <si>
    <t>dFCFF</t>
  </si>
  <si>
    <t>dFCFF накопленный</t>
  </si>
  <si>
    <t>Простой срок окупаемости (PP)</t>
  </si>
  <si>
    <t>Дисконтированный срок окупаемости (DPP)</t>
  </si>
  <si>
    <t>ПОКАЗАТЕЛИ ЭФФЕКТИВНОСТИ ПРОЕКТА</t>
  </si>
  <si>
    <t>PI</t>
  </si>
  <si>
    <t>FCFF накопленный</t>
  </si>
  <si>
    <t>Год</t>
  </si>
  <si>
    <t>Индекс операционной деятельности</t>
  </si>
  <si>
    <t>Количество лет операционной деятельности</t>
  </si>
  <si>
    <t>Автор: Баринова К.О.</t>
  </si>
  <si>
    <t>Проверка</t>
  </si>
  <si>
    <t>Финансово-экономическая модель</t>
  </si>
  <si>
    <t>Входные данные</t>
  </si>
  <si>
    <t>CPI, (RUB)</t>
  </si>
  <si>
    <t>PPI,  (RUB)</t>
  </si>
  <si>
    <t>PPI, (USD)</t>
  </si>
  <si>
    <t>Оборачиваемость дебиторской задолженности</t>
  </si>
  <si>
    <t>Оборачиваемость кредиторской задолженности</t>
  </si>
  <si>
    <t>Строительство производства сухих строительных смесей</t>
  </si>
  <si>
    <t>КАПИТАЛЬНЫЕ И ПОДДЕРЖИВАЮЩИЕ ВЛОЖЕНИЯ</t>
  </si>
  <si>
    <t>млн руб.</t>
  </si>
  <si>
    <t>Общие капитальные вложения проекта, без НДС</t>
  </si>
  <si>
    <t>Капитальные вложения разбивка по направлениям</t>
  </si>
  <si>
    <t>Земля</t>
  </si>
  <si>
    <t>Здания и сооружения</t>
  </si>
  <si>
    <t>Оборудование</t>
  </si>
  <si>
    <t>Транспорт</t>
  </si>
  <si>
    <t>Капитальные вложения освоение по годам</t>
  </si>
  <si>
    <t>Капитальные вложения финансирование по годам</t>
  </si>
  <si>
    <t>Без индексации</t>
  </si>
  <si>
    <t>Индексация</t>
  </si>
  <si>
    <t>Дата начала инвестиционной деятельности</t>
  </si>
  <si>
    <t>Доля импорта (оборудование)</t>
  </si>
  <si>
    <t>Доля импорта (транспорт)</t>
  </si>
  <si>
    <t>Кумулятивный объем производства</t>
  </si>
  <si>
    <t>ТР</t>
  </si>
  <si>
    <t>СР</t>
  </si>
  <si>
    <t>КР</t>
  </si>
  <si>
    <t>Ремонты</t>
  </si>
  <si>
    <t>Вид ремонта</t>
  </si>
  <si>
    <t>Ремонтатная программа оборудования</t>
  </si>
  <si>
    <t>Индекс роста цен на естественные монополии (электроэнергия)</t>
  </si>
  <si>
    <t xml:space="preserve">Номинальная производительность </t>
  </si>
  <si>
    <t>Кладочный раствор</t>
  </si>
  <si>
    <t>Легкий кладочный раствор</t>
  </si>
  <si>
    <t>Кладочный раствор для стеклоблоков</t>
  </si>
  <si>
    <t>Клеевой раствор для плит и блоков изпенобетона</t>
  </si>
  <si>
    <t>Портландцемент</t>
  </si>
  <si>
    <t>Гашеная известь</t>
  </si>
  <si>
    <t>Известняковая мука</t>
  </si>
  <si>
    <t>Кварцевый песок 0,1-0,5 мм</t>
  </si>
  <si>
    <t>Кварцевый песок 0,5-2,0 мм</t>
  </si>
  <si>
    <t>Кварцевый или известняковый песок 0-4 мм</t>
  </si>
  <si>
    <t>Керамзит 0-4 мм</t>
  </si>
  <si>
    <t>Эфир целлюлозы Mecellose PMC 50 US или FMC 2094</t>
  </si>
  <si>
    <t>Редиспергируемый сополимерный порошок Neolith P 7200</t>
  </si>
  <si>
    <t>Порообразователь Esapon 1214</t>
  </si>
  <si>
    <t>Эфир крахмала Esamid NA</t>
  </si>
  <si>
    <t>Гидрофобизатор (олеат Na, стеараты)</t>
  </si>
  <si>
    <t>Суперпластификатор Melment F 10</t>
  </si>
  <si>
    <t>Ускоритель схватывания (формиат Са)</t>
  </si>
  <si>
    <t>Соотношение компонентов для раствора</t>
  </si>
  <si>
    <t>Удельный расход электроэнергии</t>
  </si>
  <si>
    <t>Тариф на электроэнергию</t>
  </si>
  <si>
    <t>кВт*ч/т</t>
  </si>
  <si>
    <t>руб./кВт*ч</t>
  </si>
  <si>
    <t>руб/шт</t>
  </si>
  <si>
    <t>ФОТ</t>
  </si>
  <si>
    <t>Административный персонал</t>
  </si>
  <si>
    <t>Среднесписочная численость</t>
  </si>
  <si>
    <t>Заработная плата</t>
  </si>
  <si>
    <t>Производственный персонал</t>
  </si>
  <si>
    <t>чел</t>
  </si>
  <si>
    <t>руб/чел./мес.</t>
  </si>
  <si>
    <t>Средняя заработная плата</t>
  </si>
  <si>
    <t>Вспомогательный персонал</t>
  </si>
  <si>
    <t>Стоимость сырья для производства</t>
  </si>
  <si>
    <t>руб./т</t>
  </si>
  <si>
    <t>Условно постоянные затраты</t>
  </si>
  <si>
    <t>Арендная плата</t>
  </si>
  <si>
    <t>Расходы электроэнергию и теплоснабжение на непроизводственные нужды</t>
  </si>
  <si>
    <t>Затраты на маркетинг и продвижение</t>
  </si>
  <si>
    <t>Связь и интернет</t>
  </si>
  <si>
    <t>НДС</t>
  </si>
  <si>
    <t>Ставка налога на землю</t>
  </si>
  <si>
    <t>Ставка транспортного налога</t>
  </si>
  <si>
    <t xml:space="preserve">ПРОИЗВОДСТВЕННАЯ ПРОГРАММА И ЦЕНЫ РЕАЛИЗАЦИИ </t>
  </si>
  <si>
    <t>Цены реализации</t>
  </si>
  <si>
    <t>Цены реализации продукции</t>
  </si>
  <si>
    <t>руб./л.с.</t>
  </si>
  <si>
    <t>Сумма лошадинных сил всех транспортных средств</t>
  </si>
  <si>
    <t>л.с.</t>
  </si>
  <si>
    <t>Вес единицы продукции</t>
  </si>
  <si>
    <t>кг/шт</t>
  </si>
  <si>
    <t>Разбивка по номеклатуре продукции, в %</t>
  </si>
  <si>
    <t>Цепные индексы инфляции</t>
  </si>
  <si>
    <t>Базисные индексы инфляции индексы инфляции</t>
  </si>
  <si>
    <t>млн.руб.</t>
  </si>
  <si>
    <t>Объем производства</t>
  </si>
  <si>
    <t xml:space="preserve">Объем реализации в натуральных единицах </t>
  </si>
  <si>
    <t>СВОД Потребность в сырье для выполнения производственной программы</t>
  </si>
  <si>
    <t>Цены сырья для производства</t>
  </si>
  <si>
    <t>Расходы на электроэнергию</t>
  </si>
  <si>
    <t>Расходы на упаковочный материал</t>
  </si>
  <si>
    <t>Ежегодный объем производства</t>
  </si>
  <si>
    <t>Прочие непридвиденные расходы (от общих условно-постоянных расходов)</t>
  </si>
  <si>
    <t>Финансирование капитальных вложений по годам (в реальных ценах, без НДС)</t>
  </si>
  <si>
    <t>Финансирование капитальных вложений по годам (в номинальных ценах, без НДС)</t>
  </si>
  <si>
    <t>Ремонтатная программа транспорта</t>
  </si>
  <si>
    <t xml:space="preserve">Кумулятивная наработка </t>
  </si>
  <si>
    <t>ч</t>
  </si>
  <si>
    <t>Расходы на ремонт оборудования</t>
  </si>
  <si>
    <t>Расходы на ремонт транспорта</t>
  </si>
  <si>
    <t>Ремонтатная программа зданий и сооружений</t>
  </si>
  <si>
    <t>Количество лет эксплуатации</t>
  </si>
  <si>
    <t>Расчеты</t>
  </si>
  <si>
    <t>Ремонтная программа оборудования</t>
  </si>
  <si>
    <t>ФЛАГИ ПРОВЕДЕНИЯ РЕМОНТОВ</t>
  </si>
  <si>
    <t>Флаг проведения текущего ремонта оборудования</t>
  </si>
  <si>
    <t>Флаг проведения среднего ремонта оборудования</t>
  </si>
  <si>
    <t>Флаг проведения капитального ремонта оборудования</t>
  </si>
  <si>
    <t>Флаг проведения текущего ремонта транспорта</t>
  </si>
  <si>
    <t>Флаг проведения среднего ремонта транспорта</t>
  </si>
  <si>
    <t>Флаг проведения капитального ремонта транспорта</t>
  </si>
  <si>
    <t>Флаг проведения текущего ремонта зданий и сооружений</t>
  </si>
  <si>
    <t>Флаг проведения среднего ремонта зданий и сооружений</t>
  </si>
  <si>
    <t>Флаг проведения капитального ремонта зданий и сооружений</t>
  </si>
  <si>
    <t>руб/л.с.</t>
  </si>
  <si>
    <t>Количество часов в году</t>
  </si>
  <si>
    <t>Коэффициент использования ТС</t>
  </si>
  <si>
    <t>Расходы на ремонт зданий и сооружений</t>
  </si>
  <si>
    <t>т/ч</t>
  </si>
  <si>
    <t>Количество смен</t>
  </si>
  <si>
    <t>кол.</t>
  </si>
  <si>
    <t>Продолжительность смены</t>
  </si>
  <si>
    <t>Упаковочный материал (50 кг)</t>
  </si>
  <si>
    <t>Упаковочный материал (25 кг)</t>
  </si>
  <si>
    <t>До оптимизации</t>
  </si>
  <si>
    <t>После оптимизации</t>
  </si>
  <si>
    <t>После оптмизации</t>
  </si>
  <si>
    <t>Портландцемент_до оптимизации</t>
  </si>
  <si>
    <t>Портландцемент_после оптимизации</t>
  </si>
  <si>
    <t>Дата начала оптимизации состава продукции</t>
  </si>
  <si>
    <t>Индекс операционной деятельности после оптимизации состава продукции</t>
  </si>
  <si>
    <t>Индекс операционной деятельности до оптимизации состава продукции</t>
  </si>
  <si>
    <t>Амортизация оборудование</t>
  </si>
  <si>
    <t>Амортизация транспорт</t>
  </si>
  <si>
    <t>Амортизация здания и сооружения</t>
  </si>
  <si>
    <t>Амортизация расходов на капитальный ремонт здания и сооружения</t>
  </si>
  <si>
    <t>Остаточная стоимость на конец периода</t>
  </si>
  <si>
    <t>Амортизация расходов на капитальный ремонт оборудование</t>
  </si>
  <si>
    <t>Амортизация расходов на капитальный ремонт транспорта</t>
  </si>
  <si>
    <t>СВОД амортизация за период, остаточная стоимость</t>
  </si>
  <si>
    <t>Амортизация за период (с учетом капитализации процентов)</t>
  </si>
  <si>
    <t>Амортизация за период (без учета капитализации процентов)</t>
  </si>
  <si>
    <t>Остаточная стоимость на конец периода (с учетом капитализации процентов)</t>
  </si>
  <si>
    <t>Остаточная стоимость на конец периода без транспорта (без учета капитализации процентов)</t>
  </si>
  <si>
    <t>Остаточная стоимость на конец периода без транспорта (с учетом капитализации процентов)</t>
  </si>
  <si>
    <t>Остаточная стоимость на конец периода (без учета капитализации процентов)</t>
  </si>
  <si>
    <t>Капитализированные проценты на стадии строительства</t>
  </si>
  <si>
    <t xml:space="preserve">Распределение капитализированных процентов </t>
  </si>
  <si>
    <t>Капитальные вложения освоение по годам (с учетом капитализации процентов)</t>
  </si>
  <si>
    <t xml:space="preserve">Капитальные вложения освоение по годам </t>
  </si>
  <si>
    <t>ИТОГО АМОРТИЗАЦИЯ ЗА ПЕРИОД (с учетом капитализации процентов)</t>
  </si>
  <si>
    <t>Расходы на ремонт</t>
  </si>
  <si>
    <t>Платеж по кредиту</t>
  </si>
  <si>
    <t>Дифференцированный платеж</t>
  </si>
  <si>
    <t xml:space="preserve">Размер заемного финансирования </t>
  </si>
  <si>
    <t xml:space="preserve">Тип платежа </t>
  </si>
  <si>
    <t>Включать проценты по кредиту в тело ОД на инвестиционной фазе</t>
  </si>
  <si>
    <t>Вложение собственных средств</t>
  </si>
  <si>
    <t>Количество месяцев операционной деятельности</t>
  </si>
  <si>
    <t>Финансирование капитальных вложений</t>
  </si>
  <si>
    <t xml:space="preserve">Возврат ОД </t>
  </si>
  <si>
    <t>Возврат ОД (дифференцированный платеж)</t>
  </si>
  <si>
    <t>Оплата процентов</t>
  </si>
  <si>
    <t>Капитализация % на стадии строительства в стоимость ОС</t>
  </si>
  <si>
    <t>СВОД ЗАЕМНОЕ ФИНАНСИРОВАНИЕ</t>
  </si>
  <si>
    <t>Налог на землю</t>
  </si>
  <si>
    <t>Среднегодовая стоимость имущества без транспорта (с учетом капитализации процентов)</t>
  </si>
  <si>
    <t>Среднегодовая стоимость имущества без транспорта (без учета капитализации процентов)</t>
  </si>
  <si>
    <t>Налог на имущество (с учетом капитализации процентов)</t>
  </si>
  <si>
    <t>Налог на имущество (без учета капитализации процентов)</t>
  </si>
  <si>
    <t>Транспортный налог</t>
  </si>
  <si>
    <t>Кадастровая стоимость земельного участка</t>
  </si>
  <si>
    <t>млн.руб./год</t>
  </si>
  <si>
    <t>Расходы на текущий ремонт</t>
  </si>
  <si>
    <t>млн. руб.</t>
  </si>
  <si>
    <t>Расчет налога на прибыль по бухгалтерскому учету</t>
  </si>
  <si>
    <t>Расчет налога на прибыль по налоговому учету (без учета процентных расходов)</t>
  </si>
  <si>
    <t>Расчет налога на прибыль по налоговому учету (с учетом процентных расходов)</t>
  </si>
  <si>
    <t>Налоговая база (прибыль до налогообложения по бухгалтерскому учету)</t>
  </si>
  <si>
    <t>Налог на имущество с учетом капитализации процентов</t>
  </si>
  <si>
    <t>Налог на имущество без учета капитализации процентов</t>
  </si>
  <si>
    <t>Проценты начисленные</t>
  </si>
  <si>
    <t>Амортизация без учета капитализации процентов</t>
  </si>
  <si>
    <t>EBITDA</t>
  </si>
  <si>
    <t>Налоговая база (прибыль до налогообложения по налоговому учету с учетом процентных расходов)</t>
  </si>
  <si>
    <t>Налоговая база (прибыль до налогообложения по налоговому учету без учета процентных расходов)</t>
  </si>
  <si>
    <t>для CF, FCFE</t>
  </si>
  <si>
    <t>для PL, BS</t>
  </si>
  <si>
    <t>ПРОГНОЗ ВЫРУЧКИ ОТ РЕАЛИЗАЦИИ ПРОДУКЦИИ</t>
  </si>
  <si>
    <t>ПРОГНОЗ КАПИТАЛЬНЫХ И ПОДДЕРЖИВАЮЩИХ ВЛОЖЕНИЙ</t>
  </si>
  <si>
    <t>Авансы выданные/задолженность поставщикам и подрядчикам</t>
  </si>
  <si>
    <t>Кредиторская задолженность перед поставщиками по капитальным вложениям</t>
  </si>
  <si>
    <t>Авансы выданные поставщикам за капитальные вложения</t>
  </si>
  <si>
    <t>Кредиторская задолженность (налоги с учетом процентных расходов)</t>
  </si>
  <si>
    <t>Расходы всего (без амортизации, налоги с  учетом процентных расходов)</t>
  </si>
  <si>
    <t>Расходы всего (без амортизации, налоги без учета процентных расходов)</t>
  </si>
  <si>
    <t>Кредиторская задолженность (налоги без учета процентных расходов)</t>
  </si>
  <si>
    <t>Оборотный капитал (налоги с учетом процентных расходов)</t>
  </si>
  <si>
    <t>Оборотный капитал (налоги без учета процентных расходов)</t>
  </si>
  <si>
    <t>Налог на имущество (с учетом процентных расходов)</t>
  </si>
  <si>
    <t>Налог на имущество (без учета процентных расходов)</t>
  </si>
  <si>
    <t>Налог на прибыль (без учета процентных расходов)</t>
  </si>
  <si>
    <t>(+) Налог на прибыль (по бухгалтерскому учету)</t>
  </si>
  <si>
    <t>(-) Налог на прибыль (по налоговому учету)</t>
  </si>
  <si>
    <t>Тип платежа</t>
  </si>
  <si>
    <t xml:space="preserve">WACC </t>
  </si>
  <si>
    <t>Значение/База/Сумма</t>
  </si>
  <si>
    <t>Ключевая ставка ЦБ РФ</t>
  </si>
  <si>
    <t>Стоимость заемных средств (надбавка к КС ЦБ РФ)</t>
  </si>
  <si>
    <t>Стоимость собственных средств</t>
  </si>
  <si>
    <t>Флаг дисконтирования</t>
  </si>
  <si>
    <t>Фактор дисконтирования кумулятивный</t>
  </si>
  <si>
    <t>Отложенные налоговые активы/обязательства</t>
  </si>
  <si>
    <t>Отложенные налоговые активы</t>
  </si>
  <si>
    <t>Отложенные налоговые обязательства</t>
  </si>
  <si>
    <t>Прочие непридвиденные расходы (от суммы общих условно-постоянных расходов)</t>
  </si>
  <si>
    <t>Покрытие процентов на инвестиционной фазе и первого года операционной фазы</t>
  </si>
  <si>
    <t>НДС к возмещению из бюджета</t>
  </si>
  <si>
    <t>НДС к отплате в бюджет</t>
  </si>
  <si>
    <t>Входящий НДС</t>
  </si>
  <si>
    <t>Исходящий НДС</t>
  </si>
  <si>
    <t>Операционные затраты</t>
  </si>
  <si>
    <t>Капитальные вложения и КР</t>
  </si>
  <si>
    <t>Выручка от реализации продукции</t>
  </si>
  <si>
    <t>Ставка НДС</t>
  </si>
  <si>
    <t>Баланс НДС</t>
  </si>
  <si>
    <t>Возмещать НДС из бюджета</t>
  </si>
  <si>
    <t>НДС на начало периода</t>
  </si>
  <si>
    <t>НДС на конец периода</t>
  </si>
  <si>
    <t>НДС к возмещению</t>
  </si>
  <si>
    <t>НДС к оплате</t>
  </si>
  <si>
    <t>Чистый ДП</t>
  </si>
  <si>
    <t>НДС к осписанию</t>
  </si>
  <si>
    <t>НДС к оплате в бюджет</t>
  </si>
  <si>
    <t>(+/-) Чистый ДП по НДС</t>
  </si>
  <si>
    <t>НДС на балансе</t>
  </si>
  <si>
    <t>Капитальные вложения, всего с учетом НДС</t>
  </si>
  <si>
    <t>ИТОГО, без НДС</t>
  </si>
  <si>
    <t>ИТОГО, капитальные вложения с НДС</t>
  </si>
  <si>
    <t>(-) Затраты на капитальный ремонт</t>
  </si>
  <si>
    <t>// не более 29 лет с даты начала анализа</t>
  </si>
  <si>
    <t>Потери в рамках норматива</t>
  </si>
  <si>
    <t>Стоимость сырья для  выполнения производственной программы</t>
  </si>
  <si>
    <t>Расчет себестоимости производства 1 т единицы продукции</t>
  </si>
  <si>
    <t>Потребность в сырье для выполнения производственной программы в разбивке по номенклатуре</t>
  </si>
  <si>
    <t>Рентабельность до оптимизации</t>
  </si>
  <si>
    <t>Рентабельность после оптимизации</t>
  </si>
  <si>
    <t>Задолженность к погашению со сроком погашения в течении 12 месяцев</t>
  </si>
  <si>
    <t>Задолженность к погашению со сроком погашения свыше 12 месяцев</t>
  </si>
  <si>
    <t>Доля недвижимого имущества (от общей стоимости зданий, сооружений, оборудования)</t>
  </si>
  <si>
    <t>Средняя остаточная стоимость (для расчета налога на имущество)</t>
  </si>
  <si>
    <t>Средняя остаточная стоимость (для расчета налога на имущество_ с учетом капитализации процентов)</t>
  </si>
  <si>
    <t>Средняя остаточная стоимость (для расчета налога на имущество_ без учета капитализации процентов)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</si>
</sst>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#,##0.00\ &quot;₽&quot;;[Red]\-#,##0.00\ &quot;₽&quot;"/>
    <numFmt numFmtId="164" formatCode="\ #,##0_р_.;\(#,##0\)_р_."/>
    <numFmt numFmtId="165" formatCode="\ #,##0.0_р_.;\(#,##0.0\)_р_."/>
    <numFmt numFmtId="166" formatCode="0.0%"/>
    <numFmt numFmtId="167" formatCode="\ #,##0.00_р_.;\(#,##0.00\)_р_."/>
    <numFmt numFmtId="168" formatCode="#,##0.0"/>
    <numFmt numFmtId="169" formatCode="0.0"/>
    <numFmt numFmtId="170" formatCode="_(* #,##0_);_(* \(#,##0\);_(* &quot;-&quot;??_);_(@_)"/>
    <numFmt numFmtId="171" formatCode="[$-419]mmm\-yy;@"/>
    <numFmt numFmtId="172" formatCode="0.000%"/>
    <numFmt numFmtId="173" formatCode="#,##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11"/>
      <color rgb="FF0070C0"/>
      <name val="Arial Narrow"/>
      <family val="2"/>
      <charset val="204"/>
    </font>
    <font>
      <sz val="11"/>
      <color rgb="FFC00000"/>
      <name val="Arial Narrow"/>
      <family val="2"/>
      <charset val="204"/>
    </font>
    <font>
      <b/>
      <sz val="11"/>
      <color rgb="FFC00000"/>
      <name val="Arial Narrow"/>
      <family val="2"/>
      <charset val="204"/>
    </font>
    <font>
      <i/>
      <sz val="11"/>
      <color theme="1"/>
      <name val="Arial Narrow"/>
      <family val="2"/>
      <charset val="204"/>
    </font>
    <font>
      <b/>
      <sz val="11"/>
      <color rgb="FF0070C0"/>
      <name val="Arial Narrow"/>
      <family val="2"/>
      <charset val="204"/>
    </font>
    <font>
      <sz val="11"/>
      <color theme="0" tint="-0.34998626667073579"/>
      <name val="Arial Narrow"/>
      <family val="2"/>
      <charset val="204"/>
    </font>
    <font>
      <b/>
      <sz val="11"/>
      <color theme="0" tint="-0.34998626667073579"/>
      <name val="Arial Narrow"/>
      <family val="2"/>
      <charset val="204"/>
    </font>
    <font>
      <sz val="8"/>
      <name val="Calibri"/>
      <family val="2"/>
      <scheme val="minor"/>
    </font>
    <font>
      <sz val="11"/>
      <name val="Arial Narrow"/>
      <family val="2"/>
      <charset val="204"/>
    </font>
    <font>
      <i/>
      <sz val="11"/>
      <color theme="0" tint="-0.34998626667073579"/>
      <name val="Arial Narrow"/>
      <family val="2"/>
      <charset val="204"/>
    </font>
    <font>
      <sz val="11"/>
      <color theme="0" tint="-0.14999847407452621"/>
      <name val="Arial Narrow"/>
      <family val="2"/>
      <charset val="204"/>
    </font>
    <font>
      <b/>
      <i/>
      <sz val="11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i/>
      <sz val="12"/>
      <color theme="0" tint="-0.34998626667073579"/>
      <name val="Arial Narrow"/>
      <family val="2"/>
      <charset val="204"/>
    </font>
    <font>
      <b/>
      <sz val="12"/>
      <color theme="0" tint="-0.34998626667073579"/>
      <name val="Arial Narrow"/>
      <family val="2"/>
      <charset val="204"/>
    </font>
    <font>
      <b/>
      <sz val="12"/>
      <color rgb="FF00206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1"/>
      <color rgb="FF002060"/>
      <name val="Arial Narrow"/>
      <family val="2"/>
      <charset val="204"/>
    </font>
    <font>
      <sz val="11"/>
      <color rgb="FF002060"/>
      <name val="Arial Narrow"/>
      <family val="2"/>
      <charset val="204"/>
    </font>
    <font>
      <sz val="12"/>
      <color rgb="FF002060"/>
      <name val="Arial Narrow"/>
      <family val="2"/>
      <charset val="204"/>
    </font>
    <font>
      <sz val="11"/>
      <color rgb="FFFF0000"/>
      <name val="Arial Narrow"/>
      <family val="2"/>
      <charset val="204"/>
    </font>
    <font>
      <sz val="12"/>
      <color theme="1"/>
      <name val="Arial Narrow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8"/>
      <color rgb="FF000000"/>
      <name val="Segoe UI"/>
      <family val="2"/>
      <charset val="204"/>
    </font>
    <font>
      <sz val="11"/>
      <color theme="0" tint="-0.249977111117893"/>
      <name val="Arial Narrow"/>
      <family val="2"/>
      <charset val="204"/>
    </font>
    <font>
      <b/>
      <sz val="18"/>
      <color theme="1"/>
      <name val="Arial Narrow"/>
      <family val="2"/>
      <charset val="204"/>
    </font>
    <font>
      <i/>
      <sz val="11"/>
      <color rgb="FFC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9F6"/>
        <bgColor indexed="64"/>
      </patternFill>
    </fill>
    <fill>
      <patternFill patternType="solid">
        <fgColor rgb="FFA0C6E8"/>
        <bgColor indexed="64"/>
      </patternFill>
    </fill>
    <fill>
      <patternFill patternType="solid">
        <fgColor rgb="FFF5F5F5"/>
        <bgColor indexed="64"/>
      </patternFill>
    </fill>
    <fill>
      <patternFill patternType="lightDown"/>
    </fill>
    <fill>
      <patternFill patternType="lightUp"/>
    </fill>
    <fill>
      <patternFill patternType="solid">
        <fgColor rgb="FFEBFAFF"/>
        <bgColor indexed="64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double">
        <color theme="0" tint="-0.24994659260841701"/>
      </bottom>
      <diagonal/>
    </border>
    <border>
      <left/>
      <right/>
      <top style="double">
        <color theme="0" tint="-0.24994659260841701"/>
      </top>
      <bottom style="double">
        <color theme="0" tint="-0.2499465926084170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170" fontId="26" fillId="0" borderId="0" applyProtection="0">
      <alignment horizontal="left" vertical="center"/>
    </xf>
  </cellStyleXfs>
  <cellXfs count="1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2" fillId="2" borderId="2" xfId="2" applyNumberFormat="1" applyFont="1" applyBorder="1" applyAlignment="1">
      <alignment horizontal="center"/>
    </xf>
    <xf numFmtId="14" fontId="2" fillId="2" borderId="1" xfId="2" applyNumberFormat="1" applyFont="1" applyAlignment="1">
      <alignment horizontal="center"/>
    </xf>
    <xf numFmtId="164" fontId="2" fillId="2" borderId="1" xfId="2" applyNumberFormat="1" applyFont="1"/>
    <xf numFmtId="164" fontId="2" fillId="0" borderId="0" xfId="0" applyNumberFormat="1" applyFont="1"/>
    <xf numFmtId="9" fontId="2" fillId="2" borderId="1" xfId="1" applyFont="1" applyFill="1" applyBorder="1"/>
    <xf numFmtId="166" fontId="2" fillId="2" borderId="1" xfId="1" applyNumberFormat="1" applyFont="1" applyFill="1" applyBorder="1"/>
    <xf numFmtId="0" fontId="7" fillId="0" borderId="0" xfId="0" applyFont="1"/>
    <xf numFmtId="164" fontId="6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1" fontId="2" fillId="2" borderId="1" xfId="2" applyNumberFormat="1" applyFont="1" applyAlignment="1">
      <alignment horizontal="center"/>
    </xf>
    <xf numFmtId="14" fontId="2" fillId="0" borderId="0" xfId="0" applyNumberFormat="1" applyFont="1"/>
    <xf numFmtId="165" fontId="2" fillId="2" borderId="1" xfId="2" applyNumberFormat="1" applyFont="1"/>
    <xf numFmtId="0" fontId="9" fillId="0" borderId="0" xfId="0" applyFont="1"/>
    <xf numFmtId="4" fontId="2" fillId="0" borderId="0" xfId="0" applyNumberFormat="1" applyFont="1"/>
    <xf numFmtId="4" fontId="5" fillId="0" borderId="3" xfId="0" applyNumberFormat="1" applyFont="1" applyBorder="1"/>
    <xf numFmtId="0" fontId="4" fillId="0" borderId="3" xfId="0" applyFont="1" applyBorder="1"/>
    <xf numFmtId="168" fontId="5" fillId="0" borderId="3" xfId="0" applyNumberFormat="1" applyFont="1" applyBorder="1"/>
    <xf numFmtId="0" fontId="6" fillId="0" borderId="0" xfId="0" applyFont="1"/>
    <xf numFmtId="0" fontId="12" fillId="3" borderId="3" xfId="0" applyFont="1" applyFill="1" applyBorder="1" applyAlignment="1">
      <alignment horizontal="center"/>
    </xf>
    <xf numFmtId="0" fontId="5" fillId="0" borderId="3" xfId="0" applyFont="1" applyBorder="1"/>
    <xf numFmtId="0" fontId="13" fillId="0" borderId="0" xfId="0" applyFont="1"/>
    <xf numFmtId="2" fontId="3" fillId="0" borderId="0" xfId="0" applyNumberFormat="1" applyFont="1"/>
    <xf numFmtId="0" fontId="2" fillId="4" borderId="0" xfId="0" applyFont="1" applyFill="1"/>
    <xf numFmtId="0" fontId="14" fillId="0" borderId="0" xfId="0" applyFont="1"/>
    <xf numFmtId="0" fontId="15" fillId="0" borderId="0" xfId="0" applyFont="1"/>
    <xf numFmtId="9" fontId="9" fillId="0" borderId="0" xfId="1" applyFont="1"/>
    <xf numFmtId="0" fontId="10" fillId="0" borderId="0" xfId="0" applyFont="1"/>
    <xf numFmtId="168" fontId="4" fillId="0" borderId="3" xfId="0" applyNumberFormat="1" applyFont="1" applyBorder="1"/>
    <xf numFmtId="168" fontId="6" fillId="0" borderId="3" xfId="0" applyNumberFormat="1" applyFont="1" applyBorder="1"/>
    <xf numFmtId="168" fontId="5" fillId="0" borderId="0" xfId="0" applyNumberFormat="1" applyFont="1"/>
    <xf numFmtId="4" fontId="5" fillId="0" borderId="0" xfId="0" applyNumberFormat="1" applyFont="1"/>
    <xf numFmtId="9" fontId="4" fillId="0" borderId="3" xfId="1" applyFont="1" applyBorder="1"/>
    <xf numFmtId="168" fontId="2" fillId="0" borderId="0" xfId="0" applyNumberFormat="1" applyFont="1"/>
    <xf numFmtId="9" fontId="5" fillId="0" borderId="3" xfId="0" applyNumberFormat="1" applyFont="1" applyBorder="1"/>
    <xf numFmtId="168" fontId="4" fillId="0" borderId="0" xfId="0" applyNumberFormat="1" applyFont="1"/>
    <xf numFmtId="0" fontId="12" fillId="0" borderId="0" xfId="0" applyFont="1"/>
    <xf numFmtId="166" fontId="5" fillId="0" borderId="3" xfId="1" applyNumberFormat="1" applyFont="1" applyBorder="1" applyAlignment="1">
      <alignment horizontal="right"/>
    </xf>
    <xf numFmtId="168" fontId="8" fillId="0" borderId="3" xfId="0" applyNumberFormat="1" applyFont="1" applyBorder="1" applyAlignment="1">
      <alignment horizontal="right"/>
    </xf>
    <xf numFmtId="168" fontId="6" fillId="0" borderId="3" xfId="0" applyNumberFormat="1" applyFont="1" applyBorder="1" applyAlignment="1">
      <alignment horizontal="right"/>
    </xf>
    <xf numFmtId="168" fontId="8" fillId="0" borderId="3" xfId="0" applyNumberFormat="1" applyFont="1" applyBorder="1"/>
    <xf numFmtId="168" fontId="5" fillId="0" borderId="3" xfId="0" applyNumberFormat="1" applyFont="1" applyBorder="1" applyAlignment="1">
      <alignment horizontal="right"/>
    </xf>
    <xf numFmtId="4" fontId="4" fillId="0" borderId="3" xfId="0" applyNumberFormat="1" applyFont="1" applyBorder="1"/>
    <xf numFmtId="168" fontId="6" fillId="0" borderId="0" xfId="0" applyNumberFormat="1" applyFont="1"/>
    <xf numFmtId="0" fontId="16" fillId="5" borderId="4" xfId="0" applyFont="1" applyFill="1" applyBorder="1" applyAlignment="1">
      <alignment vertical="center"/>
    </xf>
    <xf numFmtId="0" fontId="19" fillId="5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7" fillId="5" borderId="5" xfId="0" applyFont="1" applyFill="1" applyBorder="1" applyAlignment="1">
      <alignment vertical="center"/>
    </xf>
    <xf numFmtId="0" fontId="18" fillId="5" borderId="5" xfId="0" applyFont="1" applyFill="1" applyBorder="1" applyAlignment="1">
      <alignment vertical="center"/>
    </xf>
    <xf numFmtId="0" fontId="23" fillId="6" borderId="5" xfId="0" applyFont="1" applyFill="1" applyBorder="1" applyAlignment="1">
      <alignment horizontal="center" vertical="center"/>
    </xf>
    <xf numFmtId="0" fontId="19" fillId="7" borderId="6" xfId="0" applyFont="1" applyFill="1" applyBorder="1"/>
    <xf numFmtId="0" fontId="2" fillId="7" borderId="7" xfId="0" applyFont="1" applyFill="1" applyBorder="1"/>
    <xf numFmtId="0" fontId="13" fillId="7" borderId="7" xfId="0" applyFont="1" applyFill="1" applyBorder="1"/>
    <xf numFmtId="0" fontId="9" fillId="7" borderId="7" xfId="0" applyFont="1" applyFill="1" applyBorder="1"/>
    <xf numFmtId="0" fontId="19" fillId="7" borderId="8" xfId="0" applyFont="1" applyFill="1" applyBorder="1"/>
    <xf numFmtId="0" fontId="22" fillId="7" borderId="0" xfId="0" applyFont="1" applyFill="1"/>
    <xf numFmtId="0" fontId="2" fillId="7" borderId="0" xfId="0" applyFont="1" applyFill="1"/>
    <xf numFmtId="0" fontId="13" fillId="7" borderId="0" xfId="0" applyFont="1" applyFill="1"/>
    <xf numFmtId="14" fontId="2" fillId="7" borderId="0" xfId="0" applyNumberFormat="1" applyFont="1" applyFill="1" applyAlignment="1">
      <alignment horizontal="center"/>
    </xf>
    <xf numFmtId="0" fontId="23" fillId="7" borderId="8" xfId="0" applyFont="1" applyFill="1" applyBorder="1"/>
    <xf numFmtId="0" fontId="3" fillId="7" borderId="8" xfId="0" applyFont="1" applyFill="1" applyBorder="1"/>
    <xf numFmtId="0" fontId="2" fillId="7" borderId="0" xfId="0" applyFont="1" applyFill="1" applyAlignment="1">
      <alignment horizontal="center"/>
    </xf>
    <xf numFmtId="0" fontId="21" fillId="7" borderId="7" xfId="0" applyFont="1" applyFill="1" applyBorder="1"/>
    <xf numFmtId="0" fontId="21" fillId="7" borderId="0" xfId="0" applyFont="1" applyFill="1"/>
    <xf numFmtId="0" fontId="4" fillId="0" borderId="3" xfId="0" applyFont="1" applyBorder="1" applyAlignment="1">
      <alignment horizontal="center"/>
    </xf>
    <xf numFmtId="14" fontId="21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24" fillId="0" borderId="0" xfId="0" applyFont="1"/>
    <xf numFmtId="0" fontId="2" fillId="2" borderId="1" xfId="2" applyFont="1"/>
    <xf numFmtId="0" fontId="2" fillId="8" borderId="3" xfId="0" applyFont="1" applyFill="1" applyBorder="1"/>
    <xf numFmtId="0" fontId="25" fillId="6" borderId="4" xfId="0" applyFont="1" applyFill="1" applyBorder="1" applyAlignment="1">
      <alignment vertical="center"/>
    </xf>
    <xf numFmtId="0" fontId="23" fillId="6" borderId="5" xfId="0" applyFont="1" applyFill="1" applyBorder="1" applyAlignment="1">
      <alignment vertical="center"/>
    </xf>
    <xf numFmtId="0" fontId="25" fillId="6" borderId="5" xfId="0" applyFont="1" applyFill="1" applyBorder="1" applyAlignment="1">
      <alignment vertical="center"/>
    </xf>
    <xf numFmtId="0" fontId="20" fillId="6" borderId="5" xfId="0" applyFont="1" applyFill="1" applyBorder="1" applyAlignment="1">
      <alignment vertical="center"/>
    </xf>
    <xf numFmtId="9" fontId="4" fillId="0" borderId="3" xfId="0" applyNumberFormat="1" applyFont="1" applyBorder="1"/>
    <xf numFmtId="0" fontId="27" fillId="0" borderId="0" xfId="0" applyFont="1"/>
    <xf numFmtId="168" fontId="5" fillId="0" borderId="0" xfId="0" applyNumberFormat="1" applyFont="1" applyAlignment="1">
      <alignment horizontal="right"/>
    </xf>
    <xf numFmtId="166" fontId="5" fillId="0" borderId="0" xfId="1" applyNumberFormat="1" applyFont="1" applyBorder="1" applyAlignment="1">
      <alignment horizontal="right"/>
    </xf>
    <xf numFmtId="168" fontId="5" fillId="0" borderId="3" xfId="1" applyNumberFormat="1" applyFont="1" applyBorder="1" applyAlignment="1">
      <alignment horizontal="right"/>
    </xf>
    <xf numFmtId="0" fontId="22" fillId="0" borderId="0" xfId="0" applyFont="1"/>
    <xf numFmtId="167" fontId="2" fillId="2" borderId="1" xfId="2" applyNumberFormat="1" applyFont="1"/>
    <xf numFmtId="0" fontId="2" fillId="0" borderId="0" xfId="0" applyFont="1" applyAlignment="1">
      <alignment horizontal="center"/>
    </xf>
    <xf numFmtId="0" fontId="9" fillId="9" borderId="3" xfId="0" applyFont="1" applyFill="1" applyBorder="1"/>
    <xf numFmtId="4" fontId="6" fillId="0" borderId="3" xfId="0" applyNumberFormat="1" applyFont="1" applyBorder="1"/>
    <xf numFmtId="0" fontId="9" fillId="9" borderId="9" xfId="0" applyFont="1" applyFill="1" applyBorder="1"/>
    <xf numFmtId="4" fontId="6" fillId="0" borderId="0" xfId="0" applyNumberFormat="1" applyFont="1"/>
    <xf numFmtId="14" fontId="5" fillId="0" borderId="1" xfId="2" applyNumberFormat="1" applyFont="1" applyFill="1" applyAlignment="1">
      <alignment horizontal="center"/>
    </xf>
    <xf numFmtId="0" fontId="28" fillId="0" borderId="0" xfId="0" applyFont="1"/>
    <xf numFmtId="171" fontId="28" fillId="0" borderId="0" xfId="0" applyNumberFormat="1" applyFont="1" applyAlignment="1">
      <alignment horizontal="left" vertical="center"/>
    </xf>
    <xf numFmtId="0" fontId="29" fillId="0" borderId="0" xfId="0" applyFont="1"/>
    <xf numFmtId="10" fontId="9" fillId="0" borderId="0" xfId="1" applyNumberFormat="1" applyFont="1"/>
    <xf numFmtId="172" fontId="9" fillId="0" borderId="0" xfId="1" applyNumberFormat="1" applyFont="1"/>
    <xf numFmtId="172" fontId="9" fillId="0" borderId="0" xfId="0" applyNumberFormat="1" applyFont="1"/>
    <xf numFmtId="0" fontId="2" fillId="10" borderId="10" xfId="0" applyFont="1" applyFill="1" applyBorder="1"/>
    <xf numFmtId="0" fontId="2" fillId="0" borderId="7" xfId="0" applyFont="1" applyBorder="1"/>
    <xf numFmtId="14" fontId="21" fillId="0" borderId="0" xfId="0" applyNumberFormat="1" applyFont="1" applyAlignment="1">
      <alignment horizontal="center"/>
    </xf>
    <xf numFmtId="14" fontId="2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5" fillId="0" borderId="5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2" fillId="0" borderId="10" xfId="0" applyFont="1" applyBorder="1"/>
    <xf numFmtId="164" fontId="6" fillId="0" borderId="3" xfId="0" applyNumberFormat="1" applyFont="1" applyBorder="1" applyAlignment="1">
      <alignment horizontal="center"/>
    </xf>
    <xf numFmtId="168" fontId="8" fillId="0" borderId="0" xfId="0" applyNumberFormat="1" applyFont="1"/>
    <xf numFmtId="4" fontId="2" fillId="10" borderId="10" xfId="0" applyNumberFormat="1" applyFont="1" applyFill="1" applyBorder="1"/>
    <xf numFmtId="9" fontId="2" fillId="0" borderId="0" xfId="0" applyNumberFormat="1" applyFont="1"/>
    <xf numFmtId="9" fontId="2" fillId="0" borderId="0" xfId="1" applyFont="1"/>
    <xf numFmtId="0" fontId="21" fillId="10" borderId="10" xfId="0" applyFont="1" applyFill="1" applyBorder="1"/>
    <xf numFmtId="3" fontId="2" fillId="0" borderId="3" xfId="0" applyNumberFormat="1" applyFont="1" applyBorder="1" applyAlignment="1">
      <alignment vertical="center"/>
    </xf>
    <xf numFmtId="3" fontId="2" fillId="2" borderId="1" xfId="2" applyNumberFormat="1" applyFont="1"/>
    <xf numFmtId="168" fontId="2" fillId="2" borderId="1" xfId="2" applyNumberFormat="1" applyFont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0" fontId="2" fillId="2" borderId="1" xfId="1" applyNumberFormat="1" applyFont="1" applyFill="1" applyBorder="1"/>
    <xf numFmtId="0" fontId="10" fillId="7" borderId="8" xfId="0" applyFont="1" applyFill="1" applyBorder="1"/>
    <xf numFmtId="0" fontId="20" fillId="6" borderId="4" xfId="0" applyFont="1" applyFill="1" applyBorder="1" applyAlignment="1">
      <alignment vertical="center"/>
    </xf>
    <xf numFmtId="0" fontId="18" fillId="5" borderId="4" xfId="0" applyFont="1" applyFill="1" applyBorder="1" applyAlignment="1">
      <alignment vertical="center"/>
    </xf>
    <xf numFmtId="4" fontId="2" fillId="2" borderId="1" xfId="1" applyNumberFormat="1" applyFont="1" applyFill="1" applyBorder="1"/>
    <xf numFmtId="9" fontId="13" fillId="0" borderId="0" xfId="1" applyFont="1"/>
    <xf numFmtId="4" fontId="4" fillId="0" borderId="0" xfId="0" applyNumberFormat="1" applyFont="1"/>
    <xf numFmtId="0" fontId="2" fillId="11" borderId="3" xfId="0" applyFont="1" applyFill="1" applyBorder="1"/>
    <xf numFmtId="0" fontId="3" fillId="4" borderId="0" xfId="0" applyFont="1" applyFill="1"/>
    <xf numFmtId="168" fontId="4" fillId="0" borderId="3" xfId="0" applyNumberFormat="1" applyFont="1" applyBorder="1" applyAlignment="1">
      <alignment horizontal="center"/>
    </xf>
    <xf numFmtId="168" fontId="4" fillId="0" borderId="1" xfId="2" applyNumberFormat="1" applyFont="1" applyFill="1"/>
    <xf numFmtId="3" fontId="5" fillId="0" borderId="3" xfId="0" applyNumberFormat="1" applyFont="1" applyBorder="1"/>
    <xf numFmtId="9" fontId="4" fillId="0" borderId="1" xfId="1" applyFont="1" applyFill="1" applyBorder="1"/>
    <xf numFmtId="10" fontId="12" fillId="2" borderId="1" xfId="1" applyNumberFormat="1" applyFont="1" applyFill="1" applyBorder="1"/>
    <xf numFmtId="172" fontId="12" fillId="2" borderId="1" xfId="1" applyNumberFormat="1" applyFont="1" applyFill="1" applyBorder="1"/>
    <xf numFmtId="168" fontId="5" fillId="0" borderId="1" xfId="2" applyNumberFormat="1" applyFont="1" applyFill="1"/>
    <xf numFmtId="3" fontId="4" fillId="0" borderId="1" xfId="2" applyNumberFormat="1" applyFont="1" applyFill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8" fontId="4" fillId="0" borderId="0" xfId="0" applyNumberFormat="1" applyFont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8" fontId="5" fillId="0" borderId="10" xfId="0" applyNumberFormat="1" applyFont="1" applyBorder="1"/>
    <xf numFmtId="1" fontId="4" fillId="0" borderId="3" xfId="1" applyNumberFormat="1" applyFont="1" applyBorder="1"/>
    <xf numFmtId="169" fontId="2" fillId="0" borderId="0" xfId="0" applyNumberFormat="1" applyFont="1"/>
    <xf numFmtId="8" fontId="2" fillId="0" borderId="0" xfId="0" applyNumberFormat="1" applyFont="1"/>
    <xf numFmtId="169" fontId="4" fillId="0" borderId="3" xfId="0" applyNumberFormat="1" applyFont="1" applyBorder="1"/>
    <xf numFmtId="166" fontId="4" fillId="0" borderId="3" xfId="1" applyNumberFormat="1" applyFont="1" applyBorder="1"/>
    <xf numFmtId="173" fontId="5" fillId="0" borderId="3" xfId="0" applyNumberFormat="1" applyFont="1" applyBorder="1"/>
    <xf numFmtId="3" fontId="4" fillId="0" borderId="3" xfId="0" applyNumberFormat="1" applyFont="1" applyBorder="1"/>
    <xf numFmtId="9" fontId="4" fillId="0" borderId="0" xfId="1" applyFont="1" applyBorder="1"/>
    <xf numFmtId="173" fontId="5" fillId="0" borderId="0" xfId="0" applyNumberFormat="1" applyFont="1"/>
    <xf numFmtId="168" fontId="3" fillId="0" borderId="0" xfId="0" applyNumberFormat="1" applyFont="1"/>
    <xf numFmtId="9" fontId="4" fillId="12" borderId="3" xfId="1" applyFont="1" applyFill="1" applyBorder="1"/>
    <xf numFmtId="9" fontId="5" fillId="12" borderId="3" xfId="1" applyFont="1" applyFill="1" applyBorder="1"/>
    <xf numFmtId="9" fontId="6" fillId="12" borderId="3" xfId="1" applyFont="1" applyFill="1" applyBorder="1"/>
    <xf numFmtId="0" fontId="9" fillId="8" borderId="3" xfId="0" applyFont="1" applyFill="1" applyBorder="1"/>
    <xf numFmtId="0" fontId="31" fillId="0" borderId="0" xfId="0" applyFont="1"/>
    <xf numFmtId="3" fontId="2" fillId="2" borderId="1" xfId="2" applyNumberFormat="1" applyFont="1" applyAlignment="1">
      <alignment horizontal="center" vertical="center"/>
    </xf>
    <xf numFmtId="9" fontId="5" fillId="0" borderId="3" xfId="1" applyFont="1" applyBorder="1"/>
    <xf numFmtId="10" fontId="4" fillId="0" borderId="3" xfId="1" applyNumberFormat="1" applyFont="1" applyBorder="1"/>
    <xf numFmtId="10" fontId="5" fillId="0" borderId="0" xfId="0" applyNumberFormat="1" applyFont="1"/>
    <xf numFmtId="0" fontId="9" fillId="12" borderId="0" xfId="0" applyFont="1" applyFill="1"/>
    <xf numFmtId="0" fontId="3" fillId="12" borderId="0" xfId="0" applyFont="1" applyFill="1"/>
    <xf numFmtId="0" fontId="2" fillId="12" borderId="0" xfId="0" applyFont="1" applyFill="1"/>
    <xf numFmtId="0" fontId="13" fillId="12" borderId="0" xfId="0" applyFont="1" applyFill="1"/>
    <xf numFmtId="168" fontId="4" fillId="12" borderId="3" xfId="0" applyNumberFormat="1" applyFont="1" applyFill="1" applyBorder="1"/>
    <xf numFmtId="0" fontId="19" fillId="7" borderId="7" xfId="0" applyFont="1" applyFill="1" applyBorder="1"/>
    <xf numFmtId="0" fontId="19" fillId="7" borderId="0" xfId="0" applyFont="1" applyFill="1"/>
    <xf numFmtId="0" fontId="23" fillId="7" borderId="0" xfId="0" applyFont="1" applyFill="1"/>
    <xf numFmtId="0" fontId="10" fillId="7" borderId="0" xfId="0" applyFont="1" applyFill="1"/>
    <xf numFmtId="0" fontId="9" fillId="10" borderId="10" xfId="0" applyFont="1" applyFill="1" applyBorder="1"/>
    <xf numFmtId="0" fontId="32" fillId="0" borderId="0" xfId="0" applyFont="1"/>
    <xf numFmtId="2" fontId="32" fillId="0" borderId="0" xfId="0" applyNumberFormat="1" applyFont="1"/>
    <xf numFmtId="4" fontId="5" fillId="0" borderId="10" xfId="0" applyNumberFormat="1" applyFont="1" applyBorder="1"/>
    <xf numFmtId="10" fontId="4" fillId="0" borderId="0" xfId="1" applyNumberFormat="1" applyFont="1" applyBorder="1"/>
    <xf numFmtId="9" fontId="13" fillId="0" borderId="11" xfId="1" applyFont="1" applyBorder="1"/>
    <xf numFmtId="9" fontId="2" fillId="2" borderId="2" xfId="1" applyFont="1" applyFill="1" applyBorder="1"/>
    <xf numFmtId="0" fontId="31" fillId="0" borderId="0" xfId="0" applyFont="1" applyAlignment="1">
      <alignment horizontal="center"/>
    </xf>
    <xf numFmtId="9" fontId="2" fillId="2" borderId="1" xfId="1" applyFont="1" applyFill="1" applyBorder="1" applyAlignment="1">
      <alignment horizontal="right"/>
    </xf>
    <xf numFmtId="4" fontId="2" fillId="2" borderId="1" xfId="2" applyNumberFormat="1" applyFont="1"/>
    <xf numFmtId="169" fontId="4" fillId="0" borderId="3" xfId="0" applyNumberFormat="1" applyFont="1" applyBorder="1" applyAlignment="1">
      <alignment horizontal="center"/>
    </xf>
    <xf numFmtId="9" fontId="33" fillId="0" borderId="3" xfId="1" applyFont="1" applyBorder="1"/>
    <xf numFmtId="166" fontId="4" fillId="0" borderId="0" xfId="1" applyNumberFormat="1" applyFont="1" applyBorder="1"/>
    <xf numFmtId="0" fontId="2" fillId="0" borderId="0" xfId="0" applyFont="1" applyAlignment="1">
      <alignment horizontal="center" vertical="center"/>
    </xf>
    <xf numFmtId="168" fontId="13" fillId="0" borderId="0" xfId="0" applyNumberFormat="1" applyFont="1"/>
    <xf numFmtId="3" fontId="2" fillId="0" borderId="0" xfId="0" applyNumberFormat="1" applyFont="1"/>
  </cellXfs>
  <cellStyles count="4">
    <cellStyle name="Text" xfId="3" xr:uid="{00000000-0005-0000-0000-000000000000}"/>
    <cellStyle name="Обычный" xfId="0" builtinId="0"/>
    <cellStyle name="Примечание" xfId="2" builtinId="10"/>
    <cellStyle name="Процентный" xfId="1" builtinId="5"/>
  </cellStyles>
  <dxfs count="13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BDB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</dxfs>
  <tableStyles count="0" defaultTableStyle="TableStyleMedium2" defaultPivotStyle="PivotStyleLight16"/>
  <colors>
    <mruColors>
      <color rgb="FFFFBDBD"/>
      <color rgb="FFA0C6E8"/>
      <color rgb="FFEBFAFF"/>
      <color rgb="FFF5F39F"/>
      <color rgb="FFF5F5F5"/>
      <color rgb="FFFFFFCC"/>
      <color rgb="FFF8E7C8"/>
      <color rgb="FFF3D6A1"/>
      <color rgb="FF87A6E5"/>
      <color rgb="FF7FAE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6" fmlaLink="$J$212" fmlaRange="Тех.лист!$G$3:$G$4" noThreeD="1" sel="2" val="0"/>
</file>

<file path=xl/ctrlProps/ctrlProp2.xml><?xml version="1.0" encoding="utf-8"?>
<formControlPr xmlns="http://schemas.microsoft.com/office/spreadsheetml/2009/9/main" objectType="CheckBox" fmlaLink="$J$213" lockText="1" noThreeD="1"/>
</file>

<file path=xl/ctrlProps/ctrlProp3.xml><?xml version="1.0" encoding="utf-8"?>
<formControlPr xmlns="http://schemas.microsoft.com/office/spreadsheetml/2009/9/main" objectType="CheckBox" checked="Checked" fmlaLink="$I$17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211</xdr:row>
          <xdr:rowOff>0</xdr:rowOff>
        </xdr:from>
        <xdr:to>
          <xdr:col>9</xdr:col>
          <xdr:colOff>0</xdr:colOff>
          <xdr:row>212</xdr:row>
          <xdr:rowOff>0</xdr:rowOff>
        </xdr:to>
        <xdr:sp macro="" textlink="">
          <xdr:nvSpPr>
            <xdr:cNvPr id="5242" name="Drop Down 122" hidden="1">
              <a:extLst>
                <a:ext uri="{63B3BB69-23CF-44E3-9099-C40C66FF867C}">
                  <a14:compatExt spid="_x0000_s5242"/>
                </a:ext>
                <a:ext uri="{FF2B5EF4-FFF2-40B4-BE49-F238E27FC236}">
                  <a16:creationId xmlns:a16="http://schemas.microsoft.com/office/drawing/2014/main" id="{00000000-0008-0000-0100-00007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211</xdr:row>
          <xdr:rowOff>108065</xdr:rowOff>
        </xdr:from>
        <xdr:to>
          <xdr:col>9</xdr:col>
          <xdr:colOff>33251</xdr:colOff>
          <xdr:row>213</xdr:row>
          <xdr:rowOff>124691</xdr:rowOff>
        </xdr:to>
        <xdr:sp macro="" textlink="">
          <xdr:nvSpPr>
            <xdr:cNvPr id="5243" name="Check Box 123" hidden="1">
              <a:extLst>
                <a:ext uri="{63B3BB69-23CF-44E3-9099-C40C66FF867C}">
                  <a14:compatExt spid="_x0000_s5243"/>
                </a:ext>
                <a:ext uri="{FF2B5EF4-FFF2-40B4-BE49-F238E27FC236}">
                  <a16:creationId xmlns:a16="http://schemas.microsoft.com/office/drawing/2014/main" id="{00000000-0008-0000-0100-00007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Флаг капитализации процентов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1529542</xdr:colOff>
          <xdr:row>15</xdr:row>
          <xdr:rowOff>141316</xdr:rowOff>
        </xdr:from>
        <xdr:to>
          <xdr:col>8</xdr:col>
          <xdr:colOff>482138</xdr:colOff>
          <xdr:row>17</xdr:row>
          <xdr:rowOff>41564</xdr:rowOff>
        </xdr:to>
        <xdr:sp macro="" textlink="">
          <xdr:nvSpPr>
            <xdr:cNvPr id="5244" name="Check Box 124" hidden="1">
              <a:extLst>
                <a:ext uri="{63B3BB69-23CF-44E3-9099-C40C66FF867C}">
                  <a14:compatExt spid="_x0000_s5244"/>
                </a:ext>
                <a:ext uri="{FF2B5EF4-FFF2-40B4-BE49-F238E27FC236}">
                  <a16:creationId xmlns:a16="http://schemas.microsoft.com/office/drawing/2014/main" id="{00000000-0008-0000-0100-00007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Возмещение НДС из бюджета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rin\OneDrive\Desktop\&#1060;&#1080;&#1085;&#1072;&#1085;&#1089;&#1086;&#1074;&#1099;&#1077;%20&#1084;&#1086;&#1076;&#1077;&#1083;&#1080;\&#1069;&#1083;&#1077;&#1082;&#1090;&#1088;&#1086;&#1101;&#1085;&#1077;&#1088;&#1075;&#1077;&#1090;&#1080;&#1082;&#1072;\&#1087;&#1088;&#1080;&#1084;&#1077;&#1088;.xlsm" TargetMode="External"/><Relationship Id="rId1" Type="http://schemas.openxmlformats.org/officeDocument/2006/relationships/externalLinkPath" Target="file:///C:\Users\barin\OneDrive\Desktop\&#1060;&#1080;&#1085;&#1072;&#1085;&#1089;&#1086;&#1074;&#1099;&#1077;%20&#1084;&#1086;&#1076;&#1077;&#1083;&#1080;\&#1069;&#1083;&#1077;&#1082;&#1090;&#1088;&#1086;&#1101;&#1085;&#1077;&#1088;&#1075;&#1077;&#1090;&#1080;&#1082;&#1072;\&#1087;&#1088;&#1080;&#1084;&#1077;&#108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trl panel"/>
      <sheetName val="Input"/>
      <sheetName val="Production Input CCGT"/>
      <sheetName val="CAPEX"/>
      <sheetName val="Result"/>
      <sheetName val="Finance"/>
      <sheetName val="Borrowing_1"/>
      <sheetName val="WACC"/>
    </sheetNames>
    <sheetDataSet>
      <sheetData sheetId="0" refreshError="1"/>
      <sheetData sheetId="1">
        <row r="24">
          <cell r="D24" t="str">
            <v>Eur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C2:C8" totalsRowShown="0" headerRowDxfId="12" dataDxfId="11">
  <autoFilter ref="C2:C8" xr:uid="{00000000-0009-0000-0100-000001000000}"/>
  <tableColumns count="1">
    <tableColumn id="1" xr3:uid="{00000000-0010-0000-0000-000001000000}" name="Индексация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E2:E5" totalsRowShown="0" headerRowDxfId="9" dataDxfId="8">
  <autoFilter ref="E2:E5" xr:uid="{00000000-0009-0000-0100-000002000000}"/>
  <tableColumns count="1">
    <tableColumn id="1" xr3:uid="{00000000-0010-0000-0100-000001000000}" name="Ремонты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3" displayName="Таблица3" ref="G2:G4" totalsRowShown="0" headerRowDxfId="6" dataDxfId="5">
  <autoFilter ref="G2:G4" xr:uid="{00000000-0009-0000-0100-000003000000}"/>
  <tableColumns count="1">
    <tableColumn id="1" xr3:uid="{00000000-0010-0000-0200-000001000000}" name="Тип платежа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823087-6995-4BBC-AEC5-1764DF3DAEAD}">
  <we:reference id="wa200005271" version="2.5.4.0" store="ru-RU" storeType="OMEX"/>
  <we:alternateReferences>
    <we:reference id="wa200005271" version="2.5.4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4:H26"/>
  <sheetViews>
    <sheetView showGridLines="0" tabSelected="1" zoomScale="75" zoomScaleNormal="75" workbookViewId="0">
      <selection activeCell="D29" sqref="D29"/>
    </sheetView>
  </sheetViews>
  <sheetFormatPr defaultColWidth="9.109375" defaultRowHeight="15.05" x14ac:dyDescent="0.3"/>
  <cols>
    <col min="1" max="1" width="9.109375" style="1"/>
    <col min="2" max="2" width="19" style="1" customWidth="1"/>
    <col min="3" max="4" width="20.6640625" style="1" customWidth="1"/>
    <col min="5" max="16384" width="9.109375" style="1"/>
  </cols>
  <sheetData>
    <row r="4" spans="2:8" x14ac:dyDescent="0.3">
      <c r="H4"/>
    </row>
    <row r="6" spans="2:8" x14ac:dyDescent="0.3">
      <c r="C6"/>
    </row>
    <row r="15" spans="2:8" ht="23.6" x14ac:dyDescent="0.4">
      <c r="C15" s="171" t="s">
        <v>159</v>
      </c>
    </row>
    <row r="16" spans="2:8" ht="23.6" x14ac:dyDescent="0.4">
      <c r="B16" s="26" t="str">
        <f>IF(C16="","Название проекта:","")</f>
        <v/>
      </c>
      <c r="C16" s="172" t="s">
        <v>166</v>
      </c>
      <c r="D16" s="27"/>
      <c r="E16" s="27"/>
      <c r="F16" s="27"/>
      <c r="G16" s="27"/>
    </row>
    <row r="18" spans="3:6" x14ac:dyDescent="0.3">
      <c r="C18" s="73"/>
      <c r="D18" s="1" t="s">
        <v>2</v>
      </c>
    </row>
    <row r="19" spans="3:6" x14ac:dyDescent="0.3">
      <c r="C19" s="3" t="s">
        <v>3</v>
      </c>
      <c r="D19" s="1" t="s">
        <v>4</v>
      </c>
    </row>
    <row r="20" spans="3:6" x14ac:dyDescent="0.3">
      <c r="C20" s="4" t="s">
        <v>5</v>
      </c>
      <c r="D20" s="1" t="s">
        <v>6</v>
      </c>
    </row>
    <row r="21" spans="3:6" x14ac:dyDescent="0.3">
      <c r="C21" s="1" t="s">
        <v>7</v>
      </c>
      <c r="D21" s="1" t="s">
        <v>118</v>
      </c>
      <c r="F21"/>
    </row>
    <row r="22" spans="3:6" x14ac:dyDescent="0.3">
      <c r="C22" s="87"/>
      <c r="D22" s="1" t="s">
        <v>132</v>
      </c>
    </row>
    <row r="24" spans="3:6" x14ac:dyDescent="0.3">
      <c r="C24" s="84"/>
      <c r="F24" s="29"/>
    </row>
    <row r="26" spans="3:6" x14ac:dyDescent="0.3">
      <c r="C26" s="1" t="s">
        <v>157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XFB508"/>
  <sheetViews>
    <sheetView showGridLines="0" zoomScale="55" zoomScaleNormal="55" workbookViewId="0">
      <pane ySplit="5" topLeftCell="A177" activePane="bottomLeft" state="frozen"/>
      <selection activeCell="I12" sqref="I12"/>
      <selection pane="bottomLeft" activeCell="R89" sqref="R89"/>
    </sheetView>
  </sheetViews>
  <sheetFormatPr defaultColWidth="9.109375" defaultRowHeight="15.05" x14ac:dyDescent="0.3"/>
  <cols>
    <col min="1" max="1" width="3.33203125" style="18" customWidth="1"/>
    <col min="2" max="2" width="2.109375" style="1" customWidth="1"/>
    <col min="3" max="3" width="2" style="1" customWidth="1"/>
    <col min="4" max="4" width="2.5546875" style="1" customWidth="1"/>
    <col min="5" max="5" width="24.109375" style="1" customWidth="1"/>
    <col min="6" max="6" width="44.6640625" style="1" customWidth="1"/>
    <col min="7" max="7" width="22.88671875" style="26" customWidth="1"/>
    <col min="8" max="10" width="18.88671875" style="1" customWidth="1"/>
    <col min="11" max="11" width="17.5546875" style="18" customWidth="1"/>
    <col min="12" max="12" width="15.33203125" style="1" customWidth="1"/>
    <col min="13" max="41" width="12.88671875" style="1" customWidth="1"/>
    <col min="42" max="43" width="12.33203125" style="1" customWidth="1"/>
    <col min="44" max="16384" width="9.109375" style="1"/>
  </cols>
  <sheetData>
    <row r="1" spans="1:44" s="56" customFormat="1" ht="16.399999999999999" thickTop="1" x14ac:dyDescent="0.3">
      <c r="A1" s="55" t="str">
        <f>Title!$C$16</f>
        <v>Строительство производства сухих строительных смесей</v>
      </c>
      <c r="B1" s="67"/>
      <c r="G1" s="57"/>
      <c r="K1" s="58"/>
    </row>
    <row r="2" spans="1:44" s="61" customFormat="1" ht="15.75" x14ac:dyDescent="0.3">
      <c r="A2" s="59" t="str">
        <f>Title!$C$15</f>
        <v>Финансово-экономическая модель</v>
      </c>
      <c r="B2" s="68"/>
      <c r="G2" s="62"/>
      <c r="L2" s="70">
        <f>DATE(($H$9),1,1)</f>
        <v>45292</v>
      </c>
      <c r="M2" s="70">
        <f t="shared" ref="M2:AC2" si="0">IFERROR(IF(YEAR(L3)&lt;YEAR(EDATE($H$12,$H$13*12)-1),L3+1,""),"")</f>
        <v>45658</v>
      </c>
      <c r="N2" s="70">
        <f t="shared" si="0"/>
        <v>46023</v>
      </c>
      <c r="O2" s="70">
        <f>IFERROR(IF(YEAR(N3)&lt;YEAR(EDATE($H$12,$H$13*12)-1),N3+1,""),"")</f>
        <v>46388</v>
      </c>
      <c r="P2" s="70">
        <f t="shared" si="0"/>
        <v>46753</v>
      </c>
      <c r="Q2" s="70">
        <f t="shared" si="0"/>
        <v>47119</v>
      </c>
      <c r="R2" s="70">
        <f t="shared" si="0"/>
        <v>47484</v>
      </c>
      <c r="S2" s="70">
        <f t="shared" si="0"/>
        <v>47849</v>
      </c>
      <c r="T2" s="70">
        <f t="shared" si="0"/>
        <v>48214</v>
      </c>
      <c r="U2" s="70">
        <f t="shared" si="0"/>
        <v>48580</v>
      </c>
      <c r="V2" s="70">
        <f t="shared" si="0"/>
        <v>48945</v>
      </c>
      <c r="W2" s="70">
        <f t="shared" si="0"/>
        <v>49310</v>
      </c>
      <c r="X2" s="70">
        <f t="shared" si="0"/>
        <v>49675</v>
      </c>
      <c r="Y2" s="70">
        <f t="shared" si="0"/>
        <v>50041</v>
      </c>
      <c r="Z2" s="70">
        <f t="shared" si="0"/>
        <v>50406</v>
      </c>
      <c r="AA2" s="70">
        <f t="shared" si="0"/>
        <v>50771</v>
      </c>
      <c r="AB2" s="70">
        <f t="shared" si="0"/>
        <v>51136</v>
      </c>
      <c r="AC2" s="70">
        <f t="shared" si="0"/>
        <v>51502</v>
      </c>
      <c r="AD2" s="70" t="str">
        <f t="shared" ref="AD2" si="1">IFERROR(IF(YEAR(AC3)&lt;YEAR(EDATE($H$12,$H$13*12)-1),AC3+1,""),"")</f>
        <v/>
      </c>
      <c r="AE2" s="70" t="str">
        <f t="shared" ref="AE2" si="2">IFERROR(IF(YEAR(AD3)&lt;YEAR(EDATE($H$12,$H$13*12)-1),AD3+1,""),"")</f>
        <v/>
      </c>
      <c r="AF2" s="70" t="str">
        <f t="shared" ref="AF2" si="3">IFERROR(IF(YEAR(AE3)&lt;YEAR(EDATE($H$12,$H$13*12)-1),AE3+1,""),"")</f>
        <v/>
      </c>
      <c r="AG2" s="70" t="str">
        <f t="shared" ref="AG2" si="4">IFERROR(IF(YEAR(AF3)&lt;YEAR(EDATE($H$12,$H$13*12)-1),AF3+1,""),"")</f>
        <v/>
      </c>
      <c r="AH2" s="70" t="str">
        <f t="shared" ref="AH2" si="5">IFERROR(IF(YEAR(AG3)&lt;YEAR(EDATE($H$12,$H$13*12)-1),AG3+1,""),"")</f>
        <v/>
      </c>
      <c r="AI2" s="70" t="str">
        <f t="shared" ref="AI2" si="6">IFERROR(IF(YEAR(AH3)&lt;YEAR(EDATE($H$12,$H$13*12)-1),AH3+1,""),"")</f>
        <v/>
      </c>
      <c r="AJ2" s="70" t="str">
        <f t="shared" ref="AJ2" si="7">IFERROR(IF(YEAR(AI3)&lt;YEAR(EDATE($H$12,$H$13*12)-1),AI3+1,""),"")</f>
        <v/>
      </c>
      <c r="AK2" s="70" t="str">
        <f t="shared" ref="AK2" si="8">IFERROR(IF(YEAR(AJ3)&lt;YEAR(EDATE($H$12,$H$13*12)-1),AJ3+1,""),"")</f>
        <v/>
      </c>
      <c r="AL2" s="70" t="str">
        <f t="shared" ref="AL2" si="9">IFERROR(IF(YEAR(AK3)&lt;YEAR(EDATE($H$12,$H$13*12)-1),AK3+1,""),"")</f>
        <v/>
      </c>
      <c r="AM2" s="70" t="str">
        <f t="shared" ref="AM2" si="10">IFERROR(IF(YEAR(AL3)&lt;YEAR(EDATE($H$12,$H$13*12)-1),AL3+1,""),"")</f>
        <v/>
      </c>
      <c r="AN2" s="70" t="str">
        <f t="shared" ref="AN2" si="11">IFERROR(IF(YEAR(AM3)&lt;YEAR(EDATE($H$12,$H$13*12)-1),AM3+1,""),"")</f>
        <v/>
      </c>
      <c r="AO2" s="70"/>
      <c r="AP2" s="70"/>
      <c r="AQ2" s="70"/>
      <c r="AR2" s="63"/>
    </row>
    <row r="3" spans="1:44" s="61" customFormat="1" ht="15.75" x14ac:dyDescent="0.3">
      <c r="A3" s="64" t="s">
        <v>160</v>
      </c>
      <c r="B3" s="60"/>
      <c r="G3" s="62"/>
      <c r="L3" s="70">
        <f>DATE(YEAR(L2),12,31)</f>
        <v>45657</v>
      </c>
      <c r="M3" s="70">
        <f>IFERROR(DATE(YEAR(M2),12,31),"")</f>
        <v>46022</v>
      </c>
      <c r="N3" s="70">
        <f t="shared" ref="N3:U3" si="12">IFERROR(DATE(YEAR(N2),12,31),"")</f>
        <v>46387</v>
      </c>
      <c r="O3" s="70">
        <f t="shared" si="12"/>
        <v>46752</v>
      </c>
      <c r="P3" s="70">
        <f t="shared" si="12"/>
        <v>47118</v>
      </c>
      <c r="Q3" s="70">
        <f t="shared" si="12"/>
        <v>47483</v>
      </c>
      <c r="R3" s="70">
        <f t="shared" si="12"/>
        <v>47848</v>
      </c>
      <c r="S3" s="70">
        <f t="shared" si="12"/>
        <v>48213</v>
      </c>
      <c r="T3" s="70">
        <f t="shared" si="12"/>
        <v>48579</v>
      </c>
      <c r="U3" s="70">
        <f t="shared" si="12"/>
        <v>48944</v>
      </c>
      <c r="V3" s="70">
        <f t="shared" ref="V3" si="13">IFERROR(DATE(YEAR(V2),12,31),"")</f>
        <v>49309</v>
      </c>
      <c r="W3" s="70">
        <f t="shared" ref="W3" si="14">IFERROR(DATE(YEAR(W2),12,31),"")</f>
        <v>49674</v>
      </c>
      <c r="X3" s="70">
        <f t="shared" ref="X3" si="15">IFERROR(DATE(YEAR(X2),12,31),"")</f>
        <v>50040</v>
      </c>
      <c r="Y3" s="70">
        <f t="shared" ref="Y3" si="16">IFERROR(DATE(YEAR(Y2),12,31),"")</f>
        <v>50405</v>
      </c>
      <c r="Z3" s="70">
        <f t="shared" ref="Z3" si="17">IFERROR(DATE(YEAR(Z2),12,31),"")</f>
        <v>50770</v>
      </c>
      <c r="AA3" s="70">
        <f t="shared" ref="AA3" si="18">IFERROR(DATE(YEAR(AA2),12,31),"")</f>
        <v>51135</v>
      </c>
      <c r="AB3" s="70">
        <f t="shared" ref="AB3:AC3" si="19">IFERROR(DATE(YEAR(AB2),12,31),"")</f>
        <v>51501</v>
      </c>
      <c r="AC3" s="70">
        <f t="shared" si="19"/>
        <v>51866</v>
      </c>
      <c r="AD3" s="70" t="str">
        <f t="shared" ref="AD3:AN3" si="20">IFERROR(DATE(YEAR(AD2),12,31),"")</f>
        <v/>
      </c>
      <c r="AE3" s="70" t="str">
        <f t="shared" si="20"/>
        <v/>
      </c>
      <c r="AF3" s="70" t="str">
        <f t="shared" si="20"/>
        <v/>
      </c>
      <c r="AG3" s="70" t="str">
        <f t="shared" si="20"/>
        <v/>
      </c>
      <c r="AH3" s="70" t="str">
        <f t="shared" si="20"/>
        <v/>
      </c>
      <c r="AI3" s="70" t="str">
        <f t="shared" si="20"/>
        <v/>
      </c>
      <c r="AJ3" s="70" t="str">
        <f t="shared" si="20"/>
        <v/>
      </c>
      <c r="AK3" s="70" t="str">
        <f t="shared" si="20"/>
        <v/>
      </c>
      <c r="AL3" s="70" t="str">
        <f t="shared" si="20"/>
        <v/>
      </c>
      <c r="AM3" s="70" t="str">
        <f t="shared" si="20"/>
        <v/>
      </c>
      <c r="AN3" s="70" t="str">
        <f t="shared" si="20"/>
        <v/>
      </c>
      <c r="AO3" s="70"/>
      <c r="AP3" s="70"/>
      <c r="AQ3" s="70"/>
      <c r="AR3" s="63"/>
    </row>
    <row r="4" spans="1:44" s="61" customFormat="1" ht="15.75" thickBot="1" x14ac:dyDescent="0.35">
      <c r="A4" s="120"/>
      <c r="G4" s="62"/>
      <c r="I4" s="66"/>
      <c r="J4" s="66"/>
      <c r="L4" s="71" t="str">
        <f>IFERROR(IF(YEAR(L3)&lt;YEAR($H$10),"Факт","Прогноз"),"")</f>
        <v>Факт</v>
      </c>
      <c r="M4" s="71" t="str">
        <f t="shared" ref="M4:Q4" si="21">IFERROR(IF(YEAR(M3)&lt;YEAR($H$10),"Факт","Прогноз"),"")</f>
        <v>Прогноз</v>
      </c>
      <c r="N4" s="71" t="str">
        <f t="shared" si="21"/>
        <v>Прогноз</v>
      </c>
      <c r="O4" s="71" t="str">
        <f t="shared" si="21"/>
        <v>Прогноз</v>
      </c>
      <c r="P4" s="71" t="str">
        <f t="shared" si="21"/>
        <v>Прогноз</v>
      </c>
      <c r="Q4" s="71" t="str">
        <f t="shared" si="21"/>
        <v>Прогноз</v>
      </c>
      <c r="R4" s="71" t="str">
        <f t="shared" ref="R4" si="22">IFERROR(IF(YEAR(R3)&lt;YEAR($H$10),"Факт","Прогноз"),"")</f>
        <v>Прогноз</v>
      </c>
      <c r="S4" s="71" t="str">
        <f t="shared" ref="S4" si="23">IFERROR(IF(YEAR(S3)&lt;YEAR($H$10),"Факт","Прогноз"),"")</f>
        <v>Прогноз</v>
      </c>
      <c r="T4" s="71" t="str">
        <f t="shared" ref="T4" si="24">IFERROR(IF(YEAR(T3)&lt;YEAR($H$10),"Факт","Прогноз"),"")</f>
        <v>Прогноз</v>
      </c>
      <c r="U4" s="71" t="str">
        <f t="shared" ref="U4:V4" si="25">IFERROR(IF(YEAR(U3)&lt;YEAR($H$10),"Факт","Прогноз"),"")</f>
        <v>Прогноз</v>
      </c>
      <c r="V4" s="71" t="str">
        <f t="shared" si="25"/>
        <v>Прогноз</v>
      </c>
      <c r="W4" s="71" t="str">
        <f t="shared" ref="W4" si="26">IFERROR(IF(YEAR(W3)&lt;YEAR($H$10),"Факт","Прогноз"),"")</f>
        <v>Прогноз</v>
      </c>
      <c r="X4" s="71" t="str">
        <f t="shared" ref="X4" si="27">IFERROR(IF(YEAR(X3)&lt;YEAR($H$10),"Факт","Прогноз"),"")</f>
        <v>Прогноз</v>
      </c>
      <c r="Y4" s="71" t="str">
        <f t="shared" ref="Y4" si="28">IFERROR(IF(YEAR(Y3)&lt;YEAR($H$10),"Факт","Прогноз"),"")</f>
        <v>Прогноз</v>
      </c>
      <c r="Z4" s="71" t="str">
        <f t="shared" ref="Z4:AA4" si="29">IFERROR(IF(YEAR(Z3)&lt;YEAR($H$10),"Факт","Прогноз"),"")</f>
        <v>Прогноз</v>
      </c>
      <c r="AA4" s="71" t="str">
        <f t="shared" si="29"/>
        <v>Прогноз</v>
      </c>
      <c r="AB4" s="71" t="str">
        <f t="shared" ref="AB4" si="30">IFERROR(IF(YEAR(AB3)&lt;YEAR($H$10),"Факт","Прогноз"),"")</f>
        <v>Прогноз</v>
      </c>
      <c r="AC4" s="71" t="str">
        <f t="shared" ref="AC4" si="31">IFERROR(IF(YEAR(AC3)&lt;YEAR($H$10),"Факт","Прогноз"),"")</f>
        <v>Прогноз</v>
      </c>
      <c r="AD4" s="71" t="str">
        <f t="shared" ref="AD4:AN4" si="32">IFERROR(IF(YEAR(AD3)&lt;YEAR($H$10),"Факт","Прогноз"),"")</f>
        <v/>
      </c>
      <c r="AE4" s="71" t="str">
        <f t="shared" si="32"/>
        <v/>
      </c>
      <c r="AF4" s="71" t="str">
        <f t="shared" si="32"/>
        <v/>
      </c>
      <c r="AG4" s="71" t="str">
        <f t="shared" si="32"/>
        <v/>
      </c>
      <c r="AH4" s="71" t="str">
        <f t="shared" si="32"/>
        <v/>
      </c>
      <c r="AI4" s="71" t="str">
        <f t="shared" si="32"/>
        <v/>
      </c>
      <c r="AJ4" s="71" t="str">
        <f t="shared" si="32"/>
        <v/>
      </c>
      <c r="AK4" s="71" t="str">
        <f t="shared" si="32"/>
        <v/>
      </c>
      <c r="AL4" s="71" t="str">
        <f t="shared" si="32"/>
        <v/>
      </c>
      <c r="AM4" s="71" t="str">
        <f t="shared" si="32"/>
        <v/>
      </c>
      <c r="AN4" s="71" t="str">
        <f t="shared" si="32"/>
        <v/>
      </c>
      <c r="AO4" s="71"/>
      <c r="AP4" s="71"/>
      <c r="AQ4" s="71"/>
      <c r="AR4" s="66"/>
    </row>
    <row r="5" spans="1:44" s="77" customFormat="1" ht="29.95" customHeight="1" thickTop="1" thickBot="1" x14ac:dyDescent="0.35">
      <c r="A5" s="121"/>
      <c r="B5" s="76"/>
      <c r="F5" s="54"/>
      <c r="G5" s="54" t="s">
        <v>1</v>
      </c>
      <c r="H5" s="54" t="s">
        <v>104</v>
      </c>
      <c r="J5" s="54" t="s">
        <v>105</v>
      </c>
      <c r="K5" s="78"/>
    </row>
    <row r="6" spans="1:44" ht="13.25" customHeight="1" thickTop="1" thickBot="1" x14ac:dyDescent="0.35">
      <c r="AN6" s="28"/>
    </row>
    <row r="7" spans="1:44" s="51" customFormat="1" ht="18" customHeight="1" thickTop="1" thickBot="1" x14ac:dyDescent="0.35">
      <c r="A7" s="122"/>
      <c r="B7" s="50" t="s">
        <v>49</v>
      </c>
      <c r="G7" s="52"/>
      <c r="K7" s="53"/>
    </row>
    <row r="8" spans="1:44" ht="15.75" thickTop="1" x14ac:dyDescent="0.3"/>
    <row r="9" spans="1:44" x14ac:dyDescent="0.3">
      <c r="B9" s="1" t="s">
        <v>45</v>
      </c>
      <c r="G9" s="26" t="s">
        <v>32</v>
      </c>
      <c r="H9" s="24">
        <v>2024</v>
      </c>
    </row>
    <row r="10" spans="1:44" x14ac:dyDescent="0.3">
      <c r="B10" s="1" t="s">
        <v>53</v>
      </c>
      <c r="G10" s="26" t="s">
        <v>32</v>
      </c>
      <c r="H10" s="5">
        <v>45658</v>
      </c>
      <c r="K10" s="72"/>
    </row>
    <row r="11" spans="1:44" x14ac:dyDescent="0.3">
      <c r="B11" s="1" t="s">
        <v>179</v>
      </c>
      <c r="G11" s="26" t="s">
        <v>32</v>
      </c>
      <c r="H11" s="5">
        <v>45658</v>
      </c>
      <c r="K11" s="72"/>
    </row>
    <row r="12" spans="1:44" x14ac:dyDescent="0.3">
      <c r="B12" s="1" t="s">
        <v>30</v>
      </c>
      <c r="G12" s="26" t="s">
        <v>32</v>
      </c>
      <c r="H12" s="6">
        <v>46082</v>
      </c>
      <c r="I12" s="16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</row>
    <row r="13" spans="1:44" x14ac:dyDescent="0.3">
      <c r="B13" s="1" t="s">
        <v>31</v>
      </c>
      <c r="G13" s="26" t="s">
        <v>33</v>
      </c>
      <c r="H13" s="15">
        <v>15</v>
      </c>
      <c r="I13" s="18" t="s">
        <v>401</v>
      </c>
      <c r="J13" s="18"/>
    </row>
    <row r="14" spans="1:44" x14ac:dyDescent="0.3">
      <c r="B14" s="1" t="s">
        <v>130</v>
      </c>
      <c r="G14" s="26" t="s">
        <v>32</v>
      </c>
      <c r="H14" s="91">
        <f>EDATE(H12,H13*12)</f>
        <v>51561</v>
      </c>
      <c r="I14" s="18"/>
      <c r="J14" s="18"/>
      <c r="O14" s="72"/>
      <c r="P14" s="72"/>
      <c r="Q14" s="72"/>
      <c r="R14" s="72"/>
      <c r="S14" s="72"/>
      <c r="T14" s="72"/>
      <c r="U14" s="72"/>
      <c r="V14" s="72"/>
      <c r="W14" s="72"/>
      <c r="X14" s="72"/>
    </row>
    <row r="15" spans="1:44" x14ac:dyDescent="0.3">
      <c r="B15" s="1" t="s">
        <v>93</v>
      </c>
      <c r="G15" s="26" t="s">
        <v>44</v>
      </c>
      <c r="H15" s="15">
        <v>2024</v>
      </c>
      <c r="I15" s="18"/>
      <c r="J15" s="18"/>
    </row>
    <row r="16" spans="1:44" x14ac:dyDescent="0.3">
      <c r="B16" s="1" t="s">
        <v>290</v>
      </c>
      <c r="G16" s="26" t="s">
        <v>32</v>
      </c>
      <c r="H16" s="6">
        <v>49126</v>
      </c>
      <c r="I16" s="18"/>
      <c r="J16" s="18"/>
    </row>
    <row r="17" spans="1:40" x14ac:dyDescent="0.3">
      <c r="B17" s="1" t="s">
        <v>387</v>
      </c>
      <c r="G17" s="26" t="s">
        <v>11</v>
      </c>
      <c r="H17" s="18"/>
      <c r="I17" s="18" t="b">
        <v>1</v>
      </c>
      <c r="J17" s="18"/>
    </row>
    <row r="18" spans="1:40" ht="15.75" thickBot="1" x14ac:dyDescent="0.35">
      <c r="H18" s="18"/>
      <c r="I18" s="18"/>
      <c r="J18" s="18"/>
    </row>
    <row r="19" spans="1:40" s="51" customFormat="1" ht="18" customHeight="1" thickTop="1" thickBot="1" x14ac:dyDescent="0.35">
      <c r="A19" s="122"/>
      <c r="B19" s="50" t="s">
        <v>119</v>
      </c>
      <c r="G19" s="52"/>
      <c r="K19" s="53"/>
    </row>
    <row r="20" spans="1:40" ht="15.75" thickTop="1" x14ac:dyDescent="0.3">
      <c r="H20" s="18"/>
      <c r="I20" s="18"/>
      <c r="J20" s="18"/>
    </row>
    <row r="21" spans="1:40" x14ac:dyDescent="0.3">
      <c r="B21" s="1" t="s">
        <v>120</v>
      </c>
      <c r="G21" s="26" t="s">
        <v>125</v>
      </c>
      <c r="H21" s="18"/>
      <c r="I21" s="18"/>
      <c r="J21" s="18"/>
      <c r="L21" s="179">
        <v>59</v>
      </c>
      <c r="M21" s="179">
        <v>60</v>
      </c>
      <c r="N21" s="179">
        <v>61</v>
      </c>
      <c r="O21" s="179">
        <v>62</v>
      </c>
      <c r="P21" s="179">
        <v>63</v>
      </c>
      <c r="Q21" s="179">
        <v>59</v>
      </c>
      <c r="R21" s="179">
        <v>59</v>
      </c>
      <c r="S21" s="179">
        <v>59</v>
      </c>
      <c r="T21" s="179">
        <v>59</v>
      </c>
      <c r="U21" s="179">
        <v>59</v>
      </c>
      <c r="V21" s="179">
        <v>59</v>
      </c>
      <c r="W21" s="179">
        <v>59</v>
      </c>
      <c r="X21" s="179">
        <v>59</v>
      </c>
      <c r="Y21" s="179">
        <v>59</v>
      </c>
      <c r="Z21" s="179">
        <v>59</v>
      </c>
      <c r="AA21" s="179">
        <v>59</v>
      </c>
      <c r="AB21" s="179">
        <v>59</v>
      </c>
      <c r="AC21" s="179">
        <v>59</v>
      </c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</row>
    <row r="22" spans="1:40" x14ac:dyDescent="0.3">
      <c r="B22" s="1" t="s">
        <v>161</v>
      </c>
      <c r="G22" s="26" t="s">
        <v>11</v>
      </c>
      <c r="H22" s="18"/>
      <c r="I22" s="18"/>
      <c r="J22" s="18"/>
      <c r="L22" s="179">
        <v>1.04</v>
      </c>
      <c r="M22" s="179">
        <v>1.04</v>
      </c>
      <c r="N22" s="179">
        <v>1.04</v>
      </c>
      <c r="O22" s="179">
        <v>1.04</v>
      </c>
      <c r="P22" s="179">
        <v>1.04</v>
      </c>
      <c r="Q22" s="179">
        <v>1.04</v>
      </c>
      <c r="R22" s="179">
        <v>1.04</v>
      </c>
      <c r="S22" s="179">
        <v>1.04</v>
      </c>
      <c r="T22" s="179">
        <v>1.04</v>
      </c>
      <c r="U22" s="179">
        <v>1.04</v>
      </c>
      <c r="V22" s="179">
        <v>1.04</v>
      </c>
      <c r="W22" s="179">
        <v>1.04</v>
      </c>
      <c r="X22" s="179">
        <v>1.04</v>
      </c>
      <c r="Y22" s="179">
        <v>1.04</v>
      </c>
      <c r="Z22" s="179">
        <v>1.04</v>
      </c>
      <c r="AA22" s="179">
        <v>1.04</v>
      </c>
      <c r="AB22" s="179">
        <v>1.04</v>
      </c>
      <c r="AC22" s="179">
        <v>1.04</v>
      </c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</row>
    <row r="23" spans="1:40" x14ac:dyDescent="0.3">
      <c r="B23" s="1" t="s">
        <v>162</v>
      </c>
      <c r="G23" s="26" t="s">
        <v>11</v>
      </c>
      <c r="H23" s="96"/>
      <c r="I23" s="18"/>
      <c r="J23" s="18"/>
      <c r="L23" s="179">
        <v>1.04</v>
      </c>
      <c r="M23" s="179">
        <v>1.04</v>
      </c>
      <c r="N23" s="179">
        <v>1.04</v>
      </c>
      <c r="O23" s="179">
        <v>1.04</v>
      </c>
      <c r="P23" s="179">
        <v>1.04</v>
      </c>
      <c r="Q23" s="179">
        <v>1.04</v>
      </c>
      <c r="R23" s="179">
        <v>1.04</v>
      </c>
      <c r="S23" s="179">
        <v>1.04</v>
      </c>
      <c r="T23" s="179">
        <v>1.04</v>
      </c>
      <c r="U23" s="179">
        <v>1.04</v>
      </c>
      <c r="V23" s="179">
        <v>1.04</v>
      </c>
      <c r="W23" s="179">
        <v>1.04</v>
      </c>
      <c r="X23" s="179">
        <v>1.04</v>
      </c>
      <c r="Y23" s="179">
        <v>1.04</v>
      </c>
      <c r="Z23" s="179">
        <v>1.04</v>
      </c>
      <c r="AA23" s="179">
        <v>1.04</v>
      </c>
      <c r="AB23" s="179">
        <v>1.04</v>
      </c>
      <c r="AC23" s="179">
        <v>1.04</v>
      </c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</row>
    <row r="24" spans="1:40" x14ac:dyDescent="0.3">
      <c r="B24" s="1" t="s">
        <v>163</v>
      </c>
      <c r="G24" s="26" t="s">
        <v>11</v>
      </c>
      <c r="H24" s="31"/>
      <c r="I24" s="18"/>
      <c r="J24" s="18"/>
      <c r="L24" s="179">
        <v>1.03</v>
      </c>
      <c r="M24" s="179">
        <v>1.03</v>
      </c>
      <c r="N24" s="179">
        <v>1.03</v>
      </c>
      <c r="O24" s="179">
        <v>1.03</v>
      </c>
      <c r="P24" s="179">
        <v>1.03</v>
      </c>
      <c r="Q24" s="179">
        <v>1.03</v>
      </c>
      <c r="R24" s="179">
        <v>1.03</v>
      </c>
      <c r="S24" s="179">
        <v>1.03</v>
      </c>
      <c r="T24" s="179">
        <v>1.03</v>
      </c>
      <c r="U24" s="179">
        <v>1.03</v>
      </c>
      <c r="V24" s="179">
        <v>1.03</v>
      </c>
      <c r="W24" s="179">
        <v>1.03</v>
      </c>
      <c r="X24" s="179">
        <v>1.03</v>
      </c>
      <c r="Y24" s="179">
        <v>1.03</v>
      </c>
      <c r="Z24" s="179">
        <v>1.03</v>
      </c>
      <c r="AA24" s="179">
        <v>1.03</v>
      </c>
      <c r="AB24" s="179">
        <v>1.03</v>
      </c>
      <c r="AC24" s="179">
        <v>1.03</v>
      </c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</row>
    <row r="25" spans="1:40" x14ac:dyDescent="0.3">
      <c r="B25" s="1" t="s">
        <v>121</v>
      </c>
      <c r="G25" s="26" t="s">
        <v>11</v>
      </c>
      <c r="H25" s="97"/>
      <c r="I25" s="95"/>
      <c r="J25" s="18"/>
      <c r="L25" s="179">
        <v>1.04</v>
      </c>
      <c r="M25" s="179">
        <v>1.04</v>
      </c>
      <c r="N25" s="179">
        <v>1.04</v>
      </c>
      <c r="O25" s="179">
        <v>1.04</v>
      </c>
      <c r="P25" s="179">
        <v>1.04</v>
      </c>
      <c r="Q25" s="179">
        <v>1.04</v>
      </c>
      <c r="R25" s="179">
        <v>1.04</v>
      </c>
      <c r="S25" s="179">
        <v>1.04</v>
      </c>
      <c r="T25" s="179">
        <v>1.04</v>
      </c>
      <c r="U25" s="179">
        <v>1.04</v>
      </c>
      <c r="V25" s="179">
        <v>1.04</v>
      </c>
      <c r="W25" s="179">
        <v>1.04</v>
      </c>
      <c r="X25" s="179">
        <v>1.04</v>
      </c>
      <c r="Y25" s="179">
        <v>1.04</v>
      </c>
      <c r="Z25" s="179">
        <v>1.04</v>
      </c>
      <c r="AA25" s="179">
        <v>1.04</v>
      </c>
      <c r="AB25" s="179">
        <v>1.04</v>
      </c>
      <c r="AC25" s="179">
        <v>1.04</v>
      </c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</row>
    <row r="26" spans="1:40" x14ac:dyDescent="0.3">
      <c r="B26" s="1" t="s">
        <v>189</v>
      </c>
      <c r="G26" s="26" t="s">
        <v>11</v>
      </c>
      <c r="H26" s="97"/>
      <c r="I26" s="95"/>
      <c r="J26" s="18"/>
      <c r="L26" s="179">
        <v>1.05</v>
      </c>
      <c r="M26" s="179">
        <v>1.05</v>
      </c>
      <c r="N26" s="179">
        <v>1.05</v>
      </c>
      <c r="O26" s="179">
        <v>1.05</v>
      </c>
      <c r="P26" s="179">
        <v>1.05</v>
      </c>
      <c r="Q26" s="179">
        <v>1.05</v>
      </c>
      <c r="R26" s="179">
        <v>1.05</v>
      </c>
      <c r="S26" s="179">
        <v>1.05</v>
      </c>
      <c r="T26" s="179">
        <v>1.05</v>
      </c>
      <c r="U26" s="179">
        <v>1.05</v>
      </c>
      <c r="V26" s="179">
        <v>1.05</v>
      </c>
      <c r="W26" s="179">
        <v>1.05</v>
      </c>
      <c r="X26" s="179">
        <v>1.05</v>
      </c>
      <c r="Y26" s="179">
        <v>1.05</v>
      </c>
      <c r="Z26" s="179">
        <v>1.05</v>
      </c>
      <c r="AA26" s="179">
        <v>1.05</v>
      </c>
      <c r="AB26" s="179">
        <v>1.05</v>
      </c>
      <c r="AC26" s="179">
        <v>1.05</v>
      </c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</row>
    <row r="27" spans="1:40" x14ac:dyDescent="0.3">
      <c r="B27" s="1" t="s">
        <v>368</v>
      </c>
      <c r="G27" s="26" t="s">
        <v>9</v>
      </c>
      <c r="H27" s="97"/>
      <c r="I27" s="95"/>
      <c r="J27" s="18"/>
      <c r="L27" s="178">
        <v>0.21</v>
      </c>
      <c r="M27" s="178">
        <v>0.2</v>
      </c>
      <c r="N27" s="178">
        <v>0.15</v>
      </c>
      <c r="O27" s="178">
        <v>0.11</v>
      </c>
      <c r="P27" s="178">
        <v>0.1</v>
      </c>
      <c r="Q27" s="178">
        <v>0.08</v>
      </c>
      <c r="R27" s="178">
        <v>7.0000000000000007E-2</v>
      </c>
      <c r="S27" s="178">
        <v>7.0000000000000007E-2</v>
      </c>
      <c r="T27" s="178">
        <v>7.0000000000000007E-2</v>
      </c>
      <c r="U27" s="178">
        <v>7.0000000000000007E-2</v>
      </c>
      <c r="V27" s="178">
        <v>7.0000000000000007E-2</v>
      </c>
      <c r="W27" s="178">
        <v>7.0000000000000007E-2</v>
      </c>
      <c r="X27" s="178">
        <v>7.0000000000000007E-2</v>
      </c>
      <c r="Y27" s="178">
        <v>7.0000000000000007E-2</v>
      </c>
      <c r="Z27" s="178">
        <v>7.0000000000000007E-2</v>
      </c>
      <c r="AA27" s="178">
        <v>7.0000000000000007E-2</v>
      </c>
      <c r="AB27" s="178">
        <v>7.0000000000000007E-2</v>
      </c>
      <c r="AC27" s="178">
        <v>7.0000000000000007E-2</v>
      </c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</row>
    <row r="28" spans="1:40" ht="15.75" thickBot="1" x14ac:dyDescent="0.35">
      <c r="H28" s="18"/>
      <c r="I28" s="18"/>
      <c r="J28" s="18"/>
    </row>
    <row r="29" spans="1:40" s="51" customFormat="1" ht="18" customHeight="1" thickTop="1" thickBot="1" x14ac:dyDescent="0.35">
      <c r="A29" s="122"/>
      <c r="B29" s="50" t="s">
        <v>55</v>
      </c>
      <c r="G29" s="52"/>
      <c r="K29" s="53"/>
    </row>
    <row r="30" spans="1:40" ht="15.75" thickTop="1" x14ac:dyDescent="0.3">
      <c r="H30" s="18"/>
      <c r="I30" s="18"/>
      <c r="J30" s="18"/>
    </row>
    <row r="31" spans="1:40" x14ac:dyDescent="0.3">
      <c r="B31" s="1" t="s">
        <v>123</v>
      </c>
      <c r="G31" s="26" t="s">
        <v>9</v>
      </c>
      <c r="L31" s="9">
        <v>0.5</v>
      </c>
      <c r="M31" s="9">
        <v>0.5</v>
      </c>
      <c r="N31" s="9">
        <v>0.5</v>
      </c>
      <c r="O31" s="9">
        <v>0.5</v>
      </c>
      <c r="P31" s="9">
        <v>0.5</v>
      </c>
      <c r="Q31" s="9">
        <v>0.5</v>
      </c>
      <c r="R31" s="9">
        <v>0.5</v>
      </c>
      <c r="S31" s="9">
        <v>0.5</v>
      </c>
      <c r="T31" s="9">
        <v>0.5</v>
      </c>
      <c r="U31" s="9">
        <v>0.5</v>
      </c>
      <c r="V31" s="9">
        <v>0.5</v>
      </c>
      <c r="W31" s="9">
        <v>0.5</v>
      </c>
      <c r="X31" s="9">
        <v>0.5</v>
      </c>
      <c r="Y31" s="9">
        <v>0.5</v>
      </c>
      <c r="Z31" s="9">
        <v>0.5</v>
      </c>
      <c r="AA31" s="9">
        <v>0.5</v>
      </c>
      <c r="AB31" s="9">
        <v>0.5</v>
      </c>
      <c r="AC31" s="9">
        <v>0.5</v>
      </c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</row>
    <row r="32" spans="1:40" x14ac:dyDescent="0.3">
      <c r="B32" s="1" t="s">
        <v>231</v>
      </c>
      <c r="G32" s="26" t="s">
        <v>9</v>
      </c>
      <c r="L32" s="9">
        <v>0.2</v>
      </c>
      <c r="M32" s="9">
        <v>0.2</v>
      </c>
      <c r="N32" s="9">
        <v>0.2</v>
      </c>
      <c r="O32" s="9">
        <v>0.2</v>
      </c>
      <c r="P32" s="9">
        <v>0.2</v>
      </c>
      <c r="Q32" s="9">
        <v>0.2</v>
      </c>
      <c r="R32" s="9">
        <v>0.2</v>
      </c>
      <c r="S32" s="9">
        <v>0.2</v>
      </c>
      <c r="T32" s="9">
        <v>0.2</v>
      </c>
      <c r="U32" s="9">
        <v>0.2</v>
      </c>
      <c r="V32" s="9">
        <v>0.2</v>
      </c>
      <c r="W32" s="9">
        <v>0.2</v>
      </c>
      <c r="X32" s="9">
        <v>0.2</v>
      </c>
      <c r="Y32" s="9">
        <v>0.2</v>
      </c>
      <c r="Z32" s="9">
        <v>0.2</v>
      </c>
      <c r="AA32" s="9">
        <v>0.2</v>
      </c>
      <c r="AB32" s="9">
        <v>0.2</v>
      </c>
      <c r="AC32" s="9">
        <v>0.2</v>
      </c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</row>
    <row r="33" spans="1:40" x14ac:dyDescent="0.3">
      <c r="B33" s="1" t="s">
        <v>124</v>
      </c>
      <c r="G33" s="26" t="s">
        <v>9</v>
      </c>
      <c r="L33" s="9">
        <v>0.2</v>
      </c>
      <c r="M33" s="9">
        <v>0.25</v>
      </c>
      <c r="N33" s="9">
        <v>0.25</v>
      </c>
      <c r="O33" s="9">
        <v>0.25</v>
      </c>
      <c r="P33" s="9">
        <v>0.25</v>
      </c>
      <c r="Q33" s="9">
        <v>0.25</v>
      </c>
      <c r="R33" s="9">
        <v>0.25</v>
      </c>
      <c r="S33" s="9">
        <v>0.25</v>
      </c>
      <c r="T33" s="9">
        <v>0.25</v>
      </c>
      <c r="U33" s="9">
        <v>0.25</v>
      </c>
      <c r="V33" s="9">
        <v>0.25</v>
      </c>
      <c r="W33" s="9">
        <v>0.25</v>
      </c>
      <c r="X33" s="9">
        <v>0.25</v>
      </c>
      <c r="Y33" s="9">
        <v>0.25</v>
      </c>
      <c r="Z33" s="9">
        <v>0.25</v>
      </c>
      <c r="AA33" s="9">
        <v>0.25</v>
      </c>
      <c r="AB33" s="9">
        <v>0.25</v>
      </c>
      <c r="AC33" s="9">
        <v>0.25</v>
      </c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</row>
    <row r="34" spans="1:40" x14ac:dyDescent="0.3">
      <c r="B34" s="1" t="s">
        <v>135</v>
      </c>
      <c r="G34" s="26" t="s">
        <v>9</v>
      </c>
      <c r="L34" s="10">
        <v>2.1999999999999999E-2</v>
      </c>
      <c r="M34" s="10">
        <v>2.1999999999999999E-2</v>
      </c>
      <c r="N34" s="10">
        <v>2.1999999999999999E-2</v>
      </c>
      <c r="O34" s="10">
        <v>2.1999999999999999E-2</v>
      </c>
      <c r="P34" s="10">
        <v>2.1999999999999999E-2</v>
      </c>
      <c r="Q34" s="10">
        <v>2.1999999999999999E-2</v>
      </c>
      <c r="R34" s="10">
        <v>2.1999999999999999E-2</v>
      </c>
      <c r="S34" s="10">
        <v>2.1999999999999999E-2</v>
      </c>
      <c r="T34" s="10">
        <v>2.1999999999999999E-2</v>
      </c>
      <c r="U34" s="10">
        <v>2.1999999999999999E-2</v>
      </c>
      <c r="V34" s="10">
        <v>2.1999999999999999E-2</v>
      </c>
      <c r="W34" s="10">
        <v>2.1999999999999999E-2</v>
      </c>
      <c r="X34" s="10">
        <v>2.1999999999999999E-2</v>
      </c>
      <c r="Y34" s="10">
        <v>2.1999999999999999E-2</v>
      </c>
      <c r="Z34" s="10">
        <v>2.1999999999999999E-2</v>
      </c>
      <c r="AA34" s="10">
        <v>2.1999999999999999E-2</v>
      </c>
      <c r="AB34" s="10">
        <v>2.1999999999999999E-2</v>
      </c>
      <c r="AC34" s="10">
        <v>2.1999999999999999E-2</v>
      </c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</row>
    <row r="35" spans="1:40" x14ac:dyDescent="0.3">
      <c r="B35" s="1" t="s">
        <v>232</v>
      </c>
      <c r="G35" s="26" t="s">
        <v>9</v>
      </c>
      <c r="L35" s="10">
        <v>1.4999999999999999E-2</v>
      </c>
      <c r="M35" s="10">
        <v>1.4999999999999999E-2</v>
      </c>
      <c r="N35" s="10">
        <v>1.4999999999999999E-2</v>
      </c>
      <c r="O35" s="10">
        <v>1.4999999999999999E-2</v>
      </c>
      <c r="P35" s="10">
        <v>1.4999999999999999E-2</v>
      </c>
      <c r="Q35" s="10">
        <v>1.4999999999999999E-2</v>
      </c>
      <c r="R35" s="10">
        <v>1.4999999999999999E-2</v>
      </c>
      <c r="S35" s="10">
        <v>1.4999999999999999E-2</v>
      </c>
      <c r="T35" s="10">
        <v>1.4999999999999999E-2</v>
      </c>
      <c r="U35" s="10">
        <v>1.4999999999999999E-2</v>
      </c>
      <c r="V35" s="10">
        <v>1.4999999999999999E-2</v>
      </c>
      <c r="W35" s="10">
        <v>1.4999999999999999E-2</v>
      </c>
      <c r="X35" s="10">
        <v>1.4999999999999999E-2</v>
      </c>
      <c r="Y35" s="10">
        <v>1.4999999999999999E-2</v>
      </c>
      <c r="Z35" s="10">
        <v>1.4999999999999999E-2</v>
      </c>
      <c r="AA35" s="10">
        <v>1.4999999999999999E-2</v>
      </c>
      <c r="AB35" s="10">
        <v>1.4999999999999999E-2</v>
      </c>
      <c r="AC35" s="10">
        <v>1.4999999999999999E-2</v>
      </c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</row>
    <row r="36" spans="1:40" x14ac:dyDescent="0.3">
      <c r="B36" s="1" t="s">
        <v>233</v>
      </c>
      <c r="G36" s="26" t="s">
        <v>237</v>
      </c>
      <c r="I36" s="18"/>
      <c r="L36" s="123">
        <v>2.5</v>
      </c>
      <c r="M36" s="123">
        <v>2.5</v>
      </c>
      <c r="N36" s="123">
        <v>2.5</v>
      </c>
      <c r="O36" s="123">
        <v>2.5</v>
      </c>
      <c r="P36" s="123">
        <v>2.5</v>
      </c>
      <c r="Q36" s="123">
        <v>2.5</v>
      </c>
      <c r="R36" s="123">
        <v>2.5</v>
      </c>
      <c r="S36" s="123">
        <v>2.5</v>
      </c>
      <c r="T36" s="123">
        <v>2.5</v>
      </c>
      <c r="U36" s="123">
        <v>2.5</v>
      </c>
      <c r="V36" s="123">
        <v>2.5</v>
      </c>
      <c r="W36" s="123">
        <v>2.5</v>
      </c>
      <c r="X36" s="123">
        <v>2.5</v>
      </c>
      <c r="Y36" s="123">
        <v>2.5</v>
      </c>
      <c r="Z36" s="123">
        <v>2.5</v>
      </c>
      <c r="AA36" s="123">
        <v>2.5</v>
      </c>
      <c r="AB36" s="123">
        <v>2.5</v>
      </c>
      <c r="AC36" s="123">
        <v>2.5</v>
      </c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</row>
    <row r="37" spans="1:40" x14ac:dyDescent="0.3">
      <c r="B37" s="1" t="s">
        <v>57</v>
      </c>
      <c r="G37" s="26" t="s">
        <v>9</v>
      </c>
      <c r="L37" s="9">
        <v>0.30199999999999999</v>
      </c>
      <c r="M37" s="9">
        <v>0.30199999999999999</v>
      </c>
      <c r="N37" s="9">
        <v>0.30199999999999999</v>
      </c>
      <c r="O37" s="9">
        <v>0.30199999999999999</v>
      </c>
      <c r="P37" s="9">
        <v>0.30199999999999999</v>
      </c>
      <c r="Q37" s="9">
        <v>0.30199999999999999</v>
      </c>
      <c r="R37" s="9">
        <v>0.30199999999999999</v>
      </c>
      <c r="S37" s="9">
        <v>0.30199999999999999</v>
      </c>
      <c r="T37" s="9">
        <v>0.30199999999999999</v>
      </c>
      <c r="U37" s="9">
        <v>0.30199999999999999</v>
      </c>
      <c r="V37" s="9">
        <v>0.30199999999999999</v>
      </c>
      <c r="W37" s="9">
        <v>0.30199999999999999</v>
      </c>
      <c r="X37" s="9">
        <v>0.30199999999999999</v>
      </c>
      <c r="Y37" s="9">
        <v>0.30199999999999999</v>
      </c>
      <c r="Z37" s="9">
        <v>0.30199999999999999</v>
      </c>
      <c r="AA37" s="9">
        <v>0.30199999999999999</v>
      </c>
      <c r="AB37" s="9">
        <v>0.30199999999999999</v>
      </c>
      <c r="AC37" s="9">
        <v>0.30199999999999999</v>
      </c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1:40" x14ac:dyDescent="0.3">
      <c r="B38" s="1" t="s">
        <v>56</v>
      </c>
      <c r="G38" s="26" t="s">
        <v>9</v>
      </c>
      <c r="L38" s="9">
        <v>0.08</v>
      </c>
      <c r="M38" s="9">
        <v>0.08</v>
      </c>
      <c r="N38" s="9">
        <v>0.08</v>
      </c>
      <c r="O38" s="9">
        <v>0.08</v>
      </c>
      <c r="P38" s="9">
        <v>0.08</v>
      </c>
      <c r="Q38" s="9">
        <v>0.08</v>
      </c>
      <c r="R38" s="9">
        <v>0.08</v>
      </c>
      <c r="S38" s="9">
        <v>0.08</v>
      </c>
      <c r="T38" s="9">
        <v>0.08</v>
      </c>
      <c r="U38" s="9">
        <v>0.08</v>
      </c>
      <c r="V38" s="9">
        <v>0.08</v>
      </c>
      <c r="W38" s="9">
        <v>0.08</v>
      </c>
      <c r="X38" s="9">
        <v>0.08</v>
      </c>
      <c r="Y38" s="9">
        <v>0.08</v>
      </c>
      <c r="Z38" s="9">
        <v>0.08</v>
      </c>
      <c r="AA38" s="9">
        <v>0.08</v>
      </c>
      <c r="AB38" s="9">
        <v>0.08</v>
      </c>
      <c r="AC38" s="9">
        <v>0.08</v>
      </c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</row>
    <row r="39" spans="1:40" x14ac:dyDescent="0.3">
      <c r="B39" s="1" t="s">
        <v>58</v>
      </c>
      <c r="G39" s="26" t="s">
        <v>9</v>
      </c>
      <c r="L39" s="9">
        <v>0.05</v>
      </c>
      <c r="M39" s="9">
        <v>0.05</v>
      </c>
      <c r="N39" s="9">
        <v>0.05</v>
      </c>
      <c r="O39" s="9">
        <v>0.05</v>
      </c>
      <c r="P39" s="9">
        <v>0.05</v>
      </c>
      <c r="Q39" s="9">
        <v>0.05</v>
      </c>
      <c r="R39" s="9">
        <v>0.05</v>
      </c>
      <c r="S39" s="9">
        <v>0.05</v>
      </c>
      <c r="T39" s="9">
        <v>0.05</v>
      </c>
      <c r="U39" s="9">
        <v>0.05</v>
      </c>
      <c r="V39" s="9">
        <v>0.05</v>
      </c>
      <c r="W39" s="9">
        <v>0.05</v>
      </c>
      <c r="X39" s="9">
        <v>0.05</v>
      </c>
      <c r="Y39" s="9">
        <v>0.05</v>
      </c>
      <c r="Z39" s="9">
        <v>0.05</v>
      </c>
      <c r="AA39" s="9">
        <v>0.05</v>
      </c>
      <c r="AB39" s="9">
        <v>0.05</v>
      </c>
      <c r="AC39" s="9">
        <v>0.05</v>
      </c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</row>
    <row r="40" spans="1:40" ht="15.75" thickBot="1" x14ac:dyDescent="0.35">
      <c r="H40" s="18"/>
      <c r="I40" s="18"/>
      <c r="J40" s="18"/>
    </row>
    <row r="41" spans="1:40" s="51" customFormat="1" ht="18" customHeight="1" thickTop="1" thickBot="1" x14ac:dyDescent="0.35">
      <c r="A41" s="122"/>
      <c r="B41" s="50" t="s">
        <v>167</v>
      </c>
      <c r="G41" s="52"/>
      <c r="K41" s="53"/>
    </row>
    <row r="42" spans="1:40" ht="15.75" thickTop="1" x14ac:dyDescent="0.3">
      <c r="H42" s="18"/>
      <c r="I42" s="18"/>
      <c r="J42" s="18"/>
    </row>
    <row r="43" spans="1:40" x14ac:dyDescent="0.3">
      <c r="B43" s="1" t="s">
        <v>169</v>
      </c>
      <c r="G43" s="26" t="s">
        <v>168</v>
      </c>
      <c r="H43" s="85">
        <v>215</v>
      </c>
      <c r="I43" s="18"/>
      <c r="J43" s="18"/>
    </row>
    <row r="44" spans="1:40" x14ac:dyDescent="0.3">
      <c r="H44" s="18"/>
      <c r="I44" s="18"/>
      <c r="J44" s="18"/>
    </row>
    <row r="45" spans="1:40" x14ac:dyDescent="0.3">
      <c r="B45" s="1" t="s">
        <v>180</v>
      </c>
      <c r="G45" s="26" t="s">
        <v>9</v>
      </c>
      <c r="H45" s="9">
        <v>0.3</v>
      </c>
      <c r="I45" s="18"/>
      <c r="J45" s="18"/>
    </row>
    <row r="46" spans="1:40" x14ac:dyDescent="0.3">
      <c r="H46" s="18"/>
      <c r="I46" s="18"/>
      <c r="J46" s="18"/>
    </row>
    <row r="47" spans="1:40" x14ac:dyDescent="0.3">
      <c r="B47" s="1" t="s">
        <v>181</v>
      </c>
      <c r="G47" s="26" t="s">
        <v>9</v>
      </c>
      <c r="H47" s="9">
        <v>0.3</v>
      </c>
      <c r="I47" s="18"/>
      <c r="J47" s="18"/>
    </row>
    <row r="48" spans="1:40" x14ac:dyDescent="0.3">
      <c r="H48" s="18"/>
      <c r="I48" s="18"/>
      <c r="J48" s="18"/>
    </row>
    <row r="49" spans="1:17" x14ac:dyDescent="0.3">
      <c r="B49" s="1" t="s">
        <v>410</v>
      </c>
      <c r="G49" s="26" t="s">
        <v>9</v>
      </c>
      <c r="H49" s="9">
        <v>0.5</v>
      </c>
      <c r="I49" s="18"/>
      <c r="J49" s="18"/>
    </row>
    <row r="50" spans="1:17" x14ac:dyDescent="0.3">
      <c r="H50" s="18"/>
      <c r="I50" s="18"/>
      <c r="J50" s="18"/>
    </row>
    <row r="51" spans="1:17" x14ac:dyDescent="0.3">
      <c r="B51" s="2" t="s">
        <v>170</v>
      </c>
      <c r="H51" s="18"/>
      <c r="I51" s="18"/>
      <c r="J51" s="18"/>
      <c r="K51" s="1"/>
    </row>
    <row r="52" spans="1:17" x14ac:dyDescent="0.3">
      <c r="C52" s="1" t="s">
        <v>171</v>
      </c>
      <c r="G52" s="26" t="s">
        <v>9</v>
      </c>
      <c r="H52" s="9">
        <v>0</v>
      </c>
      <c r="I52" s="18"/>
      <c r="J52" s="18"/>
    </row>
    <row r="53" spans="1:17" x14ac:dyDescent="0.3">
      <c r="C53" s="1" t="s">
        <v>172</v>
      </c>
      <c r="G53" s="26" t="s">
        <v>9</v>
      </c>
      <c r="H53" s="9">
        <v>0.2</v>
      </c>
      <c r="I53" s="18"/>
      <c r="J53" s="18"/>
    </row>
    <row r="54" spans="1:17" x14ac:dyDescent="0.3">
      <c r="C54" s="1" t="s">
        <v>173</v>
      </c>
      <c r="G54" s="26" t="s">
        <v>9</v>
      </c>
      <c r="H54" s="9">
        <v>0.7</v>
      </c>
      <c r="I54" s="18"/>
      <c r="J54" s="18"/>
    </row>
    <row r="55" spans="1:17" x14ac:dyDescent="0.3">
      <c r="C55" s="1" t="s">
        <v>174</v>
      </c>
      <c r="G55" s="26" t="s">
        <v>9</v>
      </c>
      <c r="H55" s="9">
        <v>0.1</v>
      </c>
      <c r="I55" s="18"/>
      <c r="J55" s="18"/>
    </row>
    <row r="56" spans="1:17" x14ac:dyDescent="0.3">
      <c r="H56" s="18"/>
      <c r="I56" s="18"/>
      <c r="J56" s="18"/>
    </row>
    <row r="57" spans="1:17" x14ac:dyDescent="0.3">
      <c r="B57" s="2" t="s">
        <v>175</v>
      </c>
      <c r="H57" s="18"/>
      <c r="I57" s="18"/>
      <c r="J57" s="18"/>
      <c r="K57" s="21">
        <f>YEAR(H11)</f>
        <v>2025</v>
      </c>
      <c r="L57" s="25">
        <f>IF(K57&lt;YEAR($H$12),K57+1,"")</f>
        <v>2026</v>
      </c>
      <c r="M57" s="25" t="str">
        <f t="shared" ref="M57:Q57" si="33">IF(L57&lt;YEAR($H$12),L57+1,"")</f>
        <v/>
      </c>
      <c r="N57" s="25" t="str">
        <f t="shared" si="33"/>
        <v/>
      </c>
      <c r="O57" s="25" t="str">
        <f t="shared" si="33"/>
        <v/>
      </c>
      <c r="P57" s="25" t="str">
        <f t="shared" si="33"/>
        <v/>
      </c>
      <c r="Q57" s="25" t="str">
        <f t="shared" si="33"/>
        <v/>
      </c>
    </row>
    <row r="58" spans="1:17" x14ac:dyDescent="0.3">
      <c r="C58" s="1" t="s">
        <v>171</v>
      </c>
      <c r="G58" s="26" t="s">
        <v>9</v>
      </c>
      <c r="H58" s="175">
        <f>SUM(K58:Q58)</f>
        <v>0</v>
      </c>
      <c r="I58" s="18"/>
      <c r="J58" s="18"/>
      <c r="K58" s="9">
        <v>0</v>
      </c>
      <c r="L58" s="9">
        <v>0</v>
      </c>
      <c r="M58" s="9"/>
      <c r="N58" s="9"/>
      <c r="O58" s="9"/>
      <c r="P58" s="9"/>
      <c r="Q58" s="9"/>
    </row>
    <row r="59" spans="1:17" x14ac:dyDescent="0.3">
      <c r="C59" s="1" t="s">
        <v>172</v>
      </c>
      <c r="G59" s="26" t="s">
        <v>9</v>
      </c>
      <c r="H59" s="175">
        <f>SUM(K59:Q59)</f>
        <v>1</v>
      </c>
      <c r="I59" s="18"/>
      <c r="J59" s="18"/>
      <c r="K59" s="9">
        <v>0.5</v>
      </c>
      <c r="L59" s="9">
        <v>0.5</v>
      </c>
      <c r="M59" s="9"/>
      <c r="N59" s="9"/>
      <c r="O59" s="9"/>
      <c r="P59" s="9"/>
      <c r="Q59" s="9"/>
    </row>
    <row r="60" spans="1:17" x14ac:dyDescent="0.3">
      <c r="C60" s="1" t="s">
        <v>173</v>
      </c>
      <c r="G60" s="26" t="s">
        <v>9</v>
      </c>
      <c r="H60" s="175">
        <f>SUM(K60:Q60)</f>
        <v>1</v>
      </c>
      <c r="I60" s="18"/>
      <c r="J60" s="18"/>
      <c r="K60" s="9">
        <v>0.75</v>
      </c>
      <c r="L60" s="9">
        <v>0.25</v>
      </c>
      <c r="M60" s="9"/>
      <c r="N60" s="9"/>
      <c r="O60" s="9"/>
      <c r="P60" s="9"/>
      <c r="Q60" s="9"/>
    </row>
    <row r="61" spans="1:17" x14ac:dyDescent="0.3">
      <c r="C61" s="1" t="s">
        <v>174</v>
      </c>
      <c r="G61" s="26" t="s">
        <v>9</v>
      </c>
      <c r="H61" s="175">
        <f>SUM(K61:Q61)</f>
        <v>1</v>
      </c>
      <c r="I61" s="18"/>
      <c r="J61" s="18"/>
      <c r="K61" s="9">
        <v>0.25</v>
      </c>
      <c r="L61" s="9">
        <v>0.75</v>
      </c>
      <c r="M61" s="9"/>
      <c r="N61" s="9"/>
      <c r="O61" s="9"/>
      <c r="P61" s="9"/>
      <c r="Q61" s="9"/>
    </row>
    <row r="62" spans="1:17" x14ac:dyDescent="0.3">
      <c r="H62" s="124"/>
      <c r="I62" s="18"/>
      <c r="J62" s="18"/>
    </row>
    <row r="63" spans="1:17" x14ac:dyDescent="0.3">
      <c r="B63" s="2" t="s">
        <v>176</v>
      </c>
      <c r="H63" s="124"/>
      <c r="I63" s="18"/>
      <c r="J63" s="18"/>
      <c r="K63" s="21">
        <f>YEAR(H11)</f>
        <v>2025</v>
      </c>
      <c r="L63" s="25">
        <f>IF(K63&lt;YEAR($H$12),K63+1,"")</f>
        <v>2026</v>
      </c>
      <c r="M63" s="25" t="str">
        <f t="shared" ref="M63:Q63" si="34">IF(L63&lt;YEAR($H$12),L63+1,"")</f>
        <v/>
      </c>
      <c r="N63" s="25" t="str">
        <f t="shared" si="34"/>
        <v/>
      </c>
      <c r="O63" s="25" t="str">
        <f t="shared" si="34"/>
        <v/>
      </c>
      <c r="P63" s="25" t="str">
        <f t="shared" si="34"/>
        <v/>
      </c>
      <c r="Q63" s="25" t="str">
        <f t="shared" si="34"/>
        <v/>
      </c>
    </row>
    <row r="64" spans="1:17" x14ac:dyDescent="0.3">
      <c r="A64" s="18" t="s">
        <v>161</v>
      </c>
      <c r="C64" s="1" t="s">
        <v>171</v>
      </c>
      <c r="G64" s="26" t="s">
        <v>9</v>
      </c>
      <c r="H64" s="175">
        <f>SUM(K64:Q64)</f>
        <v>0</v>
      </c>
      <c r="I64" s="18"/>
      <c r="J64" s="18"/>
      <c r="K64" s="9">
        <v>0</v>
      </c>
      <c r="L64" s="9">
        <v>0</v>
      </c>
      <c r="M64" s="9"/>
      <c r="N64" s="9"/>
      <c r="O64" s="9"/>
      <c r="P64" s="9"/>
      <c r="Q64" s="9"/>
    </row>
    <row r="65" spans="1:28" x14ac:dyDescent="0.3">
      <c r="A65" s="18" t="s">
        <v>162</v>
      </c>
      <c r="C65" s="1" t="s">
        <v>172</v>
      </c>
      <c r="G65" s="26" t="s">
        <v>9</v>
      </c>
      <c r="H65" s="175">
        <f>SUM(K65:Q65)</f>
        <v>1</v>
      </c>
      <c r="I65" s="18"/>
      <c r="J65" s="18"/>
      <c r="K65" s="9">
        <v>0.5</v>
      </c>
      <c r="L65" s="9">
        <v>0.5</v>
      </c>
      <c r="M65" s="9"/>
      <c r="N65" s="9"/>
      <c r="O65" s="9"/>
      <c r="P65" s="9"/>
      <c r="Q65" s="9"/>
    </row>
    <row r="66" spans="1:28" x14ac:dyDescent="0.3">
      <c r="A66" s="18" t="s">
        <v>162</v>
      </c>
      <c r="C66" s="1" t="s">
        <v>173</v>
      </c>
      <c r="G66" s="26" t="s">
        <v>9</v>
      </c>
      <c r="H66" s="175">
        <f>SUM(K66:Q66)</f>
        <v>1</v>
      </c>
      <c r="I66" s="18"/>
      <c r="J66" s="18"/>
      <c r="K66" s="9">
        <v>0.5</v>
      </c>
      <c r="L66" s="9">
        <v>0.5</v>
      </c>
      <c r="M66" s="9"/>
      <c r="N66" s="9"/>
      <c r="O66" s="9"/>
      <c r="P66" s="9"/>
      <c r="Q66" s="9"/>
    </row>
    <row r="67" spans="1:28" x14ac:dyDescent="0.3">
      <c r="A67" s="18" t="s">
        <v>162</v>
      </c>
      <c r="C67" s="1" t="s">
        <v>174</v>
      </c>
      <c r="G67" s="26" t="s">
        <v>9</v>
      </c>
      <c r="H67" s="175">
        <f>SUM(K67:Q67)</f>
        <v>1</v>
      </c>
      <c r="I67" s="18"/>
      <c r="J67" s="18"/>
      <c r="K67" s="9">
        <v>0.5</v>
      </c>
      <c r="L67" s="9">
        <v>0.5</v>
      </c>
      <c r="M67" s="9"/>
      <c r="N67" s="9"/>
      <c r="O67" s="9"/>
      <c r="P67" s="9"/>
      <c r="Q67" s="9"/>
    </row>
    <row r="68" spans="1:28" x14ac:dyDescent="0.3">
      <c r="H68" s="18"/>
      <c r="I68" s="18"/>
      <c r="J68" s="18"/>
    </row>
    <row r="69" spans="1:28" x14ac:dyDescent="0.3">
      <c r="B69" s="2" t="s">
        <v>126</v>
      </c>
      <c r="H69" s="18"/>
      <c r="I69" s="18"/>
      <c r="J69" s="18"/>
    </row>
    <row r="70" spans="1:28" x14ac:dyDescent="0.3">
      <c r="C70" s="1" t="s">
        <v>172</v>
      </c>
      <c r="G70" s="26" t="s">
        <v>33</v>
      </c>
      <c r="H70" s="115">
        <v>12</v>
      </c>
      <c r="I70" s="18"/>
      <c r="J70" s="18"/>
    </row>
    <row r="71" spans="1:28" x14ac:dyDescent="0.3">
      <c r="C71" s="1" t="s">
        <v>173</v>
      </c>
      <c r="G71" s="26" t="s">
        <v>33</v>
      </c>
      <c r="H71" s="115">
        <v>5</v>
      </c>
      <c r="I71" s="18"/>
      <c r="J71" s="18"/>
    </row>
    <row r="72" spans="1:28" x14ac:dyDescent="0.3">
      <c r="C72" s="1" t="s">
        <v>174</v>
      </c>
      <c r="G72" s="26" t="s">
        <v>33</v>
      </c>
      <c r="H72" s="115">
        <v>10</v>
      </c>
      <c r="I72" s="18"/>
      <c r="J72" s="18"/>
    </row>
    <row r="73" spans="1:28" x14ac:dyDescent="0.3">
      <c r="H73" s="18"/>
      <c r="I73" s="18"/>
      <c r="J73" s="18"/>
    </row>
    <row r="74" spans="1:28" x14ac:dyDescent="0.3">
      <c r="B74" s="2" t="s">
        <v>188</v>
      </c>
      <c r="H74" s="18"/>
      <c r="I74" s="18"/>
      <c r="J74" s="18"/>
      <c r="P74" s="185"/>
      <c r="Y74" s="185"/>
    </row>
    <row r="75" spans="1:28" x14ac:dyDescent="0.3">
      <c r="C75" s="1" t="s">
        <v>182</v>
      </c>
      <c r="G75" s="26" t="s">
        <v>146</v>
      </c>
      <c r="H75" s="18"/>
      <c r="I75" s="18"/>
      <c r="J75" s="18"/>
      <c r="K75" s="157">
        <v>75000</v>
      </c>
      <c r="L75" s="157">
        <v>150000</v>
      </c>
      <c r="M75" s="157">
        <v>225000</v>
      </c>
      <c r="N75" s="157">
        <v>300000</v>
      </c>
      <c r="O75" s="157">
        <v>350000</v>
      </c>
      <c r="P75" s="157">
        <v>425000</v>
      </c>
      <c r="Q75" s="157">
        <v>500000</v>
      </c>
      <c r="R75" s="157">
        <v>575000</v>
      </c>
      <c r="S75" s="157">
        <v>650000</v>
      </c>
      <c r="T75" s="157">
        <v>700000</v>
      </c>
      <c r="U75" s="157">
        <v>775000</v>
      </c>
      <c r="V75" s="157">
        <v>850000</v>
      </c>
      <c r="W75" s="157">
        <v>925000</v>
      </c>
      <c r="X75" s="157">
        <v>1000000</v>
      </c>
      <c r="Y75" s="157">
        <v>1075000</v>
      </c>
      <c r="Z75" s="157">
        <v>1150000</v>
      </c>
      <c r="AA75" s="157">
        <v>1225000</v>
      </c>
      <c r="AB75" s="157">
        <v>1300000</v>
      </c>
    </row>
    <row r="76" spans="1:28" x14ac:dyDescent="0.3">
      <c r="C76" s="1" t="s">
        <v>187</v>
      </c>
      <c r="G76" s="26" t="s">
        <v>48</v>
      </c>
      <c r="H76" s="18"/>
      <c r="I76" s="18"/>
      <c r="J76" s="18"/>
      <c r="K76" s="69" t="s">
        <v>183</v>
      </c>
      <c r="L76" s="69" t="s">
        <v>183</v>
      </c>
      <c r="M76" s="69" t="s">
        <v>183</v>
      </c>
      <c r="N76" s="69" t="s">
        <v>183</v>
      </c>
      <c r="O76" s="69" t="s">
        <v>184</v>
      </c>
      <c r="P76" s="69" t="s">
        <v>183</v>
      </c>
      <c r="Q76" s="69" t="s">
        <v>183</v>
      </c>
      <c r="R76" s="69" t="s">
        <v>183</v>
      </c>
      <c r="S76" s="69" t="s">
        <v>183</v>
      </c>
      <c r="T76" s="69" t="s">
        <v>184</v>
      </c>
      <c r="U76" s="69" t="s">
        <v>183</v>
      </c>
      <c r="V76" s="69" t="s">
        <v>183</v>
      </c>
      <c r="W76" s="69" t="s">
        <v>185</v>
      </c>
      <c r="X76" s="69" t="s">
        <v>183</v>
      </c>
      <c r="Y76" s="69" t="s">
        <v>183</v>
      </c>
      <c r="Z76" s="69" t="s">
        <v>183</v>
      </c>
      <c r="AA76" s="69" t="s">
        <v>183</v>
      </c>
      <c r="AB76" s="69" t="s">
        <v>183</v>
      </c>
    </row>
    <row r="77" spans="1:28" x14ac:dyDescent="0.3">
      <c r="H77" s="18"/>
      <c r="I77" s="18"/>
      <c r="J77" s="18"/>
    </row>
    <row r="78" spans="1:28" x14ac:dyDescent="0.3">
      <c r="A78" s="18" t="s">
        <v>162</v>
      </c>
      <c r="B78" s="2" t="s">
        <v>259</v>
      </c>
      <c r="H78" s="18"/>
      <c r="I78" s="18"/>
      <c r="J78" s="18"/>
    </row>
    <row r="79" spans="1:28" x14ac:dyDescent="0.3">
      <c r="C79" s="1" t="s">
        <v>183</v>
      </c>
      <c r="G79" s="26" t="s">
        <v>168</v>
      </c>
      <c r="H79" s="116">
        <v>8.5</v>
      </c>
      <c r="I79" s="18"/>
      <c r="J79" s="18"/>
    </row>
    <row r="80" spans="1:28" x14ac:dyDescent="0.3">
      <c r="C80" s="1" t="s">
        <v>184</v>
      </c>
      <c r="G80" s="26" t="s">
        <v>168</v>
      </c>
      <c r="H80" s="116">
        <v>15.3</v>
      </c>
      <c r="I80" s="18"/>
      <c r="J80" s="18"/>
    </row>
    <row r="81" spans="1:28" x14ac:dyDescent="0.3">
      <c r="C81" s="1" t="s">
        <v>185</v>
      </c>
      <c r="G81" s="26" t="s">
        <v>168</v>
      </c>
      <c r="H81" s="116">
        <v>20.399999999999999</v>
      </c>
      <c r="I81" s="18"/>
      <c r="J81" s="18"/>
    </row>
    <row r="82" spans="1:28" x14ac:dyDescent="0.3">
      <c r="H82" s="18"/>
      <c r="I82" s="18"/>
      <c r="J82" s="18"/>
    </row>
    <row r="83" spans="1:28" x14ac:dyDescent="0.3">
      <c r="B83" s="2" t="s">
        <v>256</v>
      </c>
      <c r="H83" s="18"/>
      <c r="I83" s="18"/>
      <c r="J83" s="18"/>
    </row>
    <row r="84" spans="1:28" x14ac:dyDescent="0.3">
      <c r="C84" s="1" t="s">
        <v>257</v>
      </c>
      <c r="G84" s="26" t="s">
        <v>258</v>
      </c>
      <c r="H84" s="18"/>
      <c r="I84" s="18"/>
      <c r="J84" s="18"/>
      <c r="K84" s="157">
        <v>9000</v>
      </c>
      <c r="L84" s="157">
        <v>18000</v>
      </c>
      <c r="M84" s="157">
        <v>27000</v>
      </c>
      <c r="N84" s="157">
        <v>36000</v>
      </c>
      <c r="O84" s="157">
        <v>45000</v>
      </c>
      <c r="P84" s="157">
        <v>54000</v>
      </c>
      <c r="Q84" s="157">
        <v>63000</v>
      </c>
      <c r="R84" s="157">
        <v>72000</v>
      </c>
      <c r="S84" s="157">
        <v>81000</v>
      </c>
      <c r="T84" s="157">
        <v>90000</v>
      </c>
      <c r="U84" s="157">
        <v>99000</v>
      </c>
      <c r="V84" s="157">
        <v>108000</v>
      </c>
      <c r="W84" s="157">
        <v>117000</v>
      </c>
      <c r="X84" s="157">
        <v>126000</v>
      </c>
      <c r="Y84" s="157">
        <v>135000</v>
      </c>
      <c r="Z84" s="157">
        <v>144000</v>
      </c>
      <c r="AA84" s="157">
        <v>153000</v>
      </c>
      <c r="AB84" s="157">
        <v>162000</v>
      </c>
    </row>
    <row r="85" spans="1:28" x14ac:dyDescent="0.3">
      <c r="C85" s="1" t="s">
        <v>187</v>
      </c>
      <c r="G85" s="26" t="s">
        <v>48</v>
      </c>
      <c r="H85" s="18"/>
      <c r="I85" s="18"/>
      <c r="J85" s="18"/>
      <c r="K85" s="69" t="s">
        <v>183</v>
      </c>
      <c r="L85" s="69" t="s">
        <v>183</v>
      </c>
      <c r="M85" s="69" t="s">
        <v>183</v>
      </c>
      <c r="N85" s="69" t="s">
        <v>183</v>
      </c>
      <c r="O85" s="69" t="s">
        <v>183</v>
      </c>
      <c r="P85" s="69" t="s">
        <v>184</v>
      </c>
      <c r="Q85" s="69" t="s">
        <v>183</v>
      </c>
      <c r="R85" s="69" t="s">
        <v>185</v>
      </c>
      <c r="S85" s="69" t="s">
        <v>183</v>
      </c>
      <c r="T85" s="69" t="s">
        <v>185</v>
      </c>
      <c r="U85" s="69" t="s">
        <v>183</v>
      </c>
      <c r="V85" s="69" t="s">
        <v>183</v>
      </c>
      <c r="W85" s="69" t="s">
        <v>183</v>
      </c>
      <c r="X85" s="69" t="s">
        <v>183</v>
      </c>
      <c r="Y85" s="69" t="s">
        <v>183</v>
      </c>
      <c r="Z85" s="69" t="s">
        <v>184</v>
      </c>
      <c r="AA85" s="69" t="s">
        <v>183</v>
      </c>
      <c r="AB85" s="69" t="s">
        <v>183</v>
      </c>
    </row>
    <row r="86" spans="1:28" x14ac:dyDescent="0.3">
      <c r="C86" s="1" t="s">
        <v>277</v>
      </c>
      <c r="G86" s="26" t="s">
        <v>9</v>
      </c>
      <c r="H86" s="9">
        <v>0.95</v>
      </c>
      <c r="I86" s="18"/>
      <c r="J86" s="18"/>
    </row>
    <row r="87" spans="1:28" x14ac:dyDescent="0.3">
      <c r="H87" s="18"/>
      <c r="I87" s="18"/>
      <c r="J87" s="18"/>
    </row>
    <row r="88" spans="1:28" x14ac:dyDescent="0.3">
      <c r="A88" s="18" t="s">
        <v>162</v>
      </c>
      <c r="B88" s="2" t="s">
        <v>260</v>
      </c>
      <c r="H88" s="18"/>
      <c r="I88" s="18"/>
      <c r="J88" s="18"/>
    </row>
    <row r="89" spans="1:28" x14ac:dyDescent="0.3">
      <c r="C89" s="1" t="s">
        <v>183</v>
      </c>
      <c r="G89" s="26" t="s">
        <v>168</v>
      </c>
      <c r="H89" s="116">
        <v>2.5</v>
      </c>
      <c r="I89" s="18"/>
      <c r="J89" s="18"/>
    </row>
    <row r="90" spans="1:28" x14ac:dyDescent="0.3">
      <c r="C90" s="1" t="s">
        <v>184</v>
      </c>
      <c r="G90" s="26" t="s">
        <v>168</v>
      </c>
      <c r="H90" s="116">
        <v>4</v>
      </c>
      <c r="I90" s="18"/>
      <c r="J90" s="18"/>
    </row>
    <row r="91" spans="1:28" x14ac:dyDescent="0.3">
      <c r="C91" s="1" t="s">
        <v>185</v>
      </c>
      <c r="G91" s="26" t="s">
        <v>168</v>
      </c>
      <c r="H91" s="116">
        <v>15</v>
      </c>
      <c r="I91" s="18"/>
      <c r="J91" s="18"/>
    </row>
    <row r="92" spans="1:28" x14ac:dyDescent="0.3">
      <c r="H92" s="18"/>
      <c r="I92" s="18"/>
      <c r="J92" s="18"/>
    </row>
    <row r="93" spans="1:28" x14ac:dyDescent="0.3">
      <c r="B93" s="2" t="s">
        <v>261</v>
      </c>
      <c r="H93" s="18"/>
      <c r="I93" s="18"/>
      <c r="J93" s="18"/>
      <c r="K93" s="1"/>
    </row>
    <row r="94" spans="1:28" x14ac:dyDescent="0.3">
      <c r="C94" s="1" t="s">
        <v>262</v>
      </c>
      <c r="G94" s="26" t="s">
        <v>33</v>
      </c>
      <c r="H94" s="18"/>
      <c r="I94" s="18"/>
      <c r="J94" s="18"/>
      <c r="K94" s="157">
        <v>1</v>
      </c>
      <c r="L94" s="157">
        <v>2</v>
      </c>
      <c r="M94" s="157">
        <v>3</v>
      </c>
      <c r="N94" s="157">
        <v>4</v>
      </c>
      <c r="O94" s="157">
        <v>5</v>
      </c>
      <c r="P94" s="157">
        <v>6</v>
      </c>
      <c r="Q94" s="157">
        <v>7</v>
      </c>
      <c r="R94" s="157">
        <v>8</v>
      </c>
      <c r="S94" s="157">
        <v>9</v>
      </c>
      <c r="T94" s="157">
        <v>10</v>
      </c>
      <c r="U94" s="157">
        <v>11</v>
      </c>
      <c r="V94" s="157">
        <v>12</v>
      </c>
      <c r="W94" s="157">
        <v>13</v>
      </c>
      <c r="X94" s="157">
        <v>14</v>
      </c>
      <c r="Y94" s="157">
        <v>15</v>
      </c>
      <c r="Z94" s="157">
        <v>16</v>
      </c>
      <c r="AA94" s="157">
        <v>17</v>
      </c>
      <c r="AB94" s="157">
        <v>18</v>
      </c>
    </row>
    <row r="95" spans="1:28" x14ac:dyDescent="0.3">
      <c r="C95" s="1" t="s">
        <v>187</v>
      </c>
      <c r="G95" s="26" t="s">
        <v>48</v>
      </c>
      <c r="H95" s="18"/>
      <c r="I95" s="18"/>
      <c r="J95" s="18"/>
      <c r="K95" s="69" t="s">
        <v>183</v>
      </c>
      <c r="L95" s="69" t="s">
        <v>183</v>
      </c>
      <c r="M95" s="69" t="s">
        <v>183</v>
      </c>
      <c r="N95" s="69" t="s">
        <v>183</v>
      </c>
      <c r="O95" s="69" t="s">
        <v>184</v>
      </c>
      <c r="P95" s="69" t="s">
        <v>185</v>
      </c>
      <c r="Q95" s="69" t="s">
        <v>183</v>
      </c>
      <c r="R95" s="69" t="s">
        <v>183</v>
      </c>
      <c r="S95" s="69" t="s">
        <v>183</v>
      </c>
      <c r="T95" s="69" t="s">
        <v>185</v>
      </c>
      <c r="U95" s="69" t="s">
        <v>183</v>
      </c>
      <c r="V95" s="69" t="s">
        <v>183</v>
      </c>
      <c r="W95" s="69" t="s">
        <v>183</v>
      </c>
      <c r="X95" s="69" t="s">
        <v>183</v>
      </c>
      <c r="Y95" s="69" t="s">
        <v>183</v>
      </c>
      <c r="Z95" s="69" t="s">
        <v>183</v>
      </c>
      <c r="AA95" s="69" t="s">
        <v>183</v>
      </c>
      <c r="AB95" s="69" t="s">
        <v>183</v>
      </c>
    </row>
    <row r="96" spans="1:28" x14ac:dyDescent="0.3">
      <c r="H96" s="18"/>
      <c r="I96" s="18"/>
      <c r="J96" s="18"/>
    </row>
    <row r="97" spans="1:11" x14ac:dyDescent="0.3">
      <c r="A97" s="18" t="s">
        <v>161</v>
      </c>
      <c r="B97" s="2" t="s">
        <v>278</v>
      </c>
      <c r="H97" s="18"/>
      <c r="I97" s="18"/>
      <c r="J97" s="18"/>
    </row>
    <row r="98" spans="1:11" x14ac:dyDescent="0.3">
      <c r="C98" s="1" t="s">
        <v>183</v>
      </c>
      <c r="G98" s="26" t="s">
        <v>168</v>
      </c>
      <c r="H98" s="116">
        <v>1.2</v>
      </c>
      <c r="I98" s="18"/>
      <c r="J98" s="18"/>
    </row>
    <row r="99" spans="1:11" x14ac:dyDescent="0.3">
      <c r="C99" s="1" t="s">
        <v>184</v>
      </c>
      <c r="G99" s="26" t="s">
        <v>168</v>
      </c>
      <c r="H99" s="116">
        <v>2.5</v>
      </c>
      <c r="I99" s="18"/>
      <c r="J99" s="18"/>
    </row>
    <row r="100" spans="1:11" x14ac:dyDescent="0.3">
      <c r="C100" s="1" t="s">
        <v>185</v>
      </c>
      <c r="G100" s="26" t="s">
        <v>168</v>
      </c>
      <c r="H100" s="116">
        <v>3.4</v>
      </c>
      <c r="I100" s="18"/>
      <c r="J100" s="18"/>
    </row>
    <row r="101" spans="1:11" x14ac:dyDescent="0.3">
      <c r="H101" s="18"/>
      <c r="I101" s="18"/>
      <c r="J101" s="18"/>
    </row>
    <row r="102" spans="1:11" x14ac:dyDescent="0.3">
      <c r="B102" s="1" t="s">
        <v>238</v>
      </c>
      <c r="G102" s="26" t="s">
        <v>239</v>
      </c>
      <c r="H102" s="116">
        <v>1500</v>
      </c>
      <c r="I102" s="18"/>
      <c r="J102" s="18"/>
    </row>
    <row r="103" spans="1:11" x14ac:dyDescent="0.3">
      <c r="H103" s="18"/>
      <c r="I103" s="18"/>
      <c r="J103" s="18"/>
    </row>
    <row r="104" spans="1:11" x14ac:dyDescent="0.3">
      <c r="A104" s="18" t="s">
        <v>161</v>
      </c>
      <c r="B104" s="1" t="s">
        <v>332</v>
      </c>
      <c r="G104" s="26" t="s">
        <v>168</v>
      </c>
      <c r="H104" s="116">
        <v>0</v>
      </c>
      <c r="I104" s="18"/>
      <c r="J104" s="18"/>
    </row>
    <row r="105" spans="1:11" ht="15.75" thickBot="1" x14ac:dyDescent="0.35">
      <c r="H105" s="18"/>
      <c r="I105" s="18"/>
      <c r="J105" s="18"/>
    </row>
    <row r="106" spans="1:11" s="51" customFormat="1" ht="18" customHeight="1" thickTop="1" thickBot="1" x14ac:dyDescent="0.35">
      <c r="A106" s="122"/>
      <c r="B106" s="50" t="s">
        <v>234</v>
      </c>
      <c r="G106" s="52"/>
      <c r="K106" s="53"/>
    </row>
    <row r="107" spans="1:11" ht="15.75" thickTop="1" x14ac:dyDescent="0.3">
      <c r="H107" s="18"/>
      <c r="I107" s="18"/>
      <c r="J107" s="18"/>
    </row>
    <row r="108" spans="1:11" x14ac:dyDescent="0.3">
      <c r="B108" s="1" t="s">
        <v>190</v>
      </c>
      <c r="G108" s="26" t="s">
        <v>279</v>
      </c>
      <c r="H108" s="116">
        <v>10</v>
      </c>
      <c r="I108" s="18"/>
      <c r="J108" s="18"/>
    </row>
    <row r="109" spans="1:11" x14ac:dyDescent="0.3">
      <c r="H109" s="18"/>
      <c r="I109" s="18"/>
      <c r="J109" s="18"/>
    </row>
    <row r="110" spans="1:11" x14ac:dyDescent="0.3">
      <c r="B110" s="1" t="s">
        <v>280</v>
      </c>
      <c r="G110" s="26" t="s">
        <v>281</v>
      </c>
      <c r="H110" s="116">
        <v>2</v>
      </c>
      <c r="I110" s="18"/>
      <c r="J110" s="18"/>
    </row>
    <row r="111" spans="1:11" x14ac:dyDescent="0.3">
      <c r="I111" s="18"/>
      <c r="J111" s="18"/>
    </row>
    <row r="112" spans="1:11" x14ac:dyDescent="0.3">
      <c r="B112" s="1" t="s">
        <v>282</v>
      </c>
      <c r="G112" s="26" t="s">
        <v>258</v>
      </c>
      <c r="H112" s="116">
        <v>11</v>
      </c>
      <c r="I112" s="18"/>
      <c r="J112" s="18"/>
    </row>
    <row r="113" spans="2:27" x14ac:dyDescent="0.3">
      <c r="H113" s="18"/>
      <c r="I113" s="18"/>
      <c r="J113" s="18"/>
    </row>
    <row r="114" spans="2:27" x14ac:dyDescent="0.3">
      <c r="B114" s="1" t="s">
        <v>402</v>
      </c>
      <c r="G114" s="26" t="s">
        <v>9</v>
      </c>
      <c r="H114" s="9">
        <v>0.05</v>
      </c>
      <c r="I114" s="18"/>
      <c r="J114" s="18"/>
    </row>
    <row r="115" spans="2:27" x14ac:dyDescent="0.3">
      <c r="H115" s="18"/>
      <c r="I115" s="18"/>
      <c r="J115" s="18"/>
    </row>
    <row r="116" spans="2:27" x14ac:dyDescent="0.3">
      <c r="B116" s="2" t="s">
        <v>240</v>
      </c>
      <c r="G116" s="1"/>
      <c r="I116" s="18"/>
      <c r="J116" s="18"/>
    </row>
    <row r="117" spans="2:27" x14ac:dyDescent="0.3">
      <c r="C117" s="1" t="s">
        <v>191</v>
      </c>
      <c r="G117" s="26" t="s">
        <v>241</v>
      </c>
      <c r="H117" s="116">
        <v>50</v>
      </c>
      <c r="I117" s="18"/>
      <c r="J117" s="18"/>
    </row>
    <row r="118" spans="2:27" x14ac:dyDescent="0.3">
      <c r="C118" s="1" t="s">
        <v>192</v>
      </c>
      <c r="G118" s="26" t="s">
        <v>241</v>
      </c>
      <c r="H118" s="116">
        <v>50</v>
      </c>
      <c r="I118" s="18"/>
      <c r="J118" s="18"/>
    </row>
    <row r="119" spans="2:27" x14ac:dyDescent="0.3">
      <c r="C119" s="1" t="s">
        <v>193</v>
      </c>
      <c r="G119" s="26" t="s">
        <v>241</v>
      </c>
      <c r="H119" s="116">
        <v>50</v>
      </c>
      <c r="I119" s="18"/>
      <c r="J119" s="18"/>
    </row>
    <row r="120" spans="2:27" x14ac:dyDescent="0.3">
      <c r="C120" s="1" t="s">
        <v>194</v>
      </c>
      <c r="G120" s="26" t="s">
        <v>241</v>
      </c>
      <c r="H120" s="116">
        <v>25</v>
      </c>
      <c r="I120" s="18"/>
      <c r="J120" s="18"/>
    </row>
    <row r="121" spans="2:27" x14ac:dyDescent="0.3">
      <c r="H121" s="18"/>
      <c r="I121" s="18"/>
      <c r="J121" s="18"/>
    </row>
    <row r="122" spans="2:27" x14ac:dyDescent="0.3">
      <c r="B122" s="2" t="s">
        <v>242</v>
      </c>
      <c r="H122" s="18"/>
      <c r="I122" s="18"/>
      <c r="J122" s="18"/>
      <c r="K122" s="21">
        <f>YEAR(H12)</f>
        <v>2026</v>
      </c>
      <c r="L122" s="25">
        <f>IF(K122&lt;YEAR($H$14),K122+1,"")</f>
        <v>2027</v>
      </c>
      <c r="M122" s="25">
        <f t="shared" ref="M122:AA122" si="35">IF(L122&lt;YEAR($H$14),L122+1,"")</f>
        <v>2028</v>
      </c>
      <c r="N122" s="25">
        <f t="shared" si="35"/>
        <v>2029</v>
      </c>
      <c r="O122" s="25">
        <f t="shared" si="35"/>
        <v>2030</v>
      </c>
      <c r="P122" s="25">
        <f t="shared" si="35"/>
        <v>2031</v>
      </c>
      <c r="Q122" s="25">
        <f t="shared" si="35"/>
        <v>2032</v>
      </c>
      <c r="R122" s="25">
        <f t="shared" si="35"/>
        <v>2033</v>
      </c>
      <c r="S122" s="25">
        <f t="shared" si="35"/>
        <v>2034</v>
      </c>
      <c r="T122" s="25">
        <f t="shared" si="35"/>
        <v>2035</v>
      </c>
      <c r="U122" s="25">
        <f t="shared" si="35"/>
        <v>2036</v>
      </c>
      <c r="V122" s="25">
        <f t="shared" si="35"/>
        <v>2037</v>
      </c>
      <c r="W122" s="25">
        <f>IF(V122&lt;YEAR($H$14),V122+1,"")</f>
        <v>2038</v>
      </c>
      <c r="X122" s="25">
        <f t="shared" si="35"/>
        <v>2039</v>
      </c>
      <c r="Y122" s="25">
        <f t="shared" si="35"/>
        <v>2040</v>
      </c>
      <c r="Z122" s="25">
        <f>IF(Y122&lt;YEAR($H$14),Y122+1,"")</f>
        <v>2041</v>
      </c>
      <c r="AA122" s="25" t="str">
        <f t="shared" si="35"/>
        <v/>
      </c>
    </row>
    <row r="123" spans="2:27" x14ac:dyDescent="0.3">
      <c r="C123" s="1" t="s">
        <v>191</v>
      </c>
      <c r="G123" s="26" t="s">
        <v>9</v>
      </c>
      <c r="H123" s="18"/>
      <c r="I123" s="18"/>
      <c r="J123" s="18"/>
      <c r="K123" s="9">
        <v>0.25</v>
      </c>
      <c r="L123" s="9">
        <v>0.25</v>
      </c>
      <c r="M123" s="9">
        <v>0.25</v>
      </c>
      <c r="N123" s="9">
        <v>0.25</v>
      </c>
      <c r="O123" s="9">
        <v>0.25</v>
      </c>
      <c r="P123" s="9">
        <v>0.25</v>
      </c>
      <c r="Q123" s="9">
        <v>0.25</v>
      </c>
      <c r="R123" s="9">
        <v>0.25</v>
      </c>
      <c r="S123" s="9">
        <v>0.25</v>
      </c>
      <c r="T123" s="9">
        <v>0.25</v>
      </c>
      <c r="U123" s="9">
        <v>0.25</v>
      </c>
      <c r="V123" s="9">
        <v>0.25</v>
      </c>
      <c r="W123" s="9">
        <v>0.25</v>
      </c>
      <c r="X123" s="9">
        <v>0.25</v>
      </c>
      <c r="Y123" s="9">
        <v>0.25</v>
      </c>
      <c r="Z123" s="9">
        <v>0.25</v>
      </c>
      <c r="AA123" s="9"/>
    </row>
    <row r="124" spans="2:27" x14ac:dyDescent="0.3">
      <c r="C124" s="1" t="s">
        <v>192</v>
      </c>
      <c r="G124" s="26" t="s">
        <v>9</v>
      </c>
      <c r="H124" s="18"/>
      <c r="I124" s="18"/>
      <c r="J124" s="18"/>
      <c r="K124" s="9">
        <v>0.25</v>
      </c>
      <c r="L124" s="9">
        <v>0.25</v>
      </c>
      <c r="M124" s="9">
        <v>0.25</v>
      </c>
      <c r="N124" s="9">
        <v>0.25</v>
      </c>
      <c r="O124" s="9">
        <v>0.25</v>
      </c>
      <c r="P124" s="9">
        <v>0.25</v>
      </c>
      <c r="Q124" s="9">
        <v>0.25</v>
      </c>
      <c r="R124" s="9">
        <v>0.25</v>
      </c>
      <c r="S124" s="9">
        <v>0.25</v>
      </c>
      <c r="T124" s="9">
        <v>0.25</v>
      </c>
      <c r="U124" s="9">
        <v>0.25</v>
      </c>
      <c r="V124" s="9">
        <v>0.25</v>
      </c>
      <c r="W124" s="9">
        <v>0.25</v>
      </c>
      <c r="X124" s="9">
        <v>0.25</v>
      </c>
      <c r="Y124" s="9">
        <v>0.25</v>
      </c>
      <c r="Z124" s="9">
        <v>0.25</v>
      </c>
      <c r="AA124" s="9"/>
    </row>
    <row r="125" spans="2:27" x14ac:dyDescent="0.3">
      <c r="C125" s="1" t="s">
        <v>193</v>
      </c>
      <c r="G125" s="26" t="s">
        <v>9</v>
      </c>
      <c r="H125" s="18"/>
      <c r="I125" s="18"/>
      <c r="J125" s="18"/>
      <c r="K125" s="9">
        <v>0.25</v>
      </c>
      <c r="L125" s="9">
        <v>0.25</v>
      </c>
      <c r="M125" s="9">
        <v>0.25</v>
      </c>
      <c r="N125" s="9">
        <v>0.25</v>
      </c>
      <c r="O125" s="9">
        <v>0.25</v>
      </c>
      <c r="P125" s="9">
        <v>0.25</v>
      </c>
      <c r="Q125" s="9">
        <v>0.25</v>
      </c>
      <c r="R125" s="9">
        <v>0.25</v>
      </c>
      <c r="S125" s="9">
        <v>0.25</v>
      </c>
      <c r="T125" s="9">
        <v>0.25</v>
      </c>
      <c r="U125" s="9">
        <v>0.25</v>
      </c>
      <c r="V125" s="9">
        <v>0.25</v>
      </c>
      <c r="W125" s="9">
        <v>0.25</v>
      </c>
      <c r="X125" s="9">
        <v>0.25</v>
      </c>
      <c r="Y125" s="9">
        <v>0.25</v>
      </c>
      <c r="Z125" s="9">
        <v>0.25</v>
      </c>
      <c r="AA125" s="9"/>
    </row>
    <row r="126" spans="2:27" x14ac:dyDescent="0.3">
      <c r="C126" s="1" t="s">
        <v>194</v>
      </c>
      <c r="G126" s="26" t="s">
        <v>9</v>
      </c>
      <c r="H126" s="18"/>
      <c r="I126" s="18"/>
      <c r="J126" s="18"/>
      <c r="K126" s="176">
        <v>0.25</v>
      </c>
      <c r="L126" s="176">
        <v>0.25</v>
      </c>
      <c r="M126" s="176">
        <v>0.25</v>
      </c>
      <c r="N126" s="176">
        <v>0.25</v>
      </c>
      <c r="O126" s="176">
        <v>0.25</v>
      </c>
      <c r="P126" s="176">
        <v>0.25</v>
      </c>
      <c r="Q126" s="176">
        <v>0.25</v>
      </c>
      <c r="R126" s="176">
        <v>0.25</v>
      </c>
      <c r="S126" s="176">
        <v>0.25</v>
      </c>
      <c r="T126" s="176">
        <v>0.25</v>
      </c>
      <c r="U126" s="176">
        <v>0.25</v>
      </c>
      <c r="V126" s="176">
        <v>0.25</v>
      </c>
      <c r="W126" s="176">
        <v>0.25</v>
      </c>
      <c r="X126" s="176">
        <v>0.25</v>
      </c>
      <c r="Y126" s="176">
        <v>0.25</v>
      </c>
      <c r="Z126" s="176">
        <v>0.25</v>
      </c>
      <c r="AA126" s="176"/>
    </row>
    <row r="127" spans="2:27" ht="18" customHeight="1" x14ac:dyDescent="0.3">
      <c r="G127" s="1"/>
      <c r="K127" s="175">
        <f>SUM(K123:K126)</f>
        <v>1</v>
      </c>
      <c r="L127" s="175">
        <f t="shared" ref="L127:AA127" si="36">SUM(L123:L126)</f>
        <v>1</v>
      </c>
      <c r="M127" s="175">
        <f t="shared" si="36"/>
        <v>1</v>
      </c>
      <c r="N127" s="175">
        <f t="shared" si="36"/>
        <v>1</v>
      </c>
      <c r="O127" s="175">
        <f t="shared" si="36"/>
        <v>1</v>
      </c>
      <c r="P127" s="175">
        <f t="shared" si="36"/>
        <v>1</v>
      </c>
      <c r="Q127" s="175">
        <f t="shared" si="36"/>
        <v>1</v>
      </c>
      <c r="R127" s="175">
        <f t="shared" si="36"/>
        <v>1</v>
      </c>
      <c r="S127" s="175">
        <f t="shared" si="36"/>
        <v>1</v>
      </c>
      <c r="T127" s="175">
        <f t="shared" si="36"/>
        <v>1</v>
      </c>
      <c r="U127" s="175">
        <f t="shared" si="36"/>
        <v>1</v>
      </c>
      <c r="V127" s="175">
        <f t="shared" si="36"/>
        <v>1</v>
      </c>
      <c r="W127" s="175">
        <f t="shared" si="36"/>
        <v>1</v>
      </c>
      <c r="X127" s="175">
        <f t="shared" si="36"/>
        <v>1</v>
      </c>
      <c r="Y127" s="175">
        <f t="shared" si="36"/>
        <v>1</v>
      </c>
      <c r="Z127" s="175">
        <f t="shared" si="36"/>
        <v>1</v>
      </c>
      <c r="AA127" s="175">
        <f t="shared" si="36"/>
        <v>0</v>
      </c>
    </row>
    <row r="128" spans="2:27" ht="18" customHeight="1" x14ac:dyDescent="0.3">
      <c r="G128" s="1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</row>
    <row r="129" spans="1:11" ht="18" customHeight="1" x14ac:dyDescent="0.3">
      <c r="A129" s="18" t="s">
        <v>161</v>
      </c>
      <c r="B129" s="2" t="s">
        <v>236</v>
      </c>
      <c r="G129" s="1"/>
      <c r="K129" s="1"/>
    </row>
    <row r="130" spans="1:11" ht="18" customHeight="1" x14ac:dyDescent="0.3">
      <c r="C130" s="1" t="s">
        <v>191</v>
      </c>
      <c r="G130" s="26" t="s">
        <v>225</v>
      </c>
      <c r="H130" s="116">
        <v>10699</v>
      </c>
      <c r="K130" s="1"/>
    </row>
    <row r="131" spans="1:11" ht="18" customHeight="1" x14ac:dyDescent="0.3">
      <c r="C131" s="1" t="s">
        <v>192</v>
      </c>
      <c r="G131" s="26" t="s">
        <v>225</v>
      </c>
      <c r="H131" s="116">
        <v>5789</v>
      </c>
      <c r="K131" s="1"/>
    </row>
    <row r="132" spans="1:11" ht="18" customHeight="1" x14ac:dyDescent="0.3">
      <c r="C132" s="1" t="s">
        <v>193</v>
      </c>
      <c r="G132" s="26" t="s">
        <v>225</v>
      </c>
      <c r="H132" s="116">
        <v>11327</v>
      </c>
      <c r="K132" s="1"/>
    </row>
    <row r="133" spans="1:11" ht="18" customHeight="1" x14ac:dyDescent="0.3">
      <c r="C133" s="1" t="s">
        <v>194</v>
      </c>
      <c r="G133" s="26" t="s">
        <v>225</v>
      </c>
      <c r="H133" s="116">
        <v>11991.9</v>
      </c>
      <c r="K133" s="1"/>
    </row>
    <row r="134" spans="1:11" ht="18" customHeight="1" thickBot="1" x14ac:dyDescent="0.35">
      <c r="G134" s="1"/>
      <c r="K134" s="1"/>
    </row>
    <row r="135" spans="1:11" s="51" customFormat="1" ht="18" customHeight="1" thickTop="1" thickBot="1" x14ac:dyDescent="0.35">
      <c r="A135" s="122"/>
      <c r="B135" s="50" t="s">
        <v>122</v>
      </c>
      <c r="G135" s="52"/>
      <c r="K135" s="53"/>
    </row>
    <row r="136" spans="1:11" ht="18" customHeight="1" thickTop="1" x14ac:dyDescent="0.3">
      <c r="G136" s="1"/>
      <c r="K136" s="1"/>
    </row>
    <row r="137" spans="1:11" x14ac:dyDescent="0.3">
      <c r="B137" s="2" t="s">
        <v>209</v>
      </c>
      <c r="H137" s="18"/>
      <c r="I137" s="18"/>
      <c r="J137" s="18"/>
    </row>
    <row r="138" spans="1:11" ht="51.05" customHeight="1" x14ac:dyDescent="0.3">
      <c r="H138" s="117" t="str">
        <f>C123</f>
        <v>Кладочный раствор</v>
      </c>
      <c r="I138" s="118" t="str">
        <f>C124</f>
        <v>Легкий кладочный раствор</v>
      </c>
      <c r="J138" s="118" t="str">
        <f>C125</f>
        <v>Кладочный раствор для стеклоблоков</v>
      </c>
      <c r="K138" s="118" t="str">
        <f>C126</f>
        <v>Клеевой раствор для плит и блоков изпенобетона</v>
      </c>
    </row>
    <row r="139" spans="1:11" x14ac:dyDescent="0.3">
      <c r="C139" s="1" t="s">
        <v>196</v>
      </c>
      <c r="G139" s="26" t="s">
        <v>9</v>
      </c>
      <c r="H139" s="119">
        <v>0</v>
      </c>
      <c r="I139" s="119">
        <v>0.05</v>
      </c>
      <c r="J139" s="119">
        <v>0.05</v>
      </c>
      <c r="K139" s="119">
        <v>0.05</v>
      </c>
    </row>
    <row r="140" spans="1:11" x14ac:dyDescent="0.3">
      <c r="C140" s="1" t="s">
        <v>197</v>
      </c>
      <c r="G140" s="26" t="s">
        <v>9</v>
      </c>
      <c r="H140" s="119">
        <v>7.4999999999999997E-2</v>
      </c>
      <c r="I140" s="119">
        <v>0.1</v>
      </c>
      <c r="J140" s="119">
        <v>0.1</v>
      </c>
      <c r="K140" s="119">
        <v>0.05</v>
      </c>
    </row>
    <row r="141" spans="1:11" x14ac:dyDescent="0.3">
      <c r="C141" s="1" t="s">
        <v>198</v>
      </c>
      <c r="G141" s="26" t="s">
        <v>9</v>
      </c>
      <c r="H141" s="119">
        <v>0</v>
      </c>
      <c r="I141" s="119">
        <v>0</v>
      </c>
      <c r="J141" s="119">
        <v>0.30690000000000001</v>
      </c>
      <c r="K141" s="119">
        <v>0.58199999999999996</v>
      </c>
    </row>
    <row r="142" spans="1:11" x14ac:dyDescent="0.3">
      <c r="C142" s="1" t="s">
        <v>199</v>
      </c>
      <c r="G142" s="26" t="s">
        <v>9</v>
      </c>
      <c r="H142" s="119">
        <v>0</v>
      </c>
      <c r="I142" s="119">
        <v>0</v>
      </c>
      <c r="J142" s="119">
        <v>0.372</v>
      </c>
      <c r="K142" s="119">
        <v>0</v>
      </c>
    </row>
    <row r="143" spans="1:11" x14ac:dyDescent="0.3">
      <c r="C143" s="1" t="s">
        <v>200</v>
      </c>
      <c r="G143" s="26" t="s">
        <v>9</v>
      </c>
      <c r="H143" s="119">
        <v>0.6744</v>
      </c>
      <c r="I143" s="119">
        <v>0</v>
      </c>
      <c r="J143" s="119">
        <v>0</v>
      </c>
      <c r="K143" s="119">
        <v>0</v>
      </c>
    </row>
    <row r="144" spans="1:11" x14ac:dyDescent="0.3">
      <c r="C144" s="1" t="s">
        <v>201</v>
      </c>
      <c r="G144" s="26" t="s">
        <v>9</v>
      </c>
      <c r="H144" s="119">
        <v>0</v>
      </c>
      <c r="I144" s="119">
        <v>0.4491</v>
      </c>
      <c r="J144" s="119">
        <v>0</v>
      </c>
      <c r="K144" s="119">
        <v>0</v>
      </c>
    </row>
    <row r="145" spans="1:11" s="2" customFormat="1" x14ac:dyDescent="0.3">
      <c r="A145" s="32"/>
      <c r="B145" s="2" t="s">
        <v>285</v>
      </c>
      <c r="G145" s="30"/>
    </row>
    <row r="146" spans="1:11" s="2" customFormat="1" x14ac:dyDescent="0.3">
      <c r="A146" s="32"/>
      <c r="C146" s="1" t="s">
        <v>288</v>
      </c>
      <c r="D146" s="1"/>
      <c r="E146" s="1"/>
      <c r="F146" s="1"/>
      <c r="G146" s="26" t="s">
        <v>9</v>
      </c>
      <c r="H146" s="119">
        <v>0.25000000000000011</v>
      </c>
      <c r="I146" s="119">
        <v>0.4</v>
      </c>
      <c r="J146" s="119">
        <v>0.15000000000000002</v>
      </c>
      <c r="K146" s="119">
        <v>0.30000000000000016</v>
      </c>
    </row>
    <row r="147" spans="1:11" s="41" customFormat="1" x14ac:dyDescent="0.3">
      <c r="C147" s="41" t="s">
        <v>202</v>
      </c>
      <c r="G147" s="26" t="s">
        <v>9</v>
      </c>
      <c r="H147" s="132">
        <v>5.0000000000000001E-4</v>
      </c>
      <c r="I147" s="132">
        <v>6.9999999999999999E-4</v>
      </c>
      <c r="J147" s="132">
        <v>1E-3</v>
      </c>
      <c r="K147" s="132">
        <v>2.5000000000000001E-3</v>
      </c>
    </row>
    <row r="148" spans="1:11" x14ac:dyDescent="0.3">
      <c r="C148" s="1" t="s">
        <v>203</v>
      </c>
      <c r="G148" s="26" t="s">
        <v>9</v>
      </c>
      <c r="H148" s="119">
        <v>0</v>
      </c>
      <c r="I148" s="119">
        <v>0</v>
      </c>
      <c r="J148" s="119">
        <v>0.02</v>
      </c>
      <c r="K148" s="119">
        <v>1.4999999999999999E-2</v>
      </c>
    </row>
    <row r="149" spans="1:11" x14ac:dyDescent="0.3">
      <c r="C149" s="1" t="s">
        <v>204</v>
      </c>
      <c r="G149" s="26" t="s">
        <v>9</v>
      </c>
      <c r="H149" s="119">
        <v>1E-4</v>
      </c>
      <c r="I149" s="119">
        <v>2.0000000000000001E-4</v>
      </c>
      <c r="J149" s="119">
        <v>1E-4</v>
      </c>
      <c r="K149" s="119">
        <v>5.0000000000000001E-4</v>
      </c>
    </row>
    <row r="150" spans="1:11" s="2" customFormat="1" x14ac:dyDescent="0.3">
      <c r="A150" s="32"/>
      <c r="B150" s="2" t="s">
        <v>286</v>
      </c>
      <c r="G150" s="30"/>
    </row>
    <row r="151" spans="1:11" s="2" customFormat="1" x14ac:dyDescent="0.3">
      <c r="A151" s="32"/>
      <c r="C151" s="1" t="s">
        <v>289</v>
      </c>
      <c r="D151" s="1"/>
      <c r="E151" s="1"/>
      <c r="F151" s="1"/>
      <c r="G151" s="26" t="s">
        <v>9</v>
      </c>
      <c r="H151" s="119">
        <v>0.24355000000000004</v>
      </c>
      <c r="I151" s="119">
        <v>0.39385000000000003</v>
      </c>
      <c r="J151" s="119">
        <v>0.16405000000000003</v>
      </c>
      <c r="K151" s="119">
        <v>0.31095000000000006</v>
      </c>
    </row>
    <row r="152" spans="1:11" s="41" customFormat="1" x14ac:dyDescent="0.3">
      <c r="C152" s="41" t="s">
        <v>205</v>
      </c>
      <c r="G152" s="26" t="s">
        <v>9</v>
      </c>
      <c r="H152" s="133">
        <v>5.0000000000000002E-5</v>
      </c>
      <c r="I152" s="133">
        <v>5.0000000000000002E-5</v>
      </c>
      <c r="J152" s="133">
        <v>5.0000000000000002E-5</v>
      </c>
      <c r="K152" s="133">
        <v>5.0000000000000002E-5</v>
      </c>
    </row>
    <row r="153" spans="1:11" x14ac:dyDescent="0.3">
      <c r="C153" s="1" t="s">
        <v>206</v>
      </c>
      <c r="G153" s="26" t="s">
        <v>9</v>
      </c>
      <c r="H153" s="119">
        <v>1E-3</v>
      </c>
      <c r="I153" s="119">
        <v>1E-3</v>
      </c>
      <c r="J153" s="119">
        <v>1E-3</v>
      </c>
      <c r="K153" s="119">
        <v>1E-3</v>
      </c>
    </row>
    <row r="154" spans="1:11" x14ac:dyDescent="0.3">
      <c r="C154" s="1" t="s">
        <v>207</v>
      </c>
      <c r="G154" s="26" t="s">
        <v>9</v>
      </c>
      <c r="H154" s="119">
        <v>1E-3</v>
      </c>
      <c r="I154" s="119">
        <v>1E-3</v>
      </c>
      <c r="J154" s="119">
        <v>1E-3</v>
      </c>
      <c r="K154" s="119">
        <v>1E-3</v>
      </c>
    </row>
    <row r="155" spans="1:11" x14ac:dyDescent="0.3">
      <c r="C155" s="1" t="s">
        <v>208</v>
      </c>
      <c r="G155" s="26" t="s">
        <v>9</v>
      </c>
      <c r="H155" s="119">
        <v>5.0000000000000001E-3</v>
      </c>
      <c r="I155" s="119">
        <v>5.0000000000000001E-3</v>
      </c>
      <c r="J155" s="119">
        <v>5.0000000000000001E-3</v>
      </c>
      <c r="K155" s="119">
        <v>5.0000000000000001E-3</v>
      </c>
    </row>
    <row r="156" spans="1:11" x14ac:dyDescent="0.3">
      <c r="H156" s="18"/>
      <c r="I156" s="18"/>
      <c r="J156" s="18"/>
    </row>
    <row r="157" spans="1:11" x14ac:dyDescent="0.3">
      <c r="B157" s="1" t="s">
        <v>210</v>
      </c>
      <c r="G157" s="26" t="s">
        <v>212</v>
      </c>
      <c r="H157" s="116">
        <v>5.4</v>
      </c>
      <c r="I157" s="18"/>
      <c r="J157" s="18"/>
    </row>
    <row r="158" spans="1:11" x14ac:dyDescent="0.3">
      <c r="H158" s="18"/>
      <c r="I158" s="18"/>
      <c r="J158" s="18"/>
    </row>
    <row r="159" spans="1:11" x14ac:dyDescent="0.3">
      <c r="A159" s="18" t="s">
        <v>162</v>
      </c>
      <c r="B159" s="2" t="s">
        <v>224</v>
      </c>
      <c r="C159" s="2"/>
      <c r="H159" s="18"/>
      <c r="J159" s="18"/>
    </row>
    <row r="160" spans="1:11" x14ac:dyDescent="0.3">
      <c r="C160" s="1" t="s">
        <v>195</v>
      </c>
      <c r="G160" s="26" t="s">
        <v>225</v>
      </c>
      <c r="H160" s="116">
        <v>5600</v>
      </c>
      <c r="I160" s="18"/>
      <c r="J160" s="18"/>
    </row>
    <row r="161" spans="1:10" x14ac:dyDescent="0.3">
      <c r="C161" s="1" t="s">
        <v>196</v>
      </c>
      <c r="G161" s="26" t="s">
        <v>225</v>
      </c>
      <c r="H161" s="116">
        <v>6900</v>
      </c>
      <c r="I161" s="18"/>
      <c r="J161" s="18"/>
    </row>
    <row r="162" spans="1:10" x14ac:dyDescent="0.3">
      <c r="C162" s="1" t="s">
        <v>197</v>
      </c>
      <c r="G162" s="26" t="s">
        <v>225</v>
      </c>
      <c r="H162" s="116">
        <v>4000</v>
      </c>
      <c r="I162" s="18"/>
      <c r="J162" s="18"/>
    </row>
    <row r="163" spans="1:10" x14ac:dyDescent="0.3">
      <c r="C163" s="1" t="s">
        <v>198</v>
      </c>
      <c r="G163" s="26" t="s">
        <v>225</v>
      </c>
      <c r="H163" s="116">
        <v>5200</v>
      </c>
      <c r="I163" s="18"/>
      <c r="J163" s="18"/>
    </row>
    <row r="164" spans="1:10" x14ac:dyDescent="0.3">
      <c r="C164" s="1" t="s">
        <v>199</v>
      </c>
      <c r="G164" s="26" t="s">
        <v>225</v>
      </c>
      <c r="H164" s="116">
        <v>6000</v>
      </c>
      <c r="I164" s="18"/>
      <c r="J164" s="18"/>
    </row>
    <row r="165" spans="1:10" x14ac:dyDescent="0.3">
      <c r="C165" s="1" t="s">
        <v>200</v>
      </c>
      <c r="G165" s="26" t="s">
        <v>225</v>
      </c>
      <c r="H165" s="116">
        <v>10000</v>
      </c>
      <c r="I165" s="18"/>
      <c r="J165" s="18"/>
    </row>
    <row r="166" spans="1:10" x14ac:dyDescent="0.3">
      <c r="C166" s="1" t="s">
        <v>201</v>
      </c>
      <c r="G166" s="26" t="s">
        <v>225</v>
      </c>
      <c r="H166" s="116">
        <v>3530</v>
      </c>
      <c r="I166" s="18"/>
      <c r="J166" s="18"/>
    </row>
    <row r="167" spans="1:10" x14ac:dyDescent="0.3">
      <c r="C167" s="1" t="s">
        <v>202</v>
      </c>
      <c r="G167" s="26" t="s">
        <v>225</v>
      </c>
      <c r="H167" s="116">
        <v>301000</v>
      </c>
      <c r="I167" s="18"/>
      <c r="J167" s="18"/>
    </row>
    <row r="168" spans="1:10" x14ac:dyDescent="0.3">
      <c r="C168" s="1" t="s">
        <v>203</v>
      </c>
      <c r="G168" s="26" t="s">
        <v>225</v>
      </c>
      <c r="H168" s="116">
        <v>175000</v>
      </c>
      <c r="I168" s="18"/>
      <c r="J168" s="18"/>
    </row>
    <row r="169" spans="1:10" x14ac:dyDescent="0.3">
      <c r="C169" s="1" t="s">
        <v>204</v>
      </c>
      <c r="G169" s="26" t="s">
        <v>225</v>
      </c>
      <c r="H169" s="116">
        <v>385000</v>
      </c>
      <c r="I169" s="18"/>
      <c r="J169" s="18"/>
    </row>
    <row r="170" spans="1:10" x14ac:dyDescent="0.3">
      <c r="C170" s="1" t="s">
        <v>205</v>
      </c>
      <c r="G170" s="26" t="s">
        <v>225</v>
      </c>
      <c r="H170" s="116">
        <v>395500</v>
      </c>
      <c r="I170" s="18"/>
      <c r="J170" s="18"/>
    </row>
    <row r="171" spans="1:10" x14ac:dyDescent="0.3">
      <c r="C171" s="1" t="s">
        <v>206</v>
      </c>
      <c r="G171" s="26" t="s">
        <v>225</v>
      </c>
      <c r="H171" s="116">
        <v>283500</v>
      </c>
      <c r="I171" s="18"/>
      <c r="J171" s="18"/>
    </row>
    <row r="172" spans="1:10" x14ac:dyDescent="0.3">
      <c r="C172" s="1" t="s">
        <v>207</v>
      </c>
      <c r="G172" s="26" t="s">
        <v>225</v>
      </c>
      <c r="H172" s="116">
        <v>253400</v>
      </c>
      <c r="I172" s="18"/>
      <c r="J172" s="18"/>
    </row>
    <row r="173" spans="1:10" x14ac:dyDescent="0.3">
      <c r="C173" s="1" t="s">
        <v>208</v>
      </c>
      <c r="G173" s="26" t="s">
        <v>225</v>
      </c>
      <c r="H173" s="116">
        <v>50000</v>
      </c>
      <c r="I173" s="18"/>
      <c r="J173" s="18"/>
    </row>
    <row r="174" spans="1:10" x14ac:dyDescent="0.3">
      <c r="H174" s="18"/>
      <c r="J174" s="18"/>
    </row>
    <row r="175" spans="1:10" x14ac:dyDescent="0.3">
      <c r="A175" s="18" t="s">
        <v>189</v>
      </c>
      <c r="B175" s="1" t="s">
        <v>211</v>
      </c>
      <c r="G175" s="26" t="s">
        <v>213</v>
      </c>
      <c r="H175" s="116">
        <v>4.54</v>
      </c>
      <c r="I175" s="18"/>
      <c r="J175" s="18"/>
    </row>
    <row r="176" spans="1:10" x14ac:dyDescent="0.3">
      <c r="H176" s="18"/>
      <c r="I176" s="18"/>
      <c r="J176" s="18"/>
    </row>
    <row r="177" spans="1:10" x14ac:dyDescent="0.3">
      <c r="A177" s="18" t="s">
        <v>162</v>
      </c>
      <c r="B177" s="1" t="s">
        <v>283</v>
      </c>
      <c r="G177" s="26" t="s">
        <v>214</v>
      </c>
      <c r="H177" s="116">
        <v>9.1</v>
      </c>
      <c r="I177" s="18"/>
      <c r="J177" s="18"/>
    </row>
    <row r="178" spans="1:10" x14ac:dyDescent="0.3">
      <c r="A178" s="18" t="s">
        <v>162</v>
      </c>
      <c r="B178" s="1" t="s">
        <v>284</v>
      </c>
      <c r="G178" s="26" t="s">
        <v>214</v>
      </c>
      <c r="H178" s="116">
        <v>6.5</v>
      </c>
      <c r="I178" s="18"/>
      <c r="J178" s="18"/>
    </row>
    <row r="179" spans="1:10" x14ac:dyDescent="0.3">
      <c r="H179" s="18"/>
      <c r="I179" s="18"/>
      <c r="J179" s="18"/>
    </row>
    <row r="180" spans="1:10" x14ac:dyDescent="0.3">
      <c r="A180" s="18" t="s">
        <v>121</v>
      </c>
      <c r="B180" s="2" t="s">
        <v>215</v>
      </c>
      <c r="H180" s="18"/>
      <c r="I180" s="18"/>
      <c r="J180" s="18"/>
    </row>
    <row r="181" spans="1:10" x14ac:dyDescent="0.3">
      <c r="B181" s="1" t="s">
        <v>216</v>
      </c>
      <c r="H181" s="18"/>
      <c r="I181" s="18"/>
      <c r="J181" s="18"/>
    </row>
    <row r="182" spans="1:10" x14ac:dyDescent="0.3">
      <c r="C182" s="1" t="s">
        <v>217</v>
      </c>
      <c r="G182" s="26" t="s">
        <v>220</v>
      </c>
      <c r="H182" s="116">
        <v>5</v>
      </c>
      <c r="I182" s="18"/>
      <c r="J182" s="18"/>
    </row>
    <row r="183" spans="1:10" x14ac:dyDescent="0.3">
      <c r="C183" s="1" t="s">
        <v>222</v>
      </c>
      <c r="G183" s="26" t="s">
        <v>221</v>
      </c>
      <c r="H183" s="116">
        <v>150000</v>
      </c>
      <c r="I183" s="18"/>
      <c r="J183" s="18"/>
    </row>
    <row r="184" spans="1:10" x14ac:dyDescent="0.3">
      <c r="B184" s="1" t="s">
        <v>219</v>
      </c>
      <c r="H184" s="18"/>
      <c r="I184" s="18"/>
      <c r="J184" s="18"/>
    </row>
    <row r="185" spans="1:10" x14ac:dyDescent="0.3">
      <c r="C185" s="1" t="s">
        <v>217</v>
      </c>
      <c r="G185" s="26" t="s">
        <v>220</v>
      </c>
      <c r="H185" s="116">
        <v>5</v>
      </c>
      <c r="I185" s="18"/>
      <c r="J185" s="18"/>
    </row>
    <row r="186" spans="1:10" x14ac:dyDescent="0.3">
      <c r="C186" s="1" t="s">
        <v>218</v>
      </c>
      <c r="G186" s="26" t="s">
        <v>221</v>
      </c>
      <c r="H186" s="116">
        <v>120000</v>
      </c>
      <c r="I186" s="18"/>
      <c r="J186" s="18"/>
    </row>
    <row r="187" spans="1:10" x14ac:dyDescent="0.3">
      <c r="B187" s="1" t="s">
        <v>223</v>
      </c>
      <c r="H187" s="18"/>
      <c r="I187" s="18"/>
      <c r="J187" s="18"/>
    </row>
    <row r="188" spans="1:10" x14ac:dyDescent="0.3">
      <c r="C188" s="1" t="s">
        <v>217</v>
      </c>
      <c r="G188" s="26" t="s">
        <v>220</v>
      </c>
      <c r="H188" s="116">
        <v>5</v>
      </c>
      <c r="I188" s="18"/>
      <c r="J188" s="18"/>
    </row>
    <row r="189" spans="1:10" x14ac:dyDescent="0.3">
      <c r="C189" s="1" t="s">
        <v>218</v>
      </c>
      <c r="G189" s="26" t="s">
        <v>221</v>
      </c>
      <c r="H189" s="116">
        <v>90000</v>
      </c>
      <c r="I189" s="18"/>
      <c r="J189" s="18"/>
    </row>
    <row r="190" spans="1:10" x14ac:dyDescent="0.3">
      <c r="H190" s="18"/>
      <c r="I190" s="18"/>
      <c r="J190" s="18"/>
    </row>
    <row r="191" spans="1:10" x14ac:dyDescent="0.3">
      <c r="B191" s="2" t="s">
        <v>226</v>
      </c>
      <c r="H191" s="18"/>
      <c r="I191" s="18"/>
      <c r="J191" s="18"/>
    </row>
    <row r="192" spans="1:10" x14ac:dyDescent="0.3">
      <c r="A192" s="18" t="s">
        <v>161</v>
      </c>
      <c r="C192" s="1" t="s">
        <v>227</v>
      </c>
      <c r="G192" s="26" t="s">
        <v>333</v>
      </c>
      <c r="H192" s="116">
        <v>12</v>
      </c>
      <c r="I192" s="18"/>
      <c r="J192" s="18"/>
    </row>
    <row r="193" spans="1:11" x14ac:dyDescent="0.3">
      <c r="A193" s="18" t="s">
        <v>189</v>
      </c>
      <c r="C193" s="1" t="s">
        <v>228</v>
      </c>
      <c r="G193" s="26" t="s">
        <v>333</v>
      </c>
      <c r="H193" s="116">
        <v>0.5</v>
      </c>
      <c r="I193" s="18"/>
      <c r="J193" s="18"/>
    </row>
    <row r="194" spans="1:11" x14ac:dyDescent="0.3">
      <c r="A194" s="18" t="s">
        <v>161</v>
      </c>
      <c r="C194" s="1" t="s">
        <v>230</v>
      </c>
      <c r="G194" s="26" t="s">
        <v>333</v>
      </c>
      <c r="H194" s="116">
        <v>0.2</v>
      </c>
      <c r="I194" s="18"/>
      <c r="J194" s="18"/>
    </row>
    <row r="195" spans="1:11" x14ac:dyDescent="0.3">
      <c r="A195" s="18" t="s">
        <v>161</v>
      </c>
      <c r="C195" s="1" t="s">
        <v>229</v>
      </c>
      <c r="G195" s="26" t="s">
        <v>333</v>
      </c>
      <c r="H195" s="116">
        <v>0.5</v>
      </c>
      <c r="I195" s="18"/>
      <c r="J195" s="18"/>
    </row>
    <row r="196" spans="1:11" x14ac:dyDescent="0.3">
      <c r="C196" s="1" t="s">
        <v>376</v>
      </c>
      <c r="G196" s="26" t="s">
        <v>9</v>
      </c>
      <c r="H196" s="9">
        <v>0.1</v>
      </c>
      <c r="I196" s="18"/>
      <c r="J196" s="18"/>
    </row>
    <row r="197" spans="1:11" ht="15.75" thickBot="1" x14ac:dyDescent="0.35">
      <c r="H197" s="18"/>
      <c r="I197" s="18"/>
      <c r="J197" s="18"/>
    </row>
    <row r="198" spans="1:11" s="51" customFormat="1" ht="18" customHeight="1" thickTop="1" thickBot="1" x14ac:dyDescent="0.35">
      <c r="A198" s="122"/>
      <c r="B198" s="50" t="s">
        <v>51</v>
      </c>
      <c r="G198" s="52"/>
      <c r="K198" s="53"/>
    </row>
    <row r="199" spans="1:11" ht="15.75" thickTop="1" x14ac:dyDescent="0.3">
      <c r="H199" s="18"/>
      <c r="I199" s="18"/>
      <c r="J199" s="18"/>
    </row>
    <row r="200" spans="1:11" x14ac:dyDescent="0.3">
      <c r="B200" s="1" t="s">
        <v>164</v>
      </c>
      <c r="G200" s="26" t="s">
        <v>10</v>
      </c>
      <c r="H200" s="7">
        <v>30</v>
      </c>
      <c r="I200" s="18"/>
      <c r="J200" s="18"/>
    </row>
    <row r="201" spans="1:11" x14ac:dyDescent="0.3">
      <c r="B201" s="1" t="s">
        <v>165</v>
      </c>
      <c r="G201" s="26" t="s">
        <v>10</v>
      </c>
      <c r="H201" s="7">
        <v>30</v>
      </c>
      <c r="I201" s="18"/>
      <c r="J201" s="18"/>
    </row>
    <row r="202" spans="1:11" x14ac:dyDescent="0.3">
      <c r="B202" s="1" t="s">
        <v>127</v>
      </c>
      <c r="G202" s="26" t="s">
        <v>10</v>
      </c>
      <c r="H202" s="7">
        <v>10</v>
      </c>
      <c r="I202" s="18"/>
      <c r="J202" s="18"/>
    </row>
    <row r="203" spans="1:11" x14ac:dyDescent="0.3">
      <c r="B203" s="1" t="s">
        <v>378</v>
      </c>
      <c r="G203" s="26" t="s">
        <v>10</v>
      </c>
      <c r="H203" s="7">
        <v>90</v>
      </c>
      <c r="I203" s="18"/>
      <c r="J203" s="18"/>
    </row>
    <row r="204" spans="1:11" x14ac:dyDescent="0.3">
      <c r="B204" s="1" t="s">
        <v>379</v>
      </c>
      <c r="G204" s="26" t="s">
        <v>10</v>
      </c>
      <c r="H204" s="7">
        <v>90</v>
      </c>
      <c r="I204" s="18"/>
      <c r="J204" s="18"/>
    </row>
    <row r="205" spans="1:11" ht="15.75" thickBot="1" x14ac:dyDescent="0.35">
      <c r="H205" s="18"/>
      <c r="I205" s="18"/>
      <c r="J205" s="18"/>
    </row>
    <row r="206" spans="1:11" s="51" customFormat="1" ht="18" customHeight="1" thickTop="1" thickBot="1" x14ac:dyDescent="0.35">
      <c r="A206" s="122"/>
      <c r="B206" s="50" t="s">
        <v>50</v>
      </c>
      <c r="G206" s="52"/>
      <c r="K206" s="53"/>
    </row>
    <row r="207" spans="1:11" ht="15.75" thickTop="1" x14ac:dyDescent="0.3">
      <c r="H207" s="18"/>
      <c r="I207" s="18"/>
      <c r="J207" s="18"/>
    </row>
    <row r="208" spans="1:11" x14ac:dyDescent="0.3">
      <c r="B208" s="1" t="s">
        <v>106</v>
      </c>
      <c r="G208" s="26" t="s">
        <v>9</v>
      </c>
      <c r="H208" s="9">
        <v>0.8</v>
      </c>
    </row>
    <row r="209" spans="1:1024 1028:2045 2050:3071 3076:4093 4097:5119 5123:6140 6145:7166 7171:8192 8197:9214 9218:10240 10244:11261 11266:12287 12292:13309 13313:14335 14339:15356 15361:16382" x14ac:dyDescent="0.3">
      <c r="B209" s="1" t="s">
        <v>369</v>
      </c>
      <c r="G209" s="26" t="s">
        <v>9</v>
      </c>
      <c r="H209" s="10">
        <v>5.5E-2</v>
      </c>
    </row>
    <row r="210" spans="1:1024 1028:2045 2050:3071 3076:4093 4097:5119 5123:6140 6145:7166 7171:8192 8197:9214 9218:10240 10244:11261 11266:12287 12292:13309 13313:14335 14339:15356 15361:16382" x14ac:dyDescent="0.3">
      <c r="B210" s="1" t="s">
        <v>35</v>
      </c>
      <c r="G210" s="26" t="s">
        <v>9</v>
      </c>
      <c r="H210" s="9">
        <v>0.15</v>
      </c>
    </row>
    <row r="211" spans="1:1024 1028:2045 2050:3071 3076:4093 4097:5119 5123:6140 6145:7166 7171:8192 8197:9214 9218:10240 10244:11261 11266:12287 12292:13309 13313:14335 14339:15356 15361:16382" x14ac:dyDescent="0.3">
      <c r="B211" s="1" t="s">
        <v>47</v>
      </c>
      <c r="G211" s="26" t="s">
        <v>33</v>
      </c>
      <c r="H211" s="17">
        <v>10</v>
      </c>
    </row>
    <row r="212" spans="1:1024 1028:2045 2050:3071 3076:4093 4097:5119 5123:6140 6145:7166 7171:8192 8197:9214 9218:10240 10244:11261 11266:12287 12292:13309 13313:14335 14339:15356 15361:16382" x14ac:dyDescent="0.3">
      <c r="B212" s="1" t="s">
        <v>313</v>
      </c>
      <c r="G212" s="26" t="s">
        <v>48</v>
      </c>
      <c r="J212" s="177">
        <v>2</v>
      </c>
    </row>
    <row r="213" spans="1:1024 1028:2045 2050:3071 3076:4093 4097:5119 5123:6140 6145:7166 7171:8192 8197:9214 9218:10240 10244:11261 11266:12287 12292:13309 13313:14335 14339:15356 15361:16382" x14ac:dyDescent="0.3">
      <c r="B213" s="1" t="s">
        <v>317</v>
      </c>
      <c r="G213" s="26" t="s">
        <v>94</v>
      </c>
      <c r="H213" s="18"/>
      <c r="J213" s="156" t="b">
        <v>0</v>
      </c>
    </row>
    <row r="214" spans="1:1024 1028:2045 2050:3071 3076:4093 4097:5119 5123:6140 6145:7166 7171:8192 8197:9214 9218:10240 10244:11261 11266:12287 12292:13309 13313:14335 14339:15356 15361:16382" ht="15.75" thickBot="1" x14ac:dyDescent="0.35">
      <c r="H214" s="18"/>
      <c r="I214" s="18"/>
      <c r="J214" s="18"/>
      <c r="K214" s="1"/>
    </row>
    <row r="215" spans="1:1024 1028:2045 2050:3071 3076:4093 4097:5119 5123:6140 6145:7166 7171:8192 8197:9214 9218:10240 10244:11261 11266:12287 12292:13309 13313:14335 14339:15356 15361:16382" s="51" customFormat="1" ht="18" customHeight="1" thickTop="1" thickBot="1" x14ac:dyDescent="0.35">
      <c r="A215" s="122"/>
      <c r="B215" s="50" t="s">
        <v>52</v>
      </c>
      <c r="G215" s="52"/>
      <c r="K215" s="53"/>
    </row>
    <row r="216" spans="1:1024 1028:2045 2050:3071 3076:4093 4097:5119 5123:6140 6145:7166 7171:8192 8197:9214 9218:10240 10244:11261 11266:12287 12292:13309 13313:14335 14339:15356 15361:16382" ht="15.75" thickTop="1" x14ac:dyDescent="0.3">
      <c r="B216" s="23"/>
      <c r="K216" s="23"/>
      <c r="P216" s="26"/>
      <c r="T216" s="23"/>
      <c r="Y216" s="26"/>
      <c r="AC216" s="23"/>
      <c r="AH216" s="26"/>
      <c r="AL216" s="23"/>
      <c r="AQ216" s="26"/>
      <c r="AU216" s="23"/>
      <c r="AZ216" s="26"/>
      <c r="BD216" s="23"/>
      <c r="BI216" s="26"/>
      <c r="BM216" s="23"/>
      <c r="BR216" s="26"/>
      <c r="BV216" s="23"/>
      <c r="CA216" s="26"/>
      <c r="CE216" s="23"/>
      <c r="CJ216" s="26"/>
      <c r="CN216" s="23"/>
      <c r="CS216" s="26"/>
      <c r="CW216" s="23"/>
      <c r="DB216" s="26"/>
      <c r="DF216" s="23"/>
      <c r="DK216" s="26"/>
      <c r="DO216" s="23"/>
      <c r="DT216" s="26"/>
      <c r="DX216" s="23"/>
      <c r="EC216" s="26"/>
      <c r="EG216" s="23"/>
      <c r="EL216" s="26"/>
      <c r="EP216" s="23"/>
      <c r="EU216" s="26"/>
      <c r="EY216" s="23"/>
      <c r="FD216" s="26"/>
      <c r="FH216" s="23"/>
      <c r="FM216" s="26"/>
      <c r="FQ216" s="23"/>
      <c r="FV216" s="26"/>
      <c r="FZ216" s="23"/>
      <c r="GE216" s="26"/>
      <c r="GI216" s="23"/>
      <c r="GN216" s="26"/>
      <c r="GR216" s="23"/>
      <c r="GW216" s="26"/>
      <c r="HA216" s="23"/>
      <c r="HF216" s="26"/>
      <c r="HJ216" s="23"/>
      <c r="HO216" s="26"/>
      <c r="HS216" s="23"/>
      <c r="HX216" s="26"/>
      <c r="IB216" s="23"/>
      <c r="IG216" s="26"/>
      <c r="IK216" s="23"/>
      <c r="IP216" s="26"/>
      <c r="IT216" s="23"/>
      <c r="IY216" s="26"/>
      <c r="JC216" s="23"/>
      <c r="JH216" s="26"/>
      <c r="JL216" s="23"/>
      <c r="JQ216" s="26"/>
      <c r="JU216" s="23"/>
      <c r="JZ216" s="26"/>
      <c r="KD216" s="23"/>
      <c r="KI216" s="26"/>
      <c r="KM216" s="23"/>
      <c r="KR216" s="26"/>
      <c r="KV216" s="23"/>
      <c r="LA216" s="26"/>
      <c r="LE216" s="23"/>
      <c r="LJ216" s="26"/>
      <c r="LN216" s="23"/>
      <c r="LS216" s="26"/>
      <c r="LW216" s="23"/>
      <c r="MB216" s="26"/>
      <c r="MF216" s="23"/>
      <c r="MK216" s="26"/>
      <c r="MO216" s="23"/>
      <c r="MT216" s="26"/>
      <c r="MX216" s="23"/>
      <c r="NC216" s="26"/>
      <c r="NG216" s="23"/>
      <c r="NL216" s="26"/>
      <c r="NP216" s="23"/>
      <c r="NU216" s="26"/>
      <c r="NY216" s="23"/>
      <c r="OD216" s="26"/>
      <c r="OH216" s="23"/>
      <c r="OM216" s="26"/>
      <c r="OQ216" s="23"/>
      <c r="OV216" s="26"/>
      <c r="OZ216" s="23"/>
      <c r="PE216" s="26"/>
      <c r="PI216" s="23"/>
      <c r="PN216" s="26"/>
      <c r="PR216" s="23"/>
      <c r="PW216" s="26"/>
      <c r="QA216" s="23"/>
      <c r="QF216" s="26"/>
      <c r="QJ216" s="23"/>
      <c r="QO216" s="26"/>
      <c r="QS216" s="23"/>
      <c r="QX216" s="26"/>
      <c r="RB216" s="23"/>
      <c r="RG216" s="26"/>
      <c r="RK216" s="23"/>
      <c r="RP216" s="26"/>
      <c r="RT216" s="23"/>
      <c r="RY216" s="26"/>
      <c r="SC216" s="23"/>
      <c r="SH216" s="26"/>
      <c r="SL216" s="23"/>
      <c r="SQ216" s="26"/>
      <c r="SU216" s="23"/>
      <c r="SZ216" s="26"/>
      <c r="TD216" s="23"/>
      <c r="TI216" s="26"/>
      <c r="TM216" s="23"/>
      <c r="TR216" s="26"/>
      <c r="TV216" s="23"/>
      <c r="UA216" s="26"/>
      <c r="UE216" s="23"/>
      <c r="UJ216" s="26"/>
      <c r="UN216" s="23"/>
      <c r="US216" s="26"/>
      <c r="UW216" s="23"/>
      <c r="VB216" s="26"/>
      <c r="VF216" s="23"/>
      <c r="VK216" s="26"/>
      <c r="VO216" s="23"/>
      <c r="VT216" s="26"/>
      <c r="VX216" s="23"/>
      <c r="WC216" s="26"/>
      <c r="WG216" s="23"/>
      <c r="WL216" s="26"/>
      <c r="WP216" s="23"/>
      <c r="WU216" s="26"/>
      <c r="WY216" s="23"/>
      <c r="XD216" s="26"/>
      <c r="XH216" s="23"/>
      <c r="XM216" s="26"/>
      <c r="XQ216" s="23"/>
      <c r="XV216" s="26"/>
      <c r="XZ216" s="23"/>
      <c r="YE216" s="26"/>
      <c r="YI216" s="23"/>
      <c r="YN216" s="26"/>
      <c r="YR216" s="23"/>
      <c r="YW216" s="26"/>
      <c r="ZA216" s="23"/>
      <c r="ZF216" s="26"/>
      <c r="ZJ216" s="23"/>
      <c r="ZO216" s="26"/>
      <c r="ZS216" s="23"/>
      <c r="ZX216" s="26"/>
      <c r="AAB216" s="23"/>
      <c r="AAG216" s="26"/>
      <c r="AAK216" s="23"/>
      <c r="AAP216" s="26"/>
      <c r="AAT216" s="23"/>
      <c r="AAY216" s="26"/>
      <c r="ABC216" s="23"/>
      <c r="ABH216" s="26"/>
      <c r="ABL216" s="23"/>
      <c r="ABQ216" s="26"/>
      <c r="ABU216" s="23"/>
      <c r="ABZ216" s="26"/>
      <c r="ACD216" s="23"/>
      <c r="ACI216" s="26"/>
      <c r="ACM216" s="23"/>
      <c r="ACR216" s="26"/>
      <c r="ACV216" s="23"/>
      <c r="ADA216" s="26"/>
      <c r="ADE216" s="23"/>
      <c r="ADJ216" s="26"/>
      <c r="ADN216" s="23"/>
      <c r="ADS216" s="26"/>
      <c r="ADW216" s="23"/>
      <c r="AEB216" s="26"/>
      <c r="AEF216" s="23"/>
      <c r="AEK216" s="26"/>
      <c r="AEO216" s="23"/>
      <c r="AET216" s="26"/>
      <c r="AEX216" s="23"/>
      <c r="AFC216" s="26"/>
      <c r="AFG216" s="23"/>
      <c r="AFL216" s="26"/>
      <c r="AFP216" s="23"/>
      <c r="AFU216" s="26"/>
      <c r="AFY216" s="23"/>
      <c r="AGD216" s="26"/>
      <c r="AGH216" s="23"/>
      <c r="AGM216" s="26"/>
      <c r="AGQ216" s="23"/>
      <c r="AGV216" s="26"/>
      <c r="AGZ216" s="23"/>
      <c r="AHE216" s="26"/>
      <c r="AHI216" s="23"/>
      <c r="AHN216" s="26"/>
      <c r="AHR216" s="23"/>
      <c r="AHW216" s="26"/>
      <c r="AIA216" s="23"/>
      <c r="AIF216" s="26"/>
      <c r="AIJ216" s="23"/>
      <c r="AIO216" s="26"/>
      <c r="AIS216" s="23"/>
      <c r="AIX216" s="26"/>
      <c r="AJB216" s="23"/>
      <c r="AJG216" s="26"/>
      <c r="AJK216" s="23"/>
      <c r="AJP216" s="26"/>
      <c r="AJT216" s="23"/>
      <c r="AJY216" s="26"/>
      <c r="AKC216" s="23"/>
      <c r="AKH216" s="26"/>
      <c r="AKL216" s="23"/>
      <c r="AKQ216" s="26"/>
      <c r="AKU216" s="23"/>
      <c r="AKZ216" s="26"/>
      <c r="ALD216" s="23"/>
      <c r="ALI216" s="26"/>
      <c r="ALM216" s="23"/>
      <c r="ALR216" s="26"/>
      <c r="ALV216" s="23"/>
      <c r="AMA216" s="26"/>
      <c r="AME216" s="23"/>
      <c r="AMJ216" s="26"/>
      <c r="AMN216" s="23"/>
      <c r="AMS216" s="26"/>
      <c r="AMW216" s="23"/>
      <c r="ANB216" s="26"/>
      <c r="ANF216" s="23"/>
      <c r="ANK216" s="26"/>
      <c r="ANO216" s="23"/>
      <c r="ANT216" s="26"/>
      <c r="ANX216" s="23"/>
      <c r="AOC216" s="26"/>
      <c r="AOG216" s="23"/>
      <c r="AOL216" s="26"/>
      <c r="AOP216" s="23"/>
      <c r="AOU216" s="26"/>
      <c r="AOY216" s="23"/>
      <c r="APD216" s="26"/>
      <c r="APH216" s="23"/>
      <c r="APM216" s="26"/>
      <c r="APQ216" s="23"/>
      <c r="APV216" s="26"/>
      <c r="APZ216" s="23"/>
      <c r="AQE216" s="26"/>
      <c r="AQI216" s="23"/>
      <c r="AQN216" s="26"/>
      <c r="AQR216" s="23"/>
      <c r="AQW216" s="26"/>
      <c r="ARA216" s="23"/>
      <c r="ARF216" s="26"/>
      <c r="ARJ216" s="23"/>
      <c r="ARO216" s="26"/>
      <c r="ARS216" s="23"/>
      <c r="ARX216" s="26"/>
      <c r="ASB216" s="23"/>
      <c r="ASG216" s="26"/>
      <c r="ASK216" s="23"/>
      <c r="ASP216" s="26"/>
      <c r="AST216" s="23"/>
      <c r="ASY216" s="26"/>
      <c r="ATC216" s="23"/>
      <c r="ATH216" s="26"/>
      <c r="ATL216" s="23"/>
      <c r="ATQ216" s="26"/>
      <c r="ATU216" s="23"/>
      <c r="ATZ216" s="26"/>
      <c r="AUD216" s="23"/>
      <c r="AUI216" s="26"/>
      <c r="AUM216" s="23"/>
      <c r="AUR216" s="26"/>
      <c r="AUV216" s="23"/>
      <c r="AVA216" s="26"/>
      <c r="AVE216" s="23"/>
      <c r="AVJ216" s="26"/>
      <c r="AVN216" s="23"/>
      <c r="AVS216" s="26"/>
      <c r="AVW216" s="23"/>
      <c r="AWB216" s="26"/>
      <c r="AWF216" s="23"/>
      <c r="AWK216" s="26"/>
      <c r="AWO216" s="23"/>
      <c r="AWT216" s="26"/>
      <c r="AWX216" s="23"/>
      <c r="AXC216" s="26"/>
      <c r="AXG216" s="23"/>
      <c r="AXL216" s="26"/>
      <c r="AXP216" s="23"/>
      <c r="AXU216" s="26"/>
      <c r="AXY216" s="23"/>
      <c r="AYD216" s="26"/>
      <c r="AYH216" s="23"/>
      <c r="AYM216" s="26"/>
      <c r="AYQ216" s="23"/>
      <c r="AYV216" s="26"/>
      <c r="AYZ216" s="23"/>
      <c r="AZE216" s="26"/>
      <c r="AZI216" s="23"/>
      <c r="AZN216" s="26"/>
      <c r="AZR216" s="23"/>
      <c r="AZW216" s="26"/>
      <c r="BAA216" s="23"/>
      <c r="BAF216" s="26"/>
      <c r="BAJ216" s="23"/>
      <c r="BAO216" s="26"/>
      <c r="BAS216" s="23"/>
      <c r="BAX216" s="26"/>
      <c r="BBB216" s="23"/>
      <c r="BBG216" s="26"/>
      <c r="BBK216" s="23"/>
      <c r="BBP216" s="26"/>
      <c r="BBT216" s="23"/>
      <c r="BBY216" s="26"/>
      <c r="BCC216" s="23"/>
      <c r="BCH216" s="26"/>
      <c r="BCL216" s="23"/>
      <c r="BCQ216" s="26"/>
      <c r="BCU216" s="23"/>
      <c r="BCZ216" s="26"/>
      <c r="BDD216" s="23"/>
      <c r="BDI216" s="26"/>
      <c r="BDM216" s="23"/>
      <c r="BDR216" s="26"/>
      <c r="BDV216" s="23"/>
      <c r="BEA216" s="26"/>
      <c r="BEE216" s="23"/>
      <c r="BEJ216" s="26"/>
      <c r="BEN216" s="23"/>
      <c r="BES216" s="26"/>
      <c r="BEW216" s="23"/>
      <c r="BFB216" s="26"/>
      <c r="BFF216" s="23"/>
      <c r="BFK216" s="26"/>
      <c r="BFO216" s="23"/>
      <c r="BFT216" s="26"/>
      <c r="BFX216" s="23"/>
      <c r="BGC216" s="26"/>
      <c r="BGG216" s="23"/>
      <c r="BGL216" s="26"/>
      <c r="BGP216" s="23"/>
      <c r="BGU216" s="26"/>
      <c r="BGY216" s="23"/>
      <c r="BHD216" s="26"/>
      <c r="BHH216" s="23"/>
      <c r="BHM216" s="26"/>
      <c r="BHQ216" s="23"/>
      <c r="BHV216" s="26"/>
      <c r="BHZ216" s="23"/>
      <c r="BIE216" s="26"/>
      <c r="BII216" s="23"/>
      <c r="BIN216" s="26"/>
      <c r="BIR216" s="23"/>
      <c r="BIW216" s="26"/>
      <c r="BJA216" s="23"/>
      <c r="BJF216" s="26"/>
      <c r="BJJ216" s="23"/>
      <c r="BJO216" s="26"/>
      <c r="BJS216" s="23"/>
      <c r="BJX216" s="26"/>
      <c r="BKB216" s="23"/>
      <c r="BKG216" s="26"/>
      <c r="BKK216" s="23"/>
      <c r="BKP216" s="26"/>
      <c r="BKT216" s="23"/>
      <c r="BKY216" s="26"/>
      <c r="BLC216" s="23"/>
      <c r="BLH216" s="26"/>
      <c r="BLL216" s="23"/>
      <c r="BLQ216" s="26"/>
      <c r="BLU216" s="23"/>
      <c r="BLZ216" s="26"/>
      <c r="BMD216" s="23"/>
      <c r="BMI216" s="26"/>
      <c r="BMM216" s="23"/>
      <c r="BMR216" s="26"/>
      <c r="BMV216" s="23"/>
      <c r="BNA216" s="26"/>
      <c r="BNE216" s="23"/>
      <c r="BNJ216" s="26"/>
      <c r="BNN216" s="23"/>
      <c r="BNS216" s="26"/>
      <c r="BNW216" s="23"/>
      <c r="BOB216" s="26"/>
      <c r="BOF216" s="23"/>
      <c r="BOK216" s="26"/>
      <c r="BOO216" s="23"/>
      <c r="BOT216" s="26"/>
      <c r="BOX216" s="23"/>
      <c r="BPC216" s="26"/>
      <c r="BPG216" s="23"/>
      <c r="BPL216" s="26"/>
      <c r="BPP216" s="23"/>
      <c r="BPU216" s="26"/>
      <c r="BPY216" s="23"/>
      <c r="BQD216" s="26"/>
      <c r="BQH216" s="23"/>
      <c r="BQM216" s="26"/>
      <c r="BQQ216" s="23"/>
      <c r="BQV216" s="26"/>
      <c r="BQZ216" s="23"/>
      <c r="BRE216" s="26"/>
      <c r="BRI216" s="23"/>
      <c r="BRN216" s="26"/>
      <c r="BRR216" s="23"/>
      <c r="BRW216" s="26"/>
      <c r="BSA216" s="23"/>
      <c r="BSF216" s="26"/>
      <c r="BSJ216" s="23"/>
      <c r="BSO216" s="26"/>
      <c r="BSS216" s="23"/>
      <c r="BSX216" s="26"/>
      <c r="BTB216" s="23"/>
      <c r="BTG216" s="26"/>
      <c r="BTK216" s="23"/>
      <c r="BTP216" s="26"/>
      <c r="BTT216" s="23"/>
      <c r="BTY216" s="26"/>
      <c r="BUC216" s="23"/>
      <c r="BUH216" s="26"/>
      <c r="BUL216" s="23"/>
      <c r="BUQ216" s="26"/>
      <c r="BUU216" s="23"/>
      <c r="BUZ216" s="26"/>
      <c r="BVD216" s="23"/>
      <c r="BVI216" s="26"/>
      <c r="BVM216" s="23"/>
      <c r="BVR216" s="26"/>
      <c r="BVV216" s="23"/>
      <c r="BWA216" s="26"/>
      <c r="BWE216" s="23"/>
      <c r="BWJ216" s="26"/>
      <c r="BWN216" s="23"/>
      <c r="BWS216" s="26"/>
      <c r="BWW216" s="23"/>
      <c r="BXB216" s="26"/>
      <c r="BXF216" s="23"/>
      <c r="BXK216" s="26"/>
      <c r="BXO216" s="23"/>
      <c r="BXT216" s="26"/>
      <c r="BXX216" s="23"/>
      <c r="BYC216" s="26"/>
      <c r="BYG216" s="23"/>
      <c r="BYL216" s="26"/>
      <c r="BYP216" s="23"/>
      <c r="BYU216" s="26"/>
      <c r="BYY216" s="23"/>
      <c r="BZD216" s="26"/>
      <c r="BZH216" s="23"/>
      <c r="BZM216" s="26"/>
      <c r="BZQ216" s="23"/>
      <c r="BZV216" s="26"/>
      <c r="BZZ216" s="23"/>
      <c r="CAE216" s="26"/>
      <c r="CAI216" s="23"/>
      <c r="CAN216" s="26"/>
      <c r="CAR216" s="23"/>
      <c r="CAW216" s="26"/>
      <c r="CBA216" s="23"/>
      <c r="CBF216" s="26"/>
      <c r="CBJ216" s="23"/>
      <c r="CBO216" s="26"/>
      <c r="CBS216" s="23"/>
      <c r="CBX216" s="26"/>
      <c r="CCB216" s="23"/>
      <c r="CCG216" s="26"/>
      <c r="CCK216" s="23"/>
      <c r="CCP216" s="26"/>
      <c r="CCT216" s="23"/>
      <c r="CCY216" s="26"/>
      <c r="CDC216" s="23"/>
      <c r="CDH216" s="26"/>
      <c r="CDL216" s="23"/>
      <c r="CDQ216" s="26"/>
      <c r="CDU216" s="23"/>
      <c r="CDZ216" s="26"/>
      <c r="CED216" s="23"/>
      <c r="CEI216" s="26"/>
      <c r="CEM216" s="23"/>
      <c r="CER216" s="26"/>
      <c r="CEV216" s="23"/>
      <c r="CFA216" s="26"/>
      <c r="CFE216" s="23"/>
      <c r="CFJ216" s="26"/>
      <c r="CFN216" s="23"/>
      <c r="CFS216" s="26"/>
      <c r="CFW216" s="23"/>
      <c r="CGB216" s="26"/>
      <c r="CGF216" s="23"/>
      <c r="CGK216" s="26"/>
      <c r="CGO216" s="23"/>
      <c r="CGT216" s="26"/>
      <c r="CGX216" s="23"/>
      <c r="CHC216" s="26"/>
      <c r="CHG216" s="23"/>
      <c r="CHL216" s="26"/>
      <c r="CHP216" s="23"/>
      <c r="CHU216" s="26"/>
      <c r="CHY216" s="23"/>
      <c r="CID216" s="26"/>
      <c r="CIH216" s="23"/>
      <c r="CIM216" s="26"/>
      <c r="CIQ216" s="23"/>
      <c r="CIV216" s="26"/>
      <c r="CIZ216" s="23"/>
      <c r="CJE216" s="26"/>
      <c r="CJI216" s="23"/>
      <c r="CJN216" s="26"/>
      <c r="CJR216" s="23"/>
      <c r="CJW216" s="26"/>
      <c r="CKA216" s="23"/>
      <c r="CKF216" s="26"/>
      <c r="CKJ216" s="23"/>
      <c r="CKO216" s="26"/>
      <c r="CKS216" s="23"/>
      <c r="CKX216" s="26"/>
      <c r="CLB216" s="23"/>
      <c r="CLG216" s="26"/>
      <c r="CLK216" s="23"/>
      <c r="CLP216" s="26"/>
      <c r="CLT216" s="23"/>
      <c r="CLY216" s="26"/>
      <c r="CMC216" s="23"/>
      <c r="CMH216" s="26"/>
      <c r="CML216" s="23"/>
      <c r="CMQ216" s="26"/>
      <c r="CMU216" s="23"/>
      <c r="CMZ216" s="26"/>
      <c r="CND216" s="23"/>
      <c r="CNI216" s="26"/>
      <c r="CNM216" s="23"/>
      <c r="CNR216" s="26"/>
      <c r="CNV216" s="23"/>
      <c r="COA216" s="26"/>
      <c r="COE216" s="23"/>
      <c r="COJ216" s="26"/>
      <c r="CON216" s="23"/>
      <c r="COS216" s="26"/>
      <c r="COW216" s="23"/>
      <c r="CPB216" s="26"/>
      <c r="CPF216" s="23"/>
      <c r="CPK216" s="26"/>
      <c r="CPO216" s="23"/>
      <c r="CPT216" s="26"/>
      <c r="CPX216" s="23"/>
      <c r="CQC216" s="26"/>
      <c r="CQG216" s="23"/>
      <c r="CQL216" s="26"/>
      <c r="CQP216" s="23"/>
      <c r="CQU216" s="26"/>
      <c r="CQY216" s="23"/>
      <c r="CRD216" s="26"/>
      <c r="CRH216" s="23"/>
      <c r="CRM216" s="26"/>
      <c r="CRQ216" s="23"/>
      <c r="CRV216" s="26"/>
      <c r="CRZ216" s="23"/>
      <c r="CSE216" s="26"/>
      <c r="CSI216" s="23"/>
      <c r="CSN216" s="26"/>
      <c r="CSR216" s="23"/>
      <c r="CSW216" s="26"/>
      <c r="CTA216" s="23"/>
      <c r="CTF216" s="26"/>
      <c r="CTJ216" s="23"/>
      <c r="CTO216" s="26"/>
      <c r="CTS216" s="23"/>
      <c r="CTX216" s="26"/>
      <c r="CUB216" s="23"/>
      <c r="CUG216" s="26"/>
      <c r="CUK216" s="23"/>
      <c r="CUP216" s="26"/>
      <c r="CUT216" s="23"/>
      <c r="CUY216" s="26"/>
      <c r="CVC216" s="23"/>
      <c r="CVH216" s="26"/>
      <c r="CVL216" s="23"/>
      <c r="CVQ216" s="26"/>
      <c r="CVU216" s="23"/>
      <c r="CVZ216" s="26"/>
      <c r="CWD216" s="23"/>
      <c r="CWI216" s="26"/>
      <c r="CWM216" s="23"/>
      <c r="CWR216" s="26"/>
      <c r="CWV216" s="23"/>
      <c r="CXA216" s="26"/>
      <c r="CXE216" s="23"/>
      <c r="CXJ216" s="26"/>
      <c r="CXN216" s="23"/>
      <c r="CXS216" s="26"/>
      <c r="CXW216" s="23"/>
      <c r="CYB216" s="26"/>
      <c r="CYF216" s="23"/>
      <c r="CYK216" s="26"/>
      <c r="CYO216" s="23"/>
      <c r="CYT216" s="26"/>
      <c r="CYX216" s="23"/>
      <c r="CZC216" s="26"/>
      <c r="CZG216" s="23"/>
      <c r="CZL216" s="26"/>
      <c r="CZP216" s="23"/>
      <c r="CZU216" s="26"/>
      <c r="CZY216" s="23"/>
      <c r="DAD216" s="26"/>
      <c r="DAH216" s="23"/>
      <c r="DAM216" s="26"/>
      <c r="DAQ216" s="23"/>
      <c r="DAV216" s="26"/>
      <c r="DAZ216" s="23"/>
      <c r="DBE216" s="26"/>
      <c r="DBI216" s="23"/>
      <c r="DBN216" s="26"/>
      <c r="DBR216" s="23"/>
      <c r="DBW216" s="26"/>
      <c r="DCA216" s="23"/>
      <c r="DCF216" s="26"/>
      <c r="DCJ216" s="23"/>
      <c r="DCO216" s="26"/>
      <c r="DCS216" s="23"/>
      <c r="DCX216" s="26"/>
      <c r="DDB216" s="23"/>
      <c r="DDG216" s="26"/>
      <c r="DDK216" s="23"/>
      <c r="DDP216" s="26"/>
      <c r="DDT216" s="23"/>
      <c r="DDY216" s="26"/>
      <c r="DEC216" s="23"/>
      <c r="DEH216" s="26"/>
      <c r="DEL216" s="23"/>
      <c r="DEQ216" s="26"/>
      <c r="DEU216" s="23"/>
      <c r="DEZ216" s="26"/>
      <c r="DFD216" s="23"/>
      <c r="DFI216" s="26"/>
      <c r="DFM216" s="23"/>
      <c r="DFR216" s="26"/>
      <c r="DFV216" s="23"/>
      <c r="DGA216" s="26"/>
      <c r="DGE216" s="23"/>
      <c r="DGJ216" s="26"/>
      <c r="DGN216" s="23"/>
      <c r="DGS216" s="26"/>
      <c r="DGW216" s="23"/>
      <c r="DHB216" s="26"/>
      <c r="DHF216" s="23"/>
      <c r="DHK216" s="26"/>
      <c r="DHO216" s="23"/>
      <c r="DHT216" s="26"/>
      <c r="DHX216" s="23"/>
      <c r="DIC216" s="26"/>
      <c r="DIG216" s="23"/>
      <c r="DIL216" s="26"/>
      <c r="DIP216" s="23"/>
      <c r="DIU216" s="26"/>
      <c r="DIY216" s="23"/>
      <c r="DJD216" s="26"/>
      <c r="DJH216" s="23"/>
      <c r="DJM216" s="26"/>
      <c r="DJQ216" s="23"/>
      <c r="DJV216" s="26"/>
      <c r="DJZ216" s="23"/>
      <c r="DKE216" s="26"/>
      <c r="DKI216" s="23"/>
      <c r="DKN216" s="26"/>
      <c r="DKR216" s="23"/>
      <c r="DKW216" s="26"/>
      <c r="DLA216" s="23"/>
      <c r="DLF216" s="26"/>
      <c r="DLJ216" s="23"/>
      <c r="DLO216" s="26"/>
      <c r="DLS216" s="23"/>
      <c r="DLX216" s="26"/>
      <c r="DMB216" s="23"/>
      <c r="DMG216" s="26"/>
      <c r="DMK216" s="23"/>
      <c r="DMP216" s="26"/>
      <c r="DMT216" s="23"/>
      <c r="DMY216" s="26"/>
      <c r="DNC216" s="23"/>
      <c r="DNH216" s="26"/>
      <c r="DNL216" s="23"/>
      <c r="DNQ216" s="26"/>
      <c r="DNU216" s="23"/>
      <c r="DNZ216" s="26"/>
      <c r="DOD216" s="23"/>
      <c r="DOI216" s="26"/>
      <c r="DOM216" s="23"/>
      <c r="DOR216" s="26"/>
      <c r="DOV216" s="23"/>
      <c r="DPA216" s="26"/>
      <c r="DPE216" s="23"/>
      <c r="DPJ216" s="26"/>
      <c r="DPN216" s="23"/>
      <c r="DPS216" s="26"/>
      <c r="DPW216" s="23"/>
      <c r="DQB216" s="26"/>
      <c r="DQF216" s="23"/>
      <c r="DQK216" s="26"/>
      <c r="DQO216" s="23"/>
      <c r="DQT216" s="26"/>
      <c r="DQX216" s="23"/>
      <c r="DRC216" s="26"/>
      <c r="DRG216" s="23"/>
      <c r="DRL216" s="26"/>
      <c r="DRP216" s="23"/>
      <c r="DRU216" s="26"/>
      <c r="DRY216" s="23"/>
      <c r="DSD216" s="26"/>
      <c r="DSH216" s="23"/>
      <c r="DSM216" s="26"/>
      <c r="DSQ216" s="23"/>
      <c r="DSV216" s="26"/>
      <c r="DSZ216" s="23"/>
      <c r="DTE216" s="26"/>
      <c r="DTI216" s="23"/>
      <c r="DTN216" s="26"/>
      <c r="DTR216" s="23"/>
      <c r="DTW216" s="26"/>
      <c r="DUA216" s="23"/>
      <c r="DUF216" s="26"/>
      <c r="DUJ216" s="23"/>
      <c r="DUO216" s="26"/>
      <c r="DUS216" s="23"/>
      <c r="DUX216" s="26"/>
      <c r="DVB216" s="23"/>
      <c r="DVG216" s="26"/>
      <c r="DVK216" s="23"/>
      <c r="DVP216" s="26"/>
      <c r="DVT216" s="23"/>
      <c r="DVY216" s="26"/>
      <c r="DWC216" s="23"/>
      <c r="DWH216" s="26"/>
      <c r="DWL216" s="23"/>
      <c r="DWQ216" s="26"/>
      <c r="DWU216" s="23"/>
      <c r="DWZ216" s="26"/>
      <c r="DXD216" s="23"/>
      <c r="DXI216" s="26"/>
      <c r="DXM216" s="23"/>
      <c r="DXR216" s="26"/>
      <c r="DXV216" s="23"/>
      <c r="DYA216" s="26"/>
      <c r="DYE216" s="23"/>
      <c r="DYJ216" s="26"/>
      <c r="DYN216" s="23"/>
      <c r="DYS216" s="26"/>
      <c r="DYW216" s="23"/>
      <c r="DZB216" s="26"/>
      <c r="DZF216" s="23"/>
      <c r="DZK216" s="26"/>
      <c r="DZO216" s="23"/>
      <c r="DZT216" s="26"/>
      <c r="DZX216" s="23"/>
      <c r="EAC216" s="26"/>
      <c r="EAG216" s="23"/>
      <c r="EAL216" s="26"/>
      <c r="EAP216" s="23"/>
      <c r="EAU216" s="26"/>
      <c r="EAY216" s="23"/>
      <c r="EBD216" s="26"/>
      <c r="EBH216" s="23"/>
      <c r="EBM216" s="26"/>
      <c r="EBQ216" s="23"/>
      <c r="EBV216" s="26"/>
      <c r="EBZ216" s="23"/>
      <c r="ECE216" s="26"/>
      <c r="ECI216" s="23"/>
      <c r="ECN216" s="26"/>
      <c r="ECR216" s="23"/>
      <c r="ECW216" s="26"/>
      <c r="EDA216" s="23"/>
      <c r="EDF216" s="26"/>
      <c r="EDJ216" s="23"/>
      <c r="EDO216" s="26"/>
      <c r="EDS216" s="23"/>
      <c r="EDX216" s="26"/>
      <c r="EEB216" s="23"/>
      <c r="EEG216" s="26"/>
      <c r="EEK216" s="23"/>
      <c r="EEP216" s="26"/>
      <c r="EET216" s="23"/>
      <c r="EEY216" s="26"/>
      <c r="EFC216" s="23"/>
      <c r="EFH216" s="26"/>
      <c r="EFL216" s="23"/>
      <c r="EFQ216" s="26"/>
      <c r="EFU216" s="23"/>
      <c r="EFZ216" s="26"/>
      <c r="EGD216" s="23"/>
      <c r="EGI216" s="26"/>
      <c r="EGM216" s="23"/>
      <c r="EGR216" s="26"/>
      <c r="EGV216" s="23"/>
      <c r="EHA216" s="26"/>
      <c r="EHE216" s="23"/>
      <c r="EHJ216" s="26"/>
      <c r="EHN216" s="23"/>
      <c r="EHS216" s="26"/>
      <c r="EHW216" s="23"/>
      <c r="EIB216" s="26"/>
      <c r="EIF216" s="23"/>
      <c r="EIK216" s="26"/>
      <c r="EIO216" s="23"/>
      <c r="EIT216" s="26"/>
      <c r="EIX216" s="23"/>
      <c r="EJC216" s="26"/>
      <c r="EJG216" s="23"/>
      <c r="EJL216" s="26"/>
      <c r="EJP216" s="23"/>
      <c r="EJU216" s="26"/>
      <c r="EJY216" s="23"/>
      <c r="EKD216" s="26"/>
      <c r="EKH216" s="23"/>
      <c r="EKM216" s="26"/>
      <c r="EKQ216" s="23"/>
      <c r="EKV216" s="26"/>
      <c r="EKZ216" s="23"/>
      <c r="ELE216" s="26"/>
      <c r="ELI216" s="23"/>
      <c r="ELN216" s="26"/>
      <c r="ELR216" s="23"/>
      <c r="ELW216" s="26"/>
      <c r="EMA216" s="23"/>
      <c r="EMF216" s="26"/>
      <c r="EMJ216" s="23"/>
      <c r="EMO216" s="26"/>
      <c r="EMS216" s="23"/>
      <c r="EMX216" s="26"/>
      <c r="ENB216" s="23"/>
      <c r="ENG216" s="26"/>
      <c r="ENK216" s="23"/>
      <c r="ENP216" s="26"/>
      <c r="ENT216" s="23"/>
      <c r="ENY216" s="26"/>
      <c r="EOC216" s="23"/>
      <c r="EOH216" s="26"/>
      <c r="EOL216" s="23"/>
      <c r="EOQ216" s="26"/>
      <c r="EOU216" s="23"/>
      <c r="EOZ216" s="26"/>
      <c r="EPD216" s="23"/>
      <c r="EPI216" s="26"/>
      <c r="EPM216" s="23"/>
      <c r="EPR216" s="26"/>
      <c r="EPV216" s="23"/>
      <c r="EQA216" s="26"/>
      <c r="EQE216" s="23"/>
      <c r="EQJ216" s="26"/>
      <c r="EQN216" s="23"/>
      <c r="EQS216" s="26"/>
      <c r="EQW216" s="23"/>
      <c r="ERB216" s="26"/>
      <c r="ERF216" s="23"/>
      <c r="ERK216" s="26"/>
      <c r="ERO216" s="23"/>
      <c r="ERT216" s="26"/>
      <c r="ERX216" s="23"/>
      <c r="ESC216" s="26"/>
      <c r="ESG216" s="23"/>
      <c r="ESL216" s="26"/>
      <c r="ESP216" s="23"/>
      <c r="ESU216" s="26"/>
      <c r="ESY216" s="23"/>
      <c r="ETD216" s="26"/>
      <c r="ETH216" s="23"/>
      <c r="ETM216" s="26"/>
      <c r="ETQ216" s="23"/>
      <c r="ETV216" s="26"/>
      <c r="ETZ216" s="23"/>
      <c r="EUE216" s="26"/>
      <c r="EUI216" s="23"/>
      <c r="EUN216" s="26"/>
      <c r="EUR216" s="23"/>
      <c r="EUW216" s="26"/>
      <c r="EVA216" s="23"/>
      <c r="EVF216" s="26"/>
      <c r="EVJ216" s="23"/>
      <c r="EVO216" s="26"/>
      <c r="EVS216" s="23"/>
      <c r="EVX216" s="26"/>
      <c r="EWB216" s="23"/>
      <c r="EWG216" s="26"/>
      <c r="EWK216" s="23"/>
      <c r="EWP216" s="26"/>
      <c r="EWT216" s="23"/>
      <c r="EWY216" s="26"/>
      <c r="EXC216" s="23"/>
      <c r="EXH216" s="26"/>
      <c r="EXL216" s="23"/>
      <c r="EXQ216" s="26"/>
      <c r="EXU216" s="23"/>
      <c r="EXZ216" s="26"/>
      <c r="EYD216" s="23"/>
      <c r="EYI216" s="26"/>
      <c r="EYM216" s="23"/>
      <c r="EYR216" s="26"/>
      <c r="EYV216" s="23"/>
      <c r="EZA216" s="26"/>
      <c r="EZE216" s="23"/>
      <c r="EZJ216" s="26"/>
      <c r="EZN216" s="23"/>
      <c r="EZS216" s="26"/>
      <c r="EZW216" s="23"/>
      <c r="FAB216" s="26"/>
      <c r="FAF216" s="23"/>
      <c r="FAK216" s="26"/>
      <c r="FAO216" s="23"/>
      <c r="FAT216" s="26"/>
      <c r="FAX216" s="23"/>
      <c r="FBC216" s="26"/>
      <c r="FBG216" s="23"/>
      <c r="FBL216" s="26"/>
      <c r="FBP216" s="23"/>
      <c r="FBU216" s="26"/>
      <c r="FBY216" s="23"/>
      <c r="FCD216" s="26"/>
      <c r="FCH216" s="23"/>
      <c r="FCM216" s="26"/>
      <c r="FCQ216" s="23"/>
      <c r="FCV216" s="26"/>
      <c r="FCZ216" s="23"/>
      <c r="FDE216" s="26"/>
      <c r="FDI216" s="23"/>
      <c r="FDN216" s="26"/>
      <c r="FDR216" s="23"/>
      <c r="FDW216" s="26"/>
      <c r="FEA216" s="23"/>
      <c r="FEF216" s="26"/>
      <c r="FEJ216" s="23"/>
      <c r="FEO216" s="26"/>
      <c r="FES216" s="23"/>
      <c r="FEX216" s="26"/>
      <c r="FFB216" s="23"/>
      <c r="FFG216" s="26"/>
      <c r="FFK216" s="23"/>
      <c r="FFP216" s="26"/>
      <c r="FFT216" s="23"/>
      <c r="FFY216" s="26"/>
      <c r="FGC216" s="23"/>
      <c r="FGH216" s="26"/>
      <c r="FGL216" s="23"/>
      <c r="FGQ216" s="26"/>
      <c r="FGU216" s="23"/>
      <c r="FGZ216" s="26"/>
      <c r="FHD216" s="23"/>
      <c r="FHI216" s="26"/>
      <c r="FHM216" s="23"/>
      <c r="FHR216" s="26"/>
      <c r="FHV216" s="23"/>
      <c r="FIA216" s="26"/>
      <c r="FIE216" s="23"/>
      <c r="FIJ216" s="26"/>
      <c r="FIN216" s="23"/>
      <c r="FIS216" s="26"/>
      <c r="FIW216" s="23"/>
      <c r="FJB216" s="26"/>
      <c r="FJF216" s="23"/>
      <c r="FJK216" s="26"/>
      <c r="FJO216" s="23"/>
      <c r="FJT216" s="26"/>
      <c r="FJX216" s="23"/>
      <c r="FKC216" s="26"/>
      <c r="FKG216" s="23"/>
      <c r="FKL216" s="26"/>
      <c r="FKP216" s="23"/>
      <c r="FKU216" s="26"/>
      <c r="FKY216" s="23"/>
      <c r="FLD216" s="26"/>
      <c r="FLH216" s="23"/>
      <c r="FLM216" s="26"/>
      <c r="FLQ216" s="23"/>
      <c r="FLV216" s="26"/>
      <c r="FLZ216" s="23"/>
      <c r="FME216" s="26"/>
      <c r="FMI216" s="23"/>
      <c r="FMN216" s="26"/>
      <c r="FMR216" s="23"/>
      <c r="FMW216" s="26"/>
      <c r="FNA216" s="23"/>
      <c r="FNF216" s="26"/>
      <c r="FNJ216" s="23"/>
      <c r="FNO216" s="26"/>
      <c r="FNS216" s="23"/>
      <c r="FNX216" s="26"/>
      <c r="FOB216" s="23"/>
      <c r="FOG216" s="26"/>
      <c r="FOK216" s="23"/>
      <c r="FOP216" s="26"/>
      <c r="FOT216" s="23"/>
      <c r="FOY216" s="26"/>
      <c r="FPC216" s="23"/>
      <c r="FPH216" s="26"/>
      <c r="FPL216" s="23"/>
      <c r="FPQ216" s="26"/>
      <c r="FPU216" s="23"/>
      <c r="FPZ216" s="26"/>
      <c r="FQD216" s="23"/>
      <c r="FQI216" s="26"/>
      <c r="FQM216" s="23"/>
      <c r="FQR216" s="26"/>
      <c r="FQV216" s="23"/>
      <c r="FRA216" s="26"/>
      <c r="FRE216" s="23"/>
      <c r="FRJ216" s="26"/>
      <c r="FRN216" s="23"/>
      <c r="FRS216" s="26"/>
      <c r="FRW216" s="23"/>
      <c r="FSB216" s="26"/>
      <c r="FSF216" s="23"/>
      <c r="FSK216" s="26"/>
      <c r="FSO216" s="23"/>
      <c r="FST216" s="26"/>
      <c r="FSX216" s="23"/>
      <c r="FTC216" s="26"/>
      <c r="FTG216" s="23"/>
      <c r="FTL216" s="26"/>
      <c r="FTP216" s="23"/>
      <c r="FTU216" s="26"/>
      <c r="FTY216" s="23"/>
      <c r="FUD216" s="26"/>
      <c r="FUH216" s="23"/>
      <c r="FUM216" s="26"/>
      <c r="FUQ216" s="23"/>
      <c r="FUV216" s="26"/>
      <c r="FUZ216" s="23"/>
      <c r="FVE216" s="26"/>
      <c r="FVI216" s="23"/>
      <c r="FVN216" s="26"/>
      <c r="FVR216" s="23"/>
      <c r="FVW216" s="26"/>
      <c r="FWA216" s="23"/>
      <c r="FWF216" s="26"/>
      <c r="FWJ216" s="23"/>
      <c r="FWO216" s="26"/>
      <c r="FWS216" s="23"/>
      <c r="FWX216" s="26"/>
      <c r="FXB216" s="23"/>
      <c r="FXG216" s="26"/>
      <c r="FXK216" s="23"/>
      <c r="FXP216" s="26"/>
      <c r="FXT216" s="23"/>
      <c r="FXY216" s="26"/>
      <c r="FYC216" s="23"/>
      <c r="FYH216" s="26"/>
      <c r="FYL216" s="23"/>
      <c r="FYQ216" s="26"/>
      <c r="FYU216" s="23"/>
      <c r="FYZ216" s="26"/>
      <c r="FZD216" s="23"/>
      <c r="FZI216" s="26"/>
      <c r="FZM216" s="23"/>
      <c r="FZR216" s="26"/>
      <c r="FZV216" s="23"/>
      <c r="GAA216" s="26"/>
      <c r="GAE216" s="23"/>
      <c r="GAJ216" s="26"/>
      <c r="GAN216" s="23"/>
      <c r="GAS216" s="26"/>
      <c r="GAW216" s="23"/>
      <c r="GBB216" s="26"/>
      <c r="GBF216" s="23"/>
      <c r="GBK216" s="26"/>
      <c r="GBO216" s="23"/>
      <c r="GBT216" s="26"/>
      <c r="GBX216" s="23"/>
      <c r="GCC216" s="26"/>
      <c r="GCG216" s="23"/>
      <c r="GCL216" s="26"/>
      <c r="GCP216" s="23"/>
      <c r="GCU216" s="26"/>
      <c r="GCY216" s="23"/>
      <c r="GDD216" s="26"/>
      <c r="GDH216" s="23"/>
      <c r="GDM216" s="26"/>
      <c r="GDQ216" s="23"/>
      <c r="GDV216" s="26"/>
      <c r="GDZ216" s="23"/>
      <c r="GEE216" s="26"/>
      <c r="GEI216" s="23"/>
      <c r="GEN216" s="26"/>
      <c r="GER216" s="23"/>
      <c r="GEW216" s="26"/>
      <c r="GFA216" s="23"/>
      <c r="GFF216" s="26"/>
      <c r="GFJ216" s="23"/>
      <c r="GFO216" s="26"/>
      <c r="GFS216" s="23"/>
      <c r="GFX216" s="26"/>
      <c r="GGB216" s="23"/>
      <c r="GGG216" s="26"/>
      <c r="GGK216" s="23"/>
      <c r="GGP216" s="26"/>
      <c r="GGT216" s="23"/>
      <c r="GGY216" s="26"/>
      <c r="GHC216" s="23"/>
      <c r="GHH216" s="26"/>
      <c r="GHL216" s="23"/>
      <c r="GHQ216" s="26"/>
      <c r="GHU216" s="23"/>
      <c r="GHZ216" s="26"/>
      <c r="GID216" s="23"/>
      <c r="GII216" s="26"/>
      <c r="GIM216" s="23"/>
      <c r="GIR216" s="26"/>
      <c r="GIV216" s="23"/>
      <c r="GJA216" s="26"/>
      <c r="GJE216" s="23"/>
      <c r="GJJ216" s="26"/>
      <c r="GJN216" s="23"/>
      <c r="GJS216" s="26"/>
      <c r="GJW216" s="23"/>
      <c r="GKB216" s="26"/>
      <c r="GKF216" s="23"/>
      <c r="GKK216" s="26"/>
      <c r="GKO216" s="23"/>
      <c r="GKT216" s="26"/>
      <c r="GKX216" s="23"/>
      <c r="GLC216" s="26"/>
      <c r="GLG216" s="23"/>
      <c r="GLL216" s="26"/>
      <c r="GLP216" s="23"/>
      <c r="GLU216" s="26"/>
      <c r="GLY216" s="23"/>
      <c r="GMD216" s="26"/>
      <c r="GMH216" s="23"/>
      <c r="GMM216" s="26"/>
      <c r="GMQ216" s="23"/>
      <c r="GMV216" s="26"/>
      <c r="GMZ216" s="23"/>
      <c r="GNE216" s="26"/>
      <c r="GNI216" s="23"/>
      <c r="GNN216" s="26"/>
      <c r="GNR216" s="23"/>
      <c r="GNW216" s="26"/>
      <c r="GOA216" s="23"/>
      <c r="GOF216" s="26"/>
      <c r="GOJ216" s="23"/>
      <c r="GOO216" s="26"/>
      <c r="GOS216" s="23"/>
      <c r="GOX216" s="26"/>
      <c r="GPB216" s="23"/>
      <c r="GPG216" s="26"/>
      <c r="GPK216" s="23"/>
      <c r="GPP216" s="26"/>
      <c r="GPT216" s="23"/>
      <c r="GPY216" s="26"/>
      <c r="GQC216" s="23"/>
      <c r="GQH216" s="26"/>
      <c r="GQL216" s="23"/>
      <c r="GQQ216" s="26"/>
      <c r="GQU216" s="23"/>
      <c r="GQZ216" s="26"/>
      <c r="GRD216" s="23"/>
      <c r="GRI216" s="26"/>
      <c r="GRM216" s="23"/>
      <c r="GRR216" s="26"/>
      <c r="GRV216" s="23"/>
      <c r="GSA216" s="26"/>
      <c r="GSE216" s="23"/>
      <c r="GSJ216" s="26"/>
      <c r="GSN216" s="23"/>
      <c r="GSS216" s="26"/>
      <c r="GSW216" s="23"/>
      <c r="GTB216" s="26"/>
      <c r="GTF216" s="23"/>
      <c r="GTK216" s="26"/>
      <c r="GTO216" s="23"/>
      <c r="GTT216" s="26"/>
      <c r="GTX216" s="23"/>
      <c r="GUC216" s="26"/>
      <c r="GUG216" s="23"/>
      <c r="GUL216" s="26"/>
      <c r="GUP216" s="23"/>
      <c r="GUU216" s="26"/>
      <c r="GUY216" s="23"/>
      <c r="GVD216" s="26"/>
      <c r="GVH216" s="23"/>
      <c r="GVM216" s="26"/>
      <c r="GVQ216" s="23"/>
      <c r="GVV216" s="26"/>
      <c r="GVZ216" s="23"/>
      <c r="GWE216" s="26"/>
      <c r="GWI216" s="23"/>
      <c r="GWN216" s="26"/>
      <c r="GWR216" s="23"/>
      <c r="GWW216" s="26"/>
      <c r="GXA216" s="23"/>
      <c r="GXF216" s="26"/>
      <c r="GXJ216" s="23"/>
      <c r="GXO216" s="26"/>
      <c r="GXS216" s="23"/>
      <c r="GXX216" s="26"/>
      <c r="GYB216" s="23"/>
      <c r="GYG216" s="26"/>
      <c r="GYK216" s="23"/>
      <c r="GYP216" s="26"/>
      <c r="GYT216" s="23"/>
      <c r="GYY216" s="26"/>
      <c r="GZC216" s="23"/>
      <c r="GZH216" s="26"/>
      <c r="GZL216" s="23"/>
      <c r="GZQ216" s="26"/>
      <c r="GZU216" s="23"/>
      <c r="GZZ216" s="26"/>
      <c r="HAD216" s="23"/>
      <c r="HAI216" s="26"/>
      <c r="HAM216" s="23"/>
      <c r="HAR216" s="26"/>
      <c r="HAV216" s="23"/>
      <c r="HBA216" s="26"/>
      <c r="HBE216" s="23"/>
      <c r="HBJ216" s="26"/>
      <c r="HBN216" s="23"/>
      <c r="HBS216" s="26"/>
      <c r="HBW216" s="23"/>
      <c r="HCB216" s="26"/>
      <c r="HCF216" s="23"/>
      <c r="HCK216" s="26"/>
      <c r="HCO216" s="23"/>
      <c r="HCT216" s="26"/>
      <c r="HCX216" s="23"/>
      <c r="HDC216" s="26"/>
      <c r="HDG216" s="23"/>
      <c r="HDL216" s="26"/>
      <c r="HDP216" s="23"/>
      <c r="HDU216" s="26"/>
      <c r="HDY216" s="23"/>
      <c r="HED216" s="26"/>
      <c r="HEH216" s="23"/>
      <c r="HEM216" s="26"/>
      <c r="HEQ216" s="23"/>
      <c r="HEV216" s="26"/>
      <c r="HEZ216" s="23"/>
      <c r="HFE216" s="26"/>
      <c r="HFI216" s="23"/>
      <c r="HFN216" s="26"/>
      <c r="HFR216" s="23"/>
      <c r="HFW216" s="26"/>
      <c r="HGA216" s="23"/>
      <c r="HGF216" s="26"/>
      <c r="HGJ216" s="23"/>
      <c r="HGO216" s="26"/>
      <c r="HGS216" s="23"/>
      <c r="HGX216" s="26"/>
      <c r="HHB216" s="23"/>
      <c r="HHG216" s="26"/>
      <c r="HHK216" s="23"/>
      <c r="HHP216" s="26"/>
      <c r="HHT216" s="23"/>
      <c r="HHY216" s="26"/>
      <c r="HIC216" s="23"/>
      <c r="HIH216" s="26"/>
      <c r="HIL216" s="23"/>
      <c r="HIQ216" s="26"/>
      <c r="HIU216" s="23"/>
      <c r="HIZ216" s="26"/>
      <c r="HJD216" s="23"/>
      <c r="HJI216" s="26"/>
      <c r="HJM216" s="23"/>
      <c r="HJR216" s="26"/>
      <c r="HJV216" s="23"/>
      <c r="HKA216" s="26"/>
      <c r="HKE216" s="23"/>
      <c r="HKJ216" s="26"/>
      <c r="HKN216" s="23"/>
      <c r="HKS216" s="26"/>
      <c r="HKW216" s="23"/>
      <c r="HLB216" s="26"/>
      <c r="HLF216" s="23"/>
      <c r="HLK216" s="26"/>
      <c r="HLO216" s="23"/>
      <c r="HLT216" s="26"/>
      <c r="HLX216" s="23"/>
      <c r="HMC216" s="26"/>
      <c r="HMG216" s="23"/>
      <c r="HML216" s="26"/>
      <c r="HMP216" s="23"/>
      <c r="HMU216" s="26"/>
      <c r="HMY216" s="23"/>
      <c r="HND216" s="26"/>
      <c r="HNH216" s="23"/>
      <c r="HNM216" s="26"/>
      <c r="HNQ216" s="23"/>
      <c r="HNV216" s="26"/>
      <c r="HNZ216" s="23"/>
      <c r="HOE216" s="26"/>
      <c r="HOI216" s="23"/>
      <c r="HON216" s="26"/>
      <c r="HOR216" s="23"/>
      <c r="HOW216" s="26"/>
      <c r="HPA216" s="23"/>
      <c r="HPF216" s="26"/>
      <c r="HPJ216" s="23"/>
      <c r="HPO216" s="26"/>
      <c r="HPS216" s="23"/>
      <c r="HPX216" s="26"/>
      <c r="HQB216" s="23"/>
      <c r="HQG216" s="26"/>
      <c r="HQK216" s="23"/>
      <c r="HQP216" s="26"/>
      <c r="HQT216" s="23"/>
      <c r="HQY216" s="26"/>
      <c r="HRC216" s="23"/>
      <c r="HRH216" s="26"/>
      <c r="HRL216" s="23"/>
      <c r="HRQ216" s="26"/>
      <c r="HRU216" s="23"/>
      <c r="HRZ216" s="26"/>
      <c r="HSD216" s="23"/>
      <c r="HSI216" s="26"/>
      <c r="HSM216" s="23"/>
      <c r="HSR216" s="26"/>
      <c r="HSV216" s="23"/>
      <c r="HTA216" s="26"/>
      <c r="HTE216" s="23"/>
      <c r="HTJ216" s="26"/>
      <c r="HTN216" s="23"/>
      <c r="HTS216" s="26"/>
      <c r="HTW216" s="23"/>
      <c r="HUB216" s="26"/>
      <c r="HUF216" s="23"/>
      <c r="HUK216" s="26"/>
      <c r="HUO216" s="23"/>
      <c r="HUT216" s="26"/>
      <c r="HUX216" s="23"/>
      <c r="HVC216" s="26"/>
      <c r="HVG216" s="23"/>
      <c r="HVL216" s="26"/>
      <c r="HVP216" s="23"/>
      <c r="HVU216" s="26"/>
      <c r="HVY216" s="23"/>
      <c r="HWD216" s="26"/>
      <c r="HWH216" s="23"/>
      <c r="HWM216" s="26"/>
      <c r="HWQ216" s="23"/>
      <c r="HWV216" s="26"/>
      <c r="HWZ216" s="23"/>
      <c r="HXE216" s="26"/>
      <c r="HXI216" s="23"/>
      <c r="HXN216" s="26"/>
      <c r="HXR216" s="23"/>
      <c r="HXW216" s="26"/>
      <c r="HYA216" s="23"/>
      <c r="HYF216" s="26"/>
      <c r="HYJ216" s="23"/>
      <c r="HYO216" s="26"/>
      <c r="HYS216" s="23"/>
      <c r="HYX216" s="26"/>
      <c r="HZB216" s="23"/>
      <c r="HZG216" s="26"/>
      <c r="HZK216" s="23"/>
      <c r="HZP216" s="26"/>
      <c r="HZT216" s="23"/>
      <c r="HZY216" s="26"/>
      <c r="IAC216" s="23"/>
      <c r="IAH216" s="26"/>
      <c r="IAL216" s="23"/>
      <c r="IAQ216" s="26"/>
      <c r="IAU216" s="23"/>
      <c r="IAZ216" s="26"/>
      <c r="IBD216" s="23"/>
      <c r="IBI216" s="26"/>
      <c r="IBM216" s="23"/>
      <c r="IBR216" s="26"/>
      <c r="IBV216" s="23"/>
      <c r="ICA216" s="26"/>
      <c r="ICE216" s="23"/>
      <c r="ICJ216" s="26"/>
      <c r="ICN216" s="23"/>
      <c r="ICS216" s="26"/>
      <c r="ICW216" s="23"/>
      <c r="IDB216" s="26"/>
      <c r="IDF216" s="23"/>
      <c r="IDK216" s="26"/>
      <c r="IDO216" s="23"/>
      <c r="IDT216" s="26"/>
      <c r="IDX216" s="23"/>
      <c r="IEC216" s="26"/>
      <c r="IEG216" s="23"/>
      <c r="IEL216" s="26"/>
      <c r="IEP216" s="23"/>
      <c r="IEU216" s="26"/>
      <c r="IEY216" s="23"/>
      <c r="IFD216" s="26"/>
      <c r="IFH216" s="23"/>
      <c r="IFM216" s="26"/>
      <c r="IFQ216" s="23"/>
      <c r="IFV216" s="26"/>
      <c r="IFZ216" s="23"/>
      <c r="IGE216" s="26"/>
      <c r="IGI216" s="23"/>
      <c r="IGN216" s="26"/>
      <c r="IGR216" s="23"/>
      <c r="IGW216" s="26"/>
      <c r="IHA216" s="23"/>
      <c r="IHF216" s="26"/>
      <c r="IHJ216" s="23"/>
      <c r="IHO216" s="26"/>
      <c r="IHS216" s="23"/>
      <c r="IHX216" s="26"/>
      <c r="IIB216" s="23"/>
      <c r="IIG216" s="26"/>
      <c r="IIK216" s="23"/>
      <c r="IIP216" s="26"/>
      <c r="IIT216" s="23"/>
      <c r="IIY216" s="26"/>
      <c r="IJC216" s="23"/>
      <c r="IJH216" s="26"/>
      <c r="IJL216" s="23"/>
      <c r="IJQ216" s="26"/>
      <c r="IJU216" s="23"/>
      <c r="IJZ216" s="26"/>
      <c r="IKD216" s="23"/>
      <c r="IKI216" s="26"/>
      <c r="IKM216" s="23"/>
      <c r="IKR216" s="26"/>
      <c r="IKV216" s="23"/>
      <c r="ILA216" s="26"/>
      <c r="ILE216" s="23"/>
      <c r="ILJ216" s="26"/>
      <c r="ILN216" s="23"/>
      <c r="ILS216" s="26"/>
      <c r="ILW216" s="23"/>
      <c r="IMB216" s="26"/>
      <c r="IMF216" s="23"/>
      <c r="IMK216" s="26"/>
      <c r="IMO216" s="23"/>
      <c r="IMT216" s="26"/>
      <c r="IMX216" s="23"/>
      <c r="INC216" s="26"/>
      <c r="ING216" s="23"/>
      <c r="INL216" s="26"/>
      <c r="INP216" s="23"/>
      <c r="INU216" s="26"/>
      <c r="INY216" s="23"/>
      <c r="IOD216" s="26"/>
      <c r="IOH216" s="23"/>
      <c r="IOM216" s="26"/>
      <c r="IOQ216" s="23"/>
      <c r="IOV216" s="26"/>
      <c r="IOZ216" s="23"/>
      <c r="IPE216" s="26"/>
      <c r="IPI216" s="23"/>
      <c r="IPN216" s="26"/>
      <c r="IPR216" s="23"/>
      <c r="IPW216" s="26"/>
      <c r="IQA216" s="23"/>
      <c r="IQF216" s="26"/>
      <c r="IQJ216" s="23"/>
      <c r="IQO216" s="26"/>
      <c r="IQS216" s="23"/>
      <c r="IQX216" s="26"/>
      <c r="IRB216" s="23"/>
      <c r="IRG216" s="26"/>
      <c r="IRK216" s="23"/>
      <c r="IRP216" s="26"/>
      <c r="IRT216" s="23"/>
      <c r="IRY216" s="26"/>
      <c r="ISC216" s="23"/>
      <c r="ISH216" s="26"/>
      <c r="ISL216" s="23"/>
      <c r="ISQ216" s="26"/>
      <c r="ISU216" s="23"/>
      <c r="ISZ216" s="26"/>
      <c r="ITD216" s="23"/>
      <c r="ITI216" s="26"/>
      <c r="ITM216" s="23"/>
      <c r="ITR216" s="26"/>
      <c r="ITV216" s="23"/>
      <c r="IUA216" s="26"/>
      <c r="IUE216" s="23"/>
      <c r="IUJ216" s="26"/>
      <c r="IUN216" s="23"/>
      <c r="IUS216" s="26"/>
      <c r="IUW216" s="23"/>
      <c r="IVB216" s="26"/>
      <c r="IVF216" s="23"/>
      <c r="IVK216" s="26"/>
      <c r="IVO216" s="23"/>
      <c r="IVT216" s="26"/>
      <c r="IVX216" s="23"/>
      <c r="IWC216" s="26"/>
      <c r="IWG216" s="23"/>
      <c r="IWL216" s="26"/>
      <c r="IWP216" s="23"/>
      <c r="IWU216" s="26"/>
      <c r="IWY216" s="23"/>
      <c r="IXD216" s="26"/>
      <c r="IXH216" s="23"/>
      <c r="IXM216" s="26"/>
      <c r="IXQ216" s="23"/>
      <c r="IXV216" s="26"/>
      <c r="IXZ216" s="23"/>
      <c r="IYE216" s="26"/>
      <c r="IYI216" s="23"/>
      <c r="IYN216" s="26"/>
      <c r="IYR216" s="23"/>
      <c r="IYW216" s="26"/>
      <c r="IZA216" s="23"/>
      <c r="IZF216" s="26"/>
      <c r="IZJ216" s="23"/>
      <c r="IZO216" s="26"/>
      <c r="IZS216" s="23"/>
      <c r="IZX216" s="26"/>
      <c r="JAB216" s="23"/>
      <c r="JAG216" s="26"/>
      <c r="JAK216" s="23"/>
      <c r="JAP216" s="26"/>
      <c r="JAT216" s="23"/>
      <c r="JAY216" s="26"/>
      <c r="JBC216" s="23"/>
      <c r="JBH216" s="26"/>
      <c r="JBL216" s="23"/>
      <c r="JBQ216" s="26"/>
      <c r="JBU216" s="23"/>
      <c r="JBZ216" s="26"/>
      <c r="JCD216" s="23"/>
      <c r="JCI216" s="26"/>
      <c r="JCM216" s="23"/>
      <c r="JCR216" s="26"/>
      <c r="JCV216" s="23"/>
      <c r="JDA216" s="26"/>
      <c r="JDE216" s="23"/>
      <c r="JDJ216" s="26"/>
      <c r="JDN216" s="23"/>
      <c r="JDS216" s="26"/>
      <c r="JDW216" s="23"/>
      <c r="JEB216" s="26"/>
      <c r="JEF216" s="23"/>
      <c r="JEK216" s="26"/>
      <c r="JEO216" s="23"/>
      <c r="JET216" s="26"/>
      <c r="JEX216" s="23"/>
      <c r="JFC216" s="26"/>
      <c r="JFG216" s="23"/>
      <c r="JFL216" s="26"/>
      <c r="JFP216" s="23"/>
      <c r="JFU216" s="26"/>
      <c r="JFY216" s="23"/>
      <c r="JGD216" s="26"/>
      <c r="JGH216" s="23"/>
      <c r="JGM216" s="26"/>
      <c r="JGQ216" s="23"/>
      <c r="JGV216" s="26"/>
      <c r="JGZ216" s="23"/>
      <c r="JHE216" s="26"/>
      <c r="JHI216" s="23"/>
      <c r="JHN216" s="26"/>
      <c r="JHR216" s="23"/>
      <c r="JHW216" s="26"/>
      <c r="JIA216" s="23"/>
      <c r="JIF216" s="26"/>
      <c r="JIJ216" s="23"/>
      <c r="JIO216" s="26"/>
      <c r="JIS216" s="23"/>
      <c r="JIX216" s="26"/>
      <c r="JJB216" s="23"/>
      <c r="JJG216" s="26"/>
      <c r="JJK216" s="23"/>
      <c r="JJP216" s="26"/>
      <c r="JJT216" s="23"/>
      <c r="JJY216" s="26"/>
      <c r="JKC216" s="23"/>
      <c r="JKH216" s="26"/>
      <c r="JKL216" s="23"/>
      <c r="JKQ216" s="26"/>
      <c r="JKU216" s="23"/>
      <c r="JKZ216" s="26"/>
      <c r="JLD216" s="23"/>
      <c r="JLI216" s="26"/>
      <c r="JLM216" s="23"/>
      <c r="JLR216" s="26"/>
      <c r="JLV216" s="23"/>
      <c r="JMA216" s="26"/>
      <c r="JME216" s="23"/>
      <c r="JMJ216" s="26"/>
      <c r="JMN216" s="23"/>
      <c r="JMS216" s="26"/>
      <c r="JMW216" s="23"/>
      <c r="JNB216" s="26"/>
      <c r="JNF216" s="23"/>
      <c r="JNK216" s="26"/>
      <c r="JNO216" s="23"/>
      <c r="JNT216" s="26"/>
      <c r="JNX216" s="23"/>
      <c r="JOC216" s="26"/>
      <c r="JOG216" s="23"/>
      <c r="JOL216" s="26"/>
      <c r="JOP216" s="23"/>
      <c r="JOU216" s="26"/>
      <c r="JOY216" s="23"/>
      <c r="JPD216" s="26"/>
      <c r="JPH216" s="23"/>
      <c r="JPM216" s="26"/>
      <c r="JPQ216" s="23"/>
      <c r="JPV216" s="26"/>
      <c r="JPZ216" s="23"/>
      <c r="JQE216" s="26"/>
      <c r="JQI216" s="23"/>
      <c r="JQN216" s="26"/>
      <c r="JQR216" s="23"/>
      <c r="JQW216" s="26"/>
      <c r="JRA216" s="23"/>
      <c r="JRF216" s="26"/>
      <c r="JRJ216" s="23"/>
      <c r="JRO216" s="26"/>
      <c r="JRS216" s="23"/>
      <c r="JRX216" s="26"/>
      <c r="JSB216" s="23"/>
      <c r="JSG216" s="26"/>
      <c r="JSK216" s="23"/>
      <c r="JSP216" s="26"/>
      <c r="JST216" s="23"/>
      <c r="JSY216" s="26"/>
      <c r="JTC216" s="23"/>
      <c r="JTH216" s="26"/>
      <c r="JTL216" s="23"/>
      <c r="JTQ216" s="26"/>
      <c r="JTU216" s="23"/>
      <c r="JTZ216" s="26"/>
      <c r="JUD216" s="23"/>
      <c r="JUI216" s="26"/>
      <c r="JUM216" s="23"/>
      <c r="JUR216" s="26"/>
      <c r="JUV216" s="23"/>
      <c r="JVA216" s="26"/>
      <c r="JVE216" s="23"/>
      <c r="JVJ216" s="26"/>
      <c r="JVN216" s="23"/>
      <c r="JVS216" s="26"/>
      <c r="JVW216" s="23"/>
      <c r="JWB216" s="26"/>
      <c r="JWF216" s="23"/>
      <c r="JWK216" s="26"/>
      <c r="JWO216" s="23"/>
      <c r="JWT216" s="26"/>
      <c r="JWX216" s="23"/>
      <c r="JXC216" s="26"/>
      <c r="JXG216" s="23"/>
      <c r="JXL216" s="26"/>
      <c r="JXP216" s="23"/>
      <c r="JXU216" s="26"/>
      <c r="JXY216" s="23"/>
      <c r="JYD216" s="26"/>
      <c r="JYH216" s="23"/>
      <c r="JYM216" s="26"/>
      <c r="JYQ216" s="23"/>
      <c r="JYV216" s="26"/>
      <c r="JYZ216" s="23"/>
      <c r="JZE216" s="26"/>
      <c r="JZI216" s="23"/>
      <c r="JZN216" s="26"/>
      <c r="JZR216" s="23"/>
      <c r="JZW216" s="26"/>
      <c r="KAA216" s="23"/>
      <c r="KAF216" s="26"/>
      <c r="KAJ216" s="23"/>
      <c r="KAO216" s="26"/>
      <c r="KAS216" s="23"/>
      <c r="KAX216" s="26"/>
      <c r="KBB216" s="23"/>
      <c r="KBG216" s="26"/>
      <c r="KBK216" s="23"/>
      <c r="KBP216" s="26"/>
      <c r="KBT216" s="23"/>
      <c r="KBY216" s="26"/>
      <c r="KCC216" s="23"/>
      <c r="KCH216" s="26"/>
      <c r="KCL216" s="23"/>
      <c r="KCQ216" s="26"/>
      <c r="KCU216" s="23"/>
      <c r="KCZ216" s="26"/>
      <c r="KDD216" s="23"/>
      <c r="KDI216" s="26"/>
      <c r="KDM216" s="23"/>
      <c r="KDR216" s="26"/>
      <c r="KDV216" s="23"/>
      <c r="KEA216" s="26"/>
      <c r="KEE216" s="23"/>
      <c r="KEJ216" s="26"/>
      <c r="KEN216" s="23"/>
      <c r="KES216" s="26"/>
      <c r="KEW216" s="23"/>
      <c r="KFB216" s="26"/>
      <c r="KFF216" s="23"/>
      <c r="KFK216" s="26"/>
      <c r="KFO216" s="23"/>
      <c r="KFT216" s="26"/>
      <c r="KFX216" s="23"/>
      <c r="KGC216" s="26"/>
      <c r="KGG216" s="23"/>
      <c r="KGL216" s="26"/>
      <c r="KGP216" s="23"/>
      <c r="KGU216" s="26"/>
      <c r="KGY216" s="23"/>
      <c r="KHD216" s="26"/>
      <c r="KHH216" s="23"/>
      <c r="KHM216" s="26"/>
      <c r="KHQ216" s="23"/>
      <c r="KHV216" s="26"/>
      <c r="KHZ216" s="23"/>
      <c r="KIE216" s="26"/>
      <c r="KII216" s="23"/>
      <c r="KIN216" s="26"/>
      <c r="KIR216" s="23"/>
      <c r="KIW216" s="26"/>
      <c r="KJA216" s="23"/>
      <c r="KJF216" s="26"/>
      <c r="KJJ216" s="23"/>
      <c r="KJO216" s="26"/>
      <c r="KJS216" s="23"/>
      <c r="KJX216" s="26"/>
      <c r="KKB216" s="23"/>
      <c r="KKG216" s="26"/>
      <c r="KKK216" s="23"/>
      <c r="KKP216" s="26"/>
      <c r="KKT216" s="23"/>
      <c r="KKY216" s="26"/>
      <c r="KLC216" s="23"/>
      <c r="KLH216" s="26"/>
      <c r="KLL216" s="23"/>
      <c r="KLQ216" s="26"/>
      <c r="KLU216" s="23"/>
      <c r="KLZ216" s="26"/>
      <c r="KMD216" s="23"/>
      <c r="KMI216" s="26"/>
      <c r="KMM216" s="23"/>
      <c r="KMR216" s="26"/>
      <c r="KMV216" s="23"/>
      <c r="KNA216" s="26"/>
      <c r="KNE216" s="23"/>
      <c r="KNJ216" s="26"/>
      <c r="KNN216" s="23"/>
      <c r="KNS216" s="26"/>
      <c r="KNW216" s="23"/>
      <c r="KOB216" s="26"/>
      <c r="KOF216" s="23"/>
      <c r="KOK216" s="26"/>
      <c r="KOO216" s="23"/>
      <c r="KOT216" s="26"/>
      <c r="KOX216" s="23"/>
      <c r="KPC216" s="26"/>
      <c r="KPG216" s="23"/>
      <c r="KPL216" s="26"/>
      <c r="KPP216" s="23"/>
      <c r="KPU216" s="26"/>
      <c r="KPY216" s="23"/>
      <c r="KQD216" s="26"/>
      <c r="KQH216" s="23"/>
      <c r="KQM216" s="26"/>
      <c r="KQQ216" s="23"/>
      <c r="KQV216" s="26"/>
      <c r="KQZ216" s="23"/>
      <c r="KRE216" s="26"/>
      <c r="KRI216" s="23"/>
      <c r="KRN216" s="26"/>
      <c r="KRR216" s="23"/>
      <c r="KRW216" s="26"/>
      <c r="KSA216" s="23"/>
      <c r="KSF216" s="26"/>
      <c r="KSJ216" s="23"/>
      <c r="KSO216" s="26"/>
      <c r="KSS216" s="23"/>
      <c r="KSX216" s="26"/>
      <c r="KTB216" s="23"/>
      <c r="KTG216" s="26"/>
      <c r="KTK216" s="23"/>
      <c r="KTP216" s="26"/>
      <c r="KTT216" s="23"/>
      <c r="KTY216" s="26"/>
      <c r="KUC216" s="23"/>
      <c r="KUH216" s="26"/>
      <c r="KUL216" s="23"/>
      <c r="KUQ216" s="26"/>
      <c r="KUU216" s="23"/>
      <c r="KUZ216" s="26"/>
      <c r="KVD216" s="23"/>
      <c r="KVI216" s="26"/>
      <c r="KVM216" s="23"/>
      <c r="KVR216" s="26"/>
      <c r="KVV216" s="23"/>
      <c r="KWA216" s="26"/>
      <c r="KWE216" s="23"/>
      <c r="KWJ216" s="26"/>
      <c r="KWN216" s="23"/>
      <c r="KWS216" s="26"/>
      <c r="KWW216" s="23"/>
      <c r="KXB216" s="26"/>
      <c r="KXF216" s="23"/>
      <c r="KXK216" s="26"/>
      <c r="KXO216" s="23"/>
      <c r="KXT216" s="26"/>
      <c r="KXX216" s="23"/>
      <c r="KYC216" s="26"/>
      <c r="KYG216" s="23"/>
      <c r="KYL216" s="26"/>
      <c r="KYP216" s="23"/>
      <c r="KYU216" s="26"/>
      <c r="KYY216" s="23"/>
      <c r="KZD216" s="26"/>
      <c r="KZH216" s="23"/>
      <c r="KZM216" s="26"/>
      <c r="KZQ216" s="23"/>
      <c r="KZV216" s="26"/>
      <c r="KZZ216" s="23"/>
      <c r="LAE216" s="26"/>
      <c r="LAI216" s="23"/>
      <c r="LAN216" s="26"/>
      <c r="LAR216" s="23"/>
      <c r="LAW216" s="26"/>
      <c r="LBA216" s="23"/>
      <c r="LBF216" s="26"/>
      <c r="LBJ216" s="23"/>
      <c r="LBO216" s="26"/>
      <c r="LBS216" s="23"/>
      <c r="LBX216" s="26"/>
      <c r="LCB216" s="23"/>
      <c r="LCG216" s="26"/>
      <c r="LCK216" s="23"/>
      <c r="LCP216" s="26"/>
      <c r="LCT216" s="23"/>
      <c r="LCY216" s="26"/>
      <c r="LDC216" s="23"/>
      <c r="LDH216" s="26"/>
      <c r="LDL216" s="23"/>
      <c r="LDQ216" s="26"/>
      <c r="LDU216" s="23"/>
      <c r="LDZ216" s="26"/>
      <c r="LED216" s="23"/>
      <c r="LEI216" s="26"/>
      <c r="LEM216" s="23"/>
      <c r="LER216" s="26"/>
      <c r="LEV216" s="23"/>
      <c r="LFA216" s="26"/>
      <c r="LFE216" s="23"/>
      <c r="LFJ216" s="26"/>
      <c r="LFN216" s="23"/>
      <c r="LFS216" s="26"/>
      <c r="LFW216" s="23"/>
      <c r="LGB216" s="26"/>
      <c r="LGF216" s="23"/>
      <c r="LGK216" s="26"/>
      <c r="LGO216" s="23"/>
      <c r="LGT216" s="26"/>
      <c r="LGX216" s="23"/>
      <c r="LHC216" s="26"/>
      <c r="LHG216" s="23"/>
      <c r="LHL216" s="26"/>
      <c r="LHP216" s="23"/>
      <c r="LHU216" s="26"/>
      <c r="LHY216" s="23"/>
      <c r="LID216" s="26"/>
      <c r="LIH216" s="23"/>
      <c r="LIM216" s="26"/>
      <c r="LIQ216" s="23"/>
      <c r="LIV216" s="26"/>
      <c r="LIZ216" s="23"/>
      <c r="LJE216" s="26"/>
      <c r="LJI216" s="23"/>
      <c r="LJN216" s="26"/>
      <c r="LJR216" s="23"/>
      <c r="LJW216" s="26"/>
      <c r="LKA216" s="23"/>
      <c r="LKF216" s="26"/>
      <c r="LKJ216" s="23"/>
      <c r="LKO216" s="26"/>
      <c r="LKS216" s="23"/>
      <c r="LKX216" s="26"/>
      <c r="LLB216" s="23"/>
      <c r="LLG216" s="26"/>
      <c r="LLK216" s="23"/>
      <c r="LLP216" s="26"/>
      <c r="LLT216" s="23"/>
      <c r="LLY216" s="26"/>
      <c r="LMC216" s="23"/>
      <c r="LMH216" s="26"/>
      <c r="LML216" s="23"/>
      <c r="LMQ216" s="26"/>
      <c r="LMU216" s="23"/>
      <c r="LMZ216" s="26"/>
      <c r="LND216" s="23"/>
      <c r="LNI216" s="26"/>
      <c r="LNM216" s="23"/>
      <c r="LNR216" s="26"/>
      <c r="LNV216" s="23"/>
      <c r="LOA216" s="26"/>
      <c r="LOE216" s="23"/>
      <c r="LOJ216" s="26"/>
      <c r="LON216" s="23"/>
      <c r="LOS216" s="26"/>
      <c r="LOW216" s="23"/>
      <c r="LPB216" s="26"/>
      <c r="LPF216" s="23"/>
      <c r="LPK216" s="26"/>
      <c r="LPO216" s="23"/>
      <c r="LPT216" s="26"/>
      <c r="LPX216" s="23"/>
      <c r="LQC216" s="26"/>
      <c r="LQG216" s="23"/>
      <c r="LQL216" s="26"/>
      <c r="LQP216" s="23"/>
      <c r="LQU216" s="26"/>
      <c r="LQY216" s="23"/>
      <c r="LRD216" s="26"/>
      <c r="LRH216" s="23"/>
      <c r="LRM216" s="26"/>
      <c r="LRQ216" s="23"/>
      <c r="LRV216" s="26"/>
      <c r="LRZ216" s="23"/>
      <c r="LSE216" s="26"/>
      <c r="LSI216" s="23"/>
      <c r="LSN216" s="26"/>
      <c r="LSR216" s="23"/>
      <c r="LSW216" s="26"/>
      <c r="LTA216" s="23"/>
      <c r="LTF216" s="26"/>
      <c r="LTJ216" s="23"/>
      <c r="LTO216" s="26"/>
      <c r="LTS216" s="23"/>
      <c r="LTX216" s="26"/>
      <c r="LUB216" s="23"/>
      <c r="LUG216" s="26"/>
      <c r="LUK216" s="23"/>
      <c r="LUP216" s="26"/>
      <c r="LUT216" s="23"/>
      <c r="LUY216" s="26"/>
      <c r="LVC216" s="23"/>
      <c r="LVH216" s="26"/>
      <c r="LVL216" s="23"/>
      <c r="LVQ216" s="26"/>
      <c r="LVU216" s="23"/>
      <c r="LVZ216" s="26"/>
      <c r="LWD216" s="23"/>
      <c r="LWI216" s="26"/>
      <c r="LWM216" s="23"/>
      <c r="LWR216" s="26"/>
      <c r="LWV216" s="23"/>
      <c r="LXA216" s="26"/>
      <c r="LXE216" s="23"/>
      <c r="LXJ216" s="26"/>
      <c r="LXN216" s="23"/>
      <c r="LXS216" s="26"/>
      <c r="LXW216" s="23"/>
      <c r="LYB216" s="26"/>
      <c r="LYF216" s="23"/>
      <c r="LYK216" s="26"/>
      <c r="LYO216" s="23"/>
      <c r="LYT216" s="26"/>
      <c r="LYX216" s="23"/>
      <c r="LZC216" s="26"/>
      <c r="LZG216" s="23"/>
      <c r="LZL216" s="26"/>
      <c r="LZP216" s="23"/>
      <c r="LZU216" s="26"/>
      <c r="LZY216" s="23"/>
      <c r="MAD216" s="26"/>
      <c r="MAH216" s="23"/>
      <c r="MAM216" s="26"/>
      <c r="MAQ216" s="23"/>
      <c r="MAV216" s="26"/>
      <c r="MAZ216" s="23"/>
      <c r="MBE216" s="26"/>
      <c r="MBI216" s="23"/>
      <c r="MBN216" s="26"/>
      <c r="MBR216" s="23"/>
      <c r="MBW216" s="26"/>
      <c r="MCA216" s="23"/>
      <c r="MCF216" s="26"/>
      <c r="MCJ216" s="23"/>
      <c r="MCO216" s="26"/>
      <c r="MCS216" s="23"/>
      <c r="MCX216" s="26"/>
      <c r="MDB216" s="23"/>
      <c r="MDG216" s="26"/>
      <c r="MDK216" s="23"/>
      <c r="MDP216" s="26"/>
      <c r="MDT216" s="23"/>
      <c r="MDY216" s="26"/>
      <c r="MEC216" s="23"/>
      <c r="MEH216" s="26"/>
      <c r="MEL216" s="23"/>
      <c r="MEQ216" s="26"/>
      <c r="MEU216" s="23"/>
      <c r="MEZ216" s="26"/>
      <c r="MFD216" s="23"/>
      <c r="MFI216" s="26"/>
      <c r="MFM216" s="23"/>
      <c r="MFR216" s="26"/>
      <c r="MFV216" s="23"/>
      <c r="MGA216" s="26"/>
      <c r="MGE216" s="23"/>
      <c r="MGJ216" s="26"/>
      <c r="MGN216" s="23"/>
      <c r="MGS216" s="26"/>
      <c r="MGW216" s="23"/>
      <c r="MHB216" s="26"/>
      <c r="MHF216" s="23"/>
      <c r="MHK216" s="26"/>
      <c r="MHO216" s="23"/>
      <c r="MHT216" s="26"/>
      <c r="MHX216" s="23"/>
      <c r="MIC216" s="26"/>
      <c r="MIG216" s="23"/>
      <c r="MIL216" s="26"/>
      <c r="MIP216" s="23"/>
      <c r="MIU216" s="26"/>
      <c r="MIY216" s="23"/>
      <c r="MJD216" s="26"/>
      <c r="MJH216" s="23"/>
      <c r="MJM216" s="26"/>
      <c r="MJQ216" s="23"/>
      <c r="MJV216" s="26"/>
      <c r="MJZ216" s="23"/>
      <c r="MKE216" s="26"/>
      <c r="MKI216" s="23"/>
      <c r="MKN216" s="26"/>
      <c r="MKR216" s="23"/>
      <c r="MKW216" s="26"/>
      <c r="MLA216" s="23"/>
      <c r="MLF216" s="26"/>
      <c r="MLJ216" s="23"/>
      <c r="MLO216" s="26"/>
      <c r="MLS216" s="23"/>
      <c r="MLX216" s="26"/>
      <c r="MMB216" s="23"/>
      <c r="MMG216" s="26"/>
      <c r="MMK216" s="23"/>
      <c r="MMP216" s="26"/>
      <c r="MMT216" s="23"/>
      <c r="MMY216" s="26"/>
      <c r="MNC216" s="23"/>
      <c r="MNH216" s="26"/>
      <c r="MNL216" s="23"/>
      <c r="MNQ216" s="26"/>
      <c r="MNU216" s="23"/>
      <c r="MNZ216" s="26"/>
      <c r="MOD216" s="23"/>
      <c r="MOI216" s="26"/>
      <c r="MOM216" s="23"/>
      <c r="MOR216" s="26"/>
      <c r="MOV216" s="23"/>
      <c r="MPA216" s="26"/>
      <c r="MPE216" s="23"/>
      <c r="MPJ216" s="26"/>
      <c r="MPN216" s="23"/>
      <c r="MPS216" s="26"/>
      <c r="MPW216" s="23"/>
      <c r="MQB216" s="26"/>
      <c r="MQF216" s="23"/>
      <c r="MQK216" s="26"/>
      <c r="MQO216" s="23"/>
      <c r="MQT216" s="26"/>
      <c r="MQX216" s="23"/>
      <c r="MRC216" s="26"/>
      <c r="MRG216" s="23"/>
      <c r="MRL216" s="26"/>
      <c r="MRP216" s="23"/>
      <c r="MRU216" s="26"/>
      <c r="MRY216" s="23"/>
      <c r="MSD216" s="26"/>
      <c r="MSH216" s="23"/>
      <c r="MSM216" s="26"/>
      <c r="MSQ216" s="23"/>
      <c r="MSV216" s="26"/>
      <c r="MSZ216" s="23"/>
      <c r="MTE216" s="26"/>
      <c r="MTI216" s="23"/>
      <c r="MTN216" s="26"/>
      <c r="MTR216" s="23"/>
      <c r="MTW216" s="26"/>
      <c r="MUA216" s="23"/>
      <c r="MUF216" s="26"/>
      <c r="MUJ216" s="23"/>
      <c r="MUO216" s="26"/>
      <c r="MUS216" s="23"/>
      <c r="MUX216" s="26"/>
      <c r="MVB216" s="23"/>
      <c r="MVG216" s="26"/>
      <c r="MVK216" s="23"/>
      <c r="MVP216" s="26"/>
      <c r="MVT216" s="23"/>
      <c r="MVY216" s="26"/>
      <c r="MWC216" s="23"/>
      <c r="MWH216" s="26"/>
      <c r="MWL216" s="23"/>
      <c r="MWQ216" s="26"/>
      <c r="MWU216" s="23"/>
      <c r="MWZ216" s="26"/>
      <c r="MXD216" s="23"/>
      <c r="MXI216" s="26"/>
      <c r="MXM216" s="23"/>
      <c r="MXR216" s="26"/>
      <c r="MXV216" s="23"/>
      <c r="MYA216" s="26"/>
      <c r="MYE216" s="23"/>
      <c r="MYJ216" s="26"/>
      <c r="MYN216" s="23"/>
      <c r="MYS216" s="26"/>
      <c r="MYW216" s="23"/>
      <c r="MZB216" s="26"/>
      <c r="MZF216" s="23"/>
      <c r="MZK216" s="26"/>
      <c r="MZO216" s="23"/>
      <c r="MZT216" s="26"/>
      <c r="MZX216" s="23"/>
      <c r="NAC216" s="26"/>
      <c r="NAG216" s="23"/>
      <c r="NAL216" s="26"/>
      <c r="NAP216" s="23"/>
      <c r="NAU216" s="26"/>
      <c r="NAY216" s="23"/>
      <c r="NBD216" s="26"/>
      <c r="NBH216" s="23"/>
      <c r="NBM216" s="26"/>
      <c r="NBQ216" s="23"/>
      <c r="NBV216" s="26"/>
      <c r="NBZ216" s="23"/>
      <c r="NCE216" s="26"/>
      <c r="NCI216" s="23"/>
      <c r="NCN216" s="26"/>
      <c r="NCR216" s="23"/>
      <c r="NCW216" s="26"/>
      <c r="NDA216" s="23"/>
      <c r="NDF216" s="26"/>
      <c r="NDJ216" s="23"/>
      <c r="NDO216" s="26"/>
      <c r="NDS216" s="23"/>
      <c r="NDX216" s="26"/>
      <c r="NEB216" s="23"/>
      <c r="NEG216" s="26"/>
      <c r="NEK216" s="23"/>
      <c r="NEP216" s="26"/>
      <c r="NET216" s="23"/>
      <c r="NEY216" s="26"/>
      <c r="NFC216" s="23"/>
      <c r="NFH216" s="26"/>
      <c r="NFL216" s="23"/>
      <c r="NFQ216" s="26"/>
      <c r="NFU216" s="23"/>
      <c r="NFZ216" s="26"/>
      <c r="NGD216" s="23"/>
      <c r="NGI216" s="26"/>
      <c r="NGM216" s="23"/>
      <c r="NGR216" s="26"/>
      <c r="NGV216" s="23"/>
      <c r="NHA216" s="26"/>
      <c r="NHE216" s="23"/>
      <c r="NHJ216" s="26"/>
      <c r="NHN216" s="23"/>
      <c r="NHS216" s="26"/>
      <c r="NHW216" s="23"/>
      <c r="NIB216" s="26"/>
      <c r="NIF216" s="23"/>
      <c r="NIK216" s="26"/>
      <c r="NIO216" s="23"/>
      <c r="NIT216" s="26"/>
      <c r="NIX216" s="23"/>
      <c r="NJC216" s="26"/>
      <c r="NJG216" s="23"/>
      <c r="NJL216" s="26"/>
      <c r="NJP216" s="23"/>
      <c r="NJU216" s="26"/>
      <c r="NJY216" s="23"/>
      <c r="NKD216" s="26"/>
      <c r="NKH216" s="23"/>
      <c r="NKM216" s="26"/>
      <c r="NKQ216" s="23"/>
      <c r="NKV216" s="26"/>
      <c r="NKZ216" s="23"/>
      <c r="NLE216" s="26"/>
      <c r="NLI216" s="23"/>
      <c r="NLN216" s="26"/>
      <c r="NLR216" s="23"/>
      <c r="NLW216" s="26"/>
      <c r="NMA216" s="23"/>
      <c r="NMF216" s="26"/>
      <c r="NMJ216" s="23"/>
      <c r="NMO216" s="26"/>
      <c r="NMS216" s="23"/>
      <c r="NMX216" s="26"/>
      <c r="NNB216" s="23"/>
      <c r="NNG216" s="26"/>
      <c r="NNK216" s="23"/>
      <c r="NNP216" s="26"/>
      <c r="NNT216" s="23"/>
      <c r="NNY216" s="26"/>
      <c r="NOC216" s="23"/>
      <c r="NOH216" s="26"/>
      <c r="NOL216" s="23"/>
      <c r="NOQ216" s="26"/>
      <c r="NOU216" s="23"/>
      <c r="NOZ216" s="26"/>
      <c r="NPD216" s="23"/>
      <c r="NPI216" s="26"/>
      <c r="NPM216" s="23"/>
      <c r="NPR216" s="26"/>
      <c r="NPV216" s="23"/>
      <c r="NQA216" s="26"/>
      <c r="NQE216" s="23"/>
      <c r="NQJ216" s="26"/>
      <c r="NQN216" s="23"/>
      <c r="NQS216" s="26"/>
      <c r="NQW216" s="23"/>
      <c r="NRB216" s="26"/>
      <c r="NRF216" s="23"/>
      <c r="NRK216" s="26"/>
      <c r="NRO216" s="23"/>
      <c r="NRT216" s="26"/>
      <c r="NRX216" s="23"/>
      <c r="NSC216" s="26"/>
      <c r="NSG216" s="23"/>
      <c r="NSL216" s="26"/>
      <c r="NSP216" s="23"/>
      <c r="NSU216" s="26"/>
      <c r="NSY216" s="23"/>
      <c r="NTD216" s="26"/>
      <c r="NTH216" s="23"/>
      <c r="NTM216" s="26"/>
      <c r="NTQ216" s="23"/>
      <c r="NTV216" s="26"/>
      <c r="NTZ216" s="23"/>
      <c r="NUE216" s="26"/>
      <c r="NUI216" s="23"/>
      <c r="NUN216" s="26"/>
      <c r="NUR216" s="23"/>
      <c r="NUW216" s="26"/>
      <c r="NVA216" s="23"/>
      <c r="NVF216" s="26"/>
      <c r="NVJ216" s="23"/>
      <c r="NVO216" s="26"/>
      <c r="NVS216" s="23"/>
      <c r="NVX216" s="26"/>
      <c r="NWB216" s="23"/>
      <c r="NWG216" s="26"/>
      <c r="NWK216" s="23"/>
      <c r="NWP216" s="26"/>
      <c r="NWT216" s="23"/>
      <c r="NWY216" s="26"/>
      <c r="NXC216" s="23"/>
      <c r="NXH216" s="26"/>
      <c r="NXL216" s="23"/>
      <c r="NXQ216" s="26"/>
      <c r="NXU216" s="23"/>
      <c r="NXZ216" s="26"/>
      <c r="NYD216" s="23"/>
      <c r="NYI216" s="26"/>
      <c r="NYM216" s="23"/>
      <c r="NYR216" s="26"/>
      <c r="NYV216" s="23"/>
      <c r="NZA216" s="26"/>
      <c r="NZE216" s="23"/>
      <c r="NZJ216" s="26"/>
      <c r="NZN216" s="23"/>
      <c r="NZS216" s="26"/>
      <c r="NZW216" s="23"/>
      <c r="OAB216" s="26"/>
      <c r="OAF216" s="23"/>
      <c r="OAK216" s="26"/>
      <c r="OAO216" s="23"/>
      <c r="OAT216" s="26"/>
      <c r="OAX216" s="23"/>
      <c r="OBC216" s="26"/>
      <c r="OBG216" s="23"/>
      <c r="OBL216" s="26"/>
      <c r="OBP216" s="23"/>
      <c r="OBU216" s="26"/>
      <c r="OBY216" s="23"/>
      <c r="OCD216" s="26"/>
      <c r="OCH216" s="23"/>
      <c r="OCM216" s="26"/>
      <c r="OCQ216" s="23"/>
      <c r="OCV216" s="26"/>
      <c r="OCZ216" s="23"/>
      <c r="ODE216" s="26"/>
      <c r="ODI216" s="23"/>
      <c r="ODN216" s="26"/>
      <c r="ODR216" s="23"/>
      <c r="ODW216" s="26"/>
      <c r="OEA216" s="23"/>
      <c r="OEF216" s="26"/>
      <c r="OEJ216" s="23"/>
      <c r="OEO216" s="26"/>
      <c r="OES216" s="23"/>
      <c r="OEX216" s="26"/>
      <c r="OFB216" s="23"/>
      <c r="OFG216" s="26"/>
      <c r="OFK216" s="23"/>
      <c r="OFP216" s="26"/>
      <c r="OFT216" s="23"/>
      <c r="OFY216" s="26"/>
      <c r="OGC216" s="23"/>
      <c r="OGH216" s="26"/>
      <c r="OGL216" s="23"/>
      <c r="OGQ216" s="26"/>
      <c r="OGU216" s="23"/>
      <c r="OGZ216" s="26"/>
      <c r="OHD216" s="23"/>
      <c r="OHI216" s="26"/>
      <c r="OHM216" s="23"/>
      <c r="OHR216" s="26"/>
      <c r="OHV216" s="23"/>
      <c r="OIA216" s="26"/>
      <c r="OIE216" s="23"/>
      <c r="OIJ216" s="26"/>
      <c r="OIN216" s="23"/>
      <c r="OIS216" s="26"/>
      <c r="OIW216" s="23"/>
      <c r="OJB216" s="26"/>
      <c r="OJF216" s="23"/>
      <c r="OJK216" s="26"/>
      <c r="OJO216" s="23"/>
      <c r="OJT216" s="26"/>
      <c r="OJX216" s="23"/>
      <c r="OKC216" s="26"/>
      <c r="OKG216" s="23"/>
      <c r="OKL216" s="26"/>
      <c r="OKP216" s="23"/>
      <c r="OKU216" s="26"/>
      <c r="OKY216" s="23"/>
      <c r="OLD216" s="26"/>
      <c r="OLH216" s="23"/>
      <c r="OLM216" s="26"/>
      <c r="OLQ216" s="23"/>
      <c r="OLV216" s="26"/>
      <c r="OLZ216" s="23"/>
      <c r="OME216" s="26"/>
      <c r="OMI216" s="23"/>
      <c r="OMN216" s="26"/>
      <c r="OMR216" s="23"/>
      <c r="OMW216" s="26"/>
      <c r="ONA216" s="23"/>
      <c r="ONF216" s="26"/>
      <c r="ONJ216" s="23"/>
      <c r="ONO216" s="26"/>
      <c r="ONS216" s="23"/>
      <c r="ONX216" s="26"/>
      <c r="OOB216" s="23"/>
      <c r="OOG216" s="26"/>
      <c r="OOK216" s="23"/>
      <c r="OOP216" s="26"/>
      <c r="OOT216" s="23"/>
      <c r="OOY216" s="26"/>
      <c r="OPC216" s="23"/>
      <c r="OPH216" s="26"/>
      <c r="OPL216" s="23"/>
      <c r="OPQ216" s="26"/>
      <c r="OPU216" s="23"/>
      <c r="OPZ216" s="26"/>
      <c r="OQD216" s="23"/>
      <c r="OQI216" s="26"/>
      <c r="OQM216" s="23"/>
      <c r="OQR216" s="26"/>
      <c r="OQV216" s="23"/>
      <c r="ORA216" s="26"/>
      <c r="ORE216" s="23"/>
      <c r="ORJ216" s="26"/>
      <c r="ORN216" s="23"/>
      <c r="ORS216" s="26"/>
      <c r="ORW216" s="23"/>
      <c r="OSB216" s="26"/>
      <c r="OSF216" s="23"/>
      <c r="OSK216" s="26"/>
      <c r="OSO216" s="23"/>
      <c r="OST216" s="26"/>
      <c r="OSX216" s="23"/>
      <c r="OTC216" s="26"/>
      <c r="OTG216" s="23"/>
      <c r="OTL216" s="26"/>
      <c r="OTP216" s="23"/>
      <c r="OTU216" s="26"/>
      <c r="OTY216" s="23"/>
      <c r="OUD216" s="26"/>
      <c r="OUH216" s="23"/>
      <c r="OUM216" s="26"/>
      <c r="OUQ216" s="23"/>
      <c r="OUV216" s="26"/>
      <c r="OUZ216" s="23"/>
      <c r="OVE216" s="26"/>
      <c r="OVI216" s="23"/>
      <c r="OVN216" s="26"/>
      <c r="OVR216" s="23"/>
      <c r="OVW216" s="26"/>
      <c r="OWA216" s="23"/>
      <c r="OWF216" s="26"/>
      <c r="OWJ216" s="23"/>
      <c r="OWO216" s="26"/>
      <c r="OWS216" s="23"/>
      <c r="OWX216" s="26"/>
      <c r="OXB216" s="23"/>
      <c r="OXG216" s="26"/>
      <c r="OXK216" s="23"/>
      <c r="OXP216" s="26"/>
      <c r="OXT216" s="23"/>
      <c r="OXY216" s="26"/>
      <c r="OYC216" s="23"/>
      <c r="OYH216" s="26"/>
      <c r="OYL216" s="23"/>
      <c r="OYQ216" s="26"/>
      <c r="OYU216" s="23"/>
      <c r="OYZ216" s="26"/>
      <c r="OZD216" s="23"/>
      <c r="OZI216" s="26"/>
      <c r="OZM216" s="23"/>
      <c r="OZR216" s="26"/>
      <c r="OZV216" s="23"/>
      <c r="PAA216" s="26"/>
      <c r="PAE216" s="23"/>
      <c r="PAJ216" s="26"/>
      <c r="PAN216" s="23"/>
      <c r="PAS216" s="26"/>
      <c r="PAW216" s="23"/>
      <c r="PBB216" s="26"/>
      <c r="PBF216" s="23"/>
      <c r="PBK216" s="26"/>
      <c r="PBO216" s="23"/>
      <c r="PBT216" s="26"/>
      <c r="PBX216" s="23"/>
      <c r="PCC216" s="26"/>
      <c r="PCG216" s="23"/>
      <c r="PCL216" s="26"/>
      <c r="PCP216" s="23"/>
      <c r="PCU216" s="26"/>
      <c r="PCY216" s="23"/>
      <c r="PDD216" s="26"/>
      <c r="PDH216" s="23"/>
      <c r="PDM216" s="26"/>
      <c r="PDQ216" s="23"/>
      <c r="PDV216" s="26"/>
      <c r="PDZ216" s="23"/>
      <c r="PEE216" s="26"/>
      <c r="PEI216" s="23"/>
      <c r="PEN216" s="26"/>
      <c r="PER216" s="23"/>
      <c r="PEW216" s="26"/>
      <c r="PFA216" s="23"/>
      <c r="PFF216" s="26"/>
      <c r="PFJ216" s="23"/>
      <c r="PFO216" s="26"/>
      <c r="PFS216" s="23"/>
      <c r="PFX216" s="26"/>
      <c r="PGB216" s="23"/>
      <c r="PGG216" s="26"/>
      <c r="PGK216" s="23"/>
      <c r="PGP216" s="26"/>
      <c r="PGT216" s="23"/>
      <c r="PGY216" s="26"/>
      <c r="PHC216" s="23"/>
      <c r="PHH216" s="26"/>
      <c r="PHL216" s="23"/>
      <c r="PHQ216" s="26"/>
      <c r="PHU216" s="23"/>
      <c r="PHZ216" s="26"/>
      <c r="PID216" s="23"/>
      <c r="PII216" s="26"/>
      <c r="PIM216" s="23"/>
      <c r="PIR216" s="26"/>
      <c r="PIV216" s="23"/>
      <c r="PJA216" s="26"/>
      <c r="PJE216" s="23"/>
      <c r="PJJ216" s="26"/>
      <c r="PJN216" s="23"/>
      <c r="PJS216" s="26"/>
      <c r="PJW216" s="23"/>
      <c r="PKB216" s="26"/>
      <c r="PKF216" s="23"/>
      <c r="PKK216" s="26"/>
      <c r="PKO216" s="23"/>
      <c r="PKT216" s="26"/>
      <c r="PKX216" s="23"/>
      <c r="PLC216" s="26"/>
      <c r="PLG216" s="23"/>
      <c r="PLL216" s="26"/>
      <c r="PLP216" s="23"/>
      <c r="PLU216" s="26"/>
      <c r="PLY216" s="23"/>
      <c r="PMD216" s="26"/>
      <c r="PMH216" s="23"/>
      <c r="PMM216" s="26"/>
      <c r="PMQ216" s="23"/>
      <c r="PMV216" s="26"/>
      <c r="PMZ216" s="23"/>
      <c r="PNE216" s="26"/>
      <c r="PNI216" s="23"/>
      <c r="PNN216" s="26"/>
      <c r="PNR216" s="23"/>
      <c r="PNW216" s="26"/>
      <c r="POA216" s="23"/>
      <c r="POF216" s="26"/>
      <c r="POJ216" s="23"/>
      <c r="POO216" s="26"/>
      <c r="POS216" s="23"/>
      <c r="POX216" s="26"/>
      <c r="PPB216" s="23"/>
      <c r="PPG216" s="26"/>
      <c r="PPK216" s="23"/>
      <c r="PPP216" s="26"/>
      <c r="PPT216" s="23"/>
      <c r="PPY216" s="26"/>
      <c r="PQC216" s="23"/>
      <c r="PQH216" s="26"/>
      <c r="PQL216" s="23"/>
      <c r="PQQ216" s="26"/>
      <c r="PQU216" s="23"/>
      <c r="PQZ216" s="26"/>
      <c r="PRD216" s="23"/>
      <c r="PRI216" s="26"/>
      <c r="PRM216" s="23"/>
      <c r="PRR216" s="26"/>
      <c r="PRV216" s="23"/>
      <c r="PSA216" s="26"/>
      <c r="PSE216" s="23"/>
      <c r="PSJ216" s="26"/>
      <c r="PSN216" s="23"/>
      <c r="PSS216" s="26"/>
      <c r="PSW216" s="23"/>
      <c r="PTB216" s="26"/>
      <c r="PTF216" s="23"/>
      <c r="PTK216" s="26"/>
      <c r="PTO216" s="23"/>
      <c r="PTT216" s="26"/>
      <c r="PTX216" s="23"/>
      <c r="PUC216" s="26"/>
      <c r="PUG216" s="23"/>
      <c r="PUL216" s="26"/>
      <c r="PUP216" s="23"/>
      <c r="PUU216" s="26"/>
      <c r="PUY216" s="23"/>
      <c r="PVD216" s="26"/>
      <c r="PVH216" s="23"/>
      <c r="PVM216" s="26"/>
      <c r="PVQ216" s="23"/>
      <c r="PVV216" s="26"/>
      <c r="PVZ216" s="23"/>
      <c r="PWE216" s="26"/>
      <c r="PWI216" s="23"/>
      <c r="PWN216" s="26"/>
      <c r="PWR216" s="23"/>
      <c r="PWW216" s="26"/>
      <c r="PXA216" s="23"/>
      <c r="PXF216" s="26"/>
      <c r="PXJ216" s="23"/>
      <c r="PXO216" s="26"/>
      <c r="PXS216" s="23"/>
      <c r="PXX216" s="26"/>
      <c r="PYB216" s="23"/>
      <c r="PYG216" s="26"/>
      <c r="PYK216" s="23"/>
      <c r="PYP216" s="26"/>
      <c r="PYT216" s="23"/>
      <c r="PYY216" s="26"/>
      <c r="PZC216" s="23"/>
      <c r="PZH216" s="26"/>
      <c r="PZL216" s="23"/>
      <c r="PZQ216" s="26"/>
      <c r="PZU216" s="23"/>
      <c r="PZZ216" s="26"/>
      <c r="QAD216" s="23"/>
      <c r="QAI216" s="26"/>
      <c r="QAM216" s="23"/>
      <c r="QAR216" s="26"/>
      <c r="QAV216" s="23"/>
      <c r="QBA216" s="26"/>
      <c r="QBE216" s="23"/>
      <c r="QBJ216" s="26"/>
      <c r="QBN216" s="23"/>
      <c r="QBS216" s="26"/>
      <c r="QBW216" s="23"/>
      <c r="QCB216" s="26"/>
      <c r="QCF216" s="23"/>
      <c r="QCK216" s="26"/>
      <c r="QCO216" s="23"/>
      <c r="QCT216" s="26"/>
      <c r="QCX216" s="23"/>
      <c r="QDC216" s="26"/>
      <c r="QDG216" s="23"/>
      <c r="QDL216" s="26"/>
      <c r="QDP216" s="23"/>
      <c r="QDU216" s="26"/>
      <c r="QDY216" s="23"/>
      <c r="QED216" s="26"/>
      <c r="QEH216" s="23"/>
      <c r="QEM216" s="26"/>
      <c r="QEQ216" s="23"/>
      <c r="QEV216" s="26"/>
      <c r="QEZ216" s="23"/>
      <c r="QFE216" s="26"/>
      <c r="QFI216" s="23"/>
      <c r="QFN216" s="26"/>
      <c r="QFR216" s="23"/>
      <c r="QFW216" s="26"/>
      <c r="QGA216" s="23"/>
      <c r="QGF216" s="26"/>
      <c r="QGJ216" s="23"/>
      <c r="QGO216" s="26"/>
      <c r="QGS216" s="23"/>
      <c r="QGX216" s="26"/>
      <c r="QHB216" s="23"/>
      <c r="QHG216" s="26"/>
      <c r="QHK216" s="23"/>
      <c r="QHP216" s="26"/>
      <c r="QHT216" s="23"/>
      <c r="QHY216" s="26"/>
      <c r="QIC216" s="23"/>
      <c r="QIH216" s="26"/>
      <c r="QIL216" s="23"/>
      <c r="QIQ216" s="26"/>
      <c r="QIU216" s="23"/>
      <c r="QIZ216" s="26"/>
      <c r="QJD216" s="23"/>
      <c r="QJI216" s="26"/>
      <c r="QJM216" s="23"/>
      <c r="QJR216" s="26"/>
      <c r="QJV216" s="23"/>
      <c r="QKA216" s="26"/>
      <c r="QKE216" s="23"/>
      <c r="QKJ216" s="26"/>
      <c r="QKN216" s="23"/>
      <c r="QKS216" s="26"/>
      <c r="QKW216" s="23"/>
      <c r="QLB216" s="26"/>
      <c r="QLF216" s="23"/>
      <c r="QLK216" s="26"/>
      <c r="QLO216" s="23"/>
      <c r="QLT216" s="26"/>
      <c r="QLX216" s="23"/>
      <c r="QMC216" s="26"/>
      <c r="QMG216" s="23"/>
      <c r="QML216" s="26"/>
      <c r="QMP216" s="23"/>
      <c r="QMU216" s="26"/>
      <c r="QMY216" s="23"/>
      <c r="QND216" s="26"/>
      <c r="QNH216" s="23"/>
      <c r="QNM216" s="26"/>
      <c r="QNQ216" s="23"/>
      <c r="QNV216" s="26"/>
      <c r="QNZ216" s="23"/>
      <c r="QOE216" s="26"/>
      <c r="QOI216" s="23"/>
      <c r="QON216" s="26"/>
      <c r="QOR216" s="23"/>
      <c r="QOW216" s="26"/>
      <c r="QPA216" s="23"/>
      <c r="QPF216" s="26"/>
      <c r="QPJ216" s="23"/>
      <c r="QPO216" s="26"/>
      <c r="QPS216" s="23"/>
      <c r="QPX216" s="26"/>
      <c r="QQB216" s="23"/>
      <c r="QQG216" s="26"/>
      <c r="QQK216" s="23"/>
      <c r="QQP216" s="26"/>
      <c r="QQT216" s="23"/>
      <c r="QQY216" s="26"/>
      <c r="QRC216" s="23"/>
      <c r="QRH216" s="26"/>
      <c r="QRL216" s="23"/>
      <c r="QRQ216" s="26"/>
      <c r="QRU216" s="23"/>
      <c r="QRZ216" s="26"/>
      <c r="QSD216" s="23"/>
      <c r="QSI216" s="26"/>
      <c r="QSM216" s="23"/>
      <c r="QSR216" s="26"/>
      <c r="QSV216" s="23"/>
      <c r="QTA216" s="26"/>
      <c r="QTE216" s="23"/>
      <c r="QTJ216" s="26"/>
      <c r="QTN216" s="23"/>
      <c r="QTS216" s="26"/>
      <c r="QTW216" s="23"/>
      <c r="QUB216" s="26"/>
      <c r="QUF216" s="23"/>
      <c r="QUK216" s="26"/>
      <c r="QUO216" s="23"/>
      <c r="QUT216" s="26"/>
      <c r="QUX216" s="23"/>
      <c r="QVC216" s="26"/>
      <c r="QVG216" s="23"/>
      <c r="QVL216" s="26"/>
      <c r="QVP216" s="23"/>
      <c r="QVU216" s="26"/>
      <c r="QVY216" s="23"/>
      <c r="QWD216" s="26"/>
      <c r="QWH216" s="23"/>
      <c r="QWM216" s="26"/>
      <c r="QWQ216" s="23"/>
      <c r="QWV216" s="26"/>
      <c r="QWZ216" s="23"/>
      <c r="QXE216" s="26"/>
      <c r="QXI216" s="23"/>
      <c r="QXN216" s="26"/>
      <c r="QXR216" s="23"/>
      <c r="QXW216" s="26"/>
      <c r="QYA216" s="23"/>
      <c r="QYF216" s="26"/>
      <c r="QYJ216" s="23"/>
      <c r="QYO216" s="26"/>
      <c r="QYS216" s="23"/>
      <c r="QYX216" s="26"/>
      <c r="QZB216" s="23"/>
      <c r="QZG216" s="26"/>
      <c r="QZK216" s="23"/>
      <c r="QZP216" s="26"/>
      <c r="QZT216" s="23"/>
      <c r="QZY216" s="26"/>
      <c r="RAC216" s="23"/>
      <c r="RAH216" s="26"/>
      <c r="RAL216" s="23"/>
      <c r="RAQ216" s="26"/>
      <c r="RAU216" s="23"/>
      <c r="RAZ216" s="26"/>
      <c r="RBD216" s="23"/>
      <c r="RBI216" s="26"/>
      <c r="RBM216" s="23"/>
      <c r="RBR216" s="26"/>
      <c r="RBV216" s="23"/>
      <c r="RCA216" s="26"/>
      <c r="RCE216" s="23"/>
      <c r="RCJ216" s="26"/>
      <c r="RCN216" s="23"/>
      <c r="RCS216" s="26"/>
      <c r="RCW216" s="23"/>
      <c r="RDB216" s="26"/>
      <c r="RDF216" s="23"/>
      <c r="RDK216" s="26"/>
      <c r="RDO216" s="23"/>
      <c r="RDT216" s="26"/>
      <c r="RDX216" s="23"/>
      <c r="REC216" s="26"/>
      <c r="REG216" s="23"/>
      <c r="REL216" s="26"/>
      <c r="REP216" s="23"/>
      <c r="REU216" s="26"/>
      <c r="REY216" s="23"/>
      <c r="RFD216" s="26"/>
      <c r="RFH216" s="23"/>
      <c r="RFM216" s="26"/>
      <c r="RFQ216" s="23"/>
      <c r="RFV216" s="26"/>
      <c r="RFZ216" s="23"/>
      <c r="RGE216" s="26"/>
      <c r="RGI216" s="23"/>
      <c r="RGN216" s="26"/>
      <c r="RGR216" s="23"/>
      <c r="RGW216" s="26"/>
      <c r="RHA216" s="23"/>
      <c r="RHF216" s="26"/>
      <c r="RHJ216" s="23"/>
      <c r="RHO216" s="26"/>
      <c r="RHS216" s="23"/>
      <c r="RHX216" s="26"/>
      <c r="RIB216" s="23"/>
      <c r="RIG216" s="26"/>
      <c r="RIK216" s="23"/>
      <c r="RIP216" s="26"/>
      <c r="RIT216" s="23"/>
      <c r="RIY216" s="26"/>
      <c r="RJC216" s="23"/>
      <c r="RJH216" s="26"/>
      <c r="RJL216" s="23"/>
      <c r="RJQ216" s="26"/>
      <c r="RJU216" s="23"/>
      <c r="RJZ216" s="26"/>
      <c r="RKD216" s="23"/>
      <c r="RKI216" s="26"/>
      <c r="RKM216" s="23"/>
      <c r="RKR216" s="26"/>
      <c r="RKV216" s="23"/>
      <c r="RLA216" s="26"/>
      <c r="RLE216" s="23"/>
      <c r="RLJ216" s="26"/>
      <c r="RLN216" s="23"/>
      <c r="RLS216" s="26"/>
      <c r="RLW216" s="23"/>
      <c r="RMB216" s="26"/>
      <c r="RMF216" s="23"/>
      <c r="RMK216" s="26"/>
      <c r="RMO216" s="23"/>
      <c r="RMT216" s="26"/>
      <c r="RMX216" s="23"/>
      <c r="RNC216" s="26"/>
      <c r="RNG216" s="23"/>
      <c r="RNL216" s="26"/>
      <c r="RNP216" s="23"/>
      <c r="RNU216" s="26"/>
      <c r="RNY216" s="23"/>
      <c r="ROD216" s="26"/>
      <c r="ROH216" s="23"/>
      <c r="ROM216" s="26"/>
      <c r="ROQ216" s="23"/>
      <c r="ROV216" s="26"/>
      <c r="ROZ216" s="23"/>
      <c r="RPE216" s="26"/>
      <c r="RPI216" s="23"/>
      <c r="RPN216" s="26"/>
      <c r="RPR216" s="23"/>
      <c r="RPW216" s="26"/>
      <c r="RQA216" s="23"/>
      <c r="RQF216" s="26"/>
      <c r="RQJ216" s="23"/>
      <c r="RQO216" s="26"/>
      <c r="RQS216" s="23"/>
      <c r="RQX216" s="26"/>
      <c r="RRB216" s="23"/>
      <c r="RRG216" s="26"/>
      <c r="RRK216" s="23"/>
      <c r="RRP216" s="26"/>
      <c r="RRT216" s="23"/>
      <c r="RRY216" s="26"/>
      <c r="RSC216" s="23"/>
      <c r="RSH216" s="26"/>
      <c r="RSL216" s="23"/>
      <c r="RSQ216" s="26"/>
      <c r="RSU216" s="23"/>
      <c r="RSZ216" s="26"/>
      <c r="RTD216" s="23"/>
      <c r="RTI216" s="26"/>
      <c r="RTM216" s="23"/>
      <c r="RTR216" s="26"/>
      <c r="RTV216" s="23"/>
      <c r="RUA216" s="26"/>
      <c r="RUE216" s="23"/>
      <c r="RUJ216" s="26"/>
      <c r="RUN216" s="23"/>
      <c r="RUS216" s="26"/>
      <c r="RUW216" s="23"/>
      <c r="RVB216" s="26"/>
      <c r="RVF216" s="23"/>
      <c r="RVK216" s="26"/>
      <c r="RVO216" s="23"/>
      <c r="RVT216" s="26"/>
      <c r="RVX216" s="23"/>
      <c r="RWC216" s="26"/>
      <c r="RWG216" s="23"/>
      <c r="RWL216" s="26"/>
      <c r="RWP216" s="23"/>
      <c r="RWU216" s="26"/>
      <c r="RWY216" s="23"/>
      <c r="RXD216" s="26"/>
      <c r="RXH216" s="23"/>
      <c r="RXM216" s="26"/>
      <c r="RXQ216" s="23"/>
      <c r="RXV216" s="26"/>
      <c r="RXZ216" s="23"/>
      <c r="RYE216" s="26"/>
      <c r="RYI216" s="23"/>
      <c r="RYN216" s="26"/>
      <c r="RYR216" s="23"/>
      <c r="RYW216" s="26"/>
      <c r="RZA216" s="23"/>
      <c r="RZF216" s="26"/>
      <c r="RZJ216" s="23"/>
      <c r="RZO216" s="26"/>
      <c r="RZS216" s="23"/>
      <c r="RZX216" s="26"/>
      <c r="SAB216" s="23"/>
      <c r="SAG216" s="26"/>
      <c r="SAK216" s="23"/>
      <c r="SAP216" s="26"/>
      <c r="SAT216" s="23"/>
      <c r="SAY216" s="26"/>
      <c r="SBC216" s="23"/>
      <c r="SBH216" s="26"/>
      <c r="SBL216" s="23"/>
      <c r="SBQ216" s="26"/>
      <c r="SBU216" s="23"/>
      <c r="SBZ216" s="26"/>
      <c r="SCD216" s="23"/>
      <c r="SCI216" s="26"/>
      <c r="SCM216" s="23"/>
      <c r="SCR216" s="26"/>
      <c r="SCV216" s="23"/>
      <c r="SDA216" s="26"/>
      <c r="SDE216" s="23"/>
      <c r="SDJ216" s="26"/>
      <c r="SDN216" s="23"/>
      <c r="SDS216" s="26"/>
      <c r="SDW216" s="23"/>
      <c r="SEB216" s="26"/>
      <c r="SEF216" s="23"/>
      <c r="SEK216" s="26"/>
      <c r="SEO216" s="23"/>
      <c r="SET216" s="26"/>
      <c r="SEX216" s="23"/>
      <c r="SFC216" s="26"/>
      <c r="SFG216" s="23"/>
      <c r="SFL216" s="26"/>
      <c r="SFP216" s="23"/>
      <c r="SFU216" s="26"/>
      <c r="SFY216" s="23"/>
      <c r="SGD216" s="26"/>
      <c r="SGH216" s="23"/>
      <c r="SGM216" s="26"/>
      <c r="SGQ216" s="23"/>
      <c r="SGV216" s="26"/>
      <c r="SGZ216" s="23"/>
      <c r="SHE216" s="26"/>
      <c r="SHI216" s="23"/>
      <c r="SHN216" s="26"/>
      <c r="SHR216" s="23"/>
      <c r="SHW216" s="26"/>
      <c r="SIA216" s="23"/>
      <c r="SIF216" s="26"/>
      <c r="SIJ216" s="23"/>
      <c r="SIO216" s="26"/>
      <c r="SIS216" s="23"/>
      <c r="SIX216" s="26"/>
      <c r="SJB216" s="23"/>
      <c r="SJG216" s="26"/>
      <c r="SJK216" s="23"/>
      <c r="SJP216" s="26"/>
      <c r="SJT216" s="23"/>
      <c r="SJY216" s="26"/>
      <c r="SKC216" s="23"/>
      <c r="SKH216" s="26"/>
      <c r="SKL216" s="23"/>
      <c r="SKQ216" s="26"/>
      <c r="SKU216" s="23"/>
      <c r="SKZ216" s="26"/>
      <c r="SLD216" s="23"/>
      <c r="SLI216" s="26"/>
      <c r="SLM216" s="23"/>
      <c r="SLR216" s="26"/>
      <c r="SLV216" s="23"/>
      <c r="SMA216" s="26"/>
      <c r="SME216" s="23"/>
      <c r="SMJ216" s="26"/>
      <c r="SMN216" s="23"/>
      <c r="SMS216" s="26"/>
      <c r="SMW216" s="23"/>
      <c r="SNB216" s="26"/>
      <c r="SNF216" s="23"/>
      <c r="SNK216" s="26"/>
      <c r="SNO216" s="23"/>
      <c r="SNT216" s="26"/>
      <c r="SNX216" s="23"/>
      <c r="SOC216" s="26"/>
      <c r="SOG216" s="23"/>
      <c r="SOL216" s="26"/>
      <c r="SOP216" s="23"/>
      <c r="SOU216" s="26"/>
      <c r="SOY216" s="23"/>
      <c r="SPD216" s="26"/>
      <c r="SPH216" s="23"/>
      <c r="SPM216" s="26"/>
      <c r="SPQ216" s="23"/>
      <c r="SPV216" s="26"/>
      <c r="SPZ216" s="23"/>
      <c r="SQE216" s="26"/>
      <c r="SQI216" s="23"/>
      <c r="SQN216" s="26"/>
      <c r="SQR216" s="23"/>
      <c r="SQW216" s="26"/>
      <c r="SRA216" s="23"/>
      <c r="SRF216" s="26"/>
      <c r="SRJ216" s="23"/>
      <c r="SRO216" s="26"/>
      <c r="SRS216" s="23"/>
      <c r="SRX216" s="26"/>
      <c r="SSB216" s="23"/>
      <c r="SSG216" s="26"/>
      <c r="SSK216" s="23"/>
      <c r="SSP216" s="26"/>
      <c r="SST216" s="23"/>
      <c r="SSY216" s="26"/>
      <c r="STC216" s="23"/>
      <c r="STH216" s="26"/>
      <c r="STL216" s="23"/>
      <c r="STQ216" s="26"/>
      <c r="STU216" s="23"/>
      <c r="STZ216" s="26"/>
      <c r="SUD216" s="23"/>
      <c r="SUI216" s="26"/>
      <c r="SUM216" s="23"/>
      <c r="SUR216" s="26"/>
      <c r="SUV216" s="23"/>
      <c r="SVA216" s="26"/>
      <c r="SVE216" s="23"/>
      <c r="SVJ216" s="26"/>
      <c r="SVN216" s="23"/>
      <c r="SVS216" s="26"/>
      <c r="SVW216" s="23"/>
      <c r="SWB216" s="26"/>
      <c r="SWF216" s="23"/>
      <c r="SWK216" s="26"/>
      <c r="SWO216" s="23"/>
      <c r="SWT216" s="26"/>
      <c r="SWX216" s="23"/>
      <c r="SXC216" s="26"/>
      <c r="SXG216" s="23"/>
      <c r="SXL216" s="26"/>
      <c r="SXP216" s="23"/>
      <c r="SXU216" s="26"/>
      <c r="SXY216" s="23"/>
      <c r="SYD216" s="26"/>
      <c r="SYH216" s="23"/>
      <c r="SYM216" s="26"/>
      <c r="SYQ216" s="23"/>
      <c r="SYV216" s="26"/>
      <c r="SYZ216" s="23"/>
      <c r="SZE216" s="26"/>
      <c r="SZI216" s="23"/>
      <c r="SZN216" s="26"/>
      <c r="SZR216" s="23"/>
      <c r="SZW216" s="26"/>
      <c r="TAA216" s="23"/>
      <c r="TAF216" s="26"/>
      <c r="TAJ216" s="23"/>
      <c r="TAO216" s="26"/>
      <c r="TAS216" s="23"/>
      <c r="TAX216" s="26"/>
      <c r="TBB216" s="23"/>
      <c r="TBG216" s="26"/>
      <c r="TBK216" s="23"/>
      <c r="TBP216" s="26"/>
      <c r="TBT216" s="23"/>
      <c r="TBY216" s="26"/>
      <c r="TCC216" s="23"/>
      <c r="TCH216" s="26"/>
      <c r="TCL216" s="23"/>
      <c r="TCQ216" s="26"/>
      <c r="TCU216" s="23"/>
      <c r="TCZ216" s="26"/>
      <c r="TDD216" s="23"/>
      <c r="TDI216" s="26"/>
      <c r="TDM216" s="23"/>
      <c r="TDR216" s="26"/>
      <c r="TDV216" s="23"/>
      <c r="TEA216" s="26"/>
      <c r="TEE216" s="23"/>
      <c r="TEJ216" s="26"/>
      <c r="TEN216" s="23"/>
      <c r="TES216" s="26"/>
      <c r="TEW216" s="23"/>
      <c r="TFB216" s="26"/>
      <c r="TFF216" s="23"/>
      <c r="TFK216" s="26"/>
      <c r="TFO216" s="23"/>
      <c r="TFT216" s="26"/>
      <c r="TFX216" s="23"/>
      <c r="TGC216" s="26"/>
      <c r="TGG216" s="23"/>
      <c r="TGL216" s="26"/>
      <c r="TGP216" s="23"/>
      <c r="TGU216" s="26"/>
      <c r="TGY216" s="23"/>
      <c r="THD216" s="26"/>
      <c r="THH216" s="23"/>
      <c r="THM216" s="26"/>
      <c r="THQ216" s="23"/>
      <c r="THV216" s="26"/>
      <c r="THZ216" s="23"/>
      <c r="TIE216" s="26"/>
      <c r="TII216" s="23"/>
      <c r="TIN216" s="26"/>
      <c r="TIR216" s="23"/>
      <c r="TIW216" s="26"/>
      <c r="TJA216" s="23"/>
      <c r="TJF216" s="26"/>
      <c r="TJJ216" s="23"/>
      <c r="TJO216" s="26"/>
      <c r="TJS216" s="23"/>
      <c r="TJX216" s="26"/>
      <c r="TKB216" s="23"/>
      <c r="TKG216" s="26"/>
      <c r="TKK216" s="23"/>
      <c r="TKP216" s="26"/>
      <c r="TKT216" s="23"/>
      <c r="TKY216" s="26"/>
      <c r="TLC216" s="23"/>
      <c r="TLH216" s="26"/>
      <c r="TLL216" s="23"/>
      <c r="TLQ216" s="26"/>
      <c r="TLU216" s="23"/>
      <c r="TLZ216" s="26"/>
      <c r="TMD216" s="23"/>
      <c r="TMI216" s="26"/>
      <c r="TMM216" s="23"/>
      <c r="TMR216" s="26"/>
      <c r="TMV216" s="23"/>
      <c r="TNA216" s="26"/>
      <c r="TNE216" s="23"/>
      <c r="TNJ216" s="26"/>
      <c r="TNN216" s="23"/>
      <c r="TNS216" s="26"/>
      <c r="TNW216" s="23"/>
      <c r="TOB216" s="26"/>
      <c r="TOF216" s="23"/>
      <c r="TOK216" s="26"/>
      <c r="TOO216" s="23"/>
      <c r="TOT216" s="26"/>
      <c r="TOX216" s="23"/>
      <c r="TPC216" s="26"/>
      <c r="TPG216" s="23"/>
      <c r="TPL216" s="26"/>
      <c r="TPP216" s="23"/>
      <c r="TPU216" s="26"/>
      <c r="TPY216" s="23"/>
      <c r="TQD216" s="26"/>
      <c r="TQH216" s="23"/>
      <c r="TQM216" s="26"/>
      <c r="TQQ216" s="23"/>
      <c r="TQV216" s="26"/>
      <c r="TQZ216" s="23"/>
      <c r="TRE216" s="26"/>
      <c r="TRI216" s="23"/>
      <c r="TRN216" s="26"/>
      <c r="TRR216" s="23"/>
      <c r="TRW216" s="26"/>
      <c r="TSA216" s="23"/>
      <c r="TSF216" s="26"/>
      <c r="TSJ216" s="23"/>
      <c r="TSO216" s="26"/>
      <c r="TSS216" s="23"/>
      <c r="TSX216" s="26"/>
      <c r="TTB216" s="23"/>
      <c r="TTG216" s="26"/>
      <c r="TTK216" s="23"/>
      <c r="TTP216" s="26"/>
      <c r="TTT216" s="23"/>
      <c r="TTY216" s="26"/>
      <c r="TUC216" s="23"/>
      <c r="TUH216" s="26"/>
      <c r="TUL216" s="23"/>
      <c r="TUQ216" s="26"/>
      <c r="TUU216" s="23"/>
      <c r="TUZ216" s="26"/>
      <c r="TVD216" s="23"/>
      <c r="TVI216" s="26"/>
      <c r="TVM216" s="23"/>
      <c r="TVR216" s="26"/>
      <c r="TVV216" s="23"/>
      <c r="TWA216" s="26"/>
      <c r="TWE216" s="23"/>
      <c r="TWJ216" s="26"/>
      <c r="TWN216" s="23"/>
      <c r="TWS216" s="26"/>
      <c r="TWW216" s="23"/>
      <c r="TXB216" s="26"/>
      <c r="TXF216" s="23"/>
      <c r="TXK216" s="26"/>
      <c r="TXO216" s="23"/>
      <c r="TXT216" s="26"/>
      <c r="TXX216" s="23"/>
      <c r="TYC216" s="26"/>
      <c r="TYG216" s="23"/>
      <c r="TYL216" s="26"/>
      <c r="TYP216" s="23"/>
      <c r="TYU216" s="26"/>
      <c r="TYY216" s="23"/>
      <c r="TZD216" s="26"/>
      <c r="TZH216" s="23"/>
      <c r="TZM216" s="26"/>
      <c r="TZQ216" s="23"/>
      <c r="TZV216" s="26"/>
      <c r="TZZ216" s="23"/>
      <c r="UAE216" s="26"/>
      <c r="UAI216" s="23"/>
      <c r="UAN216" s="26"/>
      <c r="UAR216" s="23"/>
      <c r="UAW216" s="26"/>
      <c r="UBA216" s="23"/>
      <c r="UBF216" s="26"/>
      <c r="UBJ216" s="23"/>
      <c r="UBO216" s="26"/>
      <c r="UBS216" s="23"/>
      <c r="UBX216" s="26"/>
      <c r="UCB216" s="23"/>
      <c r="UCG216" s="26"/>
      <c r="UCK216" s="23"/>
      <c r="UCP216" s="26"/>
      <c r="UCT216" s="23"/>
      <c r="UCY216" s="26"/>
      <c r="UDC216" s="23"/>
      <c r="UDH216" s="26"/>
      <c r="UDL216" s="23"/>
      <c r="UDQ216" s="26"/>
      <c r="UDU216" s="23"/>
      <c r="UDZ216" s="26"/>
      <c r="UED216" s="23"/>
      <c r="UEI216" s="26"/>
      <c r="UEM216" s="23"/>
      <c r="UER216" s="26"/>
      <c r="UEV216" s="23"/>
      <c r="UFA216" s="26"/>
      <c r="UFE216" s="23"/>
      <c r="UFJ216" s="26"/>
      <c r="UFN216" s="23"/>
      <c r="UFS216" s="26"/>
      <c r="UFW216" s="23"/>
      <c r="UGB216" s="26"/>
      <c r="UGF216" s="23"/>
      <c r="UGK216" s="26"/>
      <c r="UGO216" s="23"/>
      <c r="UGT216" s="26"/>
      <c r="UGX216" s="23"/>
      <c r="UHC216" s="26"/>
      <c r="UHG216" s="23"/>
      <c r="UHL216" s="26"/>
      <c r="UHP216" s="23"/>
      <c r="UHU216" s="26"/>
      <c r="UHY216" s="23"/>
      <c r="UID216" s="26"/>
      <c r="UIH216" s="23"/>
      <c r="UIM216" s="26"/>
      <c r="UIQ216" s="23"/>
      <c r="UIV216" s="26"/>
      <c r="UIZ216" s="23"/>
      <c r="UJE216" s="26"/>
      <c r="UJI216" s="23"/>
      <c r="UJN216" s="26"/>
      <c r="UJR216" s="23"/>
      <c r="UJW216" s="26"/>
      <c r="UKA216" s="23"/>
      <c r="UKF216" s="26"/>
      <c r="UKJ216" s="23"/>
      <c r="UKO216" s="26"/>
      <c r="UKS216" s="23"/>
      <c r="UKX216" s="26"/>
      <c r="ULB216" s="23"/>
      <c r="ULG216" s="26"/>
      <c r="ULK216" s="23"/>
      <c r="ULP216" s="26"/>
      <c r="ULT216" s="23"/>
      <c r="ULY216" s="26"/>
      <c r="UMC216" s="23"/>
      <c r="UMH216" s="26"/>
      <c r="UML216" s="23"/>
      <c r="UMQ216" s="26"/>
      <c r="UMU216" s="23"/>
      <c r="UMZ216" s="26"/>
      <c r="UND216" s="23"/>
      <c r="UNI216" s="26"/>
      <c r="UNM216" s="23"/>
      <c r="UNR216" s="26"/>
      <c r="UNV216" s="23"/>
      <c r="UOA216" s="26"/>
      <c r="UOE216" s="23"/>
      <c r="UOJ216" s="26"/>
      <c r="UON216" s="23"/>
      <c r="UOS216" s="26"/>
      <c r="UOW216" s="23"/>
      <c r="UPB216" s="26"/>
      <c r="UPF216" s="23"/>
      <c r="UPK216" s="26"/>
      <c r="UPO216" s="23"/>
      <c r="UPT216" s="26"/>
      <c r="UPX216" s="23"/>
      <c r="UQC216" s="26"/>
      <c r="UQG216" s="23"/>
      <c r="UQL216" s="26"/>
      <c r="UQP216" s="23"/>
      <c r="UQU216" s="26"/>
      <c r="UQY216" s="23"/>
      <c r="URD216" s="26"/>
      <c r="URH216" s="23"/>
      <c r="URM216" s="26"/>
      <c r="URQ216" s="23"/>
      <c r="URV216" s="26"/>
      <c r="URZ216" s="23"/>
      <c r="USE216" s="26"/>
      <c r="USI216" s="23"/>
      <c r="USN216" s="26"/>
      <c r="USR216" s="23"/>
      <c r="USW216" s="26"/>
      <c r="UTA216" s="23"/>
      <c r="UTF216" s="26"/>
      <c r="UTJ216" s="23"/>
      <c r="UTO216" s="26"/>
      <c r="UTS216" s="23"/>
      <c r="UTX216" s="26"/>
      <c r="UUB216" s="23"/>
      <c r="UUG216" s="26"/>
      <c r="UUK216" s="23"/>
      <c r="UUP216" s="26"/>
      <c r="UUT216" s="23"/>
      <c r="UUY216" s="26"/>
      <c r="UVC216" s="23"/>
      <c r="UVH216" s="26"/>
      <c r="UVL216" s="23"/>
      <c r="UVQ216" s="26"/>
      <c r="UVU216" s="23"/>
      <c r="UVZ216" s="26"/>
      <c r="UWD216" s="23"/>
      <c r="UWI216" s="26"/>
      <c r="UWM216" s="23"/>
      <c r="UWR216" s="26"/>
      <c r="UWV216" s="23"/>
      <c r="UXA216" s="26"/>
      <c r="UXE216" s="23"/>
      <c r="UXJ216" s="26"/>
      <c r="UXN216" s="23"/>
      <c r="UXS216" s="26"/>
      <c r="UXW216" s="23"/>
      <c r="UYB216" s="26"/>
      <c r="UYF216" s="23"/>
      <c r="UYK216" s="26"/>
      <c r="UYO216" s="23"/>
      <c r="UYT216" s="26"/>
      <c r="UYX216" s="23"/>
      <c r="UZC216" s="26"/>
      <c r="UZG216" s="23"/>
      <c r="UZL216" s="26"/>
      <c r="UZP216" s="23"/>
      <c r="UZU216" s="26"/>
      <c r="UZY216" s="23"/>
      <c r="VAD216" s="26"/>
      <c r="VAH216" s="23"/>
      <c r="VAM216" s="26"/>
      <c r="VAQ216" s="23"/>
      <c r="VAV216" s="26"/>
      <c r="VAZ216" s="23"/>
      <c r="VBE216" s="26"/>
      <c r="VBI216" s="23"/>
      <c r="VBN216" s="26"/>
      <c r="VBR216" s="23"/>
      <c r="VBW216" s="26"/>
      <c r="VCA216" s="23"/>
      <c r="VCF216" s="26"/>
      <c r="VCJ216" s="23"/>
      <c r="VCO216" s="26"/>
      <c r="VCS216" s="23"/>
      <c r="VCX216" s="26"/>
      <c r="VDB216" s="23"/>
      <c r="VDG216" s="26"/>
      <c r="VDK216" s="23"/>
      <c r="VDP216" s="26"/>
      <c r="VDT216" s="23"/>
      <c r="VDY216" s="26"/>
      <c r="VEC216" s="23"/>
      <c r="VEH216" s="26"/>
      <c r="VEL216" s="23"/>
      <c r="VEQ216" s="26"/>
      <c r="VEU216" s="23"/>
      <c r="VEZ216" s="26"/>
      <c r="VFD216" s="23"/>
      <c r="VFI216" s="26"/>
      <c r="VFM216" s="23"/>
      <c r="VFR216" s="26"/>
      <c r="VFV216" s="23"/>
      <c r="VGA216" s="26"/>
      <c r="VGE216" s="23"/>
      <c r="VGJ216" s="26"/>
      <c r="VGN216" s="23"/>
      <c r="VGS216" s="26"/>
      <c r="VGW216" s="23"/>
      <c r="VHB216" s="26"/>
      <c r="VHF216" s="23"/>
      <c r="VHK216" s="26"/>
      <c r="VHO216" s="23"/>
      <c r="VHT216" s="26"/>
      <c r="VHX216" s="23"/>
      <c r="VIC216" s="26"/>
      <c r="VIG216" s="23"/>
      <c r="VIL216" s="26"/>
      <c r="VIP216" s="23"/>
      <c r="VIU216" s="26"/>
      <c r="VIY216" s="23"/>
      <c r="VJD216" s="26"/>
      <c r="VJH216" s="23"/>
      <c r="VJM216" s="26"/>
      <c r="VJQ216" s="23"/>
      <c r="VJV216" s="26"/>
      <c r="VJZ216" s="23"/>
      <c r="VKE216" s="26"/>
      <c r="VKI216" s="23"/>
      <c r="VKN216" s="26"/>
      <c r="VKR216" s="23"/>
      <c r="VKW216" s="26"/>
      <c r="VLA216" s="23"/>
      <c r="VLF216" s="26"/>
      <c r="VLJ216" s="23"/>
      <c r="VLO216" s="26"/>
      <c r="VLS216" s="23"/>
      <c r="VLX216" s="26"/>
      <c r="VMB216" s="23"/>
      <c r="VMG216" s="26"/>
      <c r="VMK216" s="23"/>
      <c r="VMP216" s="26"/>
      <c r="VMT216" s="23"/>
      <c r="VMY216" s="26"/>
      <c r="VNC216" s="23"/>
      <c r="VNH216" s="26"/>
      <c r="VNL216" s="23"/>
      <c r="VNQ216" s="26"/>
      <c r="VNU216" s="23"/>
      <c r="VNZ216" s="26"/>
      <c r="VOD216" s="23"/>
      <c r="VOI216" s="26"/>
      <c r="VOM216" s="23"/>
      <c r="VOR216" s="26"/>
      <c r="VOV216" s="23"/>
      <c r="VPA216" s="26"/>
      <c r="VPE216" s="23"/>
      <c r="VPJ216" s="26"/>
      <c r="VPN216" s="23"/>
      <c r="VPS216" s="26"/>
      <c r="VPW216" s="23"/>
      <c r="VQB216" s="26"/>
      <c r="VQF216" s="23"/>
      <c r="VQK216" s="26"/>
      <c r="VQO216" s="23"/>
      <c r="VQT216" s="26"/>
      <c r="VQX216" s="23"/>
      <c r="VRC216" s="26"/>
      <c r="VRG216" s="23"/>
      <c r="VRL216" s="26"/>
      <c r="VRP216" s="23"/>
      <c r="VRU216" s="26"/>
      <c r="VRY216" s="23"/>
      <c r="VSD216" s="26"/>
      <c r="VSH216" s="23"/>
      <c r="VSM216" s="26"/>
      <c r="VSQ216" s="23"/>
      <c r="VSV216" s="26"/>
      <c r="VSZ216" s="23"/>
      <c r="VTE216" s="26"/>
      <c r="VTI216" s="23"/>
      <c r="VTN216" s="26"/>
      <c r="VTR216" s="23"/>
      <c r="VTW216" s="26"/>
      <c r="VUA216" s="23"/>
      <c r="VUF216" s="26"/>
      <c r="VUJ216" s="23"/>
      <c r="VUO216" s="26"/>
      <c r="VUS216" s="23"/>
      <c r="VUX216" s="26"/>
      <c r="VVB216" s="23"/>
      <c r="VVG216" s="26"/>
      <c r="VVK216" s="23"/>
      <c r="VVP216" s="26"/>
      <c r="VVT216" s="23"/>
      <c r="VVY216" s="26"/>
      <c r="VWC216" s="23"/>
      <c r="VWH216" s="26"/>
      <c r="VWL216" s="23"/>
      <c r="VWQ216" s="26"/>
      <c r="VWU216" s="23"/>
      <c r="VWZ216" s="26"/>
      <c r="VXD216" s="23"/>
      <c r="VXI216" s="26"/>
      <c r="VXM216" s="23"/>
      <c r="VXR216" s="26"/>
      <c r="VXV216" s="23"/>
      <c r="VYA216" s="26"/>
      <c r="VYE216" s="23"/>
      <c r="VYJ216" s="26"/>
      <c r="VYN216" s="23"/>
      <c r="VYS216" s="26"/>
      <c r="VYW216" s="23"/>
      <c r="VZB216" s="26"/>
      <c r="VZF216" s="23"/>
      <c r="VZK216" s="26"/>
      <c r="VZO216" s="23"/>
      <c r="VZT216" s="26"/>
      <c r="VZX216" s="23"/>
      <c r="WAC216" s="26"/>
      <c r="WAG216" s="23"/>
      <c r="WAL216" s="26"/>
      <c r="WAP216" s="23"/>
      <c r="WAU216" s="26"/>
      <c r="WAY216" s="23"/>
      <c r="WBD216" s="26"/>
      <c r="WBH216" s="23"/>
      <c r="WBM216" s="26"/>
      <c r="WBQ216" s="23"/>
      <c r="WBV216" s="26"/>
      <c r="WBZ216" s="23"/>
      <c r="WCE216" s="26"/>
      <c r="WCI216" s="23"/>
      <c r="WCN216" s="26"/>
      <c r="WCR216" s="23"/>
      <c r="WCW216" s="26"/>
      <c r="WDA216" s="23"/>
      <c r="WDF216" s="26"/>
      <c r="WDJ216" s="23"/>
      <c r="WDO216" s="26"/>
      <c r="WDS216" s="23"/>
      <c r="WDX216" s="26"/>
      <c r="WEB216" s="23"/>
      <c r="WEG216" s="26"/>
      <c r="WEK216" s="23"/>
      <c r="WEP216" s="26"/>
      <c r="WET216" s="23"/>
      <c r="WEY216" s="26"/>
      <c r="WFC216" s="23"/>
      <c r="WFH216" s="26"/>
      <c r="WFL216" s="23"/>
      <c r="WFQ216" s="26"/>
      <c r="WFU216" s="23"/>
      <c r="WFZ216" s="26"/>
      <c r="WGD216" s="23"/>
      <c r="WGI216" s="26"/>
      <c r="WGM216" s="23"/>
      <c r="WGR216" s="26"/>
      <c r="WGV216" s="23"/>
      <c r="WHA216" s="26"/>
      <c r="WHE216" s="23"/>
      <c r="WHJ216" s="26"/>
      <c r="WHN216" s="23"/>
      <c r="WHS216" s="26"/>
      <c r="WHW216" s="23"/>
      <c r="WIB216" s="26"/>
      <c r="WIF216" s="23"/>
      <c r="WIK216" s="26"/>
      <c r="WIO216" s="23"/>
      <c r="WIT216" s="26"/>
      <c r="WIX216" s="23"/>
      <c r="WJC216" s="26"/>
      <c r="WJG216" s="23"/>
      <c r="WJL216" s="26"/>
      <c r="WJP216" s="23"/>
      <c r="WJU216" s="26"/>
      <c r="WJY216" s="23"/>
      <c r="WKD216" s="26"/>
      <c r="WKH216" s="23"/>
      <c r="WKM216" s="26"/>
      <c r="WKQ216" s="23"/>
      <c r="WKV216" s="26"/>
      <c r="WKZ216" s="23"/>
      <c r="WLE216" s="26"/>
      <c r="WLI216" s="23"/>
      <c r="WLN216" s="26"/>
      <c r="WLR216" s="23"/>
      <c r="WLW216" s="26"/>
      <c r="WMA216" s="23"/>
      <c r="WMF216" s="26"/>
      <c r="WMJ216" s="23"/>
      <c r="WMO216" s="26"/>
      <c r="WMS216" s="23"/>
      <c r="WMX216" s="26"/>
      <c r="WNB216" s="23"/>
      <c r="WNG216" s="26"/>
      <c r="WNK216" s="23"/>
      <c r="WNP216" s="26"/>
      <c r="WNT216" s="23"/>
      <c r="WNY216" s="26"/>
      <c r="WOC216" s="23"/>
      <c r="WOH216" s="26"/>
      <c r="WOL216" s="23"/>
      <c r="WOQ216" s="26"/>
      <c r="WOU216" s="23"/>
      <c r="WOZ216" s="26"/>
      <c r="WPD216" s="23"/>
      <c r="WPI216" s="26"/>
      <c r="WPM216" s="23"/>
      <c r="WPR216" s="26"/>
      <c r="WPV216" s="23"/>
      <c r="WQA216" s="26"/>
      <c r="WQE216" s="23"/>
      <c r="WQJ216" s="26"/>
      <c r="WQN216" s="23"/>
      <c r="WQS216" s="26"/>
      <c r="WQW216" s="23"/>
      <c r="WRB216" s="26"/>
      <c r="WRF216" s="23"/>
      <c r="WRK216" s="26"/>
      <c r="WRO216" s="23"/>
      <c r="WRT216" s="26"/>
      <c r="WRX216" s="23"/>
      <c r="WSC216" s="26"/>
      <c r="WSG216" s="23"/>
      <c r="WSL216" s="26"/>
      <c r="WSP216" s="23"/>
      <c r="WSU216" s="26"/>
      <c r="WSY216" s="23"/>
      <c r="WTD216" s="26"/>
      <c r="WTH216" s="23"/>
      <c r="WTM216" s="26"/>
      <c r="WTQ216" s="23"/>
      <c r="WTV216" s="26"/>
      <c r="WTZ216" s="23"/>
      <c r="WUE216" s="26"/>
      <c r="WUI216" s="23"/>
      <c r="WUN216" s="26"/>
      <c r="WUR216" s="23"/>
      <c r="WUW216" s="26"/>
      <c r="WVA216" s="23"/>
      <c r="WVF216" s="26"/>
      <c r="WVJ216" s="23"/>
      <c r="WVO216" s="26"/>
      <c r="WVS216" s="23"/>
      <c r="WVX216" s="26"/>
      <c r="WWB216" s="23"/>
      <c r="WWG216" s="26"/>
      <c r="WWK216" s="23"/>
      <c r="WWP216" s="26"/>
      <c r="WWT216" s="23"/>
      <c r="WWY216" s="26"/>
      <c r="WXC216" s="23"/>
      <c r="WXH216" s="26"/>
      <c r="WXL216" s="23"/>
      <c r="WXQ216" s="26"/>
      <c r="WXU216" s="23"/>
      <c r="WXZ216" s="26"/>
      <c r="WYD216" s="23"/>
      <c r="WYI216" s="26"/>
      <c r="WYM216" s="23"/>
      <c r="WYR216" s="26"/>
      <c r="WYV216" s="23"/>
      <c r="WZA216" s="26"/>
      <c r="WZE216" s="23"/>
      <c r="WZJ216" s="26"/>
      <c r="WZN216" s="23"/>
      <c r="WZS216" s="26"/>
      <c r="WZW216" s="23"/>
      <c r="XAB216" s="26"/>
      <c r="XAF216" s="23"/>
      <c r="XAK216" s="26"/>
      <c r="XAO216" s="23"/>
      <c r="XAT216" s="26"/>
      <c r="XAX216" s="23"/>
      <c r="XBC216" s="26"/>
      <c r="XBG216" s="23"/>
      <c r="XBL216" s="26"/>
      <c r="XBP216" s="23"/>
      <c r="XBU216" s="26"/>
      <c r="XBY216" s="23"/>
      <c r="XCD216" s="26"/>
      <c r="XCH216" s="23"/>
      <c r="XCM216" s="26"/>
      <c r="XCQ216" s="23"/>
      <c r="XCV216" s="26"/>
      <c r="XCZ216" s="23"/>
      <c r="XDE216" s="26"/>
      <c r="XDI216" s="23"/>
      <c r="XDN216" s="26"/>
      <c r="XDR216" s="23"/>
      <c r="XDW216" s="26"/>
      <c r="XEA216" s="23"/>
      <c r="XEF216" s="26"/>
      <c r="XEJ216" s="23"/>
      <c r="XEO216" s="26"/>
      <c r="XES216" s="23"/>
      <c r="XEX216" s="26"/>
      <c r="XFB216" s="23"/>
    </row>
    <row r="217" spans="1:1024 1028:2045 2050:3071 3076:4093 4097:5119 5123:6140 6145:7166 7171:8192 8197:9214 9218:10240 10244:11261 11266:12287 12292:13309 13313:14335 14339:15356 15361:16382" x14ac:dyDescent="0.3">
      <c r="B217" s="23"/>
      <c r="K217" s="23"/>
      <c r="P217" s="26"/>
      <c r="T217" s="23"/>
      <c r="Y217" s="26"/>
      <c r="AC217" s="23"/>
      <c r="AH217" s="26"/>
      <c r="AL217" s="23"/>
      <c r="AQ217" s="26"/>
      <c r="AU217" s="23"/>
      <c r="AZ217" s="26"/>
      <c r="BD217" s="23"/>
      <c r="BI217" s="26"/>
      <c r="BM217" s="23"/>
      <c r="BR217" s="26"/>
      <c r="BV217" s="23"/>
      <c r="CA217" s="26"/>
      <c r="CE217" s="23"/>
      <c r="CJ217" s="26"/>
      <c r="CN217" s="23"/>
      <c r="CS217" s="26"/>
      <c r="CW217" s="23"/>
      <c r="DB217" s="26"/>
      <c r="DF217" s="23"/>
      <c r="DK217" s="26"/>
      <c r="DO217" s="23"/>
      <c r="DT217" s="26"/>
      <c r="DX217" s="23"/>
      <c r="EC217" s="26"/>
      <c r="EG217" s="23"/>
      <c r="EL217" s="26"/>
      <c r="EP217" s="23"/>
      <c r="EU217" s="26"/>
      <c r="EY217" s="23"/>
      <c r="FD217" s="26"/>
      <c r="FH217" s="23"/>
      <c r="FM217" s="26"/>
      <c r="FQ217" s="23"/>
      <c r="FV217" s="26"/>
      <c r="FZ217" s="23"/>
      <c r="GE217" s="26"/>
      <c r="GI217" s="23"/>
      <c r="GN217" s="26"/>
      <c r="GR217" s="23"/>
      <c r="GW217" s="26"/>
      <c r="HA217" s="23"/>
      <c r="HF217" s="26"/>
      <c r="HJ217" s="23"/>
      <c r="HO217" s="26"/>
      <c r="HS217" s="23"/>
      <c r="HX217" s="26"/>
      <c r="IB217" s="23"/>
      <c r="IG217" s="26"/>
      <c r="IK217" s="23"/>
      <c r="IP217" s="26"/>
      <c r="IT217" s="23"/>
      <c r="IY217" s="26"/>
      <c r="JC217" s="23"/>
      <c r="JH217" s="26"/>
      <c r="JL217" s="23"/>
      <c r="JQ217" s="26"/>
      <c r="JU217" s="23"/>
      <c r="JZ217" s="26"/>
      <c r="KD217" s="23"/>
      <c r="KI217" s="26"/>
      <c r="KM217" s="23"/>
      <c r="KR217" s="26"/>
      <c r="KV217" s="23"/>
      <c r="LA217" s="26"/>
      <c r="LE217" s="23"/>
      <c r="LJ217" s="26"/>
      <c r="LN217" s="23"/>
      <c r="LS217" s="26"/>
      <c r="LW217" s="23"/>
      <c r="MB217" s="26"/>
      <c r="MF217" s="23"/>
      <c r="MK217" s="26"/>
      <c r="MO217" s="23"/>
      <c r="MT217" s="26"/>
      <c r="MX217" s="23"/>
      <c r="NC217" s="26"/>
      <c r="NG217" s="23"/>
      <c r="NL217" s="26"/>
      <c r="NP217" s="23"/>
      <c r="NU217" s="26"/>
      <c r="NY217" s="23"/>
      <c r="OD217" s="26"/>
      <c r="OH217" s="23"/>
      <c r="OM217" s="26"/>
      <c r="OQ217" s="23"/>
      <c r="OV217" s="26"/>
      <c r="OZ217" s="23"/>
      <c r="PE217" s="26"/>
      <c r="PI217" s="23"/>
      <c r="PN217" s="26"/>
      <c r="PR217" s="23"/>
      <c r="PW217" s="26"/>
      <c r="QA217" s="23"/>
      <c r="QF217" s="26"/>
      <c r="QJ217" s="23"/>
      <c r="QO217" s="26"/>
      <c r="QS217" s="23"/>
      <c r="QX217" s="26"/>
      <c r="RB217" s="23"/>
      <c r="RG217" s="26"/>
      <c r="RK217" s="23"/>
      <c r="RP217" s="26"/>
      <c r="RT217" s="23"/>
      <c r="RY217" s="26"/>
      <c r="SC217" s="23"/>
      <c r="SH217" s="26"/>
      <c r="SL217" s="23"/>
      <c r="SQ217" s="26"/>
      <c r="SU217" s="23"/>
      <c r="SZ217" s="26"/>
      <c r="TD217" s="23"/>
      <c r="TI217" s="26"/>
      <c r="TM217" s="23"/>
      <c r="TR217" s="26"/>
      <c r="TV217" s="23"/>
      <c r="UA217" s="26"/>
      <c r="UE217" s="23"/>
      <c r="UJ217" s="26"/>
      <c r="UN217" s="23"/>
      <c r="US217" s="26"/>
      <c r="UW217" s="23"/>
      <c r="VB217" s="26"/>
      <c r="VF217" s="23"/>
      <c r="VK217" s="26"/>
      <c r="VO217" s="23"/>
      <c r="VT217" s="26"/>
      <c r="VX217" s="23"/>
      <c r="WC217" s="26"/>
      <c r="WG217" s="23"/>
      <c r="WL217" s="26"/>
      <c r="WP217" s="23"/>
      <c r="WU217" s="26"/>
      <c r="WY217" s="23"/>
      <c r="XD217" s="26"/>
      <c r="XH217" s="23"/>
      <c r="XM217" s="26"/>
      <c r="XQ217" s="23"/>
      <c r="XV217" s="26"/>
      <c r="XZ217" s="23"/>
      <c r="YE217" s="26"/>
      <c r="YI217" s="23"/>
      <c r="YN217" s="26"/>
      <c r="YR217" s="23"/>
      <c r="YW217" s="26"/>
      <c r="ZA217" s="23"/>
      <c r="ZF217" s="26"/>
      <c r="ZJ217" s="23"/>
      <c r="ZO217" s="26"/>
      <c r="ZS217" s="23"/>
      <c r="ZX217" s="26"/>
      <c r="AAB217" s="23"/>
      <c r="AAG217" s="26"/>
      <c r="AAK217" s="23"/>
      <c r="AAP217" s="26"/>
      <c r="AAT217" s="23"/>
      <c r="AAY217" s="26"/>
      <c r="ABC217" s="23"/>
      <c r="ABH217" s="26"/>
      <c r="ABL217" s="23"/>
      <c r="ABQ217" s="26"/>
      <c r="ABU217" s="23"/>
      <c r="ABZ217" s="26"/>
      <c r="ACD217" s="23"/>
      <c r="ACI217" s="26"/>
      <c r="ACM217" s="23"/>
      <c r="ACR217" s="26"/>
      <c r="ACV217" s="23"/>
      <c r="ADA217" s="26"/>
      <c r="ADE217" s="23"/>
      <c r="ADJ217" s="26"/>
      <c r="ADN217" s="23"/>
      <c r="ADS217" s="26"/>
      <c r="ADW217" s="23"/>
      <c r="AEB217" s="26"/>
      <c r="AEF217" s="23"/>
      <c r="AEK217" s="26"/>
      <c r="AEO217" s="23"/>
      <c r="AET217" s="26"/>
      <c r="AEX217" s="23"/>
      <c r="AFC217" s="26"/>
      <c r="AFG217" s="23"/>
      <c r="AFL217" s="26"/>
      <c r="AFP217" s="23"/>
      <c r="AFU217" s="26"/>
      <c r="AFY217" s="23"/>
      <c r="AGD217" s="26"/>
      <c r="AGH217" s="23"/>
      <c r="AGM217" s="26"/>
      <c r="AGQ217" s="23"/>
      <c r="AGV217" s="26"/>
      <c r="AGZ217" s="23"/>
      <c r="AHE217" s="26"/>
      <c r="AHI217" s="23"/>
      <c r="AHN217" s="26"/>
      <c r="AHR217" s="23"/>
      <c r="AHW217" s="26"/>
      <c r="AIA217" s="23"/>
      <c r="AIF217" s="26"/>
      <c r="AIJ217" s="23"/>
      <c r="AIO217" s="26"/>
      <c r="AIS217" s="23"/>
      <c r="AIX217" s="26"/>
      <c r="AJB217" s="23"/>
      <c r="AJG217" s="26"/>
      <c r="AJK217" s="23"/>
      <c r="AJP217" s="26"/>
      <c r="AJT217" s="23"/>
      <c r="AJY217" s="26"/>
      <c r="AKC217" s="23"/>
      <c r="AKH217" s="26"/>
      <c r="AKL217" s="23"/>
      <c r="AKQ217" s="26"/>
      <c r="AKU217" s="23"/>
      <c r="AKZ217" s="26"/>
      <c r="ALD217" s="23"/>
      <c r="ALI217" s="26"/>
      <c r="ALM217" s="23"/>
      <c r="ALR217" s="26"/>
      <c r="ALV217" s="23"/>
      <c r="AMA217" s="26"/>
      <c r="AME217" s="23"/>
      <c r="AMJ217" s="26"/>
      <c r="AMN217" s="23"/>
      <c r="AMS217" s="26"/>
      <c r="AMW217" s="23"/>
      <c r="ANB217" s="26"/>
      <c r="ANF217" s="23"/>
      <c r="ANK217" s="26"/>
      <c r="ANO217" s="23"/>
      <c r="ANT217" s="26"/>
      <c r="ANX217" s="23"/>
      <c r="AOC217" s="26"/>
      <c r="AOG217" s="23"/>
      <c r="AOL217" s="26"/>
      <c r="AOP217" s="23"/>
      <c r="AOU217" s="26"/>
      <c r="AOY217" s="23"/>
      <c r="APD217" s="26"/>
      <c r="APH217" s="23"/>
      <c r="APM217" s="26"/>
      <c r="APQ217" s="23"/>
      <c r="APV217" s="26"/>
      <c r="APZ217" s="23"/>
      <c r="AQE217" s="26"/>
      <c r="AQI217" s="23"/>
      <c r="AQN217" s="26"/>
      <c r="AQR217" s="23"/>
      <c r="AQW217" s="26"/>
      <c r="ARA217" s="23"/>
      <c r="ARF217" s="26"/>
      <c r="ARJ217" s="23"/>
      <c r="ARO217" s="26"/>
      <c r="ARS217" s="23"/>
      <c r="ARX217" s="26"/>
      <c r="ASB217" s="23"/>
      <c r="ASG217" s="26"/>
      <c r="ASK217" s="23"/>
      <c r="ASP217" s="26"/>
      <c r="AST217" s="23"/>
      <c r="ASY217" s="26"/>
      <c r="ATC217" s="23"/>
      <c r="ATH217" s="26"/>
      <c r="ATL217" s="23"/>
      <c r="ATQ217" s="26"/>
      <c r="ATU217" s="23"/>
      <c r="ATZ217" s="26"/>
      <c r="AUD217" s="23"/>
      <c r="AUI217" s="26"/>
      <c r="AUM217" s="23"/>
      <c r="AUR217" s="26"/>
      <c r="AUV217" s="23"/>
      <c r="AVA217" s="26"/>
      <c r="AVE217" s="23"/>
      <c r="AVJ217" s="26"/>
      <c r="AVN217" s="23"/>
      <c r="AVS217" s="26"/>
      <c r="AVW217" s="23"/>
      <c r="AWB217" s="26"/>
      <c r="AWF217" s="23"/>
      <c r="AWK217" s="26"/>
      <c r="AWO217" s="23"/>
      <c r="AWT217" s="26"/>
      <c r="AWX217" s="23"/>
      <c r="AXC217" s="26"/>
      <c r="AXG217" s="23"/>
      <c r="AXL217" s="26"/>
      <c r="AXP217" s="23"/>
      <c r="AXU217" s="26"/>
      <c r="AXY217" s="23"/>
      <c r="AYD217" s="26"/>
      <c r="AYH217" s="23"/>
      <c r="AYM217" s="26"/>
      <c r="AYQ217" s="23"/>
      <c r="AYV217" s="26"/>
      <c r="AYZ217" s="23"/>
      <c r="AZE217" s="26"/>
      <c r="AZI217" s="23"/>
      <c r="AZN217" s="26"/>
      <c r="AZR217" s="23"/>
      <c r="AZW217" s="26"/>
      <c r="BAA217" s="23"/>
      <c r="BAF217" s="26"/>
      <c r="BAJ217" s="23"/>
      <c r="BAO217" s="26"/>
      <c r="BAS217" s="23"/>
      <c r="BAX217" s="26"/>
      <c r="BBB217" s="23"/>
      <c r="BBG217" s="26"/>
      <c r="BBK217" s="23"/>
      <c r="BBP217" s="26"/>
      <c r="BBT217" s="23"/>
      <c r="BBY217" s="26"/>
      <c r="BCC217" s="23"/>
      <c r="BCH217" s="26"/>
      <c r="BCL217" s="23"/>
      <c r="BCQ217" s="26"/>
      <c r="BCU217" s="23"/>
      <c r="BCZ217" s="26"/>
      <c r="BDD217" s="23"/>
      <c r="BDI217" s="26"/>
      <c r="BDM217" s="23"/>
      <c r="BDR217" s="26"/>
      <c r="BDV217" s="23"/>
      <c r="BEA217" s="26"/>
      <c r="BEE217" s="23"/>
      <c r="BEJ217" s="26"/>
      <c r="BEN217" s="23"/>
      <c r="BES217" s="26"/>
      <c r="BEW217" s="23"/>
      <c r="BFB217" s="26"/>
      <c r="BFF217" s="23"/>
      <c r="BFK217" s="26"/>
      <c r="BFO217" s="23"/>
      <c r="BFT217" s="26"/>
      <c r="BFX217" s="23"/>
      <c r="BGC217" s="26"/>
      <c r="BGG217" s="23"/>
      <c r="BGL217" s="26"/>
      <c r="BGP217" s="23"/>
      <c r="BGU217" s="26"/>
      <c r="BGY217" s="23"/>
      <c r="BHD217" s="26"/>
      <c r="BHH217" s="23"/>
      <c r="BHM217" s="26"/>
      <c r="BHQ217" s="23"/>
      <c r="BHV217" s="26"/>
      <c r="BHZ217" s="23"/>
      <c r="BIE217" s="26"/>
      <c r="BII217" s="23"/>
      <c r="BIN217" s="26"/>
      <c r="BIR217" s="23"/>
      <c r="BIW217" s="26"/>
      <c r="BJA217" s="23"/>
      <c r="BJF217" s="26"/>
      <c r="BJJ217" s="23"/>
      <c r="BJO217" s="26"/>
      <c r="BJS217" s="23"/>
      <c r="BJX217" s="26"/>
      <c r="BKB217" s="23"/>
      <c r="BKG217" s="26"/>
      <c r="BKK217" s="23"/>
      <c r="BKP217" s="26"/>
      <c r="BKT217" s="23"/>
      <c r="BKY217" s="26"/>
      <c r="BLC217" s="23"/>
      <c r="BLH217" s="26"/>
      <c r="BLL217" s="23"/>
      <c r="BLQ217" s="26"/>
      <c r="BLU217" s="23"/>
      <c r="BLZ217" s="26"/>
      <c r="BMD217" s="23"/>
      <c r="BMI217" s="26"/>
      <c r="BMM217" s="23"/>
      <c r="BMR217" s="26"/>
      <c r="BMV217" s="23"/>
      <c r="BNA217" s="26"/>
      <c r="BNE217" s="23"/>
      <c r="BNJ217" s="26"/>
      <c r="BNN217" s="23"/>
      <c r="BNS217" s="26"/>
      <c r="BNW217" s="23"/>
      <c r="BOB217" s="26"/>
      <c r="BOF217" s="23"/>
      <c r="BOK217" s="26"/>
      <c r="BOO217" s="23"/>
      <c r="BOT217" s="26"/>
      <c r="BOX217" s="23"/>
      <c r="BPC217" s="26"/>
      <c r="BPG217" s="23"/>
      <c r="BPL217" s="26"/>
      <c r="BPP217" s="23"/>
      <c r="BPU217" s="26"/>
      <c r="BPY217" s="23"/>
      <c r="BQD217" s="26"/>
      <c r="BQH217" s="23"/>
      <c r="BQM217" s="26"/>
      <c r="BQQ217" s="23"/>
      <c r="BQV217" s="26"/>
      <c r="BQZ217" s="23"/>
      <c r="BRE217" s="26"/>
      <c r="BRI217" s="23"/>
      <c r="BRN217" s="26"/>
      <c r="BRR217" s="23"/>
      <c r="BRW217" s="26"/>
      <c r="BSA217" s="23"/>
      <c r="BSF217" s="26"/>
      <c r="BSJ217" s="23"/>
      <c r="BSO217" s="26"/>
      <c r="BSS217" s="23"/>
      <c r="BSX217" s="26"/>
      <c r="BTB217" s="23"/>
      <c r="BTG217" s="26"/>
      <c r="BTK217" s="23"/>
      <c r="BTP217" s="26"/>
      <c r="BTT217" s="23"/>
      <c r="BTY217" s="26"/>
      <c r="BUC217" s="23"/>
      <c r="BUH217" s="26"/>
      <c r="BUL217" s="23"/>
      <c r="BUQ217" s="26"/>
      <c r="BUU217" s="23"/>
      <c r="BUZ217" s="26"/>
      <c r="BVD217" s="23"/>
      <c r="BVI217" s="26"/>
      <c r="BVM217" s="23"/>
      <c r="BVR217" s="26"/>
      <c r="BVV217" s="23"/>
      <c r="BWA217" s="26"/>
      <c r="BWE217" s="23"/>
      <c r="BWJ217" s="26"/>
      <c r="BWN217" s="23"/>
      <c r="BWS217" s="26"/>
      <c r="BWW217" s="23"/>
      <c r="BXB217" s="26"/>
      <c r="BXF217" s="23"/>
      <c r="BXK217" s="26"/>
      <c r="BXO217" s="23"/>
      <c r="BXT217" s="26"/>
      <c r="BXX217" s="23"/>
      <c r="BYC217" s="26"/>
      <c r="BYG217" s="23"/>
      <c r="BYL217" s="26"/>
      <c r="BYP217" s="23"/>
      <c r="BYU217" s="26"/>
      <c r="BYY217" s="23"/>
      <c r="BZD217" s="26"/>
      <c r="BZH217" s="23"/>
      <c r="BZM217" s="26"/>
      <c r="BZQ217" s="23"/>
      <c r="BZV217" s="26"/>
      <c r="BZZ217" s="23"/>
      <c r="CAE217" s="26"/>
      <c r="CAI217" s="23"/>
      <c r="CAN217" s="26"/>
      <c r="CAR217" s="23"/>
      <c r="CAW217" s="26"/>
      <c r="CBA217" s="23"/>
      <c r="CBF217" s="26"/>
      <c r="CBJ217" s="23"/>
      <c r="CBO217" s="26"/>
      <c r="CBS217" s="23"/>
      <c r="CBX217" s="26"/>
      <c r="CCB217" s="23"/>
      <c r="CCG217" s="26"/>
      <c r="CCK217" s="23"/>
      <c r="CCP217" s="26"/>
      <c r="CCT217" s="23"/>
      <c r="CCY217" s="26"/>
      <c r="CDC217" s="23"/>
      <c r="CDH217" s="26"/>
      <c r="CDL217" s="23"/>
      <c r="CDQ217" s="26"/>
      <c r="CDU217" s="23"/>
      <c r="CDZ217" s="26"/>
      <c r="CED217" s="23"/>
      <c r="CEI217" s="26"/>
      <c r="CEM217" s="23"/>
      <c r="CER217" s="26"/>
      <c r="CEV217" s="23"/>
      <c r="CFA217" s="26"/>
      <c r="CFE217" s="23"/>
      <c r="CFJ217" s="26"/>
      <c r="CFN217" s="23"/>
      <c r="CFS217" s="26"/>
      <c r="CFW217" s="23"/>
      <c r="CGB217" s="26"/>
      <c r="CGF217" s="23"/>
      <c r="CGK217" s="26"/>
      <c r="CGO217" s="23"/>
      <c r="CGT217" s="26"/>
      <c r="CGX217" s="23"/>
      <c r="CHC217" s="26"/>
      <c r="CHG217" s="23"/>
      <c r="CHL217" s="26"/>
      <c r="CHP217" s="23"/>
      <c r="CHU217" s="26"/>
      <c r="CHY217" s="23"/>
      <c r="CID217" s="26"/>
      <c r="CIH217" s="23"/>
      <c r="CIM217" s="26"/>
      <c r="CIQ217" s="23"/>
      <c r="CIV217" s="26"/>
      <c r="CIZ217" s="23"/>
      <c r="CJE217" s="26"/>
      <c r="CJI217" s="23"/>
      <c r="CJN217" s="26"/>
      <c r="CJR217" s="23"/>
      <c r="CJW217" s="26"/>
      <c r="CKA217" s="23"/>
      <c r="CKF217" s="26"/>
      <c r="CKJ217" s="23"/>
      <c r="CKO217" s="26"/>
      <c r="CKS217" s="23"/>
      <c r="CKX217" s="26"/>
      <c r="CLB217" s="23"/>
      <c r="CLG217" s="26"/>
      <c r="CLK217" s="23"/>
      <c r="CLP217" s="26"/>
      <c r="CLT217" s="23"/>
      <c r="CLY217" s="26"/>
      <c r="CMC217" s="23"/>
      <c r="CMH217" s="26"/>
      <c r="CML217" s="23"/>
      <c r="CMQ217" s="26"/>
      <c r="CMU217" s="23"/>
      <c r="CMZ217" s="26"/>
      <c r="CND217" s="23"/>
      <c r="CNI217" s="26"/>
      <c r="CNM217" s="23"/>
      <c r="CNR217" s="26"/>
      <c r="CNV217" s="23"/>
      <c r="COA217" s="26"/>
      <c r="COE217" s="23"/>
      <c r="COJ217" s="26"/>
      <c r="CON217" s="23"/>
      <c r="COS217" s="26"/>
      <c r="COW217" s="23"/>
      <c r="CPB217" s="26"/>
      <c r="CPF217" s="23"/>
      <c r="CPK217" s="26"/>
      <c r="CPO217" s="23"/>
      <c r="CPT217" s="26"/>
      <c r="CPX217" s="23"/>
      <c r="CQC217" s="26"/>
      <c r="CQG217" s="23"/>
      <c r="CQL217" s="26"/>
      <c r="CQP217" s="23"/>
      <c r="CQU217" s="26"/>
      <c r="CQY217" s="23"/>
      <c r="CRD217" s="26"/>
      <c r="CRH217" s="23"/>
      <c r="CRM217" s="26"/>
      <c r="CRQ217" s="23"/>
      <c r="CRV217" s="26"/>
      <c r="CRZ217" s="23"/>
      <c r="CSE217" s="26"/>
      <c r="CSI217" s="23"/>
      <c r="CSN217" s="26"/>
      <c r="CSR217" s="23"/>
      <c r="CSW217" s="26"/>
      <c r="CTA217" s="23"/>
      <c r="CTF217" s="26"/>
      <c r="CTJ217" s="23"/>
      <c r="CTO217" s="26"/>
      <c r="CTS217" s="23"/>
      <c r="CTX217" s="26"/>
      <c r="CUB217" s="23"/>
      <c r="CUG217" s="26"/>
      <c r="CUK217" s="23"/>
      <c r="CUP217" s="26"/>
      <c r="CUT217" s="23"/>
      <c r="CUY217" s="26"/>
      <c r="CVC217" s="23"/>
      <c r="CVH217" s="26"/>
      <c r="CVL217" s="23"/>
      <c r="CVQ217" s="26"/>
      <c r="CVU217" s="23"/>
      <c r="CVZ217" s="26"/>
      <c r="CWD217" s="23"/>
      <c r="CWI217" s="26"/>
      <c r="CWM217" s="23"/>
      <c r="CWR217" s="26"/>
      <c r="CWV217" s="23"/>
      <c r="CXA217" s="26"/>
      <c r="CXE217" s="23"/>
      <c r="CXJ217" s="26"/>
      <c r="CXN217" s="23"/>
      <c r="CXS217" s="26"/>
      <c r="CXW217" s="23"/>
      <c r="CYB217" s="26"/>
      <c r="CYF217" s="23"/>
      <c r="CYK217" s="26"/>
      <c r="CYO217" s="23"/>
      <c r="CYT217" s="26"/>
      <c r="CYX217" s="23"/>
      <c r="CZC217" s="26"/>
      <c r="CZG217" s="23"/>
      <c r="CZL217" s="26"/>
      <c r="CZP217" s="23"/>
      <c r="CZU217" s="26"/>
      <c r="CZY217" s="23"/>
      <c r="DAD217" s="26"/>
      <c r="DAH217" s="23"/>
      <c r="DAM217" s="26"/>
      <c r="DAQ217" s="23"/>
      <c r="DAV217" s="26"/>
      <c r="DAZ217" s="23"/>
      <c r="DBE217" s="26"/>
      <c r="DBI217" s="23"/>
      <c r="DBN217" s="26"/>
      <c r="DBR217" s="23"/>
      <c r="DBW217" s="26"/>
      <c r="DCA217" s="23"/>
      <c r="DCF217" s="26"/>
      <c r="DCJ217" s="23"/>
      <c r="DCO217" s="26"/>
      <c r="DCS217" s="23"/>
      <c r="DCX217" s="26"/>
      <c r="DDB217" s="23"/>
      <c r="DDG217" s="26"/>
      <c r="DDK217" s="23"/>
      <c r="DDP217" s="26"/>
      <c r="DDT217" s="23"/>
      <c r="DDY217" s="26"/>
      <c r="DEC217" s="23"/>
      <c r="DEH217" s="26"/>
      <c r="DEL217" s="23"/>
      <c r="DEQ217" s="26"/>
      <c r="DEU217" s="23"/>
      <c r="DEZ217" s="26"/>
      <c r="DFD217" s="23"/>
      <c r="DFI217" s="26"/>
      <c r="DFM217" s="23"/>
      <c r="DFR217" s="26"/>
      <c r="DFV217" s="23"/>
      <c r="DGA217" s="26"/>
      <c r="DGE217" s="23"/>
      <c r="DGJ217" s="26"/>
      <c r="DGN217" s="23"/>
      <c r="DGS217" s="26"/>
      <c r="DGW217" s="23"/>
      <c r="DHB217" s="26"/>
      <c r="DHF217" s="23"/>
      <c r="DHK217" s="26"/>
      <c r="DHO217" s="23"/>
      <c r="DHT217" s="26"/>
      <c r="DHX217" s="23"/>
      <c r="DIC217" s="26"/>
      <c r="DIG217" s="23"/>
      <c r="DIL217" s="26"/>
      <c r="DIP217" s="23"/>
      <c r="DIU217" s="26"/>
      <c r="DIY217" s="23"/>
      <c r="DJD217" s="26"/>
      <c r="DJH217" s="23"/>
      <c r="DJM217" s="26"/>
      <c r="DJQ217" s="23"/>
      <c r="DJV217" s="26"/>
      <c r="DJZ217" s="23"/>
      <c r="DKE217" s="26"/>
      <c r="DKI217" s="23"/>
      <c r="DKN217" s="26"/>
      <c r="DKR217" s="23"/>
      <c r="DKW217" s="26"/>
      <c r="DLA217" s="23"/>
      <c r="DLF217" s="26"/>
      <c r="DLJ217" s="23"/>
      <c r="DLO217" s="26"/>
      <c r="DLS217" s="23"/>
      <c r="DLX217" s="26"/>
      <c r="DMB217" s="23"/>
      <c r="DMG217" s="26"/>
      <c r="DMK217" s="23"/>
      <c r="DMP217" s="26"/>
      <c r="DMT217" s="23"/>
      <c r="DMY217" s="26"/>
      <c r="DNC217" s="23"/>
      <c r="DNH217" s="26"/>
      <c r="DNL217" s="23"/>
      <c r="DNQ217" s="26"/>
      <c r="DNU217" s="23"/>
      <c r="DNZ217" s="26"/>
      <c r="DOD217" s="23"/>
      <c r="DOI217" s="26"/>
      <c r="DOM217" s="23"/>
      <c r="DOR217" s="26"/>
      <c r="DOV217" s="23"/>
      <c r="DPA217" s="26"/>
      <c r="DPE217" s="23"/>
      <c r="DPJ217" s="26"/>
      <c r="DPN217" s="23"/>
      <c r="DPS217" s="26"/>
      <c r="DPW217" s="23"/>
      <c r="DQB217" s="26"/>
      <c r="DQF217" s="23"/>
      <c r="DQK217" s="26"/>
      <c r="DQO217" s="23"/>
      <c r="DQT217" s="26"/>
      <c r="DQX217" s="23"/>
      <c r="DRC217" s="26"/>
      <c r="DRG217" s="23"/>
      <c r="DRL217" s="26"/>
      <c r="DRP217" s="23"/>
      <c r="DRU217" s="26"/>
      <c r="DRY217" s="23"/>
      <c r="DSD217" s="26"/>
      <c r="DSH217" s="23"/>
      <c r="DSM217" s="26"/>
      <c r="DSQ217" s="23"/>
      <c r="DSV217" s="26"/>
      <c r="DSZ217" s="23"/>
      <c r="DTE217" s="26"/>
      <c r="DTI217" s="23"/>
      <c r="DTN217" s="26"/>
      <c r="DTR217" s="23"/>
      <c r="DTW217" s="26"/>
      <c r="DUA217" s="23"/>
      <c r="DUF217" s="26"/>
      <c r="DUJ217" s="23"/>
      <c r="DUO217" s="26"/>
      <c r="DUS217" s="23"/>
      <c r="DUX217" s="26"/>
      <c r="DVB217" s="23"/>
      <c r="DVG217" s="26"/>
      <c r="DVK217" s="23"/>
      <c r="DVP217" s="26"/>
      <c r="DVT217" s="23"/>
      <c r="DVY217" s="26"/>
      <c r="DWC217" s="23"/>
      <c r="DWH217" s="26"/>
      <c r="DWL217" s="23"/>
      <c r="DWQ217" s="26"/>
      <c r="DWU217" s="23"/>
      <c r="DWZ217" s="26"/>
      <c r="DXD217" s="23"/>
      <c r="DXI217" s="26"/>
      <c r="DXM217" s="23"/>
      <c r="DXR217" s="26"/>
      <c r="DXV217" s="23"/>
      <c r="DYA217" s="26"/>
      <c r="DYE217" s="23"/>
      <c r="DYJ217" s="26"/>
      <c r="DYN217" s="23"/>
      <c r="DYS217" s="26"/>
      <c r="DYW217" s="23"/>
      <c r="DZB217" s="26"/>
      <c r="DZF217" s="23"/>
      <c r="DZK217" s="26"/>
      <c r="DZO217" s="23"/>
      <c r="DZT217" s="26"/>
      <c r="DZX217" s="23"/>
      <c r="EAC217" s="26"/>
      <c r="EAG217" s="23"/>
      <c r="EAL217" s="26"/>
      <c r="EAP217" s="23"/>
      <c r="EAU217" s="26"/>
      <c r="EAY217" s="23"/>
      <c r="EBD217" s="26"/>
      <c r="EBH217" s="23"/>
      <c r="EBM217" s="26"/>
      <c r="EBQ217" s="23"/>
      <c r="EBV217" s="26"/>
      <c r="EBZ217" s="23"/>
      <c r="ECE217" s="26"/>
      <c r="ECI217" s="23"/>
      <c r="ECN217" s="26"/>
      <c r="ECR217" s="23"/>
      <c r="ECW217" s="26"/>
      <c r="EDA217" s="23"/>
      <c r="EDF217" s="26"/>
      <c r="EDJ217" s="23"/>
      <c r="EDO217" s="26"/>
      <c r="EDS217" s="23"/>
      <c r="EDX217" s="26"/>
      <c r="EEB217" s="23"/>
      <c r="EEG217" s="26"/>
      <c r="EEK217" s="23"/>
      <c r="EEP217" s="26"/>
      <c r="EET217" s="23"/>
      <c r="EEY217" s="26"/>
      <c r="EFC217" s="23"/>
      <c r="EFH217" s="26"/>
      <c r="EFL217" s="23"/>
      <c r="EFQ217" s="26"/>
      <c r="EFU217" s="23"/>
      <c r="EFZ217" s="26"/>
      <c r="EGD217" s="23"/>
      <c r="EGI217" s="26"/>
      <c r="EGM217" s="23"/>
      <c r="EGR217" s="26"/>
      <c r="EGV217" s="23"/>
      <c r="EHA217" s="26"/>
      <c r="EHE217" s="23"/>
      <c r="EHJ217" s="26"/>
      <c r="EHN217" s="23"/>
      <c r="EHS217" s="26"/>
      <c r="EHW217" s="23"/>
      <c r="EIB217" s="26"/>
      <c r="EIF217" s="23"/>
      <c r="EIK217" s="26"/>
      <c r="EIO217" s="23"/>
      <c r="EIT217" s="26"/>
      <c r="EIX217" s="23"/>
      <c r="EJC217" s="26"/>
      <c r="EJG217" s="23"/>
      <c r="EJL217" s="26"/>
      <c r="EJP217" s="23"/>
      <c r="EJU217" s="26"/>
      <c r="EJY217" s="23"/>
      <c r="EKD217" s="26"/>
      <c r="EKH217" s="23"/>
      <c r="EKM217" s="26"/>
      <c r="EKQ217" s="23"/>
      <c r="EKV217" s="26"/>
      <c r="EKZ217" s="23"/>
      <c r="ELE217" s="26"/>
      <c r="ELI217" s="23"/>
      <c r="ELN217" s="26"/>
      <c r="ELR217" s="23"/>
      <c r="ELW217" s="26"/>
      <c r="EMA217" s="23"/>
      <c r="EMF217" s="26"/>
      <c r="EMJ217" s="23"/>
      <c r="EMO217" s="26"/>
      <c r="EMS217" s="23"/>
      <c r="EMX217" s="26"/>
      <c r="ENB217" s="23"/>
      <c r="ENG217" s="26"/>
      <c r="ENK217" s="23"/>
      <c r="ENP217" s="26"/>
      <c r="ENT217" s="23"/>
      <c r="ENY217" s="26"/>
      <c r="EOC217" s="23"/>
      <c r="EOH217" s="26"/>
      <c r="EOL217" s="23"/>
      <c r="EOQ217" s="26"/>
      <c r="EOU217" s="23"/>
      <c r="EOZ217" s="26"/>
      <c r="EPD217" s="23"/>
      <c r="EPI217" s="26"/>
      <c r="EPM217" s="23"/>
      <c r="EPR217" s="26"/>
      <c r="EPV217" s="23"/>
      <c r="EQA217" s="26"/>
      <c r="EQE217" s="23"/>
      <c r="EQJ217" s="26"/>
      <c r="EQN217" s="23"/>
      <c r="EQS217" s="26"/>
      <c r="EQW217" s="23"/>
      <c r="ERB217" s="26"/>
      <c r="ERF217" s="23"/>
      <c r="ERK217" s="26"/>
      <c r="ERO217" s="23"/>
      <c r="ERT217" s="26"/>
      <c r="ERX217" s="23"/>
      <c r="ESC217" s="26"/>
      <c r="ESG217" s="23"/>
      <c r="ESL217" s="26"/>
      <c r="ESP217" s="23"/>
      <c r="ESU217" s="26"/>
      <c r="ESY217" s="23"/>
      <c r="ETD217" s="26"/>
      <c r="ETH217" s="23"/>
      <c r="ETM217" s="26"/>
      <c r="ETQ217" s="23"/>
      <c r="ETV217" s="26"/>
      <c r="ETZ217" s="23"/>
      <c r="EUE217" s="26"/>
      <c r="EUI217" s="23"/>
      <c r="EUN217" s="26"/>
      <c r="EUR217" s="23"/>
      <c r="EUW217" s="26"/>
      <c r="EVA217" s="23"/>
      <c r="EVF217" s="26"/>
      <c r="EVJ217" s="23"/>
      <c r="EVO217" s="26"/>
      <c r="EVS217" s="23"/>
      <c r="EVX217" s="26"/>
      <c r="EWB217" s="23"/>
      <c r="EWG217" s="26"/>
      <c r="EWK217" s="23"/>
      <c r="EWP217" s="26"/>
      <c r="EWT217" s="23"/>
      <c r="EWY217" s="26"/>
      <c r="EXC217" s="23"/>
      <c r="EXH217" s="26"/>
      <c r="EXL217" s="23"/>
      <c r="EXQ217" s="26"/>
      <c r="EXU217" s="23"/>
      <c r="EXZ217" s="26"/>
      <c r="EYD217" s="23"/>
      <c r="EYI217" s="26"/>
      <c r="EYM217" s="23"/>
      <c r="EYR217" s="26"/>
      <c r="EYV217" s="23"/>
      <c r="EZA217" s="26"/>
      <c r="EZE217" s="23"/>
      <c r="EZJ217" s="26"/>
      <c r="EZN217" s="23"/>
      <c r="EZS217" s="26"/>
      <c r="EZW217" s="23"/>
      <c r="FAB217" s="26"/>
      <c r="FAF217" s="23"/>
      <c r="FAK217" s="26"/>
      <c r="FAO217" s="23"/>
      <c r="FAT217" s="26"/>
      <c r="FAX217" s="23"/>
      <c r="FBC217" s="26"/>
      <c r="FBG217" s="23"/>
      <c r="FBL217" s="26"/>
      <c r="FBP217" s="23"/>
      <c r="FBU217" s="26"/>
      <c r="FBY217" s="23"/>
      <c r="FCD217" s="26"/>
      <c r="FCH217" s="23"/>
      <c r="FCM217" s="26"/>
      <c r="FCQ217" s="23"/>
      <c r="FCV217" s="26"/>
      <c r="FCZ217" s="23"/>
      <c r="FDE217" s="26"/>
      <c r="FDI217" s="23"/>
      <c r="FDN217" s="26"/>
      <c r="FDR217" s="23"/>
      <c r="FDW217" s="26"/>
      <c r="FEA217" s="23"/>
      <c r="FEF217" s="26"/>
      <c r="FEJ217" s="23"/>
      <c r="FEO217" s="26"/>
      <c r="FES217" s="23"/>
      <c r="FEX217" s="26"/>
      <c r="FFB217" s="23"/>
      <c r="FFG217" s="26"/>
      <c r="FFK217" s="23"/>
      <c r="FFP217" s="26"/>
      <c r="FFT217" s="23"/>
      <c r="FFY217" s="26"/>
      <c r="FGC217" s="23"/>
      <c r="FGH217" s="26"/>
      <c r="FGL217" s="23"/>
      <c r="FGQ217" s="26"/>
      <c r="FGU217" s="23"/>
      <c r="FGZ217" s="26"/>
      <c r="FHD217" s="23"/>
      <c r="FHI217" s="26"/>
      <c r="FHM217" s="23"/>
      <c r="FHR217" s="26"/>
      <c r="FHV217" s="23"/>
      <c r="FIA217" s="26"/>
      <c r="FIE217" s="23"/>
      <c r="FIJ217" s="26"/>
      <c r="FIN217" s="23"/>
      <c r="FIS217" s="26"/>
      <c r="FIW217" s="23"/>
      <c r="FJB217" s="26"/>
      <c r="FJF217" s="23"/>
      <c r="FJK217" s="26"/>
      <c r="FJO217" s="23"/>
      <c r="FJT217" s="26"/>
      <c r="FJX217" s="23"/>
      <c r="FKC217" s="26"/>
      <c r="FKG217" s="23"/>
      <c r="FKL217" s="26"/>
      <c r="FKP217" s="23"/>
      <c r="FKU217" s="26"/>
      <c r="FKY217" s="23"/>
      <c r="FLD217" s="26"/>
      <c r="FLH217" s="23"/>
      <c r="FLM217" s="26"/>
      <c r="FLQ217" s="23"/>
      <c r="FLV217" s="26"/>
      <c r="FLZ217" s="23"/>
      <c r="FME217" s="26"/>
      <c r="FMI217" s="23"/>
      <c r="FMN217" s="26"/>
      <c r="FMR217" s="23"/>
      <c r="FMW217" s="26"/>
      <c r="FNA217" s="23"/>
      <c r="FNF217" s="26"/>
      <c r="FNJ217" s="23"/>
      <c r="FNO217" s="26"/>
      <c r="FNS217" s="23"/>
      <c r="FNX217" s="26"/>
      <c r="FOB217" s="23"/>
      <c r="FOG217" s="26"/>
      <c r="FOK217" s="23"/>
      <c r="FOP217" s="26"/>
      <c r="FOT217" s="23"/>
      <c r="FOY217" s="26"/>
      <c r="FPC217" s="23"/>
      <c r="FPH217" s="26"/>
      <c r="FPL217" s="23"/>
      <c r="FPQ217" s="26"/>
      <c r="FPU217" s="23"/>
      <c r="FPZ217" s="26"/>
      <c r="FQD217" s="23"/>
      <c r="FQI217" s="26"/>
      <c r="FQM217" s="23"/>
      <c r="FQR217" s="26"/>
      <c r="FQV217" s="23"/>
      <c r="FRA217" s="26"/>
      <c r="FRE217" s="23"/>
      <c r="FRJ217" s="26"/>
      <c r="FRN217" s="23"/>
      <c r="FRS217" s="26"/>
      <c r="FRW217" s="23"/>
      <c r="FSB217" s="26"/>
      <c r="FSF217" s="23"/>
      <c r="FSK217" s="26"/>
      <c r="FSO217" s="23"/>
      <c r="FST217" s="26"/>
      <c r="FSX217" s="23"/>
      <c r="FTC217" s="26"/>
      <c r="FTG217" s="23"/>
      <c r="FTL217" s="26"/>
      <c r="FTP217" s="23"/>
      <c r="FTU217" s="26"/>
      <c r="FTY217" s="23"/>
      <c r="FUD217" s="26"/>
      <c r="FUH217" s="23"/>
      <c r="FUM217" s="26"/>
      <c r="FUQ217" s="23"/>
      <c r="FUV217" s="26"/>
      <c r="FUZ217" s="23"/>
      <c r="FVE217" s="26"/>
      <c r="FVI217" s="23"/>
      <c r="FVN217" s="26"/>
      <c r="FVR217" s="23"/>
      <c r="FVW217" s="26"/>
      <c r="FWA217" s="23"/>
      <c r="FWF217" s="26"/>
      <c r="FWJ217" s="23"/>
      <c r="FWO217" s="26"/>
      <c r="FWS217" s="23"/>
      <c r="FWX217" s="26"/>
      <c r="FXB217" s="23"/>
      <c r="FXG217" s="26"/>
      <c r="FXK217" s="23"/>
      <c r="FXP217" s="26"/>
      <c r="FXT217" s="23"/>
      <c r="FXY217" s="26"/>
      <c r="FYC217" s="23"/>
      <c r="FYH217" s="26"/>
      <c r="FYL217" s="23"/>
      <c r="FYQ217" s="26"/>
      <c r="FYU217" s="23"/>
      <c r="FYZ217" s="26"/>
      <c r="FZD217" s="23"/>
      <c r="FZI217" s="26"/>
      <c r="FZM217" s="23"/>
      <c r="FZR217" s="26"/>
      <c r="FZV217" s="23"/>
      <c r="GAA217" s="26"/>
      <c r="GAE217" s="23"/>
      <c r="GAJ217" s="26"/>
      <c r="GAN217" s="23"/>
      <c r="GAS217" s="26"/>
      <c r="GAW217" s="23"/>
      <c r="GBB217" s="26"/>
      <c r="GBF217" s="23"/>
      <c r="GBK217" s="26"/>
      <c r="GBO217" s="23"/>
      <c r="GBT217" s="26"/>
      <c r="GBX217" s="23"/>
      <c r="GCC217" s="26"/>
      <c r="GCG217" s="23"/>
      <c r="GCL217" s="26"/>
      <c r="GCP217" s="23"/>
      <c r="GCU217" s="26"/>
      <c r="GCY217" s="23"/>
      <c r="GDD217" s="26"/>
      <c r="GDH217" s="23"/>
      <c r="GDM217" s="26"/>
      <c r="GDQ217" s="23"/>
      <c r="GDV217" s="26"/>
      <c r="GDZ217" s="23"/>
      <c r="GEE217" s="26"/>
      <c r="GEI217" s="23"/>
      <c r="GEN217" s="26"/>
      <c r="GER217" s="23"/>
      <c r="GEW217" s="26"/>
      <c r="GFA217" s="23"/>
      <c r="GFF217" s="26"/>
      <c r="GFJ217" s="23"/>
      <c r="GFO217" s="26"/>
      <c r="GFS217" s="23"/>
      <c r="GFX217" s="26"/>
      <c r="GGB217" s="23"/>
      <c r="GGG217" s="26"/>
      <c r="GGK217" s="23"/>
      <c r="GGP217" s="26"/>
      <c r="GGT217" s="23"/>
      <c r="GGY217" s="26"/>
      <c r="GHC217" s="23"/>
      <c r="GHH217" s="26"/>
      <c r="GHL217" s="23"/>
      <c r="GHQ217" s="26"/>
      <c r="GHU217" s="23"/>
      <c r="GHZ217" s="26"/>
      <c r="GID217" s="23"/>
      <c r="GII217" s="26"/>
      <c r="GIM217" s="23"/>
      <c r="GIR217" s="26"/>
      <c r="GIV217" s="23"/>
      <c r="GJA217" s="26"/>
      <c r="GJE217" s="23"/>
      <c r="GJJ217" s="26"/>
      <c r="GJN217" s="23"/>
      <c r="GJS217" s="26"/>
      <c r="GJW217" s="23"/>
      <c r="GKB217" s="26"/>
      <c r="GKF217" s="23"/>
      <c r="GKK217" s="26"/>
      <c r="GKO217" s="23"/>
      <c r="GKT217" s="26"/>
      <c r="GKX217" s="23"/>
      <c r="GLC217" s="26"/>
      <c r="GLG217" s="23"/>
      <c r="GLL217" s="26"/>
      <c r="GLP217" s="23"/>
      <c r="GLU217" s="26"/>
      <c r="GLY217" s="23"/>
      <c r="GMD217" s="26"/>
      <c r="GMH217" s="23"/>
      <c r="GMM217" s="26"/>
      <c r="GMQ217" s="23"/>
      <c r="GMV217" s="26"/>
      <c r="GMZ217" s="23"/>
      <c r="GNE217" s="26"/>
      <c r="GNI217" s="23"/>
      <c r="GNN217" s="26"/>
      <c r="GNR217" s="23"/>
      <c r="GNW217" s="26"/>
      <c r="GOA217" s="23"/>
      <c r="GOF217" s="26"/>
      <c r="GOJ217" s="23"/>
      <c r="GOO217" s="26"/>
      <c r="GOS217" s="23"/>
      <c r="GOX217" s="26"/>
      <c r="GPB217" s="23"/>
      <c r="GPG217" s="26"/>
      <c r="GPK217" s="23"/>
      <c r="GPP217" s="26"/>
      <c r="GPT217" s="23"/>
      <c r="GPY217" s="26"/>
      <c r="GQC217" s="23"/>
      <c r="GQH217" s="26"/>
      <c r="GQL217" s="23"/>
      <c r="GQQ217" s="26"/>
      <c r="GQU217" s="23"/>
      <c r="GQZ217" s="26"/>
      <c r="GRD217" s="23"/>
      <c r="GRI217" s="26"/>
      <c r="GRM217" s="23"/>
      <c r="GRR217" s="26"/>
      <c r="GRV217" s="23"/>
      <c r="GSA217" s="26"/>
      <c r="GSE217" s="23"/>
      <c r="GSJ217" s="26"/>
      <c r="GSN217" s="23"/>
      <c r="GSS217" s="26"/>
      <c r="GSW217" s="23"/>
      <c r="GTB217" s="26"/>
      <c r="GTF217" s="23"/>
      <c r="GTK217" s="26"/>
      <c r="GTO217" s="23"/>
      <c r="GTT217" s="26"/>
      <c r="GTX217" s="23"/>
      <c r="GUC217" s="26"/>
      <c r="GUG217" s="23"/>
      <c r="GUL217" s="26"/>
      <c r="GUP217" s="23"/>
      <c r="GUU217" s="26"/>
      <c r="GUY217" s="23"/>
      <c r="GVD217" s="26"/>
      <c r="GVH217" s="23"/>
      <c r="GVM217" s="26"/>
      <c r="GVQ217" s="23"/>
      <c r="GVV217" s="26"/>
      <c r="GVZ217" s="23"/>
      <c r="GWE217" s="26"/>
      <c r="GWI217" s="23"/>
      <c r="GWN217" s="26"/>
      <c r="GWR217" s="23"/>
      <c r="GWW217" s="26"/>
      <c r="GXA217" s="23"/>
      <c r="GXF217" s="26"/>
      <c r="GXJ217" s="23"/>
      <c r="GXO217" s="26"/>
      <c r="GXS217" s="23"/>
      <c r="GXX217" s="26"/>
      <c r="GYB217" s="23"/>
      <c r="GYG217" s="26"/>
      <c r="GYK217" s="23"/>
      <c r="GYP217" s="26"/>
      <c r="GYT217" s="23"/>
      <c r="GYY217" s="26"/>
      <c r="GZC217" s="23"/>
      <c r="GZH217" s="26"/>
      <c r="GZL217" s="23"/>
      <c r="GZQ217" s="26"/>
      <c r="GZU217" s="23"/>
      <c r="GZZ217" s="26"/>
      <c r="HAD217" s="23"/>
      <c r="HAI217" s="26"/>
      <c r="HAM217" s="23"/>
      <c r="HAR217" s="26"/>
      <c r="HAV217" s="23"/>
      <c r="HBA217" s="26"/>
      <c r="HBE217" s="23"/>
      <c r="HBJ217" s="26"/>
      <c r="HBN217" s="23"/>
      <c r="HBS217" s="26"/>
      <c r="HBW217" s="23"/>
      <c r="HCB217" s="26"/>
      <c r="HCF217" s="23"/>
      <c r="HCK217" s="26"/>
      <c r="HCO217" s="23"/>
      <c r="HCT217" s="26"/>
      <c r="HCX217" s="23"/>
      <c r="HDC217" s="26"/>
      <c r="HDG217" s="23"/>
      <c r="HDL217" s="26"/>
      <c r="HDP217" s="23"/>
      <c r="HDU217" s="26"/>
      <c r="HDY217" s="23"/>
      <c r="HED217" s="26"/>
      <c r="HEH217" s="23"/>
      <c r="HEM217" s="26"/>
      <c r="HEQ217" s="23"/>
      <c r="HEV217" s="26"/>
      <c r="HEZ217" s="23"/>
      <c r="HFE217" s="26"/>
      <c r="HFI217" s="23"/>
      <c r="HFN217" s="26"/>
      <c r="HFR217" s="23"/>
      <c r="HFW217" s="26"/>
      <c r="HGA217" s="23"/>
      <c r="HGF217" s="26"/>
      <c r="HGJ217" s="23"/>
      <c r="HGO217" s="26"/>
      <c r="HGS217" s="23"/>
      <c r="HGX217" s="26"/>
      <c r="HHB217" s="23"/>
      <c r="HHG217" s="26"/>
      <c r="HHK217" s="23"/>
      <c r="HHP217" s="26"/>
      <c r="HHT217" s="23"/>
      <c r="HHY217" s="26"/>
      <c r="HIC217" s="23"/>
      <c r="HIH217" s="26"/>
      <c r="HIL217" s="23"/>
      <c r="HIQ217" s="26"/>
      <c r="HIU217" s="23"/>
      <c r="HIZ217" s="26"/>
      <c r="HJD217" s="23"/>
      <c r="HJI217" s="26"/>
      <c r="HJM217" s="23"/>
      <c r="HJR217" s="26"/>
      <c r="HJV217" s="23"/>
      <c r="HKA217" s="26"/>
      <c r="HKE217" s="23"/>
      <c r="HKJ217" s="26"/>
      <c r="HKN217" s="23"/>
      <c r="HKS217" s="26"/>
      <c r="HKW217" s="23"/>
      <c r="HLB217" s="26"/>
      <c r="HLF217" s="23"/>
      <c r="HLK217" s="26"/>
      <c r="HLO217" s="23"/>
      <c r="HLT217" s="26"/>
      <c r="HLX217" s="23"/>
      <c r="HMC217" s="26"/>
      <c r="HMG217" s="23"/>
      <c r="HML217" s="26"/>
      <c r="HMP217" s="23"/>
      <c r="HMU217" s="26"/>
      <c r="HMY217" s="23"/>
      <c r="HND217" s="26"/>
      <c r="HNH217" s="23"/>
      <c r="HNM217" s="26"/>
      <c r="HNQ217" s="23"/>
      <c r="HNV217" s="26"/>
      <c r="HNZ217" s="23"/>
      <c r="HOE217" s="26"/>
      <c r="HOI217" s="23"/>
      <c r="HON217" s="26"/>
      <c r="HOR217" s="23"/>
      <c r="HOW217" s="26"/>
      <c r="HPA217" s="23"/>
      <c r="HPF217" s="26"/>
      <c r="HPJ217" s="23"/>
      <c r="HPO217" s="26"/>
      <c r="HPS217" s="23"/>
      <c r="HPX217" s="26"/>
      <c r="HQB217" s="23"/>
      <c r="HQG217" s="26"/>
      <c r="HQK217" s="23"/>
      <c r="HQP217" s="26"/>
      <c r="HQT217" s="23"/>
      <c r="HQY217" s="26"/>
      <c r="HRC217" s="23"/>
      <c r="HRH217" s="26"/>
      <c r="HRL217" s="23"/>
      <c r="HRQ217" s="26"/>
      <c r="HRU217" s="23"/>
      <c r="HRZ217" s="26"/>
      <c r="HSD217" s="23"/>
      <c r="HSI217" s="26"/>
      <c r="HSM217" s="23"/>
      <c r="HSR217" s="26"/>
      <c r="HSV217" s="23"/>
      <c r="HTA217" s="26"/>
      <c r="HTE217" s="23"/>
      <c r="HTJ217" s="26"/>
      <c r="HTN217" s="23"/>
      <c r="HTS217" s="26"/>
      <c r="HTW217" s="23"/>
      <c r="HUB217" s="26"/>
      <c r="HUF217" s="23"/>
      <c r="HUK217" s="26"/>
      <c r="HUO217" s="23"/>
      <c r="HUT217" s="26"/>
      <c r="HUX217" s="23"/>
      <c r="HVC217" s="26"/>
      <c r="HVG217" s="23"/>
      <c r="HVL217" s="26"/>
      <c r="HVP217" s="23"/>
      <c r="HVU217" s="26"/>
      <c r="HVY217" s="23"/>
      <c r="HWD217" s="26"/>
      <c r="HWH217" s="23"/>
      <c r="HWM217" s="26"/>
      <c r="HWQ217" s="23"/>
      <c r="HWV217" s="26"/>
      <c r="HWZ217" s="23"/>
      <c r="HXE217" s="26"/>
      <c r="HXI217" s="23"/>
      <c r="HXN217" s="26"/>
      <c r="HXR217" s="23"/>
      <c r="HXW217" s="26"/>
      <c r="HYA217" s="23"/>
      <c r="HYF217" s="26"/>
      <c r="HYJ217" s="23"/>
      <c r="HYO217" s="26"/>
      <c r="HYS217" s="23"/>
      <c r="HYX217" s="26"/>
      <c r="HZB217" s="23"/>
      <c r="HZG217" s="26"/>
      <c r="HZK217" s="23"/>
      <c r="HZP217" s="26"/>
      <c r="HZT217" s="23"/>
      <c r="HZY217" s="26"/>
      <c r="IAC217" s="23"/>
      <c r="IAH217" s="26"/>
      <c r="IAL217" s="23"/>
      <c r="IAQ217" s="26"/>
      <c r="IAU217" s="23"/>
      <c r="IAZ217" s="26"/>
      <c r="IBD217" s="23"/>
      <c r="IBI217" s="26"/>
      <c r="IBM217" s="23"/>
      <c r="IBR217" s="26"/>
      <c r="IBV217" s="23"/>
      <c r="ICA217" s="26"/>
      <c r="ICE217" s="23"/>
      <c r="ICJ217" s="26"/>
      <c r="ICN217" s="23"/>
      <c r="ICS217" s="26"/>
      <c r="ICW217" s="23"/>
      <c r="IDB217" s="26"/>
      <c r="IDF217" s="23"/>
      <c r="IDK217" s="26"/>
      <c r="IDO217" s="23"/>
      <c r="IDT217" s="26"/>
      <c r="IDX217" s="23"/>
      <c r="IEC217" s="26"/>
      <c r="IEG217" s="23"/>
      <c r="IEL217" s="26"/>
      <c r="IEP217" s="23"/>
      <c r="IEU217" s="26"/>
      <c r="IEY217" s="23"/>
      <c r="IFD217" s="26"/>
      <c r="IFH217" s="23"/>
      <c r="IFM217" s="26"/>
      <c r="IFQ217" s="23"/>
      <c r="IFV217" s="26"/>
      <c r="IFZ217" s="23"/>
      <c r="IGE217" s="26"/>
      <c r="IGI217" s="23"/>
      <c r="IGN217" s="26"/>
      <c r="IGR217" s="23"/>
      <c r="IGW217" s="26"/>
      <c r="IHA217" s="23"/>
      <c r="IHF217" s="26"/>
      <c r="IHJ217" s="23"/>
      <c r="IHO217" s="26"/>
      <c r="IHS217" s="23"/>
      <c r="IHX217" s="26"/>
      <c r="IIB217" s="23"/>
      <c r="IIG217" s="26"/>
      <c r="IIK217" s="23"/>
      <c r="IIP217" s="26"/>
      <c r="IIT217" s="23"/>
      <c r="IIY217" s="26"/>
      <c r="IJC217" s="23"/>
      <c r="IJH217" s="26"/>
      <c r="IJL217" s="23"/>
      <c r="IJQ217" s="26"/>
      <c r="IJU217" s="23"/>
      <c r="IJZ217" s="26"/>
      <c r="IKD217" s="23"/>
      <c r="IKI217" s="26"/>
      <c r="IKM217" s="23"/>
      <c r="IKR217" s="26"/>
      <c r="IKV217" s="23"/>
      <c r="ILA217" s="26"/>
      <c r="ILE217" s="23"/>
      <c r="ILJ217" s="26"/>
      <c r="ILN217" s="23"/>
      <c r="ILS217" s="26"/>
      <c r="ILW217" s="23"/>
      <c r="IMB217" s="26"/>
      <c r="IMF217" s="23"/>
      <c r="IMK217" s="26"/>
      <c r="IMO217" s="23"/>
      <c r="IMT217" s="26"/>
      <c r="IMX217" s="23"/>
      <c r="INC217" s="26"/>
      <c r="ING217" s="23"/>
      <c r="INL217" s="26"/>
      <c r="INP217" s="23"/>
      <c r="INU217" s="26"/>
      <c r="INY217" s="23"/>
      <c r="IOD217" s="26"/>
      <c r="IOH217" s="23"/>
      <c r="IOM217" s="26"/>
      <c r="IOQ217" s="23"/>
      <c r="IOV217" s="26"/>
      <c r="IOZ217" s="23"/>
      <c r="IPE217" s="26"/>
      <c r="IPI217" s="23"/>
      <c r="IPN217" s="26"/>
      <c r="IPR217" s="23"/>
      <c r="IPW217" s="26"/>
      <c r="IQA217" s="23"/>
      <c r="IQF217" s="26"/>
      <c r="IQJ217" s="23"/>
      <c r="IQO217" s="26"/>
      <c r="IQS217" s="23"/>
      <c r="IQX217" s="26"/>
      <c r="IRB217" s="23"/>
      <c r="IRG217" s="26"/>
      <c r="IRK217" s="23"/>
      <c r="IRP217" s="26"/>
      <c r="IRT217" s="23"/>
      <c r="IRY217" s="26"/>
      <c r="ISC217" s="23"/>
      <c r="ISH217" s="26"/>
      <c r="ISL217" s="23"/>
      <c r="ISQ217" s="26"/>
      <c r="ISU217" s="23"/>
      <c r="ISZ217" s="26"/>
      <c r="ITD217" s="23"/>
      <c r="ITI217" s="26"/>
      <c r="ITM217" s="23"/>
      <c r="ITR217" s="26"/>
      <c r="ITV217" s="23"/>
      <c r="IUA217" s="26"/>
      <c r="IUE217" s="23"/>
      <c r="IUJ217" s="26"/>
      <c r="IUN217" s="23"/>
      <c r="IUS217" s="26"/>
      <c r="IUW217" s="23"/>
      <c r="IVB217" s="26"/>
      <c r="IVF217" s="23"/>
      <c r="IVK217" s="26"/>
      <c r="IVO217" s="23"/>
      <c r="IVT217" s="26"/>
      <c r="IVX217" s="23"/>
      <c r="IWC217" s="26"/>
      <c r="IWG217" s="23"/>
      <c r="IWL217" s="26"/>
      <c r="IWP217" s="23"/>
      <c r="IWU217" s="26"/>
      <c r="IWY217" s="23"/>
      <c r="IXD217" s="26"/>
      <c r="IXH217" s="23"/>
      <c r="IXM217" s="26"/>
      <c r="IXQ217" s="23"/>
      <c r="IXV217" s="26"/>
      <c r="IXZ217" s="23"/>
      <c r="IYE217" s="26"/>
      <c r="IYI217" s="23"/>
      <c r="IYN217" s="26"/>
      <c r="IYR217" s="23"/>
      <c r="IYW217" s="26"/>
      <c r="IZA217" s="23"/>
      <c r="IZF217" s="26"/>
      <c r="IZJ217" s="23"/>
      <c r="IZO217" s="26"/>
      <c r="IZS217" s="23"/>
      <c r="IZX217" s="26"/>
      <c r="JAB217" s="23"/>
      <c r="JAG217" s="26"/>
      <c r="JAK217" s="23"/>
      <c r="JAP217" s="26"/>
      <c r="JAT217" s="23"/>
      <c r="JAY217" s="26"/>
      <c r="JBC217" s="23"/>
      <c r="JBH217" s="26"/>
      <c r="JBL217" s="23"/>
      <c r="JBQ217" s="26"/>
      <c r="JBU217" s="23"/>
      <c r="JBZ217" s="26"/>
      <c r="JCD217" s="23"/>
      <c r="JCI217" s="26"/>
      <c r="JCM217" s="23"/>
      <c r="JCR217" s="26"/>
      <c r="JCV217" s="23"/>
      <c r="JDA217" s="26"/>
      <c r="JDE217" s="23"/>
      <c r="JDJ217" s="26"/>
      <c r="JDN217" s="23"/>
      <c r="JDS217" s="26"/>
      <c r="JDW217" s="23"/>
      <c r="JEB217" s="26"/>
      <c r="JEF217" s="23"/>
      <c r="JEK217" s="26"/>
      <c r="JEO217" s="23"/>
      <c r="JET217" s="26"/>
      <c r="JEX217" s="23"/>
      <c r="JFC217" s="26"/>
      <c r="JFG217" s="23"/>
      <c r="JFL217" s="26"/>
      <c r="JFP217" s="23"/>
      <c r="JFU217" s="26"/>
      <c r="JFY217" s="23"/>
      <c r="JGD217" s="26"/>
      <c r="JGH217" s="23"/>
      <c r="JGM217" s="26"/>
      <c r="JGQ217" s="23"/>
      <c r="JGV217" s="26"/>
      <c r="JGZ217" s="23"/>
      <c r="JHE217" s="26"/>
      <c r="JHI217" s="23"/>
      <c r="JHN217" s="26"/>
      <c r="JHR217" s="23"/>
      <c r="JHW217" s="26"/>
      <c r="JIA217" s="23"/>
      <c r="JIF217" s="26"/>
      <c r="JIJ217" s="23"/>
      <c r="JIO217" s="26"/>
      <c r="JIS217" s="23"/>
      <c r="JIX217" s="26"/>
      <c r="JJB217" s="23"/>
      <c r="JJG217" s="26"/>
      <c r="JJK217" s="23"/>
      <c r="JJP217" s="26"/>
      <c r="JJT217" s="23"/>
      <c r="JJY217" s="26"/>
      <c r="JKC217" s="23"/>
      <c r="JKH217" s="26"/>
      <c r="JKL217" s="23"/>
      <c r="JKQ217" s="26"/>
      <c r="JKU217" s="23"/>
      <c r="JKZ217" s="26"/>
      <c r="JLD217" s="23"/>
      <c r="JLI217" s="26"/>
      <c r="JLM217" s="23"/>
      <c r="JLR217" s="26"/>
      <c r="JLV217" s="23"/>
      <c r="JMA217" s="26"/>
      <c r="JME217" s="23"/>
      <c r="JMJ217" s="26"/>
      <c r="JMN217" s="23"/>
      <c r="JMS217" s="26"/>
      <c r="JMW217" s="23"/>
      <c r="JNB217" s="26"/>
      <c r="JNF217" s="23"/>
      <c r="JNK217" s="26"/>
      <c r="JNO217" s="23"/>
      <c r="JNT217" s="26"/>
      <c r="JNX217" s="23"/>
      <c r="JOC217" s="26"/>
      <c r="JOG217" s="23"/>
      <c r="JOL217" s="26"/>
      <c r="JOP217" s="23"/>
      <c r="JOU217" s="26"/>
      <c r="JOY217" s="23"/>
      <c r="JPD217" s="26"/>
      <c r="JPH217" s="23"/>
      <c r="JPM217" s="26"/>
      <c r="JPQ217" s="23"/>
      <c r="JPV217" s="26"/>
      <c r="JPZ217" s="23"/>
      <c r="JQE217" s="26"/>
      <c r="JQI217" s="23"/>
      <c r="JQN217" s="26"/>
      <c r="JQR217" s="23"/>
      <c r="JQW217" s="26"/>
      <c r="JRA217" s="23"/>
      <c r="JRF217" s="26"/>
      <c r="JRJ217" s="23"/>
      <c r="JRO217" s="26"/>
      <c r="JRS217" s="23"/>
      <c r="JRX217" s="26"/>
      <c r="JSB217" s="23"/>
      <c r="JSG217" s="26"/>
      <c r="JSK217" s="23"/>
      <c r="JSP217" s="26"/>
      <c r="JST217" s="23"/>
      <c r="JSY217" s="26"/>
      <c r="JTC217" s="23"/>
      <c r="JTH217" s="26"/>
      <c r="JTL217" s="23"/>
      <c r="JTQ217" s="26"/>
      <c r="JTU217" s="23"/>
      <c r="JTZ217" s="26"/>
      <c r="JUD217" s="23"/>
      <c r="JUI217" s="26"/>
      <c r="JUM217" s="23"/>
      <c r="JUR217" s="26"/>
      <c r="JUV217" s="23"/>
      <c r="JVA217" s="26"/>
      <c r="JVE217" s="23"/>
      <c r="JVJ217" s="26"/>
      <c r="JVN217" s="23"/>
      <c r="JVS217" s="26"/>
      <c r="JVW217" s="23"/>
      <c r="JWB217" s="26"/>
      <c r="JWF217" s="23"/>
      <c r="JWK217" s="26"/>
      <c r="JWO217" s="23"/>
      <c r="JWT217" s="26"/>
      <c r="JWX217" s="23"/>
      <c r="JXC217" s="26"/>
      <c r="JXG217" s="23"/>
      <c r="JXL217" s="26"/>
      <c r="JXP217" s="23"/>
      <c r="JXU217" s="26"/>
      <c r="JXY217" s="23"/>
      <c r="JYD217" s="26"/>
      <c r="JYH217" s="23"/>
      <c r="JYM217" s="26"/>
      <c r="JYQ217" s="23"/>
      <c r="JYV217" s="26"/>
      <c r="JYZ217" s="23"/>
      <c r="JZE217" s="26"/>
      <c r="JZI217" s="23"/>
      <c r="JZN217" s="26"/>
      <c r="JZR217" s="23"/>
      <c r="JZW217" s="26"/>
      <c r="KAA217" s="23"/>
      <c r="KAF217" s="26"/>
      <c r="KAJ217" s="23"/>
      <c r="KAO217" s="26"/>
      <c r="KAS217" s="23"/>
      <c r="KAX217" s="26"/>
      <c r="KBB217" s="23"/>
      <c r="KBG217" s="26"/>
      <c r="KBK217" s="23"/>
      <c r="KBP217" s="26"/>
      <c r="KBT217" s="23"/>
      <c r="KBY217" s="26"/>
      <c r="KCC217" s="23"/>
      <c r="KCH217" s="26"/>
      <c r="KCL217" s="23"/>
      <c r="KCQ217" s="26"/>
      <c r="KCU217" s="23"/>
      <c r="KCZ217" s="26"/>
      <c r="KDD217" s="23"/>
      <c r="KDI217" s="26"/>
      <c r="KDM217" s="23"/>
      <c r="KDR217" s="26"/>
      <c r="KDV217" s="23"/>
      <c r="KEA217" s="26"/>
      <c r="KEE217" s="23"/>
      <c r="KEJ217" s="26"/>
      <c r="KEN217" s="23"/>
      <c r="KES217" s="26"/>
      <c r="KEW217" s="23"/>
      <c r="KFB217" s="26"/>
      <c r="KFF217" s="23"/>
      <c r="KFK217" s="26"/>
      <c r="KFO217" s="23"/>
      <c r="KFT217" s="26"/>
      <c r="KFX217" s="23"/>
      <c r="KGC217" s="26"/>
      <c r="KGG217" s="23"/>
      <c r="KGL217" s="26"/>
      <c r="KGP217" s="23"/>
      <c r="KGU217" s="26"/>
      <c r="KGY217" s="23"/>
      <c r="KHD217" s="26"/>
      <c r="KHH217" s="23"/>
      <c r="KHM217" s="26"/>
      <c r="KHQ217" s="23"/>
      <c r="KHV217" s="26"/>
      <c r="KHZ217" s="23"/>
      <c r="KIE217" s="26"/>
      <c r="KII217" s="23"/>
      <c r="KIN217" s="26"/>
      <c r="KIR217" s="23"/>
      <c r="KIW217" s="26"/>
      <c r="KJA217" s="23"/>
      <c r="KJF217" s="26"/>
      <c r="KJJ217" s="23"/>
      <c r="KJO217" s="26"/>
      <c r="KJS217" s="23"/>
      <c r="KJX217" s="26"/>
      <c r="KKB217" s="23"/>
      <c r="KKG217" s="26"/>
      <c r="KKK217" s="23"/>
      <c r="KKP217" s="26"/>
      <c r="KKT217" s="23"/>
      <c r="KKY217" s="26"/>
      <c r="KLC217" s="23"/>
      <c r="KLH217" s="26"/>
      <c r="KLL217" s="23"/>
      <c r="KLQ217" s="26"/>
      <c r="KLU217" s="23"/>
      <c r="KLZ217" s="26"/>
      <c r="KMD217" s="23"/>
      <c r="KMI217" s="26"/>
      <c r="KMM217" s="23"/>
      <c r="KMR217" s="26"/>
      <c r="KMV217" s="23"/>
      <c r="KNA217" s="26"/>
      <c r="KNE217" s="23"/>
      <c r="KNJ217" s="26"/>
      <c r="KNN217" s="23"/>
      <c r="KNS217" s="26"/>
      <c r="KNW217" s="23"/>
      <c r="KOB217" s="26"/>
      <c r="KOF217" s="23"/>
      <c r="KOK217" s="26"/>
      <c r="KOO217" s="23"/>
      <c r="KOT217" s="26"/>
      <c r="KOX217" s="23"/>
      <c r="KPC217" s="26"/>
      <c r="KPG217" s="23"/>
      <c r="KPL217" s="26"/>
      <c r="KPP217" s="23"/>
      <c r="KPU217" s="26"/>
      <c r="KPY217" s="23"/>
      <c r="KQD217" s="26"/>
      <c r="KQH217" s="23"/>
      <c r="KQM217" s="26"/>
      <c r="KQQ217" s="23"/>
      <c r="KQV217" s="26"/>
      <c r="KQZ217" s="23"/>
      <c r="KRE217" s="26"/>
      <c r="KRI217" s="23"/>
      <c r="KRN217" s="26"/>
      <c r="KRR217" s="23"/>
      <c r="KRW217" s="26"/>
      <c r="KSA217" s="23"/>
      <c r="KSF217" s="26"/>
      <c r="KSJ217" s="23"/>
      <c r="KSO217" s="26"/>
      <c r="KSS217" s="23"/>
      <c r="KSX217" s="26"/>
      <c r="KTB217" s="23"/>
      <c r="KTG217" s="26"/>
      <c r="KTK217" s="23"/>
      <c r="KTP217" s="26"/>
      <c r="KTT217" s="23"/>
      <c r="KTY217" s="26"/>
      <c r="KUC217" s="23"/>
      <c r="KUH217" s="26"/>
      <c r="KUL217" s="23"/>
      <c r="KUQ217" s="26"/>
      <c r="KUU217" s="23"/>
      <c r="KUZ217" s="26"/>
      <c r="KVD217" s="23"/>
      <c r="KVI217" s="26"/>
      <c r="KVM217" s="23"/>
      <c r="KVR217" s="26"/>
      <c r="KVV217" s="23"/>
      <c r="KWA217" s="26"/>
      <c r="KWE217" s="23"/>
      <c r="KWJ217" s="26"/>
      <c r="KWN217" s="23"/>
      <c r="KWS217" s="26"/>
      <c r="KWW217" s="23"/>
      <c r="KXB217" s="26"/>
      <c r="KXF217" s="23"/>
      <c r="KXK217" s="26"/>
      <c r="KXO217" s="23"/>
      <c r="KXT217" s="26"/>
      <c r="KXX217" s="23"/>
      <c r="KYC217" s="26"/>
      <c r="KYG217" s="23"/>
      <c r="KYL217" s="26"/>
      <c r="KYP217" s="23"/>
      <c r="KYU217" s="26"/>
      <c r="KYY217" s="23"/>
      <c r="KZD217" s="26"/>
      <c r="KZH217" s="23"/>
      <c r="KZM217" s="26"/>
      <c r="KZQ217" s="23"/>
      <c r="KZV217" s="26"/>
      <c r="KZZ217" s="23"/>
      <c r="LAE217" s="26"/>
      <c r="LAI217" s="23"/>
      <c r="LAN217" s="26"/>
      <c r="LAR217" s="23"/>
      <c r="LAW217" s="26"/>
      <c r="LBA217" s="23"/>
      <c r="LBF217" s="26"/>
      <c r="LBJ217" s="23"/>
      <c r="LBO217" s="26"/>
      <c r="LBS217" s="23"/>
      <c r="LBX217" s="26"/>
      <c r="LCB217" s="23"/>
      <c r="LCG217" s="26"/>
      <c r="LCK217" s="23"/>
      <c r="LCP217" s="26"/>
      <c r="LCT217" s="23"/>
      <c r="LCY217" s="26"/>
      <c r="LDC217" s="23"/>
      <c r="LDH217" s="26"/>
      <c r="LDL217" s="23"/>
      <c r="LDQ217" s="26"/>
      <c r="LDU217" s="23"/>
      <c r="LDZ217" s="26"/>
      <c r="LED217" s="23"/>
      <c r="LEI217" s="26"/>
      <c r="LEM217" s="23"/>
      <c r="LER217" s="26"/>
      <c r="LEV217" s="23"/>
      <c r="LFA217" s="26"/>
      <c r="LFE217" s="23"/>
      <c r="LFJ217" s="26"/>
      <c r="LFN217" s="23"/>
      <c r="LFS217" s="26"/>
      <c r="LFW217" s="23"/>
      <c r="LGB217" s="26"/>
      <c r="LGF217" s="23"/>
      <c r="LGK217" s="26"/>
      <c r="LGO217" s="23"/>
      <c r="LGT217" s="26"/>
      <c r="LGX217" s="23"/>
      <c r="LHC217" s="26"/>
      <c r="LHG217" s="23"/>
      <c r="LHL217" s="26"/>
      <c r="LHP217" s="23"/>
      <c r="LHU217" s="26"/>
      <c r="LHY217" s="23"/>
      <c r="LID217" s="26"/>
      <c r="LIH217" s="23"/>
      <c r="LIM217" s="26"/>
      <c r="LIQ217" s="23"/>
      <c r="LIV217" s="26"/>
      <c r="LIZ217" s="23"/>
      <c r="LJE217" s="26"/>
      <c r="LJI217" s="23"/>
      <c r="LJN217" s="26"/>
      <c r="LJR217" s="23"/>
      <c r="LJW217" s="26"/>
      <c r="LKA217" s="23"/>
      <c r="LKF217" s="26"/>
      <c r="LKJ217" s="23"/>
      <c r="LKO217" s="26"/>
      <c r="LKS217" s="23"/>
      <c r="LKX217" s="26"/>
      <c r="LLB217" s="23"/>
      <c r="LLG217" s="26"/>
      <c r="LLK217" s="23"/>
      <c r="LLP217" s="26"/>
      <c r="LLT217" s="23"/>
      <c r="LLY217" s="26"/>
      <c r="LMC217" s="23"/>
      <c r="LMH217" s="26"/>
      <c r="LML217" s="23"/>
      <c r="LMQ217" s="26"/>
      <c r="LMU217" s="23"/>
      <c r="LMZ217" s="26"/>
      <c r="LND217" s="23"/>
      <c r="LNI217" s="26"/>
      <c r="LNM217" s="23"/>
      <c r="LNR217" s="26"/>
      <c r="LNV217" s="23"/>
      <c r="LOA217" s="26"/>
      <c r="LOE217" s="23"/>
      <c r="LOJ217" s="26"/>
      <c r="LON217" s="23"/>
      <c r="LOS217" s="26"/>
      <c r="LOW217" s="23"/>
      <c r="LPB217" s="26"/>
      <c r="LPF217" s="23"/>
      <c r="LPK217" s="26"/>
      <c r="LPO217" s="23"/>
      <c r="LPT217" s="26"/>
      <c r="LPX217" s="23"/>
      <c r="LQC217" s="26"/>
      <c r="LQG217" s="23"/>
      <c r="LQL217" s="26"/>
      <c r="LQP217" s="23"/>
      <c r="LQU217" s="26"/>
      <c r="LQY217" s="23"/>
      <c r="LRD217" s="26"/>
      <c r="LRH217" s="23"/>
      <c r="LRM217" s="26"/>
      <c r="LRQ217" s="23"/>
      <c r="LRV217" s="26"/>
      <c r="LRZ217" s="23"/>
      <c r="LSE217" s="26"/>
      <c r="LSI217" s="23"/>
      <c r="LSN217" s="26"/>
      <c r="LSR217" s="23"/>
      <c r="LSW217" s="26"/>
      <c r="LTA217" s="23"/>
      <c r="LTF217" s="26"/>
      <c r="LTJ217" s="23"/>
      <c r="LTO217" s="26"/>
      <c r="LTS217" s="23"/>
      <c r="LTX217" s="26"/>
      <c r="LUB217" s="23"/>
      <c r="LUG217" s="26"/>
      <c r="LUK217" s="23"/>
      <c r="LUP217" s="26"/>
      <c r="LUT217" s="23"/>
      <c r="LUY217" s="26"/>
      <c r="LVC217" s="23"/>
      <c r="LVH217" s="26"/>
      <c r="LVL217" s="23"/>
      <c r="LVQ217" s="26"/>
      <c r="LVU217" s="23"/>
      <c r="LVZ217" s="26"/>
      <c r="LWD217" s="23"/>
      <c r="LWI217" s="26"/>
      <c r="LWM217" s="23"/>
      <c r="LWR217" s="26"/>
      <c r="LWV217" s="23"/>
      <c r="LXA217" s="26"/>
      <c r="LXE217" s="23"/>
      <c r="LXJ217" s="26"/>
      <c r="LXN217" s="23"/>
      <c r="LXS217" s="26"/>
      <c r="LXW217" s="23"/>
      <c r="LYB217" s="26"/>
      <c r="LYF217" s="23"/>
      <c r="LYK217" s="26"/>
      <c r="LYO217" s="23"/>
      <c r="LYT217" s="26"/>
      <c r="LYX217" s="23"/>
      <c r="LZC217" s="26"/>
      <c r="LZG217" s="23"/>
      <c r="LZL217" s="26"/>
      <c r="LZP217" s="23"/>
      <c r="LZU217" s="26"/>
      <c r="LZY217" s="23"/>
      <c r="MAD217" s="26"/>
      <c r="MAH217" s="23"/>
      <c r="MAM217" s="26"/>
      <c r="MAQ217" s="23"/>
      <c r="MAV217" s="26"/>
      <c r="MAZ217" s="23"/>
      <c r="MBE217" s="26"/>
      <c r="MBI217" s="23"/>
      <c r="MBN217" s="26"/>
      <c r="MBR217" s="23"/>
      <c r="MBW217" s="26"/>
      <c r="MCA217" s="23"/>
      <c r="MCF217" s="26"/>
      <c r="MCJ217" s="23"/>
      <c r="MCO217" s="26"/>
      <c r="MCS217" s="23"/>
      <c r="MCX217" s="26"/>
      <c r="MDB217" s="23"/>
      <c r="MDG217" s="26"/>
      <c r="MDK217" s="23"/>
      <c r="MDP217" s="26"/>
      <c r="MDT217" s="23"/>
      <c r="MDY217" s="26"/>
      <c r="MEC217" s="23"/>
      <c r="MEH217" s="26"/>
      <c r="MEL217" s="23"/>
      <c r="MEQ217" s="26"/>
      <c r="MEU217" s="23"/>
      <c r="MEZ217" s="26"/>
      <c r="MFD217" s="23"/>
      <c r="MFI217" s="26"/>
      <c r="MFM217" s="23"/>
      <c r="MFR217" s="26"/>
      <c r="MFV217" s="23"/>
      <c r="MGA217" s="26"/>
      <c r="MGE217" s="23"/>
      <c r="MGJ217" s="26"/>
      <c r="MGN217" s="23"/>
      <c r="MGS217" s="26"/>
      <c r="MGW217" s="23"/>
      <c r="MHB217" s="26"/>
      <c r="MHF217" s="23"/>
      <c r="MHK217" s="26"/>
      <c r="MHO217" s="23"/>
      <c r="MHT217" s="26"/>
      <c r="MHX217" s="23"/>
      <c r="MIC217" s="26"/>
      <c r="MIG217" s="23"/>
      <c r="MIL217" s="26"/>
      <c r="MIP217" s="23"/>
      <c r="MIU217" s="26"/>
      <c r="MIY217" s="23"/>
      <c r="MJD217" s="26"/>
      <c r="MJH217" s="23"/>
      <c r="MJM217" s="26"/>
      <c r="MJQ217" s="23"/>
      <c r="MJV217" s="26"/>
      <c r="MJZ217" s="23"/>
      <c r="MKE217" s="26"/>
      <c r="MKI217" s="23"/>
      <c r="MKN217" s="26"/>
      <c r="MKR217" s="23"/>
      <c r="MKW217" s="26"/>
      <c r="MLA217" s="23"/>
      <c r="MLF217" s="26"/>
      <c r="MLJ217" s="23"/>
      <c r="MLO217" s="26"/>
      <c r="MLS217" s="23"/>
      <c r="MLX217" s="26"/>
      <c r="MMB217" s="23"/>
      <c r="MMG217" s="26"/>
      <c r="MMK217" s="23"/>
      <c r="MMP217" s="26"/>
      <c r="MMT217" s="23"/>
      <c r="MMY217" s="26"/>
      <c r="MNC217" s="23"/>
      <c r="MNH217" s="26"/>
      <c r="MNL217" s="23"/>
      <c r="MNQ217" s="26"/>
      <c r="MNU217" s="23"/>
      <c r="MNZ217" s="26"/>
      <c r="MOD217" s="23"/>
      <c r="MOI217" s="26"/>
      <c r="MOM217" s="23"/>
      <c r="MOR217" s="26"/>
      <c r="MOV217" s="23"/>
      <c r="MPA217" s="26"/>
      <c r="MPE217" s="23"/>
      <c r="MPJ217" s="26"/>
      <c r="MPN217" s="23"/>
      <c r="MPS217" s="26"/>
      <c r="MPW217" s="23"/>
      <c r="MQB217" s="26"/>
      <c r="MQF217" s="23"/>
      <c r="MQK217" s="26"/>
      <c r="MQO217" s="23"/>
      <c r="MQT217" s="26"/>
      <c r="MQX217" s="23"/>
      <c r="MRC217" s="26"/>
      <c r="MRG217" s="23"/>
      <c r="MRL217" s="26"/>
      <c r="MRP217" s="23"/>
      <c r="MRU217" s="26"/>
      <c r="MRY217" s="23"/>
      <c r="MSD217" s="26"/>
      <c r="MSH217" s="23"/>
      <c r="MSM217" s="26"/>
      <c r="MSQ217" s="23"/>
      <c r="MSV217" s="26"/>
      <c r="MSZ217" s="23"/>
      <c r="MTE217" s="26"/>
      <c r="MTI217" s="23"/>
      <c r="MTN217" s="26"/>
      <c r="MTR217" s="23"/>
      <c r="MTW217" s="26"/>
      <c r="MUA217" s="23"/>
      <c r="MUF217" s="26"/>
      <c r="MUJ217" s="23"/>
      <c r="MUO217" s="26"/>
      <c r="MUS217" s="23"/>
      <c r="MUX217" s="26"/>
      <c r="MVB217" s="23"/>
      <c r="MVG217" s="26"/>
      <c r="MVK217" s="23"/>
      <c r="MVP217" s="26"/>
      <c r="MVT217" s="23"/>
      <c r="MVY217" s="26"/>
      <c r="MWC217" s="23"/>
      <c r="MWH217" s="26"/>
      <c r="MWL217" s="23"/>
      <c r="MWQ217" s="26"/>
      <c r="MWU217" s="23"/>
      <c r="MWZ217" s="26"/>
      <c r="MXD217" s="23"/>
      <c r="MXI217" s="26"/>
      <c r="MXM217" s="23"/>
      <c r="MXR217" s="26"/>
      <c r="MXV217" s="23"/>
      <c r="MYA217" s="26"/>
      <c r="MYE217" s="23"/>
      <c r="MYJ217" s="26"/>
      <c r="MYN217" s="23"/>
      <c r="MYS217" s="26"/>
      <c r="MYW217" s="23"/>
      <c r="MZB217" s="26"/>
      <c r="MZF217" s="23"/>
      <c r="MZK217" s="26"/>
      <c r="MZO217" s="23"/>
      <c r="MZT217" s="26"/>
      <c r="MZX217" s="23"/>
      <c r="NAC217" s="26"/>
      <c r="NAG217" s="23"/>
      <c r="NAL217" s="26"/>
      <c r="NAP217" s="23"/>
      <c r="NAU217" s="26"/>
      <c r="NAY217" s="23"/>
      <c r="NBD217" s="26"/>
      <c r="NBH217" s="23"/>
      <c r="NBM217" s="26"/>
      <c r="NBQ217" s="23"/>
      <c r="NBV217" s="26"/>
      <c r="NBZ217" s="23"/>
      <c r="NCE217" s="26"/>
      <c r="NCI217" s="23"/>
      <c r="NCN217" s="26"/>
      <c r="NCR217" s="23"/>
      <c r="NCW217" s="26"/>
      <c r="NDA217" s="23"/>
      <c r="NDF217" s="26"/>
      <c r="NDJ217" s="23"/>
      <c r="NDO217" s="26"/>
      <c r="NDS217" s="23"/>
      <c r="NDX217" s="26"/>
      <c r="NEB217" s="23"/>
      <c r="NEG217" s="26"/>
      <c r="NEK217" s="23"/>
      <c r="NEP217" s="26"/>
      <c r="NET217" s="23"/>
      <c r="NEY217" s="26"/>
      <c r="NFC217" s="23"/>
      <c r="NFH217" s="26"/>
      <c r="NFL217" s="23"/>
      <c r="NFQ217" s="26"/>
      <c r="NFU217" s="23"/>
      <c r="NFZ217" s="26"/>
      <c r="NGD217" s="23"/>
      <c r="NGI217" s="26"/>
      <c r="NGM217" s="23"/>
      <c r="NGR217" s="26"/>
      <c r="NGV217" s="23"/>
      <c r="NHA217" s="26"/>
      <c r="NHE217" s="23"/>
      <c r="NHJ217" s="26"/>
      <c r="NHN217" s="23"/>
      <c r="NHS217" s="26"/>
      <c r="NHW217" s="23"/>
      <c r="NIB217" s="26"/>
      <c r="NIF217" s="23"/>
      <c r="NIK217" s="26"/>
      <c r="NIO217" s="23"/>
      <c r="NIT217" s="26"/>
      <c r="NIX217" s="23"/>
      <c r="NJC217" s="26"/>
      <c r="NJG217" s="23"/>
      <c r="NJL217" s="26"/>
      <c r="NJP217" s="23"/>
      <c r="NJU217" s="26"/>
      <c r="NJY217" s="23"/>
      <c r="NKD217" s="26"/>
      <c r="NKH217" s="23"/>
      <c r="NKM217" s="26"/>
      <c r="NKQ217" s="23"/>
      <c r="NKV217" s="26"/>
      <c r="NKZ217" s="23"/>
      <c r="NLE217" s="26"/>
      <c r="NLI217" s="23"/>
      <c r="NLN217" s="26"/>
      <c r="NLR217" s="23"/>
      <c r="NLW217" s="26"/>
      <c r="NMA217" s="23"/>
      <c r="NMF217" s="26"/>
      <c r="NMJ217" s="23"/>
      <c r="NMO217" s="26"/>
      <c r="NMS217" s="23"/>
      <c r="NMX217" s="26"/>
      <c r="NNB217" s="23"/>
      <c r="NNG217" s="26"/>
      <c r="NNK217" s="23"/>
      <c r="NNP217" s="26"/>
      <c r="NNT217" s="23"/>
      <c r="NNY217" s="26"/>
      <c r="NOC217" s="23"/>
      <c r="NOH217" s="26"/>
      <c r="NOL217" s="23"/>
      <c r="NOQ217" s="26"/>
      <c r="NOU217" s="23"/>
      <c r="NOZ217" s="26"/>
      <c r="NPD217" s="23"/>
      <c r="NPI217" s="26"/>
      <c r="NPM217" s="23"/>
      <c r="NPR217" s="26"/>
      <c r="NPV217" s="23"/>
      <c r="NQA217" s="26"/>
      <c r="NQE217" s="23"/>
      <c r="NQJ217" s="26"/>
      <c r="NQN217" s="23"/>
      <c r="NQS217" s="26"/>
      <c r="NQW217" s="23"/>
      <c r="NRB217" s="26"/>
      <c r="NRF217" s="23"/>
      <c r="NRK217" s="26"/>
      <c r="NRO217" s="23"/>
      <c r="NRT217" s="26"/>
      <c r="NRX217" s="23"/>
      <c r="NSC217" s="26"/>
      <c r="NSG217" s="23"/>
      <c r="NSL217" s="26"/>
      <c r="NSP217" s="23"/>
      <c r="NSU217" s="26"/>
      <c r="NSY217" s="23"/>
      <c r="NTD217" s="26"/>
      <c r="NTH217" s="23"/>
      <c r="NTM217" s="26"/>
      <c r="NTQ217" s="23"/>
      <c r="NTV217" s="26"/>
      <c r="NTZ217" s="23"/>
      <c r="NUE217" s="26"/>
      <c r="NUI217" s="23"/>
      <c r="NUN217" s="26"/>
      <c r="NUR217" s="23"/>
      <c r="NUW217" s="26"/>
      <c r="NVA217" s="23"/>
      <c r="NVF217" s="26"/>
      <c r="NVJ217" s="23"/>
      <c r="NVO217" s="26"/>
      <c r="NVS217" s="23"/>
      <c r="NVX217" s="26"/>
      <c r="NWB217" s="23"/>
      <c r="NWG217" s="26"/>
      <c r="NWK217" s="23"/>
      <c r="NWP217" s="26"/>
      <c r="NWT217" s="23"/>
      <c r="NWY217" s="26"/>
      <c r="NXC217" s="23"/>
      <c r="NXH217" s="26"/>
      <c r="NXL217" s="23"/>
      <c r="NXQ217" s="26"/>
      <c r="NXU217" s="23"/>
      <c r="NXZ217" s="26"/>
      <c r="NYD217" s="23"/>
      <c r="NYI217" s="26"/>
      <c r="NYM217" s="23"/>
      <c r="NYR217" s="26"/>
      <c r="NYV217" s="23"/>
      <c r="NZA217" s="26"/>
      <c r="NZE217" s="23"/>
      <c r="NZJ217" s="26"/>
      <c r="NZN217" s="23"/>
      <c r="NZS217" s="26"/>
      <c r="NZW217" s="23"/>
      <c r="OAB217" s="26"/>
      <c r="OAF217" s="23"/>
      <c r="OAK217" s="26"/>
      <c r="OAO217" s="23"/>
      <c r="OAT217" s="26"/>
      <c r="OAX217" s="23"/>
      <c r="OBC217" s="26"/>
      <c r="OBG217" s="23"/>
      <c r="OBL217" s="26"/>
      <c r="OBP217" s="23"/>
      <c r="OBU217" s="26"/>
      <c r="OBY217" s="23"/>
      <c r="OCD217" s="26"/>
      <c r="OCH217" s="23"/>
      <c r="OCM217" s="26"/>
      <c r="OCQ217" s="23"/>
      <c r="OCV217" s="26"/>
      <c r="OCZ217" s="23"/>
      <c r="ODE217" s="26"/>
      <c r="ODI217" s="23"/>
      <c r="ODN217" s="26"/>
      <c r="ODR217" s="23"/>
      <c r="ODW217" s="26"/>
      <c r="OEA217" s="23"/>
      <c r="OEF217" s="26"/>
      <c r="OEJ217" s="23"/>
      <c r="OEO217" s="26"/>
      <c r="OES217" s="23"/>
      <c r="OEX217" s="26"/>
      <c r="OFB217" s="23"/>
      <c r="OFG217" s="26"/>
      <c r="OFK217" s="23"/>
      <c r="OFP217" s="26"/>
      <c r="OFT217" s="23"/>
      <c r="OFY217" s="26"/>
      <c r="OGC217" s="23"/>
      <c r="OGH217" s="26"/>
      <c r="OGL217" s="23"/>
      <c r="OGQ217" s="26"/>
      <c r="OGU217" s="23"/>
      <c r="OGZ217" s="26"/>
      <c r="OHD217" s="23"/>
      <c r="OHI217" s="26"/>
      <c r="OHM217" s="23"/>
      <c r="OHR217" s="26"/>
      <c r="OHV217" s="23"/>
      <c r="OIA217" s="26"/>
      <c r="OIE217" s="23"/>
      <c r="OIJ217" s="26"/>
      <c r="OIN217" s="23"/>
      <c r="OIS217" s="26"/>
      <c r="OIW217" s="23"/>
      <c r="OJB217" s="26"/>
      <c r="OJF217" s="23"/>
      <c r="OJK217" s="26"/>
      <c r="OJO217" s="23"/>
      <c r="OJT217" s="26"/>
      <c r="OJX217" s="23"/>
      <c r="OKC217" s="26"/>
      <c r="OKG217" s="23"/>
      <c r="OKL217" s="26"/>
      <c r="OKP217" s="23"/>
      <c r="OKU217" s="26"/>
      <c r="OKY217" s="23"/>
      <c r="OLD217" s="26"/>
      <c r="OLH217" s="23"/>
      <c r="OLM217" s="26"/>
      <c r="OLQ217" s="23"/>
      <c r="OLV217" s="26"/>
      <c r="OLZ217" s="23"/>
      <c r="OME217" s="26"/>
      <c r="OMI217" s="23"/>
      <c r="OMN217" s="26"/>
      <c r="OMR217" s="23"/>
      <c r="OMW217" s="26"/>
      <c r="ONA217" s="23"/>
      <c r="ONF217" s="26"/>
      <c r="ONJ217" s="23"/>
      <c r="ONO217" s="26"/>
      <c r="ONS217" s="23"/>
      <c r="ONX217" s="26"/>
      <c r="OOB217" s="23"/>
      <c r="OOG217" s="26"/>
      <c r="OOK217" s="23"/>
      <c r="OOP217" s="26"/>
      <c r="OOT217" s="23"/>
      <c r="OOY217" s="26"/>
      <c r="OPC217" s="23"/>
      <c r="OPH217" s="26"/>
      <c r="OPL217" s="23"/>
      <c r="OPQ217" s="26"/>
      <c r="OPU217" s="23"/>
      <c r="OPZ217" s="26"/>
      <c r="OQD217" s="23"/>
      <c r="OQI217" s="26"/>
      <c r="OQM217" s="23"/>
      <c r="OQR217" s="26"/>
      <c r="OQV217" s="23"/>
      <c r="ORA217" s="26"/>
      <c r="ORE217" s="23"/>
      <c r="ORJ217" s="26"/>
      <c r="ORN217" s="23"/>
      <c r="ORS217" s="26"/>
      <c r="ORW217" s="23"/>
      <c r="OSB217" s="26"/>
      <c r="OSF217" s="23"/>
      <c r="OSK217" s="26"/>
      <c r="OSO217" s="23"/>
      <c r="OST217" s="26"/>
      <c r="OSX217" s="23"/>
      <c r="OTC217" s="26"/>
      <c r="OTG217" s="23"/>
      <c r="OTL217" s="26"/>
      <c r="OTP217" s="23"/>
      <c r="OTU217" s="26"/>
      <c r="OTY217" s="23"/>
      <c r="OUD217" s="26"/>
      <c r="OUH217" s="23"/>
      <c r="OUM217" s="26"/>
      <c r="OUQ217" s="23"/>
      <c r="OUV217" s="26"/>
      <c r="OUZ217" s="23"/>
      <c r="OVE217" s="26"/>
      <c r="OVI217" s="23"/>
      <c r="OVN217" s="26"/>
      <c r="OVR217" s="23"/>
      <c r="OVW217" s="26"/>
      <c r="OWA217" s="23"/>
      <c r="OWF217" s="26"/>
      <c r="OWJ217" s="23"/>
      <c r="OWO217" s="26"/>
      <c r="OWS217" s="23"/>
      <c r="OWX217" s="26"/>
      <c r="OXB217" s="23"/>
      <c r="OXG217" s="26"/>
      <c r="OXK217" s="23"/>
      <c r="OXP217" s="26"/>
      <c r="OXT217" s="23"/>
      <c r="OXY217" s="26"/>
      <c r="OYC217" s="23"/>
      <c r="OYH217" s="26"/>
      <c r="OYL217" s="23"/>
      <c r="OYQ217" s="26"/>
      <c r="OYU217" s="23"/>
      <c r="OYZ217" s="26"/>
      <c r="OZD217" s="23"/>
      <c r="OZI217" s="26"/>
      <c r="OZM217" s="23"/>
      <c r="OZR217" s="26"/>
      <c r="OZV217" s="23"/>
      <c r="PAA217" s="26"/>
      <c r="PAE217" s="23"/>
      <c r="PAJ217" s="26"/>
      <c r="PAN217" s="23"/>
      <c r="PAS217" s="26"/>
      <c r="PAW217" s="23"/>
      <c r="PBB217" s="26"/>
      <c r="PBF217" s="23"/>
      <c r="PBK217" s="26"/>
      <c r="PBO217" s="23"/>
      <c r="PBT217" s="26"/>
      <c r="PBX217" s="23"/>
      <c r="PCC217" s="26"/>
      <c r="PCG217" s="23"/>
      <c r="PCL217" s="26"/>
      <c r="PCP217" s="23"/>
      <c r="PCU217" s="26"/>
      <c r="PCY217" s="23"/>
      <c r="PDD217" s="26"/>
      <c r="PDH217" s="23"/>
      <c r="PDM217" s="26"/>
      <c r="PDQ217" s="23"/>
      <c r="PDV217" s="26"/>
      <c r="PDZ217" s="23"/>
      <c r="PEE217" s="26"/>
      <c r="PEI217" s="23"/>
      <c r="PEN217" s="26"/>
      <c r="PER217" s="23"/>
      <c r="PEW217" s="26"/>
      <c r="PFA217" s="23"/>
      <c r="PFF217" s="26"/>
      <c r="PFJ217" s="23"/>
      <c r="PFO217" s="26"/>
      <c r="PFS217" s="23"/>
      <c r="PFX217" s="26"/>
      <c r="PGB217" s="23"/>
      <c r="PGG217" s="26"/>
      <c r="PGK217" s="23"/>
      <c r="PGP217" s="26"/>
      <c r="PGT217" s="23"/>
      <c r="PGY217" s="26"/>
      <c r="PHC217" s="23"/>
      <c r="PHH217" s="26"/>
      <c r="PHL217" s="23"/>
      <c r="PHQ217" s="26"/>
      <c r="PHU217" s="23"/>
      <c r="PHZ217" s="26"/>
      <c r="PID217" s="23"/>
      <c r="PII217" s="26"/>
      <c r="PIM217" s="23"/>
      <c r="PIR217" s="26"/>
      <c r="PIV217" s="23"/>
      <c r="PJA217" s="26"/>
      <c r="PJE217" s="23"/>
      <c r="PJJ217" s="26"/>
      <c r="PJN217" s="23"/>
      <c r="PJS217" s="26"/>
      <c r="PJW217" s="23"/>
      <c r="PKB217" s="26"/>
      <c r="PKF217" s="23"/>
      <c r="PKK217" s="26"/>
      <c r="PKO217" s="23"/>
      <c r="PKT217" s="26"/>
      <c r="PKX217" s="23"/>
      <c r="PLC217" s="26"/>
      <c r="PLG217" s="23"/>
      <c r="PLL217" s="26"/>
      <c r="PLP217" s="23"/>
      <c r="PLU217" s="26"/>
      <c r="PLY217" s="23"/>
      <c r="PMD217" s="26"/>
      <c r="PMH217" s="23"/>
      <c r="PMM217" s="26"/>
      <c r="PMQ217" s="23"/>
      <c r="PMV217" s="26"/>
      <c r="PMZ217" s="23"/>
      <c r="PNE217" s="26"/>
      <c r="PNI217" s="23"/>
      <c r="PNN217" s="26"/>
      <c r="PNR217" s="23"/>
      <c r="PNW217" s="26"/>
      <c r="POA217" s="23"/>
      <c r="POF217" s="26"/>
      <c r="POJ217" s="23"/>
      <c r="POO217" s="26"/>
      <c r="POS217" s="23"/>
      <c r="POX217" s="26"/>
      <c r="PPB217" s="23"/>
      <c r="PPG217" s="26"/>
      <c r="PPK217" s="23"/>
      <c r="PPP217" s="26"/>
      <c r="PPT217" s="23"/>
      <c r="PPY217" s="26"/>
      <c r="PQC217" s="23"/>
      <c r="PQH217" s="26"/>
      <c r="PQL217" s="23"/>
      <c r="PQQ217" s="26"/>
      <c r="PQU217" s="23"/>
      <c r="PQZ217" s="26"/>
      <c r="PRD217" s="23"/>
      <c r="PRI217" s="26"/>
      <c r="PRM217" s="23"/>
      <c r="PRR217" s="26"/>
      <c r="PRV217" s="23"/>
      <c r="PSA217" s="26"/>
      <c r="PSE217" s="23"/>
      <c r="PSJ217" s="26"/>
      <c r="PSN217" s="23"/>
      <c r="PSS217" s="26"/>
      <c r="PSW217" s="23"/>
      <c r="PTB217" s="26"/>
      <c r="PTF217" s="23"/>
      <c r="PTK217" s="26"/>
      <c r="PTO217" s="23"/>
      <c r="PTT217" s="26"/>
      <c r="PTX217" s="23"/>
      <c r="PUC217" s="26"/>
      <c r="PUG217" s="23"/>
      <c r="PUL217" s="26"/>
      <c r="PUP217" s="23"/>
      <c r="PUU217" s="26"/>
      <c r="PUY217" s="23"/>
      <c r="PVD217" s="26"/>
      <c r="PVH217" s="23"/>
      <c r="PVM217" s="26"/>
      <c r="PVQ217" s="23"/>
      <c r="PVV217" s="26"/>
      <c r="PVZ217" s="23"/>
      <c r="PWE217" s="26"/>
      <c r="PWI217" s="23"/>
      <c r="PWN217" s="26"/>
      <c r="PWR217" s="23"/>
      <c r="PWW217" s="26"/>
      <c r="PXA217" s="23"/>
      <c r="PXF217" s="26"/>
      <c r="PXJ217" s="23"/>
      <c r="PXO217" s="26"/>
      <c r="PXS217" s="23"/>
      <c r="PXX217" s="26"/>
      <c r="PYB217" s="23"/>
      <c r="PYG217" s="26"/>
      <c r="PYK217" s="23"/>
      <c r="PYP217" s="26"/>
      <c r="PYT217" s="23"/>
      <c r="PYY217" s="26"/>
      <c r="PZC217" s="23"/>
      <c r="PZH217" s="26"/>
      <c r="PZL217" s="23"/>
      <c r="PZQ217" s="26"/>
      <c r="PZU217" s="23"/>
      <c r="PZZ217" s="26"/>
      <c r="QAD217" s="23"/>
      <c r="QAI217" s="26"/>
      <c r="QAM217" s="23"/>
      <c r="QAR217" s="26"/>
      <c r="QAV217" s="23"/>
      <c r="QBA217" s="26"/>
      <c r="QBE217" s="23"/>
      <c r="QBJ217" s="26"/>
      <c r="QBN217" s="23"/>
      <c r="QBS217" s="26"/>
      <c r="QBW217" s="23"/>
      <c r="QCB217" s="26"/>
      <c r="QCF217" s="23"/>
      <c r="QCK217" s="26"/>
      <c r="QCO217" s="23"/>
      <c r="QCT217" s="26"/>
      <c r="QCX217" s="23"/>
      <c r="QDC217" s="26"/>
      <c r="QDG217" s="23"/>
      <c r="QDL217" s="26"/>
      <c r="QDP217" s="23"/>
      <c r="QDU217" s="26"/>
      <c r="QDY217" s="23"/>
      <c r="QED217" s="26"/>
      <c r="QEH217" s="23"/>
      <c r="QEM217" s="26"/>
      <c r="QEQ217" s="23"/>
      <c r="QEV217" s="26"/>
      <c r="QEZ217" s="23"/>
      <c r="QFE217" s="26"/>
      <c r="QFI217" s="23"/>
      <c r="QFN217" s="26"/>
      <c r="QFR217" s="23"/>
      <c r="QFW217" s="26"/>
      <c r="QGA217" s="23"/>
      <c r="QGF217" s="26"/>
      <c r="QGJ217" s="23"/>
      <c r="QGO217" s="26"/>
      <c r="QGS217" s="23"/>
      <c r="QGX217" s="26"/>
      <c r="QHB217" s="23"/>
      <c r="QHG217" s="26"/>
      <c r="QHK217" s="23"/>
      <c r="QHP217" s="26"/>
      <c r="QHT217" s="23"/>
      <c r="QHY217" s="26"/>
      <c r="QIC217" s="23"/>
      <c r="QIH217" s="26"/>
      <c r="QIL217" s="23"/>
      <c r="QIQ217" s="26"/>
      <c r="QIU217" s="23"/>
      <c r="QIZ217" s="26"/>
      <c r="QJD217" s="23"/>
      <c r="QJI217" s="26"/>
      <c r="QJM217" s="23"/>
      <c r="QJR217" s="26"/>
      <c r="QJV217" s="23"/>
      <c r="QKA217" s="26"/>
      <c r="QKE217" s="23"/>
      <c r="QKJ217" s="26"/>
      <c r="QKN217" s="23"/>
      <c r="QKS217" s="26"/>
      <c r="QKW217" s="23"/>
      <c r="QLB217" s="26"/>
      <c r="QLF217" s="23"/>
      <c r="QLK217" s="26"/>
      <c r="QLO217" s="23"/>
      <c r="QLT217" s="26"/>
      <c r="QLX217" s="23"/>
      <c r="QMC217" s="26"/>
      <c r="QMG217" s="23"/>
      <c r="QML217" s="26"/>
      <c r="QMP217" s="23"/>
      <c r="QMU217" s="26"/>
      <c r="QMY217" s="23"/>
      <c r="QND217" s="26"/>
      <c r="QNH217" s="23"/>
      <c r="QNM217" s="26"/>
      <c r="QNQ217" s="23"/>
      <c r="QNV217" s="26"/>
      <c r="QNZ217" s="23"/>
      <c r="QOE217" s="26"/>
      <c r="QOI217" s="23"/>
      <c r="QON217" s="26"/>
      <c r="QOR217" s="23"/>
      <c r="QOW217" s="26"/>
      <c r="QPA217" s="23"/>
      <c r="QPF217" s="26"/>
      <c r="QPJ217" s="23"/>
      <c r="QPO217" s="26"/>
      <c r="QPS217" s="23"/>
      <c r="QPX217" s="26"/>
      <c r="QQB217" s="23"/>
      <c r="QQG217" s="26"/>
      <c r="QQK217" s="23"/>
      <c r="QQP217" s="26"/>
      <c r="QQT217" s="23"/>
      <c r="QQY217" s="26"/>
      <c r="QRC217" s="23"/>
      <c r="QRH217" s="26"/>
      <c r="QRL217" s="23"/>
      <c r="QRQ217" s="26"/>
      <c r="QRU217" s="23"/>
      <c r="QRZ217" s="26"/>
      <c r="QSD217" s="23"/>
      <c r="QSI217" s="26"/>
      <c r="QSM217" s="23"/>
      <c r="QSR217" s="26"/>
      <c r="QSV217" s="23"/>
      <c r="QTA217" s="26"/>
      <c r="QTE217" s="23"/>
      <c r="QTJ217" s="26"/>
      <c r="QTN217" s="23"/>
      <c r="QTS217" s="26"/>
      <c r="QTW217" s="23"/>
      <c r="QUB217" s="26"/>
      <c r="QUF217" s="23"/>
      <c r="QUK217" s="26"/>
      <c r="QUO217" s="23"/>
      <c r="QUT217" s="26"/>
      <c r="QUX217" s="23"/>
      <c r="QVC217" s="26"/>
      <c r="QVG217" s="23"/>
      <c r="QVL217" s="26"/>
      <c r="QVP217" s="23"/>
      <c r="QVU217" s="26"/>
      <c r="QVY217" s="23"/>
      <c r="QWD217" s="26"/>
      <c r="QWH217" s="23"/>
      <c r="QWM217" s="26"/>
      <c r="QWQ217" s="23"/>
      <c r="QWV217" s="26"/>
      <c r="QWZ217" s="23"/>
      <c r="QXE217" s="26"/>
      <c r="QXI217" s="23"/>
      <c r="QXN217" s="26"/>
      <c r="QXR217" s="23"/>
      <c r="QXW217" s="26"/>
      <c r="QYA217" s="23"/>
      <c r="QYF217" s="26"/>
      <c r="QYJ217" s="23"/>
      <c r="QYO217" s="26"/>
      <c r="QYS217" s="23"/>
      <c r="QYX217" s="26"/>
      <c r="QZB217" s="23"/>
      <c r="QZG217" s="26"/>
      <c r="QZK217" s="23"/>
      <c r="QZP217" s="26"/>
      <c r="QZT217" s="23"/>
      <c r="QZY217" s="26"/>
      <c r="RAC217" s="23"/>
      <c r="RAH217" s="26"/>
      <c r="RAL217" s="23"/>
      <c r="RAQ217" s="26"/>
      <c r="RAU217" s="23"/>
      <c r="RAZ217" s="26"/>
      <c r="RBD217" s="23"/>
      <c r="RBI217" s="26"/>
      <c r="RBM217" s="23"/>
      <c r="RBR217" s="26"/>
      <c r="RBV217" s="23"/>
      <c r="RCA217" s="26"/>
      <c r="RCE217" s="23"/>
      <c r="RCJ217" s="26"/>
      <c r="RCN217" s="23"/>
      <c r="RCS217" s="26"/>
      <c r="RCW217" s="23"/>
      <c r="RDB217" s="26"/>
      <c r="RDF217" s="23"/>
      <c r="RDK217" s="26"/>
      <c r="RDO217" s="23"/>
      <c r="RDT217" s="26"/>
      <c r="RDX217" s="23"/>
      <c r="REC217" s="26"/>
      <c r="REG217" s="23"/>
      <c r="REL217" s="26"/>
      <c r="REP217" s="23"/>
      <c r="REU217" s="26"/>
      <c r="REY217" s="23"/>
      <c r="RFD217" s="26"/>
      <c r="RFH217" s="23"/>
      <c r="RFM217" s="26"/>
      <c r="RFQ217" s="23"/>
      <c r="RFV217" s="26"/>
      <c r="RFZ217" s="23"/>
      <c r="RGE217" s="26"/>
      <c r="RGI217" s="23"/>
      <c r="RGN217" s="26"/>
      <c r="RGR217" s="23"/>
      <c r="RGW217" s="26"/>
      <c r="RHA217" s="23"/>
      <c r="RHF217" s="26"/>
      <c r="RHJ217" s="23"/>
      <c r="RHO217" s="26"/>
      <c r="RHS217" s="23"/>
      <c r="RHX217" s="26"/>
      <c r="RIB217" s="23"/>
      <c r="RIG217" s="26"/>
      <c r="RIK217" s="23"/>
      <c r="RIP217" s="26"/>
      <c r="RIT217" s="23"/>
      <c r="RIY217" s="26"/>
      <c r="RJC217" s="23"/>
      <c r="RJH217" s="26"/>
      <c r="RJL217" s="23"/>
      <c r="RJQ217" s="26"/>
      <c r="RJU217" s="23"/>
      <c r="RJZ217" s="26"/>
      <c r="RKD217" s="23"/>
      <c r="RKI217" s="26"/>
      <c r="RKM217" s="23"/>
      <c r="RKR217" s="26"/>
      <c r="RKV217" s="23"/>
      <c r="RLA217" s="26"/>
      <c r="RLE217" s="23"/>
      <c r="RLJ217" s="26"/>
      <c r="RLN217" s="23"/>
      <c r="RLS217" s="26"/>
      <c r="RLW217" s="23"/>
      <c r="RMB217" s="26"/>
      <c r="RMF217" s="23"/>
      <c r="RMK217" s="26"/>
      <c r="RMO217" s="23"/>
      <c r="RMT217" s="26"/>
      <c r="RMX217" s="23"/>
      <c r="RNC217" s="26"/>
      <c r="RNG217" s="23"/>
      <c r="RNL217" s="26"/>
      <c r="RNP217" s="23"/>
      <c r="RNU217" s="26"/>
      <c r="RNY217" s="23"/>
      <c r="ROD217" s="26"/>
      <c r="ROH217" s="23"/>
      <c r="ROM217" s="26"/>
      <c r="ROQ217" s="23"/>
      <c r="ROV217" s="26"/>
      <c r="ROZ217" s="23"/>
      <c r="RPE217" s="26"/>
      <c r="RPI217" s="23"/>
      <c r="RPN217" s="26"/>
      <c r="RPR217" s="23"/>
      <c r="RPW217" s="26"/>
      <c r="RQA217" s="23"/>
      <c r="RQF217" s="26"/>
      <c r="RQJ217" s="23"/>
      <c r="RQO217" s="26"/>
      <c r="RQS217" s="23"/>
      <c r="RQX217" s="26"/>
      <c r="RRB217" s="23"/>
      <c r="RRG217" s="26"/>
      <c r="RRK217" s="23"/>
      <c r="RRP217" s="26"/>
      <c r="RRT217" s="23"/>
      <c r="RRY217" s="26"/>
      <c r="RSC217" s="23"/>
      <c r="RSH217" s="26"/>
      <c r="RSL217" s="23"/>
      <c r="RSQ217" s="26"/>
      <c r="RSU217" s="23"/>
      <c r="RSZ217" s="26"/>
      <c r="RTD217" s="23"/>
      <c r="RTI217" s="26"/>
      <c r="RTM217" s="23"/>
      <c r="RTR217" s="26"/>
      <c r="RTV217" s="23"/>
      <c r="RUA217" s="26"/>
      <c r="RUE217" s="23"/>
      <c r="RUJ217" s="26"/>
      <c r="RUN217" s="23"/>
      <c r="RUS217" s="26"/>
      <c r="RUW217" s="23"/>
      <c r="RVB217" s="26"/>
      <c r="RVF217" s="23"/>
      <c r="RVK217" s="26"/>
      <c r="RVO217" s="23"/>
      <c r="RVT217" s="26"/>
      <c r="RVX217" s="23"/>
      <c r="RWC217" s="26"/>
      <c r="RWG217" s="23"/>
      <c r="RWL217" s="26"/>
      <c r="RWP217" s="23"/>
      <c r="RWU217" s="26"/>
      <c r="RWY217" s="23"/>
      <c r="RXD217" s="26"/>
      <c r="RXH217" s="23"/>
      <c r="RXM217" s="26"/>
      <c r="RXQ217" s="23"/>
      <c r="RXV217" s="26"/>
      <c r="RXZ217" s="23"/>
      <c r="RYE217" s="26"/>
      <c r="RYI217" s="23"/>
      <c r="RYN217" s="26"/>
      <c r="RYR217" s="23"/>
      <c r="RYW217" s="26"/>
      <c r="RZA217" s="23"/>
      <c r="RZF217" s="26"/>
      <c r="RZJ217" s="23"/>
      <c r="RZO217" s="26"/>
      <c r="RZS217" s="23"/>
      <c r="RZX217" s="26"/>
      <c r="SAB217" s="23"/>
      <c r="SAG217" s="26"/>
      <c r="SAK217" s="23"/>
      <c r="SAP217" s="26"/>
      <c r="SAT217" s="23"/>
      <c r="SAY217" s="26"/>
      <c r="SBC217" s="23"/>
      <c r="SBH217" s="26"/>
      <c r="SBL217" s="23"/>
      <c r="SBQ217" s="26"/>
      <c r="SBU217" s="23"/>
      <c r="SBZ217" s="26"/>
      <c r="SCD217" s="23"/>
      <c r="SCI217" s="26"/>
      <c r="SCM217" s="23"/>
      <c r="SCR217" s="26"/>
      <c r="SCV217" s="23"/>
      <c r="SDA217" s="26"/>
      <c r="SDE217" s="23"/>
      <c r="SDJ217" s="26"/>
      <c r="SDN217" s="23"/>
      <c r="SDS217" s="26"/>
      <c r="SDW217" s="23"/>
      <c r="SEB217" s="26"/>
      <c r="SEF217" s="23"/>
      <c r="SEK217" s="26"/>
      <c r="SEO217" s="23"/>
      <c r="SET217" s="26"/>
      <c r="SEX217" s="23"/>
      <c r="SFC217" s="26"/>
      <c r="SFG217" s="23"/>
      <c r="SFL217" s="26"/>
      <c r="SFP217" s="23"/>
      <c r="SFU217" s="26"/>
      <c r="SFY217" s="23"/>
      <c r="SGD217" s="26"/>
      <c r="SGH217" s="23"/>
      <c r="SGM217" s="26"/>
      <c r="SGQ217" s="23"/>
      <c r="SGV217" s="26"/>
      <c r="SGZ217" s="23"/>
      <c r="SHE217" s="26"/>
      <c r="SHI217" s="23"/>
      <c r="SHN217" s="26"/>
      <c r="SHR217" s="23"/>
      <c r="SHW217" s="26"/>
      <c r="SIA217" s="23"/>
      <c r="SIF217" s="26"/>
      <c r="SIJ217" s="23"/>
      <c r="SIO217" s="26"/>
      <c r="SIS217" s="23"/>
      <c r="SIX217" s="26"/>
      <c r="SJB217" s="23"/>
      <c r="SJG217" s="26"/>
      <c r="SJK217" s="23"/>
      <c r="SJP217" s="26"/>
      <c r="SJT217" s="23"/>
      <c r="SJY217" s="26"/>
      <c r="SKC217" s="23"/>
      <c r="SKH217" s="26"/>
      <c r="SKL217" s="23"/>
      <c r="SKQ217" s="26"/>
      <c r="SKU217" s="23"/>
      <c r="SKZ217" s="26"/>
      <c r="SLD217" s="23"/>
      <c r="SLI217" s="26"/>
      <c r="SLM217" s="23"/>
      <c r="SLR217" s="26"/>
      <c r="SLV217" s="23"/>
      <c r="SMA217" s="26"/>
      <c r="SME217" s="23"/>
      <c r="SMJ217" s="26"/>
      <c r="SMN217" s="23"/>
      <c r="SMS217" s="26"/>
      <c r="SMW217" s="23"/>
      <c r="SNB217" s="26"/>
      <c r="SNF217" s="23"/>
      <c r="SNK217" s="26"/>
      <c r="SNO217" s="23"/>
      <c r="SNT217" s="26"/>
      <c r="SNX217" s="23"/>
      <c r="SOC217" s="26"/>
      <c r="SOG217" s="23"/>
      <c r="SOL217" s="26"/>
      <c r="SOP217" s="23"/>
      <c r="SOU217" s="26"/>
      <c r="SOY217" s="23"/>
      <c r="SPD217" s="26"/>
      <c r="SPH217" s="23"/>
      <c r="SPM217" s="26"/>
      <c r="SPQ217" s="23"/>
      <c r="SPV217" s="26"/>
      <c r="SPZ217" s="23"/>
      <c r="SQE217" s="26"/>
      <c r="SQI217" s="23"/>
      <c r="SQN217" s="26"/>
      <c r="SQR217" s="23"/>
      <c r="SQW217" s="26"/>
      <c r="SRA217" s="23"/>
      <c r="SRF217" s="26"/>
      <c r="SRJ217" s="23"/>
      <c r="SRO217" s="26"/>
      <c r="SRS217" s="23"/>
      <c r="SRX217" s="26"/>
      <c r="SSB217" s="23"/>
      <c r="SSG217" s="26"/>
      <c r="SSK217" s="23"/>
      <c r="SSP217" s="26"/>
      <c r="SST217" s="23"/>
      <c r="SSY217" s="26"/>
      <c r="STC217" s="23"/>
      <c r="STH217" s="26"/>
      <c r="STL217" s="23"/>
      <c r="STQ217" s="26"/>
      <c r="STU217" s="23"/>
      <c r="STZ217" s="26"/>
      <c r="SUD217" s="23"/>
      <c r="SUI217" s="26"/>
      <c r="SUM217" s="23"/>
      <c r="SUR217" s="26"/>
      <c r="SUV217" s="23"/>
      <c r="SVA217" s="26"/>
      <c r="SVE217" s="23"/>
      <c r="SVJ217" s="26"/>
      <c r="SVN217" s="23"/>
      <c r="SVS217" s="26"/>
      <c r="SVW217" s="23"/>
      <c r="SWB217" s="26"/>
      <c r="SWF217" s="23"/>
      <c r="SWK217" s="26"/>
      <c r="SWO217" s="23"/>
      <c r="SWT217" s="26"/>
      <c r="SWX217" s="23"/>
      <c r="SXC217" s="26"/>
      <c r="SXG217" s="23"/>
      <c r="SXL217" s="26"/>
      <c r="SXP217" s="23"/>
      <c r="SXU217" s="26"/>
      <c r="SXY217" s="23"/>
      <c r="SYD217" s="26"/>
      <c r="SYH217" s="23"/>
      <c r="SYM217" s="26"/>
      <c r="SYQ217" s="23"/>
      <c r="SYV217" s="26"/>
      <c r="SYZ217" s="23"/>
      <c r="SZE217" s="26"/>
      <c r="SZI217" s="23"/>
      <c r="SZN217" s="26"/>
      <c r="SZR217" s="23"/>
      <c r="SZW217" s="26"/>
      <c r="TAA217" s="23"/>
      <c r="TAF217" s="26"/>
      <c r="TAJ217" s="23"/>
      <c r="TAO217" s="26"/>
      <c r="TAS217" s="23"/>
      <c r="TAX217" s="26"/>
      <c r="TBB217" s="23"/>
      <c r="TBG217" s="26"/>
      <c r="TBK217" s="23"/>
      <c r="TBP217" s="26"/>
      <c r="TBT217" s="23"/>
      <c r="TBY217" s="26"/>
      <c r="TCC217" s="23"/>
      <c r="TCH217" s="26"/>
      <c r="TCL217" s="23"/>
      <c r="TCQ217" s="26"/>
      <c r="TCU217" s="23"/>
      <c r="TCZ217" s="26"/>
      <c r="TDD217" s="23"/>
      <c r="TDI217" s="26"/>
      <c r="TDM217" s="23"/>
      <c r="TDR217" s="26"/>
      <c r="TDV217" s="23"/>
      <c r="TEA217" s="26"/>
      <c r="TEE217" s="23"/>
      <c r="TEJ217" s="26"/>
      <c r="TEN217" s="23"/>
      <c r="TES217" s="26"/>
      <c r="TEW217" s="23"/>
      <c r="TFB217" s="26"/>
      <c r="TFF217" s="23"/>
      <c r="TFK217" s="26"/>
      <c r="TFO217" s="23"/>
      <c r="TFT217" s="26"/>
      <c r="TFX217" s="23"/>
      <c r="TGC217" s="26"/>
      <c r="TGG217" s="23"/>
      <c r="TGL217" s="26"/>
      <c r="TGP217" s="23"/>
      <c r="TGU217" s="26"/>
      <c r="TGY217" s="23"/>
      <c r="THD217" s="26"/>
      <c r="THH217" s="23"/>
      <c r="THM217" s="26"/>
      <c r="THQ217" s="23"/>
      <c r="THV217" s="26"/>
      <c r="THZ217" s="23"/>
      <c r="TIE217" s="26"/>
      <c r="TII217" s="23"/>
      <c r="TIN217" s="26"/>
      <c r="TIR217" s="23"/>
      <c r="TIW217" s="26"/>
      <c r="TJA217" s="23"/>
      <c r="TJF217" s="26"/>
      <c r="TJJ217" s="23"/>
      <c r="TJO217" s="26"/>
      <c r="TJS217" s="23"/>
      <c r="TJX217" s="26"/>
      <c r="TKB217" s="23"/>
      <c r="TKG217" s="26"/>
      <c r="TKK217" s="23"/>
      <c r="TKP217" s="26"/>
      <c r="TKT217" s="23"/>
      <c r="TKY217" s="26"/>
      <c r="TLC217" s="23"/>
      <c r="TLH217" s="26"/>
      <c r="TLL217" s="23"/>
      <c r="TLQ217" s="26"/>
      <c r="TLU217" s="23"/>
      <c r="TLZ217" s="26"/>
      <c r="TMD217" s="23"/>
      <c r="TMI217" s="26"/>
      <c r="TMM217" s="23"/>
      <c r="TMR217" s="26"/>
      <c r="TMV217" s="23"/>
      <c r="TNA217" s="26"/>
      <c r="TNE217" s="23"/>
      <c r="TNJ217" s="26"/>
      <c r="TNN217" s="23"/>
      <c r="TNS217" s="26"/>
      <c r="TNW217" s="23"/>
      <c r="TOB217" s="26"/>
      <c r="TOF217" s="23"/>
      <c r="TOK217" s="26"/>
      <c r="TOO217" s="23"/>
      <c r="TOT217" s="26"/>
      <c r="TOX217" s="23"/>
      <c r="TPC217" s="26"/>
      <c r="TPG217" s="23"/>
      <c r="TPL217" s="26"/>
      <c r="TPP217" s="23"/>
      <c r="TPU217" s="26"/>
      <c r="TPY217" s="23"/>
      <c r="TQD217" s="26"/>
      <c r="TQH217" s="23"/>
      <c r="TQM217" s="26"/>
      <c r="TQQ217" s="23"/>
      <c r="TQV217" s="26"/>
      <c r="TQZ217" s="23"/>
      <c r="TRE217" s="26"/>
      <c r="TRI217" s="23"/>
      <c r="TRN217" s="26"/>
      <c r="TRR217" s="23"/>
      <c r="TRW217" s="26"/>
      <c r="TSA217" s="23"/>
      <c r="TSF217" s="26"/>
      <c r="TSJ217" s="23"/>
      <c r="TSO217" s="26"/>
      <c r="TSS217" s="23"/>
      <c r="TSX217" s="26"/>
      <c r="TTB217" s="23"/>
      <c r="TTG217" s="26"/>
      <c r="TTK217" s="23"/>
      <c r="TTP217" s="26"/>
      <c r="TTT217" s="23"/>
      <c r="TTY217" s="26"/>
      <c r="TUC217" s="23"/>
      <c r="TUH217" s="26"/>
      <c r="TUL217" s="23"/>
      <c r="TUQ217" s="26"/>
      <c r="TUU217" s="23"/>
      <c r="TUZ217" s="26"/>
      <c r="TVD217" s="23"/>
      <c r="TVI217" s="26"/>
      <c r="TVM217" s="23"/>
      <c r="TVR217" s="26"/>
      <c r="TVV217" s="23"/>
      <c r="TWA217" s="26"/>
      <c r="TWE217" s="23"/>
      <c r="TWJ217" s="26"/>
      <c r="TWN217" s="23"/>
      <c r="TWS217" s="26"/>
      <c r="TWW217" s="23"/>
      <c r="TXB217" s="26"/>
      <c r="TXF217" s="23"/>
      <c r="TXK217" s="26"/>
      <c r="TXO217" s="23"/>
      <c r="TXT217" s="26"/>
      <c r="TXX217" s="23"/>
      <c r="TYC217" s="26"/>
      <c r="TYG217" s="23"/>
      <c r="TYL217" s="26"/>
      <c r="TYP217" s="23"/>
      <c r="TYU217" s="26"/>
      <c r="TYY217" s="23"/>
      <c r="TZD217" s="26"/>
      <c r="TZH217" s="23"/>
      <c r="TZM217" s="26"/>
      <c r="TZQ217" s="23"/>
      <c r="TZV217" s="26"/>
      <c r="TZZ217" s="23"/>
      <c r="UAE217" s="26"/>
      <c r="UAI217" s="23"/>
      <c r="UAN217" s="26"/>
      <c r="UAR217" s="23"/>
      <c r="UAW217" s="26"/>
      <c r="UBA217" s="23"/>
      <c r="UBF217" s="26"/>
      <c r="UBJ217" s="23"/>
      <c r="UBO217" s="26"/>
      <c r="UBS217" s="23"/>
      <c r="UBX217" s="26"/>
      <c r="UCB217" s="23"/>
      <c r="UCG217" s="26"/>
      <c r="UCK217" s="23"/>
      <c r="UCP217" s="26"/>
      <c r="UCT217" s="23"/>
      <c r="UCY217" s="26"/>
      <c r="UDC217" s="23"/>
      <c r="UDH217" s="26"/>
      <c r="UDL217" s="23"/>
      <c r="UDQ217" s="26"/>
      <c r="UDU217" s="23"/>
      <c r="UDZ217" s="26"/>
      <c r="UED217" s="23"/>
      <c r="UEI217" s="26"/>
      <c r="UEM217" s="23"/>
      <c r="UER217" s="26"/>
      <c r="UEV217" s="23"/>
      <c r="UFA217" s="26"/>
      <c r="UFE217" s="23"/>
      <c r="UFJ217" s="26"/>
      <c r="UFN217" s="23"/>
      <c r="UFS217" s="26"/>
      <c r="UFW217" s="23"/>
      <c r="UGB217" s="26"/>
      <c r="UGF217" s="23"/>
      <c r="UGK217" s="26"/>
      <c r="UGO217" s="23"/>
      <c r="UGT217" s="26"/>
      <c r="UGX217" s="23"/>
      <c r="UHC217" s="26"/>
      <c r="UHG217" s="23"/>
      <c r="UHL217" s="26"/>
      <c r="UHP217" s="23"/>
      <c r="UHU217" s="26"/>
      <c r="UHY217" s="23"/>
      <c r="UID217" s="26"/>
      <c r="UIH217" s="23"/>
      <c r="UIM217" s="26"/>
      <c r="UIQ217" s="23"/>
      <c r="UIV217" s="26"/>
      <c r="UIZ217" s="23"/>
      <c r="UJE217" s="26"/>
      <c r="UJI217" s="23"/>
      <c r="UJN217" s="26"/>
      <c r="UJR217" s="23"/>
      <c r="UJW217" s="26"/>
      <c r="UKA217" s="23"/>
      <c r="UKF217" s="26"/>
      <c r="UKJ217" s="23"/>
      <c r="UKO217" s="26"/>
      <c r="UKS217" s="23"/>
      <c r="UKX217" s="26"/>
      <c r="ULB217" s="23"/>
      <c r="ULG217" s="26"/>
      <c r="ULK217" s="23"/>
      <c r="ULP217" s="26"/>
      <c r="ULT217" s="23"/>
      <c r="ULY217" s="26"/>
      <c r="UMC217" s="23"/>
      <c r="UMH217" s="26"/>
      <c r="UML217" s="23"/>
      <c r="UMQ217" s="26"/>
      <c r="UMU217" s="23"/>
      <c r="UMZ217" s="26"/>
      <c r="UND217" s="23"/>
      <c r="UNI217" s="26"/>
      <c r="UNM217" s="23"/>
      <c r="UNR217" s="26"/>
      <c r="UNV217" s="23"/>
      <c r="UOA217" s="26"/>
      <c r="UOE217" s="23"/>
      <c r="UOJ217" s="26"/>
      <c r="UON217" s="23"/>
      <c r="UOS217" s="26"/>
      <c r="UOW217" s="23"/>
      <c r="UPB217" s="26"/>
      <c r="UPF217" s="23"/>
      <c r="UPK217" s="26"/>
      <c r="UPO217" s="23"/>
      <c r="UPT217" s="26"/>
      <c r="UPX217" s="23"/>
      <c r="UQC217" s="26"/>
      <c r="UQG217" s="23"/>
      <c r="UQL217" s="26"/>
      <c r="UQP217" s="23"/>
      <c r="UQU217" s="26"/>
      <c r="UQY217" s="23"/>
      <c r="URD217" s="26"/>
      <c r="URH217" s="23"/>
      <c r="URM217" s="26"/>
      <c r="URQ217" s="23"/>
      <c r="URV217" s="26"/>
      <c r="URZ217" s="23"/>
      <c r="USE217" s="26"/>
      <c r="USI217" s="23"/>
      <c r="USN217" s="26"/>
      <c r="USR217" s="23"/>
      <c r="USW217" s="26"/>
      <c r="UTA217" s="23"/>
      <c r="UTF217" s="26"/>
      <c r="UTJ217" s="23"/>
      <c r="UTO217" s="26"/>
      <c r="UTS217" s="23"/>
      <c r="UTX217" s="26"/>
      <c r="UUB217" s="23"/>
      <c r="UUG217" s="26"/>
      <c r="UUK217" s="23"/>
      <c r="UUP217" s="26"/>
      <c r="UUT217" s="23"/>
      <c r="UUY217" s="26"/>
      <c r="UVC217" s="23"/>
      <c r="UVH217" s="26"/>
      <c r="UVL217" s="23"/>
      <c r="UVQ217" s="26"/>
      <c r="UVU217" s="23"/>
      <c r="UVZ217" s="26"/>
      <c r="UWD217" s="23"/>
      <c r="UWI217" s="26"/>
      <c r="UWM217" s="23"/>
      <c r="UWR217" s="26"/>
      <c r="UWV217" s="23"/>
      <c r="UXA217" s="26"/>
      <c r="UXE217" s="23"/>
      <c r="UXJ217" s="26"/>
      <c r="UXN217" s="23"/>
      <c r="UXS217" s="26"/>
      <c r="UXW217" s="23"/>
      <c r="UYB217" s="26"/>
      <c r="UYF217" s="23"/>
      <c r="UYK217" s="26"/>
      <c r="UYO217" s="23"/>
      <c r="UYT217" s="26"/>
      <c r="UYX217" s="23"/>
      <c r="UZC217" s="26"/>
      <c r="UZG217" s="23"/>
      <c r="UZL217" s="26"/>
      <c r="UZP217" s="23"/>
      <c r="UZU217" s="26"/>
      <c r="UZY217" s="23"/>
      <c r="VAD217" s="26"/>
      <c r="VAH217" s="23"/>
      <c r="VAM217" s="26"/>
      <c r="VAQ217" s="23"/>
      <c r="VAV217" s="26"/>
      <c r="VAZ217" s="23"/>
      <c r="VBE217" s="26"/>
      <c r="VBI217" s="23"/>
      <c r="VBN217" s="26"/>
      <c r="VBR217" s="23"/>
      <c r="VBW217" s="26"/>
      <c r="VCA217" s="23"/>
      <c r="VCF217" s="26"/>
      <c r="VCJ217" s="23"/>
      <c r="VCO217" s="26"/>
      <c r="VCS217" s="23"/>
      <c r="VCX217" s="26"/>
      <c r="VDB217" s="23"/>
      <c r="VDG217" s="26"/>
      <c r="VDK217" s="23"/>
      <c r="VDP217" s="26"/>
      <c r="VDT217" s="23"/>
      <c r="VDY217" s="26"/>
      <c r="VEC217" s="23"/>
      <c r="VEH217" s="26"/>
      <c r="VEL217" s="23"/>
      <c r="VEQ217" s="26"/>
      <c r="VEU217" s="23"/>
      <c r="VEZ217" s="26"/>
      <c r="VFD217" s="23"/>
      <c r="VFI217" s="26"/>
      <c r="VFM217" s="23"/>
      <c r="VFR217" s="26"/>
      <c r="VFV217" s="23"/>
      <c r="VGA217" s="26"/>
      <c r="VGE217" s="23"/>
      <c r="VGJ217" s="26"/>
      <c r="VGN217" s="23"/>
      <c r="VGS217" s="26"/>
      <c r="VGW217" s="23"/>
      <c r="VHB217" s="26"/>
      <c r="VHF217" s="23"/>
      <c r="VHK217" s="26"/>
      <c r="VHO217" s="23"/>
      <c r="VHT217" s="26"/>
      <c r="VHX217" s="23"/>
      <c r="VIC217" s="26"/>
      <c r="VIG217" s="23"/>
      <c r="VIL217" s="26"/>
      <c r="VIP217" s="23"/>
      <c r="VIU217" s="26"/>
      <c r="VIY217" s="23"/>
      <c r="VJD217" s="26"/>
      <c r="VJH217" s="23"/>
      <c r="VJM217" s="26"/>
      <c r="VJQ217" s="23"/>
      <c r="VJV217" s="26"/>
      <c r="VJZ217" s="23"/>
      <c r="VKE217" s="26"/>
      <c r="VKI217" s="23"/>
      <c r="VKN217" s="26"/>
      <c r="VKR217" s="23"/>
      <c r="VKW217" s="26"/>
      <c r="VLA217" s="23"/>
      <c r="VLF217" s="26"/>
      <c r="VLJ217" s="23"/>
      <c r="VLO217" s="26"/>
      <c r="VLS217" s="23"/>
      <c r="VLX217" s="26"/>
      <c r="VMB217" s="23"/>
      <c r="VMG217" s="26"/>
      <c r="VMK217" s="23"/>
      <c r="VMP217" s="26"/>
      <c r="VMT217" s="23"/>
      <c r="VMY217" s="26"/>
      <c r="VNC217" s="23"/>
      <c r="VNH217" s="26"/>
      <c r="VNL217" s="23"/>
      <c r="VNQ217" s="26"/>
      <c r="VNU217" s="23"/>
      <c r="VNZ217" s="26"/>
      <c r="VOD217" s="23"/>
      <c r="VOI217" s="26"/>
      <c r="VOM217" s="23"/>
      <c r="VOR217" s="26"/>
      <c r="VOV217" s="23"/>
      <c r="VPA217" s="26"/>
      <c r="VPE217" s="23"/>
      <c r="VPJ217" s="26"/>
      <c r="VPN217" s="23"/>
      <c r="VPS217" s="26"/>
      <c r="VPW217" s="23"/>
      <c r="VQB217" s="26"/>
      <c r="VQF217" s="23"/>
      <c r="VQK217" s="26"/>
      <c r="VQO217" s="23"/>
      <c r="VQT217" s="26"/>
      <c r="VQX217" s="23"/>
      <c r="VRC217" s="26"/>
      <c r="VRG217" s="23"/>
      <c r="VRL217" s="26"/>
      <c r="VRP217" s="23"/>
      <c r="VRU217" s="26"/>
      <c r="VRY217" s="23"/>
      <c r="VSD217" s="26"/>
      <c r="VSH217" s="23"/>
      <c r="VSM217" s="26"/>
      <c r="VSQ217" s="23"/>
      <c r="VSV217" s="26"/>
      <c r="VSZ217" s="23"/>
      <c r="VTE217" s="26"/>
      <c r="VTI217" s="23"/>
      <c r="VTN217" s="26"/>
      <c r="VTR217" s="23"/>
      <c r="VTW217" s="26"/>
      <c r="VUA217" s="23"/>
      <c r="VUF217" s="26"/>
      <c r="VUJ217" s="23"/>
      <c r="VUO217" s="26"/>
      <c r="VUS217" s="23"/>
      <c r="VUX217" s="26"/>
      <c r="VVB217" s="23"/>
      <c r="VVG217" s="26"/>
      <c r="VVK217" s="23"/>
      <c r="VVP217" s="26"/>
      <c r="VVT217" s="23"/>
      <c r="VVY217" s="26"/>
      <c r="VWC217" s="23"/>
      <c r="VWH217" s="26"/>
      <c r="VWL217" s="23"/>
      <c r="VWQ217" s="26"/>
      <c r="VWU217" s="23"/>
      <c r="VWZ217" s="26"/>
      <c r="VXD217" s="23"/>
      <c r="VXI217" s="26"/>
      <c r="VXM217" s="23"/>
      <c r="VXR217" s="26"/>
      <c r="VXV217" s="23"/>
      <c r="VYA217" s="26"/>
      <c r="VYE217" s="23"/>
      <c r="VYJ217" s="26"/>
      <c r="VYN217" s="23"/>
      <c r="VYS217" s="26"/>
      <c r="VYW217" s="23"/>
      <c r="VZB217" s="26"/>
      <c r="VZF217" s="23"/>
      <c r="VZK217" s="26"/>
      <c r="VZO217" s="23"/>
      <c r="VZT217" s="26"/>
      <c r="VZX217" s="23"/>
      <c r="WAC217" s="26"/>
      <c r="WAG217" s="23"/>
      <c r="WAL217" s="26"/>
      <c r="WAP217" s="23"/>
      <c r="WAU217" s="26"/>
      <c r="WAY217" s="23"/>
      <c r="WBD217" s="26"/>
      <c r="WBH217" s="23"/>
      <c r="WBM217" s="26"/>
      <c r="WBQ217" s="23"/>
      <c r="WBV217" s="26"/>
      <c r="WBZ217" s="23"/>
      <c r="WCE217" s="26"/>
      <c r="WCI217" s="23"/>
      <c r="WCN217" s="26"/>
      <c r="WCR217" s="23"/>
      <c r="WCW217" s="26"/>
      <c r="WDA217" s="23"/>
      <c r="WDF217" s="26"/>
      <c r="WDJ217" s="23"/>
      <c r="WDO217" s="26"/>
      <c r="WDS217" s="23"/>
      <c r="WDX217" s="26"/>
      <c r="WEB217" s="23"/>
      <c r="WEG217" s="26"/>
      <c r="WEK217" s="23"/>
      <c r="WEP217" s="26"/>
      <c r="WET217" s="23"/>
      <c r="WEY217" s="26"/>
      <c r="WFC217" s="23"/>
      <c r="WFH217" s="26"/>
      <c r="WFL217" s="23"/>
      <c r="WFQ217" s="26"/>
      <c r="WFU217" s="23"/>
      <c r="WFZ217" s="26"/>
      <c r="WGD217" s="23"/>
      <c r="WGI217" s="26"/>
      <c r="WGM217" s="23"/>
      <c r="WGR217" s="26"/>
      <c r="WGV217" s="23"/>
      <c r="WHA217" s="26"/>
      <c r="WHE217" s="23"/>
      <c r="WHJ217" s="26"/>
      <c r="WHN217" s="23"/>
      <c r="WHS217" s="26"/>
      <c r="WHW217" s="23"/>
      <c r="WIB217" s="26"/>
      <c r="WIF217" s="23"/>
      <c r="WIK217" s="26"/>
      <c r="WIO217" s="23"/>
      <c r="WIT217" s="26"/>
      <c r="WIX217" s="23"/>
      <c r="WJC217" s="26"/>
      <c r="WJG217" s="23"/>
      <c r="WJL217" s="26"/>
      <c r="WJP217" s="23"/>
      <c r="WJU217" s="26"/>
      <c r="WJY217" s="23"/>
      <c r="WKD217" s="26"/>
      <c r="WKH217" s="23"/>
      <c r="WKM217" s="26"/>
      <c r="WKQ217" s="23"/>
      <c r="WKV217" s="26"/>
      <c r="WKZ217" s="23"/>
      <c r="WLE217" s="26"/>
      <c r="WLI217" s="23"/>
      <c r="WLN217" s="26"/>
      <c r="WLR217" s="23"/>
      <c r="WLW217" s="26"/>
      <c r="WMA217" s="23"/>
      <c r="WMF217" s="26"/>
      <c r="WMJ217" s="23"/>
      <c r="WMO217" s="26"/>
      <c r="WMS217" s="23"/>
      <c r="WMX217" s="26"/>
      <c r="WNB217" s="23"/>
      <c r="WNG217" s="26"/>
      <c r="WNK217" s="23"/>
      <c r="WNP217" s="26"/>
      <c r="WNT217" s="23"/>
      <c r="WNY217" s="26"/>
      <c r="WOC217" s="23"/>
      <c r="WOH217" s="26"/>
      <c r="WOL217" s="23"/>
      <c r="WOQ217" s="26"/>
      <c r="WOU217" s="23"/>
      <c r="WOZ217" s="26"/>
      <c r="WPD217" s="23"/>
      <c r="WPI217" s="26"/>
      <c r="WPM217" s="23"/>
      <c r="WPR217" s="26"/>
      <c r="WPV217" s="23"/>
      <c r="WQA217" s="26"/>
      <c r="WQE217" s="23"/>
      <c r="WQJ217" s="26"/>
      <c r="WQN217" s="23"/>
      <c r="WQS217" s="26"/>
      <c r="WQW217" s="23"/>
      <c r="WRB217" s="26"/>
      <c r="WRF217" s="23"/>
      <c r="WRK217" s="26"/>
      <c r="WRO217" s="23"/>
      <c r="WRT217" s="26"/>
      <c r="WRX217" s="23"/>
      <c r="WSC217" s="26"/>
      <c r="WSG217" s="23"/>
      <c r="WSL217" s="26"/>
      <c r="WSP217" s="23"/>
      <c r="WSU217" s="26"/>
      <c r="WSY217" s="23"/>
      <c r="WTD217" s="26"/>
      <c r="WTH217" s="23"/>
      <c r="WTM217" s="26"/>
      <c r="WTQ217" s="23"/>
      <c r="WTV217" s="26"/>
      <c r="WTZ217" s="23"/>
      <c r="WUE217" s="26"/>
      <c r="WUI217" s="23"/>
      <c r="WUN217" s="26"/>
      <c r="WUR217" s="23"/>
      <c r="WUW217" s="26"/>
      <c r="WVA217" s="23"/>
      <c r="WVF217" s="26"/>
      <c r="WVJ217" s="23"/>
      <c r="WVO217" s="26"/>
      <c r="WVS217" s="23"/>
      <c r="WVX217" s="26"/>
      <c r="WWB217" s="23"/>
      <c r="WWG217" s="26"/>
      <c r="WWK217" s="23"/>
      <c r="WWP217" s="26"/>
      <c r="WWT217" s="23"/>
      <c r="WWY217" s="26"/>
      <c r="WXC217" s="23"/>
      <c r="WXH217" s="26"/>
      <c r="WXL217" s="23"/>
      <c r="WXQ217" s="26"/>
      <c r="WXU217" s="23"/>
      <c r="WXZ217" s="26"/>
      <c r="WYD217" s="23"/>
      <c r="WYI217" s="26"/>
      <c r="WYM217" s="23"/>
      <c r="WYR217" s="26"/>
      <c r="WYV217" s="23"/>
      <c r="WZA217" s="26"/>
      <c r="WZE217" s="23"/>
      <c r="WZJ217" s="26"/>
      <c r="WZN217" s="23"/>
      <c r="WZS217" s="26"/>
      <c r="WZW217" s="23"/>
      <c r="XAB217" s="26"/>
      <c r="XAF217" s="23"/>
      <c r="XAK217" s="26"/>
      <c r="XAO217" s="23"/>
      <c r="XAT217" s="26"/>
      <c r="XAX217" s="23"/>
      <c r="XBC217" s="26"/>
      <c r="XBG217" s="23"/>
      <c r="XBL217" s="26"/>
      <c r="XBP217" s="23"/>
      <c r="XBU217" s="26"/>
      <c r="XBY217" s="23"/>
      <c r="XCD217" s="26"/>
      <c r="XCH217" s="23"/>
      <c r="XCM217" s="26"/>
      <c r="XCQ217" s="23"/>
      <c r="XCV217" s="26"/>
      <c r="XCZ217" s="23"/>
      <c r="XDE217" s="26"/>
      <c r="XDI217" s="23"/>
      <c r="XDN217" s="26"/>
      <c r="XDR217" s="23"/>
      <c r="XDW217" s="26"/>
      <c r="XEA217" s="23"/>
      <c r="XEF217" s="26"/>
      <c r="XEJ217" s="23"/>
      <c r="XEO217" s="26"/>
      <c r="XES217" s="23"/>
      <c r="XEX217" s="26"/>
      <c r="XFB217" s="23"/>
    </row>
    <row r="218" spans="1:1024 1028:2045 2050:3071 3076:4093 4097:5119 5123:6140 6145:7166 7171:8192 8197:9214 9218:10240 10244:11261 11266:12287 12292:13309 13313:14335 14339:15356 15361:16382" x14ac:dyDescent="0.3">
      <c r="B218" s="23"/>
      <c r="K218" s="23"/>
      <c r="P218" s="26"/>
      <c r="T218" s="23"/>
      <c r="Y218" s="26"/>
      <c r="AC218" s="23"/>
      <c r="AH218" s="26"/>
      <c r="AL218" s="23"/>
      <c r="AQ218" s="26"/>
      <c r="AU218" s="23"/>
      <c r="AZ218" s="26"/>
      <c r="BD218" s="23"/>
      <c r="BI218" s="26"/>
      <c r="BM218" s="23"/>
      <c r="BR218" s="26"/>
      <c r="BV218" s="23"/>
      <c r="CA218" s="26"/>
      <c r="CE218" s="23"/>
      <c r="CJ218" s="26"/>
      <c r="CN218" s="23"/>
      <c r="CS218" s="26"/>
      <c r="CW218" s="23"/>
      <c r="DB218" s="26"/>
      <c r="DF218" s="23"/>
      <c r="DK218" s="26"/>
      <c r="DO218" s="23"/>
      <c r="DT218" s="26"/>
      <c r="DX218" s="23"/>
      <c r="EC218" s="26"/>
      <c r="EG218" s="23"/>
      <c r="EL218" s="26"/>
      <c r="EP218" s="23"/>
      <c r="EU218" s="26"/>
      <c r="EY218" s="23"/>
      <c r="FD218" s="26"/>
      <c r="FH218" s="23"/>
      <c r="FM218" s="26"/>
      <c r="FQ218" s="23"/>
      <c r="FV218" s="26"/>
      <c r="FZ218" s="23"/>
      <c r="GE218" s="26"/>
      <c r="GI218" s="23"/>
      <c r="GN218" s="26"/>
      <c r="GR218" s="23"/>
      <c r="GW218" s="26"/>
      <c r="HA218" s="23"/>
      <c r="HF218" s="26"/>
      <c r="HJ218" s="23"/>
      <c r="HO218" s="26"/>
      <c r="HS218" s="23"/>
      <c r="HX218" s="26"/>
      <c r="IB218" s="23"/>
      <c r="IG218" s="26"/>
      <c r="IK218" s="23"/>
      <c r="IP218" s="26"/>
      <c r="IT218" s="23"/>
      <c r="IY218" s="26"/>
      <c r="JC218" s="23"/>
      <c r="JH218" s="26"/>
      <c r="JL218" s="23"/>
      <c r="JQ218" s="26"/>
      <c r="JU218" s="23"/>
      <c r="JZ218" s="26"/>
      <c r="KD218" s="23"/>
      <c r="KI218" s="26"/>
      <c r="KM218" s="23"/>
      <c r="KR218" s="26"/>
      <c r="KV218" s="23"/>
      <c r="LA218" s="26"/>
      <c r="LE218" s="23"/>
      <c r="LJ218" s="26"/>
      <c r="LN218" s="23"/>
      <c r="LS218" s="26"/>
      <c r="LW218" s="23"/>
      <c r="MB218" s="26"/>
      <c r="MF218" s="23"/>
      <c r="MK218" s="26"/>
      <c r="MO218" s="23"/>
      <c r="MT218" s="26"/>
      <c r="MX218" s="23"/>
      <c r="NC218" s="26"/>
      <c r="NG218" s="23"/>
      <c r="NL218" s="26"/>
      <c r="NP218" s="23"/>
      <c r="NU218" s="26"/>
      <c r="NY218" s="23"/>
      <c r="OD218" s="26"/>
      <c r="OH218" s="23"/>
      <c r="OM218" s="26"/>
      <c r="OQ218" s="23"/>
      <c r="OV218" s="26"/>
      <c r="OZ218" s="23"/>
      <c r="PE218" s="26"/>
      <c r="PI218" s="23"/>
      <c r="PN218" s="26"/>
      <c r="PR218" s="23"/>
      <c r="PW218" s="26"/>
      <c r="QA218" s="23"/>
      <c r="QF218" s="26"/>
      <c r="QJ218" s="23"/>
      <c r="QO218" s="26"/>
      <c r="QS218" s="23"/>
      <c r="QX218" s="26"/>
      <c r="RB218" s="23"/>
      <c r="RG218" s="26"/>
      <c r="RK218" s="23"/>
      <c r="RP218" s="26"/>
      <c r="RT218" s="23"/>
      <c r="RY218" s="26"/>
      <c r="SC218" s="23"/>
      <c r="SH218" s="26"/>
      <c r="SL218" s="23"/>
      <c r="SQ218" s="26"/>
      <c r="SU218" s="23"/>
      <c r="SZ218" s="26"/>
      <c r="TD218" s="23"/>
      <c r="TI218" s="26"/>
      <c r="TM218" s="23"/>
      <c r="TR218" s="26"/>
      <c r="TV218" s="23"/>
      <c r="UA218" s="26"/>
      <c r="UE218" s="23"/>
      <c r="UJ218" s="26"/>
      <c r="UN218" s="23"/>
      <c r="US218" s="26"/>
      <c r="UW218" s="23"/>
      <c r="VB218" s="26"/>
      <c r="VF218" s="23"/>
      <c r="VK218" s="26"/>
      <c r="VO218" s="23"/>
      <c r="VT218" s="26"/>
      <c r="VX218" s="23"/>
      <c r="WC218" s="26"/>
      <c r="WG218" s="23"/>
      <c r="WL218" s="26"/>
      <c r="WP218" s="23"/>
      <c r="WU218" s="26"/>
      <c r="WY218" s="23"/>
      <c r="XD218" s="26"/>
      <c r="XH218" s="23"/>
      <c r="XM218" s="26"/>
      <c r="XQ218" s="23"/>
      <c r="XV218" s="26"/>
      <c r="XZ218" s="23"/>
      <c r="YE218" s="26"/>
      <c r="YI218" s="23"/>
      <c r="YN218" s="26"/>
      <c r="YR218" s="23"/>
      <c r="YW218" s="26"/>
      <c r="ZA218" s="23"/>
      <c r="ZF218" s="26"/>
      <c r="ZJ218" s="23"/>
      <c r="ZO218" s="26"/>
      <c r="ZS218" s="23"/>
      <c r="ZX218" s="26"/>
      <c r="AAB218" s="23"/>
      <c r="AAG218" s="26"/>
      <c r="AAK218" s="23"/>
      <c r="AAP218" s="26"/>
      <c r="AAT218" s="23"/>
      <c r="AAY218" s="26"/>
      <c r="ABC218" s="23"/>
      <c r="ABH218" s="26"/>
      <c r="ABL218" s="23"/>
      <c r="ABQ218" s="26"/>
      <c r="ABU218" s="23"/>
      <c r="ABZ218" s="26"/>
      <c r="ACD218" s="23"/>
      <c r="ACI218" s="26"/>
      <c r="ACM218" s="23"/>
      <c r="ACR218" s="26"/>
      <c r="ACV218" s="23"/>
      <c r="ADA218" s="26"/>
      <c r="ADE218" s="23"/>
      <c r="ADJ218" s="26"/>
      <c r="ADN218" s="23"/>
      <c r="ADS218" s="26"/>
      <c r="ADW218" s="23"/>
      <c r="AEB218" s="26"/>
      <c r="AEF218" s="23"/>
      <c r="AEK218" s="26"/>
      <c r="AEO218" s="23"/>
      <c r="AET218" s="26"/>
      <c r="AEX218" s="23"/>
      <c r="AFC218" s="26"/>
      <c r="AFG218" s="23"/>
      <c r="AFL218" s="26"/>
      <c r="AFP218" s="23"/>
      <c r="AFU218" s="26"/>
      <c r="AFY218" s="23"/>
      <c r="AGD218" s="26"/>
      <c r="AGH218" s="23"/>
      <c r="AGM218" s="26"/>
      <c r="AGQ218" s="23"/>
      <c r="AGV218" s="26"/>
      <c r="AGZ218" s="23"/>
      <c r="AHE218" s="26"/>
      <c r="AHI218" s="23"/>
      <c r="AHN218" s="26"/>
      <c r="AHR218" s="23"/>
      <c r="AHW218" s="26"/>
      <c r="AIA218" s="23"/>
      <c r="AIF218" s="26"/>
      <c r="AIJ218" s="23"/>
      <c r="AIO218" s="26"/>
      <c r="AIS218" s="23"/>
      <c r="AIX218" s="26"/>
      <c r="AJB218" s="23"/>
      <c r="AJG218" s="26"/>
      <c r="AJK218" s="23"/>
      <c r="AJP218" s="26"/>
      <c r="AJT218" s="23"/>
      <c r="AJY218" s="26"/>
      <c r="AKC218" s="23"/>
      <c r="AKH218" s="26"/>
      <c r="AKL218" s="23"/>
      <c r="AKQ218" s="26"/>
      <c r="AKU218" s="23"/>
      <c r="AKZ218" s="26"/>
      <c r="ALD218" s="23"/>
      <c r="ALI218" s="26"/>
      <c r="ALM218" s="23"/>
      <c r="ALR218" s="26"/>
      <c r="ALV218" s="23"/>
      <c r="AMA218" s="26"/>
      <c r="AME218" s="23"/>
      <c r="AMJ218" s="26"/>
      <c r="AMN218" s="23"/>
      <c r="AMS218" s="26"/>
      <c r="AMW218" s="23"/>
      <c r="ANB218" s="26"/>
      <c r="ANF218" s="23"/>
      <c r="ANK218" s="26"/>
      <c r="ANO218" s="23"/>
      <c r="ANT218" s="26"/>
      <c r="ANX218" s="23"/>
      <c r="AOC218" s="26"/>
      <c r="AOG218" s="23"/>
      <c r="AOL218" s="26"/>
      <c r="AOP218" s="23"/>
      <c r="AOU218" s="26"/>
      <c r="AOY218" s="23"/>
      <c r="APD218" s="26"/>
      <c r="APH218" s="23"/>
      <c r="APM218" s="26"/>
      <c r="APQ218" s="23"/>
      <c r="APV218" s="26"/>
      <c r="APZ218" s="23"/>
      <c r="AQE218" s="26"/>
      <c r="AQI218" s="23"/>
      <c r="AQN218" s="26"/>
      <c r="AQR218" s="23"/>
      <c r="AQW218" s="26"/>
      <c r="ARA218" s="23"/>
      <c r="ARF218" s="26"/>
      <c r="ARJ218" s="23"/>
      <c r="ARO218" s="26"/>
      <c r="ARS218" s="23"/>
      <c r="ARX218" s="26"/>
      <c r="ASB218" s="23"/>
      <c r="ASG218" s="26"/>
      <c r="ASK218" s="23"/>
      <c r="ASP218" s="26"/>
      <c r="AST218" s="23"/>
      <c r="ASY218" s="26"/>
      <c r="ATC218" s="23"/>
      <c r="ATH218" s="26"/>
      <c r="ATL218" s="23"/>
      <c r="ATQ218" s="26"/>
      <c r="ATU218" s="23"/>
      <c r="ATZ218" s="26"/>
      <c r="AUD218" s="23"/>
      <c r="AUI218" s="26"/>
      <c r="AUM218" s="23"/>
      <c r="AUR218" s="26"/>
      <c r="AUV218" s="23"/>
      <c r="AVA218" s="26"/>
      <c r="AVE218" s="23"/>
      <c r="AVJ218" s="26"/>
      <c r="AVN218" s="23"/>
      <c r="AVS218" s="26"/>
      <c r="AVW218" s="23"/>
      <c r="AWB218" s="26"/>
      <c r="AWF218" s="23"/>
      <c r="AWK218" s="26"/>
      <c r="AWO218" s="23"/>
      <c r="AWT218" s="26"/>
      <c r="AWX218" s="23"/>
      <c r="AXC218" s="26"/>
      <c r="AXG218" s="23"/>
      <c r="AXL218" s="26"/>
      <c r="AXP218" s="23"/>
      <c r="AXU218" s="26"/>
      <c r="AXY218" s="23"/>
      <c r="AYD218" s="26"/>
      <c r="AYH218" s="23"/>
      <c r="AYM218" s="26"/>
      <c r="AYQ218" s="23"/>
      <c r="AYV218" s="26"/>
      <c r="AYZ218" s="23"/>
      <c r="AZE218" s="26"/>
      <c r="AZI218" s="23"/>
      <c r="AZN218" s="26"/>
      <c r="AZR218" s="23"/>
      <c r="AZW218" s="26"/>
      <c r="BAA218" s="23"/>
      <c r="BAF218" s="26"/>
      <c r="BAJ218" s="23"/>
      <c r="BAO218" s="26"/>
      <c r="BAS218" s="23"/>
      <c r="BAX218" s="26"/>
      <c r="BBB218" s="23"/>
      <c r="BBG218" s="26"/>
      <c r="BBK218" s="23"/>
      <c r="BBP218" s="26"/>
      <c r="BBT218" s="23"/>
      <c r="BBY218" s="26"/>
      <c r="BCC218" s="23"/>
      <c r="BCH218" s="26"/>
      <c r="BCL218" s="23"/>
      <c r="BCQ218" s="26"/>
      <c r="BCU218" s="23"/>
      <c r="BCZ218" s="26"/>
      <c r="BDD218" s="23"/>
      <c r="BDI218" s="26"/>
      <c r="BDM218" s="23"/>
      <c r="BDR218" s="26"/>
      <c r="BDV218" s="23"/>
      <c r="BEA218" s="26"/>
      <c r="BEE218" s="23"/>
      <c r="BEJ218" s="26"/>
      <c r="BEN218" s="23"/>
      <c r="BES218" s="26"/>
      <c r="BEW218" s="23"/>
      <c r="BFB218" s="26"/>
      <c r="BFF218" s="23"/>
      <c r="BFK218" s="26"/>
      <c r="BFO218" s="23"/>
      <c r="BFT218" s="26"/>
      <c r="BFX218" s="23"/>
      <c r="BGC218" s="26"/>
      <c r="BGG218" s="23"/>
      <c r="BGL218" s="26"/>
      <c r="BGP218" s="23"/>
      <c r="BGU218" s="26"/>
      <c r="BGY218" s="23"/>
      <c r="BHD218" s="26"/>
      <c r="BHH218" s="23"/>
      <c r="BHM218" s="26"/>
      <c r="BHQ218" s="23"/>
      <c r="BHV218" s="26"/>
      <c r="BHZ218" s="23"/>
      <c r="BIE218" s="26"/>
      <c r="BII218" s="23"/>
      <c r="BIN218" s="26"/>
      <c r="BIR218" s="23"/>
      <c r="BIW218" s="26"/>
      <c r="BJA218" s="23"/>
      <c r="BJF218" s="26"/>
      <c r="BJJ218" s="23"/>
      <c r="BJO218" s="26"/>
      <c r="BJS218" s="23"/>
      <c r="BJX218" s="26"/>
      <c r="BKB218" s="23"/>
      <c r="BKG218" s="26"/>
      <c r="BKK218" s="23"/>
      <c r="BKP218" s="26"/>
      <c r="BKT218" s="23"/>
      <c r="BKY218" s="26"/>
      <c r="BLC218" s="23"/>
      <c r="BLH218" s="26"/>
      <c r="BLL218" s="23"/>
      <c r="BLQ218" s="26"/>
      <c r="BLU218" s="23"/>
      <c r="BLZ218" s="26"/>
      <c r="BMD218" s="23"/>
      <c r="BMI218" s="26"/>
      <c r="BMM218" s="23"/>
      <c r="BMR218" s="26"/>
      <c r="BMV218" s="23"/>
      <c r="BNA218" s="26"/>
      <c r="BNE218" s="23"/>
      <c r="BNJ218" s="26"/>
      <c r="BNN218" s="23"/>
      <c r="BNS218" s="26"/>
      <c r="BNW218" s="23"/>
      <c r="BOB218" s="26"/>
      <c r="BOF218" s="23"/>
      <c r="BOK218" s="26"/>
      <c r="BOO218" s="23"/>
      <c r="BOT218" s="26"/>
      <c r="BOX218" s="23"/>
      <c r="BPC218" s="26"/>
      <c r="BPG218" s="23"/>
      <c r="BPL218" s="26"/>
      <c r="BPP218" s="23"/>
      <c r="BPU218" s="26"/>
      <c r="BPY218" s="23"/>
      <c r="BQD218" s="26"/>
      <c r="BQH218" s="23"/>
      <c r="BQM218" s="26"/>
      <c r="BQQ218" s="23"/>
      <c r="BQV218" s="26"/>
      <c r="BQZ218" s="23"/>
      <c r="BRE218" s="26"/>
      <c r="BRI218" s="23"/>
      <c r="BRN218" s="26"/>
      <c r="BRR218" s="23"/>
      <c r="BRW218" s="26"/>
      <c r="BSA218" s="23"/>
      <c r="BSF218" s="26"/>
      <c r="BSJ218" s="23"/>
      <c r="BSO218" s="26"/>
      <c r="BSS218" s="23"/>
      <c r="BSX218" s="26"/>
      <c r="BTB218" s="23"/>
      <c r="BTG218" s="26"/>
      <c r="BTK218" s="23"/>
      <c r="BTP218" s="26"/>
      <c r="BTT218" s="23"/>
      <c r="BTY218" s="26"/>
      <c r="BUC218" s="23"/>
      <c r="BUH218" s="26"/>
      <c r="BUL218" s="23"/>
      <c r="BUQ218" s="26"/>
      <c r="BUU218" s="23"/>
      <c r="BUZ218" s="26"/>
      <c r="BVD218" s="23"/>
      <c r="BVI218" s="26"/>
      <c r="BVM218" s="23"/>
      <c r="BVR218" s="26"/>
      <c r="BVV218" s="23"/>
      <c r="BWA218" s="26"/>
      <c r="BWE218" s="23"/>
      <c r="BWJ218" s="26"/>
      <c r="BWN218" s="23"/>
      <c r="BWS218" s="26"/>
      <c r="BWW218" s="23"/>
      <c r="BXB218" s="26"/>
      <c r="BXF218" s="23"/>
      <c r="BXK218" s="26"/>
      <c r="BXO218" s="23"/>
      <c r="BXT218" s="26"/>
      <c r="BXX218" s="23"/>
      <c r="BYC218" s="26"/>
      <c r="BYG218" s="23"/>
      <c r="BYL218" s="26"/>
      <c r="BYP218" s="23"/>
      <c r="BYU218" s="26"/>
      <c r="BYY218" s="23"/>
      <c r="BZD218" s="26"/>
      <c r="BZH218" s="23"/>
      <c r="BZM218" s="26"/>
      <c r="BZQ218" s="23"/>
      <c r="BZV218" s="26"/>
      <c r="BZZ218" s="23"/>
      <c r="CAE218" s="26"/>
      <c r="CAI218" s="23"/>
      <c r="CAN218" s="26"/>
      <c r="CAR218" s="23"/>
      <c r="CAW218" s="26"/>
      <c r="CBA218" s="23"/>
      <c r="CBF218" s="26"/>
      <c r="CBJ218" s="23"/>
      <c r="CBO218" s="26"/>
      <c r="CBS218" s="23"/>
      <c r="CBX218" s="26"/>
      <c r="CCB218" s="23"/>
      <c r="CCG218" s="26"/>
      <c r="CCK218" s="23"/>
      <c r="CCP218" s="26"/>
      <c r="CCT218" s="23"/>
      <c r="CCY218" s="26"/>
      <c r="CDC218" s="23"/>
      <c r="CDH218" s="26"/>
      <c r="CDL218" s="23"/>
      <c r="CDQ218" s="26"/>
      <c r="CDU218" s="23"/>
      <c r="CDZ218" s="26"/>
      <c r="CED218" s="23"/>
      <c r="CEI218" s="26"/>
      <c r="CEM218" s="23"/>
      <c r="CER218" s="26"/>
      <c r="CEV218" s="23"/>
      <c r="CFA218" s="26"/>
      <c r="CFE218" s="23"/>
      <c r="CFJ218" s="26"/>
      <c r="CFN218" s="23"/>
      <c r="CFS218" s="26"/>
      <c r="CFW218" s="23"/>
      <c r="CGB218" s="26"/>
      <c r="CGF218" s="23"/>
      <c r="CGK218" s="26"/>
      <c r="CGO218" s="23"/>
      <c r="CGT218" s="26"/>
      <c r="CGX218" s="23"/>
      <c r="CHC218" s="26"/>
      <c r="CHG218" s="23"/>
      <c r="CHL218" s="26"/>
      <c r="CHP218" s="23"/>
      <c r="CHU218" s="26"/>
      <c r="CHY218" s="23"/>
      <c r="CID218" s="26"/>
      <c r="CIH218" s="23"/>
      <c r="CIM218" s="26"/>
      <c r="CIQ218" s="23"/>
      <c r="CIV218" s="26"/>
      <c r="CIZ218" s="23"/>
      <c r="CJE218" s="26"/>
      <c r="CJI218" s="23"/>
      <c r="CJN218" s="26"/>
      <c r="CJR218" s="23"/>
      <c r="CJW218" s="26"/>
      <c r="CKA218" s="23"/>
      <c r="CKF218" s="26"/>
      <c r="CKJ218" s="23"/>
      <c r="CKO218" s="26"/>
      <c r="CKS218" s="23"/>
      <c r="CKX218" s="26"/>
      <c r="CLB218" s="23"/>
      <c r="CLG218" s="26"/>
      <c r="CLK218" s="23"/>
      <c r="CLP218" s="26"/>
      <c r="CLT218" s="23"/>
      <c r="CLY218" s="26"/>
      <c r="CMC218" s="23"/>
      <c r="CMH218" s="26"/>
      <c r="CML218" s="23"/>
      <c r="CMQ218" s="26"/>
      <c r="CMU218" s="23"/>
      <c r="CMZ218" s="26"/>
      <c r="CND218" s="23"/>
      <c r="CNI218" s="26"/>
      <c r="CNM218" s="23"/>
      <c r="CNR218" s="26"/>
      <c r="CNV218" s="23"/>
      <c r="COA218" s="26"/>
      <c r="COE218" s="23"/>
      <c r="COJ218" s="26"/>
      <c r="CON218" s="23"/>
      <c r="COS218" s="26"/>
      <c r="COW218" s="23"/>
      <c r="CPB218" s="26"/>
      <c r="CPF218" s="23"/>
      <c r="CPK218" s="26"/>
      <c r="CPO218" s="23"/>
      <c r="CPT218" s="26"/>
      <c r="CPX218" s="23"/>
      <c r="CQC218" s="26"/>
      <c r="CQG218" s="23"/>
      <c r="CQL218" s="26"/>
      <c r="CQP218" s="23"/>
      <c r="CQU218" s="26"/>
      <c r="CQY218" s="23"/>
      <c r="CRD218" s="26"/>
      <c r="CRH218" s="23"/>
      <c r="CRM218" s="26"/>
      <c r="CRQ218" s="23"/>
      <c r="CRV218" s="26"/>
      <c r="CRZ218" s="23"/>
      <c r="CSE218" s="26"/>
      <c r="CSI218" s="23"/>
      <c r="CSN218" s="26"/>
      <c r="CSR218" s="23"/>
      <c r="CSW218" s="26"/>
      <c r="CTA218" s="23"/>
      <c r="CTF218" s="26"/>
      <c r="CTJ218" s="23"/>
      <c r="CTO218" s="26"/>
      <c r="CTS218" s="23"/>
      <c r="CTX218" s="26"/>
      <c r="CUB218" s="23"/>
      <c r="CUG218" s="26"/>
      <c r="CUK218" s="23"/>
      <c r="CUP218" s="26"/>
      <c r="CUT218" s="23"/>
      <c r="CUY218" s="26"/>
      <c r="CVC218" s="23"/>
      <c r="CVH218" s="26"/>
      <c r="CVL218" s="23"/>
      <c r="CVQ218" s="26"/>
      <c r="CVU218" s="23"/>
      <c r="CVZ218" s="26"/>
      <c r="CWD218" s="23"/>
      <c r="CWI218" s="26"/>
      <c r="CWM218" s="23"/>
      <c r="CWR218" s="26"/>
      <c r="CWV218" s="23"/>
      <c r="CXA218" s="26"/>
      <c r="CXE218" s="23"/>
      <c r="CXJ218" s="26"/>
      <c r="CXN218" s="23"/>
      <c r="CXS218" s="26"/>
      <c r="CXW218" s="23"/>
      <c r="CYB218" s="26"/>
      <c r="CYF218" s="23"/>
      <c r="CYK218" s="26"/>
      <c r="CYO218" s="23"/>
      <c r="CYT218" s="26"/>
      <c r="CYX218" s="23"/>
      <c r="CZC218" s="26"/>
      <c r="CZG218" s="23"/>
      <c r="CZL218" s="26"/>
      <c r="CZP218" s="23"/>
      <c r="CZU218" s="26"/>
      <c r="CZY218" s="23"/>
      <c r="DAD218" s="26"/>
      <c r="DAH218" s="23"/>
      <c r="DAM218" s="26"/>
      <c r="DAQ218" s="23"/>
      <c r="DAV218" s="26"/>
      <c r="DAZ218" s="23"/>
      <c r="DBE218" s="26"/>
      <c r="DBI218" s="23"/>
      <c r="DBN218" s="26"/>
      <c r="DBR218" s="23"/>
      <c r="DBW218" s="26"/>
      <c r="DCA218" s="23"/>
      <c r="DCF218" s="26"/>
      <c r="DCJ218" s="23"/>
      <c r="DCO218" s="26"/>
      <c r="DCS218" s="23"/>
      <c r="DCX218" s="26"/>
      <c r="DDB218" s="23"/>
      <c r="DDG218" s="26"/>
      <c r="DDK218" s="23"/>
      <c r="DDP218" s="26"/>
      <c r="DDT218" s="23"/>
      <c r="DDY218" s="26"/>
      <c r="DEC218" s="23"/>
      <c r="DEH218" s="26"/>
      <c r="DEL218" s="23"/>
      <c r="DEQ218" s="26"/>
      <c r="DEU218" s="23"/>
      <c r="DEZ218" s="26"/>
      <c r="DFD218" s="23"/>
      <c r="DFI218" s="26"/>
      <c r="DFM218" s="23"/>
      <c r="DFR218" s="26"/>
      <c r="DFV218" s="23"/>
      <c r="DGA218" s="26"/>
      <c r="DGE218" s="23"/>
      <c r="DGJ218" s="26"/>
      <c r="DGN218" s="23"/>
      <c r="DGS218" s="26"/>
      <c r="DGW218" s="23"/>
      <c r="DHB218" s="26"/>
      <c r="DHF218" s="23"/>
      <c r="DHK218" s="26"/>
      <c r="DHO218" s="23"/>
      <c r="DHT218" s="26"/>
      <c r="DHX218" s="23"/>
      <c r="DIC218" s="26"/>
      <c r="DIG218" s="23"/>
      <c r="DIL218" s="26"/>
      <c r="DIP218" s="23"/>
      <c r="DIU218" s="26"/>
      <c r="DIY218" s="23"/>
      <c r="DJD218" s="26"/>
      <c r="DJH218" s="23"/>
      <c r="DJM218" s="26"/>
      <c r="DJQ218" s="23"/>
      <c r="DJV218" s="26"/>
      <c r="DJZ218" s="23"/>
      <c r="DKE218" s="26"/>
      <c r="DKI218" s="23"/>
      <c r="DKN218" s="26"/>
      <c r="DKR218" s="23"/>
      <c r="DKW218" s="26"/>
      <c r="DLA218" s="23"/>
      <c r="DLF218" s="26"/>
      <c r="DLJ218" s="23"/>
      <c r="DLO218" s="26"/>
      <c r="DLS218" s="23"/>
      <c r="DLX218" s="26"/>
      <c r="DMB218" s="23"/>
      <c r="DMG218" s="26"/>
      <c r="DMK218" s="23"/>
      <c r="DMP218" s="26"/>
      <c r="DMT218" s="23"/>
      <c r="DMY218" s="26"/>
      <c r="DNC218" s="23"/>
      <c r="DNH218" s="26"/>
      <c r="DNL218" s="23"/>
      <c r="DNQ218" s="26"/>
      <c r="DNU218" s="23"/>
      <c r="DNZ218" s="26"/>
      <c r="DOD218" s="23"/>
      <c r="DOI218" s="26"/>
      <c r="DOM218" s="23"/>
      <c r="DOR218" s="26"/>
      <c r="DOV218" s="23"/>
      <c r="DPA218" s="26"/>
      <c r="DPE218" s="23"/>
      <c r="DPJ218" s="26"/>
      <c r="DPN218" s="23"/>
      <c r="DPS218" s="26"/>
      <c r="DPW218" s="23"/>
      <c r="DQB218" s="26"/>
      <c r="DQF218" s="23"/>
      <c r="DQK218" s="26"/>
      <c r="DQO218" s="23"/>
      <c r="DQT218" s="26"/>
      <c r="DQX218" s="23"/>
      <c r="DRC218" s="26"/>
      <c r="DRG218" s="23"/>
      <c r="DRL218" s="26"/>
      <c r="DRP218" s="23"/>
      <c r="DRU218" s="26"/>
      <c r="DRY218" s="23"/>
      <c r="DSD218" s="26"/>
      <c r="DSH218" s="23"/>
      <c r="DSM218" s="26"/>
      <c r="DSQ218" s="23"/>
      <c r="DSV218" s="26"/>
      <c r="DSZ218" s="23"/>
      <c r="DTE218" s="26"/>
      <c r="DTI218" s="23"/>
      <c r="DTN218" s="26"/>
      <c r="DTR218" s="23"/>
      <c r="DTW218" s="26"/>
      <c r="DUA218" s="23"/>
      <c r="DUF218" s="26"/>
      <c r="DUJ218" s="23"/>
      <c r="DUO218" s="26"/>
      <c r="DUS218" s="23"/>
      <c r="DUX218" s="26"/>
      <c r="DVB218" s="23"/>
      <c r="DVG218" s="26"/>
      <c r="DVK218" s="23"/>
      <c r="DVP218" s="26"/>
      <c r="DVT218" s="23"/>
      <c r="DVY218" s="26"/>
      <c r="DWC218" s="23"/>
      <c r="DWH218" s="26"/>
      <c r="DWL218" s="23"/>
      <c r="DWQ218" s="26"/>
      <c r="DWU218" s="23"/>
      <c r="DWZ218" s="26"/>
      <c r="DXD218" s="23"/>
      <c r="DXI218" s="26"/>
      <c r="DXM218" s="23"/>
      <c r="DXR218" s="26"/>
      <c r="DXV218" s="23"/>
      <c r="DYA218" s="26"/>
      <c r="DYE218" s="23"/>
      <c r="DYJ218" s="26"/>
      <c r="DYN218" s="23"/>
      <c r="DYS218" s="26"/>
      <c r="DYW218" s="23"/>
      <c r="DZB218" s="26"/>
      <c r="DZF218" s="23"/>
      <c r="DZK218" s="26"/>
      <c r="DZO218" s="23"/>
      <c r="DZT218" s="26"/>
      <c r="DZX218" s="23"/>
      <c r="EAC218" s="26"/>
      <c r="EAG218" s="23"/>
      <c r="EAL218" s="26"/>
      <c r="EAP218" s="23"/>
      <c r="EAU218" s="26"/>
      <c r="EAY218" s="23"/>
      <c r="EBD218" s="26"/>
      <c r="EBH218" s="23"/>
      <c r="EBM218" s="26"/>
      <c r="EBQ218" s="23"/>
      <c r="EBV218" s="26"/>
      <c r="EBZ218" s="23"/>
      <c r="ECE218" s="26"/>
      <c r="ECI218" s="23"/>
      <c r="ECN218" s="26"/>
      <c r="ECR218" s="23"/>
      <c r="ECW218" s="26"/>
      <c r="EDA218" s="23"/>
      <c r="EDF218" s="26"/>
      <c r="EDJ218" s="23"/>
      <c r="EDO218" s="26"/>
      <c r="EDS218" s="23"/>
      <c r="EDX218" s="26"/>
      <c r="EEB218" s="23"/>
      <c r="EEG218" s="26"/>
      <c r="EEK218" s="23"/>
      <c r="EEP218" s="26"/>
      <c r="EET218" s="23"/>
      <c r="EEY218" s="26"/>
      <c r="EFC218" s="23"/>
      <c r="EFH218" s="26"/>
      <c r="EFL218" s="23"/>
      <c r="EFQ218" s="26"/>
      <c r="EFU218" s="23"/>
      <c r="EFZ218" s="26"/>
      <c r="EGD218" s="23"/>
      <c r="EGI218" s="26"/>
      <c r="EGM218" s="23"/>
      <c r="EGR218" s="26"/>
      <c r="EGV218" s="23"/>
      <c r="EHA218" s="26"/>
      <c r="EHE218" s="23"/>
      <c r="EHJ218" s="26"/>
      <c r="EHN218" s="23"/>
      <c r="EHS218" s="26"/>
      <c r="EHW218" s="23"/>
      <c r="EIB218" s="26"/>
      <c r="EIF218" s="23"/>
      <c r="EIK218" s="26"/>
      <c r="EIO218" s="23"/>
      <c r="EIT218" s="26"/>
      <c r="EIX218" s="23"/>
      <c r="EJC218" s="26"/>
      <c r="EJG218" s="23"/>
      <c r="EJL218" s="26"/>
      <c r="EJP218" s="23"/>
      <c r="EJU218" s="26"/>
      <c r="EJY218" s="23"/>
      <c r="EKD218" s="26"/>
      <c r="EKH218" s="23"/>
      <c r="EKM218" s="26"/>
      <c r="EKQ218" s="23"/>
      <c r="EKV218" s="26"/>
      <c r="EKZ218" s="23"/>
      <c r="ELE218" s="26"/>
      <c r="ELI218" s="23"/>
      <c r="ELN218" s="26"/>
      <c r="ELR218" s="23"/>
      <c r="ELW218" s="26"/>
      <c r="EMA218" s="23"/>
      <c r="EMF218" s="26"/>
      <c r="EMJ218" s="23"/>
      <c r="EMO218" s="26"/>
      <c r="EMS218" s="23"/>
      <c r="EMX218" s="26"/>
      <c r="ENB218" s="23"/>
      <c r="ENG218" s="26"/>
      <c r="ENK218" s="23"/>
      <c r="ENP218" s="26"/>
      <c r="ENT218" s="23"/>
      <c r="ENY218" s="26"/>
      <c r="EOC218" s="23"/>
      <c r="EOH218" s="26"/>
      <c r="EOL218" s="23"/>
      <c r="EOQ218" s="26"/>
      <c r="EOU218" s="23"/>
      <c r="EOZ218" s="26"/>
      <c r="EPD218" s="23"/>
      <c r="EPI218" s="26"/>
      <c r="EPM218" s="23"/>
      <c r="EPR218" s="26"/>
      <c r="EPV218" s="23"/>
      <c r="EQA218" s="26"/>
      <c r="EQE218" s="23"/>
      <c r="EQJ218" s="26"/>
      <c r="EQN218" s="23"/>
      <c r="EQS218" s="26"/>
      <c r="EQW218" s="23"/>
      <c r="ERB218" s="26"/>
      <c r="ERF218" s="23"/>
      <c r="ERK218" s="26"/>
      <c r="ERO218" s="23"/>
      <c r="ERT218" s="26"/>
      <c r="ERX218" s="23"/>
      <c r="ESC218" s="26"/>
      <c r="ESG218" s="23"/>
      <c r="ESL218" s="26"/>
      <c r="ESP218" s="23"/>
      <c r="ESU218" s="26"/>
      <c r="ESY218" s="23"/>
      <c r="ETD218" s="26"/>
      <c r="ETH218" s="23"/>
      <c r="ETM218" s="26"/>
      <c r="ETQ218" s="23"/>
      <c r="ETV218" s="26"/>
      <c r="ETZ218" s="23"/>
      <c r="EUE218" s="26"/>
      <c r="EUI218" s="23"/>
      <c r="EUN218" s="26"/>
      <c r="EUR218" s="23"/>
      <c r="EUW218" s="26"/>
      <c r="EVA218" s="23"/>
      <c r="EVF218" s="26"/>
      <c r="EVJ218" s="23"/>
      <c r="EVO218" s="26"/>
      <c r="EVS218" s="23"/>
      <c r="EVX218" s="26"/>
      <c r="EWB218" s="23"/>
      <c r="EWG218" s="26"/>
      <c r="EWK218" s="23"/>
      <c r="EWP218" s="26"/>
      <c r="EWT218" s="23"/>
      <c r="EWY218" s="26"/>
      <c r="EXC218" s="23"/>
      <c r="EXH218" s="26"/>
      <c r="EXL218" s="23"/>
      <c r="EXQ218" s="26"/>
      <c r="EXU218" s="23"/>
      <c r="EXZ218" s="26"/>
      <c r="EYD218" s="23"/>
      <c r="EYI218" s="26"/>
      <c r="EYM218" s="23"/>
      <c r="EYR218" s="26"/>
      <c r="EYV218" s="23"/>
      <c r="EZA218" s="26"/>
      <c r="EZE218" s="23"/>
      <c r="EZJ218" s="26"/>
      <c r="EZN218" s="23"/>
      <c r="EZS218" s="26"/>
      <c r="EZW218" s="23"/>
      <c r="FAB218" s="26"/>
      <c r="FAF218" s="23"/>
      <c r="FAK218" s="26"/>
      <c r="FAO218" s="23"/>
      <c r="FAT218" s="26"/>
      <c r="FAX218" s="23"/>
      <c r="FBC218" s="26"/>
      <c r="FBG218" s="23"/>
      <c r="FBL218" s="26"/>
      <c r="FBP218" s="23"/>
      <c r="FBU218" s="26"/>
      <c r="FBY218" s="23"/>
      <c r="FCD218" s="26"/>
      <c r="FCH218" s="23"/>
      <c r="FCM218" s="26"/>
      <c r="FCQ218" s="23"/>
      <c r="FCV218" s="26"/>
      <c r="FCZ218" s="23"/>
      <c r="FDE218" s="26"/>
      <c r="FDI218" s="23"/>
      <c r="FDN218" s="26"/>
      <c r="FDR218" s="23"/>
      <c r="FDW218" s="26"/>
      <c r="FEA218" s="23"/>
      <c r="FEF218" s="26"/>
      <c r="FEJ218" s="23"/>
      <c r="FEO218" s="26"/>
      <c r="FES218" s="23"/>
      <c r="FEX218" s="26"/>
      <c r="FFB218" s="23"/>
      <c r="FFG218" s="26"/>
      <c r="FFK218" s="23"/>
      <c r="FFP218" s="26"/>
      <c r="FFT218" s="23"/>
      <c r="FFY218" s="26"/>
      <c r="FGC218" s="23"/>
      <c r="FGH218" s="26"/>
      <c r="FGL218" s="23"/>
      <c r="FGQ218" s="26"/>
      <c r="FGU218" s="23"/>
      <c r="FGZ218" s="26"/>
      <c r="FHD218" s="23"/>
      <c r="FHI218" s="26"/>
      <c r="FHM218" s="23"/>
      <c r="FHR218" s="26"/>
      <c r="FHV218" s="23"/>
      <c r="FIA218" s="26"/>
      <c r="FIE218" s="23"/>
      <c r="FIJ218" s="26"/>
      <c r="FIN218" s="23"/>
      <c r="FIS218" s="26"/>
      <c r="FIW218" s="23"/>
      <c r="FJB218" s="26"/>
      <c r="FJF218" s="23"/>
      <c r="FJK218" s="26"/>
      <c r="FJO218" s="23"/>
      <c r="FJT218" s="26"/>
      <c r="FJX218" s="23"/>
      <c r="FKC218" s="26"/>
      <c r="FKG218" s="23"/>
      <c r="FKL218" s="26"/>
      <c r="FKP218" s="23"/>
      <c r="FKU218" s="26"/>
      <c r="FKY218" s="23"/>
      <c r="FLD218" s="26"/>
      <c r="FLH218" s="23"/>
      <c r="FLM218" s="26"/>
      <c r="FLQ218" s="23"/>
      <c r="FLV218" s="26"/>
      <c r="FLZ218" s="23"/>
      <c r="FME218" s="26"/>
      <c r="FMI218" s="23"/>
      <c r="FMN218" s="26"/>
      <c r="FMR218" s="23"/>
      <c r="FMW218" s="26"/>
      <c r="FNA218" s="23"/>
      <c r="FNF218" s="26"/>
      <c r="FNJ218" s="23"/>
      <c r="FNO218" s="26"/>
      <c r="FNS218" s="23"/>
      <c r="FNX218" s="26"/>
      <c r="FOB218" s="23"/>
      <c r="FOG218" s="26"/>
      <c r="FOK218" s="23"/>
      <c r="FOP218" s="26"/>
      <c r="FOT218" s="23"/>
      <c r="FOY218" s="26"/>
      <c r="FPC218" s="23"/>
      <c r="FPH218" s="26"/>
      <c r="FPL218" s="23"/>
      <c r="FPQ218" s="26"/>
      <c r="FPU218" s="23"/>
      <c r="FPZ218" s="26"/>
      <c r="FQD218" s="23"/>
      <c r="FQI218" s="26"/>
      <c r="FQM218" s="23"/>
      <c r="FQR218" s="26"/>
      <c r="FQV218" s="23"/>
      <c r="FRA218" s="26"/>
      <c r="FRE218" s="23"/>
      <c r="FRJ218" s="26"/>
      <c r="FRN218" s="23"/>
      <c r="FRS218" s="26"/>
      <c r="FRW218" s="23"/>
      <c r="FSB218" s="26"/>
      <c r="FSF218" s="23"/>
      <c r="FSK218" s="26"/>
      <c r="FSO218" s="23"/>
      <c r="FST218" s="26"/>
      <c r="FSX218" s="23"/>
      <c r="FTC218" s="26"/>
      <c r="FTG218" s="23"/>
      <c r="FTL218" s="26"/>
      <c r="FTP218" s="23"/>
      <c r="FTU218" s="26"/>
      <c r="FTY218" s="23"/>
      <c r="FUD218" s="26"/>
      <c r="FUH218" s="23"/>
      <c r="FUM218" s="26"/>
      <c r="FUQ218" s="23"/>
      <c r="FUV218" s="26"/>
      <c r="FUZ218" s="23"/>
      <c r="FVE218" s="26"/>
      <c r="FVI218" s="23"/>
      <c r="FVN218" s="26"/>
      <c r="FVR218" s="23"/>
      <c r="FVW218" s="26"/>
      <c r="FWA218" s="23"/>
      <c r="FWF218" s="26"/>
      <c r="FWJ218" s="23"/>
      <c r="FWO218" s="26"/>
      <c r="FWS218" s="23"/>
      <c r="FWX218" s="26"/>
      <c r="FXB218" s="23"/>
      <c r="FXG218" s="26"/>
      <c r="FXK218" s="23"/>
      <c r="FXP218" s="26"/>
      <c r="FXT218" s="23"/>
      <c r="FXY218" s="26"/>
      <c r="FYC218" s="23"/>
      <c r="FYH218" s="26"/>
      <c r="FYL218" s="23"/>
      <c r="FYQ218" s="26"/>
      <c r="FYU218" s="23"/>
      <c r="FYZ218" s="26"/>
      <c r="FZD218" s="23"/>
      <c r="FZI218" s="26"/>
      <c r="FZM218" s="23"/>
      <c r="FZR218" s="26"/>
      <c r="FZV218" s="23"/>
      <c r="GAA218" s="26"/>
      <c r="GAE218" s="23"/>
      <c r="GAJ218" s="26"/>
      <c r="GAN218" s="23"/>
      <c r="GAS218" s="26"/>
      <c r="GAW218" s="23"/>
      <c r="GBB218" s="26"/>
      <c r="GBF218" s="23"/>
      <c r="GBK218" s="26"/>
      <c r="GBO218" s="23"/>
      <c r="GBT218" s="26"/>
      <c r="GBX218" s="23"/>
      <c r="GCC218" s="26"/>
      <c r="GCG218" s="23"/>
      <c r="GCL218" s="26"/>
      <c r="GCP218" s="23"/>
      <c r="GCU218" s="26"/>
      <c r="GCY218" s="23"/>
      <c r="GDD218" s="26"/>
      <c r="GDH218" s="23"/>
      <c r="GDM218" s="26"/>
      <c r="GDQ218" s="23"/>
      <c r="GDV218" s="26"/>
      <c r="GDZ218" s="23"/>
      <c r="GEE218" s="26"/>
      <c r="GEI218" s="23"/>
      <c r="GEN218" s="26"/>
      <c r="GER218" s="23"/>
      <c r="GEW218" s="26"/>
      <c r="GFA218" s="23"/>
      <c r="GFF218" s="26"/>
      <c r="GFJ218" s="23"/>
      <c r="GFO218" s="26"/>
      <c r="GFS218" s="23"/>
      <c r="GFX218" s="26"/>
      <c r="GGB218" s="23"/>
      <c r="GGG218" s="26"/>
      <c r="GGK218" s="23"/>
      <c r="GGP218" s="26"/>
      <c r="GGT218" s="23"/>
      <c r="GGY218" s="26"/>
      <c r="GHC218" s="23"/>
      <c r="GHH218" s="26"/>
      <c r="GHL218" s="23"/>
      <c r="GHQ218" s="26"/>
      <c r="GHU218" s="23"/>
      <c r="GHZ218" s="26"/>
      <c r="GID218" s="23"/>
      <c r="GII218" s="26"/>
      <c r="GIM218" s="23"/>
      <c r="GIR218" s="26"/>
      <c r="GIV218" s="23"/>
      <c r="GJA218" s="26"/>
      <c r="GJE218" s="23"/>
      <c r="GJJ218" s="26"/>
      <c r="GJN218" s="23"/>
      <c r="GJS218" s="26"/>
      <c r="GJW218" s="23"/>
      <c r="GKB218" s="26"/>
      <c r="GKF218" s="23"/>
      <c r="GKK218" s="26"/>
      <c r="GKO218" s="23"/>
      <c r="GKT218" s="26"/>
      <c r="GKX218" s="23"/>
      <c r="GLC218" s="26"/>
      <c r="GLG218" s="23"/>
      <c r="GLL218" s="26"/>
      <c r="GLP218" s="23"/>
      <c r="GLU218" s="26"/>
      <c r="GLY218" s="23"/>
      <c r="GMD218" s="26"/>
      <c r="GMH218" s="23"/>
      <c r="GMM218" s="26"/>
      <c r="GMQ218" s="23"/>
      <c r="GMV218" s="26"/>
      <c r="GMZ218" s="23"/>
      <c r="GNE218" s="26"/>
      <c r="GNI218" s="23"/>
      <c r="GNN218" s="26"/>
      <c r="GNR218" s="23"/>
      <c r="GNW218" s="26"/>
      <c r="GOA218" s="23"/>
      <c r="GOF218" s="26"/>
      <c r="GOJ218" s="23"/>
      <c r="GOO218" s="26"/>
      <c r="GOS218" s="23"/>
      <c r="GOX218" s="26"/>
      <c r="GPB218" s="23"/>
      <c r="GPG218" s="26"/>
      <c r="GPK218" s="23"/>
      <c r="GPP218" s="26"/>
      <c r="GPT218" s="23"/>
      <c r="GPY218" s="26"/>
      <c r="GQC218" s="23"/>
      <c r="GQH218" s="26"/>
      <c r="GQL218" s="23"/>
      <c r="GQQ218" s="26"/>
      <c r="GQU218" s="23"/>
      <c r="GQZ218" s="26"/>
      <c r="GRD218" s="23"/>
      <c r="GRI218" s="26"/>
      <c r="GRM218" s="23"/>
      <c r="GRR218" s="26"/>
      <c r="GRV218" s="23"/>
      <c r="GSA218" s="26"/>
      <c r="GSE218" s="23"/>
      <c r="GSJ218" s="26"/>
      <c r="GSN218" s="23"/>
      <c r="GSS218" s="26"/>
      <c r="GSW218" s="23"/>
      <c r="GTB218" s="26"/>
      <c r="GTF218" s="23"/>
      <c r="GTK218" s="26"/>
      <c r="GTO218" s="23"/>
      <c r="GTT218" s="26"/>
      <c r="GTX218" s="23"/>
      <c r="GUC218" s="26"/>
      <c r="GUG218" s="23"/>
      <c r="GUL218" s="26"/>
      <c r="GUP218" s="23"/>
      <c r="GUU218" s="26"/>
      <c r="GUY218" s="23"/>
      <c r="GVD218" s="26"/>
      <c r="GVH218" s="23"/>
      <c r="GVM218" s="26"/>
      <c r="GVQ218" s="23"/>
      <c r="GVV218" s="26"/>
      <c r="GVZ218" s="23"/>
      <c r="GWE218" s="26"/>
      <c r="GWI218" s="23"/>
      <c r="GWN218" s="26"/>
      <c r="GWR218" s="23"/>
      <c r="GWW218" s="26"/>
      <c r="GXA218" s="23"/>
      <c r="GXF218" s="26"/>
      <c r="GXJ218" s="23"/>
      <c r="GXO218" s="26"/>
      <c r="GXS218" s="23"/>
      <c r="GXX218" s="26"/>
      <c r="GYB218" s="23"/>
      <c r="GYG218" s="26"/>
      <c r="GYK218" s="23"/>
      <c r="GYP218" s="26"/>
      <c r="GYT218" s="23"/>
      <c r="GYY218" s="26"/>
      <c r="GZC218" s="23"/>
      <c r="GZH218" s="26"/>
      <c r="GZL218" s="23"/>
      <c r="GZQ218" s="26"/>
      <c r="GZU218" s="23"/>
      <c r="GZZ218" s="26"/>
      <c r="HAD218" s="23"/>
      <c r="HAI218" s="26"/>
      <c r="HAM218" s="23"/>
      <c r="HAR218" s="26"/>
      <c r="HAV218" s="23"/>
      <c r="HBA218" s="26"/>
      <c r="HBE218" s="23"/>
      <c r="HBJ218" s="26"/>
      <c r="HBN218" s="23"/>
      <c r="HBS218" s="26"/>
      <c r="HBW218" s="23"/>
      <c r="HCB218" s="26"/>
      <c r="HCF218" s="23"/>
      <c r="HCK218" s="26"/>
      <c r="HCO218" s="23"/>
      <c r="HCT218" s="26"/>
      <c r="HCX218" s="23"/>
      <c r="HDC218" s="26"/>
      <c r="HDG218" s="23"/>
      <c r="HDL218" s="26"/>
      <c r="HDP218" s="23"/>
      <c r="HDU218" s="26"/>
      <c r="HDY218" s="23"/>
      <c r="HED218" s="26"/>
      <c r="HEH218" s="23"/>
      <c r="HEM218" s="26"/>
      <c r="HEQ218" s="23"/>
      <c r="HEV218" s="26"/>
      <c r="HEZ218" s="23"/>
      <c r="HFE218" s="26"/>
      <c r="HFI218" s="23"/>
      <c r="HFN218" s="26"/>
      <c r="HFR218" s="23"/>
      <c r="HFW218" s="26"/>
      <c r="HGA218" s="23"/>
      <c r="HGF218" s="26"/>
      <c r="HGJ218" s="23"/>
      <c r="HGO218" s="26"/>
      <c r="HGS218" s="23"/>
      <c r="HGX218" s="26"/>
      <c r="HHB218" s="23"/>
      <c r="HHG218" s="26"/>
      <c r="HHK218" s="23"/>
      <c r="HHP218" s="26"/>
      <c r="HHT218" s="23"/>
      <c r="HHY218" s="26"/>
      <c r="HIC218" s="23"/>
      <c r="HIH218" s="26"/>
      <c r="HIL218" s="23"/>
      <c r="HIQ218" s="26"/>
      <c r="HIU218" s="23"/>
      <c r="HIZ218" s="26"/>
      <c r="HJD218" s="23"/>
      <c r="HJI218" s="26"/>
      <c r="HJM218" s="23"/>
      <c r="HJR218" s="26"/>
      <c r="HJV218" s="23"/>
      <c r="HKA218" s="26"/>
      <c r="HKE218" s="23"/>
      <c r="HKJ218" s="26"/>
      <c r="HKN218" s="23"/>
      <c r="HKS218" s="26"/>
      <c r="HKW218" s="23"/>
      <c r="HLB218" s="26"/>
      <c r="HLF218" s="23"/>
      <c r="HLK218" s="26"/>
      <c r="HLO218" s="23"/>
      <c r="HLT218" s="26"/>
      <c r="HLX218" s="23"/>
      <c r="HMC218" s="26"/>
      <c r="HMG218" s="23"/>
      <c r="HML218" s="26"/>
      <c r="HMP218" s="23"/>
      <c r="HMU218" s="26"/>
      <c r="HMY218" s="23"/>
      <c r="HND218" s="26"/>
      <c r="HNH218" s="23"/>
      <c r="HNM218" s="26"/>
      <c r="HNQ218" s="23"/>
      <c r="HNV218" s="26"/>
      <c r="HNZ218" s="23"/>
      <c r="HOE218" s="26"/>
      <c r="HOI218" s="23"/>
      <c r="HON218" s="26"/>
      <c r="HOR218" s="23"/>
      <c r="HOW218" s="26"/>
      <c r="HPA218" s="23"/>
      <c r="HPF218" s="26"/>
      <c r="HPJ218" s="23"/>
      <c r="HPO218" s="26"/>
      <c r="HPS218" s="23"/>
      <c r="HPX218" s="26"/>
      <c r="HQB218" s="23"/>
      <c r="HQG218" s="26"/>
      <c r="HQK218" s="23"/>
      <c r="HQP218" s="26"/>
      <c r="HQT218" s="23"/>
      <c r="HQY218" s="26"/>
      <c r="HRC218" s="23"/>
      <c r="HRH218" s="26"/>
      <c r="HRL218" s="23"/>
      <c r="HRQ218" s="26"/>
      <c r="HRU218" s="23"/>
      <c r="HRZ218" s="26"/>
      <c r="HSD218" s="23"/>
      <c r="HSI218" s="26"/>
      <c r="HSM218" s="23"/>
      <c r="HSR218" s="26"/>
      <c r="HSV218" s="23"/>
      <c r="HTA218" s="26"/>
      <c r="HTE218" s="23"/>
      <c r="HTJ218" s="26"/>
      <c r="HTN218" s="23"/>
      <c r="HTS218" s="26"/>
      <c r="HTW218" s="23"/>
      <c r="HUB218" s="26"/>
      <c r="HUF218" s="23"/>
      <c r="HUK218" s="26"/>
      <c r="HUO218" s="23"/>
      <c r="HUT218" s="26"/>
      <c r="HUX218" s="23"/>
      <c r="HVC218" s="26"/>
      <c r="HVG218" s="23"/>
      <c r="HVL218" s="26"/>
      <c r="HVP218" s="23"/>
      <c r="HVU218" s="26"/>
      <c r="HVY218" s="23"/>
      <c r="HWD218" s="26"/>
      <c r="HWH218" s="23"/>
      <c r="HWM218" s="26"/>
      <c r="HWQ218" s="23"/>
      <c r="HWV218" s="26"/>
      <c r="HWZ218" s="23"/>
      <c r="HXE218" s="26"/>
      <c r="HXI218" s="23"/>
      <c r="HXN218" s="26"/>
      <c r="HXR218" s="23"/>
      <c r="HXW218" s="26"/>
      <c r="HYA218" s="23"/>
      <c r="HYF218" s="26"/>
      <c r="HYJ218" s="23"/>
      <c r="HYO218" s="26"/>
      <c r="HYS218" s="23"/>
      <c r="HYX218" s="26"/>
      <c r="HZB218" s="23"/>
      <c r="HZG218" s="26"/>
      <c r="HZK218" s="23"/>
      <c r="HZP218" s="26"/>
      <c r="HZT218" s="23"/>
      <c r="HZY218" s="26"/>
      <c r="IAC218" s="23"/>
      <c r="IAH218" s="26"/>
      <c r="IAL218" s="23"/>
      <c r="IAQ218" s="26"/>
      <c r="IAU218" s="23"/>
      <c r="IAZ218" s="26"/>
      <c r="IBD218" s="23"/>
      <c r="IBI218" s="26"/>
      <c r="IBM218" s="23"/>
      <c r="IBR218" s="26"/>
      <c r="IBV218" s="23"/>
      <c r="ICA218" s="26"/>
      <c r="ICE218" s="23"/>
      <c r="ICJ218" s="26"/>
      <c r="ICN218" s="23"/>
      <c r="ICS218" s="26"/>
      <c r="ICW218" s="23"/>
      <c r="IDB218" s="26"/>
      <c r="IDF218" s="23"/>
      <c r="IDK218" s="26"/>
      <c r="IDO218" s="23"/>
      <c r="IDT218" s="26"/>
      <c r="IDX218" s="23"/>
      <c r="IEC218" s="26"/>
      <c r="IEG218" s="23"/>
      <c r="IEL218" s="26"/>
      <c r="IEP218" s="23"/>
      <c r="IEU218" s="26"/>
      <c r="IEY218" s="23"/>
      <c r="IFD218" s="26"/>
      <c r="IFH218" s="23"/>
      <c r="IFM218" s="26"/>
      <c r="IFQ218" s="23"/>
      <c r="IFV218" s="26"/>
      <c r="IFZ218" s="23"/>
      <c r="IGE218" s="26"/>
      <c r="IGI218" s="23"/>
      <c r="IGN218" s="26"/>
      <c r="IGR218" s="23"/>
      <c r="IGW218" s="26"/>
      <c r="IHA218" s="23"/>
      <c r="IHF218" s="26"/>
      <c r="IHJ218" s="23"/>
      <c r="IHO218" s="26"/>
      <c r="IHS218" s="23"/>
      <c r="IHX218" s="26"/>
      <c r="IIB218" s="23"/>
      <c r="IIG218" s="26"/>
      <c r="IIK218" s="23"/>
      <c r="IIP218" s="26"/>
      <c r="IIT218" s="23"/>
      <c r="IIY218" s="26"/>
      <c r="IJC218" s="23"/>
      <c r="IJH218" s="26"/>
      <c r="IJL218" s="23"/>
      <c r="IJQ218" s="26"/>
      <c r="IJU218" s="23"/>
      <c r="IJZ218" s="26"/>
      <c r="IKD218" s="23"/>
      <c r="IKI218" s="26"/>
      <c r="IKM218" s="23"/>
      <c r="IKR218" s="26"/>
      <c r="IKV218" s="23"/>
      <c r="ILA218" s="26"/>
      <c r="ILE218" s="23"/>
      <c r="ILJ218" s="26"/>
      <c r="ILN218" s="23"/>
      <c r="ILS218" s="26"/>
      <c r="ILW218" s="23"/>
      <c r="IMB218" s="26"/>
      <c r="IMF218" s="23"/>
      <c r="IMK218" s="26"/>
      <c r="IMO218" s="23"/>
      <c r="IMT218" s="26"/>
      <c r="IMX218" s="23"/>
      <c r="INC218" s="26"/>
      <c r="ING218" s="23"/>
      <c r="INL218" s="26"/>
      <c r="INP218" s="23"/>
      <c r="INU218" s="26"/>
      <c r="INY218" s="23"/>
      <c r="IOD218" s="26"/>
      <c r="IOH218" s="23"/>
      <c r="IOM218" s="26"/>
      <c r="IOQ218" s="23"/>
      <c r="IOV218" s="26"/>
      <c r="IOZ218" s="23"/>
      <c r="IPE218" s="26"/>
      <c r="IPI218" s="23"/>
      <c r="IPN218" s="26"/>
      <c r="IPR218" s="23"/>
      <c r="IPW218" s="26"/>
      <c r="IQA218" s="23"/>
      <c r="IQF218" s="26"/>
      <c r="IQJ218" s="23"/>
      <c r="IQO218" s="26"/>
      <c r="IQS218" s="23"/>
      <c r="IQX218" s="26"/>
      <c r="IRB218" s="23"/>
      <c r="IRG218" s="26"/>
      <c r="IRK218" s="23"/>
      <c r="IRP218" s="26"/>
      <c r="IRT218" s="23"/>
      <c r="IRY218" s="26"/>
      <c r="ISC218" s="23"/>
      <c r="ISH218" s="26"/>
      <c r="ISL218" s="23"/>
      <c r="ISQ218" s="26"/>
      <c r="ISU218" s="23"/>
      <c r="ISZ218" s="26"/>
      <c r="ITD218" s="23"/>
      <c r="ITI218" s="26"/>
      <c r="ITM218" s="23"/>
      <c r="ITR218" s="26"/>
      <c r="ITV218" s="23"/>
      <c r="IUA218" s="26"/>
      <c r="IUE218" s="23"/>
      <c r="IUJ218" s="26"/>
      <c r="IUN218" s="23"/>
      <c r="IUS218" s="26"/>
      <c r="IUW218" s="23"/>
      <c r="IVB218" s="26"/>
      <c r="IVF218" s="23"/>
      <c r="IVK218" s="26"/>
      <c r="IVO218" s="23"/>
      <c r="IVT218" s="26"/>
      <c r="IVX218" s="23"/>
      <c r="IWC218" s="26"/>
      <c r="IWG218" s="23"/>
      <c r="IWL218" s="26"/>
      <c r="IWP218" s="23"/>
      <c r="IWU218" s="26"/>
      <c r="IWY218" s="23"/>
      <c r="IXD218" s="26"/>
      <c r="IXH218" s="23"/>
      <c r="IXM218" s="26"/>
      <c r="IXQ218" s="23"/>
      <c r="IXV218" s="26"/>
      <c r="IXZ218" s="23"/>
      <c r="IYE218" s="26"/>
      <c r="IYI218" s="23"/>
      <c r="IYN218" s="26"/>
      <c r="IYR218" s="23"/>
      <c r="IYW218" s="26"/>
      <c r="IZA218" s="23"/>
      <c r="IZF218" s="26"/>
      <c r="IZJ218" s="23"/>
      <c r="IZO218" s="26"/>
      <c r="IZS218" s="23"/>
      <c r="IZX218" s="26"/>
      <c r="JAB218" s="23"/>
      <c r="JAG218" s="26"/>
      <c r="JAK218" s="23"/>
      <c r="JAP218" s="26"/>
      <c r="JAT218" s="23"/>
      <c r="JAY218" s="26"/>
      <c r="JBC218" s="23"/>
      <c r="JBH218" s="26"/>
      <c r="JBL218" s="23"/>
      <c r="JBQ218" s="26"/>
      <c r="JBU218" s="23"/>
      <c r="JBZ218" s="26"/>
      <c r="JCD218" s="23"/>
      <c r="JCI218" s="26"/>
      <c r="JCM218" s="23"/>
      <c r="JCR218" s="26"/>
      <c r="JCV218" s="23"/>
      <c r="JDA218" s="26"/>
      <c r="JDE218" s="23"/>
      <c r="JDJ218" s="26"/>
      <c r="JDN218" s="23"/>
      <c r="JDS218" s="26"/>
      <c r="JDW218" s="23"/>
      <c r="JEB218" s="26"/>
      <c r="JEF218" s="23"/>
      <c r="JEK218" s="26"/>
      <c r="JEO218" s="23"/>
      <c r="JET218" s="26"/>
      <c r="JEX218" s="23"/>
      <c r="JFC218" s="26"/>
      <c r="JFG218" s="23"/>
      <c r="JFL218" s="26"/>
      <c r="JFP218" s="23"/>
      <c r="JFU218" s="26"/>
      <c r="JFY218" s="23"/>
      <c r="JGD218" s="26"/>
      <c r="JGH218" s="23"/>
      <c r="JGM218" s="26"/>
      <c r="JGQ218" s="23"/>
      <c r="JGV218" s="26"/>
      <c r="JGZ218" s="23"/>
      <c r="JHE218" s="26"/>
      <c r="JHI218" s="23"/>
      <c r="JHN218" s="26"/>
      <c r="JHR218" s="23"/>
      <c r="JHW218" s="26"/>
      <c r="JIA218" s="23"/>
      <c r="JIF218" s="26"/>
      <c r="JIJ218" s="23"/>
      <c r="JIO218" s="26"/>
      <c r="JIS218" s="23"/>
      <c r="JIX218" s="26"/>
      <c r="JJB218" s="23"/>
      <c r="JJG218" s="26"/>
      <c r="JJK218" s="23"/>
      <c r="JJP218" s="26"/>
      <c r="JJT218" s="23"/>
      <c r="JJY218" s="26"/>
      <c r="JKC218" s="23"/>
      <c r="JKH218" s="26"/>
      <c r="JKL218" s="23"/>
      <c r="JKQ218" s="26"/>
      <c r="JKU218" s="23"/>
      <c r="JKZ218" s="26"/>
      <c r="JLD218" s="23"/>
      <c r="JLI218" s="26"/>
      <c r="JLM218" s="23"/>
      <c r="JLR218" s="26"/>
      <c r="JLV218" s="23"/>
      <c r="JMA218" s="26"/>
      <c r="JME218" s="23"/>
      <c r="JMJ218" s="26"/>
      <c r="JMN218" s="23"/>
      <c r="JMS218" s="26"/>
      <c r="JMW218" s="23"/>
      <c r="JNB218" s="26"/>
      <c r="JNF218" s="23"/>
      <c r="JNK218" s="26"/>
      <c r="JNO218" s="23"/>
      <c r="JNT218" s="26"/>
      <c r="JNX218" s="23"/>
      <c r="JOC218" s="26"/>
      <c r="JOG218" s="23"/>
      <c r="JOL218" s="26"/>
      <c r="JOP218" s="23"/>
      <c r="JOU218" s="26"/>
      <c r="JOY218" s="23"/>
      <c r="JPD218" s="26"/>
      <c r="JPH218" s="23"/>
      <c r="JPM218" s="26"/>
      <c r="JPQ218" s="23"/>
      <c r="JPV218" s="26"/>
      <c r="JPZ218" s="23"/>
      <c r="JQE218" s="26"/>
      <c r="JQI218" s="23"/>
      <c r="JQN218" s="26"/>
      <c r="JQR218" s="23"/>
      <c r="JQW218" s="26"/>
      <c r="JRA218" s="23"/>
      <c r="JRF218" s="26"/>
      <c r="JRJ218" s="23"/>
      <c r="JRO218" s="26"/>
      <c r="JRS218" s="23"/>
      <c r="JRX218" s="26"/>
      <c r="JSB218" s="23"/>
      <c r="JSG218" s="26"/>
      <c r="JSK218" s="23"/>
      <c r="JSP218" s="26"/>
      <c r="JST218" s="23"/>
      <c r="JSY218" s="26"/>
      <c r="JTC218" s="23"/>
      <c r="JTH218" s="26"/>
      <c r="JTL218" s="23"/>
      <c r="JTQ218" s="26"/>
      <c r="JTU218" s="23"/>
      <c r="JTZ218" s="26"/>
      <c r="JUD218" s="23"/>
      <c r="JUI218" s="26"/>
      <c r="JUM218" s="23"/>
      <c r="JUR218" s="26"/>
      <c r="JUV218" s="23"/>
      <c r="JVA218" s="26"/>
      <c r="JVE218" s="23"/>
      <c r="JVJ218" s="26"/>
      <c r="JVN218" s="23"/>
      <c r="JVS218" s="26"/>
      <c r="JVW218" s="23"/>
      <c r="JWB218" s="26"/>
      <c r="JWF218" s="23"/>
      <c r="JWK218" s="26"/>
      <c r="JWO218" s="23"/>
      <c r="JWT218" s="26"/>
      <c r="JWX218" s="23"/>
      <c r="JXC218" s="26"/>
      <c r="JXG218" s="23"/>
      <c r="JXL218" s="26"/>
      <c r="JXP218" s="23"/>
      <c r="JXU218" s="26"/>
      <c r="JXY218" s="23"/>
      <c r="JYD218" s="26"/>
      <c r="JYH218" s="23"/>
      <c r="JYM218" s="26"/>
      <c r="JYQ218" s="23"/>
      <c r="JYV218" s="26"/>
      <c r="JYZ218" s="23"/>
      <c r="JZE218" s="26"/>
      <c r="JZI218" s="23"/>
      <c r="JZN218" s="26"/>
      <c r="JZR218" s="23"/>
      <c r="JZW218" s="26"/>
      <c r="KAA218" s="23"/>
      <c r="KAF218" s="26"/>
      <c r="KAJ218" s="23"/>
      <c r="KAO218" s="26"/>
      <c r="KAS218" s="23"/>
      <c r="KAX218" s="26"/>
      <c r="KBB218" s="23"/>
      <c r="KBG218" s="26"/>
      <c r="KBK218" s="23"/>
      <c r="KBP218" s="26"/>
      <c r="KBT218" s="23"/>
      <c r="KBY218" s="26"/>
      <c r="KCC218" s="23"/>
      <c r="KCH218" s="26"/>
      <c r="KCL218" s="23"/>
      <c r="KCQ218" s="26"/>
      <c r="KCU218" s="23"/>
      <c r="KCZ218" s="26"/>
      <c r="KDD218" s="23"/>
      <c r="KDI218" s="26"/>
      <c r="KDM218" s="23"/>
      <c r="KDR218" s="26"/>
      <c r="KDV218" s="23"/>
      <c r="KEA218" s="26"/>
      <c r="KEE218" s="23"/>
      <c r="KEJ218" s="26"/>
      <c r="KEN218" s="23"/>
      <c r="KES218" s="26"/>
      <c r="KEW218" s="23"/>
      <c r="KFB218" s="26"/>
      <c r="KFF218" s="23"/>
      <c r="KFK218" s="26"/>
      <c r="KFO218" s="23"/>
      <c r="KFT218" s="26"/>
      <c r="KFX218" s="23"/>
      <c r="KGC218" s="26"/>
      <c r="KGG218" s="23"/>
      <c r="KGL218" s="26"/>
      <c r="KGP218" s="23"/>
      <c r="KGU218" s="26"/>
      <c r="KGY218" s="23"/>
      <c r="KHD218" s="26"/>
      <c r="KHH218" s="23"/>
      <c r="KHM218" s="26"/>
      <c r="KHQ218" s="23"/>
      <c r="KHV218" s="26"/>
      <c r="KHZ218" s="23"/>
      <c r="KIE218" s="26"/>
      <c r="KII218" s="23"/>
      <c r="KIN218" s="26"/>
      <c r="KIR218" s="23"/>
      <c r="KIW218" s="26"/>
      <c r="KJA218" s="23"/>
      <c r="KJF218" s="26"/>
      <c r="KJJ218" s="23"/>
      <c r="KJO218" s="26"/>
      <c r="KJS218" s="23"/>
      <c r="KJX218" s="26"/>
      <c r="KKB218" s="23"/>
      <c r="KKG218" s="26"/>
      <c r="KKK218" s="23"/>
      <c r="KKP218" s="26"/>
      <c r="KKT218" s="23"/>
      <c r="KKY218" s="26"/>
      <c r="KLC218" s="23"/>
      <c r="KLH218" s="26"/>
      <c r="KLL218" s="23"/>
      <c r="KLQ218" s="26"/>
      <c r="KLU218" s="23"/>
      <c r="KLZ218" s="26"/>
      <c r="KMD218" s="23"/>
      <c r="KMI218" s="26"/>
      <c r="KMM218" s="23"/>
      <c r="KMR218" s="26"/>
      <c r="KMV218" s="23"/>
      <c r="KNA218" s="26"/>
      <c r="KNE218" s="23"/>
      <c r="KNJ218" s="26"/>
      <c r="KNN218" s="23"/>
      <c r="KNS218" s="26"/>
      <c r="KNW218" s="23"/>
      <c r="KOB218" s="26"/>
      <c r="KOF218" s="23"/>
      <c r="KOK218" s="26"/>
      <c r="KOO218" s="23"/>
      <c r="KOT218" s="26"/>
      <c r="KOX218" s="23"/>
      <c r="KPC218" s="26"/>
      <c r="KPG218" s="23"/>
      <c r="KPL218" s="26"/>
      <c r="KPP218" s="23"/>
      <c r="KPU218" s="26"/>
      <c r="KPY218" s="23"/>
      <c r="KQD218" s="26"/>
      <c r="KQH218" s="23"/>
      <c r="KQM218" s="26"/>
      <c r="KQQ218" s="23"/>
      <c r="KQV218" s="26"/>
      <c r="KQZ218" s="23"/>
      <c r="KRE218" s="26"/>
      <c r="KRI218" s="23"/>
      <c r="KRN218" s="26"/>
      <c r="KRR218" s="23"/>
      <c r="KRW218" s="26"/>
      <c r="KSA218" s="23"/>
      <c r="KSF218" s="26"/>
      <c r="KSJ218" s="23"/>
      <c r="KSO218" s="26"/>
      <c r="KSS218" s="23"/>
      <c r="KSX218" s="26"/>
      <c r="KTB218" s="23"/>
      <c r="KTG218" s="26"/>
      <c r="KTK218" s="23"/>
      <c r="KTP218" s="26"/>
      <c r="KTT218" s="23"/>
      <c r="KTY218" s="26"/>
      <c r="KUC218" s="23"/>
      <c r="KUH218" s="26"/>
      <c r="KUL218" s="23"/>
      <c r="KUQ218" s="26"/>
      <c r="KUU218" s="23"/>
      <c r="KUZ218" s="26"/>
      <c r="KVD218" s="23"/>
      <c r="KVI218" s="26"/>
      <c r="KVM218" s="23"/>
      <c r="KVR218" s="26"/>
      <c r="KVV218" s="23"/>
      <c r="KWA218" s="26"/>
      <c r="KWE218" s="23"/>
      <c r="KWJ218" s="26"/>
      <c r="KWN218" s="23"/>
      <c r="KWS218" s="26"/>
      <c r="KWW218" s="23"/>
      <c r="KXB218" s="26"/>
      <c r="KXF218" s="23"/>
      <c r="KXK218" s="26"/>
      <c r="KXO218" s="23"/>
      <c r="KXT218" s="26"/>
      <c r="KXX218" s="23"/>
      <c r="KYC218" s="26"/>
      <c r="KYG218" s="23"/>
      <c r="KYL218" s="26"/>
      <c r="KYP218" s="23"/>
      <c r="KYU218" s="26"/>
      <c r="KYY218" s="23"/>
      <c r="KZD218" s="26"/>
      <c r="KZH218" s="23"/>
      <c r="KZM218" s="26"/>
      <c r="KZQ218" s="23"/>
      <c r="KZV218" s="26"/>
      <c r="KZZ218" s="23"/>
      <c r="LAE218" s="26"/>
      <c r="LAI218" s="23"/>
      <c r="LAN218" s="26"/>
      <c r="LAR218" s="23"/>
      <c r="LAW218" s="26"/>
      <c r="LBA218" s="23"/>
      <c r="LBF218" s="26"/>
      <c r="LBJ218" s="23"/>
      <c r="LBO218" s="26"/>
      <c r="LBS218" s="23"/>
      <c r="LBX218" s="26"/>
      <c r="LCB218" s="23"/>
      <c r="LCG218" s="26"/>
      <c r="LCK218" s="23"/>
      <c r="LCP218" s="26"/>
      <c r="LCT218" s="23"/>
      <c r="LCY218" s="26"/>
      <c r="LDC218" s="23"/>
      <c r="LDH218" s="26"/>
      <c r="LDL218" s="23"/>
      <c r="LDQ218" s="26"/>
      <c r="LDU218" s="23"/>
      <c r="LDZ218" s="26"/>
      <c r="LED218" s="23"/>
      <c r="LEI218" s="26"/>
      <c r="LEM218" s="23"/>
      <c r="LER218" s="26"/>
      <c r="LEV218" s="23"/>
      <c r="LFA218" s="26"/>
      <c r="LFE218" s="23"/>
      <c r="LFJ218" s="26"/>
      <c r="LFN218" s="23"/>
      <c r="LFS218" s="26"/>
      <c r="LFW218" s="23"/>
      <c r="LGB218" s="26"/>
      <c r="LGF218" s="23"/>
      <c r="LGK218" s="26"/>
      <c r="LGO218" s="23"/>
      <c r="LGT218" s="26"/>
      <c r="LGX218" s="23"/>
      <c r="LHC218" s="26"/>
      <c r="LHG218" s="23"/>
      <c r="LHL218" s="26"/>
      <c r="LHP218" s="23"/>
      <c r="LHU218" s="26"/>
      <c r="LHY218" s="23"/>
      <c r="LID218" s="26"/>
      <c r="LIH218" s="23"/>
      <c r="LIM218" s="26"/>
      <c r="LIQ218" s="23"/>
      <c r="LIV218" s="26"/>
      <c r="LIZ218" s="23"/>
      <c r="LJE218" s="26"/>
      <c r="LJI218" s="23"/>
      <c r="LJN218" s="26"/>
      <c r="LJR218" s="23"/>
      <c r="LJW218" s="26"/>
      <c r="LKA218" s="23"/>
      <c r="LKF218" s="26"/>
      <c r="LKJ218" s="23"/>
      <c r="LKO218" s="26"/>
      <c r="LKS218" s="23"/>
      <c r="LKX218" s="26"/>
      <c r="LLB218" s="23"/>
      <c r="LLG218" s="26"/>
      <c r="LLK218" s="23"/>
      <c r="LLP218" s="26"/>
      <c r="LLT218" s="23"/>
      <c r="LLY218" s="26"/>
      <c r="LMC218" s="23"/>
      <c r="LMH218" s="26"/>
      <c r="LML218" s="23"/>
      <c r="LMQ218" s="26"/>
      <c r="LMU218" s="23"/>
      <c r="LMZ218" s="26"/>
      <c r="LND218" s="23"/>
      <c r="LNI218" s="26"/>
      <c r="LNM218" s="23"/>
      <c r="LNR218" s="26"/>
      <c r="LNV218" s="23"/>
      <c r="LOA218" s="26"/>
      <c r="LOE218" s="23"/>
      <c r="LOJ218" s="26"/>
      <c r="LON218" s="23"/>
      <c r="LOS218" s="26"/>
      <c r="LOW218" s="23"/>
      <c r="LPB218" s="26"/>
      <c r="LPF218" s="23"/>
      <c r="LPK218" s="26"/>
      <c r="LPO218" s="23"/>
      <c r="LPT218" s="26"/>
      <c r="LPX218" s="23"/>
      <c r="LQC218" s="26"/>
      <c r="LQG218" s="23"/>
      <c r="LQL218" s="26"/>
      <c r="LQP218" s="23"/>
      <c r="LQU218" s="26"/>
      <c r="LQY218" s="23"/>
      <c r="LRD218" s="26"/>
      <c r="LRH218" s="23"/>
      <c r="LRM218" s="26"/>
      <c r="LRQ218" s="23"/>
      <c r="LRV218" s="26"/>
      <c r="LRZ218" s="23"/>
      <c r="LSE218" s="26"/>
      <c r="LSI218" s="23"/>
      <c r="LSN218" s="26"/>
      <c r="LSR218" s="23"/>
      <c r="LSW218" s="26"/>
      <c r="LTA218" s="23"/>
      <c r="LTF218" s="26"/>
      <c r="LTJ218" s="23"/>
      <c r="LTO218" s="26"/>
      <c r="LTS218" s="23"/>
      <c r="LTX218" s="26"/>
      <c r="LUB218" s="23"/>
      <c r="LUG218" s="26"/>
      <c r="LUK218" s="23"/>
      <c r="LUP218" s="26"/>
      <c r="LUT218" s="23"/>
      <c r="LUY218" s="26"/>
      <c r="LVC218" s="23"/>
      <c r="LVH218" s="26"/>
      <c r="LVL218" s="23"/>
      <c r="LVQ218" s="26"/>
      <c r="LVU218" s="23"/>
      <c r="LVZ218" s="26"/>
      <c r="LWD218" s="23"/>
      <c r="LWI218" s="26"/>
      <c r="LWM218" s="23"/>
      <c r="LWR218" s="26"/>
      <c r="LWV218" s="23"/>
      <c r="LXA218" s="26"/>
      <c r="LXE218" s="23"/>
      <c r="LXJ218" s="26"/>
      <c r="LXN218" s="23"/>
      <c r="LXS218" s="26"/>
      <c r="LXW218" s="23"/>
      <c r="LYB218" s="26"/>
      <c r="LYF218" s="23"/>
      <c r="LYK218" s="26"/>
      <c r="LYO218" s="23"/>
      <c r="LYT218" s="26"/>
      <c r="LYX218" s="23"/>
      <c r="LZC218" s="26"/>
      <c r="LZG218" s="23"/>
      <c r="LZL218" s="26"/>
      <c r="LZP218" s="23"/>
      <c r="LZU218" s="26"/>
      <c r="LZY218" s="23"/>
      <c r="MAD218" s="26"/>
      <c r="MAH218" s="23"/>
      <c r="MAM218" s="26"/>
      <c r="MAQ218" s="23"/>
      <c r="MAV218" s="26"/>
      <c r="MAZ218" s="23"/>
      <c r="MBE218" s="26"/>
      <c r="MBI218" s="23"/>
      <c r="MBN218" s="26"/>
      <c r="MBR218" s="23"/>
      <c r="MBW218" s="26"/>
      <c r="MCA218" s="23"/>
      <c r="MCF218" s="26"/>
      <c r="MCJ218" s="23"/>
      <c r="MCO218" s="26"/>
      <c r="MCS218" s="23"/>
      <c r="MCX218" s="26"/>
      <c r="MDB218" s="23"/>
      <c r="MDG218" s="26"/>
      <c r="MDK218" s="23"/>
      <c r="MDP218" s="26"/>
      <c r="MDT218" s="23"/>
      <c r="MDY218" s="26"/>
      <c r="MEC218" s="23"/>
      <c r="MEH218" s="26"/>
      <c r="MEL218" s="23"/>
      <c r="MEQ218" s="26"/>
      <c r="MEU218" s="23"/>
      <c r="MEZ218" s="26"/>
      <c r="MFD218" s="23"/>
      <c r="MFI218" s="26"/>
      <c r="MFM218" s="23"/>
      <c r="MFR218" s="26"/>
      <c r="MFV218" s="23"/>
      <c r="MGA218" s="26"/>
      <c r="MGE218" s="23"/>
      <c r="MGJ218" s="26"/>
      <c r="MGN218" s="23"/>
      <c r="MGS218" s="26"/>
      <c r="MGW218" s="23"/>
      <c r="MHB218" s="26"/>
      <c r="MHF218" s="23"/>
      <c r="MHK218" s="26"/>
      <c r="MHO218" s="23"/>
      <c r="MHT218" s="26"/>
      <c r="MHX218" s="23"/>
      <c r="MIC218" s="26"/>
      <c r="MIG218" s="23"/>
      <c r="MIL218" s="26"/>
      <c r="MIP218" s="23"/>
      <c r="MIU218" s="26"/>
      <c r="MIY218" s="23"/>
      <c r="MJD218" s="26"/>
      <c r="MJH218" s="23"/>
      <c r="MJM218" s="26"/>
      <c r="MJQ218" s="23"/>
      <c r="MJV218" s="26"/>
      <c r="MJZ218" s="23"/>
      <c r="MKE218" s="26"/>
      <c r="MKI218" s="23"/>
      <c r="MKN218" s="26"/>
      <c r="MKR218" s="23"/>
      <c r="MKW218" s="26"/>
      <c r="MLA218" s="23"/>
      <c r="MLF218" s="26"/>
      <c r="MLJ218" s="23"/>
      <c r="MLO218" s="26"/>
      <c r="MLS218" s="23"/>
      <c r="MLX218" s="26"/>
      <c r="MMB218" s="23"/>
      <c r="MMG218" s="26"/>
      <c r="MMK218" s="23"/>
      <c r="MMP218" s="26"/>
      <c r="MMT218" s="23"/>
      <c r="MMY218" s="26"/>
      <c r="MNC218" s="23"/>
      <c r="MNH218" s="26"/>
      <c r="MNL218" s="23"/>
      <c r="MNQ218" s="26"/>
      <c r="MNU218" s="23"/>
      <c r="MNZ218" s="26"/>
      <c r="MOD218" s="23"/>
      <c r="MOI218" s="26"/>
      <c r="MOM218" s="23"/>
      <c r="MOR218" s="26"/>
      <c r="MOV218" s="23"/>
      <c r="MPA218" s="26"/>
      <c r="MPE218" s="23"/>
      <c r="MPJ218" s="26"/>
      <c r="MPN218" s="23"/>
      <c r="MPS218" s="26"/>
      <c r="MPW218" s="23"/>
      <c r="MQB218" s="26"/>
      <c r="MQF218" s="23"/>
      <c r="MQK218" s="26"/>
      <c r="MQO218" s="23"/>
      <c r="MQT218" s="26"/>
      <c r="MQX218" s="23"/>
      <c r="MRC218" s="26"/>
      <c r="MRG218" s="23"/>
      <c r="MRL218" s="26"/>
      <c r="MRP218" s="23"/>
      <c r="MRU218" s="26"/>
      <c r="MRY218" s="23"/>
      <c r="MSD218" s="26"/>
      <c r="MSH218" s="23"/>
      <c r="MSM218" s="26"/>
      <c r="MSQ218" s="23"/>
      <c r="MSV218" s="26"/>
      <c r="MSZ218" s="23"/>
      <c r="MTE218" s="26"/>
      <c r="MTI218" s="23"/>
      <c r="MTN218" s="26"/>
      <c r="MTR218" s="23"/>
      <c r="MTW218" s="26"/>
      <c r="MUA218" s="23"/>
      <c r="MUF218" s="26"/>
      <c r="MUJ218" s="23"/>
      <c r="MUO218" s="26"/>
      <c r="MUS218" s="23"/>
      <c r="MUX218" s="26"/>
      <c r="MVB218" s="23"/>
      <c r="MVG218" s="26"/>
      <c r="MVK218" s="23"/>
      <c r="MVP218" s="26"/>
      <c r="MVT218" s="23"/>
      <c r="MVY218" s="26"/>
      <c r="MWC218" s="23"/>
      <c r="MWH218" s="26"/>
      <c r="MWL218" s="23"/>
      <c r="MWQ218" s="26"/>
      <c r="MWU218" s="23"/>
      <c r="MWZ218" s="26"/>
      <c r="MXD218" s="23"/>
      <c r="MXI218" s="26"/>
      <c r="MXM218" s="23"/>
      <c r="MXR218" s="26"/>
      <c r="MXV218" s="23"/>
      <c r="MYA218" s="26"/>
      <c r="MYE218" s="23"/>
      <c r="MYJ218" s="26"/>
      <c r="MYN218" s="23"/>
      <c r="MYS218" s="26"/>
      <c r="MYW218" s="23"/>
      <c r="MZB218" s="26"/>
      <c r="MZF218" s="23"/>
      <c r="MZK218" s="26"/>
      <c r="MZO218" s="23"/>
      <c r="MZT218" s="26"/>
      <c r="MZX218" s="23"/>
      <c r="NAC218" s="26"/>
      <c r="NAG218" s="23"/>
      <c r="NAL218" s="26"/>
      <c r="NAP218" s="23"/>
      <c r="NAU218" s="26"/>
      <c r="NAY218" s="23"/>
      <c r="NBD218" s="26"/>
      <c r="NBH218" s="23"/>
      <c r="NBM218" s="26"/>
      <c r="NBQ218" s="23"/>
      <c r="NBV218" s="26"/>
      <c r="NBZ218" s="23"/>
      <c r="NCE218" s="26"/>
      <c r="NCI218" s="23"/>
      <c r="NCN218" s="26"/>
      <c r="NCR218" s="23"/>
      <c r="NCW218" s="26"/>
      <c r="NDA218" s="23"/>
      <c r="NDF218" s="26"/>
      <c r="NDJ218" s="23"/>
      <c r="NDO218" s="26"/>
      <c r="NDS218" s="23"/>
      <c r="NDX218" s="26"/>
      <c r="NEB218" s="23"/>
      <c r="NEG218" s="26"/>
      <c r="NEK218" s="23"/>
      <c r="NEP218" s="26"/>
      <c r="NET218" s="23"/>
      <c r="NEY218" s="26"/>
      <c r="NFC218" s="23"/>
      <c r="NFH218" s="26"/>
      <c r="NFL218" s="23"/>
      <c r="NFQ218" s="26"/>
      <c r="NFU218" s="23"/>
      <c r="NFZ218" s="26"/>
      <c r="NGD218" s="23"/>
      <c r="NGI218" s="26"/>
      <c r="NGM218" s="23"/>
      <c r="NGR218" s="26"/>
      <c r="NGV218" s="23"/>
      <c r="NHA218" s="26"/>
      <c r="NHE218" s="23"/>
      <c r="NHJ218" s="26"/>
      <c r="NHN218" s="23"/>
      <c r="NHS218" s="26"/>
      <c r="NHW218" s="23"/>
      <c r="NIB218" s="26"/>
      <c r="NIF218" s="23"/>
      <c r="NIK218" s="26"/>
      <c r="NIO218" s="23"/>
      <c r="NIT218" s="26"/>
      <c r="NIX218" s="23"/>
      <c r="NJC218" s="26"/>
      <c r="NJG218" s="23"/>
      <c r="NJL218" s="26"/>
      <c r="NJP218" s="23"/>
      <c r="NJU218" s="26"/>
      <c r="NJY218" s="23"/>
      <c r="NKD218" s="26"/>
      <c r="NKH218" s="23"/>
      <c r="NKM218" s="26"/>
      <c r="NKQ218" s="23"/>
      <c r="NKV218" s="26"/>
      <c r="NKZ218" s="23"/>
      <c r="NLE218" s="26"/>
      <c r="NLI218" s="23"/>
      <c r="NLN218" s="26"/>
      <c r="NLR218" s="23"/>
      <c r="NLW218" s="26"/>
      <c r="NMA218" s="23"/>
      <c r="NMF218" s="26"/>
      <c r="NMJ218" s="23"/>
      <c r="NMO218" s="26"/>
      <c r="NMS218" s="23"/>
      <c r="NMX218" s="26"/>
      <c r="NNB218" s="23"/>
      <c r="NNG218" s="26"/>
      <c r="NNK218" s="23"/>
      <c r="NNP218" s="26"/>
      <c r="NNT218" s="23"/>
      <c r="NNY218" s="26"/>
      <c r="NOC218" s="23"/>
      <c r="NOH218" s="26"/>
      <c r="NOL218" s="23"/>
      <c r="NOQ218" s="26"/>
      <c r="NOU218" s="23"/>
      <c r="NOZ218" s="26"/>
      <c r="NPD218" s="23"/>
      <c r="NPI218" s="26"/>
      <c r="NPM218" s="23"/>
      <c r="NPR218" s="26"/>
      <c r="NPV218" s="23"/>
      <c r="NQA218" s="26"/>
      <c r="NQE218" s="23"/>
      <c r="NQJ218" s="26"/>
      <c r="NQN218" s="23"/>
      <c r="NQS218" s="26"/>
      <c r="NQW218" s="23"/>
      <c r="NRB218" s="26"/>
      <c r="NRF218" s="23"/>
      <c r="NRK218" s="26"/>
      <c r="NRO218" s="23"/>
      <c r="NRT218" s="26"/>
      <c r="NRX218" s="23"/>
      <c r="NSC218" s="26"/>
      <c r="NSG218" s="23"/>
      <c r="NSL218" s="26"/>
      <c r="NSP218" s="23"/>
      <c r="NSU218" s="26"/>
      <c r="NSY218" s="23"/>
      <c r="NTD218" s="26"/>
      <c r="NTH218" s="23"/>
      <c r="NTM218" s="26"/>
      <c r="NTQ218" s="23"/>
      <c r="NTV218" s="26"/>
      <c r="NTZ218" s="23"/>
      <c r="NUE218" s="26"/>
      <c r="NUI218" s="23"/>
      <c r="NUN218" s="26"/>
      <c r="NUR218" s="23"/>
      <c r="NUW218" s="26"/>
      <c r="NVA218" s="23"/>
      <c r="NVF218" s="26"/>
      <c r="NVJ218" s="23"/>
      <c r="NVO218" s="26"/>
      <c r="NVS218" s="23"/>
      <c r="NVX218" s="26"/>
      <c r="NWB218" s="23"/>
      <c r="NWG218" s="26"/>
      <c r="NWK218" s="23"/>
      <c r="NWP218" s="26"/>
      <c r="NWT218" s="23"/>
      <c r="NWY218" s="26"/>
      <c r="NXC218" s="23"/>
      <c r="NXH218" s="26"/>
      <c r="NXL218" s="23"/>
      <c r="NXQ218" s="26"/>
      <c r="NXU218" s="23"/>
      <c r="NXZ218" s="26"/>
      <c r="NYD218" s="23"/>
      <c r="NYI218" s="26"/>
      <c r="NYM218" s="23"/>
      <c r="NYR218" s="26"/>
      <c r="NYV218" s="23"/>
      <c r="NZA218" s="26"/>
      <c r="NZE218" s="23"/>
      <c r="NZJ218" s="26"/>
      <c r="NZN218" s="23"/>
      <c r="NZS218" s="26"/>
      <c r="NZW218" s="23"/>
      <c r="OAB218" s="26"/>
      <c r="OAF218" s="23"/>
      <c r="OAK218" s="26"/>
      <c r="OAO218" s="23"/>
      <c r="OAT218" s="26"/>
      <c r="OAX218" s="23"/>
      <c r="OBC218" s="26"/>
      <c r="OBG218" s="23"/>
      <c r="OBL218" s="26"/>
      <c r="OBP218" s="23"/>
      <c r="OBU218" s="26"/>
      <c r="OBY218" s="23"/>
      <c r="OCD218" s="26"/>
      <c r="OCH218" s="23"/>
      <c r="OCM218" s="26"/>
      <c r="OCQ218" s="23"/>
      <c r="OCV218" s="26"/>
      <c r="OCZ218" s="23"/>
      <c r="ODE218" s="26"/>
      <c r="ODI218" s="23"/>
      <c r="ODN218" s="26"/>
      <c r="ODR218" s="23"/>
      <c r="ODW218" s="26"/>
      <c r="OEA218" s="23"/>
      <c r="OEF218" s="26"/>
      <c r="OEJ218" s="23"/>
      <c r="OEO218" s="26"/>
      <c r="OES218" s="23"/>
      <c r="OEX218" s="26"/>
      <c r="OFB218" s="23"/>
      <c r="OFG218" s="26"/>
      <c r="OFK218" s="23"/>
      <c r="OFP218" s="26"/>
      <c r="OFT218" s="23"/>
      <c r="OFY218" s="26"/>
      <c r="OGC218" s="23"/>
      <c r="OGH218" s="26"/>
      <c r="OGL218" s="23"/>
      <c r="OGQ218" s="26"/>
      <c r="OGU218" s="23"/>
      <c r="OGZ218" s="26"/>
      <c r="OHD218" s="23"/>
      <c r="OHI218" s="26"/>
      <c r="OHM218" s="23"/>
      <c r="OHR218" s="26"/>
      <c r="OHV218" s="23"/>
      <c r="OIA218" s="26"/>
      <c r="OIE218" s="23"/>
      <c r="OIJ218" s="26"/>
      <c r="OIN218" s="23"/>
      <c r="OIS218" s="26"/>
      <c r="OIW218" s="23"/>
      <c r="OJB218" s="26"/>
      <c r="OJF218" s="23"/>
      <c r="OJK218" s="26"/>
      <c r="OJO218" s="23"/>
      <c r="OJT218" s="26"/>
      <c r="OJX218" s="23"/>
      <c r="OKC218" s="26"/>
      <c r="OKG218" s="23"/>
      <c r="OKL218" s="26"/>
      <c r="OKP218" s="23"/>
      <c r="OKU218" s="26"/>
      <c r="OKY218" s="23"/>
      <c r="OLD218" s="26"/>
      <c r="OLH218" s="23"/>
      <c r="OLM218" s="26"/>
      <c r="OLQ218" s="23"/>
      <c r="OLV218" s="26"/>
      <c r="OLZ218" s="23"/>
      <c r="OME218" s="26"/>
      <c r="OMI218" s="23"/>
      <c r="OMN218" s="26"/>
      <c r="OMR218" s="23"/>
      <c r="OMW218" s="26"/>
      <c r="ONA218" s="23"/>
      <c r="ONF218" s="26"/>
      <c r="ONJ218" s="23"/>
      <c r="ONO218" s="26"/>
      <c r="ONS218" s="23"/>
      <c r="ONX218" s="26"/>
      <c r="OOB218" s="23"/>
      <c r="OOG218" s="26"/>
      <c r="OOK218" s="23"/>
      <c r="OOP218" s="26"/>
      <c r="OOT218" s="23"/>
      <c r="OOY218" s="26"/>
      <c r="OPC218" s="23"/>
      <c r="OPH218" s="26"/>
      <c r="OPL218" s="23"/>
      <c r="OPQ218" s="26"/>
      <c r="OPU218" s="23"/>
      <c r="OPZ218" s="26"/>
      <c r="OQD218" s="23"/>
      <c r="OQI218" s="26"/>
      <c r="OQM218" s="23"/>
      <c r="OQR218" s="26"/>
      <c r="OQV218" s="23"/>
      <c r="ORA218" s="26"/>
      <c r="ORE218" s="23"/>
      <c r="ORJ218" s="26"/>
      <c r="ORN218" s="23"/>
      <c r="ORS218" s="26"/>
      <c r="ORW218" s="23"/>
      <c r="OSB218" s="26"/>
      <c r="OSF218" s="23"/>
      <c r="OSK218" s="26"/>
      <c r="OSO218" s="23"/>
      <c r="OST218" s="26"/>
      <c r="OSX218" s="23"/>
      <c r="OTC218" s="26"/>
      <c r="OTG218" s="23"/>
      <c r="OTL218" s="26"/>
      <c r="OTP218" s="23"/>
      <c r="OTU218" s="26"/>
      <c r="OTY218" s="23"/>
      <c r="OUD218" s="26"/>
      <c r="OUH218" s="23"/>
      <c r="OUM218" s="26"/>
      <c r="OUQ218" s="23"/>
      <c r="OUV218" s="26"/>
      <c r="OUZ218" s="23"/>
      <c r="OVE218" s="26"/>
      <c r="OVI218" s="23"/>
      <c r="OVN218" s="26"/>
      <c r="OVR218" s="23"/>
      <c r="OVW218" s="26"/>
      <c r="OWA218" s="23"/>
      <c r="OWF218" s="26"/>
      <c r="OWJ218" s="23"/>
      <c r="OWO218" s="26"/>
      <c r="OWS218" s="23"/>
      <c r="OWX218" s="26"/>
      <c r="OXB218" s="23"/>
      <c r="OXG218" s="26"/>
      <c r="OXK218" s="23"/>
      <c r="OXP218" s="26"/>
      <c r="OXT218" s="23"/>
      <c r="OXY218" s="26"/>
      <c r="OYC218" s="23"/>
      <c r="OYH218" s="26"/>
      <c r="OYL218" s="23"/>
      <c r="OYQ218" s="26"/>
      <c r="OYU218" s="23"/>
      <c r="OYZ218" s="26"/>
      <c r="OZD218" s="23"/>
      <c r="OZI218" s="26"/>
      <c r="OZM218" s="23"/>
      <c r="OZR218" s="26"/>
      <c r="OZV218" s="23"/>
      <c r="PAA218" s="26"/>
      <c r="PAE218" s="23"/>
      <c r="PAJ218" s="26"/>
      <c r="PAN218" s="23"/>
      <c r="PAS218" s="26"/>
      <c r="PAW218" s="23"/>
      <c r="PBB218" s="26"/>
      <c r="PBF218" s="23"/>
      <c r="PBK218" s="26"/>
      <c r="PBO218" s="23"/>
      <c r="PBT218" s="26"/>
      <c r="PBX218" s="23"/>
      <c r="PCC218" s="26"/>
      <c r="PCG218" s="23"/>
      <c r="PCL218" s="26"/>
      <c r="PCP218" s="23"/>
      <c r="PCU218" s="26"/>
      <c r="PCY218" s="23"/>
      <c r="PDD218" s="26"/>
      <c r="PDH218" s="23"/>
      <c r="PDM218" s="26"/>
      <c r="PDQ218" s="23"/>
      <c r="PDV218" s="26"/>
      <c r="PDZ218" s="23"/>
      <c r="PEE218" s="26"/>
      <c r="PEI218" s="23"/>
      <c r="PEN218" s="26"/>
      <c r="PER218" s="23"/>
      <c r="PEW218" s="26"/>
      <c r="PFA218" s="23"/>
      <c r="PFF218" s="26"/>
      <c r="PFJ218" s="23"/>
      <c r="PFO218" s="26"/>
      <c r="PFS218" s="23"/>
      <c r="PFX218" s="26"/>
      <c r="PGB218" s="23"/>
      <c r="PGG218" s="26"/>
      <c r="PGK218" s="23"/>
      <c r="PGP218" s="26"/>
      <c r="PGT218" s="23"/>
      <c r="PGY218" s="26"/>
      <c r="PHC218" s="23"/>
      <c r="PHH218" s="26"/>
      <c r="PHL218" s="23"/>
      <c r="PHQ218" s="26"/>
      <c r="PHU218" s="23"/>
      <c r="PHZ218" s="26"/>
      <c r="PID218" s="23"/>
      <c r="PII218" s="26"/>
      <c r="PIM218" s="23"/>
      <c r="PIR218" s="26"/>
      <c r="PIV218" s="23"/>
      <c r="PJA218" s="26"/>
      <c r="PJE218" s="23"/>
      <c r="PJJ218" s="26"/>
      <c r="PJN218" s="23"/>
      <c r="PJS218" s="26"/>
      <c r="PJW218" s="23"/>
      <c r="PKB218" s="26"/>
      <c r="PKF218" s="23"/>
      <c r="PKK218" s="26"/>
      <c r="PKO218" s="23"/>
      <c r="PKT218" s="26"/>
      <c r="PKX218" s="23"/>
      <c r="PLC218" s="26"/>
      <c r="PLG218" s="23"/>
      <c r="PLL218" s="26"/>
      <c r="PLP218" s="23"/>
      <c r="PLU218" s="26"/>
      <c r="PLY218" s="23"/>
      <c r="PMD218" s="26"/>
      <c r="PMH218" s="23"/>
      <c r="PMM218" s="26"/>
      <c r="PMQ218" s="23"/>
      <c r="PMV218" s="26"/>
      <c r="PMZ218" s="23"/>
      <c r="PNE218" s="26"/>
      <c r="PNI218" s="23"/>
      <c r="PNN218" s="26"/>
      <c r="PNR218" s="23"/>
      <c r="PNW218" s="26"/>
      <c r="POA218" s="23"/>
      <c r="POF218" s="26"/>
      <c r="POJ218" s="23"/>
      <c r="POO218" s="26"/>
      <c r="POS218" s="23"/>
      <c r="POX218" s="26"/>
      <c r="PPB218" s="23"/>
      <c r="PPG218" s="26"/>
      <c r="PPK218" s="23"/>
      <c r="PPP218" s="26"/>
      <c r="PPT218" s="23"/>
      <c r="PPY218" s="26"/>
      <c r="PQC218" s="23"/>
      <c r="PQH218" s="26"/>
      <c r="PQL218" s="23"/>
      <c r="PQQ218" s="26"/>
      <c r="PQU218" s="23"/>
      <c r="PQZ218" s="26"/>
      <c r="PRD218" s="23"/>
      <c r="PRI218" s="26"/>
      <c r="PRM218" s="23"/>
      <c r="PRR218" s="26"/>
      <c r="PRV218" s="23"/>
      <c r="PSA218" s="26"/>
      <c r="PSE218" s="23"/>
      <c r="PSJ218" s="26"/>
      <c r="PSN218" s="23"/>
      <c r="PSS218" s="26"/>
      <c r="PSW218" s="23"/>
      <c r="PTB218" s="26"/>
      <c r="PTF218" s="23"/>
      <c r="PTK218" s="26"/>
      <c r="PTO218" s="23"/>
      <c r="PTT218" s="26"/>
      <c r="PTX218" s="23"/>
      <c r="PUC218" s="26"/>
      <c r="PUG218" s="23"/>
      <c r="PUL218" s="26"/>
      <c r="PUP218" s="23"/>
      <c r="PUU218" s="26"/>
      <c r="PUY218" s="23"/>
      <c r="PVD218" s="26"/>
      <c r="PVH218" s="23"/>
      <c r="PVM218" s="26"/>
      <c r="PVQ218" s="23"/>
      <c r="PVV218" s="26"/>
      <c r="PVZ218" s="23"/>
      <c r="PWE218" s="26"/>
      <c r="PWI218" s="23"/>
      <c r="PWN218" s="26"/>
      <c r="PWR218" s="23"/>
      <c r="PWW218" s="26"/>
      <c r="PXA218" s="23"/>
      <c r="PXF218" s="26"/>
      <c r="PXJ218" s="23"/>
      <c r="PXO218" s="26"/>
      <c r="PXS218" s="23"/>
      <c r="PXX218" s="26"/>
      <c r="PYB218" s="23"/>
      <c r="PYG218" s="26"/>
      <c r="PYK218" s="23"/>
      <c r="PYP218" s="26"/>
      <c r="PYT218" s="23"/>
      <c r="PYY218" s="26"/>
      <c r="PZC218" s="23"/>
      <c r="PZH218" s="26"/>
      <c r="PZL218" s="23"/>
      <c r="PZQ218" s="26"/>
      <c r="PZU218" s="23"/>
      <c r="PZZ218" s="26"/>
      <c r="QAD218" s="23"/>
      <c r="QAI218" s="26"/>
      <c r="QAM218" s="23"/>
      <c r="QAR218" s="26"/>
      <c r="QAV218" s="23"/>
      <c r="QBA218" s="26"/>
      <c r="QBE218" s="23"/>
      <c r="QBJ218" s="26"/>
      <c r="QBN218" s="23"/>
      <c r="QBS218" s="26"/>
      <c r="QBW218" s="23"/>
      <c r="QCB218" s="26"/>
      <c r="QCF218" s="23"/>
      <c r="QCK218" s="26"/>
      <c r="QCO218" s="23"/>
      <c r="QCT218" s="26"/>
      <c r="QCX218" s="23"/>
      <c r="QDC218" s="26"/>
      <c r="QDG218" s="23"/>
      <c r="QDL218" s="26"/>
      <c r="QDP218" s="23"/>
      <c r="QDU218" s="26"/>
      <c r="QDY218" s="23"/>
      <c r="QED218" s="26"/>
      <c r="QEH218" s="23"/>
      <c r="QEM218" s="26"/>
      <c r="QEQ218" s="23"/>
      <c r="QEV218" s="26"/>
      <c r="QEZ218" s="23"/>
      <c r="QFE218" s="26"/>
      <c r="QFI218" s="23"/>
      <c r="QFN218" s="26"/>
      <c r="QFR218" s="23"/>
      <c r="QFW218" s="26"/>
      <c r="QGA218" s="23"/>
      <c r="QGF218" s="26"/>
      <c r="QGJ218" s="23"/>
      <c r="QGO218" s="26"/>
      <c r="QGS218" s="23"/>
      <c r="QGX218" s="26"/>
      <c r="QHB218" s="23"/>
      <c r="QHG218" s="26"/>
      <c r="QHK218" s="23"/>
      <c r="QHP218" s="26"/>
      <c r="QHT218" s="23"/>
      <c r="QHY218" s="26"/>
      <c r="QIC218" s="23"/>
      <c r="QIH218" s="26"/>
      <c r="QIL218" s="23"/>
      <c r="QIQ218" s="26"/>
      <c r="QIU218" s="23"/>
      <c r="QIZ218" s="26"/>
      <c r="QJD218" s="23"/>
      <c r="QJI218" s="26"/>
      <c r="QJM218" s="23"/>
      <c r="QJR218" s="26"/>
      <c r="QJV218" s="23"/>
      <c r="QKA218" s="26"/>
      <c r="QKE218" s="23"/>
      <c r="QKJ218" s="26"/>
      <c r="QKN218" s="23"/>
      <c r="QKS218" s="26"/>
      <c r="QKW218" s="23"/>
      <c r="QLB218" s="26"/>
      <c r="QLF218" s="23"/>
      <c r="QLK218" s="26"/>
      <c r="QLO218" s="23"/>
      <c r="QLT218" s="26"/>
      <c r="QLX218" s="23"/>
      <c r="QMC218" s="26"/>
      <c r="QMG218" s="23"/>
      <c r="QML218" s="26"/>
      <c r="QMP218" s="23"/>
      <c r="QMU218" s="26"/>
      <c r="QMY218" s="23"/>
      <c r="QND218" s="26"/>
      <c r="QNH218" s="23"/>
      <c r="QNM218" s="26"/>
      <c r="QNQ218" s="23"/>
      <c r="QNV218" s="26"/>
      <c r="QNZ218" s="23"/>
      <c r="QOE218" s="26"/>
      <c r="QOI218" s="23"/>
      <c r="QON218" s="26"/>
      <c r="QOR218" s="23"/>
      <c r="QOW218" s="26"/>
      <c r="QPA218" s="23"/>
      <c r="QPF218" s="26"/>
      <c r="QPJ218" s="23"/>
      <c r="QPO218" s="26"/>
      <c r="QPS218" s="23"/>
      <c r="QPX218" s="26"/>
      <c r="QQB218" s="23"/>
      <c r="QQG218" s="26"/>
      <c r="QQK218" s="23"/>
      <c r="QQP218" s="26"/>
      <c r="QQT218" s="23"/>
      <c r="QQY218" s="26"/>
      <c r="QRC218" s="23"/>
      <c r="QRH218" s="26"/>
      <c r="QRL218" s="23"/>
      <c r="QRQ218" s="26"/>
      <c r="QRU218" s="23"/>
      <c r="QRZ218" s="26"/>
      <c r="QSD218" s="23"/>
      <c r="QSI218" s="26"/>
      <c r="QSM218" s="23"/>
      <c r="QSR218" s="26"/>
      <c r="QSV218" s="23"/>
      <c r="QTA218" s="26"/>
      <c r="QTE218" s="23"/>
      <c r="QTJ218" s="26"/>
      <c r="QTN218" s="23"/>
      <c r="QTS218" s="26"/>
      <c r="QTW218" s="23"/>
      <c r="QUB218" s="26"/>
      <c r="QUF218" s="23"/>
      <c r="QUK218" s="26"/>
      <c r="QUO218" s="23"/>
      <c r="QUT218" s="26"/>
      <c r="QUX218" s="23"/>
      <c r="QVC218" s="26"/>
      <c r="QVG218" s="23"/>
      <c r="QVL218" s="26"/>
      <c r="QVP218" s="23"/>
      <c r="QVU218" s="26"/>
      <c r="QVY218" s="23"/>
      <c r="QWD218" s="26"/>
      <c r="QWH218" s="23"/>
      <c r="QWM218" s="26"/>
      <c r="QWQ218" s="23"/>
      <c r="QWV218" s="26"/>
      <c r="QWZ218" s="23"/>
      <c r="QXE218" s="26"/>
      <c r="QXI218" s="23"/>
      <c r="QXN218" s="26"/>
      <c r="QXR218" s="23"/>
      <c r="QXW218" s="26"/>
      <c r="QYA218" s="23"/>
      <c r="QYF218" s="26"/>
      <c r="QYJ218" s="23"/>
      <c r="QYO218" s="26"/>
      <c r="QYS218" s="23"/>
      <c r="QYX218" s="26"/>
      <c r="QZB218" s="23"/>
      <c r="QZG218" s="26"/>
      <c r="QZK218" s="23"/>
      <c r="QZP218" s="26"/>
      <c r="QZT218" s="23"/>
      <c r="QZY218" s="26"/>
      <c r="RAC218" s="23"/>
      <c r="RAH218" s="26"/>
      <c r="RAL218" s="23"/>
      <c r="RAQ218" s="26"/>
      <c r="RAU218" s="23"/>
      <c r="RAZ218" s="26"/>
      <c r="RBD218" s="23"/>
      <c r="RBI218" s="26"/>
      <c r="RBM218" s="23"/>
      <c r="RBR218" s="26"/>
      <c r="RBV218" s="23"/>
      <c r="RCA218" s="26"/>
      <c r="RCE218" s="23"/>
      <c r="RCJ218" s="26"/>
      <c r="RCN218" s="23"/>
      <c r="RCS218" s="26"/>
      <c r="RCW218" s="23"/>
      <c r="RDB218" s="26"/>
      <c r="RDF218" s="23"/>
      <c r="RDK218" s="26"/>
      <c r="RDO218" s="23"/>
      <c r="RDT218" s="26"/>
      <c r="RDX218" s="23"/>
      <c r="REC218" s="26"/>
      <c r="REG218" s="23"/>
      <c r="REL218" s="26"/>
      <c r="REP218" s="23"/>
      <c r="REU218" s="26"/>
      <c r="REY218" s="23"/>
      <c r="RFD218" s="26"/>
      <c r="RFH218" s="23"/>
      <c r="RFM218" s="26"/>
      <c r="RFQ218" s="23"/>
      <c r="RFV218" s="26"/>
      <c r="RFZ218" s="23"/>
      <c r="RGE218" s="26"/>
      <c r="RGI218" s="23"/>
      <c r="RGN218" s="26"/>
      <c r="RGR218" s="23"/>
      <c r="RGW218" s="26"/>
      <c r="RHA218" s="23"/>
      <c r="RHF218" s="26"/>
      <c r="RHJ218" s="23"/>
      <c r="RHO218" s="26"/>
      <c r="RHS218" s="23"/>
      <c r="RHX218" s="26"/>
      <c r="RIB218" s="23"/>
      <c r="RIG218" s="26"/>
      <c r="RIK218" s="23"/>
      <c r="RIP218" s="26"/>
      <c r="RIT218" s="23"/>
      <c r="RIY218" s="26"/>
      <c r="RJC218" s="23"/>
      <c r="RJH218" s="26"/>
      <c r="RJL218" s="23"/>
      <c r="RJQ218" s="26"/>
      <c r="RJU218" s="23"/>
      <c r="RJZ218" s="26"/>
      <c r="RKD218" s="23"/>
      <c r="RKI218" s="26"/>
      <c r="RKM218" s="23"/>
      <c r="RKR218" s="26"/>
      <c r="RKV218" s="23"/>
      <c r="RLA218" s="26"/>
      <c r="RLE218" s="23"/>
      <c r="RLJ218" s="26"/>
      <c r="RLN218" s="23"/>
      <c r="RLS218" s="26"/>
      <c r="RLW218" s="23"/>
      <c r="RMB218" s="26"/>
      <c r="RMF218" s="23"/>
      <c r="RMK218" s="26"/>
      <c r="RMO218" s="23"/>
      <c r="RMT218" s="26"/>
      <c r="RMX218" s="23"/>
      <c r="RNC218" s="26"/>
      <c r="RNG218" s="23"/>
      <c r="RNL218" s="26"/>
      <c r="RNP218" s="23"/>
      <c r="RNU218" s="26"/>
      <c r="RNY218" s="23"/>
      <c r="ROD218" s="26"/>
      <c r="ROH218" s="23"/>
      <c r="ROM218" s="26"/>
      <c r="ROQ218" s="23"/>
      <c r="ROV218" s="26"/>
      <c r="ROZ218" s="23"/>
      <c r="RPE218" s="26"/>
      <c r="RPI218" s="23"/>
      <c r="RPN218" s="26"/>
      <c r="RPR218" s="23"/>
      <c r="RPW218" s="26"/>
      <c r="RQA218" s="23"/>
      <c r="RQF218" s="26"/>
      <c r="RQJ218" s="23"/>
      <c r="RQO218" s="26"/>
      <c r="RQS218" s="23"/>
      <c r="RQX218" s="26"/>
      <c r="RRB218" s="23"/>
      <c r="RRG218" s="26"/>
      <c r="RRK218" s="23"/>
      <c r="RRP218" s="26"/>
      <c r="RRT218" s="23"/>
      <c r="RRY218" s="26"/>
      <c r="RSC218" s="23"/>
      <c r="RSH218" s="26"/>
      <c r="RSL218" s="23"/>
      <c r="RSQ218" s="26"/>
      <c r="RSU218" s="23"/>
      <c r="RSZ218" s="26"/>
      <c r="RTD218" s="23"/>
      <c r="RTI218" s="26"/>
      <c r="RTM218" s="23"/>
      <c r="RTR218" s="26"/>
      <c r="RTV218" s="23"/>
      <c r="RUA218" s="26"/>
      <c r="RUE218" s="23"/>
      <c r="RUJ218" s="26"/>
      <c r="RUN218" s="23"/>
      <c r="RUS218" s="26"/>
      <c r="RUW218" s="23"/>
      <c r="RVB218" s="26"/>
      <c r="RVF218" s="23"/>
      <c r="RVK218" s="26"/>
      <c r="RVO218" s="23"/>
      <c r="RVT218" s="26"/>
      <c r="RVX218" s="23"/>
      <c r="RWC218" s="26"/>
      <c r="RWG218" s="23"/>
      <c r="RWL218" s="26"/>
      <c r="RWP218" s="23"/>
      <c r="RWU218" s="26"/>
      <c r="RWY218" s="23"/>
      <c r="RXD218" s="26"/>
      <c r="RXH218" s="23"/>
      <c r="RXM218" s="26"/>
      <c r="RXQ218" s="23"/>
      <c r="RXV218" s="26"/>
      <c r="RXZ218" s="23"/>
      <c r="RYE218" s="26"/>
      <c r="RYI218" s="23"/>
      <c r="RYN218" s="26"/>
      <c r="RYR218" s="23"/>
      <c r="RYW218" s="26"/>
      <c r="RZA218" s="23"/>
      <c r="RZF218" s="26"/>
      <c r="RZJ218" s="23"/>
      <c r="RZO218" s="26"/>
      <c r="RZS218" s="23"/>
      <c r="RZX218" s="26"/>
      <c r="SAB218" s="23"/>
      <c r="SAG218" s="26"/>
      <c r="SAK218" s="23"/>
      <c r="SAP218" s="26"/>
      <c r="SAT218" s="23"/>
      <c r="SAY218" s="26"/>
      <c r="SBC218" s="23"/>
      <c r="SBH218" s="26"/>
      <c r="SBL218" s="23"/>
      <c r="SBQ218" s="26"/>
      <c r="SBU218" s="23"/>
      <c r="SBZ218" s="26"/>
      <c r="SCD218" s="23"/>
      <c r="SCI218" s="26"/>
      <c r="SCM218" s="23"/>
      <c r="SCR218" s="26"/>
      <c r="SCV218" s="23"/>
      <c r="SDA218" s="26"/>
      <c r="SDE218" s="23"/>
      <c r="SDJ218" s="26"/>
      <c r="SDN218" s="23"/>
      <c r="SDS218" s="26"/>
      <c r="SDW218" s="23"/>
      <c r="SEB218" s="26"/>
      <c r="SEF218" s="23"/>
      <c r="SEK218" s="26"/>
      <c r="SEO218" s="23"/>
      <c r="SET218" s="26"/>
      <c r="SEX218" s="23"/>
      <c r="SFC218" s="26"/>
      <c r="SFG218" s="23"/>
      <c r="SFL218" s="26"/>
      <c r="SFP218" s="23"/>
      <c r="SFU218" s="26"/>
      <c r="SFY218" s="23"/>
      <c r="SGD218" s="26"/>
      <c r="SGH218" s="23"/>
      <c r="SGM218" s="26"/>
      <c r="SGQ218" s="23"/>
      <c r="SGV218" s="26"/>
      <c r="SGZ218" s="23"/>
      <c r="SHE218" s="26"/>
      <c r="SHI218" s="23"/>
      <c r="SHN218" s="26"/>
      <c r="SHR218" s="23"/>
      <c r="SHW218" s="26"/>
      <c r="SIA218" s="23"/>
      <c r="SIF218" s="26"/>
      <c r="SIJ218" s="23"/>
      <c r="SIO218" s="26"/>
      <c r="SIS218" s="23"/>
      <c r="SIX218" s="26"/>
      <c r="SJB218" s="23"/>
      <c r="SJG218" s="26"/>
      <c r="SJK218" s="23"/>
      <c r="SJP218" s="26"/>
      <c r="SJT218" s="23"/>
      <c r="SJY218" s="26"/>
      <c r="SKC218" s="23"/>
      <c r="SKH218" s="26"/>
      <c r="SKL218" s="23"/>
      <c r="SKQ218" s="26"/>
      <c r="SKU218" s="23"/>
      <c r="SKZ218" s="26"/>
      <c r="SLD218" s="23"/>
      <c r="SLI218" s="26"/>
      <c r="SLM218" s="23"/>
      <c r="SLR218" s="26"/>
      <c r="SLV218" s="23"/>
      <c r="SMA218" s="26"/>
      <c r="SME218" s="23"/>
      <c r="SMJ218" s="26"/>
      <c r="SMN218" s="23"/>
      <c r="SMS218" s="26"/>
      <c r="SMW218" s="23"/>
      <c r="SNB218" s="26"/>
      <c r="SNF218" s="23"/>
      <c r="SNK218" s="26"/>
      <c r="SNO218" s="23"/>
      <c r="SNT218" s="26"/>
      <c r="SNX218" s="23"/>
      <c r="SOC218" s="26"/>
      <c r="SOG218" s="23"/>
      <c r="SOL218" s="26"/>
      <c r="SOP218" s="23"/>
      <c r="SOU218" s="26"/>
      <c r="SOY218" s="23"/>
      <c r="SPD218" s="26"/>
      <c r="SPH218" s="23"/>
      <c r="SPM218" s="26"/>
      <c r="SPQ218" s="23"/>
      <c r="SPV218" s="26"/>
      <c r="SPZ218" s="23"/>
      <c r="SQE218" s="26"/>
      <c r="SQI218" s="23"/>
      <c r="SQN218" s="26"/>
      <c r="SQR218" s="23"/>
      <c r="SQW218" s="26"/>
      <c r="SRA218" s="23"/>
      <c r="SRF218" s="26"/>
      <c r="SRJ218" s="23"/>
      <c r="SRO218" s="26"/>
      <c r="SRS218" s="23"/>
      <c r="SRX218" s="26"/>
      <c r="SSB218" s="23"/>
      <c r="SSG218" s="26"/>
      <c r="SSK218" s="23"/>
      <c r="SSP218" s="26"/>
      <c r="SST218" s="23"/>
      <c r="SSY218" s="26"/>
      <c r="STC218" s="23"/>
      <c r="STH218" s="26"/>
      <c r="STL218" s="23"/>
      <c r="STQ218" s="26"/>
      <c r="STU218" s="23"/>
      <c r="STZ218" s="26"/>
      <c r="SUD218" s="23"/>
      <c r="SUI218" s="26"/>
      <c r="SUM218" s="23"/>
      <c r="SUR218" s="26"/>
      <c r="SUV218" s="23"/>
      <c r="SVA218" s="26"/>
      <c r="SVE218" s="23"/>
      <c r="SVJ218" s="26"/>
      <c r="SVN218" s="23"/>
      <c r="SVS218" s="26"/>
      <c r="SVW218" s="23"/>
      <c r="SWB218" s="26"/>
      <c r="SWF218" s="23"/>
      <c r="SWK218" s="26"/>
      <c r="SWO218" s="23"/>
      <c r="SWT218" s="26"/>
      <c r="SWX218" s="23"/>
      <c r="SXC218" s="26"/>
      <c r="SXG218" s="23"/>
      <c r="SXL218" s="26"/>
      <c r="SXP218" s="23"/>
      <c r="SXU218" s="26"/>
      <c r="SXY218" s="23"/>
      <c r="SYD218" s="26"/>
      <c r="SYH218" s="23"/>
      <c r="SYM218" s="26"/>
      <c r="SYQ218" s="23"/>
      <c r="SYV218" s="26"/>
      <c r="SYZ218" s="23"/>
      <c r="SZE218" s="26"/>
      <c r="SZI218" s="23"/>
      <c r="SZN218" s="26"/>
      <c r="SZR218" s="23"/>
      <c r="SZW218" s="26"/>
      <c r="TAA218" s="23"/>
      <c r="TAF218" s="26"/>
      <c r="TAJ218" s="23"/>
      <c r="TAO218" s="26"/>
      <c r="TAS218" s="23"/>
      <c r="TAX218" s="26"/>
      <c r="TBB218" s="23"/>
      <c r="TBG218" s="26"/>
      <c r="TBK218" s="23"/>
      <c r="TBP218" s="26"/>
      <c r="TBT218" s="23"/>
      <c r="TBY218" s="26"/>
      <c r="TCC218" s="23"/>
      <c r="TCH218" s="26"/>
      <c r="TCL218" s="23"/>
      <c r="TCQ218" s="26"/>
      <c r="TCU218" s="23"/>
      <c r="TCZ218" s="26"/>
      <c r="TDD218" s="23"/>
      <c r="TDI218" s="26"/>
      <c r="TDM218" s="23"/>
      <c r="TDR218" s="26"/>
      <c r="TDV218" s="23"/>
      <c r="TEA218" s="26"/>
      <c r="TEE218" s="23"/>
      <c r="TEJ218" s="26"/>
      <c r="TEN218" s="23"/>
      <c r="TES218" s="26"/>
      <c r="TEW218" s="23"/>
      <c r="TFB218" s="26"/>
      <c r="TFF218" s="23"/>
      <c r="TFK218" s="26"/>
      <c r="TFO218" s="23"/>
      <c r="TFT218" s="26"/>
      <c r="TFX218" s="23"/>
      <c r="TGC218" s="26"/>
      <c r="TGG218" s="23"/>
      <c r="TGL218" s="26"/>
      <c r="TGP218" s="23"/>
      <c r="TGU218" s="26"/>
      <c r="TGY218" s="23"/>
      <c r="THD218" s="26"/>
      <c r="THH218" s="23"/>
      <c r="THM218" s="26"/>
      <c r="THQ218" s="23"/>
      <c r="THV218" s="26"/>
      <c r="THZ218" s="23"/>
      <c r="TIE218" s="26"/>
      <c r="TII218" s="23"/>
      <c r="TIN218" s="26"/>
      <c r="TIR218" s="23"/>
      <c r="TIW218" s="26"/>
      <c r="TJA218" s="23"/>
      <c r="TJF218" s="26"/>
      <c r="TJJ218" s="23"/>
      <c r="TJO218" s="26"/>
      <c r="TJS218" s="23"/>
      <c r="TJX218" s="26"/>
      <c r="TKB218" s="23"/>
      <c r="TKG218" s="26"/>
      <c r="TKK218" s="23"/>
      <c r="TKP218" s="26"/>
      <c r="TKT218" s="23"/>
      <c r="TKY218" s="26"/>
      <c r="TLC218" s="23"/>
      <c r="TLH218" s="26"/>
      <c r="TLL218" s="23"/>
      <c r="TLQ218" s="26"/>
      <c r="TLU218" s="23"/>
      <c r="TLZ218" s="26"/>
      <c r="TMD218" s="23"/>
      <c r="TMI218" s="26"/>
      <c r="TMM218" s="23"/>
      <c r="TMR218" s="26"/>
      <c r="TMV218" s="23"/>
      <c r="TNA218" s="26"/>
      <c r="TNE218" s="23"/>
      <c r="TNJ218" s="26"/>
      <c r="TNN218" s="23"/>
      <c r="TNS218" s="26"/>
      <c r="TNW218" s="23"/>
      <c r="TOB218" s="26"/>
      <c r="TOF218" s="23"/>
      <c r="TOK218" s="26"/>
      <c r="TOO218" s="23"/>
      <c r="TOT218" s="26"/>
      <c r="TOX218" s="23"/>
      <c r="TPC218" s="26"/>
      <c r="TPG218" s="23"/>
      <c r="TPL218" s="26"/>
      <c r="TPP218" s="23"/>
      <c r="TPU218" s="26"/>
      <c r="TPY218" s="23"/>
      <c r="TQD218" s="26"/>
      <c r="TQH218" s="23"/>
      <c r="TQM218" s="26"/>
      <c r="TQQ218" s="23"/>
      <c r="TQV218" s="26"/>
      <c r="TQZ218" s="23"/>
      <c r="TRE218" s="26"/>
      <c r="TRI218" s="23"/>
      <c r="TRN218" s="26"/>
      <c r="TRR218" s="23"/>
      <c r="TRW218" s="26"/>
      <c r="TSA218" s="23"/>
      <c r="TSF218" s="26"/>
      <c r="TSJ218" s="23"/>
      <c r="TSO218" s="26"/>
      <c r="TSS218" s="23"/>
      <c r="TSX218" s="26"/>
      <c r="TTB218" s="23"/>
      <c r="TTG218" s="26"/>
      <c r="TTK218" s="23"/>
      <c r="TTP218" s="26"/>
      <c r="TTT218" s="23"/>
      <c r="TTY218" s="26"/>
      <c r="TUC218" s="23"/>
      <c r="TUH218" s="26"/>
      <c r="TUL218" s="23"/>
      <c r="TUQ218" s="26"/>
      <c r="TUU218" s="23"/>
      <c r="TUZ218" s="26"/>
      <c r="TVD218" s="23"/>
      <c r="TVI218" s="26"/>
      <c r="TVM218" s="23"/>
      <c r="TVR218" s="26"/>
      <c r="TVV218" s="23"/>
      <c r="TWA218" s="26"/>
      <c r="TWE218" s="23"/>
      <c r="TWJ218" s="26"/>
      <c r="TWN218" s="23"/>
      <c r="TWS218" s="26"/>
      <c r="TWW218" s="23"/>
      <c r="TXB218" s="26"/>
      <c r="TXF218" s="23"/>
      <c r="TXK218" s="26"/>
      <c r="TXO218" s="23"/>
      <c r="TXT218" s="26"/>
      <c r="TXX218" s="23"/>
      <c r="TYC218" s="26"/>
      <c r="TYG218" s="23"/>
      <c r="TYL218" s="26"/>
      <c r="TYP218" s="23"/>
      <c r="TYU218" s="26"/>
      <c r="TYY218" s="23"/>
      <c r="TZD218" s="26"/>
      <c r="TZH218" s="23"/>
      <c r="TZM218" s="26"/>
      <c r="TZQ218" s="23"/>
      <c r="TZV218" s="26"/>
      <c r="TZZ218" s="23"/>
      <c r="UAE218" s="26"/>
      <c r="UAI218" s="23"/>
      <c r="UAN218" s="26"/>
      <c r="UAR218" s="23"/>
      <c r="UAW218" s="26"/>
      <c r="UBA218" s="23"/>
      <c r="UBF218" s="26"/>
      <c r="UBJ218" s="23"/>
      <c r="UBO218" s="26"/>
      <c r="UBS218" s="23"/>
      <c r="UBX218" s="26"/>
      <c r="UCB218" s="23"/>
      <c r="UCG218" s="26"/>
      <c r="UCK218" s="23"/>
      <c r="UCP218" s="26"/>
      <c r="UCT218" s="23"/>
      <c r="UCY218" s="26"/>
      <c r="UDC218" s="23"/>
      <c r="UDH218" s="26"/>
      <c r="UDL218" s="23"/>
      <c r="UDQ218" s="26"/>
      <c r="UDU218" s="23"/>
      <c r="UDZ218" s="26"/>
      <c r="UED218" s="23"/>
      <c r="UEI218" s="26"/>
      <c r="UEM218" s="23"/>
      <c r="UER218" s="26"/>
      <c r="UEV218" s="23"/>
      <c r="UFA218" s="26"/>
      <c r="UFE218" s="23"/>
      <c r="UFJ218" s="26"/>
      <c r="UFN218" s="23"/>
      <c r="UFS218" s="26"/>
      <c r="UFW218" s="23"/>
      <c r="UGB218" s="26"/>
      <c r="UGF218" s="23"/>
      <c r="UGK218" s="26"/>
      <c r="UGO218" s="23"/>
      <c r="UGT218" s="26"/>
      <c r="UGX218" s="23"/>
      <c r="UHC218" s="26"/>
      <c r="UHG218" s="23"/>
      <c r="UHL218" s="26"/>
      <c r="UHP218" s="23"/>
      <c r="UHU218" s="26"/>
      <c r="UHY218" s="23"/>
      <c r="UID218" s="26"/>
      <c r="UIH218" s="23"/>
      <c r="UIM218" s="26"/>
      <c r="UIQ218" s="23"/>
      <c r="UIV218" s="26"/>
      <c r="UIZ218" s="23"/>
      <c r="UJE218" s="26"/>
      <c r="UJI218" s="23"/>
      <c r="UJN218" s="26"/>
      <c r="UJR218" s="23"/>
      <c r="UJW218" s="26"/>
      <c r="UKA218" s="23"/>
      <c r="UKF218" s="26"/>
      <c r="UKJ218" s="23"/>
      <c r="UKO218" s="26"/>
      <c r="UKS218" s="23"/>
      <c r="UKX218" s="26"/>
      <c r="ULB218" s="23"/>
      <c r="ULG218" s="26"/>
      <c r="ULK218" s="23"/>
      <c r="ULP218" s="26"/>
      <c r="ULT218" s="23"/>
      <c r="ULY218" s="26"/>
      <c r="UMC218" s="23"/>
      <c r="UMH218" s="26"/>
      <c r="UML218" s="23"/>
      <c r="UMQ218" s="26"/>
      <c r="UMU218" s="23"/>
      <c r="UMZ218" s="26"/>
      <c r="UND218" s="23"/>
      <c r="UNI218" s="26"/>
      <c r="UNM218" s="23"/>
      <c r="UNR218" s="26"/>
      <c r="UNV218" s="23"/>
      <c r="UOA218" s="26"/>
      <c r="UOE218" s="23"/>
      <c r="UOJ218" s="26"/>
      <c r="UON218" s="23"/>
      <c r="UOS218" s="26"/>
      <c r="UOW218" s="23"/>
      <c r="UPB218" s="26"/>
      <c r="UPF218" s="23"/>
      <c r="UPK218" s="26"/>
      <c r="UPO218" s="23"/>
      <c r="UPT218" s="26"/>
      <c r="UPX218" s="23"/>
      <c r="UQC218" s="26"/>
      <c r="UQG218" s="23"/>
      <c r="UQL218" s="26"/>
      <c r="UQP218" s="23"/>
      <c r="UQU218" s="26"/>
      <c r="UQY218" s="23"/>
      <c r="URD218" s="26"/>
      <c r="URH218" s="23"/>
      <c r="URM218" s="26"/>
      <c r="URQ218" s="23"/>
      <c r="URV218" s="26"/>
      <c r="URZ218" s="23"/>
      <c r="USE218" s="26"/>
      <c r="USI218" s="23"/>
      <c r="USN218" s="26"/>
      <c r="USR218" s="23"/>
      <c r="USW218" s="26"/>
      <c r="UTA218" s="23"/>
      <c r="UTF218" s="26"/>
      <c r="UTJ218" s="23"/>
      <c r="UTO218" s="26"/>
      <c r="UTS218" s="23"/>
      <c r="UTX218" s="26"/>
      <c r="UUB218" s="23"/>
      <c r="UUG218" s="26"/>
      <c r="UUK218" s="23"/>
      <c r="UUP218" s="26"/>
      <c r="UUT218" s="23"/>
      <c r="UUY218" s="26"/>
      <c r="UVC218" s="23"/>
      <c r="UVH218" s="26"/>
      <c r="UVL218" s="23"/>
      <c r="UVQ218" s="26"/>
      <c r="UVU218" s="23"/>
      <c r="UVZ218" s="26"/>
      <c r="UWD218" s="23"/>
      <c r="UWI218" s="26"/>
      <c r="UWM218" s="23"/>
      <c r="UWR218" s="26"/>
      <c r="UWV218" s="23"/>
      <c r="UXA218" s="26"/>
      <c r="UXE218" s="23"/>
      <c r="UXJ218" s="26"/>
      <c r="UXN218" s="23"/>
      <c r="UXS218" s="26"/>
      <c r="UXW218" s="23"/>
      <c r="UYB218" s="26"/>
      <c r="UYF218" s="23"/>
      <c r="UYK218" s="26"/>
      <c r="UYO218" s="23"/>
      <c r="UYT218" s="26"/>
      <c r="UYX218" s="23"/>
      <c r="UZC218" s="26"/>
      <c r="UZG218" s="23"/>
      <c r="UZL218" s="26"/>
      <c r="UZP218" s="23"/>
      <c r="UZU218" s="26"/>
      <c r="UZY218" s="23"/>
      <c r="VAD218" s="26"/>
      <c r="VAH218" s="23"/>
      <c r="VAM218" s="26"/>
      <c r="VAQ218" s="23"/>
      <c r="VAV218" s="26"/>
      <c r="VAZ218" s="23"/>
      <c r="VBE218" s="26"/>
      <c r="VBI218" s="23"/>
      <c r="VBN218" s="26"/>
      <c r="VBR218" s="23"/>
      <c r="VBW218" s="26"/>
      <c r="VCA218" s="23"/>
      <c r="VCF218" s="26"/>
      <c r="VCJ218" s="23"/>
      <c r="VCO218" s="26"/>
      <c r="VCS218" s="23"/>
      <c r="VCX218" s="26"/>
      <c r="VDB218" s="23"/>
      <c r="VDG218" s="26"/>
      <c r="VDK218" s="23"/>
      <c r="VDP218" s="26"/>
      <c r="VDT218" s="23"/>
      <c r="VDY218" s="26"/>
      <c r="VEC218" s="23"/>
      <c r="VEH218" s="26"/>
      <c r="VEL218" s="23"/>
      <c r="VEQ218" s="26"/>
      <c r="VEU218" s="23"/>
      <c r="VEZ218" s="26"/>
      <c r="VFD218" s="23"/>
      <c r="VFI218" s="26"/>
      <c r="VFM218" s="23"/>
      <c r="VFR218" s="26"/>
      <c r="VFV218" s="23"/>
      <c r="VGA218" s="26"/>
      <c r="VGE218" s="23"/>
      <c r="VGJ218" s="26"/>
      <c r="VGN218" s="23"/>
      <c r="VGS218" s="26"/>
      <c r="VGW218" s="23"/>
      <c r="VHB218" s="26"/>
      <c r="VHF218" s="23"/>
      <c r="VHK218" s="26"/>
      <c r="VHO218" s="23"/>
      <c r="VHT218" s="26"/>
      <c r="VHX218" s="23"/>
      <c r="VIC218" s="26"/>
      <c r="VIG218" s="23"/>
      <c r="VIL218" s="26"/>
      <c r="VIP218" s="23"/>
      <c r="VIU218" s="26"/>
      <c r="VIY218" s="23"/>
      <c r="VJD218" s="26"/>
      <c r="VJH218" s="23"/>
      <c r="VJM218" s="26"/>
      <c r="VJQ218" s="23"/>
      <c r="VJV218" s="26"/>
      <c r="VJZ218" s="23"/>
      <c r="VKE218" s="26"/>
      <c r="VKI218" s="23"/>
      <c r="VKN218" s="26"/>
      <c r="VKR218" s="23"/>
      <c r="VKW218" s="26"/>
      <c r="VLA218" s="23"/>
      <c r="VLF218" s="26"/>
      <c r="VLJ218" s="23"/>
      <c r="VLO218" s="26"/>
      <c r="VLS218" s="23"/>
      <c r="VLX218" s="26"/>
      <c r="VMB218" s="23"/>
      <c r="VMG218" s="26"/>
      <c r="VMK218" s="23"/>
      <c r="VMP218" s="26"/>
      <c r="VMT218" s="23"/>
      <c r="VMY218" s="26"/>
      <c r="VNC218" s="23"/>
      <c r="VNH218" s="26"/>
      <c r="VNL218" s="23"/>
      <c r="VNQ218" s="26"/>
      <c r="VNU218" s="23"/>
      <c r="VNZ218" s="26"/>
      <c r="VOD218" s="23"/>
      <c r="VOI218" s="26"/>
      <c r="VOM218" s="23"/>
      <c r="VOR218" s="26"/>
      <c r="VOV218" s="23"/>
      <c r="VPA218" s="26"/>
      <c r="VPE218" s="23"/>
      <c r="VPJ218" s="26"/>
      <c r="VPN218" s="23"/>
      <c r="VPS218" s="26"/>
      <c r="VPW218" s="23"/>
      <c r="VQB218" s="26"/>
      <c r="VQF218" s="23"/>
      <c r="VQK218" s="26"/>
      <c r="VQO218" s="23"/>
      <c r="VQT218" s="26"/>
      <c r="VQX218" s="23"/>
      <c r="VRC218" s="26"/>
      <c r="VRG218" s="23"/>
      <c r="VRL218" s="26"/>
      <c r="VRP218" s="23"/>
      <c r="VRU218" s="26"/>
      <c r="VRY218" s="23"/>
      <c r="VSD218" s="26"/>
      <c r="VSH218" s="23"/>
      <c r="VSM218" s="26"/>
      <c r="VSQ218" s="23"/>
      <c r="VSV218" s="26"/>
      <c r="VSZ218" s="23"/>
      <c r="VTE218" s="26"/>
      <c r="VTI218" s="23"/>
      <c r="VTN218" s="26"/>
      <c r="VTR218" s="23"/>
      <c r="VTW218" s="26"/>
      <c r="VUA218" s="23"/>
      <c r="VUF218" s="26"/>
      <c r="VUJ218" s="23"/>
      <c r="VUO218" s="26"/>
      <c r="VUS218" s="23"/>
      <c r="VUX218" s="26"/>
      <c r="VVB218" s="23"/>
      <c r="VVG218" s="26"/>
      <c r="VVK218" s="23"/>
      <c r="VVP218" s="26"/>
      <c r="VVT218" s="23"/>
      <c r="VVY218" s="26"/>
      <c r="VWC218" s="23"/>
      <c r="VWH218" s="26"/>
      <c r="VWL218" s="23"/>
      <c r="VWQ218" s="26"/>
      <c r="VWU218" s="23"/>
      <c r="VWZ218" s="26"/>
      <c r="VXD218" s="23"/>
      <c r="VXI218" s="26"/>
      <c r="VXM218" s="23"/>
      <c r="VXR218" s="26"/>
      <c r="VXV218" s="23"/>
      <c r="VYA218" s="26"/>
      <c r="VYE218" s="23"/>
      <c r="VYJ218" s="26"/>
      <c r="VYN218" s="23"/>
      <c r="VYS218" s="26"/>
      <c r="VYW218" s="23"/>
      <c r="VZB218" s="26"/>
      <c r="VZF218" s="23"/>
      <c r="VZK218" s="26"/>
      <c r="VZO218" s="23"/>
      <c r="VZT218" s="26"/>
      <c r="VZX218" s="23"/>
      <c r="WAC218" s="26"/>
      <c r="WAG218" s="23"/>
      <c r="WAL218" s="26"/>
      <c r="WAP218" s="23"/>
      <c r="WAU218" s="26"/>
      <c r="WAY218" s="23"/>
      <c r="WBD218" s="26"/>
      <c r="WBH218" s="23"/>
      <c r="WBM218" s="26"/>
      <c r="WBQ218" s="23"/>
      <c r="WBV218" s="26"/>
      <c r="WBZ218" s="23"/>
      <c r="WCE218" s="26"/>
      <c r="WCI218" s="23"/>
      <c r="WCN218" s="26"/>
      <c r="WCR218" s="23"/>
      <c r="WCW218" s="26"/>
      <c r="WDA218" s="23"/>
      <c r="WDF218" s="26"/>
      <c r="WDJ218" s="23"/>
      <c r="WDO218" s="26"/>
      <c r="WDS218" s="23"/>
      <c r="WDX218" s="26"/>
      <c r="WEB218" s="23"/>
      <c r="WEG218" s="26"/>
      <c r="WEK218" s="23"/>
      <c r="WEP218" s="26"/>
      <c r="WET218" s="23"/>
      <c r="WEY218" s="26"/>
      <c r="WFC218" s="23"/>
      <c r="WFH218" s="26"/>
      <c r="WFL218" s="23"/>
      <c r="WFQ218" s="26"/>
      <c r="WFU218" s="23"/>
      <c r="WFZ218" s="26"/>
      <c r="WGD218" s="23"/>
      <c r="WGI218" s="26"/>
      <c r="WGM218" s="23"/>
      <c r="WGR218" s="26"/>
      <c r="WGV218" s="23"/>
      <c r="WHA218" s="26"/>
      <c r="WHE218" s="23"/>
      <c r="WHJ218" s="26"/>
      <c r="WHN218" s="23"/>
      <c r="WHS218" s="26"/>
      <c r="WHW218" s="23"/>
      <c r="WIB218" s="26"/>
      <c r="WIF218" s="23"/>
      <c r="WIK218" s="26"/>
      <c r="WIO218" s="23"/>
      <c r="WIT218" s="26"/>
      <c r="WIX218" s="23"/>
      <c r="WJC218" s="26"/>
      <c r="WJG218" s="23"/>
      <c r="WJL218" s="26"/>
      <c r="WJP218" s="23"/>
      <c r="WJU218" s="26"/>
      <c r="WJY218" s="23"/>
      <c r="WKD218" s="26"/>
      <c r="WKH218" s="23"/>
      <c r="WKM218" s="26"/>
      <c r="WKQ218" s="23"/>
      <c r="WKV218" s="26"/>
      <c r="WKZ218" s="23"/>
      <c r="WLE218" s="26"/>
      <c r="WLI218" s="23"/>
      <c r="WLN218" s="26"/>
      <c r="WLR218" s="23"/>
      <c r="WLW218" s="26"/>
      <c r="WMA218" s="23"/>
      <c r="WMF218" s="26"/>
      <c r="WMJ218" s="23"/>
      <c r="WMO218" s="26"/>
      <c r="WMS218" s="23"/>
      <c r="WMX218" s="26"/>
      <c r="WNB218" s="23"/>
      <c r="WNG218" s="26"/>
      <c r="WNK218" s="23"/>
      <c r="WNP218" s="26"/>
      <c r="WNT218" s="23"/>
      <c r="WNY218" s="26"/>
      <c r="WOC218" s="23"/>
      <c r="WOH218" s="26"/>
      <c r="WOL218" s="23"/>
      <c r="WOQ218" s="26"/>
      <c r="WOU218" s="23"/>
      <c r="WOZ218" s="26"/>
      <c r="WPD218" s="23"/>
      <c r="WPI218" s="26"/>
      <c r="WPM218" s="23"/>
      <c r="WPR218" s="26"/>
      <c r="WPV218" s="23"/>
      <c r="WQA218" s="26"/>
      <c r="WQE218" s="23"/>
      <c r="WQJ218" s="26"/>
      <c r="WQN218" s="23"/>
      <c r="WQS218" s="26"/>
      <c r="WQW218" s="23"/>
      <c r="WRB218" s="26"/>
      <c r="WRF218" s="23"/>
      <c r="WRK218" s="26"/>
      <c r="WRO218" s="23"/>
      <c r="WRT218" s="26"/>
      <c r="WRX218" s="23"/>
      <c r="WSC218" s="26"/>
      <c r="WSG218" s="23"/>
      <c r="WSL218" s="26"/>
      <c r="WSP218" s="23"/>
      <c r="WSU218" s="26"/>
      <c r="WSY218" s="23"/>
      <c r="WTD218" s="26"/>
      <c r="WTH218" s="23"/>
      <c r="WTM218" s="26"/>
      <c r="WTQ218" s="23"/>
      <c r="WTV218" s="26"/>
      <c r="WTZ218" s="23"/>
      <c r="WUE218" s="26"/>
      <c r="WUI218" s="23"/>
      <c r="WUN218" s="26"/>
      <c r="WUR218" s="23"/>
      <c r="WUW218" s="26"/>
      <c r="WVA218" s="23"/>
      <c r="WVF218" s="26"/>
      <c r="WVJ218" s="23"/>
      <c r="WVO218" s="26"/>
      <c r="WVS218" s="23"/>
      <c r="WVX218" s="26"/>
      <c r="WWB218" s="23"/>
      <c r="WWG218" s="26"/>
      <c r="WWK218" s="23"/>
      <c r="WWP218" s="26"/>
      <c r="WWT218" s="23"/>
      <c r="WWY218" s="26"/>
      <c r="WXC218" s="23"/>
      <c r="WXH218" s="26"/>
      <c r="WXL218" s="23"/>
      <c r="WXQ218" s="26"/>
      <c r="WXU218" s="23"/>
      <c r="WXZ218" s="26"/>
      <c r="WYD218" s="23"/>
      <c r="WYI218" s="26"/>
      <c r="WYM218" s="23"/>
      <c r="WYR218" s="26"/>
      <c r="WYV218" s="23"/>
      <c r="WZA218" s="26"/>
      <c r="WZE218" s="23"/>
      <c r="WZJ218" s="26"/>
      <c r="WZN218" s="23"/>
      <c r="WZS218" s="26"/>
      <c r="WZW218" s="23"/>
      <c r="XAB218" s="26"/>
      <c r="XAF218" s="23"/>
      <c r="XAK218" s="26"/>
      <c r="XAO218" s="23"/>
      <c r="XAT218" s="26"/>
      <c r="XAX218" s="23"/>
      <c r="XBC218" s="26"/>
      <c r="XBG218" s="23"/>
      <c r="XBL218" s="26"/>
      <c r="XBP218" s="23"/>
      <c r="XBU218" s="26"/>
      <c r="XBY218" s="23"/>
      <c r="XCD218" s="26"/>
      <c r="XCH218" s="23"/>
      <c r="XCM218" s="26"/>
      <c r="XCQ218" s="23"/>
      <c r="XCV218" s="26"/>
      <c r="XCZ218" s="23"/>
      <c r="XDE218" s="26"/>
      <c r="XDI218" s="23"/>
      <c r="XDN218" s="26"/>
      <c r="XDR218" s="23"/>
      <c r="XDW218" s="26"/>
      <c r="XEA218" s="23"/>
      <c r="XEF218" s="26"/>
      <c r="XEJ218" s="23"/>
      <c r="XEO218" s="26"/>
      <c r="XES218" s="23"/>
      <c r="XEX218" s="26"/>
      <c r="XFB218" s="23"/>
    </row>
    <row r="219" spans="1:1024 1028:2045 2050:3071 3076:4093 4097:5119 5123:6140 6145:7166 7171:8192 8197:9214 9218:10240 10244:11261 11266:12287 12292:13309 13313:14335 14339:15356 15361:16382" x14ac:dyDescent="0.3">
      <c r="B219" s="23"/>
      <c r="K219" s="23"/>
      <c r="P219" s="26"/>
      <c r="T219" s="23"/>
      <c r="Y219" s="26"/>
      <c r="AC219" s="23"/>
      <c r="AH219" s="26"/>
      <c r="AL219" s="23"/>
      <c r="AQ219" s="26"/>
      <c r="AU219" s="23"/>
      <c r="AZ219" s="26"/>
      <c r="BD219" s="23"/>
      <c r="BI219" s="26"/>
      <c r="BM219" s="23"/>
      <c r="BR219" s="26"/>
      <c r="BV219" s="23"/>
      <c r="CA219" s="26"/>
      <c r="CE219" s="23"/>
      <c r="CJ219" s="26"/>
      <c r="CN219" s="23"/>
      <c r="CS219" s="26"/>
      <c r="CW219" s="23"/>
      <c r="DB219" s="26"/>
      <c r="DF219" s="23"/>
      <c r="DK219" s="26"/>
      <c r="DO219" s="23"/>
      <c r="DT219" s="26"/>
      <c r="DX219" s="23"/>
      <c r="EC219" s="26"/>
      <c r="EG219" s="23"/>
      <c r="EL219" s="26"/>
      <c r="EP219" s="23"/>
      <c r="EU219" s="26"/>
      <c r="EY219" s="23"/>
      <c r="FD219" s="26"/>
      <c r="FH219" s="23"/>
      <c r="FM219" s="26"/>
      <c r="FQ219" s="23"/>
      <c r="FV219" s="26"/>
      <c r="FZ219" s="23"/>
      <c r="GE219" s="26"/>
      <c r="GI219" s="23"/>
      <c r="GN219" s="26"/>
      <c r="GR219" s="23"/>
      <c r="GW219" s="26"/>
      <c r="HA219" s="23"/>
      <c r="HF219" s="26"/>
      <c r="HJ219" s="23"/>
      <c r="HO219" s="26"/>
      <c r="HS219" s="23"/>
      <c r="HX219" s="26"/>
      <c r="IB219" s="23"/>
      <c r="IG219" s="26"/>
      <c r="IK219" s="23"/>
      <c r="IP219" s="26"/>
      <c r="IT219" s="23"/>
      <c r="IY219" s="26"/>
      <c r="JC219" s="23"/>
      <c r="JH219" s="26"/>
      <c r="JL219" s="23"/>
      <c r="JQ219" s="26"/>
      <c r="JU219" s="23"/>
      <c r="JZ219" s="26"/>
      <c r="KD219" s="23"/>
      <c r="KI219" s="26"/>
      <c r="KM219" s="23"/>
      <c r="KR219" s="26"/>
      <c r="KV219" s="23"/>
      <c r="LA219" s="26"/>
      <c r="LE219" s="23"/>
      <c r="LJ219" s="26"/>
      <c r="LN219" s="23"/>
      <c r="LS219" s="26"/>
      <c r="LW219" s="23"/>
      <c r="MB219" s="26"/>
      <c r="MF219" s="23"/>
      <c r="MK219" s="26"/>
      <c r="MO219" s="23"/>
      <c r="MT219" s="26"/>
      <c r="MX219" s="23"/>
      <c r="NC219" s="26"/>
      <c r="NG219" s="23"/>
      <c r="NL219" s="26"/>
      <c r="NP219" s="23"/>
      <c r="NU219" s="26"/>
      <c r="NY219" s="23"/>
      <c r="OD219" s="26"/>
      <c r="OH219" s="23"/>
      <c r="OM219" s="26"/>
      <c r="OQ219" s="23"/>
      <c r="OV219" s="26"/>
      <c r="OZ219" s="23"/>
      <c r="PE219" s="26"/>
      <c r="PI219" s="23"/>
      <c r="PN219" s="26"/>
      <c r="PR219" s="23"/>
      <c r="PW219" s="26"/>
      <c r="QA219" s="23"/>
      <c r="QF219" s="26"/>
      <c r="QJ219" s="23"/>
      <c r="QO219" s="26"/>
      <c r="QS219" s="23"/>
      <c r="QX219" s="26"/>
      <c r="RB219" s="23"/>
      <c r="RG219" s="26"/>
      <c r="RK219" s="23"/>
      <c r="RP219" s="26"/>
      <c r="RT219" s="23"/>
      <c r="RY219" s="26"/>
      <c r="SC219" s="23"/>
      <c r="SH219" s="26"/>
      <c r="SL219" s="23"/>
      <c r="SQ219" s="26"/>
      <c r="SU219" s="23"/>
      <c r="SZ219" s="26"/>
      <c r="TD219" s="23"/>
      <c r="TI219" s="26"/>
      <c r="TM219" s="23"/>
      <c r="TR219" s="26"/>
      <c r="TV219" s="23"/>
      <c r="UA219" s="26"/>
      <c r="UE219" s="23"/>
      <c r="UJ219" s="26"/>
      <c r="UN219" s="23"/>
      <c r="US219" s="26"/>
      <c r="UW219" s="23"/>
      <c r="VB219" s="26"/>
      <c r="VF219" s="23"/>
      <c r="VK219" s="26"/>
      <c r="VO219" s="23"/>
      <c r="VT219" s="26"/>
      <c r="VX219" s="23"/>
      <c r="WC219" s="26"/>
      <c r="WG219" s="23"/>
      <c r="WL219" s="26"/>
      <c r="WP219" s="23"/>
      <c r="WU219" s="26"/>
      <c r="WY219" s="23"/>
      <c r="XD219" s="26"/>
      <c r="XH219" s="23"/>
      <c r="XM219" s="26"/>
      <c r="XQ219" s="23"/>
      <c r="XV219" s="26"/>
      <c r="XZ219" s="23"/>
      <c r="YE219" s="26"/>
      <c r="YI219" s="23"/>
      <c r="YN219" s="26"/>
      <c r="YR219" s="23"/>
      <c r="YW219" s="26"/>
      <c r="ZA219" s="23"/>
      <c r="ZF219" s="26"/>
      <c r="ZJ219" s="23"/>
      <c r="ZO219" s="26"/>
      <c r="ZS219" s="23"/>
      <c r="ZX219" s="26"/>
      <c r="AAB219" s="23"/>
      <c r="AAG219" s="26"/>
      <c r="AAK219" s="23"/>
      <c r="AAP219" s="26"/>
      <c r="AAT219" s="23"/>
      <c r="AAY219" s="26"/>
      <c r="ABC219" s="23"/>
      <c r="ABH219" s="26"/>
      <c r="ABL219" s="23"/>
      <c r="ABQ219" s="26"/>
      <c r="ABU219" s="23"/>
      <c r="ABZ219" s="26"/>
      <c r="ACD219" s="23"/>
      <c r="ACI219" s="26"/>
      <c r="ACM219" s="23"/>
      <c r="ACR219" s="26"/>
      <c r="ACV219" s="23"/>
      <c r="ADA219" s="26"/>
      <c r="ADE219" s="23"/>
      <c r="ADJ219" s="26"/>
      <c r="ADN219" s="23"/>
      <c r="ADS219" s="26"/>
      <c r="ADW219" s="23"/>
      <c r="AEB219" s="26"/>
      <c r="AEF219" s="23"/>
      <c r="AEK219" s="26"/>
      <c r="AEO219" s="23"/>
      <c r="AET219" s="26"/>
      <c r="AEX219" s="23"/>
      <c r="AFC219" s="26"/>
      <c r="AFG219" s="23"/>
      <c r="AFL219" s="26"/>
      <c r="AFP219" s="23"/>
      <c r="AFU219" s="26"/>
      <c r="AFY219" s="23"/>
      <c r="AGD219" s="26"/>
      <c r="AGH219" s="23"/>
      <c r="AGM219" s="26"/>
      <c r="AGQ219" s="23"/>
      <c r="AGV219" s="26"/>
      <c r="AGZ219" s="23"/>
      <c r="AHE219" s="26"/>
      <c r="AHI219" s="23"/>
      <c r="AHN219" s="26"/>
      <c r="AHR219" s="23"/>
      <c r="AHW219" s="26"/>
      <c r="AIA219" s="23"/>
      <c r="AIF219" s="26"/>
      <c r="AIJ219" s="23"/>
      <c r="AIO219" s="26"/>
      <c r="AIS219" s="23"/>
      <c r="AIX219" s="26"/>
      <c r="AJB219" s="23"/>
      <c r="AJG219" s="26"/>
      <c r="AJK219" s="23"/>
      <c r="AJP219" s="26"/>
      <c r="AJT219" s="23"/>
      <c r="AJY219" s="26"/>
      <c r="AKC219" s="23"/>
      <c r="AKH219" s="26"/>
      <c r="AKL219" s="23"/>
      <c r="AKQ219" s="26"/>
      <c r="AKU219" s="23"/>
      <c r="AKZ219" s="26"/>
      <c r="ALD219" s="23"/>
      <c r="ALI219" s="26"/>
      <c r="ALM219" s="23"/>
      <c r="ALR219" s="26"/>
      <c r="ALV219" s="23"/>
      <c r="AMA219" s="26"/>
      <c r="AME219" s="23"/>
      <c r="AMJ219" s="26"/>
      <c r="AMN219" s="23"/>
      <c r="AMS219" s="26"/>
      <c r="AMW219" s="23"/>
      <c r="ANB219" s="26"/>
      <c r="ANF219" s="23"/>
      <c r="ANK219" s="26"/>
      <c r="ANO219" s="23"/>
      <c r="ANT219" s="26"/>
      <c r="ANX219" s="23"/>
      <c r="AOC219" s="26"/>
      <c r="AOG219" s="23"/>
      <c r="AOL219" s="26"/>
      <c r="AOP219" s="23"/>
      <c r="AOU219" s="26"/>
      <c r="AOY219" s="23"/>
      <c r="APD219" s="26"/>
      <c r="APH219" s="23"/>
      <c r="APM219" s="26"/>
      <c r="APQ219" s="23"/>
      <c r="APV219" s="26"/>
      <c r="APZ219" s="23"/>
      <c r="AQE219" s="26"/>
      <c r="AQI219" s="23"/>
      <c r="AQN219" s="26"/>
      <c r="AQR219" s="23"/>
      <c r="AQW219" s="26"/>
      <c r="ARA219" s="23"/>
      <c r="ARF219" s="26"/>
      <c r="ARJ219" s="23"/>
      <c r="ARO219" s="26"/>
      <c r="ARS219" s="23"/>
      <c r="ARX219" s="26"/>
      <c r="ASB219" s="23"/>
      <c r="ASG219" s="26"/>
      <c r="ASK219" s="23"/>
      <c r="ASP219" s="26"/>
      <c r="AST219" s="23"/>
      <c r="ASY219" s="26"/>
      <c r="ATC219" s="23"/>
      <c r="ATH219" s="26"/>
      <c r="ATL219" s="23"/>
      <c r="ATQ219" s="26"/>
      <c r="ATU219" s="23"/>
      <c r="ATZ219" s="26"/>
      <c r="AUD219" s="23"/>
      <c r="AUI219" s="26"/>
      <c r="AUM219" s="23"/>
      <c r="AUR219" s="26"/>
      <c r="AUV219" s="23"/>
      <c r="AVA219" s="26"/>
      <c r="AVE219" s="23"/>
      <c r="AVJ219" s="26"/>
      <c r="AVN219" s="23"/>
      <c r="AVS219" s="26"/>
      <c r="AVW219" s="23"/>
      <c r="AWB219" s="26"/>
      <c r="AWF219" s="23"/>
      <c r="AWK219" s="26"/>
      <c r="AWO219" s="23"/>
      <c r="AWT219" s="26"/>
      <c r="AWX219" s="23"/>
      <c r="AXC219" s="26"/>
      <c r="AXG219" s="23"/>
      <c r="AXL219" s="26"/>
      <c r="AXP219" s="23"/>
      <c r="AXU219" s="26"/>
      <c r="AXY219" s="23"/>
      <c r="AYD219" s="26"/>
      <c r="AYH219" s="23"/>
      <c r="AYM219" s="26"/>
      <c r="AYQ219" s="23"/>
      <c r="AYV219" s="26"/>
      <c r="AYZ219" s="23"/>
      <c r="AZE219" s="26"/>
      <c r="AZI219" s="23"/>
      <c r="AZN219" s="26"/>
      <c r="AZR219" s="23"/>
      <c r="AZW219" s="26"/>
      <c r="BAA219" s="23"/>
      <c r="BAF219" s="26"/>
      <c r="BAJ219" s="23"/>
      <c r="BAO219" s="26"/>
      <c r="BAS219" s="23"/>
      <c r="BAX219" s="26"/>
      <c r="BBB219" s="23"/>
      <c r="BBG219" s="26"/>
      <c r="BBK219" s="23"/>
      <c r="BBP219" s="26"/>
      <c r="BBT219" s="23"/>
      <c r="BBY219" s="26"/>
      <c r="BCC219" s="23"/>
      <c r="BCH219" s="26"/>
      <c r="BCL219" s="23"/>
      <c r="BCQ219" s="26"/>
      <c r="BCU219" s="23"/>
      <c r="BCZ219" s="26"/>
      <c r="BDD219" s="23"/>
      <c r="BDI219" s="26"/>
      <c r="BDM219" s="23"/>
      <c r="BDR219" s="26"/>
      <c r="BDV219" s="23"/>
      <c r="BEA219" s="26"/>
      <c r="BEE219" s="23"/>
      <c r="BEJ219" s="26"/>
      <c r="BEN219" s="23"/>
      <c r="BES219" s="26"/>
      <c r="BEW219" s="23"/>
      <c r="BFB219" s="26"/>
      <c r="BFF219" s="23"/>
      <c r="BFK219" s="26"/>
      <c r="BFO219" s="23"/>
      <c r="BFT219" s="26"/>
      <c r="BFX219" s="23"/>
      <c r="BGC219" s="26"/>
      <c r="BGG219" s="23"/>
      <c r="BGL219" s="26"/>
      <c r="BGP219" s="23"/>
      <c r="BGU219" s="26"/>
      <c r="BGY219" s="23"/>
      <c r="BHD219" s="26"/>
      <c r="BHH219" s="23"/>
      <c r="BHM219" s="26"/>
      <c r="BHQ219" s="23"/>
      <c r="BHV219" s="26"/>
      <c r="BHZ219" s="23"/>
      <c r="BIE219" s="26"/>
      <c r="BII219" s="23"/>
      <c r="BIN219" s="26"/>
      <c r="BIR219" s="23"/>
      <c r="BIW219" s="26"/>
      <c r="BJA219" s="23"/>
      <c r="BJF219" s="26"/>
      <c r="BJJ219" s="23"/>
      <c r="BJO219" s="26"/>
      <c r="BJS219" s="23"/>
      <c r="BJX219" s="26"/>
      <c r="BKB219" s="23"/>
      <c r="BKG219" s="26"/>
      <c r="BKK219" s="23"/>
      <c r="BKP219" s="26"/>
      <c r="BKT219" s="23"/>
      <c r="BKY219" s="26"/>
      <c r="BLC219" s="23"/>
      <c r="BLH219" s="26"/>
      <c r="BLL219" s="23"/>
      <c r="BLQ219" s="26"/>
      <c r="BLU219" s="23"/>
      <c r="BLZ219" s="26"/>
      <c r="BMD219" s="23"/>
      <c r="BMI219" s="26"/>
      <c r="BMM219" s="23"/>
      <c r="BMR219" s="26"/>
      <c r="BMV219" s="23"/>
      <c r="BNA219" s="26"/>
      <c r="BNE219" s="23"/>
      <c r="BNJ219" s="26"/>
      <c r="BNN219" s="23"/>
      <c r="BNS219" s="26"/>
      <c r="BNW219" s="23"/>
      <c r="BOB219" s="26"/>
      <c r="BOF219" s="23"/>
      <c r="BOK219" s="26"/>
      <c r="BOO219" s="23"/>
      <c r="BOT219" s="26"/>
      <c r="BOX219" s="23"/>
      <c r="BPC219" s="26"/>
      <c r="BPG219" s="23"/>
      <c r="BPL219" s="26"/>
      <c r="BPP219" s="23"/>
      <c r="BPU219" s="26"/>
      <c r="BPY219" s="23"/>
      <c r="BQD219" s="26"/>
      <c r="BQH219" s="23"/>
      <c r="BQM219" s="26"/>
      <c r="BQQ219" s="23"/>
      <c r="BQV219" s="26"/>
      <c r="BQZ219" s="23"/>
      <c r="BRE219" s="26"/>
      <c r="BRI219" s="23"/>
      <c r="BRN219" s="26"/>
      <c r="BRR219" s="23"/>
      <c r="BRW219" s="26"/>
      <c r="BSA219" s="23"/>
      <c r="BSF219" s="26"/>
      <c r="BSJ219" s="23"/>
      <c r="BSO219" s="26"/>
      <c r="BSS219" s="23"/>
      <c r="BSX219" s="26"/>
      <c r="BTB219" s="23"/>
      <c r="BTG219" s="26"/>
      <c r="BTK219" s="23"/>
      <c r="BTP219" s="26"/>
      <c r="BTT219" s="23"/>
      <c r="BTY219" s="26"/>
      <c r="BUC219" s="23"/>
      <c r="BUH219" s="26"/>
      <c r="BUL219" s="23"/>
      <c r="BUQ219" s="26"/>
      <c r="BUU219" s="23"/>
      <c r="BUZ219" s="26"/>
      <c r="BVD219" s="23"/>
      <c r="BVI219" s="26"/>
      <c r="BVM219" s="23"/>
      <c r="BVR219" s="26"/>
      <c r="BVV219" s="23"/>
      <c r="BWA219" s="26"/>
      <c r="BWE219" s="23"/>
      <c r="BWJ219" s="26"/>
      <c r="BWN219" s="23"/>
      <c r="BWS219" s="26"/>
      <c r="BWW219" s="23"/>
      <c r="BXB219" s="26"/>
      <c r="BXF219" s="23"/>
      <c r="BXK219" s="26"/>
      <c r="BXO219" s="23"/>
      <c r="BXT219" s="26"/>
      <c r="BXX219" s="23"/>
      <c r="BYC219" s="26"/>
      <c r="BYG219" s="23"/>
      <c r="BYL219" s="26"/>
      <c r="BYP219" s="23"/>
      <c r="BYU219" s="26"/>
      <c r="BYY219" s="23"/>
      <c r="BZD219" s="26"/>
      <c r="BZH219" s="23"/>
      <c r="BZM219" s="26"/>
      <c r="BZQ219" s="23"/>
      <c r="BZV219" s="26"/>
      <c r="BZZ219" s="23"/>
      <c r="CAE219" s="26"/>
      <c r="CAI219" s="23"/>
      <c r="CAN219" s="26"/>
      <c r="CAR219" s="23"/>
      <c r="CAW219" s="26"/>
      <c r="CBA219" s="23"/>
      <c r="CBF219" s="26"/>
      <c r="CBJ219" s="23"/>
      <c r="CBO219" s="26"/>
      <c r="CBS219" s="23"/>
      <c r="CBX219" s="26"/>
      <c r="CCB219" s="23"/>
      <c r="CCG219" s="26"/>
      <c r="CCK219" s="23"/>
      <c r="CCP219" s="26"/>
      <c r="CCT219" s="23"/>
      <c r="CCY219" s="26"/>
      <c r="CDC219" s="23"/>
      <c r="CDH219" s="26"/>
      <c r="CDL219" s="23"/>
      <c r="CDQ219" s="26"/>
      <c r="CDU219" s="23"/>
      <c r="CDZ219" s="26"/>
      <c r="CED219" s="23"/>
      <c r="CEI219" s="26"/>
      <c r="CEM219" s="23"/>
      <c r="CER219" s="26"/>
      <c r="CEV219" s="23"/>
      <c r="CFA219" s="26"/>
      <c r="CFE219" s="23"/>
      <c r="CFJ219" s="26"/>
      <c r="CFN219" s="23"/>
      <c r="CFS219" s="26"/>
      <c r="CFW219" s="23"/>
      <c r="CGB219" s="26"/>
      <c r="CGF219" s="23"/>
      <c r="CGK219" s="26"/>
      <c r="CGO219" s="23"/>
      <c r="CGT219" s="26"/>
      <c r="CGX219" s="23"/>
      <c r="CHC219" s="26"/>
      <c r="CHG219" s="23"/>
      <c r="CHL219" s="26"/>
      <c r="CHP219" s="23"/>
      <c r="CHU219" s="26"/>
      <c r="CHY219" s="23"/>
      <c r="CID219" s="26"/>
      <c r="CIH219" s="23"/>
      <c r="CIM219" s="26"/>
      <c r="CIQ219" s="23"/>
      <c r="CIV219" s="26"/>
      <c r="CIZ219" s="23"/>
      <c r="CJE219" s="26"/>
      <c r="CJI219" s="23"/>
      <c r="CJN219" s="26"/>
      <c r="CJR219" s="23"/>
      <c r="CJW219" s="26"/>
      <c r="CKA219" s="23"/>
      <c r="CKF219" s="26"/>
      <c r="CKJ219" s="23"/>
      <c r="CKO219" s="26"/>
      <c r="CKS219" s="23"/>
      <c r="CKX219" s="26"/>
      <c r="CLB219" s="23"/>
      <c r="CLG219" s="26"/>
      <c r="CLK219" s="23"/>
      <c r="CLP219" s="26"/>
      <c r="CLT219" s="23"/>
      <c r="CLY219" s="26"/>
      <c r="CMC219" s="23"/>
      <c r="CMH219" s="26"/>
      <c r="CML219" s="23"/>
      <c r="CMQ219" s="26"/>
      <c r="CMU219" s="23"/>
      <c r="CMZ219" s="26"/>
      <c r="CND219" s="23"/>
      <c r="CNI219" s="26"/>
      <c r="CNM219" s="23"/>
      <c r="CNR219" s="26"/>
      <c r="CNV219" s="23"/>
      <c r="COA219" s="26"/>
      <c r="COE219" s="23"/>
      <c r="COJ219" s="26"/>
      <c r="CON219" s="23"/>
      <c r="COS219" s="26"/>
      <c r="COW219" s="23"/>
      <c r="CPB219" s="26"/>
      <c r="CPF219" s="23"/>
      <c r="CPK219" s="26"/>
      <c r="CPO219" s="23"/>
      <c r="CPT219" s="26"/>
      <c r="CPX219" s="23"/>
      <c r="CQC219" s="26"/>
      <c r="CQG219" s="23"/>
      <c r="CQL219" s="26"/>
      <c r="CQP219" s="23"/>
      <c r="CQU219" s="26"/>
      <c r="CQY219" s="23"/>
      <c r="CRD219" s="26"/>
      <c r="CRH219" s="23"/>
      <c r="CRM219" s="26"/>
      <c r="CRQ219" s="23"/>
      <c r="CRV219" s="26"/>
      <c r="CRZ219" s="23"/>
      <c r="CSE219" s="26"/>
      <c r="CSI219" s="23"/>
      <c r="CSN219" s="26"/>
      <c r="CSR219" s="23"/>
      <c r="CSW219" s="26"/>
      <c r="CTA219" s="23"/>
      <c r="CTF219" s="26"/>
      <c r="CTJ219" s="23"/>
      <c r="CTO219" s="26"/>
      <c r="CTS219" s="23"/>
      <c r="CTX219" s="26"/>
      <c r="CUB219" s="23"/>
      <c r="CUG219" s="26"/>
      <c r="CUK219" s="23"/>
      <c r="CUP219" s="26"/>
      <c r="CUT219" s="23"/>
      <c r="CUY219" s="26"/>
      <c r="CVC219" s="23"/>
      <c r="CVH219" s="26"/>
      <c r="CVL219" s="23"/>
      <c r="CVQ219" s="26"/>
      <c r="CVU219" s="23"/>
      <c r="CVZ219" s="26"/>
      <c r="CWD219" s="23"/>
      <c r="CWI219" s="26"/>
      <c r="CWM219" s="23"/>
      <c r="CWR219" s="26"/>
      <c r="CWV219" s="23"/>
      <c r="CXA219" s="26"/>
      <c r="CXE219" s="23"/>
      <c r="CXJ219" s="26"/>
      <c r="CXN219" s="23"/>
      <c r="CXS219" s="26"/>
      <c r="CXW219" s="23"/>
      <c r="CYB219" s="26"/>
      <c r="CYF219" s="23"/>
      <c r="CYK219" s="26"/>
      <c r="CYO219" s="23"/>
      <c r="CYT219" s="26"/>
      <c r="CYX219" s="23"/>
      <c r="CZC219" s="26"/>
      <c r="CZG219" s="23"/>
      <c r="CZL219" s="26"/>
      <c r="CZP219" s="23"/>
      <c r="CZU219" s="26"/>
      <c r="CZY219" s="23"/>
      <c r="DAD219" s="26"/>
      <c r="DAH219" s="23"/>
      <c r="DAM219" s="26"/>
      <c r="DAQ219" s="23"/>
      <c r="DAV219" s="26"/>
      <c r="DAZ219" s="23"/>
      <c r="DBE219" s="26"/>
      <c r="DBI219" s="23"/>
      <c r="DBN219" s="26"/>
      <c r="DBR219" s="23"/>
      <c r="DBW219" s="26"/>
      <c r="DCA219" s="23"/>
      <c r="DCF219" s="26"/>
      <c r="DCJ219" s="23"/>
      <c r="DCO219" s="26"/>
      <c r="DCS219" s="23"/>
      <c r="DCX219" s="26"/>
      <c r="DDB219" s="23"/>
      <c r="DDG219" s="26"/>
      <c r="DDK219" s="23"/>
      <c r="DDP219" s="26"/>
      <c r="DDT219" s="23"/>
      <c r="DDY219" s="26"/>
      <c r="DEC219" s="23"/>
      <c r="DEH219" s="26"/>
      <c r="DEL219" s="23"/>
      <c r="DEQ219" s="26"/>
      <c r="DEU219" s="23"/>
      <c r="DEZ219" s="26"/>
      <c r="DFD219" s="23"/>
      <c r="DFI219" s="26"/>
      <c r="DFM219" s="23"/>
      <c r="DFR219" s="26"/>
      <c r="DFV219" s="23"/>
      <c r="DGA219" s="26"/>
      <c r="DGE219" s="23"/>
      <c r="DGJ219" s="26"/>
      <c r="DGN219" s="23"/>
      <c r="DGS219" s="26"/>
      <c r="DGW219" s="23"/>
      <c r="DHB219" s="26"/>
      <c r="DHF219" s="23"/>
      <c r="DHK219" s="26"/>
      <c r="DHO219" s="23"/>
      <c r="DHT219" s="26"/>
      <c r="DHX219" s="23"/>
      <c r="DIC219" s="26"/>
      <c r="DIG219" s="23"/>
      <c r="DIL219" s="26"/>
      <c r="DIP219" s="23"/>
      <c r="DIU219" s="26"/>
      <c r="DIY219" s="23"/>
      <c r="DJD219" s="26"/>
      <c r="DJH219" s="23"/>
      <c r="DJM219" s="26"/>
      <c r="DJQ219" s="23"/>
      <c r="DJV219" s="26"/>
      <c r="DJZ219" s="23"/>
      <c r="DKE219" s="26"/>
      <c r="DKI219" s="23"/>
      <c r="DKN219" s="26"/>
      <c r="DKR219" s="23"/>
      <c r="DKW219" s="26"/>
      <c r="DLA219" s="23"/>
      <c r="DLF219" s="26"/>
      <c r="DLJ219" s="23"/>
      <c r="DLO219" s="26"/>
      <c r="DLS219" s="23"/>
      <c r="DLX219" s="26"/>
      <c r="DMB219" s="23"/>
      <c r="DMG219" s="26"/>
      <c r="DMK219" s="23"/>
      <c r="DMP219" s="26"/>
      <c r="DMT219" s="23"/>
      <c r="DMY219" s="26"/>
      <c r="DNC219" s="23"/>
      <c r="DNH219" s="26"/>
      <c r="DNL219" s="23"/>
      <c r="DNQ219" s="26"/>
      <c r="DNU219" s="23"/>
      <c r="DNZ219" s="26"/>
      <c r="DOD219" s="23"/>
      <c r="DOI219" s="26"/>
      <c r="DOM219" s="23"/>
      <c r="DOR219" s="26"/>
      <c r="DOV219" s="23"/>
      <c r="DPA219" s="26"/>
      <c r="DPE219" s="23"/>
      <c r="DPJ219" s="26"/>
      <c r="DPN219" s="23"/>
      <c r="DPS219" s="26"/>
      <c r="DPW219" s="23"/>
      <c r="DQB219" s="26"/>
      <c r="DQF219" s="23"/>
      <c r="DQK219" s="26"/>
      <c r="DQO219" s="23"/>
      <c r="DQT219" s="26"/>
      <c r="DQX219" s="23"/>
      <c r="DRC219" s="26"/>
      <c r="DRG219" s="23"/>
      <c r="DRL219" s="26"/>
      <c r="DRP219" s="23"/>
      <c r="DRU219" s="26"/>
      <c r="DRY219" s="23"/>
      <c r="DSD219" s="26"/>
      <c r="DSH219" s="23"/>
      <c r="DSM219" s="26"/>
      <c r="DSQ219" s="23"/>
      <c r="DSV219" s="26"/>
      <c r="DSZ219" s="23"/>
      <c r="DTE219" s="26"/>
      <c r="DTI219" s="23"/>
      <c r="DTN219" s="26"/>
      <c r="DTR219" s="23"/>
      <c r="DTW219" s="26"/>
      <c r="DUA219" s="23"/>
      <c r="DUF219" s="26"/>
      <c r="DUJ219" s="23"/>
      <c r="DUO219" s="26"/>
      <c r="DUS219" s="23"/>
      <c r="DUX219" s="26"/>
      <c r="DVB219" s="23"/>
      <c r="DVG219" s="26"/>
      <c r="DVK219" s="23"/>
      <c r="DVP219" s="26"/>
      <c r="DVT219" s="23"/>
      <c r="DVY219" s="26"/>
      <c r="DWC219" s="23"/>
      <c r="DWH219" s="26"/>
      <c r="DWL219" s="23"/>
      <c r="DWQ219" s="26"/>
      <c r="DWU219" s="23"/>
      <c r="DWZ219" s="26"/>
      <c r="DXD219" s="23"/>
      <c r="DXI219" s="26"/>
      <c r="DXM219" s="23"/>
      <c r="DXR219" s="26"/>
      <c r="DXV219" s="23"/>
      <c r="DYA219" s="26"/>
      <c r="DYE219" s="23"/>
      <c r="DYJ219" s="26"/>
      <c r="DYN219" s="23"/>
      <c r="DYS219" s="26"/>
      <c r="DYW219" s="23"/>
      <c r="DZB219" s="26"/>
      <c r="DZF219" s="23"/>
      <c r="DZK219" s="26"/>
      <c r="DZO219" s="23"/>
      <c r="DZT219" s="26"/>
      <c r="DZX219" s="23"/>
      <c r="EAC219" s="26"/>
      <c r="EAG219" s="23"/>
      <c r="EAL219" s="26"/>
      <c r="EAP219" s="23"/>
      <c r="EAU219" s="26"/>
      <c r="EAY219" s="23"/>
      <c r="EBD219" s="26"/>
      <c r="EBH219" s="23"/>
      <c r="EBM219" s="26"/>
      <c r="EBQ219" s="23"/>
      <c r="EBV219" s="26"/>
      <c r="EBZ219" s="23"/>
      <c r="ECE219" s="26"/>
      <c r="ECI219" s="23"/>
      <c r="ECN219" s="26"/>
      <c r="ECR219" s="23"/>
      <c r="ECW219" s="26"/>
      <c r="EDA219" s="23"/>
      <c r="EDF219" s="26"/>
      <c r="EDJ219" s="23"/>
      <c r="EDO219" s="26"/>
      <c r="EDS219" s="23"/>
      <c r="EDX219" s="26"/>
      <c r="EEB219" s="23"/>
      <c r="EEG219" s="26"/>
      <c r="EEK219" s="23"/>
      <c r="EEP219" s="26"/>
      <c r="EET219" s="23"/>
      <c r="EEY219" s="26"/>
      <c r="EFC219" s="23"/>
      <c r="EFH219" s="26"/>
      <c r="EFL219" s="23"/>
      <c r="EFQ219" s="26"/>
      <c r="EFU219" s="23"/>
      <c r="EFZ219" s="26"/>
      <c r="EGD219" s="23"/>
      <c r="EGI219" s="26"/>
      <c r="EGM219" s="23"/>
      <c r="EGR219" s="26"/>
      <c r="EGV219" s="23"/>
      <c r="EHA219" s="26"/>
      <c r="EHE219" s="23"/>
      <c r="EHJ219" s="26"/>
      <c r="EHN219" s="23"/>
      <c r="EHS219" s="26"/>
      <c r="EHW219" s="23"/>
      <c r="EIB219" s="26"/>
      <c r="EIF219" s="23"/>
      <c r="EIK219" s="26"/>
      <c r="EIO219" s="23"/>
      <c r="EIT219" s="26"/>
      <c r="EIX219" s="23"/>
      <c r="EJC219" s="26"/>
      <c r="EJG219" s="23"/>
      <c r="EJL219" s="26"/>
      <c r="EJP219" s="23"/>
      <c r="EJU219" s="26"/>
      <c r="EJY219" s="23"/>
      <c r="EKD219" s="26"/>
      <c r="EKH219" s="23"/>
      <c r="EKM219" s="26"/>
      <c r="EKQ219" s="23"/>
      <c r="EKV219" s="26"/>
      <c r="EKZ219" s="23"/>
      <c r="ELE219" s="26"/>
      <c r="ELI219" s="23"/>
      <c r="ELN219" s="26"/>
      <c r="ELR219" s="23"/>
      <c r="ELW219" s="26"/>
      <c r="EMA219" s="23"/>
      <c r="EMF219" s="26"/>
      <c r="EMJ219" s="23"/>
      <c r="EMO219" s="26"/>
      <c r="EMS219" s="23"/>
      <c r="EMX219" s="26"/>
      <c r="ENB219" s="23"/>
      <c r="ENG219" s="26"/>
      <c r="ENK219" s="23"/>
      <c r="ENP219" s="26"/>
      <c r="ENT219" s="23"/>
      <c r="ENY219" s="26"/>
      <c r="EOC219" s="23"/>
      <c r="EOH219" s="26"/>
      <c r="EOL219" s="23"/>
      <c r="EOQ219" s="26"/>
      <c r="EOU219" s="23"/>
      <c r="EOZ219" s="26"/>
      <c r="EPD219" s="23"/>
      <c r="EPI219" s="26"/>
      <c r="EPM219" s="23"/>
      <c r="EPR219" s="26"/>
      <c r="EPV219" s="23"/>
      <c r="EQA219" s="26"/>
      <c r="EQE219" s="23"/>
      <c r="EQJ219" s="26"/>
      <c r="EQN219" s="23"/>
      <c r="EQS219" s="26"/>
      <c r="EQW219" s="23"/>
      <c r="ERB219" s="26"/>
      <c r="ERF219" s="23"/>
      <c r="ERK219" s="26"/>
      <c r="ERO219" s="23"/>
      <c r="ERT219" s="26"/>
      <c r="ERX219" s="23"/>
      <c r="ESC219" s="26"/>
      <c r="ESG219" s="23"/>
      <c r="ESL219" s="26"/>
      <c r="ESP219" s="23"/>
      <c r="ESU219" s="26"/>
      <c r="ESY219" s="23"/>
      <c r="ETD219" s="26"/>
      <c r="ETH219" s="23"/>
      <c r="ETM219" s="26"/>
      <c r="ETQ219" s="23"/>
      <c r="ETV219" s="26"/>
      <c r="ETZ219" s="23"/>
      <c r="EUE219" s="26"/>
      <c r="EUI219" s="23"/>
      <c r="EUN219" s="26"/>
      <c r="EUR219" s="23"/>
      <c r="EUW219" s="26"/>
      <c r="EVA219" s="23"/>
      <c r="EVF219" s="26"/>
      <c r="EVJ219" s="23"/>
      <c r="EVO219" s="26"/>
      <c r="EVS219" s="23"/>
      <c r="EVX219" s="26"/>
      <c r="EWB219" s="23"/>
      <c r="EWG219" s="26"/>
      <c r="EWK219" s="23"/>
      <c r="EWP219" s="26"/>
      <c r="EWT219" s="23"/>
      <c r="EWY219" s="26"/>
      <c r="EXC219" s="23"/>
      <c r="EXH219" s="26"/>
      <c r="EXL219" s="23"/>
      <c r="EXQ219" s="26"/>
      <c r="EXU219" s="23"/>
      <c r="EXZ219" s="26"/>
      <c r="EYD219" s="23"/>
      <c r="EYI219" s="26"/>
      <c r="EYM219" s="23"/>
      <c r="EYR219" s="26"/>
      <c r="EYV219" s="23"/>
      <c r="EZA219" s="26"/>
      <c r="EZE219" s="23"/>
      <c r="EZJ219" s="26"/>
      <c r="EZN219" s="23"/>
      <c r="EZS219" s="26"/>
      <c r="EZW219" s="23"/>
      <c r="FAB219" s="26"/>
      <c r="FAF219" s="23"/>
      <c r="FAK219" s="26"/>
      <c r="FAO219" s="23"/>
      <c r="FAT219" s="26"/>
      <c r="FAX219" s="23"/>
      <c r="FBC219" s="26"/>
      <c r="FBG219" s="23"/>
      <c r="FBL219" s="26"/>
      <c r="FBP219" s="23"/>
      <c r="FBU219" s="26"/>
      <c r="FBY219" s="23"/>
      <c r="FCD219" s="26"/>
      <c r="FCH219" s="23"/>
      <c r="FCM219" s="26"/>
      <c r="FCQ219" s="23"/>
      <c r="FCV219" s="26"/>
      <c r="FCZ219" s="23"/>
      <c r="FDE219" s="26"/>
      <c r="FDI219" s="23"/>
      <c r="FDN219" s="26"/>
      <c r="FDR219" s="23"/>
      <c r="FDW219" s="26"/>
      <c r="FEA219" s="23"/>
      <c r="FEF219" s="26"/>
      <c r="FEJ219" s="23"/>
      <c r="FEO219" s="26"/>
      <c r="FES219" s="23"/>
      <c r="FEX219" s="26"/>
      <c r="FFB219" s="23"/>
      <c r="FFG219" s="26"/>
      <c r="FFK219" s="23"/>
      <c r="FFP219" s="26"/>
      <c r="FFT219" s="23"/>
      <c r="FFY219" s="26"/>
      <c r="FGC219" s="23"/>
      <c r="FGH219" s="26"/>
      <c r="FGL219" s="23"/>
      <c r="FGQ219" s="26"/>
      <c r="FGU219" s="23"/>
      <c r="FGZ219" s="26"/>
      <c r="FHD219" s="23"/>
      <c r="FHI219" s="26"/>
      <c r="FHM219" s="23"/>
      <c r="FHR219" s="26"/>
      <c r="FHV219" s="23"/>
      <c r="FIA219" s="26"/>
      <c r="FIE219" s="23"/>
      <c r="FIJ219" s="26"/>
      <c r="FIN219" s="23"/>
      <c r="FIS219" s="26"/>
      <c r="FIW219" s="23"/>
      <c r="FJB219" s="26"/>
      <c r="FJF219" s="23"/>
      <c r="FJK219" s="26"/>
      <c r="FJO219" s="23"/>
      <c r="FJT219" s="26"/>
      <c r="FJX219" s="23"/>
      <c r="FKC219" s="26"/>
      <c r="FKG219" s="23"/>
      <c r="FKL219" s="26"/>
      <c r="FKP219" s="23"/>
      <c r="FKU219" s="26"/>
      <c r="FKY219" s="23"/>
      <c r="FLD219" s="26"/>
      <c r="FLH219" s="23"/>
      <c r="FLM219" s="26"/>
      <c r="FLQ219" s="23"/>
      <c r="FLV219" s="26"/>
      <c r="FLZ219" s="23"/>
      <c r="FME219" s="26"/>
      <c r="FMI219" s="23"/>
      <c r="FMN219" s="26"/>
      <c r="FMR219" s="23"/>
      <c r="FMW219" s="26"/>
      <c r="FNA219" s="23"/>
      <c r="FNF219" s="26"/>
      <c r="FNJ219" s="23"/>
      <c r="FNO219" s="26"/>
      <c r="FNS219" s="23"/>
      <c r="FNX219" s="26"/>
      <c r="FOB219" s="23"/>
      <c r="FOG219" s="26"/>
      <c r="FOK219" s="23"/>
      <c r="FOP219" s="26"/>
      <c r="FOT219" s="23"/>
      <c r="FOY219" s="26"/>
      <c r="FPC219" s="23"/>
      <c r="FPH219" s="26"/>
      <c r="FPL219" s="23"/>
      <c r="FPQ219" s="26"/>
      <c r="FPU219" s="23"/>
      <c r="FPZ219" s="26"/>
      <c r="FQD219" s="23"/>
      <c r="FQI219" s="26"/>
      <c r="FQM219" s="23"/>
      <c r="FQR219" s="26"/>
      <c r="FQV219" s="23"/>
      <c r="FRA219" s="26"/>
      <c r="FRE219" s="23"/>
      <c r="FRJ219" s="26"/>
      <c r="FRN219" s="23"/>
      <c r="FRS219" s="26"/>
      <c r="FRW219" s="23"/>
      <c r="FSB219" s="26"/>
      <c r="FSF219" s="23"/>
      <c r="FSK219" s="26"/>
      <c r="FSO219" s="23"/>
      <c r="FST219" s="26"/>
      <c r="FSX219" s="23"/>
      <c r="FTC219" s="26"/>
      <c r="FTG219" s="23"/>
      <c r="FTL219" s="26"/>
      <c r="FTP219" s="23"/>
      <c r="FTU219" s="26"/>
      <c r="FTY219" s="23"/>
      <c r="FUD219" s="26"/>
      <c r="FUH219" s="23"/>
      <c r="FUM219" s="26"/>
      <c r="FUQ219" s="23"/>
      <c r="FUV219" s="26"/>
      <c r="FUZ219" s="23"/>
      <c r="FVE219" s="26"/>
      <c r="FVI219" s="23"/>
      <c r="FVN219" s="26"/>
      <c r="FVR219" s="23"/>
      <c r="FVW219" s="26"/>
      <c r="FWA219" s="23"/>
      <c r="FWF219" s="26"/>
      <c r="FWJ219" s="23"/>
      <c r="FWO219" s="26"/>
      <c r="FWS219" s="23"/>
      <c r="FWX219" s="26"/>
      <c r="FXB219" s="23"/>
      <c r="FXG219" s="26"/>
      <c r="FXK219" s="23"/>
      <c r="FXP219" s="26"/>
      <c r="FXT219" s="23"/>
      <c r="FXY219" s="26"/>
      <c r="FYC219" s="23"/>
      <c r="FYH219" s="26"/>
      <c r="FYL219" s="23"/>
      <c r="FYQ219" s="26"/>
      <c r="FYU219" s="23"/>
      <c r="FYZ219" s="26"/>
      <c r="FZD219" s="23"/>
      <c r="FZI219" s="26"/>
      <c r="FZM219" s="23"/>
      <c r="FZR219" s="26"/>
      <c r="FZV219" s="23"/>
      <c r="GAA219" s="26"/>
      <c r="GAE219" s="23"/>
      <c r="GAJ219" s="26"/>
      <c r="GAN219" s="23"/>
      <c r="GAS219" s="26"/>
      <c r="GAW219" s="23"/>
      <c r="GBB219" s="26"/>
      <c r="GBF219" s="23"/>
      <c r="GBK219" s="26"/>
      <c r="GBO219" s="23"/>
      <c r="GBT219" s="26"/>
      <c r="GBX219" s="23"/>
      <c r="GCC219" s="26"/>
      <c r="GCG219" s="23"/>
      <c r="GCL219" s="26"/>
      <c r="GCP219" s="23"/>
      <c r="GCU219" s="26"/>
      <c r="GCY219" s="23"/>
      <c r="GDD219" s="26"/>
      <c r="GDH219" s="23"/>
      <c r="GDM219" s="26"/>
      <c r="GDQ219" s="23"/>
      <c r="GDV219" s="26"/>
      <c r="GDZ219" s="23"/>
      <c r="GEE219" s="26"/>
      <c r="GEI219" s="23"/>
      <c r="GEN219" s="26"/>
      <c r="GER219" s="23"/>
      <c r="GEW219" s="26"/>
      <c r="GFA219" s="23"/>
      <c r="GFF219" s="26"/>
      <c r="GFJ219" s="23"/>
      <c r="GFO219" s="26"/>
      <c r="GFS219" s="23"/>
      <c r="GFX219" s="26"/>
      <c r="GGB219" s="23"/>
      <c r="GGG219" s="26"/>
      <c r="GGK219" s="23"/>
      <c r="GGP219" s="26"/>
      <c r="GGT219" s="23"/>
      <c r="GGY219" s="26"/>
      <c r="GHC219" s="23"/>
      <c r="GHH219" s="26"/>
      <c r="GHL219" s="23"/>
      <c r="GHQ219" s="26"/>
      <c r="GHU219" s="23"/>
      <c r="GHZ219" s="26"/>
      <c r="GID219" s="23"/>
      <c r="GII219" s="26"/>
      <c r="GIM219" s="23"/>
      <c r="GIR219" s="26"/>
      <c r="GIV219" s="23"/>
      <c r="GJA219" s="26"/>
      <c r="GJE219" s="23"/>
      <c r="GJJ219" s="26"/>
      <c r="GJN219" s="23"/>
      <c r="GJS219" s="26"/>
      <c r="GJW219" s="23"/>
      <c r="GKB219" s="26"/>
      <c r="GKF219" s="23"/>
      <c r="GKK219" s="26"/>
      <c r="GKO219" s="23"/>
      <c r="GKT219" s="26"/>
      <c r="GKX219" s="23"/>
      <c r="GLC219" s="26"/>
      <c r="GLG219" s="23"/>
      <c r="GLL219" s="26"/>
      <c r="GLP219" s="23"/>
      <c r="GLU219" s="26"/>
      <c r="GLY219" s="23"/>
      <c r="GMD219" s="26"/>
      <c r="GMH219" s="23"/>
      <c r="GMM219" s="26"/>
      <c r="GMQ219" s="23"/>
      <c r="GMV219" s="26"/>
      <c r="GMZ219" s="23"/>
      <c r="GNE219" s="26"/>
      <c r="GNI219" s="23"/>
      <c r="GNN219" s="26"/>
      <c r="GNR219" s="23"/>
      <c r="GNW219" s="26"/>
      <c r="GOA219" s="23"/>
      <c r="GOF219" s="26"/>
      <c r="GOJ219" s="23"/>
      <c r="GOO219" s="26"/>
      <c r="GOS219" s="23"/>
      <c r="GOX219" s="26"/>
      <c r="GPB219" s="23"/>
      <c r="GPG219" s="26"/>
      <c r="GPK219" s="23"/>
      <c r="GPP219" s="26"/>
      <c r="GPT219" s="23"/>
      <c r="GPY219" s="26"/>
      <c r="GQC219" s="23"/>
      <c r="GQH219" s="26"/>
      <c r="GQL219" s="23"/>
      <c r="GQQ219" s="26"/>
      <c r="GQU219" s="23"/>
      <c r="GQZ219" s="26"/>
      <c r="GRD219" s="23"/>
      <c r="GRI219" s="26"/>
      <c r="GRM219" s="23"/>
      <c r="GRR219" s="26"/>
      <c r="GRV219" s="23"/>
      <c r="GSA219" s="26"/>
      <c r="GSE219" s="23"/>
      <c r="GSJ219" s="26"/>
      <c r="GSN219" s="23"/>
      <c r="GSS219" s="26"/>
      <c r="GSW219" s="23"/>
      <c r="GTB219" s="26"/>
      <c r="GTF219" s="23"/>
      <c r="GTK219" s="26"/>
      <c r="GTO219" s="23"/>
      <c r="GTT219" s="26"/>
      <c r="GTX219" s="23"/>
      <c r="GUC219" s="26"/>
      <c r="GUG219" s="23"/>
      <c r="GUL219" s="26"/>
      <c r="GUP219" s="23"/>
      <c r="GUU219" s="26"/>
      <c r="GUY219" s="23"/>
      <c r="GVD219" s="26"/>
      <c r="GVH219" s="23"/>
      <c r="GVM219" s="26"/>
      <c r="GVQ219" s="23"/>
      <c r="GVV219" s="26"/>
      <c r="GVZ219" s="23"/>
      <c r="GWE219" s="26"/>
      <c r="GWI219" s="23"/>
      <c r="GWN219" s="26"/>
      <c r="GWR219" s="23"/>
      <c r="GWW219" s="26"/>
      <c r="GXA219" s="23"/>
      <c r="GXF219" s="26"/>
      <c r="GXJ219" s="23"/>
      <c r="GXO219" s="26"/>
      <c r="GXS219" s="23"/>
      <c r="GXX219" s="26"/>
      <c r="GYB219" s="23"/>
      <c r="GYG219" s="26"/>
      <c r="GYK219" s="23"/>
      <c r="GYP219" s="26"/>
      <c r="GYT219" s="23"/>
      <c r="GYY219" s="26"/>
      <c r="GZC219" s="23"/>
      <c r="GZH219" s="26"/>
      <c r="GZL219" s="23"/>
      <c r="GZQ219" s="26"/>
      <c r="GZU219" s="23"/>
      <c r="GZZ219" s="26"/>
      <c r="HAD219" s="23"/>
      <c r="HAI219" s="26"/>
      <c r="HAM219" s="23"/>
      <c r="HAR219" s="26"/>
      <c r="HAV219" s="23"/>
      <c r="HBA219" s="26"/>
      <c r="HBE219" s="23"/>
      <c r="HBJ219" s="26"/>
      <c r="HBN219" s="23"/>
      <c r="HBS219" s="26"/>
      <c r="HBW219" s="23"/>
      <c r="HCB219" s="26"/>
      <c r="HCF219" s="23"/>
      <c r="HCK219" s="26"/>
      <c r="HCO219" s="23"/>
      <c r="HCT219" s="26"/>
      <c r="HCX219" s="23"/>
      <c r="HDC219" s="26"/>
      <c r="HDG219" s="23"/>
      <c r="HDL219" s="26"/>
      <c r="HDP219" s="23"/>
      <c r="HDU219" s="26"/>
      <c r="HDY219" s="23"/>
      <c r="HED219" s="26"/>
      <c r="HEH219" s="23"/>
      <c r="HEM219" s="26"/>
      <c r="HEQ219" s="23"/>
      <c r="HEV219" s="26"/>
      <c r="HEZ219" s="23"/>
      <c r="HFE219" s="26"/>
      <c r="HFI219" s="23"/>
      <c r="HFN219" s="26"/>
      <c r="HFR219" s="23"/>
      <c r="HFW219" s="26"/>
      <c r="HGA219" s="23"/>
      <c r="HGF219" s="26"/>
      <c r="HGJ219" s="23"/>
      <c r="HGO219" s="26"/>
      <c r="HGS219" s="23"/>
      <c r="HGX219" s="26"/>
      <c r="HHB219" s="23"/>
      <c r="HHG219" s="26"/>
      <c r="HHK219" s="23"/>
      <c r="HHP219" s="26"/>
      <c r="HHT219" s="23"/>
      <c r="HHY219" s="26"/>
      <c r="HIC219" s="23"/>
      <c r="HIH219" s="26"/>
      <c r="HIL219" s="23"/>
      <c r="HIQ219" s="26"/>
      <c r="HIU219" s="23"/>
      <c r="HIZ219" s="26"/>
      <c r="HJD219" s="23"/>
      <c r="HJI219" s="26"/>
      <c r="HJM219" s="23"/>
      <c r="HJR219" s="26"/>
      <c r="HJV219" s="23"/>
      <c r="HKA219" s="26"/>
      <c r="HKE219" s="23"/>
      <c r="HKJ219" s="26"/>
      <c r="HKN219" s="23"/>
      <c r="HKS219" s="26"/>
      <c r="HKW219" s="23"/>
      <c r="HLB219" s="26"/>
      <c r="HLF219" s="23"/>
      <c r="HLK219" s="26"/>
      <c r="HLO219" s="23"/>
      <c r="HLT219" s="26"/>
      <c r="HLX219" s="23"/>
      <c r="HMC219" s="26"/>
      <c r="HMG219" s="23"/>
      <c r="HML219" s="26"/>
      <c r="HMP219" s="23"/>
      <c r="HMU219" s="26"/>
      <c r="HMY219" s="23"/>
      <c r="HND219" s="26"/>
      <c r="HNH219" s="23"/>
      <c r="HNM219" s="26"/>
      <c r="HNQ219" s="23"/>
      <c r="HNV219" s="26"/>
      <c r="HNZ219" s="23"/>
      <c r="HOE219" s="26"/>
      <c r="HOI219" s="23"/>
      <c r="HON219" s="26"/>
      <c r="HOR219" s="23"/>
      <c r="HOW219" s="26"/>
      <c r="HPA219" s="23"/>
      <c r="HPF219" s="26"/>
      <c r="HPJ219" s="23"/>
      <c r="HPO219" s="26"/>
      <c r="HPS219" s="23"/>
      <c r="HPX219" s="26"/>
      <c r="HQB219" s="23"/>
      <c r="HQG219" s="26"/>
      <c r="HQK219" s="23"/>
      <c r="HQP219" s="26"/>
      <c r="HQT219" s="23"/>
      <c r="HQY219" s="26"/>
      <c r="HRC219" s="23"/>
      <c r="HRH219" s="26"/>
      <c r="HRL219" s="23"/>
      <c r="HRQ219" s="26"/>
      <c r="HRU219" s="23"/>
      <c r="HRZ219" s="26"/>
      <c r="HSD219" s="23"/>
      <c r="HSI219" s="26"/>
      <c r="HSM219" s="23"/>
      <c r="HSR219" s="26"/>
      <c r="HSV219" s="23"/>
      <c r="HTA219" s="26"/>
      <c r="HTE219" s="23"/>
      <c r="HTJ219" s="26"/>
      <c r="HTN219" s="23"/>
      <c r="HTS219" s="26"/>
      <c r="HTW219" s="23"/>
      <c r="HUB219" s="26"/>
      <c r="HUF219" s="23"/>
      <c r="HUK219" s="26"/>
      <c r="HUO219" s="23"/>
      <c r="HUT219" s="26"/>
      <c r="HUX219" s="23"/>
      <c r="HVC219" s="26"/>
      <c r="HVG219" s="23"/>
      <c r="HVL219" s="26"/>
      <c r="HVP219" s="23"/>
      <c r="HVU219" s="26"/>
      <c r="HVY219" s="23"/>
      <c r="HWD219" s="26"/>
      <c r="HWH219" s="23"/>
      <c r="HWM219" s="26"/>
      <c r="HWQ219" s="23"/>
      <c r="HWV219" s="26"/>
      <c r="HWZ219" s="23"/>
      <c r="HXE219" s="26"/>
      <c r="HXI219" s="23"/>
      <c r="HXN219" s="26"/>
      <c r="HXR219" s="23"/>
      <c r="HXW219" s="26"/>
      <c r="HYA219" s="23"/>
      <c r="HYF219" s="26"/>
      <c r="HYJ219" s="23"/>
      <c r="HYO219" s="26"/>
      <c r="HYS219" s="23"/>
      <c r="HYX219" s="26"/>
      <c r="HZB219" s="23"/>
      <c r="HZG219" s="26"/>
      <c r="HZK219" s="23"/>
      <c r="HZP219" s="26"/>
      <c r="HZT219" s="23"/>
      <c r="HZY219" s="26"/>
      <c r="IAC219" s="23"/>
      <c r="IAH219" s="26"/>
      <c r="IAL219" s="23"/>
      <c r="IAQ219" s="26"/>
      <c r="IAU219" s="23"/>
      <c r="IAZ219" s="26"/>
      <c r="IBD219" s="23"/>
      <c r="IBI219" s="26"/>
      <c r="IBM219" s="23"/>
      <c r="IBR219" s="26"/>
      <c r="IBV219" s="23"/>
      <c r="ICA219" s="26"/>
      <c r="ICE219" s="23"/>
      <c r="ICJ219" s="26"/>
      <c r="ICN219" s="23"/>
      <c r="ICS219" s="26"/>
      <c r="ICW219" s="23"/>
      <c r="IDB219" s="26"/>
      <c r="IDF219" s="23"/>
      <c r="IDK219" s="26"/>
      <c r="IDO219" s="23"/>
      <c r="IDT219" s="26"/>
      <c r="IDX219" s="23"/>
      <c r="IEC219" s="26"/>
      <c r="IEG219" s="23"/>
      <c r="IEL219" s="26"/>
      <c r="IEP219" s="23"/>
      <c r="IEU219" s="26"/>
      <c r="IEY219" s="23"/>
      <c r="IFD219" s="26"/>
      <c r="IFH219" s="23"/>
      <c r="IFM219" s="26"/>
      <c r="IFQ219" s="23"/>
      <c r="IFV219" s="26"/>
      <c r="IFZ219" s="23"/>
      <c r="IGE219" s="26"/>
      <c r="IGI219" s="23"/>
      <c r="IGN219" s="26"/>
      <c r="IGR219" s="23"/>
      <c r="IGW219" s="26"/>
      <c r="IHA219" s="23"/>
      <c r="IHF219" s="26"/>
      <c r="IHJ219" s="23"/>
      <c r="IHO219" s="26"/>
      <c r="IHS219" s="23"/>
      <c r="IHX219" s="26"/>
      <c r="IIB219" s="23"/>
      <c r="IIG219" s="26"/>
      <c r="IIK219" s="23"/>
      <c r="IIP219" s="26"/>
      <c r="IIT219" s="23"/>
      <c r="IIY219" s="26"/>
      <c r="IJC219" s="23"/>
      <c r="IJH219" s="26"/>
      <c r="IJL219" s="23"/>
      <c r="IJQ219" s="26"/>
      <c r="IJU219" s="23"/>
      <c r="IJZ219" s="26"/>
      <c r="IKD219" s="23"/>
      <c r="IKI219" s="26"/>
      <c r="IKM219" s="23"/>
      <c r="IKR219" s="26"/>
      <c r="IKV219" s="23"/>
      <c r="ILA219" s="26"/>
      <c r="ILE219" s="23"/>
      <c r="ILJ219" s="26"/>
      <c r="ILN219" s="23"/>
      <c r="ILS219" s="26"/>
      <c r="ILW219" s="23"/>
      <c r="IMB219" s="26"/>
      <c r="IMF219" s="23"/>
      <c r="IMK219" s="26"/>
      <c r="IMO219" s="23"/>
      <c r="IMT219" s="26"/>
      <c r="IMX219" s="23"/>
      <c r="INC219" s="26"/>
      <c r="ING219" s="23"/>
      <c r="INL219" s="26"/>
      <c r="INP219" s="23"/>
      <c r="INU219" s="26"/>
      <c r="INY219" s="23"/>
      <c r="IOD219" s="26"/>
      <c r="IOH219" s="23"/>
      <c r="IOM219" s="26"/>
      <c r="IOQ219" s="23"/>
      <c r="IOV219" s="26"/>
      <c r="IOZ219" s="23"/>
      <c r="IPE219" s="26"/>
      <c r="IPI219" s="23"/>
      <c r="IPN219" s="26"/>
      <c r="IPR219" s="23"/>
      <c r="IPW219" s="26"/>
      <c r="IQA219" s="23"/>
      <c r="IQF219" s="26"/>
      <c r="IQJ219" s="23"/>
      <c r="IQO219" s="26"/>
      <c r="IQS219" s="23"/>
      <c r="IQX219" s="26"/>
      <c r="IRB219" s="23"/>
      <c r="IRG219" s="26"/>
      <c r="IRK219" s="23"/>
      <c r="IRP219" s="26"/>
      <c r="IRT219" s="23"/>
      <c r="IRY219" s="26"/>
      <c r="ISC219" s="23"/>
      <c r="ISH219" s="26"/>
      <c r="ISL219" s="23"/>
      <c r="ISQ219" s="26"/>
      <c r="ISU219" s="23"/>
      <c r="ISZ219" s="26"/>
      <c r="ITD219" s="23"/>
      <c r="ITI219" s="26"/>
      <c r="ITM219" s="23"/>
      <c r="ITR219" s="26"/>
      <c r="ITV219" s="23"/>
      <c r="IUA219" s="26"/>
      <c r="IUE219" s="23"/>
      <c r="IUJ219" s="26"/>
      <c r="IUN219" s="23"/>
      <c r="IUS219" s="26"/>
      <c r="IUW219" s="23"/>
      <c r="IVB219" s="26"/>
      <c r="IVF219" s="23"/>
      <c r="IVK219" s="26"/>
      <c r="IVO219" s="23"/>
      <c r="IVT219" s="26"/>
      <c r="IVX219" s="23"/>
      <c r="IWC219" s="26"/>
      <c r="IWG219" s="23"/>
      <c r="IWL219" s="26"/>
      <c r="IWP219" s="23"/>
      <c r="IWU219" s="26"/>
      <c r="IWY219" s="23"/>
      <c r="IXD219" s="26"/>
      <c r="IXH219" s="23"/>
      <c r="IXM219" s="26"/>
      <c r="IXQ219" s="23"/>
      <c r="IXV219" s="26"/>
      <c r="IXZ219" s="23"/>
      <c r="IYE219" s="26"/>
      <c r="IYI219" s="23"/>
      <c r="IYN219" s="26"/>
      <c r="IYR219" s="23"/>
      <c r="IYW219" s="26"/>
      <c r="IZA219" s="23"/>
      <c r="IZF219" s="26"/>
      <c r="IZJ219" s="23"/>
      <c r="IZO219" s="26"/>
      <c r="IZS219" s="23"/>
      <c r="IZX219" s="26"/>
      <c r="JAB219" s="23"/>
      <c r="JAG219" s="26"/>
      <c r="JAK219" s="23"/>
      <c r="JAP219" s="26"/>
      <c r="JAT219" s="23"/>
      <c r="JAY219" s="26"/>
      <c r="JBC219" s="23"/>
      <c r="JBH219" s="26"/>
      <c r="JBL219" s="23"/>
      <c r="JBQ219" s="26"/>
      <c r="JBU219" s="23"/>
      <c r="JBZ219" s="26"/>
      <c r="JCD219" s="23"/>
      <c r="JCI219" s="26"/>
      <c r="JCM219" s="23"/>
      <c r="JCR219" s="26"/>
      <c r="JCV219" s="23"/>
      <c r="JDA219" s="26"/>
      <c r="JDE219" s="23"/>
      <c r="JDJ219" s="26"/>
      <c r="JDN219" s="23"/>
      <c r="JDS219" s="26"/>
      <c r="JDW219" s="23"/>
      <c r="JEB219" s="26"/>
      <c r="JEF219" s="23"/>
      <c r="JEK219" s="26"/>
      <c r="JEO219" s="23"/>
      <c r="JET219" s="26"/>
      <c r="JEX219" s="23"/>
      <c r="JFC219" s="26"/>
      <c r="JFG219" s="23"/>
      <c r="JFL219" s="26"/>
      <c r="JFP219" s="23"/>
      <c r="JFU219" s="26"/>
      <c r="JFY219" s="23"/>
      <c r="JGD219" s="26"/>
      <c r="JGH219" s="23"/>
      <c r="JGM219" s="26"/>
      <c r="JGQ219" s="23"/>
      <c r="JGV219" s="26"/>
      <c r="JGZ219" s="23"/>
      <c r="JHE219" s="26"/>
      <c r="JHI219" s="23"/>
      <c r="JHN219" s="26"/>
      <c r="JHR219" s="23"/>
      <c r="JHW219" s="26"/>
      <c r="JIA219" s="23"/>
      <c r="JIF219" s="26"/>
      <c r="JIJ219" s="23"/>
      <c r="JIO219" s="26"/>
      <c r="JIS219" s="23"/>
      <c r="JIX219" s="26"/>
      <c r="JJB219" s="23"/>
      <c r="JJG219" s="26"/>
      <c r="JJK219" s="23"/>
      <c r="JJP219" s="26"/>
      <c r="JJT219" s="23"/>
      <c r="JJY219" s="26"/>
      <c r="JKC219" s="23"/>
      <c r="JKH219" s="26"/>
      <c r="JKL219" s="23"/>
      <c r="JKQ219" s="26"/>
      <c r="JKU219" s="23"/>
      <c r="JKZ219" s="26"/>
      <c r="JLD219" s="23"/>
      <c r="JLI219" s="26"/>
      <c r="JLM219" s="23"/>
      <c r="JLR219" s="26"/>
      <c r="JLV219" s="23"/>
      <c r="JMA219" s="26"/>
      <c r="JME219" s="23"/>
      <c r="JMJ219" s="26"/>
      <c r="JMN219" s="23"/>
      <c r="JMS219" s="26"/>
      <c r="JMW219" s="23"/>
      <c r="JNB219" s="26"/>
      <c r="JNF219" s="23"/>
      <c r="JNK219" s="26"/>
      <c r="JNO219" s="23"/>
      <c r="JNT219" s="26"/>
      <c r="JNX219" s="23"/>
      <c r="JOC219" s="26"/>
      <c r="JOG219" s="23"/>
      <c r="JOL219" s="26"/>
      <c r="JOP219" s="23"/>
      <c r="JOU219" s="26"/>
      <c r="JOY219" s="23"/>
      <c r="JPD219" s="26"/>
      <c r="JPH219" s="23"/>
      <c r="JPM219" s="26"/>
      <c r="JPQ219" s="23"/>
      <c r="JPV219" s="26"/>
      <c r="JPZ219" s="23"/>
      <c r="JQE219" s="26"/>
      <c r="JQI219" s="23"/>
      <c r="JQN219" s="26"/>
      <c r="JQR219" s="23"/>
      <c r="JQW219" s="26"/>
      <c r="JRA219" s="23"/>
      <c r="JRF219" s="26"/>
      <c r="JRJ219" s="23"/>
      <c r="JRO219" s="26"/>
      <c r="JRS219" s="23"/>
      <c r="JRX219" s="26"/>
      <c r="JSB219" s="23"/>
      <c r="JSG219" s="26"/>
      <c r="JSK219" s="23"/>
      <c r="JSP219" s="26"/>
      <c r="JST219" s="23"/>
      <c r="JSY219" s="26"/>
      <c r="JTC219" s="23"/>
      <c r="JTH219" s="26"/>
      <c r="JTL219" s="23"/>
      <c r="JTQ219" s="26"/>
      <c r="JTU219" s="23"/>
      <c r="JTZ219" s="26"/>
      <c r="JUD219" s="23"/>
      <c r="JUI219" s="26"/>
      <c r="JUM219" s="23"/>
      <c r="JUR219" s="26"/>
      <c r="JUV219" s="23"/>
      <c r="JVA219" s="26"/>
      <c r="JVE219" s="23"/>
      <c r="JVJ219" s="26"/>
      <c r="JVN219" s="23"/>
      <c r="JVS219" s="26"/>
      <c r="JVW219" s="23"/>
      <c r="JWB219" s="26"/>
      <c r="JWF219" s="23"/>
      <c r="JWK219" s="26"/>
      <c r="JWO219" s="23"/>
      <c r="JWT219" s="26"/>
      <c r="JWX219" s="23"/>
      <c r="JXC219" s="26"/>
      <c r="JXG219" s="23"/>
      <c r="JXL219" s="26"/>
      <c r="JXP219" s="23"/>
      <c r="JXU219" s="26"/>
      <c r="JXY219" s="23"/>
      <c r="JYD219" s="26"/>
      <c r="JYH219" s="23"/>
      <c r="JYM219" s="26"/>
      <c r="JYQ219" s="23"/>
      <c r="JYV219" s="26"/>
      <c r="JYZ219" s="23"/>
      <c r="JZE219" s="26"/>
      <c r="JZI219" s="23"/>
      <c r="JZN219" s="26"/>
      <c r="JZR219" s="23"/>
      <c r="JZW219" s="26"/>
      <c r="KAA219" s="23"/>
      <c r="KAF219" s="26"/>
      <c r="KAJ219" s="23"/>
      <c r="KAO219" s="26"/>
      <c r="KAS219" s="23"/>
      <c r="KAX219" s="26"/>
      <c r="KBB219" s="23"/>
      <c r="KBG219" s="26"/>
      <c r="KBK219" s="23"/>
      <c r="KBP219" s="26"/>
      <c r="KBT219" s="23"/>
      <c r="KBY219" s="26"/>
      <c r="KCC219" s="23"/>
      <c r="KCH219" s="26"/>
      <c r="KCL219" s="23"/>
      <c r="KCQ219" s="26"/>
      <c r="KCU219" s="23"/>
      <c r="KCZ219" s="26"/>
      <c r="KDD219" s="23"/>
      <c r="KDI219" s="26"/>
      <c r="KDM219" s="23"/>
      <c r="KDR219" s="26"/>
      <c r="KDV219" s="23"/>
      <c r="KEA219" s="26"/>
      <c r="KEE219" s="23"/>
      <c r="KEJ219" s="26"/>
      <c r="KEN219" s="23"/>
      <c r="KES219" s="26"/>
      <c r="KEW219" s="23"/>
      <c r="KFB219" s="26"/>
      <c r="KFF219" s="23"/>
      <c r="KFK219" s="26"/>
      <c r="KFO219" s="23"/>
      <c r="KFT219" s="26"/>
      <c r="KFX219" s="23"/>
      <c r="KGC219" s="26"/>
      <c r="KGG219" s="23"/>
      <c r="KGL219" s="26"/>
      <c r="KGP219" s="23"/>
      <c r="KGU219" s="26"/>
      <c r="KGY219" s="23"/>
      <c r="KHD219" s="26"/>
      <c r="KHH219" s="23"/>
      <c r="KHM219" s="26"/>
      <c r="KHQ219" s="23"/>
      <c r="KHV219" s="26"/>
      <c r="KHZ219" s="23"/>
      <c r="KIE219" s="26"/>
      <c r="KII219" s="23"/>
      <c r="KIN219" s="26"/>
      <c r="KIR219" s="23"/>
      <c r="KIW219" s="26"/>
      <c r="KJA219" s="23"/>
      <c r="KJF219" s="26"/>
      <c r="KJJ219" s="23"/>
      <c r="KJO219" s="26"/>
      <c r="KJS219" s="23"/>
      <c r="KJX219" s="26"/>
      <c r="KKB219" s="23"/>
      <c r="KKG219" s="26"/>
      <c r="KKK219" s="23"/>
      <c r="KKP219" s="26"/>
      <c r="KKT219" s="23"/>
      <c r="KKY219" s="26"/>
      <c r="KLC219" s="23"/>
      <c r="KLH219" s="26"/>
      <c r="KLL219" s="23"/>
      <c r="KLQ219" s="26"/>
      <c r="KLU219" s="23"/>
      <c r="KLZ219" s="26"/>
      <c r="KMD219" s="23"/>
      <c r="KMI219" s="26"/>
      <c r="KMM219" s="23"/>
      <c r="KMR219" s="26"/>
      <c r="KMV219" s="23"/>
      <c r="KNA219" s="26"/>
      <c r="KNE219" s="23"/>
      <c r="KNJ219" s="26"/>
      <c r="KNN219" s="23"/>
      <c r="KNS219" s="26"/>
      <c r="KNW219" s="23"/>
      <c r="KOB219" s="26"/>
      <c r="KOF219" s="23"/>
      <c r="KOK219" s="26"/>
      <c r="KOO219" s="23"/>
      <c r="KOT219" s="26"/>
      <c r="KOX219" s="23"/>
      <c r="KPC219" s="26"/>
      <c r="KPG219" s="23"/>
      <c r="KPL219" s="26"/>
      <c r="KPP219" s="23"/>
      <c r="KPU219" s="26"/>
      <c r="KPY219" s="23"/>
      <c r="KQD219" s="26"/>
      <c r="KQH219" s="23"/>
      <c r="KQM219" s="26"/>
      <c r="KQQ219" s="23"/>
      <c r="KQV219" s="26"/>
      <c r="KQZ219" s="23"/>
      <c r="KRE219" s="26"/>
      <c r="KRI219" s="23"/>
      <c r="KRN219" s="26"/>
      <c r="KRR219" s="23"/>
      <c r="KRW219" s="26"/>
      <c r="KSA219" s="23"/>
      <c r="KSF219" s="26"/>
      <c r="KSJ219" s="23"/>
      <c r="KSO219" s="26"/>
      <c r="KSS219" s="23"/>
      <c r="KSX219" s="26"/>
      <c r="KTB219" s="23"/>
      <c r="KTG219" s="26"/>
      <c r="KTK219" s="23"/>
      <c r="KTP219" s="26"/>
      <c r="KTT219" s="23"/>
      <c r="KTY219" s="26"/>
      <c r="KUC219" s="23"/>
      <c r="KUH219" s="26"/>
      <c r="KUL219" s="23"/>
      <c r="KUQ219" s="26"/>
      <c r="KUU219" s="23"/>
      <c r="KUZ219" s="26"/>
      <c r="KVD219" s="23"/>
      <c r="KVI219" s="26"/>
      <c r="KVM219" s="23"/>
      <c r="KVR219" s="26"/>
      <c r="KVV219" s="23"/>
      <c r="KWA219" s="26"/>
      <c r="KWE219" s="23"/>
      <c r="KWJ219" s="26"/>
      <c r="KWN219" s="23"/>
      <c r="KWS219" s="26"/>
      <c r="KWW219" s="23"/>
      <c r="KXB219" s="26"/>
      <c r="KXF219" s="23"/>
      <c r="KXK219" s="26"/>
      <c r="KXO219" s="23"/>
      <c r="KXT219" s="26"/>
      <c r="KXX219" s="23"/>
      <c r="KYC219" s="26"/>
      <c r="KYG219" s="23"/>
      <c r="KYL219" s="26"/>
      <c r="KYP219" s="23"/>
      <c r="KYU219" s="26"/>
      <c r="KYY219" s="23"/>
      <c r="KZD219" s="26"/>
      <c r="KZH219" s="23"/>
      <c r="KZM219" s="26"/>
      <c r="KZQ219" s="23"/>
      <c r="KZV219" s="26"/>
      <c r="KZZ219" s="23"/>
      <c r="LAE219" s="26"/>
      <c r="LAI219" s="23"/>
      <c r="LAN219" s="26"/>
      <c r="LAR219" s="23"/>
      <c r="LAW219" s="26"/>
      <c r="LBA219" s="23"/>
      <c r="LBF219" s="26"/>
      <c r="LBJ219" s="23"/>
      <c r="LBO219" s="26"/>
      <c r="LBS219" s="23"/>
      <c r="LBX219" s="26"/>
      <c r="LCB219" s="23"/>
      <c r="LCG219" s="26"/>
      <c r="LCK219" s="23"/>
      <c r="LCP219" s="26"/>
      <c r="LCT219" s="23"/>
      <c r="LCY219" s="26"/>
      <c r="LDC219" s="23"/>
      <c r="LDH219" s="26"/>
      <c r="LDL219" s="23"/>
      <c r="LDQ219" s="26"/>
      <c r="LDU219" s="23"/>
      <c r="LDZ219" s="26"/>
      <c r="LED219" s="23"/>
      <c r="LEI219" s="26"/>
      <c r="LEM219" s="23"/>
      <c r="LER219" s="26"/>
      <c r="LEV219" s="23"/>
      <c r="LFA219" s="26"/>
      <c r="LFE219" s="23"/>
      <c r="LFJ219" s="26"/>
      <c r="LFN219" s="23"/>
      <c r="LFS219" s="26"/>
      <c r="LFW219" s="23"/>
      <c r="LGB219" s="26"/>
      <c r="LGF219" s="23"/>
      <c r="LGK219" s="26"/>
      <c r="LGO219" s="23"/>
      <c r="LGT219" s="26"/>
      <c r="LGX219" s="23"/>
      <c r="LHC219" s="26"/>
      <c r="LHG219" s="23"/>
      <c r="LHL219" s="26"/>
      <c r="LHP219" s="23"/>
      <c r="LHU219" s="26"/>
      <c r="LHY219" s="23"/>
      <c r="LID219" s="26"/>
      <c r="LIH219" s="23"/>
      <c r="LIM219" s="26"/>
      <c r="LIQ219" s="23"/>
      <c r="LIV219" s="26"/>
      <c r="LIZ219" s="23"/>
      <c r="LJE219" s="26"/>
      <c r="LJI219" s="23"/>
      <c r="LJN219" s="26"/>
      <c r="LJR219" s="23"/>
      <c r="LJW219" s="26"/>
      <c r="LKA219" s="23"/>
      <c r="LKF219" s="26"/>
      <c r="LKJ219" s="23"/>
      <c r="LKO219" s="26"/>
      <c r="LKS219" s="23"/>
      <c r="LKX219" s="26"/>
      <c r="LLB219" s="23"/>
      <c r="LLG219" s="26"/>
      <c r="LLK219" s="23"/>
      <c r="LLP219" s="26"/>
      <c r="LLT219" s="23"/>
      <c r="LLY219" s="26"/>
      <c r="LMC219" s="23"/>
      <c r="LMH219" s="26"/>
      <c r="LML219" s="23"/>
      <c r="LMQ219" s="26"/>
      <c r="LMU219" s="23"/>
      <c r="LMZ219" s="26"/>
      <c r="LND219" s="23"/>
      <c r="LNI219" s="26"/>
      <c r="LNM219" s="23"/>
      <c r="LNR219" s="26"/>
      <c r="LNV219" s="23"/>
      <c r="LOA219" s="26"/>
      <c r="LOE219" s="23"/>
      <c r="LOJ219" s="26"/>
      <c r="LON219" s="23"/>
      <c r="LOS219" s="26"/>
      <c r="LOW219" s="23"/>
      <c r="LPB219" s="26"/>
      <c r="LPF219" s="23"/>
      <c r="LPK219" s="26"/>
      <c r="LPO219" s="23"/>
      <c r="LPT219" s="26"/>
      <c r="LPX219" s="23"/>
      <c r="LQC219" s="26"/>
      <c r="LQG219" s="23"/>
      <c r="LQL219" s="26"/>
      <c r="LQP219" s="23"/>
      <c r="LQU219" s="26"/>
      <c r="LQY219" s="23"/>
      <c r="LRD219" s="26"/>
      <c r="LRH219" s="23"/>
      <c r="LRM219" s="26"/>
      <c r="LRQ219" s="23"/>
      <c r="LRV219" s="26"/>
      <c r="LRZ219" s="23"/>
      <c r="LSE219" s="26"/>
      <c r="LSI219" s="23"/>
      <c r="LSN219" s="26"/>
      <c r="LSR219" s="23"/>
      <c r="LSW219" s="26"/>
      <c r="LTA219" s="23"/>
      <c r="LTF219" s="26"/>
      <c r="LTJ219" s="23"/>
      <c r="LTO219" s="26"/>
      <c r="LTS219" s="23"/>
      <c r="LTX219" s="26"/>
      <c r="LUB219" s="23"/>
      <c r="LUG219" s="26"/>
      <c r="LUK219" s="23"/>
      <c r="LUP219" s="26"/>
      <c r="LUT219" s="23"/>
      <c r="LUY219" s="26"/>
      <c r="LVC219" s="23"/>
      <c r="LVH219" s="26"/>
      <c r="LVL219" s="23"/>
      <c r="LVQ219" s="26"/>
      <c r="LVU219" s="23"/>
      <c r="LVZ219" s="26"/>
      <c r="LWD219" s="23"/>
      <c r="LWI219" s="26"/>
      <c r="LWM219" s="23"/>
      <c r="LWR219" s="26"/>
      <c r="LWV219" s="23"/>
      <c r="LXA219" s="26"/>
      <c r="LXE219" s="23"/>
      <c r="LXJ219" s="26"/>
      <c r="LXN219" s="23"/>
      <c r="LXS219" s="26"/>
      <c r="LXW219" s="23"/>
      <c r="LYB219" s="26"/>
      <c r="LYF219" s="23"/>
      <c r="LYK219" s="26"/>
      <c r="LYO219" s="23"/>
      <c r="LYT219" s="26"/>
      <c r="LYX219" s="23"/>
      <c r="LZC219" s="26"/>
      <c r="LZG219" s="23"/>
      <c r="LZL219" s="26"/>
      <c r="LZP219" s="23"/>
      <c r="LZU219" s="26"/>
      <c r="LZY219" s="23"/>
      <c r="MAD219" s="26"/>
      <c r="MAH219" s="23"/>
      <c r="MAM219" s="26"/>
      <c r="MAQ219" s="23"/>
      <c r="MAV219" s="26"/>
      <c r="MAZ219" s="23"/>
      <c r="MBE219" s="26"/>
      <c r="MBI219" s="23"/>
      <c r="MBN219" s="26"/>
      <c r="MBR219" s="23"/>
      <c r="MBW219" s="26"/>
      <c r="MCA219" s="23"/>
      <c r="MCF219" s="26"/>
      <c r="MCJ219" s="23"/>
      <c r="MCO219" s="26"/>
      <c r="MCS219" s="23"/>
      <c r="MCX219" s="26"/>
      <c r="MDB219" s="23"/>
      <c r="MDG219" s="26"/>
      <c r="MDK219" s="23"/>
      <c r="MDP219" s="26"/>
      <c r="MDT219" s="23"/>
      <c r="MDY219" s="26"/>
      <c r="MEC219" s="23"/>
      <c r="MEH219" s="26"/>
      <c r="MEL219" s="23"/>
      <c r="MEQ219" s="26"/>
      <c r="MEU219" s="23"/>
      <c r="MEZ219" s="26"/>
      <c r="MFD219" s="23"/>
      <c r="MFI219" s="26"/>
      <c r="MFM219" s="23"/>
      <c r="MFR219" s="26"/>
      <c r="MFV219" s="23"/>
      <c r="MGA219" s="26"/>
      <c r="MGE219" s="23"/>
      <c r="MGJ219" s="26"/>
      <c r="MGN219" s="23"/>
      <c r="MGS219" s="26"/>
      <c r="MGW219" s="23"/>
      <c r="MHB219" s="26"/>
      <c r="MHF219" s="23"/>
      <c r="MHK219" s="26"/>
      <c r="MHO219" s="23"/>
      <c r="MHT219" s="26"/>
      <c r="MHX219" s="23"/>
      <c r="MIC219" s="26"/>
      <c r="MIG219" s="23"/>
      <c r="MIL219" s="26"/>
      <c r="MIP219" s="23"/>
      <c r="MIU219" s="26"/>
      <c r="MIY219" s="23"/>
      <c r="MJD219" s="26"/>
      <c r="MJH219" s="23"/>
      <c r="MJM219" s="26"/>
      <c r="MJQ219" s="23"/>
      <c r="MJV219" s="26"/>
      <c r="MJZ219" s="23"/>
      <c r="MKE219" s="26"/>
      <c r="MKI219" s="23"/>
      <c r="MKN219" s="26"/>
      <c r="MKR219" s="23"/>
      <c r="MKW219" s="26"/>
      <c r="MLA219" s="23"/>
      <c r="MLF219" s="26"/>
      <c r="MLJ219" s="23"/>
      <c r="MLO219" s="26"/>
      <c r="MLS219" s="23"/>
      <c r="MLX219" s="26"/>
      <c r="MMB219" s="23"/>
      <c r="MMG219" s="26"/>
      <c r="MMK219" s="23"/>
      <c r="MMP219" s="26"/>
      <c r="MMT219" s="23"/>
      <c r="MMY219" s="26"/>
      <c r="MNC219" s="23"/>
      <c r="MNH219" s="26"/>
      <c r="MNL219" s="23"/>
      <c r="MNQ219" s="26"/>
      <c r="MNU219" s="23"/>
      <c r="MNZ219" s="26"/>
      <c r="MOD219" s="23"/>
      <c r="MOI219" s="26"/>
      <c r="MOM219" s="23"/>
      <c r="MOR219" s="26"/>
      <c r="MOV219" s="23"/>
      <c r="MPA219" s="26"/>
      <c r="MPE219" s="23"/>
      <c r="MPJ219" s="26"/>
      <c r="MPN219" s="23"/>
      <c r="MPS219" s="26"/>
      <c r="MPW219" s="23"/>
      <c r="MQB219" s="26"/>
      <c r="MQF219" s="23"/>
      <c r="MQK219" s="26"/>
      <c r="MQO219" s="23"/>
      <c r="MQT219" s="26"/>
      <c r="MQX219" s="23"/>
      <c r="MRC219" s="26"/>
      <c r="MRG219" s="23"/>
      <c r="MRL219" s="26"/>
      <c r="MRP219" s="23"/>
      <c r="MRU219" s="26"/>
      <c r="MRY219" s="23"/>
      <c r="MSD219" s="26"/>
      <c r="MSH219" s="23"/>
      <c r="MSM219" s="26"/>
      <c r="MSQ219" s="23"/>
      <c r="MSV219" s="26"/>
      <c r="MSZ219" s="23"/>
      <c r="MTE219" s="26"/>
      <c r="MTI219" s="23"/>
      <c r="MTN219" s="26"/>
      <c r="MTR219" s="23"/>
      <c r="MTW219" s="26"/>
      <c r="MUA219" s="23"/>
      <c r="MUF219" s="26"/>
      <c r="MUJ219" s="23"/>
      <c r="MUO219" s="26"/>
      <c r="MUS219" s="23"/>
      <c r="MUX219" s="26"/>
      <c r="MVB219" s="23"/>
      <c r="MVG219" s="26"/>
      <c r="MVK219" s="23"/>
      <c r="MVP219" s="26"/>
      <c r="MVT219" s="23"/>
      <c r="MVY219" s="26"/>
      <c r="MWC219" s="23"/>
      <c r="MWH219" s="26"/>
      <c r="MWL219" s="23"/>
      <c r="MWQ219" s="26"/>
      <c r="MWU219" s="23"/>
      <c r="MWZ219" s="26"/>
      <c r="MXD219" s="23"/>
      <c r="MXI219" s="26"/>
      <c r="MXM219" s="23"/>
      <c r="MXR219" s="26"/>
      <c r="MXV219" s="23"/>
      <c r="MYA219" s="26"/>
      <c r="MYE219" s="23"/>
      <c r="MYJ219" s="26"/>
      <c r="MYN219" s="23"/>
      <c r="MYS219" s="26"/>
      <c r="MYW219" s="23"/>
      <c r="MZB219" s="26"/>
      <c r="MZF219" s="23"/>
      <c r="MZK219" s="26"/>
      <c r="MZO219" s="23"/>
      <c r="MZT219" s="26"/>
      <c r="MZX219" s="23"/>
      <c r="NAC219" s="26"/>
      <c r="NAG219" s="23"/>
      <c r="NAL219" s="26"/>
      <c r="NAP219" s="23"/>
      <c r="NAU219" s="26"/>
      <c r="NAY219" s="23"/>
      <c r="NBD219" s="26"/>
      <c r="NBH219" s="23"/>
      <c r="NBM219" s="26"/>
      <c r="NBQ219" s="23"/>
      <c r="NBV219" s="26"/>
      <c r="NBZ219" s="23"/>
      <c r="NCE219" s="26"/>
      <c r="NCI219" s="23"/>
      <c r="NCN219" s="26"/>
      <c r="NCR219" s="23"/>
      <c r="NCW219" s="26"/>
      <c r="NDA219" s="23"/>
      <c r="NDF219" s="26"/>
      <c r="NDJ219" s="23"/>
      <c r="NDO219" s="26"/>
      <c r="NDS219" s="23"/>
      <c r="NDX219" s="26"/>
      <c r="NEB219" s="23"/>
      <c r="NEG219" s="26"/>
      <c r="NEK219" s="23"/>
      <c r="NEP219" s="26"/>
      <c r="NET219" s="23"/>
      <c r="NEY219" s="26"/>
      <c r="NFC219" s="23"/>
      <c r="NFH219" s="26"/>
      <c r="NFL219" s="23"/>
      <c r="NFQ219" s="26"/>
      <c r="NFU219" s="23"/>
      <c r="NFZ219" s="26"/>
      <c r="NGD219" s="23"/>
      <c r="NGI219" s="26"/>
      <c r="NGM219" s="23"/>
      <c r="NGR219" s="26"/>
      <c r="NGV219" s="23"/>
      <c r="NHA219" s="26"/>
      <c r="NHE219" s="23"/>
      <c r="NHJ219" s="26"/>
      <c r="NHN219" s="23"/>
      <c r="NHS219" s="26"/>
      <c r="NHW219" s="23"/>
      <c r="NIB219" s="26"/>
      <c r="NIF219" s="23"/>
      <c r="NIK219" s="26"/>
      <c r="NIO219" s="23"/>
      <c r="NIT219" s="26"/>
      <c r="NIX219" s="23"/>
      <c r="NJC219" s="26"/>
      <c r="NJG219" s="23"/>
      <c r="NJL219" s="26"/>
      <c r="NJP219" s="23"/>
      <c r="NJU219" s="26"/>
      <c r="NJY219" s="23"/>
      <c r="NKD219" s="26"/>
      <c r="NKH219" s="23"/>
      <c r="NKM219" s="26"/>
      <c r="NKQ219" s="23"/>
      <c r="NKV219" s="26"/>
      <c r="NKZ219" s="23"/>
      <c r="NLE219" s="26"/>
      <c r="NLI219" s="23"/>
      <c r="NLN219" s="26"/>
      <c r="NLR219" s="23"/>
      <c r="NLW219" s="26"/>
      <c r="NMA219" s="23"/>
      <c r="NMF219" s="26"/>
      <c r="NMJ219" s="23"/>
      <c r="NMO219" s="26"/>
      <c r="NMS219" s="23"/>
      <c r="NMX219" s="26"/>
      <c r="NNB219" s="23"/>
      <c r="NNG219" s="26"/>
      <c r="NNK219" s="23"/>
      <c r="NNP219" s="26"/>
      <c r="NNT219" s="23"/>
      <c r="NNY219" s="26"/>
      <c r="NOC219" s="23"/>
      <c r="NOH219" s="26"/>
      <c r="NOL219" s="23"/>
      <c r="NOQ219" s="26"/>
      <c r="NOU219" s="23"/>
      <c r="NOZ219" s="26"/>
      <c r="NPD219" s="23"/>
      <c r="NPI219" s="26"/>
      <c r="NPM219" s="23"/>
      <c r="NPR219" s="26"/>
      <c r="NPV219" s="23"/>
      <c r="NQA219" s="26"/>
      <c r="NQE219" s="23"/>
      <c r="NQJ219" s="26"/>
      <c r="NQN219" s="23"/>
      <c r="NQS219" s="26"/>
      <c r="NQW219" s="23"/>
      <c r="NRB219" s="26"/>
      <c r="NRF219" s="23"/>
      <c r="NRK219" s="26"/>
      <c r="NRO219" s="23"/>
      <c r="NRT219" s="26"/>
      <c r="NRX219" s="23"/>
      <c r="NSC219" s="26"/>
      <c r="NSG219" s="23"/>
      <c r="NSL219" s="26"/>
      <c r="NSP219" s="23"/>
      <c r="NSU219" s="26"/>
      <c r="NSY219" s="23"/>
      <c r="NTD219" s="26"/>
      <c r="NTH219" s="23"/>
      <c r="NTM219" s="26"/>
      <c r="NTQ219" s="23"/>
      <c r="NTV219" s="26"/>
      <c r="NTZ219" s="23"/>
      <c r="NUE219" s="26"/>
      <c r="NUI219" s="23"/>
      <c r="NUN219" s="26"/>
      <c r="NUR219" s="23"/>
      <c r="NUW219" s="26"/>
      <c r="NVA219" s="23"/>
      <c r="NVF219" s="26"/>
      <c r="NVJ219" s="23"/>
      <c r="NVO219" s="26"/>
      <c r="NVS219" s="23"/>
      <c r="NVX219" s="26"/>
      <c r="NWB219" s="23"/>
      <c r="NWG219" s="26"/>
      <c r="NWK219" s="23"/>
      <c r="NWP219" s="26"/>
      <c r="NWT219" s="23"/>
      <c r="NWY219" s="26"/>
      <c r="NXC219" s="23"/>
      <c r="NXH219" s="26"/>
      <c r="NXL219" s="23"/>
      <c r="NXQ219" s="26"/>
      <c r="NXU219" s="23"/>
      <c r="NXZ219" s="26"/>
      <c r="NYD219" s="23"/>
      <c r="NYI219" s="26"/>
      <c r="NYM219" s="23"/>
      <c r="NYR219" s="26"/>
      <c r="NYV219" s="23"/>
      <c r="NZA219" s="26"/>
      <c r="NZE219" s="23"/>
      <c r="NZJ219" s="26"/>
      <c r="NZN219" s="23"/>
      <c r="NZS219" s="26"/>
      <c r="NZW219" s="23"/>
      <c r="OAB219" s="26"/>
      <c r="OAF219" s="23"/>
      <c r="OAK219" s="26"/>
      <c r="OAO219" s="23"/>
      <c r="OAT219" s="26"/>
      <c r="OAX219" s="23"/>
      <c r="OBC219" s="26"/>
      <c r="OBG219" s="23"/>
      <c r="OBL219" s="26"/>
      <c r="OBP219" s="23"/>
      <c r="OBU219" s="26"/>
      <c r="OBY219" s="23"/>
      <c r="OCD219" s="26"/>
      <c r="OCH219" s="23"/>
      <c r="OCM219" s="26"/>
      <c r="OCQ219" s="23"/>
      <c r="OCV219" s="26"/>
      <c r="OCZ219" s="23"/>
      <c r="ODE219" s="26"/>
      <c r="ODI219" s="23"/>
      <c r="ODN219" s="26"/>
      <c r="ODR219" s="23"/>
      <c r="ODW219" s="26"/>
      <c r="OEA219" s="23"/>
      <c r="OEF219" s="26"/>
      <c r="OEJ219" s="23"/>
      <c r="OEO219" s="26"/>
      <c r="OES219" s="23"/>
      <c r="OEX219" s="26"/>
      <c r="OFB219" s="23"/>
      <c r="OFG219" s="26"/>
      <c r="OFK219" s="23"/>
      <c r="OFP219" s="26"/>
      <c r="OFT219" s="23"/>
      <c r="OFY219" s="26"/>
      <c r="OGC219" s="23"/>
      <c r="OGH219" s="26"/>
      <c r="OGL219" s="23"/>
      <c r="OGQ219" s="26"/>
      <c r="OGU219" s="23"/>
      <c r="OGZ219" s="26"/>
      <c r="OHD219" s="23"/>
      <c r="OHI219" s="26"/>
      <c r="OHM219" s="23"/>
      <c r="OHR219" s="26"/>
      <c r="OHV219" s="23"/>
      <c r="OIA219" s="26"/>
      <c r="OIE219" s="23"/>
      <c r="OIJ219" s="26"/>
      <c r="OIN219" s="23"/>
      <c r="OIS219" s="26"/>
      <c r="OIW219" s="23"/>
      <c r="OJB219" s="26"/>
      <c r="OJF219" s="23"/>
      <c r="OJK219" s="26"/>
      <c r="OJO219" s="23"/>
      <c r="OJT219" s="26"/>
      <c r="OJX219" s="23"/>
      <c r="OKC219" s="26"/>
      <c r="OKG219" s="23"/>
      <c r="OKL219" s="26"/>
      <c r="OKP219" s="23"/>
      <c r="OKU219" s="26"/>
      <c r="OKY219" s="23"/>
      <c r="OLD219" s="26"/>
      <c r="OLH219" s="23"/>
      <c r="OLM219" s="26"/>
      <c r="OLQ219" s="23"/>
      <c r="OLV219" s="26"/>
      <c r="OLZ219" s="23"/>
      <c r="OME219" s="26"/>
      <c r="OMI219" s="23"/>
      <c r="OMN219" s="26"/>
      <c r="OMR219" s="23"/>
      <c r="OMW219" s="26"/>
      <c r="ONA219" s="23"/>
      <c r="ONF219" s="26"/>
      <c r="ONJ219" s="23"/>
      <c r="ONO219" s="26"/>
      <c r="ONS219" s="23"/>
      <c r="ONX219" s="26"/>
      <c r="OOB219" s="23"/>
      <c r="OOG219" s="26"/>
      <c r="OOK219" s="23"/>
      <c r="OOP219" s="26"/>
      <c r="OOT219" s="23"/>
      <c r="OOY219" s="26"/>
      <c r="OPC219" s="23"/>
      <c r="OPH219" s="26"/>
      <c r="OPL219" s="23"/>
      <c r="OPQ219" s="26"/>
      <c r="OPU219" s="23"/>
      <c r="OPZ219" s="26"/>
      <c r="OQD219" s="23"/>
      <c r="OQI219" s="26"/>
      <c r="OQM219" s="23"/>
      <c r="OQR219" s="26"/>
      <c r="OQV219" s="23"/>
      <c r="ORA219" s="26"/>
      <c r="ORE219" s="23"/>
      <c r="ORJ219" s="26"/>
      <c r="ORN219" s="23"/>
      <c r="ORS219" s="26"/>
      <c r="ORW219" s="23"/>
      <c r="OSB219" s="26"/>
      <c r="OSF219" s="23"/>
      <c r="OSK219" s="26"/>
      <c r="OSO219" s="23"/>
      <c r="OST219" s="26"/>
      <c r="OSX219" s="23"/>
      <c r="OTC219" s="26"/>
      <c r="OTG219" s="23"/>
      <c r="OTL219" s="26"/>
      <c r="OTP219" s="23"/>
      <c r="OTU219" s="26"/>
      <c r="OTY219" s="23"/>
      <c r="OUD219" s="26"/>
      <c r="OUH219" s="23"/>
      <c r="OUM219" s="26"/>
      <c r="OUQ219" s="23"/>
      <c r="OUV219" s="26"/>
      <c r="OUZ219" s="23"/>
      <c r="OVE219" s="26"/>
      <c r="OVI219" s="23"/>
      <c r="OVN219" s="26"/>
      <c r="OVR219" s="23"/>
      <c r="OVW219" s="26"/>
      <c r="OWA219" s="23"/>
      <c r="OWF219" s="26"/>
      <c r="OWJ219" s="23"/>
      <c r="OWO219" s="26"/>
      <c r="OWS219" s="23"/>
      <c r="OWX219" s="26"/>
      <c r="OXB219" s="23"/>
      <c r="OXG219" s="26"/>
      <c r="OXK219" s="23"/>
      <c r="OXP219" s="26"/>
      <c r="OXT219" s="23"/>
      <c r="OXY219" s="26"/>
      <c r="OYC219" s="23"/>
      <c r="OYH219" s="26"/>
      <c r="OYL219" s="23"/>
      <c r="OYQ219" s="26"/>
      <c r="OYU219" s="23"/>
      <c r="OYZ219" s="26"/>
      <c r="OZD219" s="23"/>
      <c r="OZI219" s="26"/>
      <c r="OZM219" s="23"/>
      <c r="OZR219" s="26"/>
      <c r="OZV219" s="23"/>
      <c r="PAA219" s="26"/>
      <c r="PAE219" s="23"/>
      <c r="PAJ219" s="26"/>
      <c r="PAN219" s="23"/>
      <c r="PAS219" s="26"/>
      <c r="PAW219" s="23"/>
      <c r="PBB219" s="26"/>
      <c r="PBF219" s="23"/>
      <c r="PBK219" s="26"/>
      <c r="PBO219" s="23"/>
      <c r="PBT219" s="26"/>
      <c r="PBX219" s="23"/>
      <c r="PCC219" s="26"/>
      <c r="PCG219" s="23"/>
      <c r="PCL219" s="26"/>
      <c r="PCP219" s="23"/>
      <c r="PCU219" s="26"/>
      <c r="PCY219" s="23"/>
      <c r="PDD219" s="26"/>
      <c r="PDH219" s="23"/>
      <c r="PDM219" s="26"/>
      <c r="PDQ219" s="23"/>
      <c r="PDV219" s="26"/>
      <c r="PDZ219" s="23"/>
      <c r="PEE219" s="26"/>
      <c r="PEI219" s="23"/>
      <c r="PEN219" s="26"/>
      <c r="PER219" s="23"/>
      <c r="PEW219" s="26"/>
      <c r="PFA219" s="23"/>
      <c r="PFF219" s="26"/>
      <c r="PFJ219" s="23"/>
      <c r="PFO219" s="26"/>
      <c r="PFS219" s="23"/>
      <c r="PFX219" s="26"/>
      <c r="PGB219" s="23"/>
      <c r="PGG219" s="26"/>
      <c r="PGK219" s="23"/>
      <c r="PGP219" s="26"/>
      <c r="PGT219" s="23"/>
      <c r="PGY219" s="26"/>
      <c r="PHC219" s="23"/>
      <c r="PHH219" s="26"/>
      <c r="PHL219" s="23"/>
      <c r="PHQ219" s="26"/>
      <c r="PHU219" s="23"/>
      <c r="PHZ219" s="26"/>
      <c r="PID219" s="23"/>
      <c r="PII219" s="26"/>
      <c r="PIM219" s="23"/>
      <c r="PIR219" s="26"/>
      <c r="PIV219" s="23"/>
      <c r="PJA219" s="26"/>
      <c r="PJE219" s="23"/>
      <c r="PJJ219" s="26"/>
      <c r="PJN219" s="23"/>
      <c r="PJS219" s="26"/>
      <c r="PJW219" s="23"/>
      <c r="PKB219" s="26"/>
      <c r="PKF219" s="23"/>
      <c r="PKK219" s="26"/>
      <c r="PKO219" s="23"/>
      <c r="PKT219" s="26"/>
      <c r="PKX219" s="23"/>
      <c r="PLC219" s="26"/>
      <c r="PLG219" s="23"/>
      <c r="PLL219" s="26"/>
      <c r="PLP219" s="23"/>
      <c r="PLU219" s="26"/>
      <c r="PLY219" s="23"/>
      <c r="PMD219" s="26"/>
      <c r="PMH219" s="23"/>
      <c r="PMM219" s="26"/>
      <c r="PMQ219" s="23"/>
      <c r="PMV219" s="26"/>
      <c r="PMZ219" s="23"/>
      <c r="PNE219" s="26"/>
      <c r="PNI219" s="23"/>
      <c r="PNN219" s="26"/>
      <c r="PNR219" s="23"/>
      <c r="PNW219" s="26"/>
      <c r="POA219" s="23"/>
      <c r="POF219" s="26"/>
      <c r="POJ219" s="23"/>
      <c r="POO219" s="26"/>
      <c r="POS219" s="23"/>
      <c r="POX219" s="26"/>
      <c r="PPB219" s="23"/>
      <c r="PPG219" s="26"/>
      <c r="PPK219" s="23"/>
      <c r="PPP219" s="26"/>
      <c r="PPT219" s="23"/>
      <c r="PPY219" s="26"/>
      <c r="PQC219" s="23"/>
      <c r="PQH219" s="26"/>
      <c r="PQL219" s="23"/>
      <c r="PQQ219" s="26"/>
      <c r="PQU219" s="23"/>
      <c r="PQZ219" s="26"/>
      <c r="PRD219" s="23"/>
      <c r="PRI219" s="26"/>
      <c r="PRM219" s="23"/>
      <c r="PRR219" s="26"/>
      <c r="PRV219" s="23"/>
      <c r="PSA219" s="26"/>
      <c r="PSE219" s="23"/>
      <c r="PSJ219" s="26"/>
      <c r="PSN219" s="23"/>
      <c r="PSS219" s="26"/>
      <c r="PSW219" s="23"/>
      <c r="PTB219" s="26"/>
      <c r="PTF219" s="23"/>
      <c r="PTK219" s="26"/>
      <c r="PTO219" s="23"/>
      <c r="PTT219" s="26"/>
      <c r="PTX219" s="23"/>
      <c r="PUC219" s="26"/>
      <c r="PUG219" s="23"/>
      <c r="PUL219" s="26"/>
      <c r="PUP219" s="23"/>
      <c r="PUU219" s="26"/>
      <c r="PUY219" s="23"/>
      <c r="PVD219" s="26"/>
      <c r="PVH219" s="23"/>
      <c r="PVM219" s="26"/>
      <c r="PVQ219" s="23"/>
      <c r="PVV219" s="26"/>
      <c r="PVZ219" s="23"/>
      <c r="PWE219" s="26"/>
      <c r="PWI219" s="23"/>
      <c r="PWN219" s="26"/>
      <c r="PWR219" s="23"/>
      <c r="PWW219" s="26"/>
      <c r="PXA219" s="23"/>
      <c r="PXF219" s="26"/>
      <c r="PXJ219" s="23"/>
      <c r="PXO219" s="26"/>
      <c r="PXS219" s="23"/>
      <c r="PXX219" s="26"/>
      <c r="PYB219" s="23"/>
      <c r="PYG219" s="26"/>
      <c r="PYK219" s="23"/>
      <c r="PYP219" s="26"/>
      <c r="PYT219" s="23"/>
      <c r="PYY219" s="26"/>
      <c r="PZC219" s="23"/>
      <c r="PZH219" s="26"/>
      <c r="PZL219" s="23"/>
      <c r="PZQ219" s="26"/>
      <c r="PZU219" s="23"/>
      <c r="PZZ219" s="26"/>
      <c r="QAD219" s="23"/>
      <c r="QAI219" s="26"/>
      <c r="QAM219" s="23"/>
      <c r="QAR219" s="26"/>
      <c r="QAV219" s="23"/>
      <c r="QBA219" s="26"/>
      <c r="QBE219" s="23"/>
      <c r="QBJ219" s="26"/>
      <c r="QBN219" s="23"/>
      <c r="QBS219" s="26"/>
      <c r="QBW219" s="23"/>
      <c r="QCB219" s="26"/>
      <c r="QCF219" s="23"/>
      <c r="QCK219" s="26"/>
      <c r="QCO219" s="23"/>
      <c r="QCT219" s="26"/>
      <c r="QCX219" s="23"/>
      <c r="QDC219" s="26"/>
      <c r="QDG219" s="23"/>
      <c r="QDL219" s="26"/>
      <c r="QDP219" s="23"/>
      <c r="QDU219" s="26"/>
      <c r="QDY219" s="23"/>
      <c r="QED219" s="26"/>
      <c r="QEH219" s="23"/>
      <c r="QEM219" s="26"/>
      <c r="QEQ219" s="23"/>
      <c r="QEV219" s="26"/>
      <c r="QEZ219" s="23"/>
      <c r="QFE219" s="26"/>
      <c r="QFI219" s="23"/>
      <c r="QFN219" s="26"/>
      <c r="QFR219" s="23"/>
      <c r="QFW219" s="26"/>
      <c r="QGA219" s="23"/>
      <c r="QGF219" s="26"/>
      <c r="QGJ219" s="23"/>
      <c r="QGO219" s="26"/>
      <c r="QGS219" s="23"/>
      <c r="QGX219" s="26"/>
      <c r="QHB219" s="23"/>
      <c r="QHG219" s="26"/>
      <c r="QHK219" s="23"/>
      <c r="QHP219" s="26"/>
      <c r="QHT219" s="23"/>
      <c r="QHY219" s="26"/>
      <c r="QIC219" s="23"/>
      <c r="QIH219" s="26"/>
      <c r="QIL219" s="23"/>
      <c r="QIQ219" s="26"/>
      <c r="QIU219" s="23"/>
      <c r="QIZ219" s="26"/>
      <c r="QJD219" s="23"/>
      <c r="QJI219" s="26"/>
      <c r="QJM219" s="23"/>
      <c r="QJR219" s="26"/>
      <c r="QJV219" s="23"/>
      <c r="QKA219" s="26"/>
      <c r="QKE219" s="23"/>
      <c r="QKJ219" s="26"/>
      <c r="QKN219" s="23"/>
      <c r="QKS219" s="26"/>
      <c r="QKW219" s="23"/>
      <c r="QLB219" s="26"/>
      <c r="QLF219" s="23"/>
      <c r="QLK219" s="26"/>
      <c r="QLO219" s="23"/>
      <c r="QLT219" s="26"/>
      <c r="QLX219" s="23"/>
      <c r="QMC219" s="26"/>
      <c r="QMG219" s="23"/>
      <c r="QML219" s="26"/>
      <c r="QMP219" s="23"/>
      <c r="QMU219" s="26"/>
      <c r="QMY219" s="23"/>
      <c r="QND219" s="26"/>
      <c r="QNH219" s="23"/>
      <c r="QNM219" s="26"/>
      <c r="QNQ219" s="23"/>
      <c r="QNV219" s="26"/>
      <c r="QNZ219" s="23"/>
      <c r="QOE219" s="26"/>
      <c r="QOI219" s="23"/>
      <c r="QON219" s="26"/>
      <c r="QOR219" s="23"/>
      <c r="QOW219" s="26"/>
      <c r="QPA219" s="23"/>
      <c r="QPF219" s="26"/>
      <c r="QPJ219" s="23"/>
      <c r="QPO219" s="26"/>
      <c r="QPS219" s="23"/>
      <c r="QPX219" s="26"/>
      <c r="QQB219" s="23"/>
      <c r="QQG219" s="26"/>
      <c r="QQK219" s="23"/>
      <c r="QQP219" s="26"/>
      <c r="QQT219" s="23"/>
      <c r="QQY219" s="26"/>
      <c r="QRC219" s="23"/>
      <c r="QRH219" s="26"/>
      <c r="QRL219" s="23"/>
      <c r="QRQ219" s="26"/>
      <c r="QRU219" s="23"/>
      <c r="QRZ219" s="26"/>
      <c r="QSD219" s="23"/>
      <c r="QSI219" s="26"/>
      <c r="QSM219" s="23"/>
      <c r="QSR219" s="26"/>
      <c r="QSV219" s="23"/>
      <c r="QTA219" s="26"/>
      <c r="QTE219" s="23"/>
      <c r="QTJ219" s="26"/>
      <c r="QTN219" s="23"/>
      <c r="QTS219" s="26"/>
      <c r="QTW219" s="23"/>
      <c r="QUB219" s="26"/>
      <c r="QUF219" s="23"/>
      <c r="QUK219" s="26"/>
      <c r="QUO219" s="23"/>
      <c r="QUT219" s="26"/>
      <c r="QUX219" s="23"/>
      <c r="QVC219" s="26"/>
      <c r="QVG219" s="23"/>
      <c r="QVL219" s="26"/>
      <c r="QVP219" s="23"/>
      <c r="QVU219" s="26"/>
      <c r="QVY219" s="23"/>
      <c r="QWD219" s="26"/>
      <c r="QWH219" s="23"/>
      <c r="QWM219" s="26"/>
      <c r="QWQ219" s="23"/>
      <c r="QWV219" s="26"/>
      <c r="QWZ219" s="23"/>
      <c r="QXE219" s="26"/>
      <c r="QXI219" s="23"/>
      <c r="QXN219" s="26"/>
      <c r="QXR219" s="23"/>
      <c r="QXW219" s="26"/>
      <c r="QYA219" s="23"/>
      <c r="QYF219" s="26"/>
      <c r="QYJ219" s="23"/>
      <c r="QYO219" s="26"/>
      <c r="QYS219" s="23"/>
      <c r="QYX219" s="26"/>
      <c r="QZB219" s="23"/>
      <c r="QZG219" s="26"/>
      <c r="QZK219" s="23"/>
      <c r="QZP219" s="26"/>
      <c r="QZT219" s="23"/>
      <c r="QZY219" s="26"/>
      <c r="RAC219" s="23"/>
      <c r="RAH219" s="26"/>
      <c r="RAL219" s="23"/>
      <c r="RAQ219" s="26"/>
      <c r="RAU219" s="23"/>
      <c r="RAZ219" s="26"/>
      <c r="RBD219" s="23"/>
      <c r="RBI219" s="26"/>
      <c r="RBM219" s="23"/>
      <c r="RBR219" s="26"/>
      <c r="RBV219" s="23"/>
      <c r="RCA219" s="26"/>
      <c r="RCE219" s="23"/>
      <c r="RCJ219" s="26"/>
      <c r="RCN219" s="23"/>
      <c r="RCS219" s="26"/>
      <c r="RCW219" s="23"/>
      <c r="RDB219" s="26"/>
      <c r="RDF219" s="23"/>
      <c r="RDK219" s="26"/>
      <c r="RDO219" s="23"/>
      <c r="RDT219" s="26"/>
      <c r="RDX219" s="23"/>
      <c r="REC219" s="26"/>
      <c r="REG219" s="23"/>
      <c r="REL219" s="26"/>
      <c r="REP219" s="23"/>
      <c r="REU219" s="26"/>
      <c r="REY219" s="23"/>
      <c r="RFD219" s="26"/>
      <c r="RFH219" s="23"/>
      <c r="RFM219" s="26"/>
      <c r="RFQ219" s="23"/>
      <c r="RFV219" s="26"/>
      <c r="RFZ219" s="23"/>
      <c r="RGE219" s="26"/>
      <c r="RGI219" s="23"/>
      <c r="RGN219" s="26"/>
      <c r="RGR219" s="23"/>
      <c r="RGW219" s="26"/>
      <c r="RHA219" s="23"/>
      <c r="RHF219" s="26"/>
      <c r="RHJ219" s="23"/>
      <c r="RHO219" s="26"/>
      <c r="RHS219" s="23"/>
      <c r="RHX219" s="26"/>
      <c r="RIB219" s="23"/>
      <c r="RIG219" s="26"/>
      <c r="RIK219" s="23"/>
      <c r="RIP219" s="26"/>
      <c r="RIT219" s="23"/>
      <c r="RIY219" s="26"/>
      <c r="RJC219" s="23"/>
      <c r="RJH219" s="26"/>
      <c r="RJL219" s="23"/>
      <c r="RJQ219" s="26"/>
      <c r="RJU219" s="23"/>
      <c r="RJZ219" s="26"/>
      <c r="RKD219" s="23"/>
      <c r="RKI219" s="26"/>
      <c r="RKM219" s="23"/>
      <c r="RKR219" s="26"/>
      <c r="RKV219" s="23"/>
      <c r="RLA219" s="26"/>
      <c r="RLE219" s="23"/>
      <c r="RLJ219" s="26"/>
      <c r="RLN219" s="23"/>
      <c r="RLS219" s="26"/>
      <c r="RLW219" s="23"/>
      <c r="RMB219" s="26"/>
      <c r="RMF219" s="23"/>
      <c r="RMK219" s="26"/>
      <c r="RMO219" s="23"/>
      <c r="RMT219" s="26"/>
      <c r="RMX219" s="23"/>
      <c r="RNC219" s="26"/>
      <c r="RNG219" s="23"/>
      <c r="RNL219" s="26"/>
      <c r="RNP219" s="23"/>
      <c r="RNU219" s="26"/>
      <c r="RNY219" s="23"/>
      <c r="ROD219" s="26"/>
      <c r="ROH219" s="23"/>
      <c r="ROM219" s="26"/>
      <c r="ROQ219" s="23"/>
      <c r="ROV219" s="26"/>
      <c r="ROZ219" s="23"/>
      <c r="RPE219" s="26"/>
      <c r="RPI219" s="23"/>
      <c r="RPN219" s="26"/>
      <c r="RPR219" s="23"/>
      <c r="RPW219" s="26"/>
      <c r="RQA219" s="23"/>
      <c r="RQF219" s="26"/>
      <c r="RQJ219" s="23"/>
      <c r="RQO219" s="26"/>
      <c r="RQS219" s="23"/>
      <c r="RQX219" s="26"/>
      <c r="RRB219" s="23"/>
      <c r="RRG219" s="26"/>
      <c r="RRK219" s="23"/>
      <c r="RRP219" s="26"/>
      <c r="RRT219" s="23"/>
      <c r="RRY219" s="26"/>
      <c r="RSC219" s="23"/>
      <c r="RSH219" s="26"/>
      <c r="RSL219" s="23"/>
      <c r="RSQ219" s="26"/>
      <c r="RSU219" s="23"/>
      <c r="RSZ219" s="26"/>
      <c r="RTD219" s="23"/>
      <c r="RTI219" s="26"/>
      <c r="RTM219" s="23"/>
      <c r="RTR219" s="26"/>
      <c r="RTV219" s="23"/>
      <c r="RUA219" s="26"/>
      <c r="RUE219" s="23"/>
      <c r="RUJ219" s="26"/>
      <c r="RUN219" s="23"/>
      <c r="RUS219" s="26"/>
      <c r="RUW219" s="23"/>
      <c r="RVB219" s="26"/>
      <c r="RVF219" s="23"/>
      <c r="RVK219" s="26"/>
      <c r="RVO219" s="23"/>
      <c r="RVT219" s="26"/>
      <c r="RVX219" s="23"/>
      <c r="RWC219" s="26"/>
      <c r="RWG219" s="23"/>
      <c r="RWL219" s="26"/>
      <c r="RWP219" s="23"/>
      <c r="RWU219" s="26"/>
      <c r="RWY219" s="23"/>
      <c r="RXD219" s="26"/>
      <c r="RXH219" s="23"/>
      <c r="RXM219" s="26"/>
      <c r="RXQ219" s="23"/>
      <c r="RXV219" s="26"/>
      <c r="RXZ219" s="23"/>
      <c r="RYE219" s="26"/>
      <c r="RYI219" s="23"/>
      <c r="RYN219" s="26"/>
      <c r="RYR219" s="23"/>
      <c r="RYW219" s="26"/>
      <c r="RZA219" s="23"/>
      <c r="RZF219" s="26"/>
      <c r="RZJ219" s="23"/>
      <c r="RZO219" s="26"/>
      <c r="RZS219" s="23"/>
      <c r="RZX219" s="26"/>
      <c r="SAB219" s="23"/>
      <c r="SAG219" s="26"/>
      <c r="SAK219" s="23"/>
      <c r="SAP219" s="26"/>
      <c r="SAT219" s="23"/>
      <c r="SAY219" s="26"/>
      <c r="SBC219" s="23"/>
      <c r="SBH219" s="26"/>
      <c r="SBL219" s="23"/>
      <c r="SBQ219" s="26"/>
      <c r="SBU219" s="23"/>
      <c r="SBZ219" s="26"/>
      <c r="SCD219" s="23"/>
      <c r="SCI219" s="26"/>
      <c r="SCM219" s="23"/>
      <c r="SCR219" s="26"/>
      <c r="SCV219" s="23"/>
      <c r="SDA219" s="26"/>
      <c r="SDE219" s="23"/>
      <c r="SDJ219" s="26"/>
      <c r="SDN219" s="23"/>
      <c r="SDS219" s="26"/>
      <c r="SDW219" s="23"/>
      <c r="SEB219" s="26"/>
      <c r="SEF219" s="23"/>
      <c r="SEK219" s="26"/>
      <c r="SEO219" s="23"/>
      <c r="SET219" s="26"/>
      <c r="SEX219" s="23"/>
      <c r="SFC219" s="26"/>
      <c r="SFG219" s="23"/>
      <c r="SFL219" s="26"/>
      <c r="SFP219" s="23"/>
      <c r="SFU219" s="26"/>
      <c r="SFY219" s="23"/>
      <c r="SGD219" s="26"/>
      <c r="SGH219" s="23"/>
      <c r="SGM219" s="26"/>
      <c r="SGQ219" s="23"/>
      <c r="SGV219" s="26"/>
      <c r="SGZ219" s="23"/>
      <c r="SHE219" s="26"/>
      <c r="SHI219" s="23"/>
      <c r="SHN219" s="26"/>
      <c r="SHR219" s="23"/>
      <c r="SHW219" s="26"/>
      <c r="SIA219" s="23"/>
      <c r="SIF219" s="26"/>
      <c r="SIJ219" s="23"/>
      <c r="SIO219" s="26"/>
      <c r="SIS219" s="23"/>
      <c r="SIX219" s="26"/>
      <c r="SJB219" s="23"/>
      <c r="SJG219" s="26"/>
      <c r="SJK219" s="23"/>
      <c r="SJP219" s="26"/>
      <c r="SJT219" s="23"/>
      <c r="SJY219" s="26"/>
      <c r="SKC219" s="23"/>
      <c r="SKH219" s="26"/>
      <c r="SKL219" s="23"/>
      <c r="SKQ219" s="26"/>
      <c r="SKU219" s="23"/>
      <c r="SKZ219" s="26"/>
      <c r="SLD219" s="23"/>
      <c r="SLI219" s="26"/>
      <c r="SLM219" s="23"/>
      <c r="SLR219" s="26"/>
      <c r="SLV219" s="23"/>
      <c r="SMA219" s="26"/>
      <c r="SME219" s="23"/>
      <c r="SMJ219" s="26"/>
      <c r="SMN219" s="23"/>
      <c r="SMS219" s="26"/>
      <c r="SMW219" s="23"/>
      <c r="SNB219" s="26"/>
      <c r="SNF219" s="23"/>
      <c r="SNK219" s="26"/>
      <c r="SNO219" s="23"/>
      <c r="SNT219" s="26"/>
      <c r="SNX219" s="23"/>
      <c r="SOC219" s="26"/>
      <c r="SOG219" s="23"/>
      <c r="SOL219" s="26"/>
      <c r="SOP219" s="23"/>
      <c r="SOU219" s="26"/>
      <c r="SOY219" s="23"/>
      <c r="SPD219" s="26"/>
      <c r="SPH219" s="23"/>
      <c r="SPM219" s="26"/>
      <c r="SPQ219" s="23"/>
      <c r="SPV219" s="26"/>
      <c r="SPZ219" s="23"/>
      <c r="SQE219" s="26"/>
      <c r="SQI219" s="23"/>
      <c r="SQN219" s="26"/>
      <c r="SQR219" s="23"/>
      <c r="SQW219" s="26"/>
      <c r="SRA219" s="23"/>
      <c r="SRF219" s="26"/>
      <c r="SRJ219" s="23"/>
      <c r="SRO219" s="26"/>
      <c r="SRS219" s="23"/>
      <c r="SRX219" s="26"/>
      <c r="SSB219" s="23"/>
      <c r="SSG219" s="26"/>
      <c r="SSK219" s="23"/>
      <c r="SSP219" s="26"/>
      <c r="SST219" s="23"/>
      <c r="SSY219" s="26"/>
      <c r="STC219" s="23"/>
      <c r="STH219" s="26"/>
      <c r="STL219" s="23"/>
      <c r="STQ219" s="26"/>
      <c r="STU219" s="23"/>
      <c r="STZ219" s="26"/>
      <c r="SUD219" s="23"/>
      <c r="SUI219" s="26"/>
      <c r="SUM219" s="23"/>
      <c r="SUR219" s="26"/>
      <c r="SUV219" s="23"/>
      <c r="SVA219" s="26"/>
      <c r="SVE219" s="23"/>
      <c r="SVJ219" s="26"/>
      <c r="SVN219" s="23"/>
      <c r="SVS219" s="26"/>
      <c r="SVW219" s="23"/>
      <c r="SWB219" s="26"/>
      <c r="SWF219" s="23"/>
      <c r="SWK219" s="26"/>
      <c r="SWO219" s="23"/>
      <c r="SWT219" s="26"/>
      <c r="SWX219" s="23"/>
      <c r="SXC219" s="26"/>
      <c r="SXG219" s="23"/>
      <c r="SXL219" s="26"/>
      <c r="SXP219" s="23"/>
      <c r="SXU219" s="26"/>
      <c r="SXY219" s="23"/>
      <c r="SYD219" s="26"/>
      <c r="SYH219" s="23"/>
      <c r="SYM219" s="26"/>
      <c r="SYQ219" s="23"/>
      <c r="SYV219" s="26"/>
      <c r="SYZ219" s="23"/>
      <c r="SZE219" s="26"/>
      <c r="SZI219" s="23"/>
      <c r="SZN219" s="26"/>
      <c r="SZR219" s="23"/>
      <c r="SZW219" s="26"/>
      <c r="TAA219" s="23"/>
      <c r="TAF219" s="26"/>
      <c r="TAJ219" s="23"/>
      <c r="TAO219" s="26"/>
      <c r="TAS219" s="23"/>
      <c r="TAX219" s="26"/>
      <c r="TBB219" s="23"/>
      <c r="TBG219" s="26"/>
      <c r="TBK219" s="23"/>
      <c r="TBP219" s="26"/>
      <c r="TBT219" s="23"/>
      <c r="TBY219" s="26"/>
      <c r="TCC219" s="23"/>
      <c r="TCH219" s="26"/>
      <c r="TCL219" s="23"/>
      <c r="TCQ219" s="26"/>
      <c r="TCU219" s="23"/>
      <c r="TCZ219" s="26"/>
      <c r="TDD219" s="23"/>
      <c r="TDI219" s="26"/>
      <c r="TDM219" s="23"/>
      <c r="TDR219" s="26"/>
      <c r="TDV219" s="23"/>
      <c r="TEA219" s="26"/>
      <c r="TEE219" s="23"/>
      <c r="TEJ219" s="26"/>
      <c r="TEN219" s="23"/>
      <c r="TES219" s="26"/>
      <c r="TEW219" s="23"/>
      <c r="TFB219" s="26"/>
      <c r="TFF219" s="23"/>
      <c r="TFK219" s="26"/>
      <c r="TFO219" s="23"/>
      <c r="TFT219" s="26"/>
      <c r="TFX219" s="23"/>
      <c r="TGC219" s="26"/>
      <c r="TGG219" s="23"/>
      <c r="TGL219" s="26"/>
      <c r="TGP219" s="23"/>
      <c r="TGU219" s="26"/>
      <c r="TGY219" s="23"/>
      <c r="THD219" s="26"/>
      <c r="THH219" s="23"/>
      <c r="THM219" s="26"/>
      <c r="THQ219" s="23"/>
      <c r="THV219" s="26"/>
      <c r="THZ219" s="23"/>
      <c r="TIE219" s="26"/>
      <c r="TII219" s="23"/>
      <c r="TIN219" s="26"/>
      <c r="TIR219" s="23"/>
      <c r="TIW219" s="26"/>
      <c r="TJA219" s="23"/>
      <c r="TJF219" s="26"/>
      <c r="TJJ219" s="23"/>
      <c r="TJO219" s="26"/>
      <c r="TJS219" s="23"/>
      <c r="TJX219" s="26"/>
      <c r="TKB219" s="23"/>
      <c r="TKG219" s="26"/>
      <c r="TKK219" s="23"/>
      <c r="TKP219" s="26"/>
      <c r="TKT219" s="23"/>
      <c r="TKY219" s="26"/>
      <c r="TLC219" s="23"/>
      <c r="TLH219" s="26"/>
      <c r="TLL219" s="23"/>
      <c r="TLQ219" s="26"/>
      <c r="TLU219" s="23"/>
      <c r="TLZ219" s="26"/>
      <c r="TMD219" s="23"/>
      <c r="TMI219" s="26"/>
      <c r="TMM219" s="23"/>
      <c r="TMR219" s="26"/>
      <c r="TMV219" s="23"/>
      <c r="TNA219" s="26"/>
      <c r="TNE219" s="23"/>
      <c r="TNJ219" s="26"/>
      <c r="TNN219" s="23"/>
      <c r="TNS219" s="26"/>
      <c r="TNW219" s="23"/>
      <c r="TOB219" s="26"/>
      <c r="TOF219" s="23"/>
      <c r="TOK219" s="26"/>
      <c r="TOO219" s="23"/>
      <c r="TOT219" s="26"/>
      <c r="TOX219" s="23"/>
      <c r="TPC219" s="26"/>
      <c r="TPG219" s="23"/>
      <c r="TPL219" s="26"/>
      <c r="TPP219" s="23"/>
      <c r="TPU219" s="26"/>
      <c r="TPY219" s="23"/>
      <c r="TQD219" s="26"/>
      <c r="TQH219" s="23"/>
      <c r="TQM219" s="26"/>
      <c r="TQQ219" s="23"/>
      <c r="TQV219" s="26"/>
      <c r="TQZ219" s="23"/>
      <c r="TRE219" s="26"/>
      <c r="TRI219" s="23"/>
      <c r="TRN219" s="26"/>
      <c r="TRR219" s="23"/>
      <c r="TRW219" s="26"/>
      <c r="TSA219" s="23"/>
      <c r="TSF219" s="26"/>
      <c r="TSJ219" s="23"/>
      <c r="TSO219" s="26"/>
      <c r="TSS219" s="23"/>
      <c r="TSX219" s="26"/>
      <c r="TTB219" s="23"/>
      <c r="TTG219" s="26"/>
      <c r="TTK219" s="23"/>
      <c r="TTP219" s="26"/>
      <c r="TTT219" s="23"/>
      <c r="TTY219" s="26"/>
      <c r="TUC219" s="23"/>
      <c r="TUH219" s="26"/>
      <c r="TUL219" s="23"/>
      <c r="TUQ219" s="26"/>
      <c r="TUU219" s="23"/>
      <c r="TUZ219" s="26"/>
      <c r="TVD219" s="23"/>
      <c r="TVI219" s="26"/>
      <c r="TVM219" s="23"/>
      <c r="TVR219" s="26"/>
      <c r="TVV219" s="23"/>
      <c r="TWA219" s="26"/>
      <c r="TWE219" s="23"/>
      <c r="TWJ219" s="26"/>
      <c r="TWN219" s="23"/>
      <c r="TWS219" s="26"/>
      <c r="TWW219" s="23"/>
      <c r="TXB219" s="26"/>
      <c r="TXF219" s="23"/>
      <c r="TXK219" s="26"/>
      <c r="TXO219" s="23"/>
      <c r="TXT219" s="26"/>
      <c r="TXX219" s="23"/>
      <c r="TYC219" s="26"/>
      <c r="TYG219" s="23"/>
      <c r="TYL219" s="26"/>
      <c r="TYP219" s="23"/>
      <c r="TYU219" s="26"/>
      <c r="TYY219" s="23"/>
      <c r="TZD219" s="26"/>
      <c r="TZH219" s="23"/>
      <c r="TZM219" s="26"/>
      <c r="TZQ219" s="23"/>
      <c r="TZV219" s="26"/>
      <c r="TZZ219" s="23"/>
      <c r="UAE219" s="26"/>
      <c r="UAI219" s="23"/>
      <c r="UAN219" s="26"/>
      <c r="UAR219" s="23"/>
      <c r="UAW219" s="26"/>
      <c r="UBA219" s="23"/>
      <c r="UBF219" s="26"/>
      <c r="UBJ219" s="23"/>
      <c r="UBO219" s="26"/>
      <c r="UBS219" s="23"/>
      <c r="UBX219" s="26"/>
      <c r="UCB219" s="23"/>
      <c r="UCG219" s="26"/>
      <c r="UCK219" s="23"/>
      <c r="UCP219" s="26"/>
      <c r="UCT219" s="23"/>
      <c r="UCY219" s="26"/>
      <c r="UDC219" s="23"/>
      <c r="UDH219" s="26"/>
      <c r="UDL219" s="23"/>
      <c r="UDQ219" s="26"/>
      <c r="UDU219" s="23"/>
      <c r="UDZ219" s="26"/>
      <c r="UED219" s="23"/>
      <c r="UEI219" s="26"/>
      <c r="UEM219" s="23"/>
      <c r="UER219" s="26"/>
      <c r="UEV219" s="23"/>
      <c r="UFA219" s="26"/>
      <c r="UFE219" s="23"/>
      <c r="UFJ219" s="26"/>
      <c r="UFN219" s="23"/>
      <c r="UFS219" s="26"/>
      <c r="UFW219" s="23"/>
      <c r="UGB219" s="26"/>
      <c r="UGF219" s="23"/>
      <c r="UGK219" s="26"/>
      <c r="UGO219" s="23"/>
      <c r="UGT219" s="26"/>
      <c r="UGX219" s="23"/>
      <c r="UHC219" s="26"/>
      <c r="UHG219" s="23"/>
      <c r="UHL219" s="26"/>
      <c r="UHP219" s="23"/>
      <c r="UHU219" s="26"/>
      <c r="UHY219" s="23"/>
      <c r="UID219" s="26"/>
      <c r="UIH219" s="23"/>
      <c r="UIM219" s="26"/>
      <c r="UIQ219" s="23"/>
      <c r="UIV219" s="26"/>
      <c r="UIZ219" s="23"/>
      <c r="UJE219" s="26"/>
      <c r="UJI219" s="23"/>
      <c r="UJN219" s="26"/>
      <c r="UJR219" s="23"/>
      <c r="UJW219" s="26"/>
      <c r="UKA219" s="23"/>
      <c r="UKF219" s="26"/>
      <c r="UKJ219" s="23"/>
      <c r="UKO219" s="26"/>
      <c r="UKS219" s="23"/>
      <c r="UKX219" s="26"/>
      <c r="ULB219" s="23"/>
      <c r="ULG219" s="26"/>
      <c r="ULK219" s="23"/>
      <c r="ULP219" s="26"/>
      <c r="ULT219" s="23"/>
      <c r="ULY219" s="26"/>
      <c r="UMC219" s="23"/>
      <c r="UMH219" s="26"/>
      <c r="UML219" s="23"/>
      <c r="UMQ219" s="26"/>
      <c r="UMU219" s="23"/>
      <c r="UMZ219" s="26"/>
      <c r="UND219" s="23"/>
      <c r="UNI219" s="26"/>
      <c r="UNM219" s="23"/>
      <c r="UNR219" s="26"/>
      <c r="UNV219" s="23"/>
      <c r="UOA219" s="26"/>
      <c r="UOE219" s="23"/>
      <c r="UOJ219" s="26"/>
      <c r="UON219" s="23"/>
      <c r="UOS219" s="26"/>
      <c r="UOW219" s="23"/>
      <c r="UPB219" s="26"/>
      <c r="UPF219" s="23"/>
      <c r="UPK219" s="26"/>
      <c r="UPO219" s="23"/>
      <c r="UPT219" s="26"/>
      <c r="UPX219" s="23"/>
      <c r="UQC219" s="26"/>
      <c r="UQG219" s="23"/>
      <c r="UQL219" s="26"/>
      <c r="UQP219" s="23"/>
      <c r="UQU219" s="26"/>
      <c r="UQY219" s="23"/>
      <c r="URD219" s="26"/>
      <c r="URH219" s="23"/>
      <c r="URM219" s="26"/>
      <c r="URQ219" s="23"/>
      <c r="URV219" s="26"/>
      <c r="URZ219" s="23"/>
      <c r="USE219" s="26"/>
      <c r="USI219" s="23"/>
      <c r="USN219" s="26"/>
      <c r="USR219" s="23"/>
      <c r="USW219" s="26"/>
      <c r="UTA219" s="23"/>
      <c r="UTF219" s="26"/>
      <c r="UTJ219" s="23"/>
      <c r="UTO219" s="26"/>
      <c r="UTS219" s="23"/>
      <c r="UTX219" s="26"/>
      <c r="UUB219" s="23"/>
      <c r="UUG219" s="26"/>
      <c r="UUK219" s="23"/>
      <c r="UUP219" s="26"/>
      <c r="UUT219" s="23"/>
      <c r="UUY219" s="26"/>
      <c r="UVC219" s="23"/>
      <c r="UVH219" s="26"/>
      <c r="UVL219" s="23"/>
      <c r="UVQ219" s="26"/>
      <c r="UVU219" s="23"/>
      <c r="UVZ219" s="26"/>
      <c r="UWD219" s="23"/>
      <c r="UWI219" s="26"/>
      <c r="UWM219" s="23"/>
      <c r="UWR219" s="26"/>
      <c r="UWV219" s="23"/>
      <c r="UXA219" s="26"/>
      <c r="UXE219" s="23"/>
      <c r="UXJ219" s="26"/>
      <c r="UXN219" s="23"/>
      <c r="UXS219" s="26"/>
      <c r="UXW219" s="23"/>
      <c r="UYB219" s="26"/>
      <c r="UYF219" s="23"/>
      <c r="UYK219" s="26"/>
      <c r="UYO219" s="23"/>
      <c r="UYT219" s="26"/>
      <c r="UYX219" s="23"/>
      <c r="UZC219" s="26"/>
      <c r="UZG219" s="23"/>
      <c r="UZL219" s="26"/>
      <c r="UZP219" s="23"/>
      <c r="UZU219" s="26"/>
      <c r="UZY219" s="23"/>
      <c r="VAD219" s="26"/>
      <c r="VAH219" s="23"/>
      <c r="VAM219" s="26"/>
      <c r="VAQ219" s="23"/>
      <c r="VAV219" s="26"/>
      <c r="VAZ219" s="23"/>
      <c r="VBE219" s="26"/>
      <c r="VBI219" s="23"/>
      <c r="VBN219" s="26"/>
      <c r="VBR219" s="23"/>
      <c r="VBW219" s="26"/>
      <c r="VCA219" s="23"/>
      <c r="VCF219" s="26"/>
      <c r="VCJ219" s="23"/>
      <c r="VCO219" s="26"/>
      <c r="VCS219" s="23"/>
      <c r="VCX219" s="26"/>
      <c r="VDB219" s="23"/>
      <c r="VDG219" s="26"/>
      <c r="VDK219" s="23"/>
      <c r="VDP219" s="26"/>
      <c r="VDT219" s="23"/>
      <c r="VDY219" s="26"/>
      <c r="VEC219" s="23"/>
      <c r="VEH219" s="26"/>
      <c r="VEL219" s="23"/>
      <c r="VEQ219" s="26"/>
      <c r="VEU219" s="23"/>
      <c r="VEZ219" s="26"/>
      <c r="VFD219" s="23"/>
      <c r="VFI219" s="26"/>
      <c r="VFM219" s="23"/>
      <c r="VFR219" s="26"/>
      <c r="VFV219" s="23"/>
      <c r="VGA219" s="26"/>
      <c r="VGE219" s="23"/>
      <c r="VGJ219" s="26"/>
      <c r="VGN219" s="23"/>
      <c r="VGS219" s="26"/>
      <c r="VGW219" s="23"/>
      <c r="VHB219" s="26"/>
      <c r="VHF219" s="23"/>
      <c r="VHK219" s="26"/>
      <c r="VHO219" s="23"/>
      <c r="VHT219" s="26"/>
      <c r="VHX219" s="23"/>
      <c r="VIC219" s="26"/>
      <c r="VIG219" s="23"/>
      <c r="VIL219" s="26"/>
      <c r="VIP219" s="23"/>
      <c r="VIU219" s="26"/>
      <c r="VIY219" s="23"/>
      <c r="VJD219" s="26"/>
      <c r="VJH219" s="23"/>
      <c r="VJM219" s="26"/>
      <c r="VJQ219" s="23"/>
      <c r="VJV219" s="26"/>
      <c r="VJZ219" s="23"/>
      <c r="VKE219" s="26"/>
      <c r="VKI219" s="23"/>
      <c r="VKN219" s="26"/>
      <c r="VKR219" s="23"/>
      <c r="VKW219" s="26"/>
      <c r="VLA219" s="23"/>
      <c r="VLF219" s="26"/>
      <c r="VLJ219" s="23"/>
      <c r="VLO219" s="26"/>
      <c r="VLS219" s="23"/>
      <c r="VLX219" s="26"/>
      <c r="VMB219" s="23"/>
      <c r="VMG219" s="26"/>
      <c r="VMK219" s="23"/>
      <c r="VMP219" s="26"/>
      <c r="VMT219" s="23"/>
      <c r="VMY219" s="26"/>
      <c r="VNC219" s="23"/>
      <c r="VNH219" s="26"/>
      <c r="VNL219" s="23"/>
      <c r="VNQ219" s="26"/>
      <c r="VNU219" s="23"/>
      <c r="VNZ219" s="26"/>
      <c r="VOD219" s="23"/>
      <c r="VOI219" s="26"/>
      <c r="VOM219" s="23"/>
      <c r="VOR219" s="26"/>
      <c r="VOV219" s="23"/>
      <c r="VPA219" s="26"/>
      <c r="VPE219" s="23"/>
      <c r="VPJ219" s="26"/>
      <c r="VPN219" s="23"/>
      <c r="VPS219" s="26"/>
      <c r="VPW219" s="23"/>
      <c r="VQB219" s="26"/>
      <c r="VQF219" s="23"/>
      <c r="VQK219" s="26"/>
      <c r="VQO219" s="23"/>
      <c r="VQT219" s="26"/>
      <c r="VQX219" s="23"/>
      <c r="VRC219" s="26"/>
      <c r="VRG219" s="23"/>
      <c r="VRL219" s="26"/>
      <c r="VRP219" s="23"/>
      <c r="VRU219" s="26"/>
      <c r="VRY219" s="23"/>
      <c r="VSD219" s="26"/>
      <c r="VSH219" s="23"/>
      <c r="VSM219" s="26"/>
      <c r="VSQ219" s="23"/>
      <c r="VSV219" s="26"/>
      <c r="VSZ219" s="23"/>
      <c r="VTE219" s="26"/>
      <c r="VTI219" s="23"/>
      <c r="VTN219" s="26"/>
      <c r="VTR219" s="23"/>
      <c r="VTW219" s="26"/>
      <c r="VUA219" s="23"/>
      <c r="VUF219" s="26"/>
      <c r="VUJ219" s="23"/>
      <c r="VUO219" s="26"/>
      <c r="VUS219" s="23"/>
      <c r="VUX219" s="26"/>
      <c r="VVB219" s="23"/>
      <c r="VVG219" s="26"/>
      <c r="VVK219" s="23"/>
      <c r="VVP219" s="26"/>
      <c r="VVT219" s="23"/>
      <c r="VVY219" s="26"/>
      <c r="VWC219" s="23"/>
      <c r="VWH219" s="26"/>
      <c r="VWL219" s="23"/>
      <c r="VWQ219" s="26"/>
      <c r="VWU219" s="23"/>
      <c r="VWZ219" s="26"/>
      <c r="VXD219" s="23"/>
      <c r="VXI219" s="26"/>
      <c r="VXM219" s="23"/>
      <c r="VXR219" s="26"/>
      <c r="VXV219" s="23"/>
      <c r="VYA219" s="26"/>
      <c r="VYE219" s="23"/>
      <c r="VYJ219" s="26"/>
      <c r="VYN219" s="23"/>
      <c r="VYS219" s="26"/>
      <c r="VYW219" s="23"/>
      <c r="VZB219" s="26"/>
      <c r="VZF219" s="23"/>
      <c r="VZK219" s="26"/>
      <c r="VZO219" s="23"/>
      <c r="VZT219" s="26"/>
      <c r="VZX219" s="23"/>
      <c r="WAC219" s="26"/>
      <c r="WAG219" s="23"/>
      <c r="WAL219" s="26"/>
      <c r="WAP219" s="23"/>
      <c r="WAU219" s="26"/>
      <c r="WAY219" s="23"/>
      <c r="WBD219" s="26"/>
      <c r="WBH219" s="23"/>
      <c r="WBM219" s="26"/>
      <c r="WBQ219" s="23"/>
      <c r="WBV219" s="26"/>
      <c r="WBZ219" s="23"/>
      <c r="WCE219" s="26"/>
      <c r="WCI219" s="23"/>
      <c r="WCN219" s="26"/>
      <c r="WCR219" s="23"/>
      <c r="WCW219" s="26"/>
      <c r="WDA219" s="23"/>
      <c r="WDF219" s="26"/>
      <c r="WDJ219" s="23"/>
      <c r="WDO219" s="26"/>
      <c r="WDS219" s="23"/>
      <c r="WDX219" s="26"/>
      <c r="WEB219" s="23"/>
      <c r="WEG219" s="26"/>
      <c r="WEK219" s="23"/>
      <c r="WEP219" s="26"/>
      <c r="WET219" s="23"/>
      <c r="WEY219" s="26"/>
      <c r="WFC219" s="23"/>
      <c r="WFH219" s="26"/>
      <c r="WFL219" s="23"/>
      <c r="WFQ219" s="26"/>
      <c r="WFU219" s="23"/>
      <c r="WFZ219" s="26"/>
      <c r="WGD219" s="23"/>
      <c r="WGI219" s="26"/>
      <c r="WGM219" s="23"/>
      <c r="WGR219" s="26"/>
      <c r="WGV219" s="23"/>
      <c r="WHA219" s="26"/>
      <c r="WHE219" s="23"/>
      <c r="WHJ219" s="26"/>
      <c r="WHN219" s="23"/>
      <c r="WHS219" s="26"/>
      <c r="WHW219" s="23"/>
      <c r="WIB219" s="26"/>
      <c r="WIF219" s="23"/>
      <c r="WIK219" s="26"/>
      <c r="WIO219" s="23"/>
      <c r="WIT219" s="26"/>
      <c r="WIX219" s="23"/>
      <c r="WJC219" s="26"/>
      <c r="WJG219" s="23"/>
      <c r="WJL219" s="26"/>
      <c r="WJP219" s="23"/>
      <c r="WJU219" s="26"/>
      <c r="WJY219" s="23"/>
      <c r="WKD219" s="26"/>
      <c r="WKH219" s="23"/>
      <c r="WKM219" s="26"/>
      <c r="WKQ219" s="23"/>
      <c r="WKV219" s="26"/>
      <c r="WKZ219" s="23"/>
      <c r="WLE219" s="26"/>
      <c r="WLI219" s="23"/>
      <c r="WLN219" s="26"/>
      <c r="WLR219" s="23"/>
      <c r="WLW219" s="26"/>
      <c r="WMA219" s="23"/>
      <c r="WMF219" s="26"/>
      <c r="WMJ219" s="23"/>
      <c r="WMO219" s="26"/>
      <c r="WMS219" s="23"/>
      <c r="WMX219" s="26"/>
      <c r="WNB219" s="23"/>
      <c r="WNG219" s="26"/>
      <c r="WNK219" s="23"/>
      <c r="WNP219" s="26"/>
      <c r="WNT219" s="23"/>
      <c r="WNY219" s="26"/>
      <c r="WOC219" s="23"/>
      <c r="WOH219" s="26"/>
      <c r="WOL219" s="23"/>
      <c r="WOQ219" s="26"/>
      <c r="WOU219" s="23"/>
      <c r="WOZ219" s="26"/>
      <c r="WPD219" s="23"/>
      <c r="WPI219" s="26"/>
      <c r="WPM219" s="23"/>
      <c r="WPR219" s="26"/>
      <c r="WPV219" s="23"/>
      <c r="WQA219" s="26"/>
      <c r="WQE219" s="23"/>
      <c r="WQJ219" s="26"/>
      <c r="WQN219" s="23"/>
      <c r="WQS219" s="26"/>
      <c r="WQW219" s="23"/>
      <c r="WRB219" s="26"/>
      <c r="WRF219" s="23"/>
      <c r="WRK219" s="26"/>
      <c r="WRO219" s="23"/>
      <c r="WRT219" s="26"/>
      <c r="WRX219" s="23"/>
      <c r="WSC219" s="26"/>
      <c r="WSG219" s="23"/>
      <c r="WSL219" s="26"/>
      <c r="WSP219" s="23"/>
      <c r="WSU219" s="26"/>
      <c r="WSY219" s="23"/>
      <c r="WTD219" s="26"/>
      <c r="WTH219" s="23"/>
      <c r="WTM219" s="26"/>
      <c r="WTQ219" s="23"/>
      <c r="WTV219" s="26"/>
      <c r="WTZ219" s="23"/>
      <c r="WUE219" s="26"/>
      <c r="WUI219" s="23"/>
      <c r="WUN219" s="26"/>
      <c r="WUR219" s="23"/>
      <c r="WUW219" s="26"/>
      <c r="WVA219" s="23"/>
      <c r="WVF219" s="26"/>
      <c r="WVJ219" s="23"/>
      <c r="WVO219" s="26"/>
      <c r="WVS219" s="23"/>
      <c r="WVX219" s="26"/>
      <c r="WWB219" s="23"/>
      <c r="WWG219" s="26"/>
      <c r="WWK219" s="23"/>
      <c r="WWP219" s="26"/>
      <c r="WWT219" s="23"/>
      <c r="WWY219" s="26"/>
      <c r="WXC219" s="23"/>
      <c r="WXH219" s="26"/>
      <c r="WXL219" s="23"/>
      <c r="WXQ219" s="26"/>
      <c r="WXU219" s="23"/>
      <c r="WXZ219" s="26"/>
      <c r="WYD219" s="23"/>
      <c r="WYI219" s="26"/>
      <c r="WYM219" s="23"/>
      <c r="WYR219" s="26"/>
      <c r="WYV219" s="23"/>
      <c r="WZA219" s="26"/>
      <c r="WZE219" s="23"/>
      <c r="WZJ219" s="26"/>
      <c r="WZN219" s="23"/>
      <c r="WZS219" s="26"/>
      <c r="WZW219" s="23"/>
      <c r="XAB219" s="26"/>
      <c r="XAF219" s="23"/>
      <c r="XAK219" s="26"/>
      <c r="XAO219" s="23"/>
      <c r="XAT219" s="26"/>
      <c r="XAX219" s="23"/>
      <c r="XBC219" s="26"/>
      <c r="XBG219" s="23"/>
      <c r="XBL219" s="26"/>
      <c r="XBP219" s="23"/>
      <c r="XBU219" s="26"/>
      <c r="XBY219" s="23"/>
      <c r="XCD219" s="26"/>
      <c r="XCH219" s="23"/>
      <c r="XCM219" s="26"/>
      <c r="XCQ219" s="23"/>
      <c r="XCV219" s="26"/>
      <c r="XCZ219" s="23"/>
      <c r="XDE219" s="26"/>
      <c r="XDI219" s="23"/>
      <c r="XDN219" s="26"/>
      <c r="XDR219" s="23"/>
      <c r="XDW219" s="26"/>
      <c r="XEA219" s="23"/>
      <c r="XEF219" s="26"/>
      <c r="XEJ219" s="23"/>
      <c r="XEO219" s="26"/>
      <c r="XES219" s="23"/>
      <c r="XEX219" s="26"/>
      <c r="XFB219" s="23"/>
    </row>
    <row r="220" spans="1:1024 1028:2045 2050:3071 3076:4093 4097:5119 5123:6140 6145:7166 7171:8192 8197:9214 9218:10240 10244:11261 11266:12287 12292:13309 13313:14335 14339:15356 15361:16382" x14ac:dyDescent="0.3">
      <c r="B220" s="23"/>
      <c r="K220" s="23"/>
      <c r="P220" s="26"/>
      <c r="T220" s="23"/>
      <c r="Y220" s="26"/>
      <c r="AC220" s="23"/>
      <c r="AH220" s="26"/>
      <c r="AL220" s="23"/>
      <c r="AQ220" s="26"/>
      <c r="AU220" s="23"/>
      <c r="AZ220" s="26"/>
      <c r="BD220" s="23"/>
      <c r="BI220" s="26"/>
      <c r="BM220" s="23"/>
      <c r="BR220" s="26"/>
      <c r="BV220" s="23"/>
      <c r="CA220" s="26"/>
      <c r="CE220" s="23"/>
      <c r="CJ220" s="26"/>
      <c r="CN220" s="23"/>
      <c r="CS220" s="26"/>
      <c r="CW220" s="23"/>
      <c r="DB220" s="26"/>
      <c r="DF220" s="23"/>
      <c r="DK220" s="26"/>
      <c r="DO220" s="23"/>
      <c r="DT220" s="26"/>
      <c r="DX220" s="23"/>
      <c r="EC220" s="26"/>
      <c r="EG220" s="23"/>
      <c r="EL220" s="26"/>
      <c r="EP220" s="23"/>
      <c r="EU220" s="26"/>
      <c r="EY220" s="23"/>
      <c r="FD220" s="26"/>
      <c r="FH220" s="23"/>
      <c r="FM220" s="26"/>
      <c r="FQ220" s="23"/>
      <c r="FV220" s="26"/>
      <c r="FZ220" s="23"/>
      <c r="GE220" s="26"/>
      <c r="GI220" s="23"/>
      <c r="GN220" s="26"/>
      <c r="GR220" s="23"/>
      <c r="GW220" s="26"/>
      <c r="HA220" s="23"/>
      <c r="HF220" s="26"/>
      <c r="HJ220" s="23"/>
      <c r="HO220" s="26"/>
      <c r="HS220" s="23"/>
      <c r="HX220" s="26"/>
      <c r="IB220" s="23"/>
      <c r="IG220" s="26"/>
      <c r="IK220" s="23"/>
      <c r="IP220" s="26"/>
      <c r="IT220" s="23"/>
      <c r="IY220" s="26"/>
      <c r="JC220" s="23"/>
      <c r="JH220" s="26"/>
      <c r="JL220" s="23"/>
      <c r="JQ220" s="26"/>
      <c r="JU220" s="23"/>
      <c r="JZ220" s="26"/>
      <c r="KD220" s="23"/>
      <c r="KI220" s="26"/>
      <c r="KM220" s="23"/>
      <c r="KR220" s="26"/>
      <c r="KV220" s="23"/>
      <c r="LA220" s="26"/>
      <c r="LE220" s="23"/>
      <c r="LJ220" s="26"/>
      <c r="LN220" s="23"/>
      <c r="LS220" s="26"/>
      <c r="LW220" s="23"/>
      <c r="MB220" s="26"/>
      <c r="MF220" s="23"/>
      <c r="MK220" s="26"/>
      <c r="MO220" s="23"/>
      <c r="MT220" s="26"/>
      <c r="MX220" s="23"/>
      <c r="NC220" s="26"/>
      <c r="NG220" s="23"/>
      <c r="NL220" s="26"/>
      <c r="NP220" s="23"/>
      <c r="NU220" s="26"/>
      <c r="NY220" s="23"/>
      <c r="OD220" s="26"/>
      <c r="OH220" s="23"/>
      <c r="OM220" s="26"/>
      <c r="OQ220" s="23"/>
      <c r="OV220" s="26"/>
      <c r="OZ220" s="23"/>
      <c r="PE220" s="26"/>
      <c r="PI220" s="23"/>
      <c r="PN220" s="26"/>
      <c r="PR220" s="23"/>
      <c r="PW220" s="26"/>
      <c r="QA220" s="23"/>
      <c r="QF220" s="26"/>
      <c r="QJ220" s="23"/>
      <c r="QO220" s="26"/>
      <c r="QS220" s="23"/>
      <c r="QX220" s="26"/>
      <c r="RB220" s="23"/>
      <c r="RG220" s="26"/>
      <c r="RK220" s="23"/>
      <c r="RP220" s="26"/>
      <c r="RT220" s="23"/>
      <c r="RY220" s="26"/>
      <c r="SC220" s="23"/>
      <c r="SH220" s="26"/>
      <c r="SL220" s="23"/>
      <c r="SQ220" s="26"/>
      <c r="SU220" s="23"/>
      <c r="SZ220" s="26"/>
      <c r="TD220" s="23"/>
      <c r="TI220" s="26"/>
      <c r="TM220" s="23"/>
      <c r="TR220" s="26"/>
      <c r="TV220" s="23"/>
      <c r="UA220" s="26"/>
      <c r="UE220" s="23"/>
      <c r="UJ220" s="26"/>
      <c r="UN220" s="23"/>
      <c r="US220" s="26"/>
      <c r="UW220" s="23"/>
      <c r="VB220" s="26"/>
      <c r="VF220" s="23"/>
      <c r="VK220" s="26"/>
      <c r="VO220" s="23"/>
      <c r="VT220" s="26"/>
      <c r="VX220" s="23"/>
      <c r="WC220" s="26"/>
      <c r="WG220" s="23"/>
      <c r="WL220" s="26"/>
      <c r="WP220" s="23"/>
      <c r="WU220" s="26"/>
      <c r="WY220" s="23"/>
      <c r="XD220" s="26"/>
      <c r="XH220" s="23"/>
      <c r="XM220" s="26"/>
      <c r="XQ220" s="23"/>
      <c r="XV220" s="26"/>
      <c r="XZ220" s="23"/>
      <c r="YE220" s="26"/>
      <c r="YI220" s="23"/>
      <c r="YN220" s="26"/>
      <c r="YR220" s="23"/>
      <c r="YW220" s="26"/>
      <c r="ZA220" s="23"/>
      <c r="ZF220" s="26"/>
      <c r="ZJ220" s="23"/>
      <c r="ZO220" s="26"/>
      <c r="ZS220" s="23"/>
      <c r="ZX220" s="26"/>
      <c r="AAB220" s="23"/>
      <c r="AAG220" s="26"/>
      <c r="AAK220" s="23"/>
      <c r="AAP220" s="26"/>
      <c r="AAT220" s="23"/>
      <c r="AAY220" s="26"/>
      <c r="ABC220" s="23"/>
      <c r="ABH220" s="26"/>
      <c r="ABL220" s="23"/>
      <c r="ABQ220" s="26"/>
      <c r="ABU220" s="23"/>
      <c r="ABZ220" s="26"/>
      <c r="ACD220" s="23"/>
      <c r="ACI220" s="26"/>
      <c r="ACM220" s="23"/>
      <c r="ACR220" s="26"/>
      <c r="ACV220" s="23"/>
      <c r="ADA220" s="26"/>
      <c r="ADE220" s="23"/>
      <c r="ADJ220" s="26"/>
      <c r="ADN220" s="23"/>
      <c r="ADS220" s="26"/>
      <c r="ADW220" s="23"/>
      <c r="AEB220" s="26"/>
      <c r="AEF220" s="23"/>
      <c r="AEK220" s="26"/>
      <c r="AEO220" s="23"/>
      <c r="AET220" s="26"/>
      <c r="AEX220" s="23"/>
      <c r="AFC220" s="26"/>
      <c r="AFG220" s="23"/>
      <c r="AFL220" s="26"/>
      <c r="AFP220" s="23"/>
      <c r="AFU220" s="26"/>
      <c r="AFY220" s="23"/>
      <c r="AGD220" s="26"/>
      <c r="AGH220" s="23"/>
      <c r="AGM220" s="26"/>
      <c r="AGQ220" s="23"/>
      <c r="AGV220" s="26"/>
      <c r="AGZ220" s="23"/>
      <c r="AHE220" s="26"/>
      <c r="AHI220" s="23"/>
      <c r="AHN220" s="26"/>
      <c r="AHR220" s="23"/>
      <c r="AHW220" s="26"/>
      <c r="AIA220" s="23"/>
      <c r="AIF220" s="26"/>
      <c r="AIJ220" s="23"/>
      <c r="AIO220" s="26"/>
      <c r="AIS220" s="23"/>
      <c r="AIX220" s="26"/>
      <c r="AJB220" s="23"/>
      <c r="AJG220" s="26"/>
      <c r="AJK220" s="23"/>
      <c r="AJP220" s="26"/>
      <c r="AJT220" s="23"/>
      <c r="AJY220" s="26"/>
      <c r="AKC220" s="23"/>
      <c r="AKH220" s="26"/>
      <c r="AKL220" s="23"/>
      <c r="AKQ220" s="26"/>
      <c r="AKU220" s="23"/>
      <c r="AKZ220" s="26"/>
      <c r="ALD220" s="23"/>
      <c r="ALI220" s="26"/>
      <c r="ALM220" s="23"/>
      <c r="ALR220" s="26"/>
      <c r="ALV220" s="23"/>
      <c r="AMA220" s="26"/>
      <c r="AME220" s="23"/>
      <c r="AMJ220" s="26"/>
      <c r="AMN220" s="23"/>
      <c r="AMS220" s="26"/>
      <c r="AMW220" s="23"/>
      <c r="ANB220" s="26"/>
      <c r="ANF220" s="23"/>
      <c r="ANK220" s="26"/>
      <c r="ANO220" s="23"/>
      <c r="ANT220" s="26"/>
      <c r="ANX220" s="23"/>
      <c r="AOC220" s="26"/>
      <c r="AOG220" s="23"/>
      <c r="AOL220" s="26"/>
      <c r="AOP220" s="23"/>
      <c r="AOU220" s="26"/>
      <c r="AOY220" s="23"/>
      <c r="APD220" s="26"/>
      <c r="APH220" s="23"/>
      <c r="APM220" s="26"/>
      <c r="APQ220" s="23"/>
      <c r="APV220" s="26"/>
      <c r="APZ220" s="23"/>
      <c r="AQE220" s="26"/>
      <c r="AQI220" s="23"/>
      <c r="AQN220" s="26"/>
      <c r="AQR220" s="23"/>
      <c r="AQW220" s="26"/>
      <c r="ARA220" s="23"/>
      <c r="ARF220" s="26"/>
      <c r="ARJ220" s="23"/>
      <c r="ARO220" s="26"/>
      <c r="ARS220" s="23"/>
      <c r="ARX220" s="26"/>
      <c r="ASB220" s="23"/>
      <c r="ASG220" s="26"/>
      <c r="ASK220" s="23"/>
      <c r="ASP220" s="26"/>
      <c r="AST220" s="23"/>
      <c r="ASY220" s="26"/>
      <c r="ATC220" s="23"/>
      <c r="ATH220" s="26"/>
      <c r="ATL220" s="23"/>
      <c r="ATQ220" s="26"/>
      <c r="ATU220" s="23"/>
      <c r="ATZ220" s="26"/>
      <c r="AUD220" s="23"/>
      <c r="AUI220" s="26"/>
      <c r="AUM220" s="23"/>
      <c r="AUR220" s="26"/>
      <c r="AUV220" s="23"/>
      <c r="AVA220" s="26"/>
      <c r="AVE220" s="23"/>
      <c r="AVJ220" s="26"/>
      <c r="AVN220" s="23"/>
      <c r="AVS220" s="26"/>
      <c r="AVW220" s="23"/>
      <c r="AWB220" s="26"/>
      <c r="AWF220" s="23"/>
      <c r="AWK220" s="26"/>
      <c r="AWO220" s="23"/>
      <c r="AWT220" s="26"/>
      <c r="AWX220" s="23"/>
      <c r="AXC220" s="26"/>
      <c r="AXG220" s="23"/>
      <c r="AXL220" s="26"/>
      <c r="AXP220" s="23"/>
      <c r="AXU220" s="26"/>
      <c r="AXY220" s="23"/>
      <c r="AYD220" s="26"/>
      <c r="AYH220" s="23"/>
      <c r="AYM220" s="26"/>
      <c r="AYQ220" s="23"/>
      <c r="AYV220" s="26"/>
      <c r="AYZ220" s="23"/>
      <c r="AZE220" s="26"/>
      <c r="AZI220" s="23"/>
      <c r="AZN220" s="26"/>
      <c r="AZR220" s="23"/>
      <c r="AZW220" s="26"/>
      <c r="BAA220" s="23"/>
      <c r="BAF220" s="26"/>
      <c r="BAJ220" s="23"/>
      <c r="BAO220" s="26"/>
      <c r="BAS220" s="23"/>
      <c r="BAX220" s="26"/>
      <c r="BBB220" s="23"/>
      <c r="BBG220" s="26"/>
      <c r="BBK220" s="23"/>
      <c r="BBP220" s="26"/>
      <c r="BBT220" s="23"/>
      <c r="BBY220" s="26"/>
      <c r="BCC220" s="23"/>
      <c r="BCH220" s="26"/>
      <c r="BCL220" s="23"/>
      <c r="BCQ220" s="26"/>
      <c r="BCU220" s="23"/>
      <c r="BCZ220" s="26"/>
      <c r="BDD220" s="23"/>
      <c r="BDI220" s="26"/>
      <c r="BDM220" s="23"/>
      <c r="BDR220" s="26"/>
      <c r="BDV220" s="23"/>
      <c r="BEA220" s="26"/>
      <c r="BEE220" s="23"/>
      <c r="BEJ220" s="26"/>
      <c r="BEN220" s="23"/>
      <c r="BES220" s="26"/>
      <c r="BEW220" s="23"/>
      <c r="BFB220" s="26"/>
      <c r="BFF220" s="23"/>
      <c r="BFK220" s="26"/>
      <c r="BFO220" s="23"/>
      <c r="BFT220" s="26"/>
      <c r="BFX220" s="23"/>
      <c r="BGC220" s="26"/>
      <c r="BGG220" s="23"/>
      <c r="BGL220" s="26"/>
      <c r="BGP220" s="23"/>
      <c r="BGU220" s="26"/>
      <c r="BGY220" s="23"/>
      <c r="BHD220" s="26"/>
      <c r="BHH220" s="23"/>
      <c r="BHM220" s="26"/>
      <c r="BHQ220" s="23"/>
      <c r="BHV220" s="26"/>
      <c r="BHZ220" s="23"/>
      <c r="BIE220" s="26"/>
      <c r="BII220" s="23"/>
      <c r="BIN220" s="26"/>
      <c r="BIR220" s="23"/>
      <c r="BIW220" s="26"/>
      <c r="BJA220" s="23"/>
      <c r="BJF220" s="26"/>
      <c r="BJJ220" s="23"/>
      <c r="BJO220" s="26"/>
      <c r="BJS220" s="23"/>
      <c r="BJX220" s="26"/>
      <c r="BKB220" s="23"/>
      <c r="BKG220" s="26"/>
      <c r="BKK220" s="23"/>
      <c r="BKP220" s="26"/>
      <c r="BKT220" s="23"/>
      <c r="BKY220" s="26"/>
      <c r="BLC220" s="23"/>
      <c r="BLH220" s="26"/>
      <c r="BLL220" s="23"/>
      <c r="BLQ220" s="26"/>
      <c r="BLU220" s="23"/>
      <c r="BLZ220" s="26"/>
      <c r="BMD220" s="23"/>
      <c r="BMI220" s="26"/>
      <c r="BMM220" s="23"/>
      <c r="BMR220" s="26"/>
      <c r="BMV220" s="23"/>
      <c r="BNA220" s="26"/>
      <c r="BNE220" s="23"/>
      <c r="BNJ220" s="26"/>
      <c r="BNN220" s="23"/>
      <c r="BNS220" s="26"/>
      <c r="BNW220" s="23"/>
      <c r="BOB220" s="26"/>
      <c r="BOF220" s="23"/>
      <c r="BOK220" s="26"/>
      <c r="BOO220" s="23"/>
      <c r="BOT220" s="26"/>
      <c r="BOX220" s="23"/>
      <c r="BPC220" s="26"/>
      <c r="BPG220" s="23"/>
      <c r="BPL220" s="26"/>
      <c r="BPP220" s="23"/>
      <c r="BPU220" s="26"/>
      <c r="BPY220" s="23"/>
      <c r="BQD220" s="26"/>
      <c r="BQH220" s="23"/>
      <c r="BQM220" s="26"/>
      <c r="BQQ220" s="23"/>
      <c r="BQV220" s="26"/>
      <c r="BQZ220" s="23"/>
      <c r="BRE220" s="26"/>
      <c r="BRI220" s="23"/>
      <c r="BRN220" s="26"/>
      <c r="BRR220" s="23"/>
      <c r="BRW220" s="26"/>
      <c r="BSA220" s="23"/>
      <c r="BSF220" s="26"/>
      <c r="BSJ220" s="23"/>
      <c r="BSO220" s="26"/>
      <c r="BSS220" s="23"/>
      <c r="BSX220" s="26"/>
      <c r="BTB220" s="23"/>
      <c r="BTG220" s="26"/>
      <c r="BTK220" s="23"/>
      <c r="BTP220" s="26"/>
      <c r="BTT220" s="23"/>
      <c r="BTY220" s="26"/>
      <c r="BUC220" s="23"/>
      <c r="BUH220" s="26"/>
      <c r="BUL220" s="23"/>
      <c r="BUQ220" s="26"/>
      <c r="BUU220" s="23"/>
      <c r="BUZ220" s="26"/>
      <c r="BVD220" s="23"/>
      <c r="BVI220" s="26"/>
      <c r="BVM220" s="23"/>
      <c r="BVR220" s="26"/>
      <c r="BVV220" s="23"/>
      <c r="BWA220" s="26"/>
      <c r="BWE220" s="23"/>
      <c r="BWJ220" s="26"/>
      <c r="BWN220" s="23"/>
      <c r="BWS220" s="26"/>
      <c r="BWW220" s="23"/>
      <c r="BXB220" s="26"/>
      <c r="BXF220" s="23"/>
      <c r="BXK220" s="26"/>
      <c r="BXO220" s="23"/>
      <c r="BXT220" s="26"/>
      <c r="BXX220" s="23"/>
      <c r="BYC220" s="26"/>
      <c r="BYG220" s="23"/>
      <c r="BYL220" s="26"/>
      <c r="BYP220" s="23"/>
      <c r="BYU220" s="26"/>
      <c r="BYY220" s="23"/>
      <c r="BZD220" s="26"/>
      <c r="BZH220" s="23"/>
      <c r="BZM220" s="26"/>
      <c r="BZQ220" s="23"/>
      <c r="BZV220" s="26"/>
      <c r="BZZ220" s="23"/>
      <c r="CAE220" s="26"/>
      <c r="CAI220" s="23"/>
      <c r="CAN220" s="26"/>
      <c r="CAR220" s="23"/>
      <c r="CAW220" s="26"/>
      <c r="CBA220" s="23"/>
      <c r="CBF220" s="26"/>
      <c r="CBJ220" s="23"/>
      <c r="CBO220" s="26"/>
      <c r="CBS220" s="23"/>
      <c r="CBX220" s="26"/>
      <c r="CCB220" s="23"/>
      <c r="CCG220" s="26"/>
      <c r="CCK220" s="23"/>
      <c r="CCP220" s="26"/>
      <c r="CCT220" s="23"/>
      <c r="CCY220" s="26"/>
      <c r="CDC220" s="23"/>
      <c r="CDH220" s="26"/>
      <c r="CDL220" s="23"/>
      <c r="CDQ220" s="26"/>
      <c r="CDU220" s="23"/>
      <c r="CDZ220" s="26"/>
      <c r="CED220" s="23"/>
      <c r="CEI220" s="26"/>
      <c r="CEM220" s="23"/>
      <c r="CER220" s="26"/>
      <c r="CEV220" s="23"/>
      <c r="CFA220" s="26"/>
      <c r="CFE220" s="23"/>
      <c r="CFJ220" s="26"/>
      <c r="CFN220" s="23"/>
      <c r="CFS220" s="26"/>
      <c r="CFW220" s="23"/>
      <c r="CGB220" s="26"/>
      <c r="CGF220" s="23"/>
      <c r="CGK220" s="26"/>
      <c r="CGO220" s="23"/>
      <c r="CGT220" s="26"/>
      <c r="CGX220" s="23"/>
      <c r="CHC220" s="26"/>
      <c r="CHG220" s="23"/>
      <c r="CHL220" s="26"/>
      <c r="CHP220" s="23"/>
      <c r="CHU220" s="26"/>
      <c r="CHY220" s="23"/>
      <c r="CID220" s="26"/>
      <c r="CIH220" s="23"/>
      <c r="CIM220" s="26"/>
      <c r="CIQ220" s="23"/>
      <c r="CIV220" s="26"/>
      <c r="CIZ220" s="23"/>
      <c r="CJE220" s="26"/>
      <c r="CJI220" s="23"/>
      <c r="CJN220" s="26"/>
      <c r="CJR220" s="23"/>
      <c r="CJW220" s="26"/>
      <c r="CKA220" s="23"/>
      <c r="CKF220" s="26"/>
      <c r="CKJ220" s="23"/>
      <c r="CKO220" s="26"/>
      <c r="CKS220" s="23"/>
      <c r="CKX220" s="26"/>
      <c r="CLB220" s="23"/>
      <c r="CLG220" s="26"/>
      <c r="CLK220" s="23"/>
      <c r="CLP220" s="26"/>
      <c r="CLT220" s="23"/>
      <c r="CLY220" s="26"/>
      <c r="CMC220" s="23"/>
      <c r="CMH220" s="26"/>
      <c r="CML220" s="23"/>
      <c r="CMQ220" s="26"/>
      <c r="CMU220" s="23"/>
      <c r="CMZ220" s="26"/>
      <c r="CND220" s="23"/>
      <c r="CNI220" s="26"/>
      <c r="CNM220" s="23"/>
      <c r="CNR220" s="26"/>
      <c r="CNV220" s="23"/>
      <c r="COA220" s="26"/>
      <c r="COE220" s="23"/>
      <c r="COJ220" s="26"/>
      <c r="CON220" s="23"/>
      <c r="COS220" s="26"/>
      <c r="COW220" s="23"/>
      <c r="CPB220" s="26"/>
      <c r="CPF220" s="23"/>
      <c r="CPK220" s="26"/>
      <c r="CPO220" s="23"/>
      <c r="CPT220" s="26"/>
      <c r="CPX220" s="23"/>
      <c r="CQC220" s="26"/>
      <c r="CQG220" s="23"/>
      <c r="CQL220" s="26"/>
      <c r="CQP220" s="23"/>
      <c r="CQU220" s="26"/>
      <c r="CQY220" s="23"/>
      <c r="CRD220" s="26"/>
      <c r="CRH220" s="23"/>
      <c r="CRM220" s="26"/>
      <c r="CRQ220" s="23"/>
      <c r="CRV220" s="26"/>
      <c r="CRZ220" s="23"/>
      <c r="CSE220" s="26"/>
      <c r="CSI220" s="23"/>
      <c r="CSN220" s="26"/>
      <c r="CSR220" s="23"/>
      <c r="CSW220" s="26"/>
      <c r="CTA220" s="23"/>
      <c r="CTF220" s="26"/>
      <c r="CTJ220" s="23"/>
      <c r="CTO220" s="26"/>
      <c r="CTS220" s="23"/>
      <c r="CTX220" s="26"/>
      <c r="CUB220" s="23"/>
      <c r="CUG220" s="26"/>
      <c r="CUK220" s="23"/>
      <c r="CUP220" s="26"/>
      <c r="CUT220" s="23"/>
      <c r="CUY220" s="26"/>
      <c r="CVC220" s="23"/>
      <c r="CVH220" s="26"/>
      <c r="CVL220" s="23"/>
      <c r="CVQ220" s="26"/>
      <c r="CVU220" s="23"/>
      <c r="CVZ220" s="26"/>
      <c r="CWD220" s="23"/>
      <c r="CWI220" s="26"/>
      <c r="CWM220" s="23"/>
      <c r="CWR220" s="26"/>
      <c r="CWV220" s="23"/>
      <c r="CXA220" s="26"/>
      <c r="CXE220" s="23"/>
      <c r="CXJ220" s="26"/>
      <c r="CXN220" s="23"/>
      <c r="CXS220" s="26"/>
      <c r="CXW220" s="23"/>
      <c r="CYB220" s="26"/>
      <c r="CYF220" s="23"/>
      <c r="CYK220" s="26"/>
      <c r="CYO220" s="23"/>
      <c r="CYT220" s="26"/>
      <c r="CYX220" s="23"/>
      <c r="CZC220" s="26"/>
      <c r="CZG220" s="23"/>
      <c r="CZL220" s="26"/>
      <c r="CZP220" s="23"/>
      <c r="CZU220" s="26"/>
      <c r="CZY220" s="23"/>
      <c r="DAD220" s="26"/>
      <c r="DAH220" s="23"/>
      <c r="DAM220" s="26"/>
      <c r="DAQ220" s="23"/>
      <c r="DAV220" s="26"/>
      <c r="DAZ220" s="23"/>
      <c r="DBE220" s="26"/>
      <c r="DBI220" s="23"/>
      <c r="DBN220" s="26"/>
      <c r="DBR220" s="23"/>
      <c r="DBW220" s="26"/>
      <c r="DCA220" s="23"/>
      <c r="DCF220" s="26"/>
      <c r="DCJ220" s="23"/>
      <c r="DCO220" s="26"/>
      <c r="DCS220" s="23"/>
      <c r="DCX220" s="26"/>
      <c r="DDB220" s="23"/>
      <c r="DDG220" s="26"/>
      <c r="DDK220" s="23"/>
      <c r="DDP220" s="26"/>
      <c r="DDT220" s="23"/>
      <c r="DDY220" s="26"/>
      <c r="DEC220" s="23"/>
      <c r="DEH220" s="26"/>
      <c r="DEL220" s="23"/>
      <c r="DEQ220" s="26"/>
      <c r="DEU220" s="23"/>
      <c r="DEZ220" s="26"/>
      <c r="DFD220" s="23"/>
      <c r="DFI220" s="26"/>
      <c r="DFM220" s="23"/>
      <c r="DFR220" s="26"/>
      <c r="DFV220" s="23"/>
      <c r="DGA220" s="26"/>
      <c r="DGE220" s="23"/>
      <c r="DGJ220" s="26"/>
      <c r="DGN220" s="23"/>
      <c r="DGS220" s="26"/>
      <c r="DGW220" s="23"/>
      <c r="DHB220" s="26"/>
      <c r="DHF220" s="23"/>
      <c r="DHK220" s="26"/>
      <c r="DHO220" s="23"/>
      <c r="DHT220" s="26"/>
      <c r="DHX220" s="23"/>
      <c r="DIC220" s="26"/>
      <c r="DIG220" s="23"/>
      <c r="DIL220" s="26"/>
      <c r="DIP220" s="23"/>
      <c r="DIU220" s="26"/>
      <c r="DIY220" s="23"/>
      <c r="DJD220" s="26"/>
      <c r="DJH220" s="23"/>
      <c r="DJM220" s="26"/>
      <c r="DJQ220" s="23"/>
      <c r="DJV220" s="26"/>
      <c r="DJZ220" s="23"/>
      <c r="DKE220" s="26"/>
      <c r="DKI220" s="23"/>
      <c r="DKN220" s="26"/>
      <c r="DKR220" s="23"/>
      <c r="DKW220" s="26"/>
      <c r="DLA220" s="23"/>
      <c r="DLF220" s="26"/>
      <c r="DLJ220" s="23"/>
      <c r="DLO220" s="26"/>
      <c r="DLS220" s="23"/>
      <c r="DLX220" s="26"/>
      <c r="DMB220" s="23"/>
      <c r="DMG220" s="26"/>
      <c r="DMK220" s="23"/>
      <c r="DMP220" s="26"/>
      <c r="DMT220" s="23"/>
      <c r="DMY220" s="26"/>
      <c r="DNC220" s="23"/>
      <c r="DNH220" s="26"/>
      <c r="DNL220" s="23"/>
      <c r="DNQ220" s="26"/>
      <c r="DNU220" s="23"/>
      <c r="DNZ220" s="26"/>
      <c r="DOD220" s="23"/>
      <c r="DOI220" s="26"/>
      <c r="DOM220" s="23"/>
      <c r="DOR220" s="26"/>
      <c r="DOV220" s="23"/>
      <c r="DPA220" s="26"/>
      <c r="DPE220" s="23"/>
      <c r="DPJ220" s="26"/>
      <c r="DPN220" s="23"/>
      <c r="DPS220" s="26"/>
      <c r="DPW220" s="23"/>
      <c r="DQB220" s="26"/>
      <c r="DQF220" s="23"/>
      <c r="DQK220" s="26"/>
      <c r="DQO220" s="23"/>
      <c r="DQT220" s="26"/>
      <c r="DQX220" s="23"/>
      <c r="DRC220" s="26"/>
      <c r="DRG220" s="23"/>
      <c r="DRL220" s="26"/>
      <c r="DRP220" s="23"/>
      <c r="DRU220" s="26"/>
      <c r="DRY220" s="23"/>
      <c r="DSD220" s="26"/>
      <c r="DSH220" s="23"/>
      <c r="DSM220" s="26"/>
      <c r="DSQ220" s="23"/>
      <c r="DSV220" s="26"/>
      <c r="DSZ220" s="23"/>
      <c r="DTE220" s="26"/>
      <c r="DTI220" s="23"/>
      <c r="DTN220" s="26"/>
      <c r="DTR220" s="23"/>
      <c r="DTW220" s="26"/>
      <c r="DUA220" s="23"/>
      <c r="DUF220" s="26"/>
      <c r="DUJ220" s="23"/>
      <c r="DUO220" s="26"/>
      <c r="DUS220" s="23"/>
      <c r="DUX220" s="26"/>
      <c r="DVB220" s="23"/>
      <c r="DVG220" s="26"/>
      <c r="DVK220" s="23"/>
      <c r="DVP220" s="26"/>
      <c r="DVT220" s="23"/>
      <c r="DVY220" s="26"/>
      <c r="DWC220" s="23"/>
      <c r="DWH220" s="26"/>
      <c r="DWL220" s="23"/>
      <c r="DWQ220" s="26"/>
      <c r="DWU220" s="23"/>
      <c r="DWZ220" s="26"/>
      <c r="DXD220" s="23"/>
      <c r="DXI220" s="26"/>
      <c r="DXM220" s="23"/>
      <c r="DXR220" s="26"/>
      <c r="DXV220" s="23"/>
      <c r="DYA220" s="26"/>
      <c r="DYE220" s="23"/>
      <c r="DYJ220" s="26"/>
      <c r="DYN220" s="23"/>
      <c r="DYS220" s="26"/>
      <c r="DYW220" s="23"/>
      <c r="DZB220" s="26"/>
      <c r="DZF220" s="23"/>
      <c r="DZK220" s="26"/>
      <c r="DZO220" s="23"/>
      <c r="DZT220" s="26"/>
      <c r="DZX220" s="23"/>
      <c r="EAC220" s="26"/>
      <c r="EAG220" s="23"/>
      <c r="EAL220" s="26"/>
      <c r="EAP220" s="23"/>
      <c r="EAU220" s="26"/>
      <c r="EAY220" s="23"/>
      <c r="EBD220" s="26"/>
      <c r="EBH220" s="23"/>
      <c r="EBM220" s="26"/>
      <c r="EBQ220" s="23"/>
      <c r="EBV220" s="26"/>
      <c r="EBZ220" s="23"/>
      <c r="ECE220" s="26"/>
      <c r="ECI220" s="23"/>
      <c r="ECN220" s="26"/>
      <c r="ECR220" s="23"/>
      <c r="ECW220" s="26"/>
      <c r="EDA220" s="23"/>
      <c r="EDF220" s="26"/>
      <c r="EDJ220" s="23"/>
      <c r="EDO220" s="26"/>
      <c r="EDS220" s="23"/>
      <c r="EDX220" s="26"/>
      <c r="EEB220" s="23"/>
      <c r="EEG220" s="26"/>
      <c r="EEK220" s="23"/>
      <c r="EEP220" s="26"/>
      <c r="EET220" s="23"/>
      <c r="EEY220" s="26"/>
      <c r="EFC220" s="23"/>
      <c r="EFH220" s="26"/>
      <c r="EFL220" s="23"/>
      <c r="EFQ220" s="26"/>
      <c r="EFU220" s="23"/>
      <c r="EFZ220" s="26"/>
      <c r="EGD220" s="23"/>
      <c r="EGI220" s="26"/>
      <c r="EGM220" s="23"/>
      <c r="EGR220" s="26"/>
      <c r="EGV220" s="23"/>
      <c r="EHA220" s="26"/>
      <c r="EHE220" s="23"/>
      <c r="EHJ220" s="26"/>
      <c r="EHN220" s="23"/>
      <c r="EHS220" s="26"/>
      <c r="EHW220" s="23"/>
      <c r="EIB220" s="26"/>
      <c r="EIF220" s="23"/>
      <c r="EIK220" s="26"/>
      <c r="EIO220" s="23"/>
      <c r="EIT220" s="26"/>
      <c r="EIX220" s="23"/>
      <c r="EJC220" s="26"/>
      <c r="EJG220" s="23"/>
      <c r="EJL220" s="26"/>
      <c r="EJP220" s="23"/>
      <c r="EJU220" s="26"/>
      <c r="EJY220" s="23"/>
      <c r="EKD220" s="26"/>
      <c r="EKH220" s="23"/>
      <c r="EKM220" s="26"/>
      <c r="EKQ220" s="23"/>
      <c r="EKV220" s="26"/>
      <c r="EKZ220" s="23"/>
      <c r="ELE220" s="26"/>
      <c r="ELI220" s="23"/>
      <c r="ELN220" s="26"/>
      <c r="ELR220" s="23"/>
      <c r="ELW220" s="26"/>
      <c r="EMA220" s="23"/>
      <c r="EMF220" s="26"/>
      <c r="EMJ220" s="23"/>
      <c r="EMO220" s="26"/>
      <c r="EMS220" s="23"/>
      <c r="EMX220" s="26"/>
      <c r="ENB220" s="23"/>
      <c r="ENG220" s="26"/>
      <c r="ENK220" s="23"/>
      <c r="ENP220" s="26"/>
      <c r="ENT220" s="23"/>
      <c r="ENY220" s="26"/>
      <c r="EOC220" s="23"/>
      <c r="EOH220" s="26"/>
      <c r="EOL220" s="23"/>
      <c r="EOQ220" s="26"/>
      <c r="EOU220" s="23"/>
      <c r="EOZ220" s="26"/>
      <c r="EPD220" s="23"/>
      <c r="EPI220" s="26"/>
      <c r="EPM220" s="23"/>
      <c r="EPR220" s="26"/>
      <c r="EPV220" s="23"/>
      <c r="EQA220" s="26"/>
      <c r="EQE220" s="23"/>
      <c r="EQJ220" s="26"/>
      <c r="EQN220" s="23"/>
      <c r="EQS220" s="26"/>
      <c r="EQW220" s="23"/>
      <c r="ERB220" s="26"/>
      <c r="ERF220" s="23"/>
      <c r="ERK220" s="26"/>
      <c r="ERO220" s="23"/>
      <c r="ERT220" s="26"/>
      <c r="ERX220" s="23"/>
      <c r="ESC220" s="26"/>
      <c r="ESG220" s="23"/>
      <c r="ESL220" s="26"/>
      <c r="ESP220" s="23"/>
      <c r="ESU220" s="26"/>
      <c r="ESY220" s="23"/>
      <c r="ETD220" s="26"/>
      <c r="ETH220" s="23"/>
      <c r="ETM220" s="26"/>
      <c r="ETQ220" s="23"/>
      <c r="ETV220" s="26"/>
      <c r="ETZ220" s="23"/>
      <c r="EUE220" s="26"/>
      <c r="EUI220" s="23"/>
      <c r="EUN220" s="26"/>
      <c r="EUR220" s="23"/>
      <c r="EUW220" s="26"/>
      <c r="EVA220" s="23"/>
      <c r="EVF220" s="26"/>
      <c r="EVJ220" s="23"/>
      <c r="EVO220" s="26"/>
      <c r="EVS220" s="23"/>
      <c r="EVX220" s="26"/>
      <c r="EWB220" s="23"/>
      <c r="EWG220" s="26"/>
      <c r="EWK220" s="23"/>
      <c r="EWP220" s="26"/>
      <c r="EWT220" s="23"/>
      <c r="EWY220" s="26"/>
      <c r="EXC220" s="23"/>
      <c r="EXH220" s="26"/>
      <c r="EXL220" s="23"/>
      <c r="EXQ220" s="26"/>
      <c r="EXU220" s="23"/>
      <c r="EXZ220" s="26"/>
      <c r="EYD220" s="23"/>
      <c r="EYI220" s="26"/>
      <c r="EYM220" s="23"/>
      <c r="EYR220" s="26"/>
      <c r="EYV220" s="23"/>
      <c r="EZA220" s="26"/>
      <c r="EZE220" s="23"/>
      <c r="EZJ220" s="26"/>
      <c r="EZN220" s="23"/>
      <c r="EZS220" s="26"/>
      <c r="EZW220" s="23"/>
      <c r="FAB220" s="26"/>
      <c r="FAF220" s="23"/>
      <c r="FAK220" s="26"/>
      <c r="FAO220" s="23"/>
      <c r="FAT220" s="26"/>
      <c r="FAX220" s="23"/>
      <c r="FBC220" s="26"/>
      <c r="FBG220" s="23"/>
      <c r="FBL220" s="26"/>
      <c r="FBP220" s="23"/>
      <c r="FBU220" s="26"/>
      <c r="FBY220" s="23"/>
      <c r="FCD220" s="26"/>
      <c r="FCH220" s="23"/>
      <c r="FCM220" s="26"/>
      <c r="FCQ220" s="23"/>
      <c r="FCV220" s="26"/>
      <c r="FCZ220" s="23"/>
      <c r="FDE220" s="26"/>
      <c r="FDI220" s="23"/>
      <c r="FDN220" s="26"/>
      <c r="FDR220" s="23"/>
      <c r="FDW220" s="26"/>
      <c r="FEA220" s="23"/>
      <c r="FEF220" s="26"/>
      <c r="FEJ220" s="23"/>
      <c r="FEO220" s="26"/>
      <c r="FES220" s="23"/>
      <c r="FEX220" s="26"/>
      <c r="FFB220" s="23"/>
      <c r="FFG220" s="26"/>
      <c r="FFK220" s="23"/>
      <c r="FFP220" s="26"/>
      <c r="FFT220" s="23"/>
      <c r="FFY220" s="26"/>
      <c r="FGC220" s="23"/>
      <c r="FGH220" s="26"/>
      <c r="FGL220" s="23"/>
      <c r="FGQ220" s="26"/>
      <c r="FGU220" s="23"/>
      <c r="FGZ220" s="26"/>
      <c r="FHD220" s="23"/>
      <c r="FHI220" s="26"/>
      <c r="FHM220" s="23"/>
      <c r="FHR220" s="26"/>
      <c r="FHV220" s="23"/>
      <c r="FIA220" s="26"/>
      <c r="FIE220" s="23"/>
      <c r="FIJ220" s="26"/>
      <c r="FIN220" s="23"/>
      <c r="FIS220" s="26"/>
      <c r="FIW220" s="23"/>
      <c r="FJB220" s="26"/>
      <c r="FJF220" s="23"/>
      <c r="FJK220" s="26"/>
      <c r="FJO220" s="23"/>
      <c r="FJT220" s="26"/>
      <c r="FJX220" s="23"/>
      <c r="FKC220" s="26"/>
      <c r="FKG220" s="23"/>
      <c r="FKL220" s="26"/>
      <c r="FKP220" s="23"/>
      <c r="FKU220" s="26"/>
      <c r="FKY220" s="23"/>
      <c r="FLD220" s="26"/>
      <c r="FLH220" s="23"/>
      <c r="FLM220" s="26"/>
      <c r="FLQ220" s="23"/>
      <c r="FLV220" s="26"/>
      <c r="FLZ220" s="23"/>
      <c r="FME220" s="26"/>
      <c r="FMI220" s="23"/>
      <c r="FMN220" s="26"/>
      <c r="FMR220" s="23"/>
      <c r="FMW220" s="26"/>
      <c r="FNA220" s="23"/>
      <c r="FNF220" s="26"/>
      <c r="FNJ220" s="23"/>
      <c r="FNO220" s="26"/>
      <c r="FNS220" s="23"/>
      <c r="FNX220" s="26"/>
      <c r="FOB220" s="23"/>
      <c r="FOG220" s="26"/>
      <c r="FOK220" s="23"/>
      <c r="FOP220" s="26"/>
      <c r="FOT220" s="23"/>
      <c r="FOY220" s="26"/>
      <c r="FPC220" s="23"/>
      <c r="FPH220" s="26"/>
      <c r="FPL220" s="23"/>
      <c r="FPQ220" s="26"/>
      <c r="FPU220" s="23"/>
      <c r="FPZ220" s="26"/>
      <c r="FQD220" s="23"/>
      <c r="FQI220" s="26"/>
      <c r="FQM220" s="23"/>
      <c r="FQR220" s="26"/>
      <c r="FQV220" s="23"/>
      <c r="FRA220" s="26"/>
      <c r="FRE220" s="23"/>
      <c r="FRJ220" s="26"/>
      <c r="FRN220" s="23"/>
      <c r="FRS220" s="26"/>
      <c r="FRW220" s="23"/>
      <c r="FSB220" s="26"/>
      <c r="FSF220" s="23"/>
      <c r="FSK220" s="26"/>
      <c r="FSO220" s="23"/>
      <c r="FST220" s="26"/>
      <c r="FSX220" s="23"/>
      <c r="FTC220" s="26"/>
      <c r="FTG220" s="23"/>
      <c r="FTL220" s="26"/>
      <c r="FTP220" s="23"/>
      <c r="FTU220" s="26"/>
      <c r="FTY220" s="23"/>
      <c r="FUD220" s="26"/>
      <c r="FUH220" s="23"/>
      <c r="FUM220" s="26"/>
      <c r="FUQ220" s="23"/>
      <c r="FUV220" s="26"/>
      <c r="FUZ220" s="23"/>
      <c r="FVE220" s="26"/>
      <c r="FVI220" s="23"/>
      <c r="FVN220" s="26"/>
      <c r="FVR220" s="23"/>
      <c r="FVW220" s="26"/>
      <c r="FWA220" s="23"/>
      <c r="FWF220" s="26"/>
      <c r="FWJ220" s="23"/>
      <c r="FWO220" s="26"/>
      <c r="FWS220" s="23"/>
      <c r="FWX220" s="26"/>
      <c r="FXB220" s="23"/>
      <c r="FXG220" s="26"/>
      <c r="FXK220" s="23"/>
      <c r="FXP220" s="26"/>
      <c r="FXT220" s="23"/>
      <c r="FXY220" s="26"/>
      <c r="FYC220" s="23"/>
      <c r="FYH220" s="26"/>
      <c r="FYL220" s="23"/>
      <c r="FYQ220" s="26"/>
      <c r="FYU220" s="23"/>
      <c r="FYZ220" s="26"/>
      <c r="FZD220" s="23"/>
      <c r="FZI220" s="26"/>
      <c r="FZM220" s="23"/>
      <c r="FZR220" s="26"/>
      <c r="FZV220" s="23"/>
      <c r="GAA220" s="26"/>
      <c r="GAE220" s="23"/>
      <c r="GAJ220" s="26"/>
      <c r="GAN220" s="23"/>
      <c r="GAS220" s="26"/>
      <c r="GAW220" s="23"/>
      <c r="GBB220" s="26"/>
      <c r="GBF220" s="23"/>
      <c r="GBK220" s="26"/>
      <c r="GBO220" s="23"/>
      <c r="GBT220" s="26"/>
      <c r="GBX220" s="23"/>
      <c r="GCC220" s="26"/>
      <c r="GCG220" s="23"/>
      <c r="GCL220" s="26"/>
      <c r="GCP220" s="23"/>
      <c r="GCU220" s="26"/>
      <c r="GCY220" s="23"/>
      <c r="GDD220" s="26"/>
      <c r="GDH220" s="23"/>
      <c r="GDM220" s="26"/>
      <c r="GDQ220" s="23"/>
      <c r="GDV220" s="26"/>
      <c r="GDZ220" s="23"/>
      <c r="GEE220" s="26"/>
      <c r="GEI220" s="23"/>
      <c r="GEN220" s="26"/>
      <c r="GER220" s="23"/>
      <c r="GEW220" s="26"/>
      <c r="GFA220" s="23"/>
      <c r="GFF220" s="26"/>
      <c r="GFJ220" s="23"/>
      <c r="GFO220" s="26"/>
      <c r="GFS220" s="23"/>
      <c r="GFX220" s="26"/>
      <c r="GGB220" s="23"/>
      <c r="GGG220" s="26"/>
      <c r="GGK220" s="23"/>
      <c r="GGP220" s="26"/>
      <c r="GGT220" s="23"/>
      <c r="GGY220" s="26"/>
      <c r="GHC220" s="23"/>
      <c r="GHH220" s="26"/>
      <c r="GHL220" s="23"/>
      <c r="GHQ220" s="26"/>
      <c r="GHU220" s="23"/>
      <c r="GHZ220" s="26"/>
      <c r="GID220" s="23"/>
      <c r="GII220" s="26"/>
      <c r="GIM220" s="23"/>
      <c r="GIR220" s="26"/>
      <c r="GIV220" s="23"/>
      <c r="GJA220" s="26"/>
      <c r="GJE220" s="23"/>
      <c r="GJJ220" s="26"/>
      <c r="GJN220" s="23"/>
      <c r="GJS220" s="26"/>
      <c r="GJW220" s="23"/>
      <c r="GKB220" s="26"/>
      <c r="GKF220" s="23"/>
      <c r="GKK220" s="26"/>
      <c r="GKO220" s="23"/>
      <c r="GKT220" s="26"/>
      <c r="GKX220" s="23"/>
      <c r="GLC220" s="26"/>
      <c r="GLG220" s="23"/>
      <c r="GLL220" s="26"/>
      <c r="GLP220" s="23"/>
      <c r="GLU220" s="26"/>
      <c r="GLY220" s="23"/>
      <c r="GMD220" s="26"/>
      <c r="GMH220" s="23"/>
      <c r="GMM220" s="26"/>
      <c r="GMQ220" s="23"/>
      <c r="GMV220" s="26"/>
      <c r="GMZ220" s="23"/>
      <c r="GNE220" s="26"/>
      <c r="GNI220" s="23"/>
      <c r="GNN220" s="26"/>
      <c r="GNR220" s="23"/>
      <c r="GNW220" s="26"/>
      <c r="GOA220" s="23"/>
      <c r="GOF220" s="26"/>
      <c r="GOJ220" s="23"/>
      <c r="GOO220" s="26"/>
      <c r="GOS220" s="23"/>
      <c r="GOX220" s="26"/>
      <c r="GPB220" s="23"/>
      <c r="GPG220" s="26"/>
      <c r="GPK220" s="23"/>
      <c r="GPP220" s="26"/>
      <c r="GPT220" s="23"/>
      <c r="GPY220" s="26"/>
      <c r="GQC220" s="23"/>
      <c r="GQH220" s="26"/>
      <c r="GQL220" s="23"/>
      <c r="GQQ220" s="26"/>
      <c r="GQU220" s="23"/>
      <c r="GQZ220" s="26"/>
      <c r="GRD220" s="23"/>
      <c r="GRI220" s="26"/>
      <c r="GRM220" s="23"/>
      <c r="GRR220" s="26"/>
      <c r="GRV220" s="23"/>
      <c r="GSA220" s="26"/>
      <c r="GSE220" s="23"/>
      <c r="GSJ220" s="26"/>
      <c r="GSN220" s="23"/>
      <c r="GSS220" s="26"/>
      <c r="GSW220" s="23"/>
      <c r="GTB220" s="26"/>
      <c r="GTF220" s="23"/>
      <c r="GTK220" s="26"/>
      <c r="GTO220" s="23"/>
      <c r="GTT220" s="26"/>
      <c r="GTX220" s="23"/>
      <c r="GUC220" s="26"/>
      <c r="GUG220" s="23"/>
      <c r="GUL220" s="26"/>
      <c r="GUP220" s="23"/>
      <c r="GUU220" s="26"/>
      <c r="GUY220" s="23"/>
      <c r="GVD220" s="26"/>
      <c r="GVH220" s="23"/>
      <c r="GVM220" s="26"/>
      <c r="GVQ220" s="23"/>
      <c r="GVV220" s="26"/>
      <c r="GVZ220" s="23"/>
      <c r="GWE220" s="26"/>
      <c r="GWI220" s="23"/>
      <c r="GWN220" s="26"/>
      <c r="GWR220" s="23"/>
      <c r="GWW220" s="26"/>
      <c r="GXA220" s="23"/>
      <c r="GXF220" s="26"/>
      <c r="GXJ220" s="23"/>
      <c r="GXO220" s="26"/>
      <c r="GXS220" s="23"/>
      <c r="GXX220" s="26"/>
      <c r="GYB220" s="23"/>
      <c r="GYG220" s="26"/>
      <c r="GYK220" s="23"/>
      <c r="GYP220" s="26"/>
      <c r="GYT220" s="23"/>
      <c r="GYY220" s="26"/>
      <c r="GZC220" s="23"/>
      <c r="GZH220" s="26"/>
      <c r="GZL220" s="23"/>
      <c r="GZQ220" s="26"/>
      <c r="GZU220" s="23"/>
      <c r="GZZ220" s="26"/>
      <c r="HAD220" s="23"/>
      <c r="HAI220" s="26"/>
      <c r="HAM220" s="23"/>
      <c r="HAR220" s="26"/>
      <c r="HAV220" s="23"/>
      <c r="HBA220" s="26"/>
      <c r="HBE220" s="23"/>
      <c r="HBJ220" s="26"/>
      <c r="HBN220" s="23"/>
      <c r="HBS220" s="26"/>
      <c r="HBW220" s="23"/>
      <c r="HCB220" s="26"/>
      <c r="HCF220" s="23"/>
      <c r="HCK220" s="26"/>
      <c r="HCO220" s="23"/>
      <c r="HCT220" s="26"/>
      <c r="HCX220" s="23"/>
      <c r="HDC220" s="26"/>
      <c r="HDG220" s="23"/>
      <c r="HDL220" s="26"/>
      <c r="HDP220" s="23"/>
      <c r="HDU220" s="26"/>
      <c r="HDY220" s="23"/>
      <c r="HED220" s="26"/>
      <c r="HEH220" s="23"/>
      <c r="HEM220" s="26"/>
      <c r="HEQ220" s="23"/>
      <c r="HEV220" s="26"/>
      <c r="HEZ220" s="23"/>
      <c r="HFE220" s="26"/>
      <c r="HFI220" s="23"/>
      <c r="HFN220" s="26"/>
      <c r="HFR220" s="23"/>
      <c r="HFW220" s="26"/>
      <c r="HGA220" s="23"/>
      <c r="HGF220" s="26"/>
      <c r="HGJ220" s="23"/>
      <c r="HGO220" s="26"/>
      <c r="HGS220" s="23"/>
      <c r="HGX220" s="26"/>
      <c r="HHB220" s="23"/>
      <c r="HHG220" s="26"/>
      <c r="HHK220" s="23"/>
      <c r="HHP220" s="26"/>
      <c r="HHT220" s="23"/>
      <c r="HHY220" s="26"/>
      <c r="HIC220" s="23"/>
      <c r="HIH220" s="26"/>
      <c r="HIL220" s="23"/>
      <c r="HIQ220" s="26"/>
      <c r="HIU220" s="23"/>
      <c r="HIZ220" s="26"/>
      <c r="HJD220" s="23"/>
      <c r="HJI220" s="26"/>
      <c r="HJM220" s="23"/>
      <c r="HJR220" s="26"/>
      <c r="HJV220" s="23"/>
      <c r="HKA220" s="26"/>
      <c r="HKE220" s="23"/>
      <c r="HKJ220" s="26"/>
      <c r="HKN220" s="23"/>
      <c r="HKS220" s="26"/>
      <c r="HKW220" s="23"/>
      <c r="HLB220" s="26"/>
      <c r="HLF220" s="23"/>
      <c r="HLK220" s="26"/>
      <c r="HLO220" s="23"/>
      <c r="HLT220" s="26"/>
      <c r="HLX220" s="23"/>
      <c r="HMC220" s="26"/>
      <c r="HMG220" s="23"/>
      <c r="HML220" s="26"/>
      <c r="HMP220" s="23"/>
      <c r="HMU220" s="26"/>
      <c r="HMY220" s="23"/>
      <c r="HND220" s="26"/>
      <c r="HNH220" s="23"/>
      <c r="HNM220" s="26"/>
      <c r="HNQ220" s="23"/>
      <c r="HNV220" s="26"/>
      <c r="HNZ220" s="23"/>
      <c r="HOE220" s="26"/>
      <c r="HOI220" s="23"/>
      <c r="HON220" s="26"/>
      <c r="HOR220" s="23"/>
      <c r="HOW220" s="26"/>
      <c r="HPA220" s="23"/>
      <c r="HPF220" s="26"/>
      <c r="HPJ220" s="23"/>
      <c r="HPO220" s="26"/>
      <c r="HPS220" s="23"/>
      <c r="HPX220" s="26"/>
      <c r="HQB220" s="23"/>
      <c r="HQG220" s="26"/>
      <c r="HQK220" s="23"/>
      <c r="HQP220" s="26"/>
      <c r="HQT220" s="23"/>
      <c r="HQY220" s="26"/>
      <c r="HRC220" s="23"/>
      <c r="HRH220" s="26"/>
      <c r="HRL220" s="23"/>
      <c r="HRQ220" s="26"/>
      <c r="HRU220" s="23"/>
      <c r="HRZ220" s="26"/>
      <c r="HSD220" s="23"/>
      <c r="HSI220" s="26"/>
      <c r="HSM220" s="23"/>
      <c r="HSR220" s="26"/>
      <c r="HSV220" s="23"/>
      <c r="HTA220" s="26"/>
      <c r="HTE220" s="23"/>
      <c r="HTJ220" s="26"/>
      <c r="HTN220" s="23"/>
      <c r="HTS220" s="26"/>
      <c r="HTW220" s="23"/>
      <c r="HUB220" s="26"/>
      <c r="HUF220" s="23"/>
      <c r="HUK220" s="26"/>
      <c r="HUO220" s="23"/>
      <c r="HUT220" s="26"/>
      <c r="HUX220" s="23"/>
      <c r="HVC220" s="26"/>
      <c r="HVG220" s="23"/>
      <c r="HVL220" s="26"/>
      <c r="HVP220" s="23"/>
      <c r="HVU220" s="26"/>
      <c r="HVY220" s="23"/>
      <c r="HWD220" s="26"/>
      <c r="HWH220" s="23"/>
      <c r="HWM220" s="26"/>
      <c r="HWQ220" s="23"/>
      <c r="HWV220" s="26"/>
      <c r="HWZ220" s="23"/>
      <c r="HXE220" s="26"/>
      <c r="HXI220" s="23"/>
      <c r="HXN220" s="26"/>
      <c r="HXR220" s="23"/>
      <c r="HXW220" s="26"/>
      <c r="HYA220" s="23"/>
      <c r="HYF220" s="26"/>
      <c r="HYJ220" s="23"/>
      <c r="HYO220" s="26"/>
      <c r="HYS220" s="23"/>
      <c r="HYX220" s="26"/>
      <c r="HZB220" s="23"/>
      <c r="HZG220" s="26"/>
      <c r="HZK220" s="23"/>
      <c r="HZP220" s="26"/>
      <c r="HZT220" s="23"/>
      <c r="HZY220" s="26"/>
      <c r="IAC220" s="23"/>
      <c r="IAH220" s="26"/>
      <c r="IAL220" s="23"/>
      <c r="IAQ220" s="26"/>
      <c r="IAU220" s="23"/>
      <c r="IAZ220" s="26"/>
      <c r="IBD220" s="23"/>
      <c r="IBI220" s="26"/>
      <c r="IBM220" s="23"/>
      <c r="IBR220" s="26"/>
      <c r="IBV220" s="23"/>
      <c r="ICA220" s="26"/>
      <c r="ICE220" s="23"/>
      <c r="ICJ220" s="26"/>
      <c r="ICN220" s="23"/>
      <c r="ICS220" s="26"/>
      <c r="ICW220" s="23"/>
      <c r="IDB220" s="26"/>
      <c r="IDF220" s="23"/>
      <c r="IDK220" s="26"/>
      <c r="IDO220" s="23"/>
      <c r="IDT220" s="26"/>
      <c r="IDX220" s="23"/>
      <c r="IEC220" s="26"/>
      <c r="IEG220" s="23"/>
      <c r="IEL220" s="26"/>
      <c r="IEP220" s="23"/>
      <c r="IEU220" s="26"/>
      <c r="IEY220" s="23"/>
      <c r="IFD220" s="26"/>
      <c r="IFH220" s="23"/>
      <c r="IFM220" s="26"/>
      <c r="IFQ220" s="23"/>
      <c r="IFV220" s="26"/>
      <c r="IFZ220" s="23"/>
      <c r="IGE220" s="26"/>
      <c r="IGI220" s="23"/>
      <c r="IGN220" s="26"/>
      <c r="IGR220" s="23"/>
      <c r="IGW220" s="26"/>
      <c r="IHA220" s="23"/>
      <c r="IHF220" s="26"/>
      <c r="IHJ220" s="23"/>
      <c r="IHO220" s="26"/>
      <c r="IHS220" s="23"/>
      <c r="IHX220" s="26"/>
      <c r="IIB220" s="23"/>
      <c r="IIG220" s="26"/>
      <c r="IIK220" s="23"/>
      <c r="IIP220" s="26"/>
      <c r="IIT220" s="23"/>
      <c r="IIY220" s="26"/>
      <c r="IJC220" s="23"/>
      <c r="IJH220" s="26"/>
      <c r="IJL220" s="23"/>
      <c r="IJQ220" s="26"/>
      <c r="IJU220" s="23"/>
      <c r="IJZ220" s="26"/>
      <c r="IKD220" s="23"/>
      <c r="IKI220" s="26"/>
      <c r="IKM220" s="23"/>
      <c r="IKR220" s="26"/>
      <c r="IKV220" s="23"/>
      <c r="ILA220" s="26"/>
      <c r="ILE220" s="23"/>
      <c r="ILJ220" s="26"/>
      <c r="ILN220" s="23"/>
      <c r="ILS220" s="26"/>
      <c r="ILW220" s="23"/>
      <c r="IMB220" s="26"/>
      <c r="IMF220" s="23"/>
      <c r="IMK220" s="26"/>
      <c r="IMO220" s="23"/>
      <c r="IMT220" s="26"/>
      <c r="IMX220" s="23"/>
      <c r="INC220" s="26"/>
      <c r="ING220" s="23"/>
      <c r="INL220" s="26"/>
      <c r="INP220" s="23"/>
      <c r="INU220" s="26"/>
      <c r="INY220" s="23"/>
      <c r="IOD220" s="26"/>
      <c r="IOH220" s="23"/>
      <c r="IOM220" s="26"/>
      <c r="IOQ220" s="23"/>
      <c r="IOV220" s="26"/>
      <c r="IOZ220" s="23"/>
      <c r="IPE220" s="26"/>
      <c r="IPI220" s="23"/>
      <c r="IPN220" s="26"/>
      <c r="IPR220" s="23"/>
      <c r="IPW220" s="26"/>
      <c r="IQA220" s="23"/>
      <c r="IQF220" s="26"/>
      <c r="IQJ220" s="23"/>
      <c r="IQO220" s="26"/>
      <c r="IQS220" s="23"/>
      <c r="IQX220" s="26"/>
      <c r="IRB220" s="23"/>
      <c r="IRG220" s="26"/>
      <c r="IRK220" s="23"/>
      <c r="IRP220" s="26"/>
      <c r="IRT220" s="23"/>
      <c r="IRY220" s="26"/>
      <c r="ISC220" s="23"/>
      <c r="ISH220" s="26"/>
      <c r="ISL220" s="23"/>
      <c r="ISQ220" s="26"/>
      <c r="ISU220" s="23"/>
      <c r="ISZ220" s="26"/>
      <c r="ITD220" s="23"/>
      <c r="ITI220" s="26"/>
      <c r="ITM220" s="23"/>
      <c r="ITR220" s="26"/>
      <c r="ITV220" s="23"/>
      <c r="IUA220" s="26"/>
      <c r="IUE220" s="23"/>
      <c r="IUJ220" s="26"/>
      <c r="IUN220" s="23"/>
      <c r="IUS220" s="26"/>
      <c r="IUW220" s="23"/>
      <c r="IVB220" s="26"/>
      <c r="IVF220" s="23"/>
      <c r="IVK220" s="26"/>
      <c r="IVO220" s="23"/>
      <c r="IVT220" s="26"/>
      <c r="IVX220" s="23"/>
      <c r="IWC220" s="26"/>
      <c r="IWG220" s="23"/>
      <c r="IWL220" s="26"/>
      <c r="IWP220" s="23"/>
      <c r="IWU220" s="26"/>
      <c r="IWY220" s="23"/>
      <c r="IXD220" s="26"/>
      <c r="IXH220" s="23"/>
      <c r="IXM220" s="26"/>
      <c r="IXQ220" s="23"/>
      <c r="IXV220" s="26"/>
      <c r="IXZ220" s="23"/>
      <c r="IYE220" s="26"/>
      <c r="IYI220" s="23"/>
      <c r="IYN220" s="26"/>
      <c r="IYR220" s="23"/>
      <c r="IYW220" s="26"/>
      <c r="IZA220" s="23"/>
      <c r="IZF220" s="26"/>
      <c r="IZJ220" s="23"/>
      <c r="IZO220" s="26"/>
      <c r="IZS220" s="23"/>
      <c r="IZX220" s="26"/>
      <c r="JAB220" s="23"/>
      <c r="JAG220" s="26"/>
      <c r="JAK220" s="23"/>
      <c r="JAP220" s="26"/>
      <c r="JAT220" s="23"/>
      <c r="JAY220" s="26"/>
      <c r="JBC220" s="23"/>
      <c r="JBH220" s="26"/>
      <c r="JBL220" s="23"/>
      <c r="JBQ220" s="26"/>
      <c r="JBU220" s="23"/>
      <c r="JBZ220" s="26"/>
      <c r="JCD220" s="23"/>
      <c r="JCI220" s="26"/>
      <c r="JCM220" s="23"/>
      <c r="JCR220" s="26"/>
      <c r="JCV220" s="23"/>
      <c r="JDA220" s="26"/>
      <c r="JDE220" s="23"/>
      <c r="JDJ220" s="26"/>
      <c r="JDN220" s="23"/>
      <c r="JDS220" s="26"/>
      <c r="JDW220" s="23"/>
      <c r="JEB220" s="26"/>
      <c r="JEF220" s="23"/>
      <c r="JEK220" s="26"/>
      <c r="JEO220" s="23"/>
      <c r="JET220" s="26"/>
      <c r="JEX220" s="23"/>
      <c r="JFC220" s="26"/>
      <c r="JFG220" s="23"/>
      <c r="JFL220" s="26"/>
      <c r="JFP220" s="23"/>
      <c r="JFU220" s="26"/>
      <c r="JFY220" s="23"/>
      <c r="JGD220" s="26"/>
      <c r="JGH220" s="23"/>
      <c r="JGM220" s="26"/>
      <c r="JGQ220" s="23"/>
      <c r="JGV220" s="26"/>
      <c r="JGZ220" s="23"/>
      <c r="JHE220" s="26"/>
      <c r="JHI220" s="23"/>
      <c r="JHN220" s="26"/>
      <c r="JHR220" s="23"/>
      <c r="JHW220" s="26"/>
      <c r="JIA220" s="23"/>
      <c r="JIF220" s="26"/>
      <c r="JIJ220" s="23"/>
      <c r="JIO220" s="26"/>
      <c r="JIS220" s="23"/>
      <c r="JIX220" s="26"/>
      <c r="JJB220" s="23"/>
      <c r="JJG220" s="26"/>
      <c r="JJK220" s="23"/>
      <c r="JJP220" s="26"/>
      <c r="JJT220" s="23"/>
      <c r="JJY220" s="26"/>
      <c r="JKC220" s="23"/>
      <c r="JKH220" s="26"/>
      <c r="JKL220" s="23"/>
      <c r="JKQ220" s="26"/>
      <c r="JKU220" s="23"/>
      <c r="JKZ220" s="26"/>
      <c r="JLD220" s="23"/>
      <c r="JLI220" s="26"/>
      <c r="JLM220" s="23"/>
      <c r="JLR220" s="26"/>
      <c r="JLV220" s="23"/>
      <c r="JMA220" s="26"/>
      <c r="JME220" s="23"/>
      <c r="JMJ220" s="26"/>
      <c r="JMN220" s="23"/>
      <c r="JMS220" s="26"/>
      <c r="JMW220" s="23"/>
      <c r="JNB220" s="26"/>
      <c r="JNF220" s="23"/>
      <c r="JNK220" s="26"/>
      <c r="JNO220" s="23"/>
      <c r="JNT220" s="26"/>
      <c r="JNX220" s="23"/>
      <c r="JOC220" s="26"/>
      <c r="JOG220" s="23"/>
      <c r="JOL220" s="26"/>
      <c r="JOP220" s="23"/>
      <c r="JOU220" s="26"/>
      <c r="JOY220" s="23"/>
      <c r="JPD220" s="26"/>
      <c r="JPH220" s="23"/>
      <c r="JPM220" s="26"/>
      <c r="JPQ220" s="23"/>
      <c r="JPV220" s="26"/>
      <c r="JPZ220" s="23"/>
      <c r="JQE220" s="26"/>
      <c r="JQI220" s="23"/>
      <c r="JQN220" s="26"/>
      <c r="JQR220" s="23"/>
      <c r="JQW220" s="26"/>
      <c r="JRA220" s="23"/>
      <c r="JRF220" s="26"/>
      <c r="JRJ220" s="23"/>
      <c r="JRO220" s="26"/>
      <c r="JRS220" s="23"/>
      <c r="JRX220" s="26"/>
      <c r="JSB220" s="23"/>
      <c r="JSG220" s="26"/>
      <c r="JSK220" s="23"/>
      <c r="JSP220" s="26"/>
      <c r="JST220" s="23"/>
      <c r="JSY220" s="26"/>
      <c r="JTC220" s="23"/>
      <c r="JTH220" s="26"/>
      <c r="JTL220" s="23"/>
      <c r="JTQ220" s="26"/>
      <c r="JTU220" s="23"/>
      <c r="JTZ220" s="26"/>
      <c r="JUD220" s="23"/>
      <c r="JUI220" s="26"/>
      <c r="JUM220" s="23"/>
      <c r="JUR220" s="26"/>
      <c r="JUV220" s="23"/>
      <c r="JVA220" s="26"/>
      <c r="JVE220" s="23"/>
      <c r="JVJ220" s="26"/>
      <c r="JVN220" s="23"/>
      <c r="JVS220" s="26"/>
      <c r="JVW220" s="23"/>
      <c r="JWB220" s="26"/>
      <c r="JWF220" s="23"/>
      <c r="JWK220" s="26"/>
      <c r="JWO220" s="23"/>
      <c r="JWT220" s="26"/>
      <c r="JWX220" s="23"/>
      <c r="JXC220" s="26"/>
      <c r="JXG220" s="23"/>
      <c r="JXL220" s="26"/>
      <c r="JXP220" s="23"/>
      <c r="JXU220" s="26"/>
      <c r="JXY220" s="23"/>
      <c r="JYD220" s="26"/>
      <c r="JYH220" s="23"/>
      <c r="JYM220" s="26"/>
      <c r="JYQ220" s="23"/>
      <c r="JYV220" s="26"/>
      <c r="JYZ220" s="23"/>
      <c r="JZE220" s="26"/>
      <c r="JZI220" s="23"/>
      <c r="JZN220" s="26"/>
      <c r="JZR220" s="23"/>
      <c r="JZW220" s="26"/>
      <c r="KAA220" s="23"/>
      <c r="KAF220" s="26"/>
      <c r="KAJ220" s="23"/>
      <c r="KAO220" s="26"/>
      <c r="KAS220" s="23"/>
      <c r="KAX220" s="26"/>
      <c r="KBB220" s="23"/>
      <c r="KBG220" s="26"/>
      <c r="KBK220" s="23"/>
      <c r="KBP220" s="26"/>
      <c r="KBT220" s="23"/>
      <c r="KBY220" s="26"/>
      <c r="KCC220" s="23"/>
      <c r="KCH220" s="26"/>
      <c r="KCL220" s="23"/>
      <c r="KCQ220" s="26"/>
      <c r="KCU220" s="23"/>
      <c r="KCZ220" s="26"/>
      <c r="KDD220" s="23"/>
      <c r="KDI220" s="26"/>
      <c r="KDM220" s="23"/>
      <c r="KDR220" s="26"/>
      <c r="KDV220" s="23"/>
      <c r="KEA220" s="26"/>
      <c r="KEE220" s="23"/>
      <c r="KEJ220" s="26"/>
      <c r="KEN220" s="23"/>
      <c r="KES220" s="26"/>
      <c r="KEW220" s="23"/>
      <c r="KFB220" s="26"/>
      <c r="KFF220" s="23"/>
      <c r="KFK220" s="26"/>
      <c r="KFO220" s="23"/>
      <c r="KFT220" s="26"/>
      <c r="KFX220" s="23"/>
      <c r="KGC220" s="26"/>
      <c r="KGG220" s="23"/>
      <c r="KGL220" s="26"/>
      <c r="KGP220" s="23"/>
      <c r="KGU220" s="26"/>
      <c r="KGY220" s="23"/>
      <c r="KHD220" s="26"/>
      <c r="KHH220" s="23"/>
      <c r="KHM220" s="26"/>
      <c r="KHQ220" s="23"/>
      <c r="KHV220" s="26"/>
      <c r="KHZ220" s="23"/>
      <c r="KIE220" s="26"/>
      <c r="KII220" s="23"/>
      <c r="KIN220" s="26"/>
      <c r="KIR220" s="23"/>
      <c r="KIW220" s="26"/>
      <c r="KJA220" s="23"/>
      <c r="KJF220" s="26"/>
      <c r="KJJ220" s="23"/>
      <c r="KJO220" s="26"/>
      <c r="KJS220" s="23"/>
      <c r="KJX220" s="26"/>
      <c r="KKB220" s="23"/>
      <c r="KKG220" s="26"/>
      <c r="KKK220" s="23"/>
      <c r="KKP220" s="26"/>
      <c r="KKT220" s="23"/>
      <c r="KKY220" s="26"/>
      <c r="KLC220" s="23"/>
      <c r="KLH220" s="26"/>
      <c r="KLL220" s="23"/>
      <c r="KLQ220" s="26"/>
      <c r="KLU220" s="23"/>
      <c r="KLZ220" s="26"/>
      <c r="KMD220" s="23"/>
      <c r="KMI220" s="26"/>
      <c r="KMM220" s="23"/>
      <c r="KMR220" s="26"/>
      <c r="KMV220" s="23"/>
      <c r="KNA220" s="26"/>
      <c r="KNE220" s="23"/>
      <c r="KNJ220" s="26"/>
      <c r="KNN220" s="23"/>
      <c r="KNS220" s="26"/>
      <c r="KNW220" s="23"/>
      <c r="KOB220" s="26"/>
      <c r="KOF220" s="23"/>
      <c r="KOK220" s="26"/>
      <c r="KOO220" s="23"/>
      <c r="KOT220" s="26"/>
      <c r="KOX220" s="23"/>
      <c r="KPC220" s="26"/>
      <c r="KPG220" s="23"/>
      <c r="KPL220" s="26"/>
      <c r="KPP220" s="23"/>
      <c r="KPU220" s="26"/>
      <c r="KPY220" s="23"/>
      <c r="KQD220" s="26"/>
      <c r="KQH220" s="23"/>
      <c r="KQM220" s="26"/>
      <c r="KQQ220" s="23"/>
      <c r="KQV220" s="26"/>
      <c r="KQZ220" s="23"/>
      <c r="KRE220" s="26"/>
      <c r="KRI220" s="23"/>
      <c r="KRN220" s="26"/>
      <c r="KRR220" s="23"/>
      <c r="KRW220" s="26"/>
      <c r="KSA220" s="23"/>
      <c r="KSF220" s="26"/>
      <c r="KSJ220" s="23"/>
      <c r="KSO220" s="26"/>
      <c r="KSS220" s="23"/>
      <c r="KSX220" s="26"/>
      <c r="KTB220" s="23"/>
      <c r="KTG220" s="26"/>
      <c r="KTK220" s="23"/>
      <c r="KTP220" s="26"/>
      <c r="KTT220" s="23"/>
      <c r="KTY220" s="26"/>
      <c r="KUC220" s="23"/>
      <c r="KUH220" s="26"/>
      <c r="KUL220" s="23"/>
      <c r="KUQ220" s="26"/>
      <c r="KUU220" s="23"/>
      <c r="KUZ220" s="26"/>
      <c r="KVD220" s="23"/>
      <c r="KVI220" s="26"/>
      <c r="KVM220" s="23"/>
      <c r="KVR220" s="26"/>
      <c r="KVV220" s="23"/>
      <c r="KWA220" s="26"/>
      <c r="KWE220" s="23"/>
      <c r="KWJ220" s="26"/>
      <c r="KWN220" s="23"/>
      <c r="KWS220" s="26"/>
      <c r="KWW220" s="23"/>
      <c r="KXB220" s="26"/>
      <c r="KXF220" s="23"/>
      <c r="KXK220" s="26"/>
      <c r="KXO220" s="23"/>
      <c r="KXT220" s="26"/>
      <c r="KXX220" s="23"/>
      <c r="KYC220" s="26"/>
      <c r="KYG220" s="23"/>
      <c r="KYL220" s="26"/>
      <c r="KYP220" s="23"/>
      <c r="KYU220" s="26"/>
      <c r="KYY220" s="23"/>
      <c r="KZD220" s="26"/>
      <c r="KZH220" s="23"/>
      <c r="KZM220" s="26"/>
      <c r="KZQ220" s="23"/>
      <c r="KZV220" s="26"/>
      <c r="KZZ220" s="23"/>
      <c r="LAE220" s="26"/>
      <c r="LAI220" s="23"/>
      <c r="LAN220" s="26"/>
      <c r="LAR220" s="23"/>
      <c r="LAW220" s="26"/>
      <c r="LBA220" s="23"/>
      <c r="LBF220" s="26"/>
      <c r="LBJ220" s="23"/>
      <c r="LBO220" s="26"/>
      <c r="LBS220" s="23"/>
      <c r="LBX220" s="26"/>
      <c r="LCB220" s="23"/>
      <c r="LCG220" s="26"/>
      <c r="LCK220" s="23"/>
      <c r="LCP220" s="26"/>
      <c r="LCT220" s="23"/>
      <c r="LCY220" s="26"/>
      <c r="LDC220" s="23"/>
      <c r="LDH220" s="26"/>
      <c r="LDL220" s="23"/>
      <c r="LDQ220" s="26"/>
      <c r="LDU220" s="23"/>
      <c r="LDZ220" s="26"/>
      <c r="LED220" s="23"/>
      <c r="LEI220" s="26"/>
      <c r="LEM220" s="23"/>
      <c r="LER220" s="26"/>
      <c r="LEV220" s="23"/>
      <c r="LFA220" s="26"/>
      <c r="LFE220" s="23"/>
      <c r="LFJ220" s="26"/>
      <c r="LFN220" s="23"/>
      <c r="LFS220" s="26"/>
      <c r="LFW220" s="23"/>
      <c r="LGB220" s="26"/>
      <c r="LGF220" s="23"/>
      <c r="LGK220" s="26"/>
      <c r="LGO220" s="23"/>
      <c r="LGT220" s="26"/>
      <c r="LGX220" s="23"/>
      <c r="LHC220" s="26"/>
      <c r="LHG220" s="23"/>
      <c r="LHL220" s="26"/>
      <c r="LHP220" s="23"/>
      <c r="LHU220" s="26"/>
      <c r="LHY220" s="23"/>
      <c r="LID220" s="26"/>
      <c r="LIH220" s="23"/>
      <c r="LIM220" s="26"/>
      <c r="LIQ220" s="23"/>
      <c r="LIV220" s="26"/>
      <c r="LIZ220" s="23"/>
      <c r="LJE220" s="26"/>
      <c r="LJI220" s="23"/>
      <c r="LJN220" s="26"/>
      <c r="LJR220" s="23"/>
      <c r="LJW220" s="26"/>
      <c r="LKA220" s="23"/>
      <c r="LKF220" s="26"/>
      <c r="LKJ220" s="23"/>
      <c r="LKO220" s="26"/>
      <c r="LKS220" s="23"/>
      <c r="LKX220" s="26"/>
      <c r="LLB220" s="23"/>
      <c r="LLG220" s="26"/>
      <c r="LLK220" s="23"/>
      <c r="LLP220" s="26"/>
      <c r="LLT220" s="23"/>
      <c r="LLY220" s="26"/>
      <c r="LMC220" s="23"/>
      <c r="LMH220" s="26"/>
      <c r="LML220" s="23"/>
      <c r="LMQ220" s="26"/>
      <c r="LMU220" s="23"/>
      <c r="LMZ220" s="26"/>
      <c r="LND220" s="23"/>
      <c r="LNI220" s="26"/>
      <c r="LNM220" s="23"/>
      <c r="LNR220" s="26"/>
      <c r="LNV220" s="23"/>
      <c r="LOA220" s="26"/>
      <c r="LOE220" s="23"/>
      <c r="LOJ220" s="26"/>
      <c r="LON220" s="23"/>
      <c r="LOS220" s="26"/>
      <c r="LOW220" s="23"/>
      <c r="LPB220" s="26"/>
      <c r="LPF220" s="23"/>
      <c r="LPK220" s="26"/>
      <c r="LPO220" s="23"/>
      <c r="LPT220" s="26"/>
      <c r="LPX220" s="23"/>
      <c r="LQC220" s="26"/>
      <c r="LQG220" s="23"/>
      <c r="LQL220" s="26"/>
      <c r="LQP220" s="23"/>
      <c r="LQU220" s="26"/>
      <c r="LQY220" s="23"/>
      <c r="LRD220" s="26"/>
      <c r="LRH220" s="23"/>
      <c r="LRM220" s="26"/>
      <c r="LRQ220" s="23"/>
      <c r="LRV220" s="26"/>
      <c r="LRZ220" s="23"/>
      <c r="LSE220" s="26"/>
      <c r="LSI220" s="23"/>
      <c r="LSN220" s="26"/>
      <c r="LSR220" s="23"/>
      <c r="LSW220" s="26"/>
      <c r="LTA220" s="23"/>
      <c r="LTF220" s="26"/>
      <c r="LTJ220" s="23"/>
      <c r="LTO220" s="26"/>
      <c r="LTS220" s="23"/>
      <c r="LTX220" s="26"/>
      <c r="LUB220" s="23"/>
      <c r="LUG220" s="26"/>
      <c r="LUK220" s="23"/>
      <c r="LUP220" s="26"/>
      <c r="LUT220" s="23"/>
      <c r="LUY220" s="26"/>
      <c r="LVC220" s="23"/>
      <c r="LVH220" s="26"/>
      <c r="LVL220" s="23"/>
      <c r="LVQ220" s="26"/>
      <c r="LVU220" s="23"/>
      <c r="LVZ220" s="26"/>
      <c r="LWD220" s="23"/>
      <c r="LWI220" s="26"/>
      <c r="LWM220" s="23"/>
      <c r="LWR220" s="26"/>
      <c r="LWV220" s="23"/>
      <c r="LXA220" s="26"/>
      <c r="LXE220" s="23"/>
      <c r="LXJ220" s="26"/>
      <c r="LXN220" s="23"/>
      <c r="LXS220" s="26"/>
      <c r="LXW220" s="23"/>
      <c r="LYB220" s="26"/>
      <c r="LYF220" s="23"/>
      <c r="LYK220" s="26"/>
      <c r="LYO220" s="23"/>
      <c r="LYT220" s="26"/>
      <c r="LYX220" s="23"/>
      <c r="LZC220" s="26"/>
      <c r="LZG220" s="23"/>
      <c r="LZL220" s="26"/>
      <c r="LZP220" s="23"/>
      <c r="LZU220" s="26"/>
      <c r="LZY220" s="23"/>
      <c r="MAD220" s="26"/>
      <c r="MAH220" s="23"/>
      <c r="MAM220" s="26"/>
      <c r="MAQ220" s="23"/>
      <c r="MAV220" s="26"/>
      <c r="MAZ220" s="23"/>
      <c r="MBE220" s="26"/>
      <c r="MBI220" s="23"/>
      <c r="MBN220" s="26"/>
      <c r="MBR220" s="23"/>
      <c r="MBW220" s="26"/>
      <c r="MCA220" s="23"/>
      <c r="MCF220" s="26"/>
      <c r="MCJ220" s="23"/>
      <c r="MCO220" s="26"/>
      <c r="MCS220" s="23"/>
      <c r="MCX220" s="26"/>
      <c r="MDB220" s="23"/>
      <c r="MDG220" s="26"/>
      <c r="MDK220" s="23"/>
      <c r="MDP220" s="26"/>
      <c r="MDT220" s="23"/>
      <c r="MDY220" s="26"/>
      <c r="MEC220" s="23"/>
      <c r="MEH220" s="26"/>
      <c r="MEL220" s="23"/>
      <c r="MEQ220" s="26"/>
      <c r="MEU220" s="23"/>
      <c r="MEZ220" s="26"/>
      <c r="MFD220" s="23"/>
      <c r="MFI220" s="26"/>
      <c r="MFM220" s="23"/>
      <c r="MFR220" s="26"/>
      <c r="MFV220" s="23"/>
      <c r="MGA220" s="26"/>
      <c r="MGE220" s="23"/>
      <c r="MGJ220" s="26"/>
      <c r="MGN220" s="23"/>
      <c r="MGS220" s="26"/>
      <c r="MGW220" s="23"/>
      <c r="MHB220" s="26"/>
      <c r="MHF220" s="23"/>
      <c r="MHK220" s="26"/>
      <c r="MHO220" s="23"/>
      <c r="MHT220" s="26"/>
      <c r="MHX220" s="23"/>
      <c r="MIC220" s="26"/>
      <c r="MIG220" s="23"/>
      <c r="MIL220" s="26"/>
      <c r="MIP220" s="23"/>
      <c r="MIU220" s="26"/>
      <c r="MIY220" s="23"/>
      <c r="MJD220" s="26"/>
      <c r="MJH220" s="23"/>
      <c r="MJM220" s="26"/>
      <c r="MJQ220" s="23"/>
      <c r="MJV220" s="26"/>
      <c r="MJZ220" s="23"/>
      <c r="MKE220" s="26"/>
      <c r="MKI220" s="23"/>
      <c r="MKN220" s="26"/>
      <c r="MKR220" s="23"/>
      <c r="MKW220" s="26"/>
      <c r="MLA220" s="23"/>
      <c r="MLF220" s="26"/>
      <c r="MLJ220" s="23"/>
      <c r="MLO220" s="26"/>
      <c r="MLS220" s="23"/>
      <c r="MLX220" s="26"/>
      <c r="MMB220" s="23"/>
      <c r="MMG220" s="26"/>
      <c r="MMK220" s="23"/>
      <c r="MMP220" s="26"/>
      <c r="MMT220" s="23"/>
      <c r="MMY220" s="26"/>
      <c r="MNC220" s="23"/>
      <c r="MNH220" s="26"/>
      <c r="MNL220" s="23"/>
      <c r="MNQ220" s="26"/>
      <c r="MNU220" s="23"/>
      <c r="MNZ220" s="26"/>
      <c r="MOD220" s="23"/>
      <c r="MOI220" s="26"/>
      <c r="MOM220" s="23"/>
      <c r="MOR220" s="26"/>
      <c r="MOV220" s="23"/>
      <c r="MPA220" s="26"/>
      <c r="MPE220" s="23"/>
      <c r="MPJ220" s="26"/>
      <c r="MPN220" s="23"/>
      <c r="MPS220" s="26"/>
      <c r="MPW220" s="23"/>
      <c r="MQB220" s="26"/>
      <c r="MQF220" s="23"/>
      <c r="MQK220" s="26"/>
      <c r="MQO220" s="23"/>
      <c r="MQT220" s="26"/>
      <c r="MQX220" s="23"/>
      <c r="MRC220" s="26"/>
      <c r="MRG220" s="23"/>
      <c r="MRL220" s="26"/>
      <c r="MRP220" s="23"/>
      <c r="MRU220" s="26"/>
      <c r="MRY220" s="23"/>
      <c r="MSD220" s="26"/>
      <c r="MSH220" s="23"/>
      <c r="MSM220" s="26"/>
      <c r="MSQ220" s="23"/>
      <c r="MSV220" s="26"/>
      <c r="MSZ220" s="23"/>
      <c r="MTE220" s="26"/>
      <c r="MTI220" s="23"/>
      <c r="MTN220" s="26"/>
      <c r="MTR220" s="23"/>
      <c r="MTW220" s="26"/>
      <c r="MUA220" s="23"/>
      <c r="MUF220" s="26"/>
      <c r="MUJ220" s="23"/>
      <c r="MUO220" s="26"/>
      <c r="MUS220" s="23"/>
      <c r="MUX220" s="26"/>
      <c r="MVB220" s="23"/>
      <c r="MVG220" s="26"/>
      <c r="MVK220" s="23"/>
      <c r="MVP220" s="26"/>
      <c r="MVT220" s="23"/>
      <c r="MVY220" s="26"/>
      <c r="MWC220" s="23"/>
      <c r="MWH220" s="26"/>
      <c r="MWL220" s="23"/>
      <c r="MWQ220" s="26"/>
      <c r="MWU220" s="23"/>
      <c r="MWZ220" s="26"/>
      <c r="MXD220" s="23"/>
      <c r="MXI220" s="26"/>
      <c r="MXM220" s="23"/>
      <c r="MXR220" s="26"/>
      <c r="MXV220" s="23"/>
      <c r="MYA220" s="26"/>
      <c r="MYE220" s="23"/>
      <c r="MYJ220" s="26"/>
      <c r="MYN220" s="23"/>
      <c r="MYS220" s="26"/>
      <c r="MYW220" s="23"/>
      <c r="MZB220" s="26"/>
      <c r="MZF220" s="23"/>
      <c r="MZK220" s="26"/>
      <c r="MZO220" s="23"/>
      <c r="MZT220" s="26"/>
      <c r="MZX220" s="23"/>
      <c r="NAC220" s="26"/>
      <c r="NAG220" s="23"/>
      <c r="NAL220" s="26"/>
      <c r="NAP220" s="23"/>
      <c r="NAU220" s="26"/>
      <c r="NAY220" s="23"/>
      <c r="NBD220" s="26"/>
      <c r="NBH220" s="23"/>
      <c r="NBM220" s="26"/>
      <c r="NBQ220" s="23"/>
      <c r="NBV220" s="26"/>
      <c r="NBZ220" s="23"/>
      <c r="NCE220" s="26"/>
      <c r="NCI220" s="23"/>
      <c r="NCN220" s="26"/>
      <c r="NCR220" s="23"/>
      <c r="NCW220" s="26"/>
      <c r="NDA220" s="23"/>
      <c r="NDF220" s="26"/>
      <c r="NDJ220" s="23"/>
      <c r="NDO220" s="26"/>
      <c r="NDS220" s="23"/>
      <c r="NDX220" s="26"/>
      <c r="NEB220" s="23"/>
      <c r="NEG220" s="26"/>
      <c r="NEK220" s="23"/>
      <c r="NEP220" s="26"/>
      <c r="NET220" s="23"/>
      <c r="NEY220" s="26"/>
      <c r="NFC220" s="23"/>
      <c r="NFH220" s="26"/>
      <c r="NFL220" s="23"/>
      <c r="NFQ220" s="26"/>
      <c r="NFU220" s="23"/>
      <c r="NFZ220" s="26"/>
      <c r="NGD220" s="23"/>
      <c r="NGI220" s="26"/>
      <c r="NGM220" s="23"/>
      <c r="NGR220" s="26"/>
      <c r="NGV220" s="23"/>
      <c r="NHA220" s="26"/>
      <c r="NHE220" s="23"/>
      <c r="NHJ220" s="26"/>
      <c r="NHN220" s="23"/>
      <c r="NHS220" s="26"/>
      <c r="NHW220" s="23"/>
      <c r="NIB220" s="26"/>
      <c r="NIF220" s="23"/>
      <c r="NIK220" s="26"/>
      <c r="NIO220" s="23"/>
      <c r="NIT220" s="26"/>
      <c r="NIX220" s="23"/>
      <c r="NJC220" s="26"/>
      <c r="NJG220" s="23"/>
      <c r="NJL220" s="26"/>
      <c r="NJP220" s="23"/>
      <c r="NJU220" s="26"/>
      <c r="NJY220" s="23"/>
      <c r="NKD220" s="26"/>
      <c r="NKH220" s="23"/>
      <c r="NKM220" s="26"/>
      <c r="NKQ220" s="23"/>
      <c r="NKV220" s="26"/>
      <c r="NKZ220" s="23"/>
      <c r="NLE220" s="26"/>
      <c r="NLI220" s="23"/>
      <c r="NLN220" s="26"/>
      <c r="NLR220" s="23"/>
      <c r="NLW220" s="26"/>
      <c r="NMA220" s="23"/>
      <c r="NMF220" s="26"/>
      <c r="NMJ220" s="23"/>
      <c r="NMO220" s="26"/>
      <c r="NMS220" s="23"/>
      <c r="NMX220" s="26"/>
      <c r="NNB220" s="23"/>
      <c r="NNG220" s="26"/>
      <c r="NNK220" s="23"/>
      <c r="NNP220" s="26"/>
      <c r="NNT220" s="23"/>
      <c r="NNY220" s="26"/>
      <c r="NOC220" s="23"/>
      <c r="NOH220" s="26"/>
      <c r="NOL220" s="23"/>
      <c r="NOQ220" s="26"/>
      <c r="NOU220" s="23"/>
      <c r="NOZ220" s="26"/>
      <c r="NPD220" s="23"/>
      <c r="NPI220" s="26"/>
      <c r="NPM220" s="23"/>
      <c r="NPR220" s="26"/>
      <c r="NPV220" s="23"/>
      <c r="NQA220" s="26"/>
      <c r="NQE220" s="23"/>
      <c r="NQJ220" s="26"/>
      <c r="NQN220" s="23"/>
      <c r="NQS220" s="26"/>
      <c r="NQW220" s="23"/>
      <c r="NRB220" s="26"/>
      <c r="NRF220" s="23"/>
      <c r="NRK220" s="26"/>
      <c r="NRO220" s="23"/>
      <c r="NRT220" s="26"/>
      <c r="NRX220" s="23"/>
      <c r="NSC220" s="26"/>
      <c r="NSG220" s="23"/>
      <c r="NSL220" s="26"/>
      <c r="NSP220" s="23"/>
      <c r="NSU220" s="26"/>
      <c r="NSY220" s="23"/>
      <c r="NTD220" s="26"/>
      <c r="NTH220" s="23"/>
      <c r="NTM220" s="26"/>
      <c r="NTQ220" s="23"/>
      <c r="NTV220" s="26"/>
      <c r="NTZ220" s="23"/>
      <c r="NUE220" s="26"/>
      <c r="NUI220" s="23"/>
      <c r="NUN220" s="26"/>
      <c r="NUR220" s="23"/>
      <c r="NUW220" s="26"/>
      <c r="NVA220" s="23"/>
      <c r="NVF220" s="26"/>
      <c r="NVJ220" s="23"/>
      <c r="NVO220" s="26"/>
      <c r="NVS220" s="23"/>
      <c r="NVX220" s="26"/>
      <c r="NWB220" s="23"/>
      <c r="NWG220" s="26"/>
      <c r="NWK220" s="23"/>
      <c r="NWP220" s="26"/>
      <c r="NWT220" s="23"/>
      <c r="NWY220" s="26"/>
      <c r="NXC220" s="23"/>
      <c r="NXH220" s="26"/>
      <c r="NXL220" s="23"/>
      <c r="NXQ220" s="26"/>
      <c r="NXU220" s="23"/>
      <c r="NXZ220" s="26"/>
      <c r="NYD220" s="23"/>
      <c r="NYI220" s="26"/>
      <c r="NYM220" s="23"/>
      <c r="NYR220" s="26"/>
      <c r="NYV220" s="23"/>
      <c r="NZA220" s="26"/>
      <c r="NZE220" s="23"/>
      <c r="NZJ220" s="26"/>
      <c r="NZN220" s="23"/>
      <c r="NZS220" s="26"/>
      <c r="NZW220" s="23"/>
      <c r="OAB220" s="26"/>
      <c r="OAF220" s="23"/>
      <c r="OAK220" s="26"/>
      <c r="OAO220" s="23"/>
      <c r="OAT220" s="26"/>
      <c r="OAX220" s="23"/>
      <c r="OBC220" s="26"/>
      <c r="OBG220" s="23"/>
      <c r="OBL220" s="26"/>
      <c r="OBP220" s="23"/>
      <c r="OBU220" s="26"/>
      <c r="OBY220" s="23"/>
      <c r="OCD220" s="26"/>
      <c r="OCH220" s="23"/>
      <c r="OCM220" s="26"/>
      <c r="OCQ220" s="23"/>
      <c r="OCV220" s="26"/>
      <c r="OCZ220" s="23"/>
      <c r="ODE220" s="26"/>
      <c r="ODI220" s="23"/>
      <c r="ODN220" s="26"/>
      <c r="ODR220" s="23"/>
      <c r="ODW220" s="26"/>
      <c r="OEA220" s="23"/>
      <c r="OEF220" s="26"/>
      <c r="OEJ220" s="23"/>
      <c r="OEO220" s="26"/>
      <c r="OES220" s="23"/>
      <c r="OEX220" s="26"/>
      <c r="OFB220" s="23"/>
      <c r="OFG220" s="26"/>
      <c r="OFK220" s="23"/>
      <c r="OFP220" s="26"/>
      <c r="OFT220" s="23"/>
      <c r="OFY220" s="26"/>
      <c r="OGC220" s="23"/>
      <c r="OGH220" s="26"/>
      <c r="OGL220" s="23"/>
      <c r="OGQ220" s="26"/>
      <c r="OGU220" s="23"/>
      <c r="OGZ220" s="26"/>
      <c r="OHD220" s="23"/>
      <c r="OHI220" s="26"/>
      <c r="OHM220" s="23"/>
      <c r="OHR220" s="26"/>
      <c r="OHV220" s="23"/>
      <c r="OIA220" s="26"/>
      <c r="OIE220" s="23"/>
      <c r="OIJ220" s="26"/>
      <c r="OIN220" s="23"/>
      <c r="OIS220" s="26"/>
      <c r="OIW220" s="23"/>
      <c r="OJB220" s="26"/>
      <c r="OJF220" s="23"/>
      <c r="OJK220" s="26"/>
      <c r="OJO220" s="23"/>
      <c r="OJT220" s="26"/>
      <c r="OJX220" s="23"/>
      <c r="OKC220" s="26"/>
      <c r="OKG220" s="23"/>
      <c r="OKL220" s="26"/>
      <c r="OKP220" s="23"/>
      <c r="OKU220" s="26"/>
      <c r="OKY220" s="23"/>
      <c r="OLD220" s="26"/>
      <c r="OLH220" s="23"/>
      <c r="OLM220" s="26"/>
      <c r="OLQ220" s="23"/>
      <c r="OLV220" s="26"/>
      <c r="OLZ220" s="23"/>
      <c r="OME220" s="26"/>
      <c r="OMI220" s="23"/>
      <c r="OMN220" s="26"/>
      <c r="OMR220" s="23"/>
      <c r="OMW220" s="26"/>
      <c r="ONA220" s="23"/>
      <c r="ONF220" s="26"/>
      <c r="ONJ220" s="23"/>
      <c r="ONO220" s="26"/>
      <c r="ONS220" s="23"/>
      <c r="ONX220" s="26"/>
      <c r="OOB220" s="23"/>
      <c r="OOG220" s="26"/>
      <c r="OOK220" s="23"/>
      <c r="OOP220" s="26"/>
      <c r="OOT220" s="23"/>
      <c r="OOY220" s="26"/>
      <c r="OPC220" s="23"/>
      <c r="OPH220" s="26"/>
      <c r="OPL220" s="23"/>
      <c r="OPQ220" s="26"/>
      <c r="OPU220" s="23"/>
      <c r="OPZ220" s="26"/>
      <c r="OQD220" s="23"/>
      <c r="OQI220" s="26"/>
      <c r="OQM220" s="23"/>
      <c r="OQR220" s="26"/>
      <c r="OQV220" s="23"/>
      <c r="ORA220" s="26"/>
      <c r="ORE220" s="23"/>
      <c r="ORJ220" s="26"/>
      <c r="ORN220" s="23"/>
      <c r="ORS220" s="26"/>
      <c r="ORW220" s="23"/>
      <c r="OSB220" s="26"/>
      <c r="OSF220" s="23"/>
      <c r="OSK220" s="26"/>
      <c r="OSO220" s="23"/>
      <c r="OST220" s="26"/>
      <c r="OSX220" s="23"/>
      <c r="OTC220" s="26"/>
      <c r="OTG220" s="23"/>
      <c r="OTL220" s="26"/>
      <c r="OTP220" s="23"/>
      <c r="OTU220" s="26"/>
      <c r="OTY220" s="23"/>
      <c r="OUD220" s="26"/>
      <c r="OUH220" s="23"/>
      <c r="OUM220" s="26"/>
      <c r="OUQ220" s="23"/>
      <c r="OUV220" s="26"/>
      <c r="OUZ220" s="23"/>
      <c r="OVE220" s="26"/>
      <c r="OVI220" s="23"/>
      <c r="OVN220" s="26"/>
      <c r="OVR220" s="23"/>
      <c r="OVW220" s="26"/>
      <c r="OWA220" s="23"/>
      <c r="OWF220" s="26"/>
      <c r="OWJ220" s="23"/>
      <c r="OWO220" s="26"/>
      <c r="OWS220" s="23"/>
      <c r="OWX220" s="26"/>
      <c r="OXB220" s="23"/>
      <c r="OXG220" s="26"/>
      <c r="OXK220" s="23"/>
      <c r="OXP220" s="26"/>
      <c r="OXT220" s="23"/>
      <c r="OXY220" s="26"/>
      <c r="OYC220" s="23"/>
      <c r="OYH220" s="26"/>
      <c r="OYL220" s="23"/>
      <c r="OYQ220" s="26"/>
      <c r="OYU220" s="23"/>
      <c r="OYZ220" s="26"/>
      <c r="OZD220" s="23"/>
      <c r="OZI220" s="26"/>
      <c r="OZM220" s="23"/>
      <c r="OZR220" s="26"/>
      <c r="OZV220" s="23"/>
      <c r="PAA220" s="26"/>
      <c r="PAE220" s="23"/>
      <c r="PAJ220" s="26"/>
      <c r="PAN220" s="23"/>
      <c r="PAS220" s="26"/>
      <c r="PAW220" s="23"/>
      <c r="PBB220" s="26"/>
      <c r="PBF220" s="23"/>
      <c r="PBK220" s="26"/>
      <c r="PBO220" s="23"/>
      <c r="PBT220" s="26"/>
      <c r="PBX220" s="23"/>
      <c r="PCC220" s="26"/>
      <c r="PCG220" s="23"/>
      <c r="PCL220" s="26"/>
      <c r="PCP220" s="23"/>
      <c r="PCU220" s="26"/>
      <c r="PCY220" s="23"/>
      <c r="PDD220" s="26"/>
      <c r="PDH220" s="23"/>
      <c r="PDM220" s="26"/>
      <c r="PDQ220" s="23"/>
      <c r="PDV220" s="26"/>
      <c r="PDZ220" s="23"/>
      <c r="PEE220" s="26"/>
      <c r="PEI220" s="23"/>
      <c r="PEN220" s="26"/>
      <c r="PER220" s="23"/>
      <c r="PEW220" s="26"/>
      <c r="PFA220" s="23"/>
      <c r="PFF220" s="26"/>
      <c r="PFJ220" s="23"/>
      <c r="PFO220" s="26"/>
      <c r="PFS220" s="23"/>
      <c r="PFX220" s="26"/>
      <c r="PGB220" s="23"/>
      <c r="PGG220" s="26"/>
      <c r="PGK220" s="23"/>
      <c r="PGP220" s="26"/>
      <c r="PGT220" s="23"/>
      <c r="PGY220" s="26"/>
      <c r="PHC220" s="23"/>
      <c r="PHH220" s="26"/>
      <c r="PHL220" s="23"/>
      <c r="PHQ220" s="26"/>
      <c r="PHU220" s="23"/>
      <c r="PHZ220" s="26"/>
      <c r="PID220" s="23"/>
      <c r="PII220" s="26"/>
      <c r="PIM220" s="23"/>
      <c r="PIR220" s="26"/>
      <c r="PIV220" s="23"/>
      <c r="PJA220" s="26"/>
      <c r="PJE220" s="23"/>
      <c r="PJJ220" s="26"/>
      <c r="PJN220" s="23"/>
      <c r="PJS220" s="26"/>
      <c r="PJW220" s="23"/>
      <c r="PKB220" s="26"/>
      <c r="PKF220" s="23"/>
      <c r="PKK220" s="26"/>
      <c r="PKO220" s="23"/>
      <c r="PKT220" s="26"/>
      <c r="PKX220" s="23"/>
      <c r="PLC220" s="26"/>
      <c r="PLG220" s="23"/>
      <c r="PLL220" s="26"/>
      <c r="PLP220" s="23"/>
      <c r="PLU220" s="26"/>
      <c r="PLY220" s="23"/>
      <c r="PMD220" s="26"/>
      <c r="PMH220" s="23"/>
      <c r="PMM220" s="26"/>
      <c r="PMQ220" s="23"/>
      <c r="PMV220" s="26"/>
      <c r="PMZ220" s="23"/>
      <c r="PNE220" s="26"/>
      <c r="PNI220" s="23"/>
      <c r="PNN220" s="26"/>
      <c r="PNR220" s="23"/>
      <c r="PNW220" s="26"/>
      <c r="POA220" s="23"/>
      <c r="POF220" s="26"/>
      <c r="POJ220" s="23"/>
      <c r="POO220" s="26"/>
      <c r="POS220" s="23"/>
      <c r="POX220" s="26"/>
      <c r="PPB220" s="23"/>
      <c r="PPG220" s="26"/>
      <c r="PPK220" s="23"/>
      <c r="PPP220" s="26"/>
      <c r="PPT220" s="23"/>
      <c r="PPY220" s="26"/>
      <c r="PQC220" s="23"/>
      <c r="PQH220" s="26"/>
      <c r="PQL220" s="23"/>
      <c r="PQQ220" s="26"/>
      <c r="PQU220" s="23"/>
      <c r="PQZ220" s="26"/>
      <c r="PRD220" s="23"/>
      <c r="PRI220" s="26"/>
      <c r="PRM220" s="23"/>
      <c r="PRR220" s="26"/>
      <c r="PRV220" s="23"/>
      <c r="PSA220" s="26"/>
      <c r="PSE220" s="23"/>
      <c r="PSJ220" s="26"/>
      <c r="PSN220" s="23"/>
      <c r="PSS220" s="26"/>
      <c r="PSW220" s="23"/>
      <c r="PTB220" s="26"/>
      <c r="PTF220" s="23"/>
      <c r="PTK220" s="26"/>
      <c r="PTO220" s="23"/>
      <c r="PTT220" s="26"/>
      <c r="PTX220" s="23"/>
      <c r="PUC220" s="26"/>
      <c r="PUG220" s="23"/>
      <c r="PUL220" s="26"/>
      <c r="PUP220" s="23"/>
      <c r="PUU220" s="26"/>
      <c r="PUY220" s="23"/>
      <c r="PVD220" s="26"/>
      <c r="PVH220" s="23"/>
      <c r="PVM220" s="26"/>
      <c r="PVQ220" s="23"/>
      <c r="PVV220" s="26"/>
      <c r="PVZ220" s="23"/>
      <c r="PWE220" s="26"/>
      <c r="PWI220" s="23"/>
      <c r="PWN220" s="26"/>
      <c r="PWR220" s="23"/>
      <c r="PWW220" s="26"/>
      <c r="PXA220" s="23"/>
      <c r="PXF220" s="26"/>
      <c r="PXJ220" s="23"/>
      <c r="PXO220" s="26"/>
      <c r="PXS220" s="23"/>
      <c r="PXX220" s="26"/>
      <c r="PYB220" s="23"/>
      <c r="PYG220" s="26"/>
      <c r="PYK220" s="23"/>
      <c r="PYP220" s="26"/>
      <c r="PYT220" s="23"/>
      <c r="PYY220" s="26"/>
      <c r="PZC220" s="23"/>
      <c r="PZH220" s="26"/>
      <c r="PZL220" s="23"/>
      <c r="PZQ220" s="26"/>
      <c r="PZU220" s="23"/>
      <c r="PZZ220" s="26"/>
      <c r="QAD220" s="23"/>
      <c r="QAI220" s="26"/>
      <c r="QAM220" s="23"/>
      <c r="QAR220" s="26"/>
      <c r="QAV220" s="23"/>
      <c r="QBA220" s="26"/>
      <c r="QBE220" s="23"/>
      <c r="QBJ220" s="26"/>
      <c r="QBN220" s="23"/>
      <c r="QBS220" s="26"/>
      <c r="QBW220" s="23"/>
      <c r="QCB220" s="26"/>
      <c r="QCF220" s="23"/>
      <c r="QCK220" s="26"/>
      <c r="QCO220" s="23"/>
      <c r="QCT220" s="26"/>
      <c r="QCX220" s="23"/>
      <c r="QDC220" s="26"/>
      <c r="QDG220" s="23"/>
      <c r="QDL220" s="26"/>
      <c r="QDP220" s="23"/>
      <c r="QDU220" s="26"/>
      <c r="QDY220" s="23"/>
      <c r="QED220" s="26"/>
      <c r="QEH220" s="23"/>
      <c r="QEM220" s="26"/>
      <c r="QEQ220" s="23"/>
      <c r="QEV220" s="26"/>
      <c r="QEZ220" s="23"/>
      <c r="QFE220" s="26"/>
      <c r="QFI220" s="23"/>
      <c r="QFN220" s="26"/>
      <c r="QFR220" s="23"/>
      <c r="QFW220" s="26"/>
      <c r="QGA220" s="23"/>
      <c r="QGF220" s="26"/>
      <c r="QGJ220" s="23"/>
      <c r="QGO220" s="26"/>
      <c r="QGS220" s="23"/>
      <c r="QGX220" s="26"/>
      <c r="QHB220" s="23"/>
      <c r="QHG220" s="26"/>
      <c r="QHK220" s="23"/>
      <c r="QHP220" s="26"/>
      <c r="QHT220" s="23"/>
      <c r="QHY220" s="26"/>
      <c r="QIC220" s="23"/>
      <c r="QIH220" s="26"/>
      <c r="QIL220" s="23"/>
      <c r="QIQ220" s="26"/>
      <c r="QIU220" s="23"/>
      <c r="QIZ220" s="26"/>
      <c r="QJD220" s="23"/>
      <c r="QJI220" s="26"/>
      <c r="QJM220" s="23"/>
      <c r="QJR220" s="26"/>
      <c r="QJV220" s="23"/>
      <c r="QKA220" s="26"/>
      <c r="QKE220" s="23"/>
      <c r="QKJ220" s="26"/>
      <c r="QKN220" s="23"/>
      <c r="QKS220" s="26"/>
      <c r="QKW220" s="23"/>
      <c r="QLB220" s="26"/>
      <c r="QLF220" s="23"/>
      <c r="QLK220" s="26"/>
      <c r="QLO220" s="23"/>
      <c r="QLT220" s="26"/>
      <c r="QLX220" s="23"/>
      <c r="QMC220" s="26"/>
      <c r="QMG220" s="23"/>
      <c r="QML220" s="26"/>
      <c r="QMP220" s="23"/>
      <c r="QMU220" s="26"/>
      <c r="QMY220" s="23"/>
      <c r="QND220" s="26"/>
      <c r="QNH220" s="23"/>
      <c r="QNM220" s="26"/>
      <c r="QNQ220" s="23"/>
      <c r="QNV220" s="26"/>
      <c r="QNZ220" s="23"/>
      <c r="QOE220" s="26"/>
      <c r="QOI220" s="23"/>
      <c r="QON220" s="26"/>
      <c r="QOR220" s="23"/>
      <c r="QOW220" s="26"/>
      <c r="QPA220" s="23"/>
      <c r="QPF220" s="26"/>
      <c r="QPJ220" s="23"/>
      <c r="QPO220" s="26"/>
      <c r="QPS220" s="23"/>
      <c r="QPX220" s="26"/>
      <c r="QQB220" s="23"/>
      <c r="QQG220" s="26"/>
      <c r="QQK220" s="23"/>
      <c r="QQP220" s="26"/>
      <c r="QQT220" s="23"/>
      <c r="QQY220" s="26"/>
      <c r="QRC220" s="23"/>
      <c r="QRH220" s="26"/>
      <c r="QRL220" s="23"/>
      <c r="QRQ220" s="26"/>
      <c r="QRU220" s="23"/>
      <c r="QRZ220" s="26"/>
      <c r="QSD220" s="23"/>
      <c r="QSI220" s="26"/>
      <c r="QSM220" s="23"/>
      <c r="QSR220" s="26"/>
      <c r="QSV220" s="23"/>
      <c r="QTA220" s="26"/>
      <c r="QTE220" s="23"/>
      <c r="QTJ220" s="26"/>
      <c r="QTN220" s="23"/>
      <c r="QTS220" s="26"/>
      <c r="QTW220" s="23"/>
      <c r="QUB220" s="26"/>
      <c r="QUF220" s="23"/>
      <c r="QUK220" s="26"/>
      <c r="QUO220" s="23"/>
      <c r="QUT220" s="26"/>
      <c r="QUX220" s="23"/>
      <c r="QVC220" s="26"/>
      <c r="QVG220" s="23"/>
      <c r="QVL220" s="26"/>
      <c r="QVP220" s="23"/>
      <c r="QVU220" s="26"/>
      <c r="QVY220" s="23"/>
      <c r="QWD220" s="26"/>
      <c r="QWH220" s="23"/>
      <c r="QWM220" s="26"/>
      <c r="QWQ220" s="23"/>
      <c r="QWV220" s="26"/>
      <c r="QWZ220" s="23"/>
      <c r="QXE220" s="26"/>
      <c r="QXI220" s="23"/>
      <c r="QXN220" s="26"/>
      <c r="QXR220" s="23"/>
      <c r="QXW220" s="26"/>
      <c r="QYA220" s="23"/>
      <c r="QYF220" s="26"/>
      <c r="QYJ220" s="23"/>
      <c r="QYO220" s="26"/>
      <c r="QYS220" s="23"/>
      <c r="QYX220" s="26"/>
      <c r="QZB220" s="23"/>
      <c r="QZG220" s="26"/>
      <c r="QZK220" s="23"/>
      <c r="QZP220" s="26"/>
      <c r="QZT220" s="23"/>
      <c r="QZY220" s="26"/>
      <c r="RAC220" s="23"/>
      <c r="RAH220" s="26"/>
      <c r="RAL220" s="23"/>
      <c r="RAQ220" s="26"/>
      <c r="RAU220" s="23"/>
      <c r="RAZ220" s="26"/>
      <c r="RBD220" s="23"/>
      <c r="RBI220" s="26"/>
      <c r="RBM220" s="23"/>
      <c r="RBR220" s="26"/>
      <c r="RBV220" s="23"/>
      <c r="RCA220" s="26"/>
      <c r="RCE220" s="23"/>
      <c r="RCJ220" s="26"/>
      <c r="RCN220" s="23"/>
      <c r="RCS220" s="26"/>
      <c r="RCW220" s="23"/>
      <c r="RDB220" s="26"/>
      <c r="RDF220" s="23"/>
      <c r="RDK220" s="26"/>
      <c r="RDO220" s="23"/>
      <c r="RDT220" s="26"/>
      <c r="RDX220" s="23"/>
      <c r="REC220" s="26"/>
      <c r="REG220" s="23"/>
      <c r="REL220" s="26"/>
      <c r="REP220" s="23"/>
      <c r="REU220" s="26"/>
      <c r="REY220" s="23"/>
      <c r="RFD220" s="26"/>
      <c r="RFH220" s="23"/>
      <c r="RFM220" s="26"/>
      <c r="RFQ220" s="23"/>
      <c r="RFV220" s="26"/>
      <c r="RFZ220" s="23"/>
      <c r="RGE220" s="26"/>
      <c r="RGI220" s="23"/>
      <c r="RGN220" s="26"/>
      <c r="RGR220" s="23"/>
      <c r="RGW220" s="26"/>
      <c r="RHA220" s="23"/>
      <c r="RHF220" s="26"/>
      <c r="RHJ220" s="23"/>
      <c r="RHO220" s="26"/>
      <c r="RHS220" s="23"/>
      <c r="RHX220" s="26"/>
      <c r="RIB220" s="23"/>
      <c r="RIG220" s="26"/>
      <c r="RIK220" s="23"/>
      <c r="RIP220" s="26"/>
      <c r="RIT220" s="23"/>
      <c r="RIY220" s="26"/>
      <c r="RJC220" s="23"/>
      <c r="RJH220" s="26"/>
      <c r="RJL220" s="23"/>
      <c r="RJQ220" s="26"/>
      <c r="RJU220" s="23"/>
      <c r="RJZ220" s="26"/>
      <c r="RKD220" s="23"/>
      <c r="RKI220" s="26"/>
      <c r="RKM220" s="23"/>
      <c r="RKR220" s="26"/>
      <c r="RKV220" s="23"/>
      <c r="RLA220" s="26"/>
      <c r="RLE220" s="23"/>
      <c r="RLJ220" s="26"/>
      <c r="RLN220" s="23"/>
      <c r="RLS220" s="26"/>
      <c r="RLW220" s="23"/>
      <c r="RMB220" s="26"/>
      <c r="RMF220" s="23"/>
      <c r="RMK220" s="26"/>
      <c r="RMO220" s="23"/>
      <c r="RMT220" s="26"/>
      <c r="RMX220" s="23"/>
      <c r="RNC220" s="26"/>
      <c r="RNG220" s="23"/>
      <c r="RNL220" s="26"/>
      <c r="RNP220" s="23"/>
      <c r="RNU220" s="26"/>
      <c r="RNY220" s="23"/>
      <c r="ROD220" s="26"/>
      <c r="ROH220" s="23"/>
      <c r="ROM220" s="26"/>
      <c r="ROQ220" s="23"/>
      <c r="ROV220" s="26"/>
      <c r="ROZ220" s="23"/>
      <c r="RPE220" s="26"/>
      <c r="RPI220" s="23"/>
      <c r="RPN220" s="26"/>
      <c r="RPR220" s="23"/>
      <c r="RPW220" s="26"/>
      <c r="RQA220" s="23"/>
      <c r="RQF220" s="26"/>
      <c r="RQJ220" s="23"/>
      <c r="RQO220" s="26"/>
      <c r="RQS220" s="23"/>
      <c r="RQX220" s="26"/>
      <c r="RRB220" s="23"/>
      <c r="RRG220" s="26"/>
      <c r="RRK220" s="23"/>
      <c r="RRP220" s="26"/>
      <c r="RRT220" s="23"/>
      <c r="RRY220" s="26"/>
      <c r="RSC220" s="23"/>
      <c r="RSH220" s="26"/>
      <c r="RSL220" s="23"/>
      <c r="RSQ220" s="26"/>
      <c r="RSU220" s="23"/>
      <c r="RSZ220" s="26"/>
      <c r="RTD220" s="23"/>
      <c r="RTI220" s="26"/>
      <c r="RTM220" s="23"/>
      <c r="RTR220" s="26"/>
      <c r="RTV220" s="23"/>
      <c r="RUA220" s="26"/>
      <c r="RUE220" s="23"/>
      <c r="RUJ220" s="26"/>
      <c r="RUN220" s="23"/>
      <c r="RUS220" s="26"/>
      <c r="RUW220" s="23"/>
      <c r="RVB220" s="26"/>
      <c r="RVF220" s="23"/>
      <c r="RVK220" s="26"/>
      <c r="RVO220" s="23"/>
      <c r="RVT220" s="26"/>
      <c r="RVX220" s="23"/>
      <c r="RWC220" s="26"/>
      <c r="RWG220" s="23"/>
      <c r="RWL220" s="26"/>
      <c r="RWP220" s="23"/>
      <c r="RWU220" s="26"/>
      <c r="RWY220" s="23"/>
      <c r="RXD220" s="26"/>
      <c r="RXH220" s="23"/>
      <c r="RXM220" s="26"/>
      <c r="RXQ220" s="23"/>
      <c r="RXV220" s="26"/>
      <c r="RXZ220" s="23"/>
      <c r="RYE220" s="26"/>
      <c r="RYI220" s="23"/>
      <c r="RYN220" s="26"/>
      <c r="RYR220" s="23"/>
      <c r="RYW220" s="26"/>
      <c r="RZA220" s="23"/>
      <c r="RZF220" s="26"/>
      <c r="RZJ220" s="23"/>
      <c r="RZO220" s="26"/>
      <c r="RZS220" s="23"/>
      <c r="RZX220" s="26"/>
      <c r="SAB220" s="23"/>
      <c r="SAG220" s="26"/>
      <c r="SAK220" s="23"/>
      <c r="SAP220" s="26"/>
      <c r="SAT220" s="23"/>
      <c r="SAY220" s="26"/>
      <c r="SBC220" s="23"/>
      <c r="SBH220" s="26"/>
      <c r="SBL220" s="23"/>
      <c r="SBQ220" s="26"/>
      <c r="SBU220" s="23"/>
      <c r="SBZ220" s="26"/>
      <c r="SCD220" s="23"/>
      <c r="SCI220" s="26"/>
      <c r="SCM220" s="23"/>
      <c r="SCR220" s="26"/>
      <c r="SCV220" s="23"/>
      <c r="SDA220" s="26"/>
      <c r="SDE220" s="23"/>
      <c r="SDJ220" s="26"/>
      <c r="SDN220" s="23"/>
      <c r="SDS220" s="26"/>
      <c r="SDW220" s="23"/>
      <c r="SEB220" s="26"/>
      <c r="SEF220" s="23"/>
      <c r="SEK220" s="26"/>
      <c r="SEO220" s="23"/>
      <c r="SET220" s="26"/>
      <c r="SEX220" s="23"/>
      <c r="SFC220" s="26"/>
      <c r="SFG220" s="23"/>
      <c r="SFL220" s="26"/>
      <c r="SFP220" s="23"/>
      <c r="SFU220" s="26"/>
      <c r="SFY220" s="23"/>
      <c r="SGD220" s="26"/>
      <c r="SGH220" s="23"/>
      <c r="SGM220" s="26"/>
      <c r="SGQ220" s="23"/>
      <c r="SGV220" s="26"/>
      <c r="SGZ220" s="23"/>
      <c r="SHE220" s="26"/>
      <c r="SHI220" s="23"/>
      <c r="SHN220" s="26"/>
      <c r="SHR220" s="23"/>
      <c r="SHW220" s="26"/>
      <c r="SIA220" s="23"/>
      <c r="SIF220" s="26"/>
      <c r="SIJ220" s="23"/>
      <c r="SIO220" s="26"/>
      <c r="SIS220" s="23"/>
      <c r="SIX220" s="26"/>
      <c r="SJB220" s="23"/>
      <c r="SJG220" s="26"/>
      <c r="SJK220" s="23"/>
      <c r="SJP220" s="26"/>
      <c r="SJT220" s="23"/>
      <c r="SJY220" s="26"/>
      <c r="SKC220" s="23"/>
      <c r="SKH220" s="26"/>
      <c r="SKL220" s="23"/>
      <c r="SKQ220" s="26"/>
      <c r="SKU220" s="23"/>
      <c r="SKZ220" s="26"/>
      <c r="SLD220" s="23"/>
      <c r="SLI220" s="26"/>
      <c r="SLM220" s="23"/>
      <c r="SLR220" s="26"/>
      <c r="SLV220" s="23"/>
      <c r="SMA220" s="26"/>
      <c r="SME220" s="23"/>
      <c r="SMJ220" s="26"/>
      <c r="SMN220" s="23"/>
      <c r="SMS220" s="26"/>
      <c r="SMW220" s="23"/>
      <c r="SNB220" s="26"/>
      <c r="SNF220" s="23"/>
      <c r="SNK220" s="26"/>
      <c r="SNO220" s="23"/>
      <c r="SNT220" s="26"/>
      <c r="SNX220" s="23"/>
      <c r="SOC220" s="26"/>
      <c r="SOG220" s="23"/>
      <c r="SOL220" s="26"/>
      <c r="SOP220" s="23"/>
      <c r="SOU220" s="26"/>
      <c r="SOY220" s="23"/>
      <c r="SPD220" s="26"/>
      <c r="SPH220" s="23"/>
      <c r="SPM220" s="26"/>
      <c r="SPQ220" s="23"/>
      <c r="SPV220" s="26"/>
      <c r="SPZ220" s="23"/>
      <c r="SQE220" s="26"/>
      <c r="SQI220" s="23"/>
      <c r="SQN220" s="26"/>
      <c r="SQR220" s="23"/>
      <c r="SQW220" s="26"/>
      <c r="SRA220" s="23"/>
      <c r="SRF220" s="26"/>
      <c r="SRJ220" s="23"/>
      <c r="SRO220" s="26"/>
      <c r="SRS220" s="23"/>
      <c r="SRX220" s="26"/>
      <c r="SSB220" s="23"/>
      <c r="SSG220" s="26"/>
      <c r="SSK220" s="23"/>
      <c r="SSP220" s="26"/>
      <c r="SST220" s="23"/>
      <c r="SSY220" s="26"/>
      <c r="STC220" s="23"/>
      <c r="STH220" s="26"/>
      <c r="STL220" s="23"/>
      <c r="STQ220" s="26"/>
      <c r="STU220" s="23"/>
      <c r="STZ220" s="26"/>
      <c r="SUD220" s="23"/>
      <c r="SUI220" s="26"/>
      <c r="SUM220" s="23"/>
      <c r="SUR220" s="26"/>
      <c r="SUV220" s="23"/>
      <c r="SVA220" s="26"/>
      <c r="SVE220" s="23"/>
      <c r="SVJ220" s="26"/>
      <c r="SVN220" s="23"/>
      <c r="SVS220" s="26"/>
      <c r="SVW220" s="23"/>
      <c r="SWB220" s="26"/>
      <c r="SWF220" s="23"/>
      <c r="SWK220" s="26"/>
      <c r="SWO220" s="23"/>
      <c r="SWT220" s="26"/>
      <c r="SWX220" s="23"/>
      <c r="SXC220" s="26"/>
      <c r="SXG220" s="23"/>
      <c r="SXL220" s="26"/>
      <c r="SXP220" s="23"/>
      <c r="SXU220" s="26"/>
      <c r="SXY220" s="23"/>
      <c r="SYD220" s="26"/>
      <c r="SYH220" s="23"/>
      <c r="SYM220" s="26"/>
      <c r="SYQ220" s="23"/>
      <c r="SYV220" s="26"/>
      <c r="SYZ220" s="23"/>
      <c r="SZE220" s="26"/>
      <c r="SZI220" s="23"/>
      <c r="SZN220" s="26"/>
      <c r="SZR220" s="23"/>
      <c r="SZW220" s="26"/>
      <c r="TAA220" s="23"/>
      <c r="TAF220" s="26"/>
      <c r="TAJ220" s="23"/>
      <c r="TAO220" s="26"/>
      <c r="TAS220" s="23"/>
      <c r="TAX220" s="26"/>
      <c r="TBB220" s="23"/>
      <c r="TBG220" s="26"/>
      <c r="TBK220" s="23"/>
      <c r="TBP220" s="26"/>
      <c r="TBT220" s="23"/>
      <c r="TBY220" s="26"/>
      <c r="TCC220" s="23"/>
      <c r="TCH220" s="26"/>
      <c r="TCL220" s="23"/>
      <c r="TCQ220" s="26"/>
      <c r="TCU220" s="23"/>
      <c r="TCZ220" s="26"/>
      <c r="TDD220" s="23"/>
      <c r="TDI220" s="26"/>
      <c r="TDM220" s="23"/>
      <c r="TDR220" s="26"/>
      <c r="TDV220" s="23"/>
      <c r="TEA220" s="26"/>
      <c r="TEE220" s="23"/>
      <c r="TEJ220" s="26"/>
      <c r="TEN220" s="23"/>
      <c r="TES220" s="26"/>
      <c r="TEW220" s="23"/>
      <c r="TFB220" s="26"/>
      <c r="TFF220" s="23"/>
      <c r="TFK220" s="26"/>
      <c r="TFO220" s="23"/>
      <c r="TFT220" s="26"/>
      <c r="TFX220" s="23"/>
      <c r="TGC220" s="26"/>
      <c r="TGG220" s="23"/>
      <c r="TGL220" s="26"/>
      <c r="TGP220" s="23"/>
      <c r="TGU220" s="26"/>
      <c r="TGY220" s="23"/>
      <c r="THD220" s="26"/>
      <c r="THH220" s="23"/>
      <c r="THM220" s="26"/>
      <c r="THQ220" s="23"/>
      <c r="THV220" s="26"/>
      <c r="THZ220" s="23"/>
      <c r="TIE220" s="26"/>
      <c r="TII220" s="23"/>
      <c r="TIN220" s="26"/>
      <c r="TIR220" s="23"/>
      <c r="TIW220" s="26"/>
      <c r="TJA220" s="23"/>
      <c r="TJF220" s="26"/>
      <c r="TJJ220" s="23"/>
      <c r="TJO220" s="26"/>
      <c r="TJS220" s="23"/>
      <c r="TJX220" s="26"/>
      <c r="TKB220" s="23"/>
      <c r="TKG220" s="26"/>
      <c r="TKK220" s="23"/>
      <c r="TKP220" s="26"/>
      <c r="TKT220" s="23"/>
      <c r="TKY220" s="26"/>
      <c r="TLC220" s="23"/>
      <c r="TLH220" s="26"/>
      <c r="TLL220" s="23"/>
      <c r="TLQ220" s="26"/>
      <c r="TLU220" s="23"/>
      <c r="TLZ220" s="26"/>
      <c r="TMD220" s="23"/>
      <c r="TMI220" s="26"/>
      <c r="TMM220" s="23"/>
      <c r="TMR220" s="26"/>
      <c r="TMV220" s="23"/>
      <c r="TNA220" s="26"/>
      <c r="TNE220" s="23"/>
      <c r="TNJ220" s="26"/>
      <c r="TNN220" s="23"/>
      <c r="TNS220" s="26"/>
      <c r="TNW220" s="23"/>
      <c r="TOB220" s="26"/>
      <c r="TOF220" s="23"/>
      <c r="TOK220" s="26"/>
      <c r="TOO220" s="23"/>
      <c r="TOT220" s="26"/>
      <c r="TOX220" s="23"/>
      <c r="TPC220" s="26"/>
      <c r="TPG220" s="23"/>
      <c r="TPL220" s="26"/>
      <c r="TPP220" s="23"/>
      <c r="TPU220" s="26"/>
      <c r="TPY220" s="23"/>
      <c r="TQD220" s="26"/>
      <c r="TQH220" s="23"/>
      <c r="TQM220" s="26"/>
      <c r="TQQ220" s="23"/>
      <c r="TQV220" s="26"/>
      <c r="TQZ220" s="23"/>
      <c r="TRE220" s="26"/>
      <c r="TRI220" s="23"/>
      <c r="TRN220" s="26"/>
      <c r="TRR220" s="23"/>
      <c r="TRW220" s="26"/>
      <c r="TSA220" s="23"/>
      <c r="TSF220" s="26"/>
      <c r="TSJ220" s="23"/>
      <c r="TSO220" s="26"/>
      <c r="TSS220" s="23"/>
      <c r="TSX220" s="26"/>
      <c r="TTB220" s="23"/>
      <c r="TTG220" s="26"/>
      <c r="TTK220" s="23"/>
      <c r="TTP220" s="26"/>
      <c r="TTT220" s="23"/>
      <c r="TTY220" s="26"/>
      <c r="TUC220" s="23"/>
      <c r="TUH220" s="26"/>
      <c r="TUL220" s="23"/>
      <c r="TUQ220" s="26"/>
      <c r="TUU220" s="23"/>
      <c r="TUZ220" s="26"/>
      <c r="TVD220" s="23"/>
      <c r="TVI220" s="26"/>
      <c r="TVM220" s="23"/>
      <c r="TVR220" s="26"/>
      <c r="TVV220" s="23"/>
      <c r="TWA220" s="26"/>
      <c r="TWE220" s="23"/>
      <c r="TWJ220" s="26"/>
      <c r="TWN220" s="23"/>
      <c r="TWS220" s="26"/>
      <c r="TWW220" s="23"/>
      <c r="TXB220" s="26"/>
      <c r="TXF220" s="23"/>
      <c r="TXK220" s="26"/>
      <c r="TXO220" s="23"/>
      <c r="TXT220" s="26"/>
      <c r="TXX220" s="23"/>
      <c r="TYC220" s="26"/>
      <c r="TYG220" s="23"/>
      <c r="TYL220" s="26"/>
      <c r="TYP220" s="23"/>
      <c r="TYU220" s="26"/>
      <c r="TYY220" s="23"/>
      <c r="TZD220" s="26"/>
      <c r="TZH220" s="23"/>
      <c r="TZM220" s="26"/>
      <c r="TZQ220" s="23"/>
      <c r="TZV220" s="26"/>
      <c r="TZZ220" s="23"/>
      <c r="UAE220" s="26"/>
      <c r="UAI220" s="23"/>
      <c r="UAN220" s="26"/>
      <c r="UAR220" s="23"/>
      <c r="UAW220" s="26"/>
      <c r="UBA220" s="23"/>
      <c r="UBF220" s="26"/>
      <c r="UBJ220" s="23"/>
      <c r="UBO220" s="26"/>
      <c r="UBS220" s="23"/>
      <c r="UBX220" s="26"/>
      <c r="UCB220" s="23"/>
      <c r="UCG220" s="26"/>
      <c r="UCK220" s="23"/>
      <c r="UCP220" s="26"/>
      <c r="UCT220" s="23"/>
      <c r="UCY220" s="26"/>
      <c r="UDC220" s="23"/>
      <c r="UDH220" s="26"/>
      <c r="UDL220" s="23"/>
      <c r="UDQ220" s="26"/>
      <c r="UDU220" s="23"/>
      <c r="UDZ220" s="26"/>
      <c r="UED220" s="23"/>
      <c r="UEI220" s="26"/>
      <c r="UEM220" s="23"/>
      <c r="UER220" s="26"/>
      <c r="UEV220" s="23"/>
      <c r="UFA220" s="26"/>
      <c r="UFE220" s="23"/>
      <c r="UFJ220" s="26"/>
      <c r="UFN220" s="23"/>
      <c r="UFS220" s="26"/>
      <c r="UFW220" s="23"/>
      <c r="UGB220" s="26"/>
      <c r="UGF220" s="23"/>
      <c r="UGK220" s="26"/>
      <c r="UGO220" s="23"/>
      <c r="UGT220" s="26"/>
      <c r="UGX220" s="23"/>
      <c r="UHC220" s="26"/>
      <c r="UHG220" s="23"/>
      <c r="UHL220" s="26"/>
      <c r="UHP220" s="23"/>
      <c r="UHU220" s="26"/>
      <c r="UHY220" s="23"/>
      <c r="UID220" s="26"/>
      <c r="UIH220" s="23"/>
      <c r="UIM220" s="26"/>
      <c r="UIQ220" s="23"/>
      <c r="UIV220" s="26"/>
      <c r="UIZ220" s="23"/>
      <c r="UJE220" s="26"/>
      <c r="UJI220" s="23"/>
      <c r="UJN220" s="26"/>
      <c r="UJR220" s="23"/>
      <c r="UJW220" s="26"/>
      <c r="UKA220" s="23"/>
      <c r="UKF220" s="26"/>
      <c r="UKJ220" s="23"/>
      <c r="UKO220" s="26"/>
      <c r="UKS220" s="23"/>
      <c r="UKX220" s="26"/>
      <c r="ULB220" s="23"/>
      <c r="ULG220" s="26"/>
      <c r="ULK220" s="23"/>
      <c r="ULP220" s="26"/>
      <c r="ULT220" s="23"/>
      <c r="ULY220" s="26"/>
      <c r="UMC220" s="23"/>
      <c r="UMH220" s="26"/>
      <c r="UML220" s="23"/>
      <c r="UMQ220" s="26"/>
      <c r="UMU220" s="23"/>
      <c r="UMZ220" s="26"/>
      <c r="UND220" s="23"/>
      <c r="UNI220" s="26"/>
      <c r="UNM220" s="23"/>
      <c r="UNR220" s="26"/>
      <c r="UNV220" s="23"/>
      <c r="UOA220" s="26"/>
      <c r="UOE220" s="23"/>
      <c r="UOJ220" s="26"/>
      <c r="UON220" s="23"/>
      <c r="UOS220" s="26"/>
      <c r="UOW220" s="23"/>
      <c r="UPB220" s="26"/>
      <c r="UPF220" s="23"/>
      <c r="UPK220" s="26"/>
      <c r="UPO220" s="23"/>
      <c r="UPT220" s="26"/>
      <c r="UPX220" s="23"/>
      <c r="UQC220" s="26"/>
      <c r="UQG220" s="23"/>
      <c r="UQL220" s="26"/>
      <c r="UQP220" s="23"/>
      <c r="UQU220" s="26"/>
      <c r="UQY220" s="23"/>
      <c r="URD220" s="26"/>
      <c r="URH220" s="23"/>
      <c r="URM220" s="26"/>
      <c r="URQ220" s="23"/>
      <c r="URV220" s="26"/>
      <c r="URZ220" s="23"/>
      <c r="USE220" s="26"/>
      <c r="USI220" s="23"/>
      <c r="USN220" s="26"/>
      <c r="USR220" s="23"/>
      <c r="USW220" s="26"/>
      <c r="UTA220" s="23"/>
      <c r="UTF220" s="26"/>
      <c r="UTJ220" s="23"/>
      <c r="UTO220" s="26"/>
      <c r="UTS220" s="23"/>
      <c r="UTX220" s="26"/>
      <c r="UUB220" s="23"/>
      <c r="UUG220" s="26"/>
      <c r="UUK220" s="23"/>
      <c r="UUP220" s="26"/>
      <c r="UUT220" s="23"/>
      <c r="UUY220" s="26"/>
      <c r="UVC220" s="23"/>
      <c r="UVH220" s="26"/>
      <c r="UVL220" s="23"/>
      <c r="UVQ220" s="26"/>
      <c r="UVU220" s="23"/>
      <c r="UVZ220" s="26"/>
      <c r="UWD220" s="23"/>
      <c r="UWI220" s="26"/>
      <c r="UWM220" s="23"/>
      <c r="UWR220" s="26"/>
      <c r="UWV220" s="23"/>
      <c r="UXA220" s="26"/>
      <c r="UXE220" s="23"/>
      <c r="UXJ220" s="26"/>
      <c r="UXN220" s="23"/>
      <c r="UXS220" s="26"/>
      <c r="UXW220" s="23"/>
      <c r="UYB220" s="26"/>
      <c r="UYF220" s="23"/>
      <c r="UYK220" s="26"/>
      <c r="UYO220" s="23"/>
      <c r="UYT220" s="26"/>
      <c r="UYX220" s="23"/>
      <c r="UZC220" s="26"/>
      <c r="UZG220" s="23"/>
      <c r="UZL220" s="26"/>
      <c r="UZP220" s="23"/>
      <c r="UZU220" s="26"/>
      <c r="UZY220" s="23"/>
      <c r="VAD220" s="26"/>
      <c r="VAH220" s="23"/>
      <c r="VAM220" s="26"/>
      <c r="VAQ220" s="23"/>
      <c r="VAV220" s="26"/>
      <c r="VAZ220" s="23"/>
      <c r="VBE220" s="26"/>
      <c r="VBI220" s="23"/>
      <c r="VBN220" s="26"/>
      <c r="VBR220" s="23"/>
      <c r="VBW220" s="26"/>
      <c r="VCA220" s="23"/>
      <c r="VCF220" s="26"/>
      <c r="VCJ220" s="23"/>
      <c r="VCO220" s="26"/>
      <c r="VCS220" s="23"/>
      <c r="VCX220" s="26"/>
      <c r="VDB220" s="23"/>
      <c r="VDG220" s="26"/>
      <c r="VDK220" s="23"/>
      <c r="VDP220" s="26"/>
      <c r="VDT220" s="23"/>
      <c r="VDY220" s="26"/>
      <c r="VEC220" s="23"/>
      <c r="VEH220" s="26"/>
      <c r="VEL220" s="23"/>
      <c r="VEQ220" s="26"/>
      <c r="VEU220" s="23"/>
      <c r="VEZ220" s="26"/>
      <c r="VFD220" s="23"/>
      <c r="VFI220" s="26"/>
      <c r="VFM220" s="23"/>
      <c r="VFR220" s="26"/>
      <c r="VFV220" s="23"/>
      <c r="VGA220" s="26"/>
      <c r="VGE220" s="23"/>
      <c r="VGJ220" s="26"/>
      <c r="VGN220" s="23"/>
      <c r="VGS220" s="26"/>
      <c r="VGW220" s="23"/>
      <c r="VHB220" s="26"/>
      <c r="VHF220" s="23"/>
      <c r="VHK220" s="26"/>
      <c r="VHO220" s="23"/>
      <c r="VHT220" s="26"/>
      <c r="VHX220" s="23"/>
      <c r="VIC220" s="26"/>
      <c r="VIG220" s="23"/>
      <c r="VIL220" s="26"/>
      <c r="VIP220" s="23"/>
      <c r="VIU220" s="26"/>
      <c r="VIY220" s="23"/>
      <c r="VJD220" s="26"/>
      <c r="VJH220" s="23"/>
      <c r="VJM220" s="26"/>
      <c r="VJQ220" s="23"/>
      <c r="VJV220" s="26"/>
      <c r="VJZ220" s="23"/>
      <c r="VKE220" s="26"/>
      <c r="VKI220" s="23"/>
      <c r="VKN220" s="26"/>
      <c r="VKR220" s="23"/>
      <c r="VKW220" s="26"/>
      <c r="VLA220" s="23"/>
      <c r="VLF220" s="26"/>
      <c r="VLJ220" s="23"/>
      <c r="VLO220" s="26"/>
      <c r="VLS220" s="23"/>
      <c r="VLX220" s="26"/>
      <c r="VMB220" s="23"/>
      <c r="VMG220" s="26"/>
      <c r="VMK220" s="23"/>
      <c r="VMP220" s="26"/>
      <c r="VMT220" s="23"/>
      <c r="VMY220" s="26"/>
      <c r="VNC220" s="23"/>
      <c r="VNH220" s="26"/>
      <c r="VNL220" s="23"/>
      <c r="VNQ220" s="26"/>
      <c r="VNU220" s="23"/>
      <c r="VNZ220" s="26"/>
      <c r="VOD220" s="23"/>
      <c r="VOI220" s="26"/>
      <c r="VOM220" s="23"/>
      <c r="VOR220" s="26"/>
      <c r="VOV220" s="23"/>
      <c r="VPA220" s="26"/>
      <c r="VPE220" s="23"/>
      <c r="VPJ220" s="26"/>
      <c r="VPN220" s="23"/>
      <c r="VPS220" s="26"/>
      <c r="VPW220" s="23"/>
      <c r="VQB220" s="26"/>
      <c r="VQF220" s="23"/>
      <c r="VQK220" s="26"/>
      <c r="VQO220" s="23"/>
      <c r="VQT220" s="26"/>
      <c r="VQX220" s="23"/>
      <c r="VRC220" s="26"/>
      <c r="VRG220" s="23"/>
      <c r="VRL220" s="26"/>
      <c r="VRP220" s="23"/>
      <c r="VRU220" s="26"/>
      <c r="VRY220" s="23"/>
      <c r="VSD220" s="26"/>
      <c r="VSH220" s="23"/>
      <c r="VSM220" s="26"/>
      <c r="VSQ220" s="23"/>
      <c r="VSV220" s="26"/>
      <c r="VSZ220" s="23"/>
      <c r="VTE220" s="26"/>
      <c r="VTI220" s="23"/>
      <c r="VTN220" s="26"/>
      <c r="VTR220" s="23"/>
      <c r="VTW220" s="26"/>
      <c r="VUA220" s="23"/>
      <c r="VUF220" s="26"/>
      <c r="VUJ220" s="23"/>
      <c r="VUO220" s="26"/>
      <c r="VUS220" s="23"/>
      <c r="VUX220" s="26"/>
      <c r="VVB220" s="23"/>
      <c r="VVG220" s="26"/>
      <c r="VVK220" s="23"/>
      <c r="VVP220" s="26"/>
      <c r="VVT220" s="23"/>
      <c r="VVY220" s="26"/>
      <c r="VWC220" s="23"/>
      <c r="VWH220" s="26"/>
      <c r="VWL220" s="23"/>
      <c r="VWQ220" s="26"/>
      <c r="VWU220" s="23"/>
      <c r="VWZ220" s="26"/>
      <c r="VXD220" s="23"/>
      <c r="VXI220" s="26"/>
      <c r="VXM220" s="23"/>
      <c r="VXR220" s="26"/>
      <c r="VXV220" s="23"/>
      <c r="VYA220" s="26"/>
      <c r="VYE220" s="23"/>
      <c r="VYJ220" s="26"/>
      <c r="VYN220" s="23"/>
      <c r="VYS220" s="26"/>
      <c r="VYW220" s="23"/>
      <c r="VZB220" s="26"/>
      <c r="VZF220" s="23"/>
      <c r="VZK220" s="26"/>
      <c r="VZO220" s="23"/>
      <c r="VZT220" s="26"/>
      <c r="VZX220" s="23"/>
      <c r="WAC220" s="26"/>
      <c r="WAG220" s="23"/>
      <c r="WAL220" s="26"/>
      <c r="WAP220" s="23"/>
      <c r="WAU220" s="26"/>
      <c r="WAY220" s="23"/>
      <c r="WBD220" s="26"/>
      <c r="WBH220" s="23"/>
      <c r="WBM220" s="26"/>
      <c r="WBQ220" s="23"/>
      <c r="WBV220" s="26"/>
      <c r="WBZ220" s="23"/>
      <c r="WCE220" s="26"/>
      <c r="WCI220" s="23"/>
      <c r="WCN220" s="26"/>
      <c r="WCR220" s="23"/>
      <c r="WCW220" s="26"/>
      <c r="WDA220" s="23"/>
      <c r="WDF220" s="26"/>
      <c r="WDJ220" s="23"/>
      <c r="WDO220" s="26"/>
      <c r="WDS220" s="23"/>
      <c r="WDX220" s="26"/>
      <c r="WEB220" s="23"/>
      <c r="WEG220" s="26"/>
      <c r="WEK220" s="23"/>
      <c r="WEP220" s="26"/>
      <c r="WET220" s="23"/>
      <c r="WEY220" s="26"/>
      <c r="WFC220" s="23"/>
      <c r="WFH220" s="26"/>
      <c r="WFL220" s="23"/>
      <c r="WFQ220" s="26"/>
      <c r="WFU220" s="23"/>
      <c r="WFZ220" s="26"/>
      <c r="WGD220" s="23"/>
      <c r="WGI220" s="26"/>
      <c r="WGM220" s="23"/>
      <c r="WGR220" s="26"/>
      <c r="WGV220" s="23"/>
      <c r="WHA220" s="26"/>
      <c r="WHE220" s="23"/>
      <c r="WHJ220" s="26"/>
      <c r="WHN220" s="23"/>
      <c r="WHS220" s="26"/>
      <c r="WHW220" s="23"/>
      <c r="WIB220" s="26"/>
      <c r="WIF220" s="23"/>
      <c r="WIK220" s="26"/>
      <c r="WIO220" s="23"/>
      <c r="WIT220" s="26"/>
      <c r="WIX220" s="23"/>
      <c r="WJC220" s="26"/>
      <c r="WJG220" s="23"/>
      <c r="WJL220" s="26"/>
      <c r="WJP220" s="23"/>
      <c r="WJU220" s="26"/>
      <c r="WJY220" s="23"/>
      <c r="WKD220" s="26"/>
      <c r="WKH220" s="23"/>
      <c r="WKM220" s="26"/>
      <c r="WKQ220" s="23"/>
      <c r="WKV220" s="26"/>
      <c r="WKZ220" s="23"/>
      <c r="WLE220" s="26"/>
      <c r="WLI220" s="23"/>
      <c r="WLN220" s="26"/>
      <c r="WLR220" s="23"/>
      <c r="WLW220" s="26"/>
      <c r="WMA220" s="23"/>
      <c r="WMF220" s="26"/>
      <c r="WMJ220" s="23"/>
      <c r="WMO220" s="26"/>
      <c r="WMS220" s="23"/>
      <c r="WMX220" s="26"/>
      <c r="WNB220" s="23"/>
      <c r="WNG220" s="26"/>
      <c r="WNK220" s="23"/>
      <c r="WNP220" s="26"/>
      <c r="WNT220" s="23"/>
      <c r="WNY220" s="26"/>
      <c r="WOC220" s="23"/>
      <c r="WOH220" s="26"/>
      <c r="WOL220" s="23"/>
      <c r="WOQ220" s="26"/>
      <c r="WOU220" s="23"/>
      <c r="WOZ220" s="26"/>
      <c r="WPD220" s="23"/>
      <c r="WPI220" s="26"/>
      <c r="WPM220" s="23"/>
      <c r="WPR220" s="26"/>
      <c r="WPV220" s="23"/>
      <c r="WQA220" s="26"/>
      <c r="WQE220" s="23"/>
      <c r="WQJ220" s="26"/>
      <c r="WQN220" s="23"/>
      <c r="WQS220" s="26"/>
      <c r="WQW220" s="23"/>
      <c r="WRB220" s="26"/>
      <c r="WRF220" s="23"/>
      <c r="WRK220" s="26"/>
      <c r="WRO220" s="23"/>
      <c r="WRT220" s="26"/>
      <c r="WRX220" s="23"/>
      <c r="WSC220" s="26"/>
      <c r="WSG220" s="23"/>
      <c r="WSL220" s="26"/>
      <c r="WSP220" s="23"/>
      <c r="WSU220" s="26"/>
      <c r="WSY220" s="23"/>
      <c r="WTD220" s="26"/>
      <c r="WTH220" s="23"/>
      <c r="WTM220" s="26"/>
      <c r="WTQ220" s="23"/>
      <c r="WTV220" s="26"/>
      <c r="WTZ220" s="23"/>
      <c r="WUE220" s="26"/>
      <c r="WUI220" s="23"/>
      <c r="WUN220" s="26"/>
      <c r="WUR220" s="23"/>
      <c r="WUW220" s="26"/>
      <c r="WVA220" s="23"/>
      <c r="WVF220" s="26"/>
      <c r="WVJ220" s="23"/>
      <c r="WVO220" s="26"/>
      <c r="WVS220" s="23"/>
      <c r="WVX220" s="26"/>
      <c r="WWB220" s="23"/>
      <c r="WWG220" s="26"/>
      <c r="WWK220" s="23"/>
      <c r="WWP220" s="26"/>
      <c r="WWT220" s="23"/>
      <c r="WWY220" s="26"/>
      <c r="WXC220" s="23"/>
      <c r="WXH220" s="26"/>
      <c r="WXL220" s="23"/>
      <c r="WXQ220" s="26"/>
      <c r="WXU220" s="23"/>
      <c r="WXZ220" s="26"/>
      <c r="WYD220" s="23"/>
      <c r="WYI220" s="26"/>
      <c r="WYM220" s="23"/>
      <c r="WYR220" s="26"/>
      <c r="WYV220" s="23"/>
      <c r="WZA220" s="26"/>
      <c r="WZE220" s="23"/>
      <c r="WZJ220" s="26"/>
      <c r="WZN220" s="23"/>
      <c r="WZS220" s="26"/>
      <c r="WZW220" s="23"/>
      <c r="XAB220" s="26"/>
      <c r="XAF220" s="23"/>
      <c r="XAK220" s="26"/>
      <c r="XAO220" s="23"/>
      <c r="XAT220" s="26"/>
      <c r="XAX220" s="23"/>
      <c r="XBC220" s="26"/>
      <c r="XBG220" s="23"/>
      <c r="XBL220" s="26"/>
      <c r="XBP220" s="23"/>
      <c r="XBU220" s="26"/>
      <c r="XBY220" s="23"/>
      <c r="XCD220" s="26"/>
      <c r="XCH220" s="23"/>
      <c r="XCM220" s="26"/>
      <c r="XCQ220" s="23"/>
      <c r="XCV220" s="26"/>
      <c r="XCZ220" s="23"/>
      <c r="XDE220" s="26"/>
      <c r="XDI220" s="23"/>
      <c r="XDN220" s="26"/>
      <c r="XDR220" s="23"/>
      <c r="XDW220" s="26"/>
      <c r="XEA220" s="23"/>
      <c r="XEF220" s="26"/>
      <c r="XEJ220" s="23"/>
      <c r="XEO220" s="26"/>
      <c r="XES220" s="23"/>
      <c r="XEX220" s="26"/>
      <c r="XFB220" s="23"/>
    </row>
    <row r="221" spans="1:1024 1028:2045 2050:3071 3076:4093 4097:5119 5123:6140 6145:7166 7171:8192 8197:9214 9218:10240 10244:11261 11266:12287 12292:13309 13313:14335 14339:15356 15361:16382" x14ac:dyDescent="0.3">
      <c r="B221" s="23"/>
      <c r="K221" s="23"/>
      <c r="P221" s="26"/>
      <c r="T221" s="23"/>
      <c r="Y221" s="26"/>
      <c r="AC221" s="23"/>
      <c r="AH221" s="26"/>
      <c r="AL221" s="23"/>
      <c r="AQ221" s="26"/>
      <c r="AU221" s="23"/>
      <c r="AZ221" s="26"/>
      <c r="BD221" s="23"/>
      <c r="BI221" s="26"/>
      <c r="BM221" s="23"/>
      <c r="BR221" s="26"/>
      <c r="BV221" s="23"/>
      <c r="CA221" s="26"/>
      <c r="CE221" s="23"/>
      <c r="CJ221" s="26"/>
      <c r="CN221" s="23"/>
      <c r="CS221" s="26"/>
      <c r="CW221" s="23"/>
      <c r="DB221" s="26"/>
      <c r="DF221" s="23"/>
      <c r="DK221" s="26"/>
      <c r="DO221" s="23"/>
      <c r="DT221" s="26"/>
      <c r="DX221" s="23"/>
      <c r="EC221" s="26"/>
      <c r="EG221" s="23"/>
      <c r="EL221" s="26"/>
      <c r="EP221" s="23"/>
      <c r="EU221" s="26"/>
      <c r="EY221" s="23"/>
      <c r="FD221" s="26"/>
      <c r="FH221" s="23"/>
      <c r="FM221" s="26"/>
      <c r="FQ221" s="23"/>
      <c r="FV221" s="26"/>
      <c r="FZ221" s="23"/>
      <c r="GE221" s="26"/>
      <c r="GI221" s="23"/>
      <c r="GN221" s="26"/>
      <c r="GR221" s="23"/>
      <c r="GW221" s="26"/>
      <c r="HA221" s="23"/>
      <c r="HF221" s="26"/>
      <c r="HJ221" s="23"/>
      <c r="HO221" s="26"/>
      <c r="HS221" s="23"/>
      <c r="HX221" s="26"/>
      <c r="IB221" s="23"/>
      <c r="IG221" s="26"/>
      <c r="IK221" s="23"/>
      <c r="IP221" s="26"/>
      <c r="IT221" s="23"/>
      <c r="IY221" s="26"/>
      <c r="JC221" s="23"/>
      <c r="JH221" s="26"/>
      <c r="JL221" s="23"/>
      <c r="JQ221" s="26"/>
      <c r="JU221" s="23"/>
      <c r="JZ221" s="26"/>
      <c r="KD221" s="23"/>
      <c r="KI221" s="26"/>
      <c r="KM221" s="23"/>
      <c r="KR221" s="26"/>
      <c r="KV221" s="23"/>
      <c r="LA221" s="26"/>
      <c r="LE221" s="23"/>
      <c r="LJ221" s="26"/>
      <c r="LN221" s="23"/>
      <c r="LS221" s="26"/>
      <c r="LW221" s="23"/>
      <c r="MB221" s="26"/>
      <c r="MF221" s="23"/>
      <c r="MK221" s="26"/>
      <c r="MO221" s="23"/>
      <c r="MT221" s="26"/>
      <c r="MX221" s="23"/>
      <c r="NC221" s="26"/>
      <c r="NG221" s="23"/>
      <c r="NL221" s="26"/>
      <c r="NP221" s="23"/>
      <c r="NU221" s="26"/>
      <c r="NY221" s="23"/>
      <c r="OD221" s="26"/>
      <c r="OH221" s="23"/>
      <c r="OM221" s="26"/>
      <c r="OQ221" s="23"/>
      <c r="OV221" s="26"/>
      <c r="OZ221" s="23"/>
      <c r="PE221" s="26"/>
      <c r="PI221" s="23"/>
      <c r="PN221" s="26"/>
      <c r="PR221" s="23"/>
      <c r="PW221" s="26"/>
      <c r="QA221" s="23"/>
      <c r="QF221" s="26"/>
      <c r="QJ221" s="23"/>
      <c r="QO221" s="26"/>
      <c r="QS221" s="23"/>
      <c r="QX221" s="26"/>
      <c r="RB221" s="23"/>
      <c r="RG221" s="26"/>
      <c r="RK221" s="23"/>
      <c r="RP221" s="26"/>
      <c r="RT221" s="23"/>
      <c r="RY221" s="26"/>
      <c r="SC221" s="23"/>
      <c r="SH221" s="26"/>
      <c r="SL221" s="23"/>
      <c r="SQ221" s="26"/>
      <c r="SU221" s="23"/>
      <c r="SZ221" s="26"/>
      <c r="TD221" s="23"/>
      <c r="TI221" s="26"/>
      <c r="TM221" s="23"/>
      <c r="TR221" s="26"/>
      <c r="TV221" s="23"/>
      <c r="UA221" s="26"/>
      <c r="UE221" s="23"/>
      <c r="UJ221" s="26"/>
      <c r="UN221" s="23"/>
      <c r="US221" s="26"/>
      <c r="UW221" s="23"/>
      <c r="VB221" s="26"/>
      <c r="VF221" s="23"/>
      <c r="VK221" s="26"/>
      <c r="VO221" s="23"/>
      <c r="VT221" s="26"/>
      <c r="VX221" s="23"/>
      <c r="WC221" s="26"/>
      <c r="WG221" s="23"/>
      <c r="WL221" s="26"/>
      <c r="WP221" s="23"/>
      <c r="WU221" s="26"/>
      <c r="WY221" s="23"/>
      <c r="XD221" s="26"/>
      <c r="XH221" s="23"/>
      <c r="XM221" s="26"/>
      <c r="XQ221" s="23"/>
      <c r="XV221" s="26"/>
      <c r="XZ221" s="23"/>
      <c r="YE221" s="26"/>
      <c r="YI221" s="23"/>
      <c r="YN221" s="26"/>
      <c r="YR221" s="23"/>
      <c r="YW221" s="26"/>
      <c r="ZA221" s="23"/>
      <c r="ZF221" s="26"/>
      <c r="ZJ221" s="23"/>
      <c r="ZO221" s="26"/>
      <c r="ZS221" s="23"/>
      <c r="ZX221" s="26"/>
      <c r="AAB221" s="23"/>
      <c r="AAG221" s="26"/>
      <c r="AAK221" s="23"/>
      <c r="AAP221" s="26"/>
      <c r="AAT221" s="23"/>
      <c r="AAY221" s="26"/>
      <c r="ABC221" s="23"/>
      <c r="ABH221" s="26"/>
      <c r="ABL221" s="23"/>
      <c r="ABQ221" s="26"/>
      <c r="ABU221" s="23"/>
      <c r="ABZ221" s="26"/>
      <c r="ACD221" s="23"/>
      <c r="ACI221" s="26"/>
      <c r="ACM221" s="23"/>
      <c r="ACR221" s="26"/>
      <c r="ACV221" s="23"/>
      <c r="ADA221" s="26"/>
      <c r="ADE221" s="23"/>
      <c r="ADJ221" s="26"/>
      <c r="ADN221" s="23"/>
      <c r="ADS221" s="26"/>
      <c r="ADW221" s="23"/>
      <c r="AEB221" s="26"/>
      <c r="AEF221" s="23"/>
      <c r="AEK221" s="26"/>
      <c r="AEO221" s="23"/>
      <c r="AET221" s="26"/>
      <c r="AEX221" s="23"/>
      <c r="AFC221" s="26"/>
      <c r="AFG221" s="23"/>
      <c r="AFL221" s="26"/>
      <c r="AFP221" s="23"/>
      <c r="AFU221" s="26"/>
      <c r="AFY221" s="23"/>
      <c r="AGD221" s="26"/>
      <c r="AGH221" s="23"/>
      <c r="AGM221" s="26"/>
      <c r="AGQ221" s="23"/>
      <c r="AGV221" s="26"/>
      <c r="AGZ221" s="23"/>
      <c r="AHE221" s="26"/>
      <c r="AHI221" s="23"/>
      <c r="AHN221" s="26"/>
      <c r="AHR221" s="23"/>
      <c r="AHW221" s="26"/>
      <c r="AIA221" s="23"/>
      <c r="AIF221" s="26"/>
      <c r="AIJ221" s="23"/>
      <c r="AIO221" s="26"/>
      <c r="AIS221" s="23"/>
      <c r="AIX221" s="26"/>
      <c r="AJB221" s="23"/>
      <c r="AJG221" s="26"/>
      <c r="AJK221" s="23"/>
      <c r="AJP221" s="26"/>
      <c r="AJT221" s="23"/>
      <c r="AJY221" s="26"/>
      <c r="AKC221" s="23"/>
      <c r="AKH221" s="26"/>
      <c r="AKL221" s="23"/>
      <c r="AKQ221" s="26"/>
      <c r="AKU221" s="23"/>
      <c r="AKZ221" s="26"/>
      <c r="ALD221" s="23"/>
      <c r="ALI221" s="26"/>
      <c r="ALM221" s="23"/>
      <c r="ALR221" s="26"/>
      <c r="ALV221" s="23"/>
      <c r="AMA221" s="26"/>
      <c r="AME221" s="23"/>
      <c r="AMJ221" s="26"/>
      <c r="AMN221" s="23"/>
      <c r="AMS221" s="26"/>
      <c r="AMW221" s="23"/>
      <c r="ANB221" s="26"/>
      <c r="ANF221" s="23"/>
      <c r="ANK221" s="26"/>
      <c r="ANO221" s="23"/>
      <c r="ANT221" s="26"/>
      <c r="ANX221" s="23"/>
      <c r="AOC221" s="26"/>
      <c r="AOG221" s="23"/>
      <c r="AOL221" s="26"/>
      <c r="AOP221" s="23"/>
      <c r="AOU221" s="26"/>
      <c r="AOY221" s="23"/>
      <c r="APD221" s="26"/>
      <c r="APH221" s="23"/>
      <c r="APM221" s="26"/>
      <c r="APQ221" s="23"/>
      <c r="APV221" s="26"/>
      <c r="APZ221" s="23"/>
      <c r="AQE221" s="26"/>
      <c r="AQI221" s="23"/>
      <c r="AQN221" s="26"/>
      <c r="AQR221" s="23"/>
      <c r="AQW221" s="26"/>
      <c r="ARA221" s="23"/>
      <c r="ARF221" s="26"/>
      <c r="ARJ221" s="23"/>
      <c r="ARO221" s="26"/>
      <c r="ARS221" s="23"/>
      <c r="ARX221" s="26"/>
      <c r="ASB221" s="23"/>
      <c r="ASG221" s="26"/>
      <c r="ASK221" s="23"/>
      <c r="ASP221" s="26"/>
      <c r="AST221" s="23"/>
      <c r="ASY221" s="26"/>
      <c r="ATC221" s="23"/>
      <c r="ATH221" s="26"/>
      <c r="ATL221" s="23"/>
      <c r="ATQ221" s="26"/>
      <c r="ATU221" s="23"/>
      <c r="ATZ221" s="26"/>
      <c r="AUD221" s="23"/>
      <c r="AUI221" s="26"/>
      <c r="AUM221" s="23"/>
      <c r="AUR221" s="26"/>
      <c r="AUV221" s="23"/>
      <c r="AVA221" s="26"/>
      <c r="AVE221" s="23"/>
      <c r="AVJ221" s="26"/>
      <c r="AVN221" s="23"/>
      <c r="AVS221" s="26"/>
      <c r="AVW221" s="23"/>
      <c r="AWB221" s="26"/>
      <c r="AWF221" s="23"/>
      <c r="AWK221" s="26"/>
      <c r="AWO221" s="23"/>
      <c r="AWT221" s="26"/>
      <c r="AWX221" s="23"/>
      <c r="AXC221" s="26"/>
      <c r="AXG221" s="23"/>
      <c r="AXL221" s="26"/>
      <c r="AXP221" s="23"/>
      <c r="AXU221" s="26"/>
      <c r="AXY221" s="23"/>
      <c r="AYD221" s="26"/>
      <c r="AYH221" s="23"/>
      <c r="AYM221" s="26"/>
      <c r="AYQ221" s="23"/>
      <c r="AYV221" s="26"/>
      <c r="AYZ221" s="23"/>
      <c r="AZE221" s="26"/>
      <c r="AZI221" s="23"/>
      <c r="AZN221" s="26"/>
      <c r="AZR221" s="23"/>
      <c r="AZW221" s="26"/>
      <c r="BAA221" s="23"/>
      <c r="BAF221" s="26"/>
      <c r="BAJ221" s="23"/>
      <c r="BAO221" s="26"/>
      <c r="BAS221" s="23"/>
      <c r="BAX221" s="26"/>
      <c r="BBB221" s="23"/>
      <c r="BBG221" s="26"/>
      <c r="BBK221" s="23"/>
      <c r="BBP221" s="26"/>
      <c r="BBT221" s="23"/>
      <c r="BBY221" s="26"/>
      <c r="BCC221" s="23"/>
      <c r="BCH221" s="26"/>
      <c r="BCL221" s="23"/>
      <c r="BCQ221" s="26"/>
      <c r="BCU221" s="23"/>
      <c r="BCZ221" s="26"/>
      <c r="BDD221" s="23"/>
      <c r="BDI221" s="26"/>
      <c r="BDM221" s="23"/>
      <c r="BDR221" s="26"/>
      <c r="BDV221" s="23"/>
      <c r="BEA221" s="26"/>
      <c r="BEE221" s="23"/>
      <c r="BEJ221" s="26"/>
      <c r="BEN221" s="23"/>
      <c r="BES221" s="26"/>
      <c r="BEW221" s="23"/>
      <c r="BFB221" s="26"/>
      <c r="BFF221" s="23"/>
      <c r="BFK221" s="26"/>
      <c r="BFO221" s="23"/>
      <c r="BFT221" s="26"/>
      <c r="BFX221" s="23"/>
      <c r="BGC221" s="26"/>
      <c r="BGG221" s="23"/>
      <c r="BGL221" s="26"/>
      <c r="BGP221" s="23"/>
      <c r="BGU221" s="26"/>
      <c r="BGY221" s="23"/>
      <c r="BHD221" s="26"/>
      <c r="BHH221" s="23"/>
      <c r="BHM221" s="26"/>
      <c r="BHQ221" s="23"/>
      <c r="BHV221" s="26"/>
      <c r="BHZ221" s="23"/>
      <c r="BIE221" s="26"/>
      <c r="BII221" s="23"/>
      <c r="BIN221" s="26"/>
      <c r="BIR221" s="23"/>
      <c r="BIW221" s="26"/>
      <c r="BJA221" s="23"/>
      <c r="BJF221" s="26"/>
      <c r="BJJ221" s="23"/>
      <c r="BJO221" s="26"/>
      <c r="BJS221" s="23"/>
      <c r="BJX221" s="26"/>
      <c r="BKB221" s="23"/>
      <c r="BKG221" s="26"/>
      <c r="BKK221" s="23"/>
      <c r="BKP221" s="26"/>
      <c r="BKT221" s="23"/>
      <c r="BKY221" s="26"/>
      <c r="BLC221" s="23"/>
      <c r="BLH221" s="26"/>
      <c r="BLL221" s="23"/>
      <c r="BLQ221" s="26"/>
      <c r="BLU221" s="23"/>
      <c r="BLZ221" s="26"/>
      <c r="BMD221" s="23"/>
      <c r="BMI221" s="26"/>
      <c r="BMM221" s="23"/>
      <c r="BMR221" s="26"/>
      <c r="BMV221" s="23"/>
      <c r="BNA221" s="26"/>
      <c r="BNE221" s="23"/>
      <c r="BNJ221" s="26"/>
      <c r="BNN221" s="23"/>
      <c r="BNS221" s="26"/>
      <c r="BNW221" s="23"/>
      <c r="BOB221" s="26"/>
      <c r="BOF221" s="23"/>
      <c r="BOK221" s="26"/>
      <c r="BOO221" s="23"/>
      <c r="BOT221" s="26"/>
      <c r="BOX221" s="23"/>
      <c r="BPC221" s="26"/>
      <c r="BPG221" s="23"/>
      <c r="BPL221" s="26"/>
      <c r="BPP221" s="23"/>
      <c r="BPU221" s="26"/>
      <c r="BPY221" s="23"/>
      <c r="BQD221" s="26"/>
      <c r="BQH221" s="23"/>
      <c r="BQM221" s="26"/>
      <c r="BQQ221" s="23"/>
      <c r="BQV221" s="26"/>
      <c r="BQZ221" s="23"/>
      <c r="BRE221" s="26"/>
      <c r="BRI221" s="23"/>
      <c r="BRN221" s="26"/>
      <c r="BRR221" s="23"/>
      <c r="BRW221" s="26"/>
      <c r="BSA221" s="23"/>
      <c r="BSF221" s="26"/>
      <c r="BSJ221" s="23"/>
      <c r="BSO221" s="26"/>
      <c r="BSS221" s="23"/>
      <c r="BSX221" s="26"/>
      <c r="BTB221" s="23"/>
      <c r="BTG221" s="26"/>
      <c r="BTK221" s="23"/>
      <c r="BTP221" s="26"/>
      <c r="BTT221" s="23"/>
      <c r="BTY221" s="26"/>
      <c r="BUC221" s="23"/>
      <c r="BUH221" s="26"/>
      <c r="BUL221" s="23"/>
      <c r="BUQ221" s="26"/>
      <c r="BUU221" s="23"/>
      <c r="BUZ221" s="26"/>
      <c r="BVD221" s="23"/>
      <c r="BVI221" s="26"/>
      <c r="BVM221" s="23"/>
      <c r="BVR221" s="26"/>
      <c r="BVV221" s="23"/>
      <c r="BWA221" s="26"/>
      <c r="BWE221" s="23"/>
      <c r="BWJ221" s="26"/>
      <c r="BWN221" s="23"/>
      <c r="BWS221" s="26"/>
      <c r="BWW221" s="23"/>
      <c r="BXB221" s="26"/>
      <c r="BXF221" s="23"/>
      <c r="BXK221" s="26"/>
      <c r="BXO221" s="23"/>
      <c r="BXT221" s="26"/>
      <c r="BXX221" s="23"/>
      <c r="BYC221" s="26"/>
      <c r="BYG221" s="23"/>
      <c r="BYL221" s="26"/>
      <c r="BYP221" s="23"/>
      <c r="BYU221" s="26"/>
      <c r="BYY221" s="23"/>
      <c r="BZD221" s="26"/>
      <c r="BZH221" s="23"/>
      <c r="BZM221" s="26"/>
      <c r="BZQ221" s="23"/>
      <c r="BZV221" s="26"/>
      <c r="BZZ221" s="23"/>
      <c r="CAE221" s="26"/>
      <c r="CAI221" s="23"/>
      <c r="CAN221" s="26"/>
      <c r="CAR221" s="23"/>
      <c r="CAW221" s="26"/>
      <c r="CBA221" s="23"/>
      <c r="CBF221" s="26"/>
      <c r="CBJ221" s="23"/>
      <c r="CBO221" s="26"/>
      <c r="CBS221" s="23"/>
      <c r="CBX221" s="26"/>
      <c r="CCB221" s="23"/>
      <c r="CCG221" s="26"/>
      <c r="CCK221" s="23"/>
      <c r="CCP221" s="26"/>
      <c r="CCT221" s="23"/>
      <c r="CCY221" s="26"/>
      <c r="CDC221" s="23"/>
      <c r="CDH221" s="26"/>
      <c r="CDL221" s="23"/>
      <c r="CDQ221" s="26"/>
      <c r="CDU221" s="23"/>
      <c r="CDZ221" s="26"/>
      <c r="CED221" s="23"/>
      <c r="CEI221" s="26"/>
      <c r="CEM221" s="23"/>
      <c r="CER221" s="26"/>
      <c r="CEV221" s="23"/>
      <c r="CFA221" s="26"/>
      <c r="CFE221" s="23"/>
      <c r="CFJ221" s="26"/>
      <c r="CFN221" s="23"/>
      <c r="CFS221" s="26"/>
      <c r="CFW221" s="23"/>
      <c r="CGB221" s="26"/>
      <c r="CGF221" s="23"/>
      <c r="CGK221" s="26"/>
      <c r="CGO221" s="23"/>
      <c r="CGT221" s="26"/>
      <c r="CGX221" s="23"/>
      <c r="CHC221" s="26"/>
      <c r="CHG221" s="23"/>
      <c r="CHL221" s="26"/>
      <c r="CHP221" s="23"/>
      <c r="CHU221" s="26"/>
      <c r="CHY221" s="23"/>
      <c r="CID221" s="26"/>
      <c r="CIH221" s="23"/>
      <c r="CIM221" s="26"/>
      <c r="CIQ221" s="23"/>
      <c r="CIV221" s="26"/>
      <c r="CIZ221" s="23"/>
      <c r="CJE221" s="26"/>
      <c r="CJI221" s="23"/>
      <c r="CJN221" s="26"/>
      <c r="CJR221" s="23"/>
      <c r="CJW221" s="26"/>
      <c r="CKA221" s="23"/>
      <c r="CKF221" s="26"/>
      <c r="CKJ221" s="23"/>
      <c r="CKO221" s="26"/>
      <c r="CKS221" s="23"/>
      <c r="CKX221" s="26"/>
      <c r="CLB221" s="23"/>
      <c r="CLG221" s="26"/>
      <c r="CLK221" s="23"/>
      <c r="CLP221" s="26"/>
      <c r="CLT221" s="23"/>
      <c r="CLY221" s="26"/>
      <c r="CMC221" s="23"/>
      <c r="CMH221" s="26"/>
      <c r="CML221" s="23"/>
      <c r="CMQ221" s="26"/>
      <c r="CMU221" s="23"/>
      <c r="CMZ221" s="26"/>
      <c r="CND221" s="23"/>
      <c r="CNI221" s="26"/>
      <c r="CNM221" s="23"/>
      <c r="CNR221" s="26"/>
      <c r="CNV221" s="23"/>
      <c r="COA221" s="26"/>
      <c r="COE221" s="23"/>
      <c r="COJ221" s="26"/>
      <c r="CON221" s="23"/>
      <c r="COS221" s="26"/>
      <c r="COW221" s="23"/>
      <c r="CPB221" s="26"/>
      <c r="CPF221" s="23"/>
      <c r="CPK221" s="26"/>
      <c r="CPO221" s="23"/>
      <c r="CPT221" s="26"/>
      <c r="CPX221" s="23"/>
      <c r="CQC221" s="26"/>
      <c r="CQG221" s="23"/>
      <c r="CQL221" s="26"/>
      <c r="CQP221" s="23"/>
      <c r="CQU221" s="26"/>
      <c r="CQY221" s="23"/>
      <c r="CRD221" s="26"/>
      <c r="CRH221" s="23"/>
      <c r="CRM221" s="26"/>
      <c r="CRQ221" s="23"/>
      <c r="CRV221" s="26"/>
      <c r="CRZ221" s="23"/>
      <c r="CSE221" s="26"/>
      <c r="CSI221" s="23"/>
      <c r="CSN221" s="26"/>
      <c r="CSR221" s="23"/>
      <c r="CSW221" s="26"/>
      <c r="CTA221" s="23"/>
      <c r="CTF221" s="26"/>
      <c r="CTJ221" s="23"/>
      <c r="CTO221" s="26"/>
      <c r="CTS221" s="23"/>
      <c r="CTX221" s="26"/>
      <c r="CUB221" s="23"/>
      <c r="CUG221" s="26"/>
      <c r="CUK221" s="23"/>
      <c r="CUP221" s="26"/>
      <c r="CUT221" s="23"/>
      <c r="CUY221" s="26"/>
      <c r="CVC221" s="23"/>
      <c r="CVH221" s="26"/>
      <c r="CVL221" s="23"/>
      <c r="CVQ221" s="26"/>
      <c r="CVU221" s="23"/>
      <c r="CVZ221" s="26"/>
      <c r="CWD221" s="23"/>
      <c r="CWI221" s="26"/>
      <c r="CWM221" s="23"/>
      <c r="CWR221" s="26"/>
      <c r="CWV221" s="23"/>
      <c r="CXA221" s="26"/>
      <c r="CXE221" s="23"/>
      <c r="CXJ221" s="26"/>
      <c r="CXN221" s="23"/>
      <c r="CXS221" s="26"/>
      <c r="CXW221" s="23"/>
      <c r="CYB221" s="26"/>
      <c r="CYF221" s="23"/>
      <c r="CYK221" s="26"/>
      <c r="CYO221" s="23"/>
      <c r="CYT221" s="26"/>
      <c r="CYX221" s="23"/>
      <c r="CZC221" s="26"/>
      <c r="CZG221" s="23"/>
      <c r="CZL221" s="26"/>
      <c r="CZP221" s="23"/>
      <c r="CZU221" s="26"/>
      <c r="CZY221" s="23"/>
      <c r="DAD221" s="26"/>
      <c r="DAH221" s="23"/>
      <c r="DAM221" s="26"/>
      <c r="DAQ221" s="23"/>
      <c r="DAV221" s="26"/>
      <c r="DAZ221" s="23"/>
      <c r="DBE221" s="26"/>
      <c r="DBI221" s="23"/>
      <c r="DBN221" s="26"/>
      <c r="DBR221" s="23"/>
      <c r="DBW221" s="26"/>
      <c r="DCA221" s="23"/>
      <c r="DCF221" s="26"/>
      <c r="DCJ221" s="23"/>
      <c r="DCO221" s="26"/>
      <c r="DCS221" s="23"/>
      <c r="DCX221" s="26"/>
      <c r="DDB221" s="23"/>
      <c r="DDG221" s="26"/>
      <c r="DDK221" s="23"/>
      <c r="DDP221" s="26"/>
      <c r="DDT221" s="23"/>
      <c r="DDY221" s="26"/>
      <c r="DEC221" s="23"/>
      <c r="DEH221" s="26"/>
      <c r="DEL221" s="23"/>
      <c r="DEQ221" s="26"/>
      <c r="DEU221" s="23"/>
      <c r="DEZ221" s="26"/>
      <c r="DFD221" s="23"/>
      <c r="DFI221" s="26"/>
      <c r="DFM221" s="23"/>
      <c r="DFR221" s="26"/>
      <c r="DFV221" s="23"/>
      <c r="DGA221" s="26"/>
      <c r="DGE221" s="23"/>
      <c r="DGJ221" s="26"/>
      <c r="DGN221" s="23"/>
      <c r="DGS221" s="26"/>
      <c r="DGW221" s="23"/>
      <c r="DHB221" s="26"/>
      <c r="DHF221" s="23"/>
      <c r="DHK221" s="26"/>
      <c r="DHO221" s="23"/>
      <c r="DHT221" s="26"/>
      <c r="DHX221" s="23"/>
      <c r="DIC221" s="26"/>
      <c r="DIG221" s="23"/>
      <c r="DIL221" s="26"/>
      <c r="DIP221" s="23"/>
      <c r="DIU221" s="26"/>
      <c r="DIY221" s="23"/>
      <c r="DJD221" s="26"/>
      <c r="DJH221" s="23"/>
      <c r="DJM221" s="26"/>
      <c r="DJQ221" s="23"/>
      <c r="DJV221" s="26"/>
      <c r="DJZ221" s="23"/>
      <c r="DKE221" s="26"/>
      <c r="DKI221" s="23"/>
      <c r="DKN221" s="26"/>
      <c r="DKR221" s="23"/>
      <c r="DKW221" s="26"/>
      <c r="DLA221" s="23"/>
      <c r="DLF221" s="26"/>
      <c r="DLJ221" s="23"/>
      <c r="DLO221" s="26"/>
      <c r="DLS221" s="23"/>
      <c r="DLX221" s="26"/>
      <c r="DMB221" s="23"/>
      <c r="DMG221" s="26"/>
      <c r="DMK221" s="23"/>
      <c r="DMP221" s="26"/>
      <c r="DMT221" s="23"/>
      <c r="DMY221" s="26"/>
      <c r="DNC221" s="23"/>
      <c r="DNH221" s="26"/>
      <c r="DNL221" s="23"/>
      <c r="DNQ221" s="26"/>
      <c r="DNU221" s="23"/>
      <c r="DNZ221" s="26"/>
      <c r="DOD221" s="23"/>
      <c r="DOI221" s="26"/>
      <c r="DOM221" s="23"/>
      <c r="DOR221" s="26"/>
      <c r="DOV221" s="23"/>
      <c r="DPA221" s="26"/>
      <c r="DPE221" s="23"/>
      <c r="DPJ221" s="26"/>
      <c r="DPN221" s="23"/>
      <c r="DPS221" s="26"/>
      <c r="DPW221" s="23"/>
      <c r="DQB221" s="26"/>
      <c r="DQF221" s="23"/>
      <c r="DQK221" s="26"/>
      <c r="DQO221" s="23"/>
      <c r="DQT221" s="26"/>
      <c r="DQX221" s="23"/>
      <c r="DRC221" s="26"/>
      <c r="DRG221" s="23"/>
      <c r="DRL221" s="26"/>
      <c r="DRP221" s="23"/>
      <c r="DRU221" s="26"/>
      <c r="DRY221" s="23"/>
      <c r="DSD221" s="26"/>
      <c r="DSH221" s="23"/>
      <c r="DSM221" s="26"/>
      <c r="DSQ221" s="23"/>
      <c r="DSV221" s="26"/>
      <c r="DSZ221" s="23"/>
      <c r="DTE221" s="26"/>
      <c r="DTI221" s="23"/>
      <c r="DTN221" s="26"/>
      <c r="DTR221" s="23"/>
      <c r="DTW221" s="26"/>
      <c r="DUA221" s="23"/>
      <c r="DUF221" s="26"/>
      <c r="DUJ221" s="23"/>
      <c r="DUO221" s="26"/>
      <c r="DUS221" s="23"/>
      <c r="DUX221" s="26"/>
      <c r="DVB221" s="23"/>
      <c r="DVG221" s="26"/>
      <c r="DVK221" s="23"/>
      <c r="DVP221" s="26"/>
      <c r="DVT221" s="23"/>
      <c r="DVY221" s="26"/>
      <c r="DWC221" s="23"/>
      <c r="DWH221" s="26"/>
      <c r="DWL221" s="23"/>
      <c r="DWQ221" s="26"/>
      <c r="DWU221" s="23"/>
      <c r="DWZ221" s="26"/>
      <c r="DXD221" s="23"/>
      <c r="DXI221" s="26"/>
      <c r="DXM221" s="23"/>
      <c r="DXR221" s="26"/>
      <c r="DXV221" s="23"/>
      <c r="DYA221" s="26"/>
      <c r="DYE221" s="23"/>
      <c r="DYJ221" s="26"/>
      <c r="DYN221" s="23"/>
      <c r="DYS221" s="26"/>
      <c r="DYW221" s="23"/>
      <c r="DZB221" s="26"/>
      <c r="DZF221" s="23"/>
      <c r="DZK221" s="26"/>
      <c r="DZO221" s="23"/>
      <c r="DZT221" s="26"/>
      <c r="DZX221" s="23"/>
      <c r="EAC221" s="26"/>
      <c r="EAG221" s="23"/>
      <c r="EAL221" s="26"/>
      <c r="EAP221" s="23"/>
      <c r="EAU221" s="26"/>
      <c r="EAY221" s="23"/>
      <c r="EBD221" s="26"/>
      <c r="EBH221" s="23"/>
      <c r="EBM221" s="26"/>
      <c r="EBQ221" s="23"/>
      <c r="EBV221" s="26"/>
      <c r="EBZ221" s="23"/>
      <c r="ECE221" s="26"/>
      <c r="ECI221" s="23"/>
      <c r="ECN221" s="26"/>
      <c r="ECR221" s="23"/>
      <c r="ECW221" s="26"/>
      <c r="EDA221" s="23"/>
      <c r="EDF221" s="26"/>
      <c r="EDJ221" s="23"/>
      <c r="EDO221" s="26"/>
      <c r="EDS221" s="23"/>
      <c r="EDX221" s="26"/>
      <c r="EEB221" s="23"/>
      <c r="EEG221" s="26"/>
      <c r="EEK221" s="23"/>
      <c r="EEP221" s="26"/>
      <c r="EET221" s="23"/>
      <c r="EEY221" s="26"/>
      <c r="EFC221" s="23"/>
      <c r="EFH221" s="26"/>
      <c r="EFL221" s="23"/>
      <c r="EFQ221" s="26"/>
      <c r="EFU221" s="23"/>
      <c r="EFZ221" s="26"/>
      <c r="EGD221" s="23"/>
      <c r="EGI221" s="26"/>
      <c r="EGM221" s="23"/>
      <c r="EGR221" s="26"/>
      <c r="EGV221" s="23"/>
      <c r="EHA221" s="26"/>
      <c r="EHE221" s="23"/>
      <c r="EHJ221" s="26"/>
      <c r="EHN221" s="23"/>
      <c r="EHS221" s="26"/>
      <c r="EHW221" s="23"/>
      <c r="EIB221" s="26"/>
      <c r="EIF221" s="23"/>
      <c r="EIK221" s="26"/>
      <c r="EIO221" s="23"/>
      <c r="EIT221" s="26"/>
      <c r="EIX221" s="23"/>
      <c r="EJC221" s="26"/>
      <c r="EJG221" s="23"/>
      <c r="EJL221" s="26"/>
      <c r="EJP221" s="23"/>
      <c r="EJU221" s="26"/>
      <c r="EJY221" s="23"/>
      <c r="EKD221" s="26"/>
      <c r="EKH221" s="23"/>
      <c r="EKM221" s="26"/>
      <c r="EKQ221" s="23"/>
      <c r="EKV221" s="26"/>
      <c r="EKZ221" s="23"/>
      <c r="ELE221" s="26"/>
      <c r="ELI221" s="23"/>
      <c r="ELN221" s="26"/>
      <c r="ELR221" s="23"/>
      <c r="ELW221" s="26"/>
      <c r="EMA221" s="23"/>
      <c r="EMF221" s="26"/>
      <c r="EMJ221" s="23"/>
      <c r="EMO221" s="26"/>
      <c r="EMS221" s="23"/>
      <c r="EMX221" s="26"/>
      <c r="ENB221" s="23"/>
      <c r="ENG221" s="26"/>
      <c r="ENK221" s="23"/>
      <c r="ENP221" s="26"/>
      <c r="ENT221" s="23"/>
      <c r="ENY221" s="26"/>
      <c r="EOC221" s="23"/>
      <c r="EOH221" s="26"/>
      <c r="EOL221" s="23"/>
      <c r="EOQ221" s="26"/>
      <c r="EOU221" s="23"/>
      <c r="EOZ221" s="26"/>
      <c r="EPD221" s="23"/>
      <c r="EPI221" s="26"/>
      <c r="EPM221" s="23"/>
      <c r="EPR221" s="26"/>
      <c r="EPV221" s="23"/>
      <c r="EQA221" s="26"/>
      <c r="EQE221" s="23"/>
      <c r="EQJ221" s="26"/>
      <c r="EQN221" s="23"/>
      <c r="EQS221" s="26"/>
      <c r="EQW221" s="23"/>
      <c r="ERB221" s="26"/>
      <c r="ERF221" s="23"/>
      <c r="ERK221" s="26"/>
      <c r="ERO221" s="23"/>
      <c r="ERT221" s="26"/>
      <c r="ERX221" s="23"/>
      <c r="ESC221" s="26"/>
      <c r="ESG221" s="23"/>
      <c r="ESL221" s="26"/>
      <c r="ESP221" s="23"/>
      <c r="ESU221" s="26"/>
      <c r="ESY221" s="23"/>
      <c r="ETD221" s="26"/>
      <c r="ETH221" s="23"/>
      <c r="ETM221" s="26"/>
      <c r="ETQ221" s="23"/>
      <c r="ETV221" s="26"/>
      <c r="ETZ221" s="23"/>
      <c r="EUE221" s="26"/>
      <c r="EUI221" s="23"/>
      <c r="EUN221" s="26"/>
      <c r="EUR221" s="23"/>
      <c r="EUW221" s="26"/>
      <c r="EVA221" s="23"/>
      <c r="EVF221" s="26"/>
      <c r="EVJ221" s="23"/>
      <c r="EVO221" s="26"/>
      <c r="EVS221" s="23"/>
      <c r="EVX221" s="26"/>
      <c r="EWB221" s="23"/>
      <c r="EWG221" s="26"/>
      <c r="EWK221" s="23"/>
      <c r="EWP221" s="26"/>
      <c r="EWT221" s="23"/>
      <c r="EWY221" s="26"/>
      <c r="EXC221" s="23"/>
      <c r="EXH221" s="26"/>
      <c r="EXL221" s="23"/>
      <c r="EXQ221" s="26"/>
      <c r="EXU221" s="23"/>
      <c r="EXZ221" s="26"/>
      <c r="EYD221" s="23"/>
      <c r="EYI221" s="26"/>
      <c r="EYM221" s="23"/>
      <c r="EYR221" s="26"/>
      <c r="EYV221" s="23"/>
      <c r="EZA221" s="26"/>
      <c r="EZE221" s="23"/>
      <c r="EZJ221" s="26"/>
      <c r="EZN221" s="23"/>
      <c r="EZS221" s="26"/>
      <c r="EZW221" s="23"/>
      <c r="FAB221" s="26"/>
      <c r="FAF221" s="23"/>
      <c r="FAK221" s="26"/>
      <c r="FAO221" s="23"/>
      <c r="FAT221" s="26"/>
      <c r="FAX221" s="23"/>
      <c r="FBC221" s="26"/>
      <c r="FBG221" s="23"/>
      <c r="FBL221" s="26"/>
      <c r="FBP221" s="23"/>
      <c r="FBU221" s="26"/>
      <c r="FBY221" s="23"/>
      <c r="FCD221" s="26"/>
      <c r="FCH221" s="23"/>
      <c r="FCM221" s="26"/>
      <c r="FCQ221" s="23"/>
      <c r="FCV221" s="26"/>
      <c r="FCZ221" s="23"/>
      <c r="FDE221" s="26"/>
      <c r="FDI221" s="23"/>
      <c r="FDN221" s="26"/>
      <c r="FDR221" s="23"/>
      <c r="FDW221" s="26"/>
      <c r="FEA221" s="23"/>
      <c r="FEF221" s="26"/>
      <c r="FEJ221" s="23"/>
      <c r="FEO221" s="26"/>
      <c r="FES221" s="23"/>
      <c r="FEX221" s="26"/>
      <c r="FFB221" s="23"/>
      <c r="FFG221" s="26"/>
      <c r="FFK221" s="23"/>
      <c r="FFP221" s="26"/>
      <c r="FFT221" s="23"/>
      <c r="FFY221" s="26"/>
      <c r="FGC221" s="23"/>
      <c r="FGH221" s="26"/>
      <c r="FGL221" s="23"/>
      <c r="FGQ221" s="26"/>
      <c r="FGU221" s="23"/>
      <c r="FGZ221" s="26"/>
      <c r="FHD221" s="23"/>
      <c r="FHI221" s="26"/>
      <c r="FHM221" s="23"/>
      <c r="FHR221" s="26"/>
      <c r="FHV221" s="23"/>
      <c r="FIA221" s="26"/>
      <c r="FIE221" s="23"/>
      <c r="FIJ221" s="26"/>
      <c r="FIN221" s="23"/>
      <c r="FIS221" s="26"/>
      <c r="FIW221" s="23"/>
      <c r="FJB221" s="26"/>
      <c r="FJF221" s="23"/>
      <c r="FJK221" s="26"/>
      <c r="FJO221" s="23"/>
      <c r="FJT221" s="26"/>
      <c r="FJX221" s="23"/>
      <c r="FKC221" s="26"/>
      <c r="FKG221" s="23"/>
      <c r="FKL221" s="26"/>
      <c r="FKP221" s="23"/>
      <c r="FKU221" s="26"/>
      <c r="FKY221" s="23"/>
      <c r="FLD221" s="26"/>
      <c r="FLH221" s="23"/>
      <c r="FLM221" s="26"/>
      <c r="FLQ221" s="23"/>
      <c r="FLV221" s="26"/>
      <c r="FLZ221" s="23"/>
      <c r="FME221" s="26"/>
      <c r="FMI221" s="23"/>
      <c r="FMN221" s="26"/>
      <c r="FMR221" s="23"/>
      <c r="FMW221" s="26"/>
      <c r="FNA221" s="23"/>
      <c r="FNF221" s="26"/>
      <c r="FNJ221" s="23"/>
      <c r="FNO221" s="26"/>
      <c r="FNS221" s="23"/>
      <c r="FNX221" s="26"/>
      <c r="FOB221" s="23"/>
      <c r="FOG221" s="26"/>
      <c r="FOK221" s="23"/>
      <c r="FOP221" s="26"/>
      <c r="FOT221" s="23"/>
      <c r="FOY221" s="26"/>
      <c r="FPC221" s="23"/>
      <c r="FPH221" s="26"/>
      <c r="FPL221" s="23"/>
      <c r="FPQ221" s="26"/>
      <c r="FPU221" s="23"/>
      <c r="FPZ221" s="26"/>
      <c r="FQD221" s="23"/>
      <c r="FQI221" s="26"/>
      <c r="FQM221" s="23"/>
      <c r="FQR221" s="26"/>
      <c r="FQV221" s="23"/>
      <c r="FRA221" s="26"/>
      <c r="FRE221" s="23"/>
      <c r="FRJ221" s="26"/>
      <c r="FRN221" s="23"/>
      <c r="FRS221" s="26"/>
      <c r="FRW221" s="23"/>
      <c r="FSB221" s="26"/>
      <c r="FSF221" s="23"/>
      <c r="FSK221" s="26"/>
      <c r="FSO221" s="23"/>
      <c r="FST221" s="26"/>
      <c r="FSX221" s="23"/>
      <c r="FTC221" s="26"/>
      <c r="FTG221" s="23"/>
      <c r="FTL221" s="26"/>
      <c r="FTP221" s="23"/>
      <c r="FTU221" s="26"/>
      <c r="FTY221" s="23"/>
      <c r="FUD221" s="26"/>
      <c r="FUH221" s="23"/>
      <c r="FUM221" s="26"/>
      <c r="FUQ221" s="23"/>
      <c r="FUV221" s="26"/>
      <c r="FUZ221" s="23"/>
      <c r="FVE221" s="26"/>
      <c r="FVI221" s="23"/>
      <c r="FVN221" s="26"/>
      <c r="FVR221" s="23"/>
      <c r="FVW221" s="26"/>
      <c r="FWA221" s="23"/>
      <c r="FWF221" s="26"/>
      <c r="FWJ221" s="23"/>
      <c r="FWO221" s="26"/>
      <c r="FWS221" s="23"/>
      <c r="FWX221" s="26"/>
      <c r="FXB221" s="23"/>
      <c r="FXG221" s="26"/>
      <c r="FXK221" s="23"/>
      <c r="FXP221" s="26"/>
      <c r="FXT221" s="23"/>
      <c r="FXY221" s="26"/>
      <c r="FYC221" s="23"/>
      <c r="FYH221" s="26"/>
      <c r="FYL221" s="23"/>
      <c r="FYQ221" s="26"/>
      <c r="FYU221" s="23"/>
      <c r="FYZ221" s="26"/>
      <c r="FZD221" s="23"/>
      <c r="FZI221" s="26"/>
      <c r="FZM221" s="23"/>
      <c r="FZR221" s="26"/>
      <c r="FZV221" s="23"/>
      <c r="GAA221" s="26"/>
      <c r="GAE221" s="23"/>
      <c r="GAJ221" s="26"/>
      <c r="GAN221" s="23"/>
      <c r="GAS221" s="26"/>
      <c r="GAW221" s="23"/>
      <c r="GBB221" s="26"/>
      <c r="GBF221" s="23"/>
      <c r="GBK221" s="26"/>
      <c r="GBO221" s="23"/>
      <c r="GBT221" s="26"/>
      <c r="GBX221" s="23"/>
      <c r="GCC221" s="26"/>
      <c r="GCG221" s="23"/>
      <c r="GCL221" s="26"/>
      <c r="GCP221" s="23"/>
      <c r="GCU221" s="26"/>
      <c r="GCY221" s="23"/>
      <c r="GDD221" s="26"/>
      <c r="GDH221" s="23"/>
      <c r="GDM221" s="26"/>
      <c r="GDQ221" s="23"/>
      <c r="GDV221" s="26"/>
      <c r="GDZ221" s="23"/>
      <c r="GEE221" s="26"/>
      <c r="GEI221" s="23"/>
      <c r="GEN221" s="26"/>
      <c r="GER221" s="23"/>
      <c r="GEW221" s="26"/>
      <c r="GFA221" s="23"/>
      <c r="GFF221" s="26"/>
      <c r="GFJ221" s="23"/>
      <c r="GFO221" s="26"/>
      <c r="GFS221" s="23"/>
      <c r="GFX221" s="26"/>
      <c r="GGB221" s="23"/>
      <c r="GGG221" s="26"/>
      <c r="GGK221" s="23"/>
      <c r="GGP221" s="26"/>
      <c r="GGT221" s="23"/>
      <c r="GGY221" s="26"/>
      <c r="GHC221" s="23"/>
      <c r="GHH221" s="26"/>
      <c r="GHL221" s="23"/>
      <c r="GHQ221" s="26"/>
      <c r="GHU221" s="23"/>
      <c r="GHZ221" s="26"/>
      <c r="GID221" s="23"/>
      <c r="GII221" s="26"/>
      <c r="GIM221" s="23"/>
      <c r="GIR221" s="26"/>
      <c r="GIV221" s="23"/>
      <c r="GJA221" s="26"/>
      <c r="GJE221" s="23"/>
      <c r="GJJ221" s="26"/>
      <c r="GJN221" s="23"/>
      <c r="GJS221" s="26"/>
      <c r="GJW221" s="23"/>
      <c r="GKB221" s="26"/>
      <c r="GKF221" s="23"/>
      <c r="GKK221" s="26"/>
      <c r="GKO221" s="23"/>
      <c r="GKT221" s="26"/>
      <c r="GKX221" s="23"/>
      <c r="GLC221" s="26"/>
      <c r="GLG221" s="23"/>
      <c r="GLL221" s="26"/>
      <c r="GLP221" s="23"/>
      <c r="GLU221" s="26"/>
      <c r="GLY221" s="23"/>
      <c r="GMD221" s="26"/>
      <c r="GMH221" s="23"/>
      <c r="GMM221" s="26"/>
      <c r="GMQ221" s="23"/>
      <c r="GMV221" s="26"/>
      <c r="GMZ221" s="23"/>
      <c r="GNE221" s="26"/>
      <c r="GNI221" s="23"/>
      <c r="GNN221" s="26"/>
      <c r="GNR221" s="23"/>
      <c r="GNW221" s="26"/>
      <c r="GOA221" s="23"/>
      <c r="GOF221" s="26"/>
      <c r="GOJ221" s="23"/>
      <c r="GOO221" s="26"/>
      <c r="GOS221" s="23"/>
      <c r="GOX221" s="26"/>
      <c r="GPB221" s="23"/>
      <c r="GPG221" s="26"/>
      <c r="GPK221" s="23"/>
      <c r="GPP221" s="26"/>
      <c r="GPT221" s="23"/>
      <c r="GPY221" s="26"/>
      <c r="GQC221" s="23"/>
      <c r="GQH221" s="26"/>
      <c r="GQL221" s="23"/>
      <c r="GQQ221" s="26"/>
      <c r="GQU221" s="23"/>
      <c r="GQZ221" s="26"/>
      <c r="GRD221" s="23"/>
      <c r="GRI221" s="26"/>
      <c r="GRM221" s="23"/>
      <c r="GRR221" s="26"/>
      <c r="GRV221" s="23"/>
      <c r="GSA221" s="26"/>
      <c r="GSE221" s="23"/>
      <c r="GSJ221" s="26"/>
      <c r="GSN221" s="23"/>
      <c r="GSS221" s="26"/>
      <c r="GSW221" s="23"/>
      <c r="GTB221" s="26"/>
      <c r="GTF221" s="23"/>
      <c r="GTK221" s="26"/>
      <c r="GTO221" s="23"/>
      <c r="GTT221" s="26"/>
      <c r="GTX221" s="23"/>
      <c r="GUC221" s="26"/>
      <c r="GUG221" s="23"/>
      <c r="GUL221" s="26"/>
      <c r="GUP221" s="23"/>
      <c r="GUU221" s="26"/>
      <c r="GUY221" s="23"/>
      <c r="GVD221" s="26"/>
      <c r="GVH221" s="23"/>
      <c r="GVM221" s="26"/>
      <c r="GVQ221" s="23"/>
      <c r="GVV221" s="26"/>
      <c r="GVZ221" s="23"/>
      <c r="GWE221" s="26"/>
      <c r="GWI221" s="23"/>
      <c r="GWN221" s="26"/>
      <c r="GWR221" s="23"/>
      <c r="GWW221" s="26"/>
      <c r="GXA221" s="23"/>
      <c r="GXF221" s="26"/>
      <c r="GXJ221" s="23"/>
      <c r="GXO221" s="26"/>
      <c r="GXS221" s="23"/>
      <c r="GXX221" s="26"/>
      <c r="GYB221" s="23"/>
      <c r="GYG221" s="26"/>
      <c r="GYK221" s="23"/>
      <c r="GYP221" s="26"/>
      <c r="GYT221" s="23"/>
      <c r="GYY221" s="26"/>
      <c r="GZC221" s="23"/>
      <c r="GZH221" s="26"/>
      <c r="GZL221" s="23"/>
      <c r="GZQ221" s="26"/>
      <c r="GZU221" s="23"/>
      <c r="GZZ221" s="26"/>
      <c r="HAD221" s="23"/>
      <c r="HAI221" s="26"/>
      <c r="HAM221" s="23"/>
      <c r="HAR221" s="26"/>
      <c r="HAV221" s="23"/>
      <c r="HBA221" s="26"/>
      <c r="HBE221" s="23"/>
      <c r="HBJ221" s="26"/>
      <c r="HBN221" s="23"/>
      <c r="HBS221" s="26"/>
      <c r="HBW221" s="23"/>
      <c r="HCB221" s="26"/>
      <c r="HCF221" s="23"/>
      <c r="HCK221" s="26"/>
      <c r="HCO221" s="23"/>
      <c r="HCT221" s="26"/>
      <c r="HCX221" s="23"/>
      <c r="HDC221" s="26"/>
      <c r="HDG221" s="23"/>
      <c r="HDL221" s="26"/>
      <c r="HDP221" s="23"/>
      <c r="HDU221" s="26"/>
      <c r="HDY221" s="23"/>
      <c r="HED221" s="26"/>
      <c r="HEH221" s="23"/>
      <c r="HEM221" s="26"/>
      <c r="HEQ221" s="23"/>
      <c r="HEV221" s="26"/>
      <c r="HEZ221" s="23"/>
      <c r="HFE221" s="26"/>
      <c r="HFI221" s="23"/>
      <c r="HFN221" s="26"/>
      <c r="HFR221" s="23"/>
      <c r="HFW221" s="26"/>
      <c r="HGA221" s="23"/>
      <c r="HGF221" s="26"/>
      <c r="HGJ221" s="23"/>
      <c r="HGO221" s="26"/>
      <c r="HGS221" s="23"/>
      <c r="HGX221" s="26"/>
      <c r="HHB221" s="23"/>
      <c r="HHG221" s="26"/>
      <c r="HHK221" s="23"/>
      <c r="HHP221" s="26"/>
      <c r="HHT221" s="23"/>
      <c r="HHY221" s="26"/>
      <c r="HIC221" s="23"/>
      <c r="HIH221" s="26"/>
      <c r="HIL221" s="23"/>
      <c r="HIQ221" s="26"/>
      <c r="HIU221" s="23"/>
      <c r="HIZ221" s="26"/>
      <c r="HJD221" s="23"/>
      <c r="HJI221" s="26"/>
      <c r="HJM221" s="23"/>
      <c r="HJR221" s="26"/>
      <c r="HJV221" s="23"/>
      <c r="HKA221" s="26"/>
      <c r="HKE221" s="23"/>
      <c r="HKJ221" s="26"/>
      <c r="HKN221" s="23"/>
      <c r="HKS221" s="26"/>
      <c r="HKW221" s="23"/>
      <c r="HLB221" s="26"/>
      <c r="HLF221" s="23"/>
      <c r="HLK221" s="26"/>
      <c r="HLO221" s="23"/>
      <c r="HLT221" s="26"/>
      <c r="HLX221" s="23"/>
      <c r="HMC221" s="26"/>
      <c r="HMG221" s="23"/>
      <c r="HML221" s="26"/>
      <c r="HMP221" s="23"/>
      <c r="HMU221" s="26"/>
      <c r="HMY221" s="23"/>
      <c r="HND221" s="26"/>
      <c r="HNH221" s="23"/>
      <c r="HNM221" s="26"/>
      <c r="HNQ221" s="23"/>
      <c r="HNV221" s="26"/>
      <c r="HNZ221" s="23"/>
      <c r="HOE221" s="26"/>
      <c r="HOI221" s="23"/>
      <c r="HON221" s="26"/>
      <c r="HOR221" s="23"/>
      <c r="HOW221" s="26"/>
      <c r="HPA221" s="23"/>
      <c r="HPF221" s="26"/>
      <c r="HPJ221" s="23"/>
      <c r="HPO221" s="26"/>
      <c r="HPS221" s="23"/>
      <c r="HPX221" s="26"/>
      <c r="HQB221" s="23"/>
      <c r="HQG221" s="26"/>
      <c r="HQK221" s="23"/>
      <c r="HQP221" s="26"/>
      <c r="HQT221" s="23"/>
      <c r="HQY221" s="26"/>
      <c r="HRC221" s="23"/>
      <c r="HRH221" s="26"/>
      <c r="HRL221" s="23"/>
      <c r="HRQ221" s="26"/>
      <c r="HRU221" s="23"/>
      <c r="HRZ221" s="26"/>
      <c r="HSD221" s="23"/>
      <c r="HSI221" s="26"/>
      <c r="HSM221" s="23"/>
      <c r="HSR221" s="26"/>
      <c r="HSV221" s="23"/>
      <c r="HTA221" s="26"/>
      <c r="HTE221" s="23"/>
      <c r="HTJ221" s="26"/>
      <c r="HTN221" s="23"/>
      <c r="HTS221" s="26"/>
      <c r="HTW221" s="23"/>
      <c r="HUB221" s="26"/>
      <c r="HUF221" s="23"/>
      <c r="HUK221" s="26"/>
      <c r="HUO221" s="23"/>
      <c r="HUT221" s="26"/>
      <c r="HUX221" s="23"/>
      <c r="HVC221" s="26"/>
      <c r="HVG221" s="23"/>
      <c r="HVL221" s="26"/>
      <c r="HVP221" s="23"/>
      <c r="HVU221" s="26"/>
      <c r="HVY221" s="23"/>
      <c r="HWD221" s="26"/>
      <c r="HWH221" s="23"/>
      <c r="HWM221" s="26"/>
      <c r="HWQ221" s="23"/>
      <c r="HWV221" s="26"/>
      <c r="HWZ221" s="23"/>
      <c r="HXE221" s="26"/>
      <c r="HXI221" s="23"/>
      <c r="HXN221" s="26"/>
      <c r="HXR221" s="23"/>
      <c r="HXW221" s="26"/>
      <c r="HYA221" s="23"/>
      <c r="HYF221" s="26"/>
      <c r="HYJ221" s="23"/>
      <c r="HYO221" s="26"/>
      <c r="HYS221" s="23"/>
      <c r="HYX221" s="26"/>
      <c r="HZB221" s="23"/>
      <c r="HZG221" s="26"/>
      <c r="HZK221" s="23"/>
      <c r="HZP221" s="26"/>
      <c r="HZT221" s="23"/>
      <c r="HZY221" s="26"/>
      <c r="IAC221" s="23"/>
      <c r="IAH221" s="26"/>
      <c r="IAL221" s="23"/>
      <c r="IAQ221" s="26"/>
      <c r="IAU221" s="23"/>
      <c r="IAZ221" s="26"/>
      <c r="IBD221" s="23"/>
      <c r="IBI221" s="26"/>
      <c r="IBM221" s="23"/>
      <c r="IBR221" s="26"/>
      <c r="IBV221" s="23"/>
      <c r="ICA221" s="26"/>
      <c r="ICE221" s="23"/>
      <c r="ICJ221" s="26"/>
      <c r="ICN221" s="23"/>
      <c r="ICS221" s="26"/>
      <c r="ICW221" s="23"/>
      <c r="IDB221" s="26"/>
      <c r="IDF221" s="23"/>
      <c r="IDK221" s="26"/>
      <c r="IDO221" s="23"/>
      <c r="IDT221" s="26"/>
      <c r="IDX221" s="23"/>
      <c r="IEC221" s="26"/>
      <c r="IEG221" s="23"/>
      <c r="IEL221" s="26"/>
      <c r="IEP221" s="23"/>
      <c r="IEU221" s="26"/>
      <c r="IEY221" s="23"/>
      <c r="IFD221" s="26"/>
      <c r="IFH221" s="23"/>
      <c r="IFM221" s="26"/>
      <c r="IFQ221" s="23"/>
      <c r="IFV221" s="26"/>
      <c r="IFZ221" s="23"/>
      <c r="IGE221" s="26"/>
      <c r="IGI221" s="23"/>
      <c r="IGN221" s="26"/>
      <c r="IGR221" s="23"/>
      <c r="IGW221" s="26"/>
      <c r="IHA221" s="23"/>
      <c r="IHF221" s="26"/>
      <c r="IHJ221" s="23"/>
      <c r="IHO221" s="26"/>
      <c r="IHS221" s="23"/>
      <c r="IHX221" s="26"/>
      <c r="IIB221" s="23"/>
      <c r="IIG221" s="26"/>
      <c r="IIK221" s="23"/>
      <c r="IIP221" s="26"/>
      <c r="IIT221" s="23"/>
      <c r="IIY221" s="26"/>
      <c r="IJC221" s="23"/>
      <c r="IJH221" s="26"/>
      <c r="IJL221" s="23"/>
      <c r="IJQ221" s="26"/>
      <c r="IJU221" s="23"/>
      <c r="IJZ221" s="26"/>
      <c r="IKD221" s="23"/>
      <c r="IKI221" s="26"/>
      <c r="IKM221" s="23"/>
      <c r="IKR221" s="26"/>
      <c r="IKV221" s="23"/>
      <c r="ILA221" s="26"/>
      <c r="ILE221" s="23"/>
      <c r="ILJ221" s="26"/>
      <c r="ILN221" s="23"/>
      <c r="ILS221" s="26"/>
      <c r="ILW221" s="23"/>
      <c r="IMB221" s="26"/>
      <c r="IMF221" s="23"/>
      <c r="IMK221" s="26"/>
      <c r="IMO221" s="23"/>
      <c r="IMT221" s="26"/>
      <c r="IMX221" s="23"/>
      <c r="INC221" s="26"/>
      <c r="ING221" s="23"/>
      <c r="INL221" s="26"/>
      <c r="INP221" s="23"/>
      <c r="INU221" s="26"/>
      <c r="INY221" s="23"/>
      <c r="IOD221" s="26"/>
      <c r="IOH221" s="23"/>
      <c r="IOM221" s="26"/>
      <c r="IOQ221" s="23"/>
      <c r="IOV221" s="26"/>
      <c r="IOZ221" s="23"/>
      <c r="IPE221" s="26"/>
      <c r="IPI221" s="23"/>
      <c r="IPN221" s="26"/>
      <c r="IPR221" s="23"/>
      <c r="IPW221" s="26"/>
      <c r="IQA221" s="23"/>
      <c r="IQF221" s="26"/>
      <c r="IQJ221" s="23"/>
      <c r="IQO221" s="26"/>
      <c r="IQS221" s="23"/>
      <c r="IQX221" s="26"/>
      <c r="IRB221" s="23"/>
      <c r="IRG221" s="26"/>
      <c r="IRK221" s="23"/>
      <c r="IRP221" s="26"/>
      <c r="IRT221" s="23"/>
      <c r="IRY221" s="26"/>
      <c r="ISC221" s="23"/>
      <c r="ISH221" s="26"/>
      <c r="ISL221" s="23"/>
      <c r="ISQ221" s="26"/>
      <c r="ISU221" s="23"/>
      <c r="ISZ221" s="26"/>
      <c r="ITD221" s="23"/>
      <c r="ITI221" s="26"/>
      <c r="ITM221" s="23"/>
      <c r="ITR221" s="26"/>
      <c r="ITV221" s="23"/>
      <c r="IUA221" s="26"/>
      <c r="IUE221" s="23"/>
      <c r="IUJ221" s="26"/>
      <c r="IUN221" s="23"/>
      <c r="IUS221" s="26"/>
      <c r="IUW221" s="23"/>
      <c r="IVB221" s="26"/>
      <c r="IVF221" s="23"/>
      <c r="IVK221" s="26"/>
      <c r="IVO221" s="23"/>
      <c r="IVT221" s="26"/>
      <c r="IVX221" s="23"/>
      <c r="IWC221" s="26"/>
      <c r="IWG221" s="23"/>
      <c r="IWL221" s="26"/>
      <c r="IWP221" s="23"/>
      <c r="IWU221" s="26"/>
      <c r="IWY221" s="23"/>
      <c r="IXD221" s="26"/>
      <c r="IXH221" s="23"/>
      <c r="IXM221" s="26"/>
      <c r="IXQ221" s="23"/>
      <c r="IXV221" s="26"/>
      <c r="IXZ221" s="23"/>
      <c r="IYE221" s="26"/>
      <c r="IYI221" s="23"/>
      <c r="IYN221" s="26"/>
      <c r="IYR221" s="23"/>
      <c r="IYW221" s="26"/>
      <c r="IZA221" s="23"/>
      <c r="IZF221" s="26"/>
      <c r="IZJ221" s="23"/>
      <c r="IZO221" s="26"/>
      <c r="IZS221" s="23"/>
      <c r="IZX221" s="26"/>
      <c r="JAB221" s="23"/>
      <c r="JAG221" s="26"/>
      <c r="JAK221" s="23"/>
      <c r="JAP221" s="26"/>
      <c r="JAT221" s="23"/>
      <c r="JAY221" s="26"/>
      <c r="JBC221" s="23"/>
      <c r="JBH221" s="26"/>
      <c r="JBL221" s="23"/>
      <c r="JBQ221" s="26"/>
      <c r="JBU221" s="23"/>
      <c r="JBZ221" s="26"/>
      <c r="JCD221" s="23"/>
      <c r="JCI221" s="26"/>
      <c r="JCM221" s="23"/>
      <c r="JCR221" s="26"/>
      <c r="JCV221" s="23"/>
      <c r="JDA221" s="26"/>
      <c r="JDE221" s="23"/>
      <c r="JDJ221" s="26"/>
      <c r="JDN221" s="23"/>
      <c r="JDS221" s="26"/>
      <c r="JDW221" s="23"/>
      <c r="JEB221" s="26"/>
      <c r="JEF221" s="23"/>
      <c r="JEK221" s="26"/>
      <c r="JEO221" s="23"/>
      <c r="JET221" s="26"/>
      <c r="JEX221" s="23"/>
      <c r="JFC221" s="26"/>
      <c r="JFG221" s="23"/>
      <c r="JFL221" s="26"/>
      <c r="JFP221" s="23"/>
      <c r="JFU221" s="26"/>
      <c r="JFY221" s="23"/>
      <c r="JGD221" s="26"/>
      <c r="JGH221" s="23"/>
      <c r="JGM221" s="26"/>
      <c r="JGQ221" s="23"/>
      <c r="JGV221" s="26"/>
      <c r="JGZ221" s="23"/>
      <c r="JHE221" s="26"/>
      <c r="JHI221" s="23"/>
      <c r="JHN221" s="26"/>
      <c r="JHR221" s="23"/>
      <c r="JHW221" s="26"/>
      <c r="JIA221" s="23"/>
      <c r="JIF221" s="26"/>
      <c r="JIJ221" s="23"/>
      <c r="JIO221" s="26"/>
      <c r="JIS221" s="23"/>
      <c r="JIX221" s="26"/>
      <c r="JJB221" s="23"/>
      <c r="JJG221" s="26"/>
      <c r="JJK221" s="23"/>
      <c r="JJP221" s="26"/>
      <c r="JJT221" s="23"/>
      <c r="JJY221" s="26"/>
      <c r="JKC221" s="23"/>
      <c r="JKH221" s="26"/>
      <c r="JKL221" s="23"/>
      <c r="JKQ221" s="26"/>
      <c r="JKU221" s="23"/>
      <c r="JKZ221" s="26"/>
      <c r="JLD221" s="23"/>
      <c r="JLI221" s="26"/>
      <c r="JLM221" s="23"/>
      <c r="JLR221" s="26"/>
      <c r="JLV221" s="23"/>
      <c r="JMA221" s="26"/>
      <c r="JME221" s="23"/>
      <c r="JMJ221" s="26"/>
      <c r="JMN221" s="23"/>
      <c r="JMS221" s="26"/>
      <c r="JMW221" s="23"/>
      <c r="JNB221" s="26"/>
      <c r="JNF221" s="23"/>
      <c r="JNK221" s="26"/>
      <c r="JNO221" s="23"/>
      <c r="JNT221" s="26"/>
      <c r="JNX221" s="23"/>
      <c r="JOC221" s="26"/>
      <c r="JOG221" s="23"/>
      <c r="JOL221" s="26"/>
      <c r="JOP221" s="23"/>
      <c r="JOU221" s="26"/>
      <c r="JOY221" s="23"/>
      <c r="JPD221" s="26"/>
      <c r="JPH221" s="23"/>
      <c r="JPM221" s="26"/>
      <c r="JPQ221" s="23"/>
      <c r="JPV221" s="26"/>
      <c r="JPZ221" s="23"/>
      <c r="JQE221" s="26"/>
      <c r="JQI221" s="23"/>
      <c r="JQN221" s="26"/>
      <c r="JQR221" s="23"/>
      <c r="JQW221" s="26"/>
      <c r="JRA221" s="23"/>
      <c r="JRF221" s="26"/>
      <c r="JRJ221" s="23"/>
      <c r="JRO221" s="26"/>
      <c r="JRS221" s="23"/>
      <c r="JRX221" s="26"/>
      <c r="JSB221" s="23"/>
      <c r="JSG221" s="26"/>
      <c r="JSK221" s="23"/>
      <c r="JSP221" s="26"/>
      <c r="JST221" s="23"/>
      <c r="JSY221" s="26"/>
      <c r="JTC221" s="23"/>
      <c r="JTH221" s="26"/>
      <c r="JTL221" s="23"/>
      <c r="JTQ221" s="26"/>
      <c r="JTU221" s="23"/>
      <c r="JTZ221" s="26"/>
      <c r="JUD221" s="23"/>
      <c r="JUI221" s="26"/>
      <c r="JUM221" s="23"/>
      <c r="JUR221" s="26"/>
      <c r="JUV221" s="23"/>
      <c r="JVA221" s="26"/>
      <c r="JVE221" s="23"/>
      <c r="JVJ221" s="26"/>
      <c r="JVN221" s="23"/>
      <c r="JVS221" s="26"/>
      <c r="JVW221" s="23"/>
      <c r="JWB221" s="26"/>
      <c r="JWF221" s="23"/>
      <c r="JWK221" s="26"/>
      <c r="JWO221" s="23"/>
      <c r="JWT221" s="26"/>
      <c r="JWX221" s="23"/>
      <c r="JXC221" s="26"/>
      <c r="JXG221" s="23"/>
      <c r="JXL221" s="26"/>
      <c r="JXP221" s="23"/>
      <c r="JXU221" s="26"/>
      <c r="JXY221" s="23"/>
      <c r="JYD221" s="26"/>
      <c r="JYH221" s="23"/>
      <c r="JYM221" s="26"/>
      <c r="JYQ221" s="23"/>
      <c r="JYV221" s="26"/>
      <c r="JYZ221" s="23"/>
      <c r="JZE221" s="26"/>
      <c r="JZI221" s="23"/>
      <c r="JZN221" s="26"/>
      <c r="JZR221" s="23"/>
      <c r="JZW221" s="26"/>
      <c r="KAA221" s="23"/>
      <c r="KAF221" s="26"/>
      <c r="KAJ221" s="23"/>
      <c r="KAO221" s="26"/>
      <c r="KAS221" s="23"/>
      <c r="KAX221" s="26"/>
      <c r="KBB221" s="23"/>
      <c r="KBG221" s="26"/>
      <c r="KBK221" s="23"/>
      <c r="KBP221" s="26"/>
      <c r="KBT221" s="23"/>
      <c r="KBY221" s="26"/>
      <c r="KCC221" s="23"/>
      <c r="KCH221" s="26"/>
      <c r="KCL221" s="23"/>
      <c r="KCQ221" s="26"/>
      <c r="KCU221" s="23"/>
      <c r="KCZ221" s="26"/>
      <c r="KDD221" s="23"/>
      <c r="KDI221" s="26"/>
      <c r="KDM221" s="23"/>
      <c r="KDR221" s="26"/>
      <c r="KDV221" s="23"/>
      <c r="KEA221" s="26"/>
      <c r="KEE221" s="23"/>
      <c r="KEJ221" s="26"/>
      <c r="KEN221" s="23"/>
      <c r="KES221" s="26"/>
      <c r="KEW221" s="23"/>
      <c r="KFB221" s="26"/>
      <c r="KFF221" s="23"/>
      <c r="KFK221" s="26"/>
      <c r="KFO221" s="23"/>
      <c r="KFT221" s="26"/>
      <c r="KFX221" s="23"/>
      <c r="KGC221" s="26"/>
      <c r="KGG221" s="23"/>
      <c r="KGL221" s="26"/>
      <c r="KGP221" s="23"/>
      <c r="KGU221" s="26"/>
      <c r="KGY221" s="23"/>
      <c r="KHD221" s="26"/>
      <c r="KHH221" s="23"/>
      <c r="KHM221" s="26"/>
      <c r="KHQ221" s="23"/>
      <c r="KHV221" s="26"/>
      <c r="KHZ221" s="23"/>
      <c r="KIE221" s="26"/>
      <c r="KII221" s="23"/>
      <c r="KIN221" s="26"/>
      <c r="KIR221" s="23"/>
      <c r="KIW221" s="26"/>
      <c r="KJA221" s="23"/>
      <c r="KJF221" s="26"/>
      <c r="KJJ221" s="23"/>
      <c r="KJO221" s="26"/>
      <c r="KJS221" s="23"/>
      <c r="KJX221" s="26"/>
      <c r="KKB221" s="23"/>
      <c r="KKG221" s="26"/>
      <c r="KKK221" s="23"/>
      <c r="KKP221" s="26"/>
      <c r="KKT221" s="23"/>
      <c r="KKY221" s="26"/>
      <c r="KLC221" s="23"/>
      <c r="KLH221" s="26"/>
      <c r="KLL221" s="23"/>
      <c r="KLQ221" s="26"/>
      <c r="KLU221" s="23"/>
      <c r="KLZ221" s="26"/>
      <c r="KMD221" s="23"/>
      <c r="KMI221" s="26"/>
      <c r="KMM221" s="23"/>
      <c r="KMR221" s="26"/>
      <c r="KMV221" s="23"/>
      <c r="KNA221" s="26"/>
      <c r="KNE221" s="23"/>
      <c r="KNJ221" s="26"/>
      <c r="KNN221" s="23"/>
      <c r="KNS221" s="26"/>
      <c r="KNW221" s="23"/>
      <c r="KOB221" s="26"/>
      <c r="KOF221" s="23"/>
      <c r="KOK221" s="26"/>
      <c r="KOO221" s="23"/>
      <c r="KOT221" s="26"/>
      <c r="KOX221" s="23"/>
      <c r="KPC221" s="26"/>
      <c r="KPG221" s="23"/>
      <c r="KPL221" s="26"/>
      <c r="KPP221" s="23"/>
      <c r="KPU221" s="26"/>
      <c r="KPY221" s="23"/>
      <c r="KQD221" s="26"/>
      <c r="KQH221" s="23"/>
      <c r="KQM221" s="26"/>
      <c r="KQQ221" s="23"/>
      <c r="KQV221" s="26"/>
      <c r="KQZ221" s="23"/>
      <c r="KRE221" s="26"/>
      <c r="KRI221" s="23"/>
      <c r="KRN221" s="26"/>
      <c r="KRR221" s="23"/>
      <c r="KRW221" s="26"/>
      <c r="KSA221" s="23"/>
      <c r="KSF221" s="26"/>
      <c r="KSJ221" s="23"/>
      <c r="KSO221" s="26"/>
      <c r="KSS221" s="23"/>
      <c r="KSX221" s="26"/>
      <c r="KTB221" s="23"/>
      <c r="KTG221" s="26"/>
      <c r="KTK221" s="23"/>
      <c r="KTP221" s="26"/>
      <c r="KTT221" s="23"/>
      <c r="KTY221" s="26"/>
      <c r="KUC221" s="23"/>
      <c r="KUH221" s="26"/>
      <c r="KUL221" s="23"/>
      <c r="KUQ221" s="26"/>
      <c r="KUU221" s="23"/>
      <c r="KUZ221" s="26"/>
      <c r="KVD221" s="23"/>
      <c r="KVI221" s="26"/>
      <c r="KVM221" s="23"/>
      <c r="KVR221" s="26"/>
      <c r="KVV221" s="23"/>
      <c r="KWA221" s="26"/>
      <c r="KWE221" s="23"/>
      <c r="KWJ221" s="26"/>
      <c r="KWN221" s="23"/>
      <c r="KWS221" s="26"/>
      <c r="KWW221" s="23"/>
      <c r="KXB221" s="26"/>
      <c r="KXF221" s="23"/>
      <c r="KXK221" s="26"/>
      <c r="KXO221" s="23"/>
      <c r="KXT221" s="26"/>
      <c r="KXX221" s="23"/>
      <c r="KYC221" s="26"/>
      <c r="KYG221" s="23"/>
      <c r="KYL221" s="26"/>
      <c r="KYP221" s="23"/>
      <c r="KYU221" s="26"/>
      <c r="KYY221" s="23"/>
      <c r="KZD221" s="26"/>
      <c r="KZH221" s="23"/>
      <c r="KZM221" s="26"/>
      <c r="KZQ221" s="23"/>
      <c r="KZV221" s="26"/>
      <c r="KZZ221" s="23"/>
      <c r="LAE221" s="26"/>
      <c r="LAI221" s="23"/>
      <c r="LAN221" s="26"/>
      <c r="LAR221" s="23"/>
      <c r="LAW221" s="26"/>
      <c r="LBA221" s="23"/>
      <c r="LBF221" s="26"/>
      <c r="LBJ221" s="23"/>
      <c r="LBO221" s="26"/>
      <c r="LBS221" s="23"/>
      <c r="LBX221" s="26"/>
      <c r="LCB221" s="23"/>
      <c r="LCG221" s="26"/>
      <c r="LCK221" s="23"/>
      <c r="LCP221" s="26"/>
      <c r="LCT221" s="23"/>
      <c r="LCY221" s="26"/>
      <c r="LDC221" s="23"/>
      <c r="LDH221" s="26"/>
      <c r="LDL221" s="23"/>
      <c r="LDQ221" s="26"/>
      <c r="LDU221" s="23"/>
      <c r="LDZ221" s="26"/>
      <c r="LED221" s="23"/>
      <c r="LEI221" s="26"/>
      <c r="LEM221" s="23"/>
      <c r="LER221" s="26"/>
      <c r="LEV221" s="23"/>
      <c r="LFA221" s="26"/>
      <c r="LFE221" s="23"/>
      <c r="LFJ221" s="26"/>
      <c r="LFN221" s="23"/>
      <c r="LFS221" s="26"/>
      <c r="LFW221" s="23"/>
      <c r="LGB221" s="26"/>
      <c r="LGF221" s="23"/>
      <c r="LGK221" s="26"/>
      <c r="LGO221" s="23"/>
      <c r="LGT221" s="26"/>
      <c r="LGX221" s="23"/>
      <c r="LHC221" s="26"/>
      <c r="LHG221" s="23"/>
      <c r="LHL221" s="26"/>
      <c r="LHP221" s="23"/>
      <c r="LHU221" s="26"/>
      <c r="LHY221" s="23"/>
      <c r="LID221" s="26"/>
      <c r="LIH221" s="23"/>
      <c r="LIM221" s="26"/>
      <c r="LIQ221" s="23"/>
      <c r="LIV221" s="26"/>
      <c r="LIZ221" s="23"/>
      <c r="LJE221" s="26"/>
      <c r="LJI221" s="23"/>
      <c r="LJN221" s="26"/>
      <c r="LJR221" s="23"/>
      <c r="LJW221" s="26"/>
      <c r="LKA221" s="23"/>
      <c r="LKF221" s="26"/>
      <c r="LKJ221" s="23"/>
      <c r="LKO221" s="26"/>
      <c r="LKS221" s="23"/>
      <c r="LKX221" s="26"/>
      <c r="LLB221" s="23"/>
      <c r="LLG221" s="26"/>
      <c r="LLK221" s="23"/>
      <c r="LLP221" s="26"/>
      <c r="LLT221" s="23"/>
      <c r="LLY221" s="26"/>
      <c r="LMC221" s="23"/>
      <c r="LMH221" s="26"/>
      <c r="LML221" s="23"/>
      <c r="LMQ221" s="26"/>
      <c r="LMU221" s="23"/>
      <c r="LMZ221" s="26"/>
      <c r="LND221" s="23"/>
      <c r="LNI221" s="26"/>
      <c r="LNM221" s="23"/>
      <c r="LNR221" s="26"/>
      <c r="LNV221" s="23"/>
      <c r="LOA221" s="26"/>
      <c r="LOE221" s="23"/>
      <c r="LOJ221" s="26"/>
      <c r="LON221" s="23"/>
      <c r="LOS221" s="26"/>
      <c r="LOW221" s="23"/>
      <c r="LPB221" s="26"/>
      <c r="LPF221" s="23"/>
      <c r="LPK221" s="26"/>
      <c r="LPO221" s="23"/>
      <c r="LPT221" s="26"/>
      <c r="LPX221" s="23"/>
      <c r="LQC221" s="26"/>
      <c r="LQG221" s="23"/>
      <c r="LQL221" s="26"/>
      <c r="LQP221" s="23"/>
      <c r="LQU221" s="26"/>
      <c r="LQY221" s="23"/>
      <c r="LRD221" s="26"/>
      <c r="LRH221" s="23"/>
      <c r="LRM221" s="26"/>
      <c r="LRQ221" s="23"/>
      <c r="LRV221" s="26"/>
      <c r="LRZ221" s="23"/>
      <c r="LSE221" s="26"/>
      <c r="LSI221" s="23"/>
      <c r="LSN221" s="26"/>
      <c r="LSR221" s="23"/>
      <c r="LSW221" s="26"/>
      <c r="LTA221" s="23"/>
      <c r="LTF221" s="26"/>
      <c r="LTJ221" s="23"/>
      <c r="LTO221" s="26"/>
      <c r="LTS221" s="23"/>
      <c r="LTX221" s="26"/>
      <c r="LUB221" s="23"/>
      <c r="LUG221" s="26"/>
      <c r="LUK221" s="23"/>
      <c r="LUP221" s="26"/>
      <c r="LUT221" s="23"/>
      <c r="LUY221" s="26"/>
      <c r="LVC221" s="23"/>
      <c r="LVH221" s="26"/>
      <c r="LVL221" s="23"/>
      <c r="LVQ221" s="26"/>
      <c r="LVU221" s="23"/>
      <c r="LVZ221" s="26"/>
      <c r="LWD221" s="23"/>
      <c r="LWI221" s="26"/>
      <c r="LWM221" s="23"/>
      <c r="LWR221" s="26"/>
      <c r="LWV221" s="23"/>
      <c r="LXA221" s="26"/>
      <c r="LXE221" s="23"/>
      <c r="LXJ221" s="26"/>
      <c r="LXN221" s="23"/>
      <c r="LXS221" s="26"/>
      <c r="LXW221" s="23"/>
      <c r="LYB221" s="26"/>
      <c r="LYF221" s="23"/>
      <c r="LYK221" s="26"/>
      <c r="LYO221" s="23"/>
      <c r="LYT221" s="26"/>
      <c r="LYX221" s="23"/>
      <c r="LZC221" s="26"/>
      <c r="LZG221" s="23"/>
      <c r="LZL221" s="26"/>
      <c r="LZP221" s="23"/>
      <c r="LZU221" s="26"/>
      <c r="LZY221" s="23"/>
      <c r="MAD221" s="26"/>
      <c r="MAH221" s="23"/>
      <c r="MAM221" s="26"/>
      <c r="MAQ221" s="23"/>
      <c r="MAV221" s="26"/>
      <c r="MAZ221" s="23"/>
      <c r="MBE221" s="26"/>
      <c r="MBI221" s="23"/>
      <c r="MBN221" s="26"/>
      <c r="MBR221" s="23"/>
      <c r="MBW221" s="26"/>
      <c r="MCA221" s="23"/>
      <c r="MCF221" s="26"/>
      <c r="MCJ221" s="23"/>
      <c r="MCO221" s="26"/>
      <c r="MCS221" s="23"/>
      <c r="MCX221" s="26"/>
      <c r="MDB221" s="23"/>
      <c r="MDG221" s="26"/>
      <c r="MDK221" s="23"/>
      <c r="MDP221" s="26"/>
      <c r="MDT221" s="23"/>
      <c r="MDY221" s="26"/>
      <c r="MEC221" s="23"/>
      <c r="MEH221" s="26"/>
      <c r="MEL221" s="23"/>
      <c r="MEQ221" s="26"/>
      <c r="MEU221" s="23"/>
      <c r="MEZ221" s="26"/>
      <c r="MFD221" s="23"/>
      <c r="MFI221" s="26"/>
      <c r="MFM221" s="23"/>
      <c r="MFR221" s="26"/>
      <c r="MFV221" s="23"/>
      <c r="MGA221" s="26"/>
      <c r="MGE221" s="23"/>
      <c r="MGJ221" s="26"/>
      <c r="MGN221" s="23"/>
      <c r="MGS221" s="26"/>
      <c r="MGW221" s="23"/>
      <c r="MHB221" s="26"/>
      <c r="MHF221" s="23"/>
      <c r="MHK221" s="26"/>
      <c r="MHO221" s="23"/>
      <c r="MHT221" s="26"/>
      <c r="MHX221" s="23"/>
      <c r="MIC221" s="26"/>
      <c r="MIG221" s="23"/>
      <c r="MIL221" s="26"/>
      <c r="MIP221" s="23"/>
      <c r="MIU221" s="26"/>
      <c r="MIY221" s="23"/>
      <c r="MJD221" s="26"/>
      <c r="MJH221" s="23"/>
      <c r="MJM221" s="26"/>
      <c r="MJQ221" s="23"/>
      <c r="MJV221" s="26"/>
      <c r="MJZ221" s="23"/>
      <c r="MKE221" s="26"/>
      <c r="MKI221" s="23"/>
      <c r="MKN221" s="26"/>
      <c r="MKR221" s="23"/>
      <c r="MKW221" s="26"/>
      <c r="MLA221" s="23"/>
      <c r="MLF221" s="26"/>
      <c r="MLJ221" s="23"/>
      <c r="MLO221" s="26"/>
      <c r="MLS221" s="23"/>
      <c r="MLX221" s="26"/>
      <c r="MMB221" s="23"/>
      <c r="MMG221" s="26"/>
      <c r="MMK221" s="23"/>
      <c r="MMP221" s="26"/>
      <c r="MMT221" s="23"/>
      <c r="MMY221" s="26"/>
      <c r="MNC221" s="23"/>
      <c r="MNH221" s="26"/>
      <c r="MNL221" s="23"/>
      <c r="MNQ221" s="26"/>
      <c r="MNU221" s="23"/>
      <c r="MNZ221" s="26"/>
      <c r="MOD221" s="23"/>
      <c r="MOI221" s="26"/>
      <c r="MOM221" s="23"/>
      <c r="MOR221" s="26"/>
      <c r="MOV221" s="23"/>
      <c r="MPA221" s="26"/>
      <c r="MPE221" s="23"/>
      <c r="MPJ221" s="26"/>
      <c r="MPN221" s="23"/>
      <c r="MPS221" s="26"/>
      <c r="MPW221" s="23"/>
      <c r="MQB221" s="26"/>
      <c r="MQF221" s="23"/>
      <c r="MQK221" s="26"/>
      <c r="MQO221" s="23"/>
      <c r="MQT221" s="26"/>
      <c r="MQX221" s="23"/>
      <c r="MRC221" s="26"/>
      <c r="MRG221" s="23"/>
      <c r="MRL221" s="26"/>
      <c r="MRP221" s="23"/>
      <c r="MRU221" s="26"/>
      <c r="MRY221" s="23"/>
      <c r="MSD221" s="26"/>
      <c r="MSH221" s="23"/>
      <c r="MSM221" s="26"/>
      <c r="MSQ221" s="23"/>
      <c r="MSV221" s="26"/>
      <c r="MSZ221" s="23"/>
      <c r="MTE221" s="26"/>
      <c r="MTI221" s="23"/>
      <c r="MTN221" s="26"/>
      <c r="MTR221" s="23"/>
      <c r="MTW221" s="26"/>
      <c r="MUA221" s="23"/>
      <c r="MUF221" s="26"/>
      <c r="MUJ221" s="23"/>
      <c r="MUO221" s="26"/>
      <c r="MUS221" s="23"/>
      <c r="MUX221" s="26"/>
      <c r="MVB221" s="23"/>
      <c r="MVG221" s="26"/>
      <c r="MVK221" s="23"/>
      <c r="MVP221" s="26"/>
      <c r="MVT221" s="23"/>
      <c r="MVY221" s="26"/>
      <c r="MWC221" s="23"/>
      <c r="MWH221" s="26"/>
      <c r="MWL221" s="23"/>
      <c r="MWQ221" s="26"/>
      <c r="MWU221" s="23"/>
      <c r="MWZ221" s="26"/>
      <c r="MXD221" s="23"/>
      <c r="MXI221" s="26"/>
      <c r="MXM221" s="23"/>
      <c r="MXR221" s="26"/>
      <c r="MXV221" s="23"/>
      <c r="MYA221" s="26"/>
      <c r="MYE221" s="23"/>
      <c r="MYJ221" s="26"/>
      <c r="MYN221" s="23"/>
      <c r="MYS221" s="26"/>
      <c r="MYW221" s="23"/>
      <c r="MZB221" s="26"/>
      <c r="MZF221" s="23"/>
      <c r="MZK221" s="26"/>
      <c r="MZO221" s="23"/>
      <c r="MZT221" s="26"/>
      <c r="MZX221" s="23"/>
      <c r="NAC221" s="26"/>
      <c r="NAG221" s="23"/>
      <c r="NAL221" s="26"/>
      <c r="NAP221" s="23"/>
      <c r="NAU221" s="26"/>
      <c r="NAY221" s="23"/>
      <c r="NBD221" s="26"/>
      <c r="NBH221" s="23"/>
      <c r="NBM221" s="26"/>
      <c r="NBQ221" s="23"/>
      <c r="NBV221" s="26"/>
      <c r="NBZ221" s="23"/>
      <c r="NCE221" s="26"/>
      <c r="NCI221" s="23"/>
      <c r="NCN221" s="26"/>
      <c r="NCR221" s="23"/>
      <c r="NCW221" s="26"/>
      <c r="NDA221" s="23"/>
      <c r="NDF221" s="26"/>
      <c r="NDJ221" s="23"/>
      <c r="NDO221" s="26"/>
      <c r="NDS221" s="23"/>
      <c r="NDX221" s="26"/>
      <c r="NEB221" s="23"/>
      <c r="NEG221" s="26"/>
      <c r="NEK221" s="23"/>
      <c r="NEP221" s="26"/>
      <c r="NET221" s="23"/>
      <c r="NEY221" s="26"/>
      <c r="NFC221" s="23"/>
      <c r="NFH221" s="26"/>
      <c r="NFL221" s="23"/>
      <c r="NFQ221" s="26"/>
      <c r="NFU221" s="23"/>
      <c r="NFZ221" s="26"/>
      <c r="NGD221" s="23"/>
      <c r="NGI221" s="26"/>
      <c r="NGM221" s="23"/>
      <c r="NGR221" s="26"/>
      <c r="NGV221" s="23"/>
      <c r="NHA221" s="26"/>
      <c r="NHE221" s="23"/>
      <c r="NHJ221" s="26"/>
      <c r="NHN221" s="23"/>
      <c r="NHS221" s="26"/>
      <c r="NHW221" s="23"/>
      <c r="NIB221" s="26"/>
      <c r="NIF221" s="23"/>
      <c r="NIK221" s="26"/>
      <c r="NIO221" s="23"/>
      <c r="NIT221" s="26"/>
      <c r="NIX221" s="23"/>
      <c r="NJC221" s="26"/>
      <c r="NJG221" s="23"/>
      <c r="NJL221" s="26"/>
      <c r="NJP221" s="23"/>
      <c r="NJU221" s="26"/>
      <c r="NJY221" s="23"/>
      <c r="NKD221" s="26"/>
      <c r="NKH221" s="23"/>
      <c r="NKM221" s="26"/>
      <c r="NKQ221" s="23"/>
      <c r="NKV221" s="26"/>
      <c r="NKZ221" s="23"/>
      <c r="NLE221" s="26"/>
      <c r="NLI221" s="23"/>
      <c r="NLN221" s="26"/>
      <c r="NLR221" s="23"/>
      <c r="NLW221" s="26"/>
      <c r="NMA221" s="23"/>
      <c r="NMF221" s="26"/>
      <c r="NMJ221" s="23"/>
      <c r="NMO221" s="26"/>
      <c r="NMS221" s="23"/>
      <c r="NMX221" s="26"/>
      <c r="NNB221" s="23"/>
      <c r="NNG221" s="26"/>
      <c r="NNK221" s="23"/>
      <c r="NNP221" s="26"/>
      <c r="NNT221" s="23"/>
      <c r="NNY221" s="26"/>
      <c r="NOC221" s="23"/>
      <c r="NOH221" s="26"/>
      <c r="NOL221" s="23"/>
      <c r="NOQ221" s="26"/>
      <c r="NOU221" s="23"/>
      <c r="NOZ221" s="26"/>
      <c r="NPD221" s="23"/>
      <c r="NPI221" s="26"/>
      <c r="NPM221" s="23"/>
      <c r="NPR221" s="26"/>
      <c r="NPV221" s="23"/>
      <c r="NQA221" s="26"/>
      <c r="NQE221" s="23"/>
      <c r="NQJ221" s="26"/>
      <c r="NQN221" s="23"/>
      <c r="NQS221" s="26"/>
      <c r="NQW221" s="23"/>
      <c r="NRB221" s="26"/>
      <c r="NRF221" s="23"/>
      <c r="NRK221" s="26"/>
      <c r="NRO221" s="23"/>
      <c r="NRT221" s="26"/>
      <c r="NRX221" s="23"/>
      <c r="NSC221" s="26"/>
      <c r="NSG221" s="23"/>
      <c r="NSL221" s="26"/>
      <c r="NSP221" s="23"/>
      <c r="NSU221" s="26"/>
      <c r="NSY221" s="23"/>
      <c r="NTD221" s="26"/>
      <c r="NTH221" s="23"/>
      <c r="NTM221" s="26"/>
      <c r="NTQ221" s="23"/>
      <c r="NTV221" s="26"/>
      <c r="NTZ221" s="23"/>
      <c r="NUE221" s="26"/>
      <c r="NUI221" s="23"/>
      <c r="NUN221" s="26"/>
      <c r="NUR221" s="23"/>
      <c r="NUW221" s="26"/>
      <c r="NVA221" s="23"/>
      <c r="NVF221" s="26"/>
      <c r="NVJ221" s="23"/>
      <c r="NVO221" s="26"/>
      <c r="NVS221" s="23"/>
      <c r="NVX221" s="26"/>
      <c r="NWB221" s="23"/>
      <c r="NWG221" s="26"/>
      <c r="NWK221" s="23"/>
      <c r="NWP221" s="26"/>
      <c r="NWT221" s="23"/>
      <c r="NWY221" s="26"/>
      <c r="NXC221" s="23"/>
      <c r="NXH221" s="26"/>
      <c r="NXL221" s="23"/>
      <c r="NXQ221" s="26"/>
      <c r="NXU221" s="23"/>
      <c r="NXZ221" s="26"/>
      <c r="NYD221" s="23"/>
      <c r="NYI221" s="26"/>
      <c r="NYM221" s="23"/>
      <c r="NYR221" s="26"/>
      <c r="NYV221" s="23"/>
      <c r="NZA221" s="26"/>
      <c r="NZE221" s="23"/>
      <c r="NZJ221" s="26"/>
      <c r="NZN221" s="23"/>
      <c r="NZS221" s="26"/>
      <c r="NZW221" s="23"/>
      <c r="OAB221" s="26"/>
      <c r="OAF221" s="23"/>
      <c r="OAK221" s="26"/>
      <c r="OAO221" s="23"/>
      <c r="OAT221" s="26"/>
      <c r="OAX221" s="23"/>
      <c r="OBC221" s="26"/>
      <c r="OBG221" s="23"/>
      <c r="OBL221" s="26"/>
      <c r="OBP221" s="23"/>
      <c r="OBU221" s="26"/>
      <c r="OBY221" s="23"/>
      <c r="OCD221" s="26"/>
      <c r="OCH221" s="23"/>
      <c r="OCM221" s="26"/>
      <c r="OCQ221" s="23"/>
      <c r="OCV221" s="26"/>
      <c r="OCZ221" s="23"/>
      <c r="ODE221" s="26"/>
      <c r="ODI221" s="23"/>
      <c r="ODN221" s="26"/>
      <c r="ODR221" s="23"/>
      <c r="ODW221" s="26"/>
      <c r="OEA221" s="23"/>
      <c r="OEF221" s="26"/>
      <c r="OEJ221" s="23"/>
      <c r="OEO221" s="26"/>
      <c r="OES221" s="23"/>
      <c r="OEX221" s="26"/>
      <c r="OFB221" s="23"/>
      <c r="OFG221" s="26"/>
      <c r="OFK221" s="23"/>
      <c r="OFP221" s="26"/>
      <c r="OFT221" s="23"/>
      <c r="OFY221" s="26"/>
      <c r="OGC221" s="23"/>
      <c r="OGH221" s="26"/>
      <c r="OGL221" s="23"/>
      <c r="OGQ221" s="26"/>
      <c r="OGU221" s="23"/>
      <c r="OGZ221" s="26"/>
      <c r="OHD221" s="23"/>
      <c r="OHI221" s="26"/>
      <c r="OHM221" s="23"/>
      <c r="OHR221" s="26"/>
      <c r="OHV221" s="23"/>
      <c r="OIA221" s="26"/>
      <c r="OIE221" s="23"/>
      <c r="OIJ221" s="26"/>
      <c r="OIN221" s="23"/>
      <c r="OIS221" s="26"/>
      <c r="OIW221" s="23"/>
      <c r="OJB221" s="26"/>
      <c r="OJF221" s="23"/>
      <c r="OJK221" s="26"/>
      <c r="OJO221" s="23"/>
      <c r="OJT221" s="26"/>
      <c r="OJX221" s="23"/>
      <c r="OKC221" s="26"/>
      <c r="OKG221" s="23"/>
      <c r="OKL221" s="26"/>
      <c r="OKP221" s="23"/>
      <c r="OKU221" s="26"/>
      <c r="OKY221" s="23"/>
      <c r="OLD221" s="26"/>
      <c r="OLH221" s="23"/>
      <c r="OLM221" s="26"/>
      <c r="OLQ221" s="23"/>
      <c r="OLV221" s="26"/>
      <c r="OLZ221" s="23"/>
      <c r="OME221" s="26"/>
      <c r="OMI221" s="23"/>
      <c r="OMN221" s="26"/>
      <c r="OMR221" s="23"/>
      <c r="OMW221" s="26"/>
      <c r="ONA221" s="23"/>
      <c r="ONF221" s="26"/>
      <c r="ONJ221" s="23"/>
      <c r="ONO221" s="26"/>
      <c r="ONS221" s="23"/>
      <c r="ONX221" s="26"/>
      <c r="OOB221" s="23"/>
      <c r="OOG221" s="26"/>
      <c r="OOK221" s="23"/>
      <c r="OOP221" s="26"/>
      <c r="OOT221" s="23"/>
      <c r="OOY221" s="26"/>
      <c r="OPC221" s="23"/>
      <c r="OPH221" s="26"/>
      <c r="OPL221" s="23"/>
      <c r="OPQ221" s="26"/>
      <c r="OPU221" s="23"/>
      <c r="OPZ221" s="26"/>
      <c r="OQD221" s="23"/>
      <c r="OQI221" s="26"/>
      <c r="OQM221" s="23"/>
      <c r="OQR221" s="26"/>
      <c r="OQV221" s="23"/>
      <c r="ORA221" s="26"/>
      <c r="ORE221" s="23"/>
      <c r="ORJ221" s="26"/>
      <c r="ORN221" s="23"/>
      <c r="ORS221" s="26"/>
      <c r="ORW221" s="23"/>
      <c r="OSB221" s="26"/>
      <c r="OSF221" s="23"/>
      <c r="OSK221" s="26"/>
      <c r="OSO221" s="23"/>
      <c r="OST221" s="26"/>
      <c r="OSX221" s="23"/>
      <c r="OTC221" s="26"/>
      <c r="OTG221" s="23"/>
      <c r="OTL221" s="26"/>
      <c r="OTP221" s="23"/>
      <c r="OTU221" s="26"/>
      <c r="OTY221" s="23"/>
      <c r="OUD221" s="26"/>
      <c r="OUH221" s="23"/>
      <c r="OUM221" s="26"/>
      <c r="OUQ221" s="23"/>
      <c r="OUV221" s="26"/>
      <c r="OUZ221" s="23"/>
      <c r="OVE221" s="26"/>
      <c r="OVI221" s="23"/>
      <c r="OVN221" s="26"/>
      <c r="OVR221" s="23"/>
      <c r="OVW221" s="26"/>
      <c r="OWA221" s="23"/>
      <c r="OWF221" s="26"/>
      <c r="OWJ221" s="23"/>
      <c r="OWO221" s="26"/>
      <c r="OWS221" s="23"/>
      <c r="OWX221" s="26"/>
      <c r="OXB221" s="23"/>
      <c r="OXG221" s="26"/>
      <c r="OXK221" s="23"/>
      <c r="OXP221" s="26"/>
      <c r="OXT221" s="23"/>
      <c r="OXY221" s="26"/>
      <c r="OYC221" s="23"/>
      <c r="OYH221" s="26"/>
      <c r="OYL221" s="23"/>
      <c r="OYQ221" s="26"/>
      <c r="OYU221" s="23"/>
      <c r="OYZ221" s="26"/>
      <c r="OZD221" s="23"/>
      <c r="OZI221" s="26"/>
      <c r="OZM221" s="23"/>
      <c r="OZR221" s="26"/>
      <c r="OZV221" s="23"/>
      <c r="PAA221" s="26"/>
      <c r="PAE221" s="23"/>
      <c r="PAJ221" s="26"/>
      <c r="PAN221" s="23"/>
      <c r="PAS221" s="26"/>
      <c r="PAW221" s="23"/>
      <c r="PBB221" s="26"/>
      <c r="PBF221" s="23"/>
      <c r="PBK221" s="26"/>
      <c r="PBO221" s="23"/>
      <c r="PBT221" s="26"/>
      <c r="PBX221" s="23"/>
      <c r="PCC221" s="26"/>
      <c r="PCG221" s="23"/>
      <c r="PCL221" s="26"/>
      <c r="PCP221" s="23"/>
      <c r="PCU221" s="26"/>
      <c r="PCY221" s="23"/>
      <c r="PDD221" s="26"/>
      <c r="PDH221" s="23"/>
      <c r="PDM221" s="26"/>
      <c r="PDQ221" s="23"/>
      <c r="PDV221" s="26"/>
      <c r="PDZ221" s="23"/>
      <c r="PEE221" s="26"/>
      <c r="PEI221" s="23"/>
      <c r="PEN221" s="26"/>
      <c r="PER221" s="23"/>
      <c r="PEW221" s="26"/>
      <c r="PFA221" s="23"/>
      <c r="PFF221" s="26"/>
      <c r="PFJ221" s="23"/>
      <c r="PFO221" s="26"/>
      <c r="PFS221" s="23"/>
      <c r="PFX221" s="26"/>
      <c r="PGB221" s="23"/>
      <c r="PGG221" s="26"/>
      <c r="PGK221" s="23"/>
      <c r="PGP221" s="26"/>
      <c r="PGT221" s="23"/>
      <c r="PGY221" s="26"/>
      <c r="PHC221" s="23"/>
      <c r="PHH221" s="26"/>
      <c r="PHL221" s="23"/>
      <c r="PHQ221" s="26"/>
      <c r="PHU221" s="23"/>
      <c r="PHZ221" s="26"/>
      <c r="PID221" s="23"/>
      <c r="PII221" s="26"/>
      <c r="PIM221" s="23"/>
      <c r="PIR221" s="26"/>
      <c r="PIV221" s="23"/>
      <c r="PJA221" s="26"/>
      <c r="PJE221" s="23"/>
      <c r="PJJ221" s="26"/>
      <c r="PJN221" s="23"/>
      <c r="PJS221" s="26"/>
      <c r="PJW221" s="23"/>
      <c r="PKB221" s="26"/>
      <c r="PKF221" s="23"/>
      <c r="PKK221" s="26"/>
      <c r="PKO221" s="23"/>
      <c r="PKT221" s="26"/>
      <c r="PKX221" s="23"/>
      <c r="PLC221" s="26"/>
      <c r="PLG221" s="23"/>
      <c r="PLL221" s="26"/>
      <c r="PLP221" s="23"/>
      <c r="PLU221" s="26"/>
      <c r="PLY221" s="23"/>
      <c r="PMD221" s="26"/>
      <c r="PMH221" s="23"/>
      <c r="PMM221" s="26"/>
      <c r="PMQ221" s="23"/>
      <c r="PMV221" s="26"/>
      <c r="PMZ221" s="23"/>
      <c r="PNE221" s="26"/>
      <c r="PNI221" s="23"/>
      <c r="PNN221" s="26"/>
      <c r="PNR221" s="23"/>
      <c r="PNW221" s="26"/>
      <c r="POA221" s="23"/>
      <c r="POF221" s="26"/>
      <c r="POJ221" s="23"/>
      <c r="POO221" s="26"/>
      <c r="POS221" s="23"/>
      <c r="POX221" s="26"/>
      <c r="PPB221" s="23"/>
      <c r="PPG221" s="26"/>
      <c r="PPK221" s="23"/>
      <c r="PPP221" s="26"/>
      <c r="PPT221" s="23"/>
      <c r="PPY221" s="26"/>
      <c r="PQC221" s="23"/>
      <c r="PQH221" s="26"/>
      <c r="PQL221" s="23"/>
      <c r="PQQ221" s="26"/>
      <c r="PQU221" s="23"/>
      <c r="PQZ221" s="26"/>
      <c r="PRD221" s="23"/>
      <c r="PRI221" s="26"/>
      <c r="PRM221" s="23"/>
      <c r="PRR221" s="26"/>
      <c r="PRV221" s="23"/>
      <c r="PSA221" s="26"/>
      <c r="PSE221" s="23"/>
      <c r="PSJ221" s="26"/>
      <c r="PSN221" s="23"/>
      <c r="PSS221" s="26"/>
      <c r="PSW221" s="23"/>
      <c r="PTB221" s="26"/>
      <c r="PTF221" s="23"/>
      <c r="PTK221" s="26"/>
      <c r="PTO221" s="23"/>
      <c r="PTT221" s="26"/>
      <c r="PTX221" s="23"/>
      <c r="PUC221" s="26"/>
      <c r="PUG221" s="23"/>
      <c r="PUL221" s="26"/>
      <c r="PUP221" s="23"/>
      <c r="PUU221" s="26"/>
      <c r="PUY221" s="23"/>
      <c r="PVD221" s="26"/>
      <c r="PVH221" s="23"/>
      <c r="PVM221" s="26"/>
      <c r="PVQ221" s="23"/>
      <c r="PVV221" s="26"/>
      <c r="PVZ221" s="23"/>
      <c r="PWE221" s="26"/>
      <c r="PWI221" s="23"/>
      <c r="PWN221" s="26"/>
      <c r="PWR221" s="23"/>
      <c r="PWW221" s="26"/>
      <c r="PXA221" s="23"/>
      <c r="PXF221" s="26"/>
      <c r="PXJ221" s="23"/>
      <c r="PXO221" s="26"/>
      <c r="PXS221" s="23"/>
      <c r="PXX221" s="26"/>
      <c r="PYB221" s="23"/>
      <c r="PYG221" s="26"/>
      <c r="PYK221" s="23"/>
      <c r="PYP221" s="26"/>
      <c r="PYT221" s="23"/>
      <c r="PYY221" s="26"/>
      <c r="PZC221" s="23"/>
      <c r="PZH221" s="26"/>
      <c r="PZL221" s="23"/>
      <c r="PZQ221" s="26"/>
      <c r="PZU221" s="23"/>
      <c r="PZZ221" s="26"/>
      <c r="QAD221" s="23"/>
      <c r="QAI221" s="26"/>
      <c r="QAM221" s="23"/>
      <c r="QAR221" s="26"/>
      <c r="QAV221" s="23"/>
      <c r="QBA221" s="26"/>
      <c r="QBE221" s="23"/>
      <c r="QBJ221" s="26"/>
      <c r="QBN221" s="23"/>
      <c r="QBS221" s="26"/>
      <c r="QBW221" s="23"/>
      <c r="QCB221" s="26"/>
      <c r="QCF221" s="23"/>
      <c r="QCK221" s="26"/>
      <c r="QCO221" s="23"/>
      <c r="QCT221" s="26"/>
      <c r="QCX221" s="23"/>
      <c r="QDC221" s="26"/>
      <c r="QDG221" s="23"/>
      <c r="QDL221" s="26"/>
      <c r="QDP221" s="23"/>
      <c r="QDU221" s="26"/>
      <c r="QDY221" s="23"/>
      <c r="QED221" s="26"/>
      <c r="QEH221" s="23"/>
      <c r="QEM221" s="26"/>
      <c r="QEQ221" s="23"/>
      <c r="QEV221" s="26"/>
      <c r="QEZ221" s="23"/>
      <c r="QFE221" s="26"/>
      <c r="QFI221" s="23"/>
      <c r="QFN221" s="26"/>
      <c r="QFR221" s="23"/>
      <c r="QFW221" s="26"/>
      <c r="QGA221" s="23"/>
      <c r="QGF221" s="26"/>
      <c r="QGJ221" s="23"/>
      <c r="QGO221" s="26"/>
      <c r="QGS221" s="23"/>
      <c r="QGX221" s="26"/>
      <c r="QHB221" s="23"/>
      <c r="QHG221" s="26"/>
      <c r="QHK221" s="23"/>
      <c r="QHP221" s="26"/>
      <c r="QHT221" s="23"/>
      <c r="QHY221" s="26"/>
      <c r="QIC221" s="23"/>
      <c r="QIH221" s="26"/>
      <c r="QIL221" s="23"/>
      <c r="QIQ221" s="26"/>
      <c r="QIU221" s="23"/>
      <c r="QIZ221" s="26"/>
      <c r="QJD221" s="23"/>
      <c r="QJI221" s="26"/>
      <c r="QJM221" s="23"/>
      <c r="QJR221" s="26"/>
      <c r="QJV221" s="23"/>
      <c r="QKA221" s="26"/>
      <c r="QKE221" s="23"/>
      <c r="QKJ221" s="26"/>
      <c r="QKN221" s="23"/>
      <c r="QKS221" s="26"/>
      <c r="QKW221" s="23"/>
      <c r="QLB221" s="26"/>
      <c r="QLF221" s="23"/>
      <c r="QLK221" s="26"/>
      <c r="QLO221" s="23"/>
      <c r="QLT221" s="26"/>
      <c r="QLX221" s="23"/>
      <c r="QMC221" s="26"/>
      <c r="QMG221" s="23"/>
      <c r="QML221" s="26"/>
      <c r="QMP221" s="23"/>
      <c r="QMU221" s="26"/>
      <c r="QMY221" s="23"/>
      <c r="QND221" s="26"/>
      <c r="QNH221" s="23"/>
      <c r="QNM221" s="26"/>
      <c r="QNQ221" s="23"/>
      <c r="QNV221" s="26"/>
      <c r="QNZ221" s="23"/>
      <c r="QOE221" s="26"/>
      <c r="QOI221" s="23"/>
      <c r="QON221" s="26"/>
      <c r="QOR221" s="23"/>
      <c r="QOW221" s="26"/>
      <c r="QPA221" s="23"/>
      <c r="QPF221" s="26"/>
      <c r="QPJ221" s="23"/>
      <c r="QPO221" s="26"/>
      <c r="QPS221" s="23"/>
      <c r="QPX221" s="26"/>
      <c r="QQB221" s="23"/>
      <c r="QQG221" s="26"/>
      <c r="QQK221" s="23"/>
      <c r="QQP221" s="26"/>
      <c r="QQT221" s="23"/>
      <c r="QQY221" s="26"/>
      <c r="QRC221" s="23"/>
      <c r="QRH221" s="26"/>
      <c r="QRL221" s="23"/>
      <c r="QRQ221" s="26"/>
      <c r="QRU221" s="23"/>
      <c r="QRZ221" s="26"/>
      <c r="QSD221" s="23"/>
      <c r="QSI221" s="26"/>
      <c r="QSM221" s="23"/>
      <c r="QSR221" s="26"/>
      <c r="QSV221" s="23"/>
      <c r="QTA221" s="26"/>
      <c r="QTE221" s="23"/>
      <c r="QTJ221" s="26"/>
      <c r="QTN221" s="23"/>
      <c r="QTS221" s="26"/>
      <c r="QTW221" s="23"/>
      <c r="QUB221" s="26"/>
      <c r="QUF221" s="23"/>
      <c r="QUK221" s="26"/>
      <c r="QUO221" s="23"/>
      <c r="QUT221" s="26"/>
      <c r="QUX221" s="23"/>
      <c r="QVC221" s="26"/>
      <c r="QVG221" s="23"/>
      <c r="QVL221" s="26"/>
      <c r="QVP221" s="23"/>
      <c r="QVU221" s="26"/>
      <c r="QVY221" s="23"/>
      <c r="QWD221" s="26"/>
      <c r="QWH221" s="23"/>
      <c r="QWM221" s="26"/>
      <c r="QWQ221" s="23"/>
      <c r="QWV221" s="26"/>
      <c r="QWZ221" s="23"/>
      <c r="QXE221" s="26"/>
      <c r="QXI221" s="23"/>
      <c r="QXN221" s="26"/>
      <c r="QXR221" s="23"/>
      <c r="QXW221" s="26"/>
      <c r="QYA221" s="23"/>
      <c r="QYF221" s="26"/>
      <c r="QYJ221" s="23"/>
      <c r="QYO221" s="26"/>
      <c r="QYS221" s="23"/>
      <c r="QYX221" s="26"/>
      <c r="QZB221" s="23"/>
      <c r="QZG221" s="26"/>
      <c r="QZK221" s="23"/>
      <c r="QZP221" s="26"/>
      <c r="QZT221" s="23"/>
      <c r="QZY221" s="26"/>
      <c r="RAC221" s="23"/>
      <c r="RAH221" s="26"/>
      <c r="RAL221" s="23"/>
      <c r="RAQ221" s="26"/>
      <c r="RAU221" s="23"/>
      <c r="RAZ221" s="26"/>
      <c r="RBD221" s="23"/>
      <c r="RBI221" s="26"/>
      <c r="RBM221" s="23"/>
      <c r="RBR221" s="26"/>
      <c r="RBV221" s="23"/>
      <c r="RCA221" s="26"/>
      <c r="RCE221" s="23"/>
      <c r="RCJ221" s="26"/>
      <c r="RCN221" s="23"/>
      <c r="RCS221" s="26"/>
      <c r="RCW221" s="23"/>
      <c r="RDB221" s="26"/>
      <c r="RDF221" s="23"/>
      <c r="RDK221" s="26"/>
      <c r="RDO221" s="23"/>
      <c r="RDT221" s="26"/>
      <c r="RDX221" s="23"/>
      <c r="REC221" s="26"/>
      <c r="REG221" s="23"/>
      <c r="REL221" s="26"/>
      <c r="REP221" s="23"/>
      <c r="REU221" s="26"/>
      <c r="REY221" s="23"/>
      <c r="RFD221" s="26"/>
      <c r="RFH221" s="23"/>
      <c r="RFM221" s="26"/>
      <c r="RFQ221" s="23"/>
      <c r="RFV221" s="26"/>
      <c r="RFZ221" s="23"/>
      <c r="RGE221" s="26"/>
      <c r="RGI221" s="23"/>
      <c r="RGN221" s="26"/>
      <c r="RGR221" s="23"/>
      <c r="RGW221" s="26"/>
      <c r="RHA221" s="23"/>
      <c r="RHF221" s="26"/>
      <c r="RHJ221" s="23"/>
      <c r="RHO221" s="26"/>
      <c r="RHS221" s="23"/>
      <c r="RHX221" s="26"/>
      <c r="RIB221" s="23"/>
      <c r="RIG221" s="26"/>
      <c r="RIK221" s="23"/>
      <c r="RIP221" s="26"/>
      <c r="RIT221" s="23"/>
      <c r="RIY221" s="26"/>
      <c r="RJC221" s="23"/>
      <c r="RJH221" s="26"/>
      <c r="RJL221" s="23"/>
      <c r="RJQ221" s="26"/>
      <c r="RJU221" s="23"/>
      <c r="RJZ221" s="26"/>
      <c r="RKD221" s="23"/>
      <c r="RKI221" s="26"/>
      <c r="RKM221" s="23"/>
      <c r="RKR221" s="26"/>
      <c r="RKV221" s="23"/>
      <c r="RLA221" s="26"/>
      <c r="RLE221" s="23"/>
      <c r="RLJ221" s="26"/>
      <c r="RLN221" s="23"/>
      <c r="RLS221" s="26"/>
      <c r="RLW221" s="23"/>
      <c r="RMB221" s="26"/>
      <c r="RMF221" s="23"/>
      <c r="RMK221" s="26"/>
      <c r="RMO221" s="23"/>
      <c r="RMT221" s="26"/>
      <c r="RMX221" s="23"/>
      <c r="RNC221" s="26"/>
      <c r="RNG221" s="23"/>
      <c r="RNL221" s="26"/>
      <c r="RNP221" s="23"/>
      <c r="RNU221" s="26"/>
      <c r="RNY221" s="23"/>
      <c r="ROD221" s="26"/>
      <c r="ROH221" s="23"/>
      <c r="ROM221" s="26"/>
      <c r="ROQ221" s="23"/>
      <c r="ROV221" s="26"/>
      <c r="ROZ221" s="23"/>
      <c r="RPE221" s="26"/>
      <c r="RPI221" s="23"/>
      <c r="RPN221" s="26"/>
      <c r="RPR221" s="23"/>
      <c r="RPW221" s="26"/>
      <c r="RQA221" s="23"/>
      <c r="RQF221" s="26"/>
      <c r="RQJ221" s="23"/>
      <c r="RQO221" s="26"/>
      <c r="RQS221" s="23"/>
      <c r="RQX221" s="26"/>
      <c r="RRB221" s="23"/>
      <c r="RRG221" s="26"/>
      <c r="RRK221" s="23"/>
      <c r="RRP221" s="26"/>
      <c r="RRT221" s="23"/>
      <c r="RRY221" s="26"/>
      <c r="RSC221" s="23"/>
      <c r="RSH221" s="26"/>
      <c r="RSL221" s="23"/>
      <c r="RSQ221" s="26"/>
      <c r="RSU221" s="23"/>
      <c r="RSZ221" s="26"/>
      <c r="RTD221" s="23"/>
      <c r="RTI221" s="26"/>
      <c r="RTM221" s="23"/>
      <c r="RTR221" s="26"/>
      <c r="RTV221" s="23"/>
      <c r="RUA221" s="26"/>
      <c r="RUE221" s="23"/>
      <c r="RUJ221" s="26"/>
      <c r="RUN221" s="23"/>
      <c r="RUS221" s="26"/>
      <c r="RUW221" s="23"/>
      <c r="RVB221" s="26"/>
      <c r="RVF221" s="23"/>
      <c r="RVK221" s="26"/>
      <c r="RVO221" s="23"/>
      <c r="RVT221" s="26"/>
      <c r="RVX221" s="23"/>
      <c r="RWC221" s="26"/>
      <c r="RWG221" s="23"/>
      <c r="RWL221" s="26"/>
      <c r="RWP221" s="23"/>
      <c r="RWU221" s="26"/>
      <c r="RWY221" s="23"/>
      <c r="RXD221" s="26"/>
      <c r="RXH221" s="23"/>
      <c r="RXM221" s="26"/>
      <c r="RXQ221" s="23"/>
      <c r="RXV221" s="26"/>
      <c r="RXZ221" s="23"/>
      <c r="RYE221" s="26"/>
      <c r="RYI221" s="23"/>
      <c r="RYN221" s="26"/>
      <c r="RYR221" s="23"/>
      <c r="RYW221" s="26"/>
      <c r="RZA221" s="23"/>
      <c r="RZF221" s="26"/>
      <c r="RZJ221" s="23"/>
      <c r="RZO221" s="26"/>
      <c r="RZS221" s="23"/>
      <c r="RZX221" s="26"/>
      <c r="SAB221" s="23"/>
      <c r="SAG221" s="26"/>
      <c r="SAK221" s="23"/>
      <c r="SAP221" s="26"/>
      <c r="SAT221" s="23"/>
      <c r="SAY221" s="26"/>
      <c r="SBC221" s="23"/>
      <c r="SBH221" s="26"/>
      <c r="SBL221" s="23"/>
      <c r="SBQ221" s="26"/>
      <c r="SBU221" s="23"/>
      <c r="SBZ221" s="26"/>
      <c r="SCD221" s="23"/>
      <c r="SCI221" s="26"/>
      <c r="SCM221" s="23"/>
      <c r="SCR221" s="26"/>
      <c r="SCV221" s="23"/>
      <c r="SDA221" s="26"/>
      <c r="SDE221" s="23"/>
      <c r="SDJ221" s="26"/>
      <c r="SDN221" s="23"/>
      <c r="SDS221" s="26"/>
      <c r="SDW221" s="23"/>
      <c r="SEB221" s="26"/>
      <c r="SEF221" s="23"/>
      <c r="SEK221" s="26"/>
      <c r="SEO221" s="23"/>
      <c r="SET221" s="26"/>
      <c r="SEX221" s="23"/>
      <c r="SFC221" s="26"/>
      <c r="SFG221" s="23"/>
      <c r="SFL221" s="26"/>
      <c r="SFP221" s="23"/>
      <c r="SFU221" s="26"/>
      <c r="SFY221" s="23"/>
      <c r="SGD221" s="26"/>
      <c r="SGH221" s="23"/>
      <c r="SGM221" s="26"/>
      <c r="SGQ221" s="23"/>
      <c r="SGV221" s="26"/>
      <c r="SGZ221" s="23"/>
      <c r="SHE221" s="26"/>
      <c r="SHI221" s="23"/>
      <c r="SHN221" s="26"/>
      <c r="SHR221" s="23"/>
      <c r="SHW221" s="26"/>
      <c r="SIA221" s="23"/>
      <c r="SIF221" s="26"/>
      <c r="SIJ221" s="23"/>
      <c r="SIO221" s="26"/>
      <c r="SIS221" s="23"/>
      <c r="SIX221" s="26"/>
      <c r="SJB221" s="23"/>
      <c r="SJG221" s="26"/>
      <c r="SJK221" s="23"/>
      <c r="SJP221" s="26"/>
      <c r="SJT221" s="23"/>
      <c r="SJY221" s="26"/>
      <c r="SKC221" s="23"/>
      <c r="SKH221" s="26"/>
      <c r="SKL221" s="23"/>
      <c r="SKQ221" s="26"/>
      <c r="SKU221" s="23"/>
      <c r="SKZ221" s="26"/>
      <c r="SLD221" s="23"/>
      <c r="SLI221" s="26"/>
      <c r="SLM221" s="23"/>
      <c r="SLR221" s="26"/>
      <c r="SLV221" s="23"/>
      <c r="SMA221" s="26"/>
      <c r="SME221" s="23"/>
      <c r="SMJ221" s="26"/>
      <c r="SMN221" s="23"/>
      <c r="SMS221" s="26"/>
      <c r="SMW221" s="23"/>
      <c r="SNB221" s="26"/>
      <c r="SNF221" s="23"/>
      <c r="SNK221" s="26"/>
      <c r="SNO221" s="23"/>
      <c r="SNT221" s="26"/>
      <c r="SNX221" s="23"/>
      <c r="SOC221" s="26"/>
      <c r="SOG221" s="23"/>
      <c r="SOL221" s="26"/>
      <c r="SOP221" s="23"/>
      <c r="SOU221" s="26"/>
      <c r="SOY221" s="23"/>
      <c r="SPD221" s="26"/>
      <c r="SPH221" s="23"/>
      <c r="SPM221" s="26"/>
      <c r="SPQ221" s="23"/>
      <c r="SPV221" s="26"/>
      <c r="SPZ221" s="23"/>
      <c r="SQE221" s="26"/>
      <c r="SQI221" s="23"/>
      <c r="SQN221" s="26"/>
      <c r="SQR221" s="23"/>
      <c r="SQW221" s="26"/>
      <c r="SRA221" s="23"/>
      <c r="SRF221" s="26"/>
      <c r="SRJ221" s="23"/>
      <c r="SRO221" s="26"/>
      <c r="SRS221" s="23"/>
      <c r="SRX221" s="26"/>
      <c r="SSB221" s="23"/>
      <c r="SSG221" s="26"/>
      <c r="SSK221" s="23"/>
      <c r="SSP221" s="26"/>
      <c r="SST221" s="23"/>
      <c r="SSY221" s="26"/>
      <c r="STC221" s="23"/>
      <c r="STH221" s="26"/>
      <c r="STL221" s="23"/>
      <c r="STQ221" s="26"/>
      <c r="STU221" s="23"/>
      <c r="STZ221" s="26"/>
      <c r="SUD221" s="23"/>
      <c r="SUI221" s="26"/>
      <c r="SUM221" s="23"/>
      <c r="SUR221" s="26"/>
      <c r="SUV221" s="23"/>
      <c r="SVA221" s="26"/>
      <c r="SVE221" s="23"/>
      <c r="SVJ221" s="26"/>
      <c r="SVN221" s="23"/>
      <c r="SVS221" s="26"/>
      <c r="SVW221" s="23"/>
      <c r="SWB221" s="26"/>
      <c r="SWF221" s="23"/>
      <c r="SWK221" s="26"/>
      <c r="SWO221" s="23"/>
      <c r="SWT221" s="26"/>
      <c r="SWX221" s="23"/>
      <c r="SXC221" s="26"/>
      <c r="SXG221" s="23"/>
      <c r="SXL221" s="26"/>
      <c r="SXP221" s="23"/>
      <c r="SXU221" s="26"/>
      <c r="SXY221" s="23"/>
      <c r="SYD221" s="26"/>
      <c r="SYH221" s="23"/>
      <c r="SYM221" s="26"/>
      <c r="SYQ221" s="23"/>
      <c r="SYV221" s="26"/>
      <c r="SYZ221" s="23"/>
      <c r="SZE221" s="26"/>
      <c r="SZI221" s="23"/>
      <c r="SZN221" s="26"/>
      <c r="SZR221" s="23"/>
      <c r="SZW221" s="26"/>
      <c r="TAA221" s="23"/>
      <c r="TAF221" s="26"/>
      <c r="TAJ221" s="23"/>
      <c r="TAO221" s="26"/>
      <c r="TAS221" s="23"/>
      <c r="TAX221" s="26"/>
      <c r="TBB221" s="23"/>
      <c r="TBG221" s="26"/>
      <c r="TBK221" s="23"/>
      <c r="TBP221" s="26"/>
      <c r="TBT221" s="23"/>
      <c r="TBY221" s="26"/>
      <c r="TCC221" s="23"/>
      <c r="TCH221" s="26"/>
      <c r="TCL221" s="23"/>
      <c r="TCQ221" s="26"/>
      <c r="TCU221" s="23"/>
      <c r="TCZ221" s="26"/>
      <c r="TDD221" s="23"/>
      <c r="TDI221" s="26"/>
      <c r="TDM221" s="23"/>
      <c r="TDR221" s="26"/>
      <c r="TDV221" s="23"/>
      <c r="TEA221" s="26"/>
      <c r="TEE221" s="23"/>
      <c r="TEJ221" s="26"/>
      <c r="TEN221" s="23"/>
      <c r="TES221" s="26"/>
      <c r="TEW221" s="23"/>
      <c r="TFB221" s="26"/>
      <c r="TFF221" s="23"/>
      <c r="TFK221" s="26"/>
      <c r="TFO221" s="23"/>
      <c r="TFT221" s="26"/>
      <c r="TFX221" s="23"/>
      <c r="TGC221" s="26"/>
      <c r="TGG221" s="23"/>
      <c r="TGL221" s="26"/>
      <c r="TGP221" s="23"/>
      <c r="TGU221" s="26"/>
      <c r="TGY221" s="23"/>
      <c r="THD221" s="26"/>
      <c r="THH221" s="23"/>
      <c r="THM221" s="26"/>
      <c r="THQ221" s="23"/>
      <c r="THV221" s="26"/>
      <c r="THZ221" s="23"/>
      <c r="TIE221" s="26"/>
      <c r="TII221" s="23"/>
      <c r="TIN221" s="26"/>
      <c r="TIR221" s="23"/>
      <c r="TIW221" s="26"/>
      <c r="TJA221" s="23"/>
      <c r="TJF221" s="26"/>
      <c r="TJJ221" s="23"/>
      <c r="TJO221" s="26"/>
      <c r="TJS221" s="23"/>
      <c r="TJX221" s="26"/>
      <c r="TKB221" s="23"/>
      <c r="TKG221" s="26"/>
      <c r="TKK221" s="23"/>
      <c r="TKP221" s="26"/>
      <c r="TKT221" s="23"/>
      <c r="TKY221" s="26"/>
      <c r="TLC221" s="23"/>
      <c r="TLH221" s="26"/>
      <c r="TLL221" s="23"/>
      <c r="TLQ221" s="26"/>
      <c r="TLU221" s="23"/>
      <c r="TLZ221" s="26"/>
      <c r="TMD221" s="23"/>
      <c r="TMI221" s="26"/>
      <c r="TMM221" s="23"/>
      <c r="TMR221" s="26"/>
      <c r="TMV221" s="23"/>
      <c r="TNA221" s="26"/>
      <c r="TNE221" s="23"/>
      <c r="TNJ221" s="26"/>
      <c r="TNN221" s="23"/>
      <c r="TNS221" s="26"/>
      <c r="TNW221" s="23"/>
      <c r="TOB221" s="26"/>
      <c r="TOF221" s="23"/>
      <c r="TOK221" s="26"/>
      <c r="TOO221" s="23"/>
      <c r="TOT221" s="26"/>
      <c r="TOX221" s="23"/>
      <c r="TPC221" s="26"/>
      <c r="TPG221" s="23"/>
      <c r="TPL221" s="26"/>
      <c r="TPP221" s="23"/>
      <c r="TPU221" s="26"/>
      <c r="TPY221" s="23"/>
      <c r="TQD221" s="26"/>
      <c r="TQH221" s="23"/>
      <c r="TQM221" s="26"/>
      <c r="TQQ221" s="23"/>
      <c r="TQV221" s="26"/>
      <c r="TQZ221" s="23"/>
      <c r="TRE221" s="26"/>
      <c r="TRI221" s="23"/>
      <c r="TRN221" s="26"/>
      <c r="TRR221" s="23"/>
      <c r="TRW221" s="26"/>
      <c r="TSA221" s="23"/>
      <c r="TSF221" s="26"/>
      <c r="TSJ221" s="23"/>
      <c r="TSO221" s="26"/>
      <c r="TSS221" s="23"/>
      <c r="TSX221" s="26"/>
      <c r="TTB221" s="23"/>
      <c r="TTG221" s="26"/>
      <c r="TTK221" s="23"/>
      <c r="TTP221" s="26"/>
      <c r="TTT221" s="23"/>
      <c r="TTY221" s="26"/>
      <c r="TUC221" s="23"/>
      <c r="TUH221" s="26"/>
      <c r="TUL221" s="23"/>
      <c r="TUQ221" s="26"/>
      <c r="TUU221" s="23"/>
      <c r="TUZ221" s="26"/>
      <c r="TVD221" s="23"/>
      <c r="TVI221" s="26"/>
      <c r="TVM221" s="23"/>
      <c r="TVR221" s="26"/>
      <c r="TVV221" s="23"/>
      <c r="TWA221" s="26"/>
      <c r="TWE221" s="23"/>
      <c r="TWJ221" s="26"/>
      <c r="TWN221" s="23"/>
      <c r="TWS221" s="26"/>
      <c r="TWW221" s="23"/>
      <c r="TXB221" s="26"/>
      <c r="TXF221" s="23"/>
      <c r="TXK221" s="26"/>
      <c r="TXO221" s="23"/>
      <c r="TXT221" s="26"/>
      <c r="TXX221" s="23"/>
      <c r="TYC221" s="26"/>
      <c r="TYG221" s="23"/>
      <c r="TYL221" s="26"/>
      <c r="TYP221" s="23"/>
      <c r="TYU221" s="26"/>
      <c r="TYY221" s="23"/>
      <c r="TZD221" s="26"/>
      <c r="TZH221" s="23"/>
      <c r="TZM221" s="26"/>
      <c r="TZQ221" s="23"/>
      <c r="TZV221" s="26"/>
      <c r="TZZ221" s="23"/>
      <c r="UAE221" s="26"/>
      <c r="UAI221" s="23"/>
      <c r="UAN221" s="26"/>
      <c r="UAR221" s="23"/>
      <c r="UAW221" s="26"/>
      <c r="UBA221" s="23"/>
      <c r="UBF221" s="26"/>
      <c r="UBJ221" s="23"/>
      <c r="UBO221" s="26"/>
      <c r="UBS221" s="23"/>
      <c r="UBX221" s="26"/>
      <c r="UCB221" s="23"/>
      <c r="UCG221" s="26"/>
      <c r="UCK221" s="23"/>
      <c r="UCP221" s="26"/>
      <c r="UCT221" s="23"/>
      <c r="UCY221" s="26"/>
      <c r="UDC221" s="23"/>
      <c r="UDH221" s="26"/>
      <c r="UDL221" s="23"/>
      <c r="UDQ221" s="26"/>
      <c r="UDU221" s="23"/>
      <c r="UDZ221" s="26"/>
      <c r="UED221" s="23"/>
      <c r="UEI221" s="26"/>
      <c r="UEM221" s="23"/>
      <c r="UER221" s="26"/>
      <c r="UEV221" s="23"/>
      <c r="UFA221" s="26"/>
      <c r="UFE221" s="23"/>
      <c r="UFJ221" s="26"/>
      <c r="UFN221" s="23"/>
      <c r="UFS221" s="26"/>
      <c r="UFW221" s="23"/>
      <c r="UGB221" s="26"/>
      <c r="UGF221" s="23"/>
      <c r="UGK221" s="26"/>
      <c r="UGO221" s="23"/>
      <c r="UGT221" s="26"/>
      <c r="UGX221" s="23"/>
      <c r="UHC221" s="26"/>
      <c r="UHG221" s="23"/>
      <c r="UHL221" s="26"/>
      <c r="UHP221" s="23"/>
      <c r="UHU221" s="26"/>
      <c r="UHY221" s="23"/>
      <c r="UID221" s="26"/>
      <c r="UIH221" s="23"/>
      <c r="UIM221" s="26"/>
      <c r="UIQ221" s="23"/>
      <c r="UIV221" s="26"/>
      <c r="UIZ221" s="23"/>
      <c r="UJE221" s="26"/>
      <c r="UJI221" s="23"/>
      <c r="UJN221" s="26"/>
      <c r="UJR221" s="23"/>
      <c r="UJW221" s="26"/>
      <c r="UKA221" s="23"/>
      <c r="UKF221" s="26"/>
      <c r="UKJ221" s="23"/>
      <c r="UKO221" s="26"/>
      <c r="UKS221" s="23"/>
      <c r="UKX221" s="26"/>
      <c r="ULB221" s="23"/>
      <c r="ULG221" s="26"/>
      <c r="ULK221" s="23"/>
      <c r="ULP221" s="26"/>
      <c r="ULT221" s="23"/>
      <c r="ULY221" s="26"/>
      <c r="UMC221" s="23"/>
      <c r="UMH221" s="26"/>
      <c r="UML221" s="23"/>
      <c r="UMQ221" s="26"/>
      <c r="UMU221" s="23"/>
      <c r="UMZ221" s="26"/>
      <c r="UND221" s="23"/>
      <c r="UNI221" s="26"/>
      <c r="UNM221" s="23"/>
      <c r="UNR221" s="26"/>
      <c r="UNV221" s="23"/>
      <c r="UOA221" s="26"/>
      <c r="UOE221" s="23"/>
      <c r="UOJ221" s="26"/>
      <c r="UON221" s="23"/>
      <c r="UOS221" s="26"/>
      <c r="UOW221" s="23"/>
      <c r="UPB221" s="26"/>
      <c r="UPF221" s="23"/>
      <c r="UPK221" s="26"/>
      <c r="UPO221" s="23"/>
      <c r="UPT221" s="26"/>
      <c r="UPX221" s="23"/>
      <c r="UQC221" s="26"/>
      <c r="UQG221" s="23"/>
      <c r="UQL221" s="26"/>
      <c r="UQP221" s="23"/>
      <c r="UQU221" s="26"/>
      <c r="UQY221" s="23"/>
      <c r="URD221" s="26"/>
      <c r="URH221" s="23"/>
      <c r="URM221" s="26"/>
      <c r="URQ221" s="23"/>
      <c r="URV221" s="26"/>
      <c r="URZ221" s="23"/>
      <c r="USE221" s="26"/>
      <c r="USI221" s="23"/>
      <c r="USN221" s="26"/>
      <c r="USR221" s="23"/>
      <c r="USW221" s="26"/>
      <c r="UTA221" s="23"/>
      <c r="UTF221" s="26"/>
      <c r="UTJ221" s="23"/>
      <c r="UTO221" s="26"/>
      <c r="UTS221" s="23"/>
      <c r="UTX221" s="26"/>
      <c r="UUB221" s="23"/>
      <c r="UUG221" s="26"/>
      <c r="UUK221" s="23"/>
      <c r="UUP221" s="26"/>
      <c r="UUT221" s="23"/>
      <c r="UUY221" s="26"/>
      <c r="UVC221" s="23"/>
      <c r="UVH221" s="26"/>
      <c r="UVL221" s="23"/>
      <c r="UVQ221" s="26"/>
      <c r="UVU221" s="23"/>
      <c r="UVZ221" s="26"/>
      <c r="UWD221" s="23"/>
      <c r="UWI221" s="26"/>
      <c r="UWM221" s="23"/>
      <c r="UWR221" s="26"/>
      <c r="UWV221" s="23"/>
      <c r="UXA221" s="26"/>
      <c r="UXE221" s="23"/>
      <c r="UXJ221" s="26"/>
      <c r="UXN221" s="23"/>
      <c r="UXS221" s="26"/>
      <c r="UXW221" s="23"/>
      <c r="UYB221" s="26"/>
      <c r="UYF221" s="23"/>
      <c r="UYK221" s="26"/>
      <c r="UYO221" s="23"/>
      <c r="UYT221" s="26"/>
      <c r="UYX221" s="23"/>
      <c r="UZC221" s="26"/>
      <c r="UZG221" s="23"/>
      <c r="UZL221" s="26"/>
      <c r="UZP221" s="23"/>
      <c r="UZU221" s="26"/>
      <c r="UZY221" s="23"/>
      <c r="VAD221" s="26"/>
      <c r="VAH221" s="23"/>
      <c r="VAM221" s="26"/>
      <c r="VAQ221" s="23"/>
      <c r="VAV221" s="26"/>
      <c r="VAZ221" s="23"/>
      <c r="VBE221" s="26"/>
      <c r="VBI221" s="23"/>
      <c r="VBN221" s="26"/>
      <c r="VBR221" s="23"/>
      <c r="VBW221" s="26"/>
      <c r="VCA221" s="23"/>
      <c r="VCF221" s="26"/>
      <c r="VCJ221" s="23"/>
      <c r="VCO221" s="26"/>
      <c r="VCS221" s="23"/>
      <c r="VCX221" s="26"/>
      <c r="VDB221" s="23"/>
      <c r="VDG221" s="26"/>
      <c r="VDK221" s="23"/>
      <c r="VDP221" s="26"/>
      <c r="VDT221" s="23"/>
      <c r="VDY221" s="26"/>
      <c r="VEC221" s="23"/>
      <c r="VEH221" s="26"/>
      <c r="VEL221" s="23"/>
      <c r="VEQ221" s="26"/>
      <c r="VEU221" s="23"/>
      <c r="VEZ221" s="26"/>
      <c r="VFD221" s="23"/>
      <c r="VFI221" s="26"/>
      <c r="VFM221" s="23"/>
      <c r="VFR221" s="26"/>
      <c r="VFV221" s="23"/>
      <c r="VGA221" s="26"/>
      <c r="VGE221" s="23"/>
      <c r="VGJ221" s="26"/>
      <c r="VGN221" s="23"/>
      <c r="VGS221" s="26"/>
      <c r="VGW221" s="23"/>
      <c r="VHB221" s="26"/>
      <c r="VHF221" s="23"/>
      <c r="VHK221" s="26"/>
      <c r="VHO221" s="23"/>
      <c r="VHT221" s="26"/>
      <c r="VHX221" s="23"/>
      <c r="VIC221" s="26"/>
      <c r="VIG221" s="23"/>
      <c r="VIL221" s="26"/>
      <c r="VIP221" s="23"/>
      <c r="VIU221" s="26"/>
      <c r="VIY221" s="23"/>
      <c r="VJD221" s="26"/>
      <c r="VJH221" s="23"/>
      <c r="VJM221" s="26"/>
      <c r="VJQ221" s="23"/>
      <c r="VJV221" s="26"/>
      <c r="VJZ221" s="23"/>
      <c r="VKE221" s="26"/>
      <c r="VKI221" s="23"/>
      <c r="VKN221" s="26"/>
      <c r="VKR221" s="23"/>
      <c r="VKW221" s="26"/>
      <c r="VLA221" s="23"/>
      <c r="VLF221" s="26"/>
      <c r="VLJ221" s="23"/>
      <c r="VLO221" s="26"/>
      <c r="VLS221" s="23"/>
      <c r="VLX221" s="26"/>
      <c r="VMB221" s="23"/>
      <c r="VMG221" s="26"/>
      <c r="VMK221" s="23"/>
      <c r="VMP221" s="26"/>
      <c r="VMT221" s="23"/>
      <c r="VMY221" s="26"/>
      <c r="VNC221" s="23"/>
      <c r="VNH221" s="26"/>
      <c r="VNL221" s="23"/>
      <c r="VNQ221" s="26"/>
      <c r="VNU221" s="23"/>
      <c r="VNZ221" s="26"/>
      <c r="VOD221" s="23"/>
      <c r="VOI221" s="26"/>
      <c r="VOM221" s="23"/>
      <c r="VOR221" s="26"/>
      <c r="VOV221" s="23"/>
      <c r="VPA221" s="26"/>
      <c r="VPE221" s="23"/>
      <c r="VPJ221" s="26"/>
      <c r="VPN221" s="23"/>
      <c r="VPS221" s="26"/>
      <c r="VPW221" s="23"/>
      <c r="VQB221" s="26"/>
      <c r="VQF221" s="23"/>
      <c r="VQK221" s="26"/>
      <c r="VQO221" s="23"/>
      <c r="VQT221" s="26"/>
      <c r="VQX221" s="23"/>
      <c r="VRC221" s="26"/>
      <c r="VRG221" s="23"/>
      <c r="VRL221" s="26"/>
      <c r="VRP221" s="23"/>
      <c r="VRU221" s="26"/>
      <c r="VRY221" s="23"/>
      <c r="VSD221" s="26"/>
      <c r="VSH221" s="23"/>
      <c r="VSM221" s="26"/>
      <c r="VSQ221" s="23"/>
      <c r="VSV221" s="26"/>
      <c r="VSZ221" s="23"/>
      <c r="VTE221" s="26"/>
      <c r="VTI221" s="23"/>
      <c r="VTN221" s="26"/>
      <c r="VTR221" s="23"/>
      <c r="VTW221" s="26"/>
      <c r="VUA221" s="23"/>
      <c r="VUF221" s="26"/>
      <c r="VUJ221" s="23"/>
      <c r="VUO221" s="26"/>
      <c r="VUS221" s="23"/>
      <c r="VUX221" s="26"/>
      <c r="VVB221" s="23"/>
      <c r="VVG221" s="26"/>
      <c r="VVK221" s="23"/>
      <c r="VVP221" s="26"/>
      <c r="VVT221" s="23"/>
      <c r="VVY221" s="26"/>
      <c r="VWC221" s="23"/>
      <c r="VWH221" s="26"/>
      <c r="VWL221" s="23"/>
      <c r="VWQ221" s="26"/>
      <c r="VWU221" s="23"/>
      <c r="VWZ221" s="26"/>
      <c r="VXD221" s="23"/>
      <c r="VXI221" s="26"/>
      <c r="VXM221" s="23"/>
      <c r="VXR221" s="26"/>
      <c r="VXV221" s="23"/>
      <c r="VYA221" s="26"/>
      <c r="VYE221" s="23"/>
      <c r="VYJ221" s="26"/>
      <c r="VYN221" s="23"/>
      <c r="VYS221" s="26"/>
      <c r="VYW221" s="23"/>
      <c r="VZB221" s="26"/>
      <c r="VZF221" s="23"/>
      <c r="VZK221" s="26"/>
      <c r="VZO221" s="23"/>
      <c r="VZT221" s="26"/>
      <c r="VZX221" s="23"/>
      <c r="WAC221" s="26"/>
      <c r="WAG221" s="23"/>
      <c r="WAL221" s="26"/>
      <c r="WAP221" s="23"/>
      <c r="WAU221" s="26"/>
      <c r="WAY221" s="23"/>
      <c r="WBD221" s="26"/>
      <c r="WBH221" s="23"/>
      <c r="WBM221" s="26"/>
      <c r="WBQ221" s="23"/>
      <c r="WBV221" s="26"/>
      <c r="WBZ221" s="23"/>
      <c r="WCE221" s="26"/>
      <c r="WCI221" s="23"/>
      <c r="WCN221" s="26"/>
      <c r="WCR221" s="23"/>
      <c r="WCW221" s="26"/>
      <c r="WDA221" s="23"/>
      <c r="WDF221" s="26"/>
      <c r="WDJ221" s="23"/>
      <c r="WDO221" s="26"/>
      <c r="WDS221" s="23"/>
      <c r="WDX221" s="26"/>
      <c r="WEB221" s="23"/>
      <c r="WEG221" s="26"/>
      <c r="WEK221" s="23"/>
      <c r="WEP221" s="26"/>
      <c r="WET221" s="23"/>
      <c r="WEY221" s="26"/>
      <c r="WFC221" s="23"/>
      <c r="WFH221" s="26"/>
      <c r="WFL221" s="23"/>
      <c r="WFQ221" s="26"/>
      <c r="WFU221" s="23"/>
      <c r="WFZ221" s="26"/>
      <c r="WGD221" s="23"/>
      <c r="WGI221" s="26"/>
      <c r="WGM221" s="23"/>
      <c r="WGR221" s="26"/>
      <c r="WGV221" s="23"/>
      <c r="WHA221" s="26"/>
      <c r="WHE221" s="23"/>
      <c r="WHJ221" s="26"/>
      <c r="WHN221" s="23"/>
      <c r="WHS221" s="26"/>
      <c r="WHW221" s="23"/>
      <c r="WIB221" s="26"/>
      <c r="WIF221" s="23"/>
      <c r="WIK221" s="26"/>
      <c r="WIO221" s="23"/>
      <c r="WIT221" s="26"/>
      <c r="WIX221" s="23"/>
      <c r="WJC221" s="26"/>
      <c r="WJG221" s="23"/>
      <c r="WJL221" s="26"/>
      <c r="WJP221" s="23"/>
      <c r="WJU221" s="26"/>
      <c r="WJY221" s="23"/>
      <c r="WKD221" s="26"/>
      <c r="WKH221" s="23"/>
      <c r="WKM221" s="26"/>
      <c r="WKQ221" s="23"/>
      <c r="WKV221" s="26"/>
      <c r="WKZ221" s="23"/>
      <c r="WLE221" s="26"/>
      <c r="WLI221" s="23"/>
      <c r="WLN221" s="26"/>
      <c r="WLR221" s="23"/>
      <c r="WLW221" s="26"/>
      <c r="WMA221" s="23"/>
      <c r="WMF221" s="26"/>
      <c r="WMJ221" s="23"/>
      <c r="WMO221" s="26"/>
      <c r="WMS221" s="23"/>
      <c r="WMX221" s="26"/>
      <c r="WNB221" s="23"/>
      <c r="WNG221" s="26"/>
      <c r="WNK221" s="23"/>
      <c r="WNP221" s="26"/>
      <c r="WNT221" s="23"/>
      <c r="WNY221" s="26"/>
      <c r="WOC221" s="23"/>
      <c r="WOH221" s="26"/>
      <c r="WOL221" s="23"/>
      <c r="WOQ221" s="26"/>
      <c r="WOU221" s="23"/>
      <c r="WOZ221" s="26"/>
      <c r="WPD221" s="23"/>
      <c r="WPI221" s="26"/>
      <c r="WPM221" s="23"/>
      <c r="WPR221" s="26"/>
      <c r="WPV221" s="23"/>
      <c r="WQA221" s="26"/>
      <c r="WQE221" s="23"/>
      <c r="WQJ221" s="26"/>
      <c r="WQN221" s="23"/>
      <c r="WQS221" s="26"/>
      <c r="WQW221" s="23"/>
      <c r="WRB221" s="26"/>
      <c r="WRF221" s="23"/>
      <c r="WRK221" s="26"/>
      <c r="WRO221" s="23"/>
      <c r="WRT221" s="26"/>
      <c r="WRX221" s="23"/>
      <c r="WSC221" s="26"/>
      <c r="WSG221" s="23"/>
      <c r="WSL221" s="26"/>
      <c r="WSP221" s="23"/>
      <c r="WSU221" s="26"/>
      <c r="WSY221" s="23"/>
      <c r="WTD221" s="26"/>
      <c r="WTH221" s="23"/>
      <c r="WTM221" s="26"/>
      <c r="WTQ221" s="23"/>
      <c r="WTV221" s="26"/>
      <c r="WTZ221" s="23"/>
      <c r="WUE221" s="26"/>
      <c r="WUI221" s="23"/>
      <c r="WUN221" s="26"/>
      <c r="WUR221" s="23"/>
      <c r="WUW221" s="26"/>
      <c r="WVA221" s="23"/>
      <c r="WVF221" s="26"/>
      <c r="WVJ221" s="23"/>
      <c r="WVO221" s="26"/>
      <c r="WVS221" s="23"/>
      <c r="WVX221" s="26"/>
      <c r="WWB221" s="23"/>
      <c r="WWG221" s="26"/>
      <c r="WWK221" s="23"/>
      <c r="WWP221" s="26"/>
      <c r="WWT221" s="23"/>
      <c r="WWY221" s="26"/>
      <c r="WXC221" s="23"/>
      <c r="WXH221" s="26"/>
      <c r="WXL221" s="23"/>
      <c r="WXQ221" s="26"/>
      <c r="WXU221" s="23"/>
      <c r="WXZ221" s="26"/>
      <c r="WYD221" s="23"/>
      <c r="WYI221" s="26"/>
      <c r="WYM221" s="23"/>
      <c r="WYR221" s="26"/>
      <c r="WYV221" s="23"/>
      <c r="WZA221" s="26"/>
      <c r="WZE221" s="23"/>
      <c r="WZJ221" s="26"/>
      <c r="WZN221" s="23"/>
      <c r="WZS221" s="26"/>
      <c r="WZW221" s="23"/>
      <c r="XAB221" s="26"/>
      <c r="XAF221" s="23"/>
      <c r="XAK221" s="26"/>
      <c r="XAO221" s="23"/>
      <c r="XAT221" s="26"/>
      <c r="XAX221" s="23"/>
      <c r="XBC221" s="26"/>
      <c r="XBG221" s="23"/>
      <c r="XBL221" s="26"/>
      <c r="XBP221" s="23"/>
      <c r="XBU221" s="26"/>
      <c r="XBY221" s="23"/>
      <c r="XCD221" s="26"/>
      <c r="XCH221" s="23"/>
      <c r="XCM221" s="26"/>
      <c r="XCQ221" s="23"/>
      <c r="XCV221" s="26"/>
      <c r="XCZ221" s="23"/>
      <c r="XDE221" s="26"/>
      <c r="XDI221" s="23"/>
      <c r="XDN221" s="26"/>
      <c r="XDR221" s="23"/>
      <c r="XDW221" s="26"/>
      <c r="XEA221" s="23"/>
      <c r="XEF221" s="26"/>
      <c r="XEJ221" s="23"/>
      <c r="XEO221" s="26"/>
      <c r="XES221" s="23"/>
      <c r="XEX221" s="26"/>
      <c r="XFB221" s="23"/>
    </row>
    <row r="222" spans="1:1024 1028:2045 2050:3071 3076:4093 4097:5119 5123:6140 6145:7166 7171:8192 8197:9214 9218:10240 10244:11261 11266:12287 12292:13309 13313:14335 14339:15356 15361:16382" x14ac:dyDescent="0.3">
      <c r="B222" s="23"/>
      <c r="K222" s="23"/>
      <c r="P222" s="26"/>
      <c r="T222" s="23"/>
      <c r="Y222" s="26"/>
      <c r="AC222" s="23"/>
      <c r="AH222" s="26"/>
      <c r="AL222" s="23"/>
      <c r="AQ222" s="26"/>
      <c r="AU222" s="23"/>
      <c r="AZ222" s="26"/>
      <c r="BD222" s="23"/>
      <c r="BI222" s="26"/>
      <c r="BM222" s="23"/>
      <c r="BR222" s="26"/>
      <c r="BV222" s="23"/>
      <c r="CA222" s="26"/>
      <c r="CE222" s="23"/>
      <c r="CJ222" s="26"/>
      <c r="CN222" s="23"/>
      <c r="CS222" s="26"/>
      <c r="CW222" s="23"/>
      <c r="DB222" s="26"/>
      <c r="DF222" s="23"/>
      <c r="DK222" s="26"/>
      <c r="DO222" s="23"/>
      <c r="DT222" s="26"/>
      <c r="DX222" s="23"/>
      <c r="EC222" s="26"/>
      <c r="EG222" s="23"/>
      <c r="EL222" s="26"/>
      <c r="EP222" s="23"/>
      <c r="EU222" s="26"/>
      <c r="EY222" s="23"/>
      <c r="FD222" s="26"/>
      <c r="FH222" s="23"/>
      <c r="FM222" s="26"/>
      <c r="FQ222" s="23"/>
      <c r="FV222" s="26"/>
      <c r="FZ222" s="23"/>
      <c r="GE222" s="26"/>
      <c r="GI222" s="23"/>
      <c r="GN222" s="26"/>
      <c r="GR222" s="23"/>
      <c r="GW222" s="26"/>
      <c r="HA222" s="23"/>
      <c r="HF222" s="26"/>
      <c r="HJ222" s="23"/>
      <c r="HO222" s="26"/>
      <c r="HS222" s="23"/>
      <c r="HX222" s="26"/>
      <c r="IB222" s="23"/>
      <c r="IG222" s="26"/>
      <c r="IK222" s="23"/>
      <c r="IP222" s="26"/>
      <c r="IT222" s="23"/>
      <c r="IY222" s="26"/>
      <c r="JC222" s="23"/>
      <c r="JH222" s="26"/>
      <c r="JL222" s="23"/>
      <c r="JQ222" s="26"/>
      <c r="JU222" s="23"/>
      <c r="JZ222" s="26"/>
      <c r="KD222" s="23"/>
      <c r="KI222" s="26"/>
      <c r="KM222" s="23"/>
      <c r="KR222" s="26"/>
      <c r="KV222" s="23"/>
      <c r="LA222" s="26"/>
      <c r="LE222" s="23"/>
      <c r="LJ222" s="26"/>
      <c r="LN222" s="23"/>
      <c r="LS222" s="26"/>
      <c r="LW222" s="23"/>
      <c r="MB222" s="26"/>
      <c r="MF222" s="23"/>
      <c r="MK222" s="26"/>
      <c r="MO222" s="23"/>
      <c r="MT222" s="26"/>
      <c r="MX222" s="23"/>
      <c r="NC222" s="26"/>
      <c r="NG222" s="23"/>
      <c r="NL222" s="26"/>
      <c r="NP222" s="23"/>
      <c r="NU222" s="26"/>
      <c r="NY222" s="23"/>
      <c r="OD222" s="26"/>
      <c r="OH222" s="23"/>
      <c r="OM222" s="26"/>
      <c r="OQ222" s="23"/>
      <c r="OV222" s="26"/>
      <c r="OZ222" s="23"/>
      <c r="PE222" s="26"/>
      <c r="PI222" s="23"/>
      <c r="PN222" s="26"/>
      <c r="PR222" s="23"/>
      <c r="PW222" s="26"/>
      <c r="QA222" s="23"/>
      <c r="QF222" s="26"/>
      <c r="QJ222" s="23"/>
      <c r="QO222" s="26"/>
      <c r="QS222" s="23"/>
      <c r="QX222" s="26"/>
      <c r="RB222" s="23"/>
      <c r="RG222" s="26"/>
      <c r="RK222" s="23"/>
      <c r="RP222" s="26"/>
      <c r="RT222" s="23"/>
      <c r="RY222" s="26"/>
      <c r="SC222" s="23"/>
      <c r="SH222" s="26"/>
      <c r="SL222" s="23"/>
      <c r="SQ222" s="26"/>
      <c r="SU222" s="23"/>
      <c r="SZ222" s="26"/>
      <c r="TD222" s="23"/>
      <c r="TI222" s="26"/>
      <c r="TM222" s="23"/>
      <c r="TR222" s="26"/>
      <c r="TV222" s="23"/>
      <c r="UA222" s="26"/>
      <c r="UE222" s="23"/>
      <c r="UJ222" s="26"/>
      <c r="UN222" s="23"/>
      <c r="US222" s="26"/>
      <c r="UW222" s="23"/>
      <c r="VB222" s="26"/>
      <c r="VF222" s="23"/>
      <c r="VK222" s="26"/>
      <c r="VO222" s="23"/>
      <c r="VT222" s="26"/>
      <c r="VX222" s="23"/>
      <c r="WC222" s="26"/>
      <c r="WG222" s="23"/>
      <c r="WL222" s="26"/>
      <c r="WP222" s="23"/>
      <c r="WU222" s="26"/>
      <c r="WY222" s="23"/>
      <c r="XD222" s="26"/>
      <c r="XH222" s="23"/>
      <c r="XM222" s="26"/>
      <c r="XQ222" s="23"/>
      <c r="XV222" s="26"/>
      <c r="XZ222" s="23"/>
      <c r="YE222" s="26"/>
      <c r="YI222" s="23"/>
      <c r="YN222" s="26"/>
      <c r="YR222" s="23"/>
      <c r="YW222" s="26"/>
      <c r="ZA222" s="23"/>
      <c r="ZF222" s="26"/>
      <c r="ZJ222" s="23"/>
      <c r="ZO222" s="26"/>
      <c r="ZS222" s="23"/>
      <c r="ZX222" s="26"/>
      <c r="AAB222" s="23"/>
      <c r="AAG222" s="26"/>
      <c r="AAK222" s="23"/>
      <c r="AAP222" s="26"/>
      <c r="AAT222" s="23"/>
      <c r="AAY222" s="26"/>
      <c r="ABC222" s="23"/>
      <c r="ABH222" s="26"/>
      <c r="ABL222" s="23"/>
      <c r="ABQ222" s="26"/>
      <c r="ABU222" s="23"/>
      <c r="ABZ222" s="26"/>
      <c r="ACD222" s="23"/>
      <c r="ACI222" s="26"/>
      <c r="ACM222" s="23"/>
      <c r="ACR222" s="26"/>
      <c r="ACV222" s="23"/>
      <c r="ADA222" s="26"/>
      <c r="ADE222" s="23"/>
      <c r="ADJ222" s="26"/>
      <c r="ADN222" s="23"/>
      <c r="ADS222" s="26"/>
      <c r="ADW222" s="23"/>
      <c r="AEB222" s="26"/>
      <c r="AEF222" s="23"/>
      <c r="AEK222" s="26"/>
      <c r="AEO222" s="23"/>
      <c r="AET222" s="26"/>
      <c r="AEX222" s="23"/>
      <c r="AFC222" s="26"/>
      <c r="AFG222" s="23"/>
      <c r="AFL222" s="26"/>
      <c r="AFP222" s="23"/>
      <c r="AFU222" s="26"/>
      <c r="AFY222" s="23"/>
      <c r="AGD222" s="26"/>
      <c r="AGH222" s="23"/>
      <c r="AGM222" s="26"/>
      <c r="AGQ222" s="23"/>
      <c r="AGV222" s="26"/>
      <c r="AGZ222" s="23"/>
      <c r="AHE222" s="26"/>
      <c r="AHI222" s="23"/>
      <c r="AHN222" s="26"/>
      <c r="AHR222" s="23"/>
      <c r="AHW222" s="26"/>
      <c r="AIA222" s="23"/>
      <c r="AIF222" s="26"/>
      <c r="AIJ222" s="23"/>
      <c r="AIO222" s="26"/>
      <c r="AIS222" s="23"/>
      <c r="AIX222" s="26"/>
      <c r="AJB222" s="23"/>
      <c r="AJG222" s="26"/>
      <c r="AJK222" s="23"/>
      <c r="AJP222" s="26"/>
      <c r="AJT222" s="23"/>
      <c r="AJY222" s="26"/>
      <c r="AKC222" s="23"/>
      <c r="AKH222" s="26"/>
      <c r="AKL222" s="23"/>
      <c r="AKQ222" s="26"/>
      <c r="AKU222" s="23"/>
      <c r="AKZ222" s="26"/>
      <c r="ALD222" s="23"/>
      <c r="ALI222" s="26"/>
      <c r="ALM222" s="23"/>
      <c r="ALR222" s="26"/>
      <c r="ALV222" s="23"/>
      <c r="AMA222" s="26"/>
      <c r="AME222" s="23"/>
      <c r="AMJ222" s="26"/>
      <c r="AMN222" s="23"/>
      <c r="AMS222" s="26"/>
      <c r="AMW222" s="23"/>
      <c r="ANB222" s="26"/>
      <c r="ANF222" s="23"/>
      <c r="ANK222" s="26"/>
      <c r="ANO222" s="23"/>
      <c r="ANT222" s="26"/>
      <c r="ANX222" s="23"/>
      <c r="AOC222" s="26"/>
      <c r="AOG222" s="23"/>
      <c r="AOL222" s="26"/>
      <c r="AOP222" s="23"/>
      <c r="AOU222" s="26"/>
      <c r="AOY222" s="23"/>
      <c r="APD222" s="26"/>
      <c r="APH222" s="23"/>
      <c r="APM222" s="26"/>
      <c r="APQ222" s="23"/>
      <c r="APV222" s="26"/>
      <c r="APZ222" s="23"/>
      <c r="AQE222" s="26"/>
      <c r="AQI222" s="23"/>
      <c r="AQN222" s="26"/>
      <c r="AQR222" s="23"/>
      <c r="AQW222" s="26"/>
      <c r="ARA222" s="23"/>
      <c r="ARF222" s="26"/>
      <c r="ARJ222" s="23"/>
      <c r="ARO222" s="26"/>
      <c r="ARS222" s="23"/>
      <c r="ARX222" s="26"/>
      <c r="ASB222" s="23"/>
      <c r="ASG222" s="26"/>
      <c r="ASK222" s="23"/>
      <c r="ASP222" s="26"/>
      <c r="AST222" s="23"/>
      <c r="ASY222" s="26"/>
      <c r="ATC222" s="23"/>
      <c r="ATH222" s="26"/>
      <c r="ATL222" s="23"/>
      <c r="ATQ222" s="26"/>
      <c r="ATU222" s="23"/>
      <c r="ATZ222" s="26"/>
      <c r="AUD222" s="23"/>
      <c r="AUI222" s="26"/>
      <c r="AUM222" s="23"/>
      <c r="AUR222" s="26"/>
      <c r="AUV222" s="23"/>
      <c r="AVA222" s="26"/>
      <c r="AVE222" s="23"/>
      <c r="AVJ222" s="26"/>
      <c r="AVN222" s="23"/>
      <c r="AVS222" s="26"/>
      <c r="AVW222" s="23"/>
      <c r="AWB222" s="26"/>
      <c r="AWF222" s="23"/>
      <c r="AWK222" s="26"/>
      <c r="AWO222" s="23"/>
      <c r="AWT222" s="26"/>
      <c r="AWX222" s="23"/>
      <c r="AXC222" s="26"/>
      <c r="AXG222" s="23"/>
      <c r="AXL222" s="26"/>
      <c r="AXP222" s="23"/>
      <c r="AXU222" s="26"/>
      <c r="AXY222" s="23"/>
      <c r="AYD222" s="26"/>
      <c r="AYH222" s="23"/>
      <c r="AYM222" s="26"/>
      <c r="AYQ222" s="23"/>
      <c r="AYV222" s="26"/>
      <c r="AYZ222" s="23"/>
      <c r="AZE222" s="26"/>
      <c r="AZI222" s="23"/>
      <c r="AZN222" s="26"/>
      <c r="AZR222" s="23"/>
      <c r="AZW222" s="26"/>
      <c r="BAA222" s="23"/>
      <c r="BAF222" s="26"/>
      <c r="BAJ222" s="23"/>
      <c r="BAO222" s="26"/>
      <c r="BAS222" s="23"/>
      <c r="BAX222" s="26"/>
      <c r="BBB222" s="23"/>
      <c r="BBG222" s="26"/>
      <c r="BBK222" s="23"/>
      <c r="BBP222" s="26"/>
      <c r="BBT222" s="23"/>
      <c r="BBY222" s="26"/>
      <c r="BCC222" s="23"/>
      <c r="BCH222" s="26"/>
      <c r="BCL222" s="23"/>
      <c r="BCQ222" s="26"/>
      <c r="BCU222" s="23"/>
      <c r="BCZ222" s="26"/>
      <c r="BDD222" s="23"/>
      <c r="BDI222" s="26"/>
      <c r="BDM222" s="23"/>
      <c r="BDR222" s="26"/>
      <c r="BDV222" s="23"/>
      <c r="BEA222" s="26"/>
      <c r="BEE222" s="23"/>
      <c r="BEJ222" s="26"/>
      <c r="BEN222" s="23"/>
      <c r="BES222" s="26"/>
      <c r="BEW222" s="23"/>
      <c r="BFB222" s="26"/>
      <c r="BFF222" s="23"/>
      <c r="BFK222" s="26"/>
      <c r="BFO222" s="23"/>
      <c r="BFT222" s="26"/>
      <c r="BFX222" s="23"/>
      <c r="BGC222" s="26"/>
      <c r="BGG222" s="23"/>
      <c r="BGL222" s="26"/>
      <c r="BGP222" s="23"/>
      <c r="BGU222" s="26"/>
      <c r="BGY222" s="23"/>
      <c r="BHD222" s="26"/>
      <c r="BHH222" s="23"/>
      <c r="BHM222" s="26"/>
      <c r="BHQ222" s="23"/>
      <c r="BHV222" s="26"/>
      <c r="BHZ222" s="23"/>
      <c r="BIE222" s="26"/>
      <c r="BII222" s="23"/>
      <c r="BIN222" s="26"/>
      <c r="BIR222" s="23"/>
      <c r="BIW222" s="26"/>
      <c r="BJA222" s="23"/>
      <c r="BJF222" s="26"/>
      <c r="BJJ222" s="23"/>
      <c r="BJO222" s="26"/>
      <c r="BJS222" s="23"/>
      <c r="BJX222" s="26"/>
      <c r="BKB222" s="23"/>
      <c r="BKG222" s="26"/>
      <c r="BKK222" s="23"/>
      <c r="BKP222" s="26"/>
      <c r="BKT222" s="23"/>
      <c r="BKY222" s="26"/>
      <c r="BLC222" s="23"/>
      <c r="BLH222" s="26"/>
      <c r="BLL222" s="23"/>
      <c r="BLQ222" s="26"/>
      <c r="BLU222" s="23"/>
      <c r="BLZ222" s="26"/>
      <c r="BMD222" s="23"/>
      <c r="BMI222" s="26"/>
      <c r="BMM222" s="23"/>
      <c r="BMR222" s="26"/>
      <c r="BMV222" s="23"/>
      <c r="BNA222" s="26"/>
      <c r="BNE222" s="23"/>
      <c r="BNJ222" s="26"/>
      <c r="BNN222" s="23"/>
      <c r="BNS222" s="26"/>
      <c r="BNW222" s="23"/>
      <c r="BOB222" s="26"/>
      <c r="BOF222" s="23"/>
      <c r="BOK222" s="26"/>
      <c r="BOO222" s="23"/>
      <c r="BOT222" s="26"/>
      <c r="BOX222" s="23"/>
      <c r="BPC222" s="26"/>
      <c r="BPG222" s="23"/>
      <c r="BPL222" s="26"/>
      <c r="BPP222" s="23"/>
      <c r="BPU222" s="26"/>
      <c r="BPY222" s="23"/>
      <c r="BQD222" s="26"/>
      <c r="BQH222" s="23"/>
      <c r="BQM222" s="26"/>
      <c r="BQQ222" s="23"/>
      <c r="BQV222" s="26"/>
      <c r="BQZ222" s="23"/>
      <c r="BRE222" s="26"/>
      <c r="BRI222" s="23"/>
      <c r="BRN222" s="26"/>
      <c r="BRR222" s="23"/>
      <c r="BRW222" s="26"/>
      <c r="BSA222" s="23"/>
      <c r="BSF222" s="26"/>
      <c r="BSJ222" s="23"/>
      <c r="BSO222" s="26"/>
      <c r="BSS222" s="23"/>
      <c r="BSX222" s="26"/>
      <c r="BTB222" s="23"/>
      <c r="BTG222" s="26"/>
      <c r="BTK222" s="23"/>
      <c r="BTP222" s="26"/>
      <c r="BTT222" s="23"/>
      <c r="BTY222" s="26"/>
      <c r="BUC222" s="23"/>
      <c r="BUH222" s="26"/>
      <c r="BUL222" s="23"/>
      <c r="BUQ222" s="26"/>
      <c r="BUU222" s="23"/>
      <c r="BUZ222" s="26"/>
      <c r="BVD222" s="23"/>
      <c r="BVI222" s="26"/>
      <c r="BVM222" s="23"/>
      <c r="BVR222" s="26"/>
      <c r="BVV222" s="23"/>
      <c r="BWA222" s="26"/>
      <c r="BWE222" s="23"/>
      <c r="BWJ222" s="26"/>
      <c r="BWN222" s="23"/>
      <c r="BWS222" s="26"/>
      <c r="BWW222" s="23"/>
      <c r="BXB222" s="26"/>
      <c r="BXF222" s="23"/>
      <c r="BXK222" s="26"/>
      <c r="BXO222" s="23"/>
      <c r="BXT222" s="26"/>
      <c r="BXX222" s="23"/>
      <c r="BYC222" s="26"/>
      <c r="BYG222" s="23"/>
      <c r="BYL222" s="26"/>
      <c r="BYP222" s="23"/>
      <c r="BYU222" s="26"/>
      <c r="BYY222" s="23"/>
      <c r="BZD222" s="26"/>
      <c r="BZH222" s="23"/>
      <c r="BZM222" s="26"/>
      <c r="BZQ222" s="23"/>
      <c r="BZV222" s="26"/>
      <c r="BZZ222" s="23"/>
      <c r="CAE222" s="26"/>
      <c r="CAI222" s="23"/>
      <c r="CAN222" s="26"/>
      <c r="CAR222" s="23"/>
      <c r="CAW222" s="26"/>
      <c r="CBA222" s="23"/>
      <c r="CBF222" s="26"/>
      <c r="CBJ222" s="23"/>
      <c r="CBO222" s="26"/>
      <c r="CBS222" s="23"/>
      <c r="CBX222" s="26"/>
      <c r="CCB222" s="23"/>
      <c r="CCG222" s="26"/>
      <c r="CCK222" s="23"/>
      <c r="CCP222" s="26"/>
      <c r="CCT222" s="23"/>
      <c r="CCY222" s="26"/>
      <c r="CDC222" s="23"/>
      <c r="CDH222" s="26"/>
      <c r="CDL222" s="23"/>
      <c r="CDQ222" s="26"/>
      <c r="CDU222" s="23"/>
      <c r="CDZ222" s="26"/>
      <c r="CED222" s="23"/>
      <c r="CEI222" s="26"/>
      <c r="CEM222" s="23"/>
      <c r="CER222" s="26"/>
      <c r="CEV222" s="23"/>
      <c r="CFA222" s="26"/>
      <c r="CFE222" s="23"/>
      <c r="CFJ222" s="26"/>
      <c r="CFN222" s="23"/>
      <c r="CFS222" s="26"/>
      <c r="CFW222" s="23"/>
      <c r="CGB222" s="26"/>
      <c r="CGF222" s="23"/>
      <c r="CGK222" s="26"/>
      <c r="CGO222" s="23"/>
      <c r="CGT222" s="26"/>
      <c r="CGX222" s="23"/>
      <c r="CHC222" s="26"/>
      <c r="CHG222" s="23"/>
      <c r="CHL222" s="26"/>
      <c r="CHP222" s="23"/>
      <c r="CHU222" s="26"/>
      <c r="CHY222" s="23"/>
      <c r="CID222" s="26"/>
      <c r="CIH222" s="23"/>
      <c r="CIM222" s="26"/>
      <c r="CIQ222" s="23"/>
      <c r="CIV222" s="26"/>
      <c r="CIZ222" s="23"/>
      <c r="CJE222" s="26"/>
      <c r="CJI222" s="23"/>
      <c r="CJN222" s="26"/>
      <c r="CJR222" s="23"/>
      <c r="CJW222" s="26"/>
      <c r="CKA222" s="23"/>
      <c r="CKF222" s="26"/>
      <c r="CKJ222" s="23"/>
      <c r="CKO222" s="26"/>
      <c r="CKS222" s="23"/>
      <c r="CKX222" s="26"/>
      <c r="CLB222" s="23"/>
      <c r="CLG222" s="26"/>
      <c r="CLK222" s="23"/>
      <c r="CLP222" s="26"/>
      <c r="CLT222" s="23"/>
      <c r="CLY222" s="26"/>
      <c r="CMC222" s="23"/>
      <c r="CMH222" s="26"/>
      <c r="CML222" s="23"/>
      <c r="CMQ222" s="26"/>
      <c r="CMU222" s="23"/>
      <c r="CMZ222" s="26"/>
      <c r="CND222" s="23"/>
      <c r="CNI222" s="26"/>
      <c r="CNM222" s="23"/>
      <c r="CNR222" s="26"/>
      <c r="CNV222" s="23"/>
      <c r="COA222" s="26"/>
      <c r="COE222" s="23"/>
      <c r="COJ222" s="26"/>
      <c r="CON222" s="23"/>
      <c r="COS222" s="26"/>
      <c r="COW222" s="23"/>
      <c r="CPB222" s="26"/>
      <c r="CPF222" s="23"/>
      <c r="CPK222" s="26"/>
      <c r="CPO222" s="23"/>
      <c r="CPT222" s="26"/>
      <c r="CPX222" s="23"/>
      <c r="CQC222" s="26"/>
      <c r="CQG222" s="23"/>
      <c r="CQL222" s="26"/>
      <c r="CQP222" s="23"/>
      <c r="CQU222" s="26"/>
      <c r="CQY222" s="23"/>
      <c r="CRD222" s="26"/>
      <c r="CRH222" s="23"/>
      <c r="CRM222" s="26"/>
      <c r="CRQ222" s="23"/>
      <c r="CRV222" s="26"/>
      <c r="CRZ222" s="23"/>
      <c r="CSE222" s="26"/>
      <c r="CSI222" s="23"/>
      <c r="CSN222" s="26"/>
      <c r="CSR222" s="23"/>
      <c r="CSW222" s="26"/>
      <c r="CTA222" s="23"/>
      <c r="CTF222" s="26"/>
      <c r="CTJ222" s="23"/>
      <c r="CTO222" s="26"/>
      <c r="CTS222" s="23"/>
      <c r="CTX222" s="26"/>
      <c r="CUB222" s="23"/>
      <c r="CUG222" s="26"/>
      <c r="CUK222" s="23"/>
      <c r="CUP222" s="26"/>
      <c r="CUT222" s="23"/>
      <c r="CUY222" s="26"/>
      <c r="CVC222" s="23"/>
      <c r="CVH222" s="26"/>
      <c r="CVL222" s="23"/>
      <c r="CVQ222" s="26"/>
      <c r="CVU222" s="23"/>
      <c r="CVZ222" s="26"/>
      <c r="CWD222" s="23"/>
      <c r="CWI222" s="26"/>
      <c r="CWM222" s="23"/>
      <c r="CWR222" s="26"/>
      <c r="CWV222" s="23"/>
      <c r="CXA222" s="26"/>
      <c r="CXE222" s="23"/>
      <c r="CXJ222" s="26"/>
      <c r="CXN222" s="23"/>
      <c r="CXS222" s="26"/>
      <c r="CXW222" s="23"/>
      <c r="CYB222" s="26"/>
      <c r="CYF222" s="23"/>
      <c r="CYK222" s="26"/>
      <c r="CYO222" s="23"/>
      <c r="CYT222" s="26"/>
      <c r="CYX222" s="23"/>
      <c r="CZC222" s="26"/>
      <c r="CZG222" s="23"/>
      <c r="CZL222" s="26"/>
      <c r="CZP222" s="23"/>
      <c r="CZU222" s="26"/>
      <c r="CZY222" s="23"/>
      <c r="DAD222" s="26"/>
      <c r="DAH222" s="23"/>
      <c r="DAM222" s="26"/>
      <c r="DAQ222" s="23"/>
      <c r="DAV222" s="26"/>
      <c r="DAZ222" s="23"/>
      <c r="DBE222" s="26"/>
      <c r="DBI222" s="23"/>
      <c r="DBN222" s="26"/>
      <c r="DBR222" s="23"/>
      <c r="DBW222" s="26"/>
      <c r="DCA222" s="23"/>
      <c r="DCF222" s="26"/>
      <c r="DCJ222" s="23"/>
      <c r="DCO222" s="26"/>
      <c r="DCS222" s="23"/>
      <c r="DCX222" s="26"/>
      <c r="DDB222" s="23"/>
      <c r="DDG222" s="26"/>
      <c r="DDK222" s="23"/>
      <c r="DDP222" s="26"/>
      <c r="DDT222" s="23"/>
      <c r="DDY222" s="26"/>
      <c r="DEC222" s="23"/>
      <c r="DEH222" s="26"/>
      <c r="DEL222" s="23"/>
      <c r="DEQ222" s="26"/>
      <c r="DEU222" s="23"/>
      <c r="DEZ222" s="26"/>
      <c r="DFD222" s="23"/>
      <c r="DFI222" s="26"/>
      <c r="DFM222" s="23"/>
      <c r="DFR222" s="26"/>
      <c r="DFV222" s="23"/>
      <c r="DGA222" s="26"/>
      <c r="DGE222" s="23"/>
      <c r="DGJ222" s="26"/>
      <c r="DGN222" s="23"/>
      <c r="DGS222" s="26"/>
      <c r="DGW222" s="23"/>
      <c r="DHB222" s="26"/>
      <c r="DHF222" s="23"/>
      <c r="DHK222" s="26"/>
      <c r="DHO222" s="23"/>
      <c r="DHT222" s="26"/>
      <c r="DHX222" s="23"/>
      <c r="DIC222" s="26"/>
      <c r="DIG222" s="23"/>
      <c r="DIL222" s="26"/>
      <c r="DIP222" s="23"/>
      <c r="DIU222" s="26"/>
      <c r="DIY222" s="23"/>
      <c r="DJD222" s="26"/>
      <c r="DJH222" s="23"/>
      <c r="DJM222" s="26"/>
      <c r="DJQ222" s="23"/>
      <c r="DJV222" s="26"/>
      <c r="DJZ222" s="23"/>
      <c r="DKE222" s="26"/>
      <c r="DKI222" s="23"/>
      <c r="DKN222" s="26"/>
      <c r="DKR222" s="23"/>
      <c r="DKW222" s="26"/>
      <c r="DLA222" s="23"/>
      <c r="DLF222" s="26"/>
      <c r="DLJ222" s="23"/>
      <c r="DLO222" s="26"/>
      <c r="DLS222" s="23"/>
      <c r="DLX222" s="26"/>
      <c r="DMB222" s="23"/>
      <c r="DMG222" s="26"/>
      <c r="DMK222" s="23"/>
      <c r="DMP222" s="26"/>
      <c r="DMT222" s="23"/>
      <c r="DMY222" s="26"/>
      <c r="DNC222" s="23"/>
      <c r="DNH222" s="26"/>
      <c r="DNL222" s="23"/>
      <c r="DNQ222" s="26"/>
      <c r="DNU222" s="23"/>
      <c r="DNZ222" s="26"/>
      <c r="DOD222" s="23"/>
      <c r="DOI222" s="26"/>
      <c r="DOM222" s="23"/>
      <c r="DOR222" s="26"/>
      <c r="DOV222" s="23"/>
      <c r="DPA222" s="26"/>
      <c r="DPE222" s="23"/>
      <c r="DPJ222" s="26"/>
      <c r="DPN222" s="23"/>
      <c r="DPS222" s="26"/>
      <c r="DPW222" s="23"/>
      <c r="DQB222" s="26"/>
      <c r="DQF222" s="23"/>
      <c r="DQK222" s="26"/>
      <c r="DQO222" s="23"/>
      <c r="DQT222" s="26"/>
      <c r="DQX222" s="23"/>
      <c r="DRC222" s="26"/>
      <c r="DRG222" s="23"/>
      <c r="DRL222" s="26"/>
      <c r="DRP222" s="23"/>
      <c r="DRU222" s="26"/>
      <c r="DRY222" s="23"/>
      <c r="DSD222" s="26"/>
      <c r="DSH222" s="23"/>
      <c r="DSM222" s="26"/>
      <c r="DSQ222" s="23"/>
      <c r="DSV222" s="26"/>
      <c r="DSZ222" s="23"/>
      <c r="DTE222" s="26"/>
      <c r="DTI222" s="23"/>
      <c r="DTN222" s="26"/>
      <c r="DTR222" s="23"/>
      <c r="DTW222" s="26"/>
      <c r="DUA222" s="23"/>
      <c r="DUF222" s="26"/>
      <c r="DUJ222" s="23"/>
      <c r="DUO222" s="26"/>
      <c r="DUS222" s="23"/>
      <c r="DUX222" s="26"/>
      <c r="DVB222" s="23"/>
      <c r="DVG222" s="26"/>
      <c r="DVK222" s="23"/>
      <c r="DVP222" s="26"/>
      <c r="DVT222" s="23"/>
      <c r="DVY222" s="26"/>
      <c r="DWC222" s="23"/>
      <c r="DWH222" s="26"/>
      <c r="DWL222" s="23"/>
      <c r="DWQ222" s="26"/>
      <c r="DWU222" s="23"/>
      <c r="DWZ222" s="26"/>
      <c r="DXD222" s="23"/>
      <c r="DXI222" s="26"/>
      <c r="DXM222" s="23"/>
      <c r="DXR222" s="26"/>
      <c r="DXV222" s="23"/>
      <c r="DYA222" s="26"/>
      <c r="DYE222" s="23"/>
      <c r="DYJ222" s="26"/>
      <c r="DYN222" s="23"/>
      <c r="DYS222" s="26"/>
      <c r="DYW222" s="23"/>
      <c r="DZB222" s="26"/>
      <c r="DZF222" s="23"/>
      <c r="DZK222" s="26"/>
      <c r="DZO222" s="23"/>
      <c r="DZT222" s="26"/>
      <c r="DZX222" s="23"/>
      <c r="EAC222" s="26"/>
      <c r="EAG222" s="23"/>
      <c r="EAL222" s="26"/>
      <c r="EAP222" s="23"/>
      <c r="EAU222" s="26"/>
      <c r="EAY222" s="23"/>
      <c r="EBD222" s="26"/>
      <c r="EBH222" s="23"/>
      <c r="EBM222" s="26"/>
      <c r="EBQ222" s="23"/>
      <c r="EBV222" s="26"/>
      <c r="EBZ222" s="23"/>
      <c r="ECE222" s="26"/>
      <c r="ECI222" s="23"/>
      <c r="ECN222" s="26"/>
      <c r="ECR222" s="23"/>
      <c r="ECW222" s="26"/>
      <c r="EDA222" s="23"/>
      <c r="EDF222" s="26"/>
      <c r="EDJ222" s="23"/>
      <c r="EDO222" s="26"/>
      <c r="EDS222" s="23"/>
      <c r="EDX222" s="26"/>
      <c r="EEB222" s="23"/>
      <c r="EEG222" s="26"/>
      <c r="EEK222" s="23"/>
      <c r="EEP222" s="26"/>
      <c r="EET222" s="23"/>
      <c r="EEY222" s="26"/>
      <c r="EFC222" s="23"/>
      <c r="EFH222" s="26"/>
      <c r="EFL222" s="23"/>
      <c r="EFQ222" s="26"/>
      <c r="EFU222" s="23"/>
      <c r="EFZ222" s="26"/>
      <c r="EGD222" s="23"/>
      <c r="EGI222" s="26"/>
      <c r="EGM222" s="23"/>
      <c r="EGR222" s="26"/>
      <c r="EGV222" s="23"/>
      <c r="EHA222" s="26"/>
      <c r="EHE222" s="23"/>
      <c r="EHJ222" s="26"/>
      <c r="EHN222" s="23"/>
      <c r="EHS222" s="26"/>
      <c r="EHW222" s="23"/>
      <c r="EIB222" s="26"/>
      <c r="EIF222" s="23"/>
      <c r="EIK222" s="26"/>
      <c r="EIO222" s="23"/>
      <c r="EIT222" s="26"/>
      <c r="EIX222" s="23"/>
      <c r="EJC222" s="26"/>
      <c r="EJG222" s="23"/>
      <c r="EJL222" s="26"/>
      <c r="EJP222" s="23"/>
      <c r="EJU222" s="26"/>
      <c r="EJY222" s="23"/>
      <c r="EKD222" s="26"/>
      <c r="EKH222" s="23"/>
      <c r="EKM222" s="26"/>
      <c r="EKQ222" s="23"/>
      <c r="EKV222" s="26"/>
      <c r="EKZ222" s="23"/>
      <c r="ELE222" s="26"/>
      <c r="ELI222" s="23"/>
      <c r="ELN222" s="26"/>
      <c r="ELR222" s="23"/>
      <c r="ELW222" s="26"/>
      <c r="EMA222" s="23"/>
      <c r="EMF222" s="26"/>
      <c r="EMJ222" s="23"/>
      <c r="EMO222" s="26"/>
      <c r="EMS222" s="23"/>
      <c r="EMX222" s="26"/>
      <c r="ENB222" s="23"/>
      <c r="ENG222" s="26"/>
      <c r="ENK222" s="23"/>
      <c r="ENP222" s="26"/>
      <c r="ENT222" s="23"/>
      <c r="ENY222" s="26"/>
      <c r="EOC222" s="23"/>
      <c r="EOH222" s="26"/>
      <c r="EOL222" s="23"/>
      <c r="EOQ222" s="26"/>
      <c r="EOU222" s="23"/>
      <c r="EOZ222" s="26"/>
      <c r="EPD222" s="23"/>
      <c r="EPI222" s="26"/>
      <c r="EPM222" s="23"/>
      <c r="EPR222" s="26"/>
      <c r="EPV222" s="23"/>
      <c r="EQA222" s="26"/>
      <c r="EQE222" s="23"/>
      <c r="EQJ222" s="26"/>
      <c r="EQN222" s="23"/>
      <c r="EQS222" s="26"/>
      <c r="EQW222" s="23"/>
      <c r="ERB222" s="26"/>
      <c r="ERF222" s="23"/>
      <c r="ERK222" s="26"/>
      <c r="ERO222" s="23"/>
      <c r="ERT222" s="26"/>
      <c r="ERX222" s="23"/>
      <c r="ESC222" s="26"/>
      <c r="ESG222" s="23"/>
      <c r="ESL222" s="26"/>
      <c r="ESP222" s="23"/>
      <c r="ESU222" s="26"/>
      <c r="ESY222" s="23"/>
      <c r="ETD222" s="26"/>
      <c r="ETH222" s="23"/>
      <c r="ETM222" s="26"/>
      <c r="ETQ222" s="23"/>
      <c r="ETV222" s="26"/>
      <c r="ETZ222" s="23"/>
      <c r="EUE222" s="26"/>
      <c r="EUI222" s="23"/>
      <c r="EUN222" s="26"/>
      <c r="EUR222" s="23"/>
      <c r="EUW222" s="26"/>
      <c r="EVA222" s="23"/>
      <c r="EVF222" s="26"/>
      <c r="EVJ222" s="23"/>
      <c r="EVO222" s="26"/>
      <c r="EVS222" s="23"/>
      <c r="EVX222" s="26"/>
      <c r="EWB222" s="23"/>
      <c r="EWG222" s="26"/>
      <c r="EWK222" s="23"/>
      <c r="EWP222" s="26"/>
      <c r="EWT222" s="23"/>
      <c r="EWY222" s="26"/>
      <c r="EXC222" s="23"/>
      <c r="EXH222" s="26"/>
      <c r="EXL222" s="23"/>
      <c r="EXQ222" s="26"/>
      <c r="EXU222" s="23"/>
      <c r="EXZ222" s="26"/>
      <c r="EYD222" s="23"/>
      <c r="EYI222" s="26"/>
      <c r="EYM222" s="23"/>
      <c r="EYR222" s="26"/>
      <c r="EYV222" s="23"/>
      <c r="EZA222" s="26"/>
      <c r="EZE222" s="23"/>
      <c r="EZJ222" s="26"/>
      <c r="EZN222" s="23"/>
      <c r="EZS222" s="26"/>
      <c r="EZW222" s="23"/>
      <c r="FAB222" s="26"/>
      <c r="FAF222" s="23"/>
      <c r="FAK222" s="26"/>
      <c r="FAO222" s="23"/>
      <c r="FAT222" s="26"/>
      <c r="FAX222" s="23"/>
      <c r="FBC222" s="26"/>
      <c r="FBG222" s="23"/>
      <c r="FBL222" s="26"/>
      <c r="FBP222" s="23"/>
      <c r="FBU222" s="26"/>
      <c r="FBY222" s="23"/>
      <c r="FCD222" s="26"/>
      <c r="FCH222" s="23"/>
      <c r="FCM222" s="26"/>
      <c r="FCQ222" s="23"/>
      <c r="FCV222" s="26"/>
      <c r="FCZ222" s="23"/>
      <c r="FDE222" s="26"/>
      <c r="FDI222" s="23"/>
      <c r="FDN222" s="26"/>
      <c r="FDR222" s="23"/>
      <c r="FDW222" s="26"/>
      <c r="FEA222" s="23"/>
      <c r="FEF222" s="26"/>
      <c r="FEJ222" s="23"/>
      <c r="FEO222" s="26"/>
      <c r="FES222" s="23"/>
      <c r="FEX222" s="26"/>
      <c r="FFB222" s="23"/>
      <c r="FFG222" s="26"/>
      <c r="FFK222" s="23"/>
      <c r="FFP222" s="26"/>
      <c r="FFT222" s="23"/>
      <c r="FFY222" s="26"/>
      <c r="FGC222" s="23"/>
      <c r="FGH222" s="26"/>
      <c r="FGL222" s="23"/>
      <c r="FGQ222" s="26"/>
      <c r="FGU222" s="23"/>
      <c r="FGZ222" s="26"/>
      <c r="FHD222" s="23"/>
      <c r="FHI222" s="26"/>
      <c r="FHM222" s="23"/>
      <c r="FHR222" s="26"/>
      <c r="FHV222" s="23"/>
      <c r="FIA222" s="26"/>
      <c r="FIE222" s="23"/>
      <c r="FIJ222" s="26"/>
      <c r="FIN222" s="23"/>
      <c r="FIS222" s="26"/>
      <c r="FIW222" s="23"/>
      <c r="FJB222" s="26"/>
      <c r="FJF222" s="23"/>
      <c r="FJK222" s="26"/>
      <c r="FJO222" s="23"/>
      <c r="FJT222" s="26"/>
      <c r="FJX222" s="23"/>
      <c r="FKC222" s="26"/>
      <c r="FKG222" s="23"/>
      <c r="FKL222" s="26"/>
      <c r="FKP222" s="23"/>
      <c r="FKU222" s="26"/>
      <c r="FKY222" s="23"/>
      <c r="FLD222" s="26"/>
      <c r="FLH222" s="23"/>
      <c r="FLM222" s="26"/>
      <c r="FLQ222" s="23"/>
      <c r="FLV222" s="26"/>
      <c r="FLZ222" s="23"/>
      <c r="FME222" s="26"/>
      <c r="FMI222" s="23"/>
      <c r="FMN222" s="26"/>
      <c r="FMR222" s="23"/>
      <c r="FMW222" s="26"/>
      <c r="FNA222" s="23"/>
      <c r="FNF222" s="26"/>
      <c r="FNJ222" s="23"/>
      <c r="FNO222" s="26"/>
      <c r="FNS222" s="23"/>
      <c r="FNX222" s="26"/>
      <c r="FOB222" s="23"/>
      <c r="FOG222" s="26"/>
      <c r="FOK222" s="23"/>
      <c r="FOP222" s="26"/>
      <c r="FOT222" s="23"/>
      <c r="FOY222" s="26"/>
      <c r="FPC222" s="23"/>
      <c r="FPH222" s="26"/>
      <c r="FPL222" s="23"/>
      <c r="FPQ222" s="26"/>
      <c r="FPU222" s="23"/>
      <c r="FPZ222" s="26"/>
      <c r="FQD222" s="23"/>
      <c r="FQI222" s="26"/>
      <c r="FQM222" s="23"/>
      <c r="FQR222" s="26"/>
      <c r="FQV222" s="23"/>
      <c r="FRA222" s="26"/>
      <c r="FRE222" s="23"/>
      <c r="FRJ222" s="26"/>
      <c r="FRN222" s="23"/>
      <c r="FRS222" s="26"/>
      <c r="FRW222" s="23"/>
      <c r="FSB222" s="26"/>
      <c r="FSF222" s="23"/>
      <c r="FSK222" s="26"/>
      <c r="FSO222" s="23"/>
      <c r="FST222" s="26"/>
      <c r="FSX222" s="23"/>
      <c r="FTC222" s="26"/>
      <c r="FTG222" s="23"/>
      <c r="FTL222" s="26"/>
      <c r="FTP222" s="23"/>
      <c r="FTU222" s="26"/>
      <c r="FTY222" s="23"/>
      <c r="FUD222" s="26"/>
      <c r="FUH222" s="23"/>
      <c r="FUM222" s="26"/>
      <c r="FUQ222" s="23"/>
      <c r="FUV222" s="26"/>
      <c r="FUZ222" s="23"/>
      <c r="FVE222" s="26"/>
      <c r="FVI222" s="23"/>
      <c r="FVN222" s="26"/>
      <c r="FVR222" s="23"/>
      <c r="FVW222" s="26"/>
      <c r="FWA222" s="23"/>
      <c r="FWF222" s="26"/>
      <c r="FWJ222" s="23"/>
      <c r="FWO222" s="26"/>
      <c r="FWS222" s="23"/>
      <c r="FWX222" s="26"/>
      <c r="FXB222" s="23"/>
      <c r="FXG222" s="26"/>
      <c r="FXK222" s="23"/>
      <c r="FXP222" s="26"/>
      <c r="FXT222" s="23"/>
      <c r="FXY222" s="26"/>
      <c r="FYC222" s="23"/>
      <c r="FYH222" s="26"/>
      <c r="FYL222" s="23"/>
      <c r="FYQ222" s="26"/>
      <c r="FYU222" s="23"/>
      <c r="FYZ222" s="26"/>
      <c r="FZD222" s="23"/>
      <c r="FZI222" s="26"/>
      <c r="FZM222" s="23"/>
      <c r="FZR222" s="26"/>
      <c r="FZV222" s="23"/>
      <c r="GAA222" s="26"/>
      <c r="GAE222" s="23"/>
      <c r="GAJ222" s="26"/>
      <c r="GAN222" s="23"/>
      <c r="GAS222" s="26"/>
      <c r="GAW222" s="23"/>
      <c r="GBB222" s="26"/>
      <c r="GBF222" s="23"/>
      <c r="GBK222" s="26"/>
      <c r="GBO222" s="23"/>
      <c r="GBT222" s="26"/>
      <c r="GBX222" s="23"/>
      <c r="GCC222" s="26"/>
      <c r="GCG222" s="23"/>
      <c r="GCL222" s="26"/>
      <c r="GCP222" s="23"/>
      <c r="GCU222" s="26"/>
      <c r="GCY222" s="23"/>
      <c r="GDD222" s="26"/>
      <c r="GDH222" s="23"/>
      <c r="GDM222" s="26"/>
      <c r="GDQ222" s="23"/>
      <c r="GDV222" s="26"/>
      <c r="GDZ222" s="23"/>
      <c r="GEE222" s="26"/>
      <c r="GEI222" s="23"/>
      <c r="GEN222" s="26"/>
      <c r="GER222" s="23"/>
      <c r="GEW222" s="26"/>
      <c r="GFA222" s="23"/>
      <c r="GFF222" s="26"/>
      <c r="GFJ222" s="23"/>
      <c r="GFO222" s="26"/>
      <c r="GFS222" s="23"/>
      <c r="GFX222" s="26"/>
      <c r="GGB222" s="23"/>
      <c r="GGG222" s="26"/>
      <c r="GGK222" s="23"/>
      <c r="GGP222" s="26"/>
      <c r="GGT222" s="23"/>
      <c r="GGY222" s="26"/>
      <c r="GHC222" s="23"/>
      <c r="GHH222" s="26"/>
      <c r="GHL222" s="23"/>
      <c r="GHQ222" s="26"/>
      <c r="GHU222" s="23"/>
      <c r="GHZ222" s="26"/>
      <c r="GID222" s="23"/>
      <c r="GII222" s="26"/>
      <c r="GIM222" s="23"/>
      <c r="GIR222" s="26"/>
      <c r="GIV222" s="23"/>
      <c r="GJA222" s="26"/>
      <c r="GJE222" s="23"/>
      <c r="GJJ222" s="26"/>
      <c r="GJN222" s="23"/>
      <c r="GJS222" s="26"/>
      <c r="GJW222" s="23"/>
      <c r="GKB222" s="26"/>
      <c r="GKF222" s="23"/>
      <c r="GKK222" s="26"/>
      <c r="GKO222" s="23"/>
      <c r="GKT222" s="26"/>
      <c r="GKX222" s="23"/>
      <c r="GLC222" s="26"/>
      <c r="GLG222" s="23"/>
      <c r="GLL222" s="26"/>
      <c r="GLP222" s="23"/>
      <c r="GLU222" s="26"/>
      <c r="GLY222" s="23"/>
      <c r="GMD222" s="26"/>
      <c r="GMH222" s="23"/>
      <c r="GMM222" s="26"/>
      <c r="GMQ222" s="23"/>
      <c r="GMV222" s="26"/>
      <c r="GMZ222" s="23"/>
      <c r="GNE222" s="26"/>
      <c r="GNI222" s="23"/>
      <c r="GNN222" s="26"/>
      <c r="GNR222" s="23"/>
      <c r="GNW222" s="26"/>
      <c r="GOA222" s="23"/>
      <c r="GOF222" s="26"/>
      <c r="GOJ222" s="23"/>
      <c r="GOO222" s="26"/>
      <c r="GOS222" s="23"/>
      <c r="GOX222" s="26"/>
      <c r="GPB222" s="23"/>
      <c r="GPG222" s="26"/>
      <c r="GPK222" s="23"/>
      <c r="GPP222" s="26"/>
      <c r="GPT222" s="23"/>
      <c r="GPY222" s="26"/>
      <c r="GQC222" s="23"/>
      <c r="GQH222" s="26"/>
      <c r="GQL222" s="23"/>
      <c r="GQQ222" s="26"/>
      <c r="GQU222" s="23"/>
      <c r="GQZ222" s="26"/>
      <c r="GRD222" s="23"/>
      <c r="GRI222" s="26"/>
      <c r="GRM222" s="23"/>
      <c r="GRR222" s="26"/>
      <c r="GRV222" s="23"/>
      <c r="GSA222" s="26"/>
      <c r="GSE222" s="23"/>
      <c r="GSJ222" s="26"/>
      <c r="GSN222" s="23"/>
      <c r="GSS222" s="26"/>
      <c r="GSW222" s="23"/>
      <c r="GTB222" s="26"/>
      <c r="GTF222" s="23"/>
      <c r="GTK222" s="26"/>
      <c r="GTO222" s="23"/>
      <c r="GTT222" s="26"/>
      <c r="GTX222" s="23"/>
      <c r="GUC222" s="26"/>
      <c r="GUG222" s="23"/>
      <c r="GUL222" s="26"/>
      <c r="GUP222" s="23"/>
      <c r="GUU222" s="26"/>
      <c r="GUY222" s="23"/>
      <c r="GVD222" s="26"/>
      <c r="GVH222" s="23"/>
      <c r="GVM222" s="26"/>
      <c r="GVQ222" s="23"/>
      <c r="GVV222" s="26"/>
      <c r="GVZ222" s="23"/>
      <c r="GWE222" s="26"/>
      <c r="GWI222" s="23"/>
      <c r="GWN222" s="26"/>
      <c r="GWR222" s="23"/>
      <c r="GWW222" s="26"/>
      <c r="GXA222" s="23"/>
      <c r="GXF222" s="26"/>
      <c r="GXJ222" s="23"/>
      <c r="GXO222" s="26"/>
      <c r="GXS222" s="23"/>
      <c r="GXX222" s="26"/>
      <c r="GYB222" s="23"/>
      <c r="GYG222" s="26"/>
      <c r="GYK222" s="23"/>
      <c r="GYP222" s="26"/>
      <c r="GYT222" s="23"/>
      <c r="GYY222" s="26"/>
      <c r="GZC222" s="23"/>
      <c r="GZH222" s="26"/>
      <c r="GZL222" s="23"/>
      <c r="GZQ222" s="26"/>
      <c r="GZU222" s="23"/>
      <c r="GZZ222" s="26"/>
      <c r="HAD222" s="23"/>
      <c r="HAI222" s="26"/>
      <c r="HAM222" s="23"/>
      <c r="HAR222" s="26"/>
      <c r="HAV222" s="23"/>
      <c r="HBA222" s="26"/>
      <c r="HBE222" s="23"/>
      <c r="HBJ222" s="26"/>
      <c r="HBN222" s="23"/>
      <c r="HBS222" s="26"/>
      <c r="HBW222" s="23"/>
      <c r="HCB222" s="26"/>
      <c r="HCF222" s="23"/>
      <c r="HCK222" s="26"/>
      <c r="HCO222" s="23"/>
      <c r="HCT222" s="26"/>
      <c r="HCX222" s="23"/>
      <c r="HDC222" s="26"/>
      <c r="HDG222" s="23"/>
      <c r="HDL222" s="26"/>
      <c r="HDP222" s="23"/>
      <c r="HDU222" s="26"/>
      <c r="HDY222" s="23"/>
      <c r="HED222" s="26"/>
      <c r="HEH222" s="23"/>
      <c r="HEM222" s="26"/>
      <c r="HEQ222" s="23"/>
      <c r="HEV222" s="26"/>
      <c r="HEZ222" s="23"/>
      <c r="HFE222" s="26"/>
      <c r="HFI222" s="23"/>
      <c r="HFN222" s="26"/>
      <c r="HFR222" s="23"/>
      <c r="HFW222" s="26"/>
      <c r="HGA222" s="23"/>
      <c r="HGF222" s="26"/>
      <c r="HGJ222" s="23"/>
      <c r="HGO222" s="26"/>
      <c r="HGS222" s="23"/>
      <c r="HGX222" s="26"/>
      <c r="HHB222" s="23"/>
      <c r="HHG222" s="26"/>
      <c r="HHK222" s="23"/>
      <c r="HHP222" s="26"/>
      <c r="HHT222" s="23"/>
      <c r="HHY222" s="26"/>
      <c r="HIC222" s="23"/>
      <c r="HIH222" s="26"/>
      <c r="HIL222" s="23"/>
      <c r="HIQ222" s="26"/>
      <c r="HIU222" s="23"/>
      <c r="HIZ222" s="26"/>
      <c r="HJD222" s="23"/>
      <c r="HJI222" s="26"/>
      <c r="HJM222" s="23"/>
      <c r="HJR222" s="26"/>
      <c r="HJV222" s="23"/>
      <c r="HKA222" s="26"/>
      <c r="HKE222" s="23"/>
      <c r="HKJ222" s="26"/>
      <c r="HKN222" s="23"/>
      <c r="HKS222" s="26"/>
      <c r="HKW222" s="23"/>
      <c r="HLB222" s="26"/>
      <c r="HLF222" s="23"/>
      <c r="HLK222" s="26"/>
      <c r="HLO222" s="23"/>
      <c r="HLT222" s="26"/>
      <c r="HLX222" s="23"/>
      <c r="HMC222" s="26"/>
      <c r="HMG222" s="23"/>
      <c r="HML222" s="26"/>
      <c r="HMP222" s="23"/>
      <c r="HMU222" s="26"/>
      <c r="HMY222" s="23"/>
      <c r="HND222" s="26"/>
      <c r="HNH222" s="23"/>
      <c r="HNM222" s="26"/>
      <c r="HNQ222" s="23"/>
      <c r="HNV222" s="26"/>
      <c r="HNZ222" s="23"/>
      <c r="HOE222" s="26"/>
      <c r="HOI222" s="23"/>
      <c r="HON222" s="26"/>
      <c r="HOR222" s="23"/>
      <c r="HOW222" s="26"/>
      <c r="HPA222" s="23"/>
      <c r="HPF222" s="26"/>
      <c r="HPJ222" s="23"/>
      <c r="HPO222" s="26"/>
      <c r="HPS222" s="23"/>
      <c r="HPX222" s="26"/>
      <c r="HQB222" s="23"/>
      <c r="HQG222" s="26"/>
      <c r="HQK222" s="23"/>
      <c r="HQP222" s="26"/>
      <c r="HQT222" s="23"/>
      <c r="HQY222" s="26"/>
      <c r="HRC222" s="23"/>
      <c r="HRH222" s="26"/>
      <c r="HRL222" s="23"/>
      <c r="HRQ222" s="26"/>
      <c r="HRU222" s="23"/>
      <c r="HRZ222" s="26"/>
      <c r="HSD222" s="23"/>
      <c r="HSI222" s="26"/>
      <c r="HSM222" s="23"/>
      <c r="HSR222" s="26"/>
      <c r="HSV222" s="23"/>
      <c r="HTA222" s="26"/>
      <c r="HTE222" s="23"/>
      <c r="HTJ222" s="26"/>
      <c r="HTN222" s="23"/>
      <c r="HTS222" s="26"/>
      <c r="HTW222" s="23"/>
      <c r="HUB222" s="26"/>
      <c r="HUF222" s="23"/>
      <c r="HUK222" s="26"/>
      <c r="HUO222" s="23"/>
      <c r="HUT222" s="26"/>
      <c r="HUX222" s="23"/>
      <c r="HVC222" s="26"/>
      <c r="HVG222" s="23"/>
      <c r="HVL222" s="26"/>
      <c r="HVP222" s="23"/>
      <c r="HVU222" s="26"/>
      <c r="HVY222" s="23"/>
      <c r="HWD222" s="26"/>
      <c r="HWH222" s="23"/>
      <c r="HWM222" s="26"/>
      <c r="HWQ222" s="23"/>
      <c r="HWV222" s="26"/>
      <c r="HWZ222" s="23"/>
      <c r="HXE222" s="26"/>
      <c r="HXI222" s="23"/>
      <c r="HXN222" s="26"/>
      <c r="HXR222" s="23"/>
      <c r="HXW222" s="26"/>
      <c r="HYA222" s="23"/>
      <c r="HYF222" s="26"/>
      <c r="HYJ222" s="23"/>
      <c r="HYO222" s="26"/>
      <c r="HYS222" s="23"/>
      <c r="HYX222" s="26"/>
      <c r="HZB222" s="23"/>
      <c r="HZG222" s="26"/>
      <c r="HZK222" s="23"/>
      <c r="HZP222" s="26"/>
      <c r="HZT222" s="23"/>
      <c r="HZY222" s="26"/>
      <c r="IAC222" s="23"/>
      <c r="IAH222" s="26"/>
      <c r="IAL222" s="23"/>
      <c r="IAQ222" s="26"/>
      <c r="IAU222" s="23"/>
      <c r="IAZ222" s="26"/>
      <c r="IBD222" s="23"/>
      <c r="IBI222" s="26"/>
      <c r="IBM222" s="23"/>
      <c r="IBR222" s="26"/>
      <c r="IBV222" s="23"/>
      <c r="ICA222" s="26"/>
      <c r="ICE222" s="23"/>
      <c r="ICJ222" s="26"/>
      <c r="ICN222" s="23"/>
      <c r="ICS222" s="26"/>
      <c r="ICW222" s="23"/>
      <c r="IDB222" s="26"/>
      <c r="IDF222" s="23"/>
      <c r="IDK222" s="26"/>
      <c r="IDO222" s="23"/>
      <c r="IDT222" s="26"/>
      <c r="IDX222" s="23"/>
      <c r="IEC222" s="26"/>
      <c r="IEG222" s="23"/>
      <c r="IEL222" s="26"/>
      <c r="IEP222" s="23"/>
      <c r="IEU222" s="26"/>
      <c r="IEY222" s="23"/>
      <c r="IFD222" s="26"/>
      <c r="IFH222" s="23"/>
      <c r="IFM222" s="26"/>
      <c r="IFQ222" s="23"/>
      <c r="IFV222" s="26"/>
      <c r="IFZ222" s="23"/>
      <c r="IGE222" s="26"/>
      <c r="IGI222" s="23"/>
      <c r="IGN222" s="26"/>
      <c r="IGR222" s="23"/>
      <c r="IGW222" s="26"/>
      <c r="IHA222" s="23"/>
      <c r="IHF222" s="26"/>
      <c r="IHJ222" s="23"/>
      <c r="IHO222" s="26"/>
      <c r="IHS222" s="23"/>
      <c r="IHX222" s="26"/>
      <c r="IIB222" s="23"/>
      <c r="IIG222" s="26"/>
      <c r="IIK222" s="23"/>
      <c r="IIP222" s="26"/>
      <c r="IIT222" s="23"/>
      <c r="IIY222" s="26"/>
      <c r="IJC222" s="23"/>
      <c r="IJH222" s="26"/>
      <c r="IJL222" s="23"/>
      <c r="IJQ222" s="26"/>
      <c r="IJU222" s="23"/>
      <c r="IJZ222" s="26"/>
      <c r="IKD222" s="23"/>
      <c r="IKI222" s="26"/>
      <c r="IKM222" s="23"/>
      <c r="IKR222" s="26"/>
      <c r="IKV222" s="23"/>
      <c r="ILA222" s="26"/>
      <c r="ILE222" s="23"/>
      <c r="ILJ222" s="26"/>
      <c r="ILN222" s="23"/>
      <c r="ILS222" s="26"/>
      <c r="ILW222" s="23"/>
      <c r="IMB222" s="26"/>
      <c r="IMF222" s="23"/>
      <c r="IMK222" s="26"/>
      <c r="IMO222" s="23"/>
      <c r="IMT222" s="26"/>
      <c r="IMX222" s="23"/>
      <c r="INC222" s="26"/>
      <c r="ING222" s="23"/>
      <c r="INL222" s="26"/>
      <c r="INP222" s="23"/>
      <c r="INU222" s="26"/>
      <c r="INY222" s="23"/>
      <c r="IOD222" s="26"/>
      <c r="IOH222" s="23"/>
      <c r="IOM222" s="26"/>
      <c r="IOQ222" s="23"/>
      <c r="IOV222" s="26"/>
      <c r="IOZ222" s="23"/>
      <c r="IPE222" s="26"/>
      <c r="IPI222" s="23"/>
      <c r="IPN222" s="26"/>
      <c r="IPR222" s="23"/>
      <c r="IPW222" s="26"/>
      <c r="IQA222" s="23"/>
      <c r="IQF222" s="26"/>
      <c r="IQJ222" s="23"/>
      <c r="IQO222" s="26"/>
      <c r="IQS222" s="23"/>
      <c r="IQX222" s="26"/>
      <c r="IRB222" s="23"/>
      <c r="IRG222" s="26"/>
      <c r="IRK222" s="23"/>
      <c r="IRP222" s="26"/>
      <c r="IRT222" s="23"/>
      <c r="IRY222" s="26"/>
      <c r="ISC222" s="23"/>
      <c r="ISH222" s="26"/>
      <c r="ISL222" s="23"/>
      <c r="ISQ222" s="26"/>
      <c r="ISU222" s="23"/>
      <c r="ISZ222" s="26"/>
      <c r="ITD222" s="23"/>
      <c r="ITI222" s="26"/>
      <c r="ITM222" s="23"/>
      <c r="ITR222" s="26"/>
      <c r="ITV222" s="23"/>
      <c r="IUA222" s="26"/>
      <c r="IUE222" s="23"/>
      <c r="IUJ222" s="26"/>
      <c r="IUN222" s="23"/>
      <c r="IUS222" s="26"/>
      <c r="IUW222" s="23"/>
      <c r="IVB222" s="26"/>
      <c r="IVF222" s="23"/>
      <c r="IVK222" s="26"/>
      <c r="IVO222" s="23"/>
      <c r="IVT222" s="26"/>
      <c r="IVX222" s="23"/>
      <c r="IWC222" s="26"/>
      <c r="IWG222" s="23"/>
      <c r="IWL222" s="26"/>
      <c r="IWP222" s="23"/>
      <c r="IWU222" s="26"/>
      <c r="IWY222" s="23"/>
      <c r="IXD222" s="26"/>
      <c r="IXH222" s="23"/>
      <c r="IXM222" s="26"/>
      <c r="IXQ222" s="23"/>
      <c r="IXV222" s="26"/>
      <c r="IXZ222" s="23"/>
      <c r="IYE222" s="26"/>
      <c r="IYI222" s="23"/>
      <c r="IYN222" s="26"/>
      <c r="IYR222" s="23"/>
      <c r="IYW222" s="26"/>
      <c r="IZA222" s="23"/>
      <c r="IZF222" s="26"/>
      <c r="IZJ222" s="23"/>
      <c r="IZO222" s="26"/>
      <c r="IZS222" s="23"/>
      <c r="IZX222" s="26"/>
      <c r="JAB222" s="23"/>
      <c r="JAG222" s="26"/>
      <c r="JAK222" s="23"/>
      <c r="JAP222" s="26"/>
      <c r="JAT222" s="23"/>
      <c r="JAY222" s="26"/>
      <c r="JBC222" s="23"/>
      <c r="JBH222" s="26"/>
      <c r="JBL222" s="23"/>
      <c r="JBQ222" s="26"/>
      <c r="JBU222" s="23"/>
      <c r="JBZ222" s="26"/>
      <c r="JCD222" s="23"/>
      <c r="JCI222" s="26"/>
      <c r="JCM222" s="23"/>
      <c r="JCR222" s="26"/>
      <c r="JCV222" s="23"/>
      <c r="JDA222" s="26"/>
      <c r="JDE222" s="23"/>
      <c r="JDJ222" s="26"/>
      <c r="JDN222" s="23"/>
      <c r="JDS222" s="26"/>
      <c r="JDW222" s="23"/>
      <c r="JEB222" s="26"/>
      <c r="JEF222" s="23"/>
      <c r="JEK222" s="26"/>
      <c r="JEO222" s="23"/>
      <c r="JET222" s="26"/>
      <c r="JEX222" s="23"/>
      <c r="JFC222" s="26"/>
      <c r="JFG222" s="23"/>
      <c r="JFL222" s="26"/>
      <c r="JFP222" s="23"/>
      <c r="JFU222" s="26"/>
      <c r="JFY222" s="23"/>
      <c r="JGD222" s="26"/>
      <c r="JGH222" s="23"/>
      <c r="JGM222" s="26"/>
      <c r="JGQ222" s="23"/>
      <c r="JGV222" s="26"/>
      <c r="JGZ222" s="23"/>
      <c r="JHE222" s="26"/>
      <c r="JHI222" s="23"/>
      <c r="JHN222" s="26"/>
      <c r="JHR222" s="23"/>
      <c r="JHW222" s="26"/>
      <c r="JIA222" s="23"/>
      <c r="JIF222" s="26"/>
      <c r="JIJ222" s="23"/>
      <c r="JIO222" s="26"/>
      <c r="JIS222" s="23"/>
      <c r="JIX222" s="26"/>
      <c r="JJB222" s="23"/>
      <c r="JJG222" s="26"/>
      <c r="JJK222" s="23"/>
      <c r="JJP222" s="26"/>
      <c r="JJT222" s="23"/>
      <c r="JJY222" s="26"/>
      <c r="JKC222" s="23"/>
      <c r="JKH222" s="26"/>
      <c r="JKL222" s="23"/>
      <c r="JKQ222" s="26"/>
      <c r="JKU222" s="23"/>
      <c r="JKZ222" s="26"/>
      <c r="JLD222" s="23"/>
      <c r="JLI222" s="26"/>
      <c r="JLM222" s="23"/>
      <c r="JLR222" s="26"/>
      <c r="JLV222" s="23"/>
      <c r="JMA222" s="26"/>
      <c r="JME222" s="23"/>
      <c r="JMJ222" s="26"/>
      <c r="JMN222" s="23"/>
      <c r="JMS222" s="26"/>
      <c r="JMW222" s="23"/>
      <c r="JNB222" s="26"/>
      <c r="JNF222" s="23"/>
      <c r="JNK222" s="26"/>
      <c r="JNO222" s="23"/>
      <c r="JNT222" s="26"/>
      <c r="JNX222" s="23"/>
      <c r="JOC222" s="26"/>
      <c r="JOG222" s="23"/>
      <c r="JOL222" s="26"/>
      <c r="JOP222" s="23"/>
      <c r="JOU222" s="26"/>
      <c r="JOY222" s="23"/>
      <c r="JPD222" s="26"/>
      <c r="JPH222" s="23"/>
      <c r="JPM222" s="26"/>
      <c r="JPQ222" s="23"/>
      <c r="JPV222" s="26"/>
      <c r="JPZ222" s="23"/>
      <c r="JQE222" s="26"/>
      <c r="JQI222" s="23"/>
      <c r="JQN222" s="26"/>
      <c r="JQR222" s="23"/>
      <c r="JQW222" s="26"/>
      <c r="JRA222" s="23"/>
      <c r="JRF222" s="26"/>
      <c r="JRJ222" s="23"/>
      <c r="JRO222" s="26"/>
      <c r="JRS222" s="23"/>
      <c r="JRX222" s="26"/>
      <c r="JSB222" s="23"/>
      <c r="JSG222" s="26"/>
      <c r="JSK222" s="23"/>
      <c r="JSP222" s="26"/>
      <c r="JST222" s="23"/>
      <c r="JSY222" s="26"/>
      <c r="JTC222" s="23"/>
      <c r="JTH222" s="26"/>
      <c r="JTL222" s="23"/>
      <c r="JTQ222" s="26"/>
      <c r="JTU222" s="23"/>
      <c r="JTZ222" s="26"/>
      <c r="JUD222" s="23"/>
      <c r="JUI222" s="26"/>
      <c r="JUM222" s="23"/>
      <c r="JUR222" s="26"/>
      <c r="JUV222" s="23"/>
      <c r="JVA222" s="26"/>
      <c r="JVE222" s="23"/>
      <c r="JVJ222" s="26"/>
      <c r="JVN222" s="23"/>
      <c r="JVS222" s="26"/>
      <c r="JVW222" s="23"/>
      <c r="JWB222" s="26"/>
      <c r="JWF222" s="23"/>
      <c r="JWK222" s="26"/>
      <c r="JWO222" s="23"/>
      <c r="JWT222" s="26"/>
      <c r="JWX222" s="23"/>
      <c r="JXC222" s="26"/>
      <c r="JXG222" s="23"/>
      <c r="JXL222" s="26"/>
      <c r="JXP222" s="23"/>
      <c r="JXU222" s="26"/>
      <c r="JXY222" s="23"/>
      <c r="JYD222" s="26"/>
      <c r="JYH222" s="23"/>
      <c r="JYM222" s="26"/>
      <c r="JYQ222" s="23"/>
      <c r="JYV222" s="26"/>
      <c r="JYZ222" s="23"/>
      <c r="JZE222" s="26"/>
      <c r="JZI222" s="23"/>
      <c r="JZN222" s="26"/>
      <c r="JZR222" s="23"/>
      <c r="JZW222" s="26"/>
      <c r="KAA222" s="23"/>
      <c r="KAF222" s="26"/>
      <c r="KAJ222" s="23"/>
      <c r="KAO222" s="26"/>
      <c r="KAS222" s="23"/>
      <c r="KAX222" s="26"/>
      <c r="KBB222" s="23"/>
      <c r="KBG222" s="26"/>
      <c r="KBK222" s="23"/>
      <c r="KBP222" s="26"/>
      <c r="KBT222" s="23"/>
      <c r="KBY222" s="26"/>
      <c r="KCC222" s="23"/>
      <c r="KCH222" s="26"/>
      <c r="KCL222" s="23"/>
      <c r="KCQ222" s="26"/>
      <c r="KCU222" s="23"/>
      <c r="KCZ222" s="26"/>
      <c r="KDD222" s="23"/>
      <c r="KDI222" s="26"/>
      <c r="KDM222" s="23"/>
      <c r="KDR222" s="26"/>
      <c r="KDV222" s="23"/>
      <c r="KEA222" s="26"/>
      <c r="KEE222" s="23"/>
      <c r="KEJ222" s="26"/>
      <c r="KEN222" s="23"/>
      <c r="KES222" s="26"/>
      <c r="KEW222" s="23"/>
      <c r="KFB222" s="26"/>
      <c r="KFF222" s="23"/>
      <c r="KFK222" s="26"/>
      <c r="KFO222" s="23"/>
      <c r="KFT222" s="26"/>
      <c r="KFX222" s="23"/>
      <c r="KGC222" s="26"/>
      <c r="KGG222" s="23"/>
      <c r="KGL222" s="26"/>
      <c r="KGP222" s="23"/>
      <c r="KGU222" s="26"/>
      <c r="KGY222" s="23"/>
      <c r="KHD222" s="26"/>
      <c r="KHH222" s="23"/>
      <c r="KHM222" s="26"/>
      <c r="KHQ222" s="23"/>
      <c r="KHV222" s="26"/>
      <c r="KHZ222" s="23"/>
      <c r="KIE222" s="26"/>
      <c r="KII222" s="23"/>
      <c r="KIN222" s="26"/>
      <c r="KIR222" s="23"/>
      <c r="KIW222" s="26"/>
      <c r="KJA222" s="23"/>
      <c r="KJF222" s="26"/>
      <c r="KJJ222" s="23"/>
      <c r="KJO222" s="26"/>
      <c r="KJS222" s="23"/>
      <c r="KJX222" s="26"/>
      <c r="KKB222" s="23"/>
      <c r="KKG222" s="26"/>
      <c r="KKK222" s="23"/>
      <c r="KKP222" s="26"/>
      <c r="KKT222" s="23"/>
      <c r="KKY222" s="26"/>
      <c r="KLC222" s="23"/>
      <c r="KLH222" s="26"/>
      <c r="KLL222" s="23"/>
      <c r="KLQ222" s="26"/>
      <c r="KLU222" s="23"/>
      <c r="KLZ222" s="26"/>
      <c r="KMD222" s="23"/>
      <c r="KMI222" s="26"/>
      <c r="KMM222" s="23"/>
      <c r="KMR222" s="26"/>
      <c r="KMV222" s="23"/>
      <c r="KNA222" s="26"/>
      <c r="KNE222" s="23"/>
      <c r="KNJ222" s="26"/>
      <c r="KNN222" s="23"/>
      <c r="KNS222" s="26"/>
      <c r="KNW222" s="23"/>
      <c r="KOB222" s="26"/>
      <c r="KOF222" s="23"/>
      <c r="KOK222" s="26"/>
      <c r="KOO222" s="23"/>
      <c r="KOT222" s="26"/>
      <c r="KOX222" s="23"/>
      <c r="KPC222" s="26"/>
      <c r="KPG222" s="23"/>
      <c r="KPL222" s="26"/>
      <c r="KPP222" s="23"/>
      <c r="KPU222" s="26"/>
      <c r="KPY222" s="23"/>
      <c r="KQD222" s="26"/>
      <c r="KQH222" s="23"/>
      <c r="KQM222" s="26"/>
      <c r="KQQ222" s="23"/>
      <c r="KQV222" s="26"/>
      <c r="KQZ222" s="23"/>
      <c r="KRE222" s="26"/>
      <c r="KRI222" s="23"/>
      <c r="KRN222" s="26"/>
      <c r="KRR222" s="23"/>
      <c r="KRW222" s="26"/>
      <c r="KSA222" s="23"/>
      <c r="KSF222" s="26"/>
      <c r="KSJ222" s="23"/>
      <c r="KSO222" s="26"/>
      <c r="KSS222" s="23"/>
      <c r="KSX222" s="26"/>
      <c r="KTB222" s="23"/>
      <c r="KTG222" s="26"/>
      <c r="KTK222" s="23"/>
      <c r="KTP222" s="26"/>
      <c r="KTT222" s="23"/>
      <c r="KTY222" s="26"/>
      <c r="KUC222" s="23"/>
      <c r="KUH222" s="26"/>
      <c r="KUL222" s="23"/>
      <c r="KUQ222" s="26"/>
      <c r="KUU222" s="23"/>
      <c r="KUZ222" s="26"/>
      <c r="KVD222" s="23"/>
      <c r="KVI222" s="26"/>
      <c r="KVM222" s="23"/>
      <c r="KVR222" s="26"/>
      <c r="KVV222" s="23"/>
      <c r="KWA222" s="26"/>
      <c r="KWE222" s="23"/>
      <c r="KWJ222" s="26"/>
      <c r="KWN222" s="23"/>
      <c r="KWS222" s="26"/>
      <c r="KWW222" s="23"/>
      <c r="KXB222" s="26"/>
      <c r="KXF222" s="23"/>
      <c r="KXK222" s="26"/>
      <c r="KXO222" s="23"/>
      <c r="KXT222" s="26"/>
      <c r="KXX222" s="23"/>
      <c r="KYC222" s="26"/>
      <c r="KYG222" s="23"/>
      <c r="KYL222" s="26"/>
      <c r="KYP222" s="23"/>
      <c r="KYU222" s="26"/>
      <c r="KYY222" s="23"/>
      <c r="KZD222" s="26"/>
      <c r="KZH222" s="23"/>
      <c r="KZM222" s="26"/>
      <c r="KZQ222" s="23"/>
      <c r="KZV222" s="26"/>
      <c r="KZZ222" s="23"/>
      <c r="LAE222" s="26"/>
      <c r="LAI222" s="23"/>
      <c r="LAN222" s="26"/>
      <c r="LAR222" s="23"/>
      <c r="LAW222" s="26"/>
      <c r="LBA222" s="23"/>
      <c r="LBF222" s="26"/>
      <c r="LBJ222" s="23"/>
      <c r="LBO222" s="26"/>
      <c r="LBS222" s="23"/>
      <c r="LBX222" s="26"/>
      <c r="LCB222" s="23"/>
      <c r="LCG222" s="26"/>
      <c r="LCK222" s="23"/>
      <c r="LCP222" s="26"/>
      <c r="LCT222" s="23"/>
      <c r="LCY222" s="26"/>
      <c r="LDC222" s="23"/>
      <c r="LDH222" s="26"/>
      <c r="LDL222" s="23"/>
      <c r="LDQ222" s="26"/>
      <c r="LDU222" s="23"/>
      <c r="LDZ222" s="26"/>
      <c r="LED222" s="23"/>
      <c r="LEI222" s="26"/>
      <c r="LEM222" s="23"/>
      <c r="LER222" s="26"/>
      <c r="LEV222" s="23"/>
      <c r="LFA222" s="26"/>
      <c r="LFE222" s="23"/>
      <c r="LFJ222" s="26"/>
      <c r="LFN222" s="23"/>
      <c r="LFS222" s="26"/>
      <c r="LFW222" s="23"/>
      <c r="LGB222" s="26"/>
      <c r="LGF222" s="23"/>
      <c r="LGK222" s="26"/>
      <c r="LGO222" s="23"/>
      <c r="LGT222" s="26"/>
      <c r="LGX222" s="23"/>
      <c r="LHC222" s="26"/>
      <c r="LHG222" s="23"/>
      <c r="LHL222" s="26"/>
      <c r="LHP222" s="23"/>
      <c r="LHU222" s="26"/>
      <c r="LHY222" s="23"/>
      <c r="LID222" s="26"/>
      <c r="LIH222" s="23"/>
      <c r="LIM222" s="26"/>
      <c r="LIQ222" s="23"/>
      <c r="LIV222" s="26"/>
      <c r="LIZ222" s="23"/>
      <c r="LJE222" s="26"/>
      <c r="LJI222" s="23"/>
      <c r="LJN222" s="26"/>
      <c r="LJR222" s="23"/>
      <c r="LJW222" s="26"/>
      <c r="LKA222" s="23"/>
      <c r="LKF222" s="26"/>
      <c r="LKJ222" s="23"/>
      <c r="LKO222" s="26"/>
      <c r="LKS222" s="23"/>
      <c r="LKX222" s="26"/>
      <c r="LLB222" s="23"/>
      <c r="LLG222" s="26"/>
      <c r="LLK222" s="23"/>
      <c r="LLP222" s="26"/>
      <c r="LLT222" s="23"/>
      <c r="LLY222" s="26"/>
      <c r="LMC222" s="23"/>
      <c r="LMH222" s="26"/>
      <c r="LML222" s="23"/>
      <c r="LMQ222" s="26"/>
      <c r="LMU222" s="23"/>
      <c r="LMZ222" s="26"/>
      <c r="LND222" s="23"/>
      <c r="LNI222" s="26"/>
      <c r="LNM222" s="23"/>
      <c r="LNR222" s="26"/>
      <c r="LNV222" s="23"/>
      <c r="LOA222" s="26"/>
      <c r="LOE222" s="23"/>
      <c r="LOJ222" s="26"/>
      <c r="LON222" s="23"/>
      <c r="LOS222" s="26"/>
      <c r="LOW222" s="23"/>
      <c r="LPB222" s="26"/>
      <c r="LPF222" s="23"/>
      <c r="LPK222" s="26"/>
      <c r="LPO222" s="23"/>
      <c r="LPT222" s="26"/>
      <c r="LPX222" s="23"/>
      <c r="LQC222" s="26"/>
      <c r="LQG222" s="23"/>
      <c r="LQL222" s="26"/>
      <c r="LQP222" s="23"/>
      <c r="LQU222" s="26"/>
      <c r="LQY222" s="23"/>
      <c r="LRD222" s="26"/>
      <c r="LRH222" s="23"/>
      <c r="LRM222" s="26"/>
      <c r="LRQ222" s="23"/>
      <c r="LRV222" s="26"/>
      <c r="LRZ222" s="23"/>
      <c r="LSE222" s="26"/>
      <c r="LSI222" s="23"/>
      <c r="LSN222" s="26"/>
      <c r="LSR222" s="23"/>
      <c r="LSW222" s="26"/>
      <c r="LTA222" s="23"/>
      <c r="LTF222" s="26"/>
      <c r="LTJ222" s="23"/>
      <c r="LTO222" s="26"/>
      <c r="LTS222" s="23"/>
      <c r="LTX222" s="26"/>
      <c r="LUB222" s="23"/>
      <c r="LUG222" s="26"/>
      <c r="LUK222" s="23"/>
      <c r="LUP222" s="26"/>
      <c r="LUT222" s="23"/>
      <c r="LUY222" s="26"/>
      <c r="LVC222" s="23"/>
      <c r="LVH222" s="26"/>
      <c r="LVL222" s="23"/>
      <c r="LVQ222" s="26"/>
      <c r="LVU222" s="23"/>
      <c r="LVZ222" s="26"/>
      <c r="LWD222" s="23"/>
      <c r="LWI222" s="26"/>
      <c r="LWM222" s="23"/>
      <c r="LWR222" s="26"/>
      <c r="LWV222" s="23"/>
      <c r="LXA222" s="26"/>
      <c r="LXE222" s="23"/>
      <c r="LXJ222" s="26"/>
      <c r="LXN222" s="23"/>
      <c r="LXS222" s="26"/>
      <c r="LXW222" s="23"/>
      <c r="LYB222" s="26"/>
      <c r="LYF222" s="23"/>
      <c r="LYK222" s="26"/>
      <c r="LYO222" s="23"/>
      <c r="LYT222" s="26"/>
      <c r="LYX222" s="23"/>
      <c r="LZC222" s="26"/>
      <c r="LZG222" s="23"/>
      <c r="LZL222" s="26"/>
      <c r="LZP222" s="23"/>
      <c r="LZU222" s="26"/>
      <c r="LZY222" s="23"/>
      <c r="MAD222" s="26"/>
      <c r="MAH222" s="23"/>
      <c r="MAM222" s="26"/>
      <c r="MAQ222" s="23"/>
      <c r="MAV222" s="26"/>
      <c r="MAZ222" s="23"/>
      <c r="MBE222" s="26"/>
      <c r="MBI222" s="23"/>
      <c r="MBN222" s="26"/>
      <c r="MBR222" s="23"/>
      <c r="MBW222" s="26"/>
      <c r="MCA222" s="23"/>
      <c r="MCF222" s="26"/>
      <c r="MCJ222" s="23"/>
      <c r="MCO222" s="26"/>
      <c r="MCS222" s="23"/>
      <c r="MCX222" s="26"/>
      <c r="MDB222" s="23"/>
      <c r="MDG222" s="26"/>
      <c r="MDK222" s="23"/>
      <c r="MDP222" s="26"/>
      <c r="MDT222" s="23"/>
      <c r="MDY222" s="26"/>
      <c r="MEC222" s="23"/>
      <c r="MEH222" s="26"/>
      <c r="MEL222" s="23"/>
      <c r="MEQ222" s="26"/>
      <c r="MEU222" s="23"/>
      <c r="MEZ222" s="26"/>
      <c r="MFD222" s="23"/>
      <c r="MFI222" s="26"/>
      <c r="MFM222" s="23"/>
      <c r="MFR222" s="26"/>
      <c r="MFV222" s="23"/>
      <c r="MGA222" s="26"/>
      <c r="MGE222" s="23"/>
      <c r="MGJ222" s="26"/>
      <c r="MGN222" s="23"/>
      <c r="MGS222" s="26"/>
      <c r="MGW222" s="23"/>
      <c r="MHB222" s="26"/>
      <c r="MHF222" s="23"/>
      <c r="MHK222" s="26"/>
      <c r="MHO222" s="23"/>
      <c r="MHT222" s="26"/>
      <c r="MHX222" s="23"/>
      <c r="MIC222" s="26"/>
      <c r="MIG222" s="23"/>
      <c r="MIL222" s="26"/>
      <c r="MIP222" s="23"/>
      <c r="MIU222" s="26"/>
      <c r="MIY222" s="23"/>
      <c r="MJD222" s="26"/>
      <c r="MJH222" s="23"/>
      <c r="MJM222" s="26"/>
      <c r="MJQ222" s="23"/>
      <c r="MJV222" s="26"/>
      <c r="MJZ222" s="23"/>
      <c r="MKE222" s="26"/>
      <c r="MKI222" s="23"/>
      <c r="MKN222" s="26"/>
      <c r="MKR222" s="23"/>
      <c r="MKW222" s="26"/>
      <c r="MLA222" s="23"/>
      <c r="MLF222" s="26"/>
      <c r="MLJ222" s="23"/>
      <c r="MLO222" s="26"/>
      <c r="MLS222" s="23"/>
      <c r="MLX222" s="26"/>
      <c r="MMB222" s="23"/>
      <c r="MMG222" s="26"/>
      <c r="MMK222" s="23"/>
      <c r="MMP222" s="26"/>
      <c r="MMT222" s="23"/>
      <c r="MMY222" s="26"/>
      <c r="MNC222" s="23"/>
      <c r="MNH222" s="26"/>
      <c r="MNL222" s="23"/>
      <c r="MNQ222" s="26"/>
      <c r="MNU222" s="23"/>
      <c r="MNZ222" s="26"/>
      <c r="MOD222" s="23"/>
      <c r="MOI222" s="26"/>
      <c r="MOM222" s="23"/>
      <c r="MOR222" s="26"/>
      <c r="MOV222" s="23"/>
      <c r="MPA222" s="26"/>
      <c r="MPE222" s="23"/>
      <c r="MPJ222" s="26"/>
      <c r="MPN222" s="23"/>
      <c r="MPS222" s="26"/>
      <c r="MPW222" s="23"/>
      <c r="MQB222" s="26"/>
      <c r="MQF222" s="23"/>
      <c r="MQK222" s="26"/>
      <c r="MQO222" s="23"/>
      <c r="MQT222" s="26"/>
      <c r="MQX222" s="23"/>
      <c r="MRC222" s="26"/>
      <c r="MRG222" s="23"/>
      <c r="MRL222" s="26"/>
      <c r="MRP222" s="23"/>
      <c r="MRU222" s="26"/>
      <c r="MRY222" s="23"/>
      <c r="MSD222" s="26"/>
      <c r="MSH222" s="23"/>
      <c r="MSM222" s="26"/>
      <c r="MSQ222" s="23"/>
      <c r="MSV222" s="26"/>
      <c r="MSZ222" s="23"/>
      <c r="MTE222" s="26"/>
      <c r="MTI222" s="23"/>
      <c r="MTN222" s="26"/>
      <c r="MTR222" s="23"/>
      <c r="MTW222" s="26"/>
      <c r="MUA222" s="23"/>
      <c r="MUF222" s="26"/>
      <c r="MUJ222" s="23"/>
      <c r="MUO222" s="26"/>
      <c r="MUS222" s="23"/>
      <c r="MUX222" s="26"/>
      <c r="MVB222" s="23"/>
      <c r="MVG222" s="26"/>
      <c r="MVK222" s="23"/>
      <c r="MVP222" s="26"/>
      <c r="MVT222" s="23"/>
      <c r="MVY222" s="26"/>
      <c r="MWC222" s="23"/>
      <c r="MWH222" s="26"/>
      <c r="MWL222" s="23"/>
      <c r="MWQ222" s="26"/>
      <c r="MWU222" s="23"/>
      <c r="MWZ222" s="26"/>
      <c r="MXD222" s="23"/>
      <c r="MXI222" s="26"/>
      <c r="MXM222" s="23"/>
      <c r="MXR222" s="26"/>
      <c r="MXV222" s="23"/>
      <c r="MYA222" s="26"/>
      <c r="MYE222" s="23"/>
      <c r="MYJ222" s="26"/>
      <c r="MYN222" s="23"/>
      <c r="MYS222" s="26"/>
      <c r="MYW222" s="23"/>
      <c r="MZB222" s="26"/>
      <c r="MZF222" s="23"/>
      <c r="MZK222" s="26"/>
      <c r="MZO222" s="23"/>
      <c r="MZT222" s="26"/>
      <c r="MZX222" s="23"/>
      <c r="NAC222" s="26"/>
      <c r="NAG222" s="23"/>
      <c r="NAL222" s="26"/>
      <c r="NAP222" s="23"/>
      <c r="NAU222" s="26"/>
      <c r="NAY222" s="23"/>
      <c r="NBD222" s="26"/>
      <c r="NBH222" s="23"/>
      <c r="NBM222" s="26"/>
      <c r="NBQ222" s="23"/>
      <c r="NBV222" s="26"/>
      <c r="NBZ222" s="23"/>
      <c r="NCE222" s="26"/>
      <c r="NCI222" s="23"/>
      <c r="NCN222" s="26"/>
      <c r="NCR222" s="23"/>
      <c r="NCW222" s="26"/>
      <c r="NDA222" s="23"/>
      <c r="NDF222" s="26"/>
      <c r="NDJ222" s="23"/>
      <c r="NDO222" s="26"/>
      <c r="NDS222" s="23"/>
      <c r="NDX222" s="26"/>
      <c r="NEB222" s="23"/>
      <c r="NEG222" s="26"/>
      <c r="NEK222" s="23"/>
      <c r="NEP222" s="26"/>
      <c r="NET222" s="23"/>
      <c r="NEY222" s="26"/>
      <c r="NFC222" s="23"/>
      <c r="NFH222" s="26"/>
      <c r="NFL222" s="23"/>
      <c r="NFQ222" s="26"/>
      <c r="NFU222" s="23"/>
      <c r="NFZ222" s="26"/>
      <c r="NGD222" s="23"/>
      <c r="NGI222" s="26"/>
      <c r="NGM222" s="23"/>
      <c r="NGR222" s="26"/>
      <c r="NGV222" s="23"/>
      <c r="NHA222" s="26"/>
      <c r="NHE222" s="23"/>
      <c r="NHJ222" s="26"/>
      <c r="NHN222" s="23"/>
      <c r="NHS222" s="26"/>
      <c r="NHW222" s="23"/>
      <c r="NIB222" s="26"/>
      <c r="NIF222" s="23"/>
      <c r="NIK222" s="26"/>
      <c r="NIO222" s="23"/>
      <c r="NIT222" s="26"/>
      <c r="NIX222" s="23"/>
      <c r="NJC222" s="26"/>
      <c r="NJG222" s="23"/>
      <c r="NJL222" s="26"/>
      <c r="NJP222" s="23"/>
      <c r="NJU222" s="26"/>
      <c r="NJY222" s="23"/>
      <c r="NKD222" s="26"/>
      <c r="NKH222" s="23"/>
      <c r="NKM222" s="26"/>
      <c r="NKQ222" s="23"/>
      <c r="NKV222" s="26"/>
      <c r="NKZ222" s="23"/>
      <c r="NLE222" s="26"/>
      <c r="NLI222" s="23"/>
      <c r="NLN222" s="26"/>
      <c r="NLR222" s="23"/>
      <c r="NLW222" s="26"/>
      <c r="NMA222" s="23"/>
      <c r="NMF222" s="26"/>
      <c r="NMJ222" s="23"/>
      <c r="NMO222" s="26"/>
      <c r="NMS222" s="23"/>
      <c r="NMX222" s="26"/>
      <c r="NNB222" s="23"/>
      <c r="NNG222" s="26"/>
      <c r="NNK222" s="23"/>
      <c r="NNP222" s="26"/>
      <c r="NNT222" s="23"/>
      <c r="NNY222" s="26"/>
      <c r="NOC222" s="23"/>
      <c r="NOH222" s="26"/>
      <c r="NOL222" s="23"/>
      <c r="NOQ222" s="26"/>
      <c r="NOU222" s="23"/>
      <c r="NOZ222" s="26"/>
      <c r="NPD222" s="23"/>
      <c r="NPI222" s="26"/>
      <c r="NPM222" s="23"/>
      <c r="NPR222" s="26"/>
      <c r="NPV222" s="23"/>
      <c r="NQA222" s="26"/>
      <c r="NQE222" s="23"/>
      <c r="NQJ222" s="26"/>
      <c r="NQN222" s="23"/>
      <c r="NQS222" s="26"/>
      <c r="NQW222" s="23"/>
      <c r="NRB222" s="26"/>
      <c r="NRF222" s="23"/>
      <c r="NRK222" s="26"/>
      <c r="NRO222" s="23"/>
      <c r="NRT222" s="26"/>
      <c r="NRX222" s="23"/>
      <c r="NSC222" s="26"/>
      <c r="NSG222" s="23"/>
      <c r="NSL222" s="26"/>
      <c r="NSP222" s="23"/>
      <c r="NSU222" s="26"/>
      <c r="NSY222" s="23"/>
      <c r="NTD222" s="26"/>
      <c r="NTH222" s="23"/>
      <c r="NTM222" s="26"/>
      <c r="NTQ222" s="23"/>
      <c r="NTV222" s="26"/>
      <c r="NTZ222" s="23"/>
      <c r="NUE222" s="26"/>
      <c r="NUI222" s="23"/>
      <c r="NUN222" s="26"/>
      <c r="NUR222" s="23"/>
      <c r="NUW222" s="26"/>
      <c r="NVA222" s="23"/>
      <c r="NVF222" s="26"/>
      <c r="NVJ222" s="23"/>
      <c r="NVO222" s="26"/>
      <c r="NVS222" s="23"/>
      <c r="NVX222" s="26"/>
      <c r="NWB222" s="23"/>
      <c r="NWG222" s="26"/>
      <c r="NWK222" s="23"/>
      <c r="NWP222" s="26"/>
      <c r="NWT222" s="23"/>
      <c r="NWY222" s="26"/>
      <c r="NXC222" s="23"/>
      <c r="NXH222" s="26"/>
      <c r="NXL222" s="23"/>
      <c r="NXQ222" s="26"/>
      <c r="NXU222" s="23"/>
      <c r="NXZ222" s="26"/>
      <c r="NYD222" s="23"/>
      <c r="NYI222" s="26"/>
      <c r="NYM222" s="23"/>
      <c r="NYR222" s="26"/>
      <c r="NYV222" s="23"/>
      <c r="NZA222" s="26"/>
      <c r="NZE222" s="23"/>
      <c r="NZJ222" s="26"/>
      <c r="NZN222" s="23"/>
      <c r="NZS222" s="26"/>
      <c r="NZW222" s="23"/>
      <c r="OAB222" s="26"/>
      <c r="OAF222" s="23"/>
      <c r="OAK222" s="26"/>
      <c r="OAO222" s="23"/>
      <c r="OAT222" s="26"/>
      <c r="OAX222" s="23"/>
      <c r="OBC222" s="26"/>
      <c r="OBG222" s="23"/>
      <c r="OBL222" s="26"/>
      <c r="OBP222" s="23"/>
      <c r="OBU222" s="26"/>
      <c r="OBY222" s="23"/>
      <c r="OCD222" s="26"/>
      <c r="OCH222" s="23"/>
      <c r="OCM222" s="26"/>
      <c r="OCQ222" s="23"/>
      <c r="OCV222" s="26"/>
      <c r="OCZ222" s="23"/>
      <c r="ODE222" s="26"/>
      <c r="ODI222" s="23"/>
      <c r="ODN222" s="26"/>
      <c r="ODR222" s="23"/>
      <c r="ODW222" s="26"/>
      <c r="OEA222" s="23"/>
      <c r="OEF222" s="26"/>
      <c r="OEJ222" s="23"/>
      <c r="OEO222" s="26"/>
      <c r="OES222" s="23"/>
      <c r="OEX222" s="26"/>
      <c r="OFB222" s="23"/>
      <c r="OFG222" s="26"/>
      <c r="OFK222" s="23"/>
      <c r="OFP222" s="26"/>
      <c r="OFT222" s="23"/>
      <c r="OFY222" s="26"/>
      <c r="OGC222" s="23"/>
      <c r="OGH222" s="26"/>
      <c r="OGL222" s="23"/>
      <c r="OGQ222" s="26"/>
      <c r="OGU222" s="23"/>
      <c r="OGZ222" s="26"/>
      <c r="OHD222" s="23"/>
      <c r="OHI222" s="26"/>
      <c r="OHM222" s="23"/>
      <c r="OHR222" s="26"/>
      <c r="OHV222" s="23"/>
      <c r="OIA222" s="26"/>
      <c r="OIE222" s="23"/>
      <c r="OIJ222" s="26"/>
      <c r="OIN222" s="23"/>
      <c r="OIS222" s="26"/>
      <c r="OIW222" s="23"/>
      <c r="OJB222" s="26"/>
      <c r="OJF222" s="23"/>
      <c r="OJK222" s="26"/>
      <c r="OJO222" s="23"/>
      <c r="OJT222" s="26"/>
      <c r="OJX222" s="23"/>
      <c r="OKC222" s="26"/>
      <c r="OKG222" s="23"/>
      <c r="OKL222" s="26"/>
      <c r="OKP222" s="23"/>
      <c r="OKU222" s="26"/>
      <c r="OKY222" s="23"/>
      <c r="OLD222" s="26"/>
      <c r="OLH222" s="23"/>
      <c r="OLM222" s="26"/>
      <c r="OLQ222" s="23"/>
      <c r="OLV222" s="26"/>
      <c r="OLZ222" s="23"/>
      <c r="OME222" s="26"/>
      <c r="OMI222" s="23"/>
      <c r="OMN222" s="26"/>
      <c r="OMR222" s="23"/>
      <c r="OMW222" s="26"/>
      <c r="ONA222" s="23"/>
      <c r="ONF222" s="26"/>
      <c r="ONJ222" s="23"/>
      <c r="ONO222" s="26"/>
      <c r="ONS222" s="23"/>
      <c r="ONX222" s="26"/>
      <c r="OOB222" s="23"/>
      <c r="OOG222" s="26"/>
      <c r="OOK222" s="23"/>
      <c r="OOP222" s="26"/>
      <c r="OOT222" s="23"/>
      <c r="OOY222" s="26"/>
      <c r="OPC222" s="23"/>
      <c r="OPH222" s="26"/>
      <c r="OPL222" s="23"/>
      <c r="OPQ222" s="26"/>
      <c r="OPU222" s="23"/>
      <c r="OPZ222" s="26"/>
      <c r="OQD222" s="23"/>
      <c r="OQI222" s="26"/>
      <c r="OQM222" s="23"/>
      <c r="OQR222" s="26"/>
      <c r="OQV222" s="23"/>
      <c r="ORA222" s="26"/>
      <c r="ORE222" s="23"/>
      <c r="ORJ222" s="26"/>
      <c r="ORN222" s="23"/>
      <c r="ORS222" s="26"/>
      <c r="ORW222" s="23"/>
      <c r="OSB222" s="26"/>
      <c r="OSF222" s="23"/>
      <c r="OSK222" s="26"/>
      <c r="OSO222" s="23"/>
      <c r="OST222" s="26"/>
      <c r="OSX222" s="23"/>
      <c r="OTC222" s="26"/>
      <c r="OTG222" s="23"/>
      <c r="OTL222" s="26"/>
      <c r="OTP222" s="23"/>
      <c r="OTU222" s="26"/>
      <c r="OTY222" s="23"/>
      <c r="OUD222" s="26"/>
      <c r="OUH222" s="23"/>
      <c r="OUM222" s="26"/>
      <c r="OUQ222" s="23"/>
      <c r="OUV222" s="26"/>
      <c r="OUZ222" s="23"/>
      <c r="OVE222" s="26"/>
      <c r="OVI222" s="23"/>
      <c r="OVN222" s="26"/>
      <c r="OVR222" s="23"/>
      <c r="OVW222" s="26"/>
      <c r="OWA222" s="23"/>
      <c r="OWF222" s="26"/>
      <c r="OWJ222" s="23"/>
      <c r="OWO222" s="26"/>
      <c r="OWS222" s="23"/>
      <c r="OWX222" s="26"/>
      <c r="OXB222" s="23"/>
      <c r="OXG222" s="26"/>
      <c r="OXK222" s="23"/>
      <c r="OXP222" s="26"/>
      <c r="OXT222" s="23"/>
      <c r="OXY222" s="26"/>
      <c r="OYC222" s="23"/>
      <c r="OYH222" s="26"/>
      <c r="OYL222" s="23"/>
      <c r="OYQ222" s="26"/>
      <c r="OYU222" s="23"/>
      <c r="OYZ222" s="26"/>
      <c r="OZD222" s="23"/>
      <c r="OZI222" s="26"/>
      <c r="OZM222" s="23"/>
      <c r="OZR222" s="26"/>
      <c r="OZV222" s="23"/>
      <c r="PAA222" s="26"/>
      <c r="PAE222" s="23"/>
      <c r="PAJ222" s="26"/>
      <c r="PAN222" s="23"/>
      <c r="PAS222" s="26"/>
      <c r="PAW222" s="23"/>
      <c r="PBB222" s="26"/>
      <c r="PBF222" s="23"/>
      <c r="PBK222" s="26"/>
      <c r="PBO222" s="23"/>
      <c r="PBT222" s="26"/>
      <c r="PBX222" s="23"/>
      <c r="PCC222" s="26"/>
      <c r="PCG222" s="23"/>
      <c r="PCL222" s="26"/>
      <c r="PCP222" s="23"/>
      <c r="PCU222" s="26"/>
      <c r="PCY222" s="23"/>
      <c r="PDD222" s="26"/>
      <c r="PDH222" s="23"/>
      <c r="PDM222" s="26"/>
      <c r="PDQ222" s="23"/>
      <c r="PDV222" s="26"/>
      <c r="PDZ222" s="23"/>
      <c r="PEE222" s="26"/>
      <c r="PEI222" s="23"/>
      <c r="PEN222" s="26"/>
      <c r="PER222" s="23"/>
      <c r="PEW222" s="26"/>
      <c r="PFA222" s="23"/>
      <c r="PFF222" s="26"/>
      <c r="PFJ222" s="23"/>
      <c r="PFO222" s="26"/>
      <c r="PFS222" s="23"/>
      <c r="PFX222" s="26"/>
      <c r="PGB222" s="23"/>
      <c r="PGG222" s="26"/>
      <c r="PGK222" s="23"/>
      <c r="PGP222" s="26"/>
      <c r="PGT222" s="23"/>
      <c r="PGY222" s="26"/>
      <c r="PHC222" s="23"/>
      <c r="PHH222" s="26"/>
      <c r="PHL222" s="23"/>
      <c r="PHQ222" s="26"/>
      <c r="PHU222" s="23"/>
      <c r="PHZ222" s="26"/>
      <c r="PID222" s="23"/>
      <c r="PII222" s="26"/>
      <c r="PIM222" s="23"/>
      <c r="PIR222" s="26"/>
      <c r="PIV222" s="23"/>
      <c r="PJA222" s="26"/>
      <c r="PJE222" s="23"/>
      <c r="PJJ222" s="26"/>
      <c r="PJN222" s="23"/>
      <c r="PJS222" s="26"/>
      <c r="PJW222" s="23"/>
      <c r="PKB222" s="26"/>
      <c r="PKF222" s="23"/>
      <c r="PKK222" s="26"/>
      <c r="PKO222" s="23"/>
      <c r="PKT222" s="26"/>
      <c r="PKX222" s="23"/>
      <c r="PLC222" s="26"/>
      <c r="PLG222" s="23"/>
      <c r="PLL222" s="26"/>
      <c r="PLP222" s="23"/>
      <c r="PLU222" s="26"/>
      <c r="PLY222" s="23"/>
      <c r="PMD222" s="26"/>
      <c r="PMH222" s="23"/>
      <c r="PMM222" s="26"/>
      <c r="PMQ222" s="23"/>
      <c r="PMV222" s="26"/>
      <c r="PMZ222" s="23"/>
      <c r="PNE222" s="26"/>
      <c r="PNI222" s="23"/>
      <c r="PNN222" s="26"/>
      <c r="PNR222" s="23"/>
      <c r="PNW222" s="26"/>
      <c r="POA222" s="23"/>
      <c r="POF222" s="26"/>
      <c r="POJ222" s="23"/>
      <c r="POO222" s="26"/>
      <c r="POS222" s="23"/>
      <c r="POX222" s="26"/>
      <c r="PPB222" s="23"/>
      <c r="PPG222" s="26"/>
      <c r="PPK222" s="23"/>
      <c r="PPP222" s="26"/>
      <c r="PPT222" s="23"/>
      <c r="PPY222" s="26"/>
      <c r="PQC222" s="23"/>
      <c r="PQH222" s="26"/>
      <c r="PQL222" s="23"/>
      <c r="PQQ222" s="26"/>
      <c r="PQU222" s="23"/>
      <c r="PQZ222" s="26"/>
      <c r="PRD222" s="23"/>
      <c r="PRI222" s="26"/>
      <c r="PRM222" s="23"/>
      <c r="PRR222" s="26"/>
      <c r="PRV222" s="23"/>
      <c r="PSA222" s="26"/>
      <c r="PSE222" s="23"/>
      <c r="PSJ222" s="26"/>
      <c r="PSN222" s="23"/>
      <c r="PSS222" s="26"/>
      <c r="PSW222" s="23"/>
      <c r="PTB222" s="26"/>
      <c r="PTF222" s="23"/>
      <c r="PTK222" s="26"/>
      <c r="PTO222" s="23"/>
      <c r="PTT222" s="26"/>
      <c r="PTX222" s="23"/>
      <c r="PUC222" s="26"/>
      <c r="PUG222" s="23"/>
      <c r="PUL222" s="26"/>
      <c r="PUP222" s="23"/>
      <c r="PUU222" s="26"/>
      <c r="PUY222" s="23"/>
      <c r="PVD222" s="26"/>
      <c r="PVH222" s="23"/>
      <c r="PVM222" s="26"/>
      <c r="PVQ222" s="23"/>
      <c r="PVV222" s="26"/>
      <c r="PVZ222" s="23"/>
      <c r="PWE222" s="26"/>
      <c r="PWI222" s="23"/>
      <c r="PWN222" s="26"/>
      <c r="PWR222" s="23"/>
      <c r="PWW222" s="26"/>
      <c r="PXA222" s="23"/>
      <c r="PXF222" s="26"/>
      <c r="PXJ222" s="23"/>
      <c r="PXO222" s="26"/>
      <c r="PXS222" s="23"/>
      <c r="PXX222" s="26"/>
      <c r="PYB222" s="23"/>
      <c r="PYG222" s="26"/>
      <c r="PYK222" s="23"/>
      <c r="PYP222" s="26"/>
      <c r="PYT222" s="23"/>
      <c r="PYY222" s="26"/>
      <c r="PZC222" s="23"/>
      <c r="PZH222" s="26"/>
      <c r="PZL222" s="23"/>
      <c r="PZQ222" s="26"/>
      <c r="PZU222" s="23"/>
      <c r="PZZ222" s="26"/>
      <c r="QAD222" s="23"/>
      <c r="QAI222" s="26"/>
      <c r="QAM222" s="23"/>
      <c r="QAR222" s="26"/>
      <c r="QAV222" s="23"/>
      <c r="QBA222" s="26"/>
      <c r="QBE222" s="23"/>
      <c r="QBJ222" s="26"/>
      <c r="QBN222" s="23"/>
      <c r="QBS222" s="26"/>
      <c r="QBW222" s="23"/>
      <c r="QCB222" s="26"/>
      <c r="QCF222" s="23"/>
      <c r="QCK222" s="26"/>
      <c r="QCO222" s="23"/>
      <c r="QCT222" s="26"/>
      <c r="QCX222" s="23"/>
      <c r="QDC222" s="26"/>
      <c r="QDG222" s="23"/>
      <c r="QDL222" s="26"/>
      <c r="QDP222" s="23"/>
      <c r="QDU222" s="26"/>
      <c r="QDY222" s="23"/>
      <c r="QED222" s="26"/>
      <c r="QEH222" s="23"/>
      <c r="QEM222" s="26"/>
      <c r="QEQ222" s="23"/>
      <c r="QEV222" s="26"/>
      <c r="QEZ222" s="23"/>
      <c r="QFE222" s="26"/>
      <c r="QFI222" s="23"/>
      <c r="QFN222" s="26"/>
      <c r="QFR222" s="23"/>
      <c r="QFW222" s="26"/>
      <c r="QGA222" s="23"/>
      <c r="QGF222" s="26"/>
      <c r="QGJ222" s="23"/>
      <c r="QGO222" s="26"/>
      <c r="QGS222" s="23"/>
      <c r="QGX222" s="26"/>
      <c r="QHB222" s="23"/>
      <c r="QHG222" s="26"/>
      <c r="QHK222" s="23"/>
      <c r="QHP222" s="26"/>
      <c r="QHT222" s="23"/>
      <c r="QHY222" s="26"/>
      <c r="QIC222" s="23"/>
      <c r="QIH222" s="26"/>
      <c r="QIL222" s="23"/>
      <c r="QIQ222" s="26"/>
      <c r="QIU222" s="23"/>
      <c r="QIZ222" s="26"/>
      <c r="QJD222" s="23"/>
      <c r="QJI222" s="26"/>
      <c r="QJM222" s="23"/>
      <c r="QJR222" s="26"/>
      <c r="QJV222" s="23"/>
      <c r="QKA222" s="26"/>
      <c r="QKE222" s="23"/>
      <c r="QKJ222" s="26"/>
      <c r="QKN222" s="23"/>
      <c r="QKS222" s="26"/>
      <c r="QKW222" s="23"/>
      <c r="QLB222" s="26"/>
      <c r="QLF222" s="23"/>
      <c r="QLK222" s="26"/>
      <c r="QLO222" s="23"/>
      <c r="QLT222" s="26"/>
      <c r="QLX222" s="23"/>
      <c r="QMC222" s="26"/>
      <c r="QMG222" s="23"/>
      <c r="QML222" s="26"/>
      <c r="QMP222" s="23"/>
      <c r="QMU222" s="26"/>
      <c r="QMY222" s="23"/>
      <c r="QND222" s="26"/>
      <c r="QNH222" s="23"/>
      <c r="QNM222" s="26"/>
      <c r="QNQ222" s="23"/>
      <c r="QNV222" s="26"/>
      <c r="QNZ222" s="23"/>
      <c r="QOE222" s="26"/>
      <c r="QOI222" s="23"/>
      <c r="QON222" s="26"/>
      <c r="QOR222" s="23"/>
      <c r="QOW222" s="26"/>
      <c r="QPA222" s="23"/>
      <c r="QPF222" s="26"/>
      <c r="QPJ222" s="23"/>
      <c r="QPO222" s="26"/>
      <c r="QPS222" s="23"/>
      <c r="QPX222" s="26"/>
      <c r="QQB222" s="23"/>
      <c r="QQG222" s="26"/>
      <c r="QQK222" s="23"/>
      <c r="QQP222" s="26"/>
      <c r="QQT222" s="23"/>
      <c r="QQY222" s="26"/>
      <c r="QRC222" s="23"/>
      <c r="QRH222" s="26"/>
      <c r="QRL222" s="23"/>
      <c r="QRQ222" s="26"/>
      <c r="QRU222" s="23"/>
      <c r="QRZ222" s="26"/>
      <c r="QSD222" s="23"/>
      <c r="QSI222" s="26"/>
      <c r="QSM222" s="23"/>
      <c r="QSR222" s="26"/>
      <c r="QSV222" s="23"/>
      <c r="QTA222" s="26"/>
      <c r="QTE222" s="23"/>
      <c r="QTJ222" s="26"/>
      <c r="QTN222" s="23"/>
      <c r="QTS222" s="26"/>
      <c r="QTW222" s="23"/>
      <c r="QUB222" s="26"/>
      <c r="QUF222" s="23"/>
      <c r="QUK222" s="26"/>
      <c r="QUO222" s="23"/>
      <c r="QUT222" s="26"/>
      <c r="QUX222" s="23"/>
      <c r="QVC222" s="26"/>
      <c r="QVG222" s="23"/>
      <c r="QVL222" s="26"/>
      <c r="QVP222" s="23"/>
      <c r="QVU222" s="26"/>
      <c r="QVY222" s="23"/>
      <c r="QWD222" s="26"/>
      <c r="QWH222" s="23"/>
      <c r="QWM222" s="26"/>
      <c r="QWQ222" s="23"/>
      <c r="QWV222" s="26"/>
      <c r="QWZ222" s="23"/>
      <c r="QXE222" s="26"/>
      <c r="QXI222" s="23"/>
      <c r="QXN222" s="26"/>
      <c r="QXR222" s="23"/>
      <c r="QXW222" s="26"/>
      <c r="QYA222" s="23"/>
      <c r="QYF222" s="26"/>
      <c r="QYJ222" s="23"/>
      <c r="QYO222" s="26"/>
      <c r="QYS222" s="23"/>
      <c r="QYX222" s="26"/>
      <c r="QZB222" s="23"/>
      <c r="QZG222" s="26"/>
      <c r="QZK222" s="23"/>
      <c r="QZP222" s="26"/>
      <c r="QZT222" s="23"/>
      <c r="QZY222" s="26"/>
      <c r="RAC222" s="23"/>
      <c r="RAH222" s="26"/>
      <c r="RAL222" s="23"/>
      <c r="RAQ222" s="26"/>
      <c r="RAU222" s="23"/>
      <c r="RAZ222" s="26"/>
      <c r="RBD222" s="23"/>
      <c r="RBI222" s="26"/>
      <c r="RBM222" s="23"/>
      <c r="RBR222" s="26"/>
      <c r="RBV222" s="23"/>
      <c r="RCA222" s="26"/>
      <c r="RCE222" s="23"/>
      <c r="RCJ222" s="26"/>
      <c r="RCN222" s="23"/>
      <c r="RCS222" s="26"/>
      <c r="RCW222" s="23"/>
      <c r="RDB222" s="26"/>
      <c r="RDF222" s="23"/>
      <c r="RDK222" s="26"/>
      <c r="RDO222" s="23"/>
      <c r="RDT222" s="26"/>
      <c r="RDX222" s="23"/>
      <c r="REC222" s="26"/>
      <c r="REG222" s="23"/>
      <c r="REL222" s="26"/>
      <c r="REP222" s="23"/>
      <c r="REU222" s="26"/>
      <c r="REY222" s="23"/>
      <c r="RFD222" s="26"/>
      <c r="RFH222" s="23"/>
      <c r="RFM222" s="26"/>
      <c r="RFQ222" s="23"/>
      <c r="RFV222" s="26"/>
      <c r="RFZ222" s="23"/>
      <c r="RGE222" s="26"/>
      <c r="RGI222" s="23"/>
      <c r="RGN222" s="26"/>
      <c r="RGR222" s="23"/>
      <c r="RGW222" s="26"/>
      <c r="RHA222" s="23"/>
      <c r="RHF222" s="26"/>
      <c r="RHJ222" s="23"/>
      <c r="RHO222" s="26"/>
      <c r="RHS222" s="23"/>
      <c r="RHX222" s="26"/>
      <c r="RIB222" s="23"/>
      <c r="RIG222" s="26"/>
      <c r="RIK222" s="23"/>
      <c r="RIP222" s="26"/>
      <c r="RIT222" s="23"/>
      <c r="RIY222" s="26"/>
      <c r="RJC222" s="23"/>
      <c r="RJH222" s="26"/>
      <c r="RJL222" s="23"/>
      <c r="RJQ222" s="26"/>
      <c r="RJU222" s="23"/>
      <c r="RJZ222" s="26"/>
      <c r="RKD222" s="23"/>
      <c r="RKI222" s="26"/>
      <c r="RKM222" s="23"/>
      <c r="RKR222" s="26"/>
      <c r="RKV222" s="23"/>
      <c r="RLA222" s="26"/>
      <c r="RLE222" s="23"/>
      <c r="RLJ222" s="26"/>
      <c r="RLN222" s="23"/>
      <c r="RLS222" s="26"/>
      <c r="RLW222" s="23"/>
      <c r="RMB222" s="26"/>
      <c r="RMF222" s="23"/>
      <c r="RMK222" s="26"/>
      <c r="RMO222" s="23"/>
      <c r="RMT222" s="26"/>
      <c r="RMX222" s="23"/>
      <c r="RNC222" s="26"/>
      <c r="RNG222" s="23"/>
      <c r="RNL222" s="26"/>
      <c r="RNP222" s="23"/>
      <c r="RNU222" s="26"/>
      <c r="RNY222" s="23"/>
      <c r="ROD222" s="26"/>
      <c r="ROH222" s="23"/>
      <c r="ROM222" s="26"/>
      <c r="ROQ222" s="23"/>
      <c r="ROV222" s="26"/>
      <c r="ROZ222" s="23"/>
      <c r="RPE222" s="26"/>
      <c r="RPI222" s="23"/>
      <c r="RPN222" s="26"/>
      <c r="RPR222" s="23"/>
      <c r="RPW222" s="26"/>
      <c r="RQA222" s="23"/>
      <c r="RQF222" s="26"/>
      <c r="RQJ222" s="23"/>
      <c r="RQO222" s="26"/>
      <c r="RQS222" s="23"/>
      <c r="RQX222" s="26"/>
      <c r="RRB222" s="23"/>
      <c r="RRG222" s="26"/>
      <c r="RRK222" s="23"/>
      <c r="RRP222" s="26"/>
      <c r="RRT222" s="23"/>
      <c r="RRY222" s="26"/>
      <c r="RSC222" s="23"/>
      <c r="RSH222" s="26"/>
      <c r="RSL222" s="23"/>
      <c r="RSQ222" s="26"/>
      <c r="RSU222" s="23"/>
      <c r="RSZ222" s="26"/>
      <c r="RTD222" s="23"/>
      <c r="RTI222" s="26"/>
      <c r="RTM222" s="23"/>
      <c r="RTR222" s="26"/>
      <c r="RTV222" s="23"/>
      <c r="RUA222" s="26"/>
      <c r="RUE222" s="23"/>
      <c r="RUJ222" s="26"/>
      <c r="RUN222" s="23"/>
      <c r="RUS222" s="26"/>
      <c r="RUW222" s="23"/>
      <c r="RVB222" s="26"/>
      <c r="RVF222" s="23"/>
      <c r="RVK222" s="26"/>
      <c r="RVO222" s="23"/>
      <c r="RVT222" s="26"/>
      <c r="RVX222" s="23"/>
      <c r="RWC222" s="26"/>
      <c r="RWG222" s="23"/>
      <c r="RWL222" s="26"/>
      <c r="RWP222" s="23"/>
      <c r="RWU222" s="26"/>
      <c r="RWY222" s="23"/>
      <c r="RXD222" s="26"/>
      <c r="RXH222" s="23"/>
      <c r="RXM222" s="26"/>
      <c r="RXQ222" s="23"/>
      <c r="RXV222" s="26"/>
      <c r="RXZ222" s="23"/>
      <c r="RYE222" s="26"/>
      <c r="RYI222" s="23"/>
      <c r="RYN222" s="26"/>
      <c r="RYR222" s="23"/>
      <c r="RYW222" s="26"/>
      <c r="RZA222" s="23"/>
      <c r="RZF222" s="26"/>
      <c r="RZJ222" s="23"/>
      <c r="RZO222" s="26"/>
      <c r="RZS222" s="23"/>
      <c r="RZX222" s="26"/>
      <c r="SAB222" s="23"/>
      <c r="SAG222" s="26"/>
      <c r="SAK222" s="23"/>
      <c r="SAP222" s="26"/>
      <c r="SAT222" s="23"/>
      <c r="SAY222" s="26"/>
      <c r="SBC222" s="23"/>
      <c r="SBH222" s="26"/>
      <c r="SBL222" s="23"/>
      <c r="SBQ222" s="26"/>
      <c r="SBU222" s="23"/>
      <c r="SBZ222" s="26"/>
      <c r="SCD222" s="23"/>
      <c r="SCI222" s="26"/>
      <c r="SCM222" s="23"/>
      <c r="SCR222" s="26"/>
      <c r="SCV222" s="23"/>
      <c r="SDA222" s="26"/>
      <c r="SDE222" s="23"/>
      <c r="SDJ222" s="26"/>
      <c r="SDN222" s="23"/>
      <c r="SDS222" s="26"/>
      <c r="SDW222" s="23"/>
      <c r="SEB222" s="26"/>
      <c r="SEF222" s="23"/>
      <c r="SEK222" s="26"/>
      <c r="SEO222" s="23"/>
      <c r="SET222" s="26"/>
      <c r="SEX222" s="23"/>
      <c r="SFC222" s="26"/>
      <c r="SFG222" s="23"/>
      <c r="SFL222" s="26"/>
      <c r="SFP222" s="23"/>
      <c r="SFU222" s="26"/>
      <c r="SFY222" s="23"/>
      <c r="SGD222" s="26"/>
      <c r="SGH222" s="23"/>
      <c r="SGM222" s="26"/>
      <c r="SGQ222" s="23"/>
      <c r="SGV222" s="26"/>
      <c r="SGZ222" s="23"/>
      <c r="SHE222" s="26"/>
      <c r="SHI222" s="23"/>
      <c r="SHN222" s="26"/>
      <c r="SHR222" s="23"/>
      <c r="SHW222" s="26"/>
      <c r="SIA222" s="23"/>
      <c r="SIF222" s="26"/>
      <c r="SIJ222" s="23"/>
      <c r="SIO222" s="26"/>
      <c r="SIS222" s="23"/>
      <c r="SIX222" s="26"/>
      <c r="SJB222" s="23"/>
      <c r="SJG222" s="26"/>
      <c r="SJK222" s="23"/>
      <c r="SJP222" s="26"/>
      <c r="SJT222" s="23"/>
      <c r="SJY222" s="26"/>
      <c r="SKC222" s="23"/>
      <c r="SKH222" s="26"/>
      <c r="SKL222" s="23"/>
      <c r="SKQ222" s="26"/>
      <c r="SKU222" s="23"/>
      <c r="SKZ222" s="26"/>
      <c r="SLD222" s="23"/>
      <c r="SLI222" s="26"/>
      <c r="SLM222" s="23"/>
      <c r="SLR222" s="26"/>
      <c r="SLV222" s="23"/>
      <c r="SMA222" s="26"/>
      <c r="SME222" s="23"/>
      <c r="SMJ222" s="26"/>
      <c r="SMN222" s="23"/>
      <c r="SMS222" s="26"/>
      <c r="SMW222" s="23"/>
      <c r="SNB222" s="26"/>
      <c r="SNF222" s="23"/>
      <c r="SNK222" s="26"/>
      <c r="SNO222" s="23"/>
      <c r="SNT222" s="26"/>
      <c r="SNX222" s="23"/>
      <c r="SOC222" s="26"/>
      <c r="SOG222" s="23"/>
      <c r="SOL222" s="26"/>
      <c r="SOP222" s="23"/>
      <c r="SOU222" s="26"/>
      <c r="SOY222" s="23"/>
      <c r="SPD222" s="26"/>
      <c r="SPH222" s="23"/>
      <c r="SPM222" s="26"/>
      <c r="SPQ222" s="23"/>
      <c r="SPV222" s="26"/>
      <c r="SPZ222" s="23"/>
      <c r="SQE222" s="26"/>
      <c r="SQI222" s="23"/>
      <c r="SQN222" s="26"/>
      <c r="SQR222" s="23"/>
      <c r="SQW222" s="26"/>
      <c r="SRA222" s="23"/>
      <c r="SRF222" s="26"/>
      <c r="SRJ222" s="23"/>
      <c r="SRO222" s="26"/>
      <c r="SRS222" s="23"/>
      <c r="SRX222" s="26"/>
      <c r="SSB222" s="23"/>
      <c r="SSG222" s="26"/>
      <c r="SSK222" s="23"/>
      <c r="SSP222" s="26"/>
      <c r="SST222" s="23"/>
      <c r="SSY222" s="26"/>
      <c r="STC222" s="23"/>
      <c r="STH222" s="26"/>
      <c r="STL222" s="23"/>
      <c r="STQ222" s="26"/>
      <c r="STU222" s="23"/>
      <c r="STZ222" s="26"/>
      <c r="SUD222" s="23"/>
      <c r="SUI222" s="26"/>
      <c r="SUM222" s="23"/>
      <c r="SUR222" s="26"/>
      <c r="SUV222" s="23"/>
      <c r="SVA222" s="26"/>
      <c r="SVE222" s="23"/>
      <c r="SVJ222" s="26"/>
      <c r="SVN222" s="23"/>
      <c r="SVS222" s="26"/>
      <c r="SVW222" s="23"/>
      <c r="SWB222" s="26"/>
      <c r="SWF222" s="23"/>
      <c r="SWK222" s="26"/>
      <c r="SWO222" s="23"/>
      <c r="SWT222" s="26"/>
      <c r="SWX222" s="23"/>
      <c r="SXC222" s="26"/>
      <c r="SXG222" s="23"/>
      <c r="SXL222" s="26"/>
      <c r="SXP222" s="23"/>
      <c r="SXU222" s="26"/>
      <c r="SXY222" s="23"/>
      <c r="SYD222" s="26"/>
      <c r="SYH222" s="23"/>
      <c r="SYM222" s="26"/>
      <c r="SYQ222" s="23"/>
      <c r="SYV222" s="26"/>
      <c r="SYZ222" s="23"/>
      <c r="SZE222" s="26"/>
      <c r="SZI222" s="23"/>
      <c r="SZN222" s="26"/>
      <c r="SZR222" s="23"/>
      <c r="SZW222" s="26"/>
      <c r="TAA222" s="23"/>
      <c r="TAF222" s="26"/>
      <c r="TAJ222" s="23"/>
      <c r="TAO222" s="26"/>
      <c r="TAS222" s="23"/>
      <c r="TAX222" s="26"/>
      <c r="TBB222" s="23"/>
      <c r="TBG222" s="26"/>
      <c r="TBK222" s="23"/>
      <c r="TBP222" s="26"/>
      <c r="TBT222" s="23"/>
      <c r="TBY222" s="26"/>
      <c r="TCC222" s="23"/>
      <c r="TCH222" s="26"/>
      <c r="TCL222" s="23"/>
      <c r="TCQ222" s="26"/>
      <c r="TCU222" s="23"/>
      <c r="TCZ222" s="26"/>
      <c r="TDD222" s="23"/>
      <c r="TDI222" s="26"/>
      <c r="TDM222" s="23"/>
      <c r="TDR222" s="26"/>
      <c r="TDV222" s="23"/>
      <c r="TEA222" s="26"/>
      <c r="TEE222" s="23"/>
      <c r="TEJ222" s="26"/>
      <c r="TEN222" s="23"/>
      <c r="TES222" s="26"/>
      <c r="TEW222" s="23"/>
      <c r="TFB222" s="26"/>
      <c r="TFF222" s="23"/>
      <c r="TFK222" s="26"/>
      <c r="TFO222" s="23"/>
      <c r="TFT222" s="26"/>
      <c r="TFX222" s="23"/>
      <c r="TGC222" s="26"/>
      <c r="TGG222" s="23"/>
      <c r="TGL222" s="26"/>
      <c r="TGP222" s="23"/>
      <c r="TGU222" s="26"/>
      <c r="TGY222" s="23"/>
      <c r="THD222" s="26"/>
      <c r="THH222" s="23"/>
      <c r="THM222" s="26"/>
      <c r="THQ222" s="23"/>
      <c r="THV222" s="26"/>
      <c r="THZ222" s="23"/>
      <c r="TIE222" s="26"/>
      <c r="TII222" s="23"/>
      <c r="TIN222" s="26"/>
      <c r="TIR222" s="23"/>
      <c r="TIW222" s="26"/>
      <c r="TJA222" s="23"/>
      <c r="TJF222" s="26"/>
      <c r="TJJ222" s="23"/>
      <c r="TJO222" s="26"/>
      <c r="TJS222" s="23"/>
      <c r="TJX222" s="26"/>
      <c r="TKB222" s="23"/>
      <c r="TKG222" s="26"/>
      <c r="TKK222" s="23"/>
      <c r="TKP222" s="26"/>
      <c r="TKT222" s="23"/>
      <c r="TKY222" s="26"/>
      <c r="TLC222" s="23"/>
      <c r="TLH222" s="26"/>
      <c r="TLL222" s="23"/>
      <c r="TLQ222" s="26"/>
      <c r="TLU222" s="23"/>
      <c r="TLZ222" s="26"/>
      <c r="TMD222" s="23"/>
      <c r="TMI222" s="26"/>
      <c r="TMM222" s="23"/>
      <c r="TMR222" s="26"/>
      <c r="TMV222" s="23"/>
      <c r="TNA222" s="26"/>
      <c r="TNE222" s="23"/>
      <c r="TNJ222" s="26"/>
      <c r="TNN222" s="23"/>
      <c r="TNS222" s="26"/>
      <c r="TNW222" s="23"/>
      <c r="TOB222" s="26"/>
      <c r="TOF222" s="23"/>
      <c r="TOK222" s="26"/>
      <c r="TOO222" s="23"/>
      <c r="TOT222" s="26"/>
      <c r="TOX222" s="23"/>
      <c r="TPC222" s="26"/>
      <c r="TPG222" s="23"/>
      <c r="TPL222" s="26"/>
      <c r="TPP222" s="23"/>
      <c r="TPU222" s="26"/>
      <c r="TPY222" s="23"/>
      <c r="TQD222" s="26"/>
      <c r="TQH222" s="23"/>
      <c r="TQM222" s="26"/>
      <c r="TQQ222" s="23"/>
      <c r="TQV222" s="26"/>
      <c r="TQZ222" s="23"/>
      <c r="TRE222" s="26"/>
      <c r="TRI222" s="23"/>
      <c r="TRN222" s="26"/>
      <c r="TRR222" s="23"/>
      <c r="TRW222" s="26"/>
      <c r="TSA222" s="23"/>
      <c r="TSF222" s="26"/>
      <c r="TSJ222" s="23"/>
      <c r="TSO222" s="26"/>
      <c r="TSS222" s="23"/>
      <c r="TSX222" s="26"/>
      <c r="TTB222" s="23"/>
      <c r="TTG222" s="26"/>
      <c r="TTK222" s="23"/>
      <c r="TTP222" s="26"/>
      <c r="TTT222" s="23"/>
      <c r="TTY222" s="26"/>
      <c r="TUC222" s="23"/>
      <c r="TUH222" s="26"/>
      <c r="TUL222" s="23"/>
      <c r="TUQ222" s="26"/>
      <c r="TUU222" s="23"/>
      <c r="TUZ222" s="26"/>
      <c r="TVD222" s="23"/>
      <c r="TVI222" s="26"/>
      <c r="TVM222" s="23"/>
      <c r="TVR222" s="26"/>
      <c r="TVV222" s="23"/>
      <c r="TWA222" s="26"/>
      <c r="TWE222" s="23"/>
      <c r="TWJ222" s="26"/>
      <c r="TWN222" s="23"/>
      <c r="TWS222" s="26"/>
      <c r="TWW222" s="23"/>
      <c r="TXB222" s="26"/>
      <c r="TXF222" s="23"/>
      <c r="TXK222" s="26"/>
      <c r="TXO222" s="23"/>
      <c r="TXT222" s="26"/>
      <c r="TXX222" s="23"/>
      <c r="TYC222" s="26"/>
      <c r="TYG222" s="23"/>
      <c r="TYL222" s="26"/>
      <c r="TYP222" s="23"/>
      <c r="TYU222" s="26"/>
      <c r="TYY222" s="23"/>
      <c r="TZD222" s="26"/>
      <c r="TZH222" s="23"/>
      <c r="TZM222" s="26"/>
      <c r="TZQ222" s="23"/>
      <c r="TZV222" s="26"/>
      <c r="TZZ222" s="23"/>
      <c r="UAE222" s="26"/>
      <c r="UAI222" s="23"/>
      <c r="UAN222" s="26"/>
      <c r="UAR222" s="23"/>
      <c r="UAW222" s="26"/>
      <c r="UBA222" s="23"/>
      <c r="UBF222" s="26"/>
      <c r="UBJ222" s="23"/>
      <c r="UBO222" s="26"/>
      <c r="UBS222" s="23"/>
      <c r="UBX222" s="26"/>
      <c r="UCB222" s="23"/>
      <c r="UCG222" s="26"/>
      <c r="UCK222" s="23"/>
      <c r="UCP222" s="26"/>
      <c r="UCT222" s="23"/>
      <c r="UCY222" s="26"/>
      <c r="UDC222" s="23"/>
      <c r="UDH222" s="26"/>
      <c r="UDL222" s="23"/>
      <c r="UDQ222" s="26"/>
      <c r="UDU222" s="23"/>
      <c r="UDZ222" s="26"/>
      <c r="UED222" s="23"/>
      <c r="UEI222" s="26"/>
      <c r="UEM222" s="23"/>
      <c r="UER222" s="26"/>
      <c r="UEV222" s="23"/>
      <c r="UFA222" s="26"/>
      <c r="UFE222" s="23"/>
      <c r="UFJ222" s="26"/>
      <c r="UFN222" s="23"/>
      <c r="UFS222" s="26"/>
      <c r="UFW222" s="23"/>
      <c r="UGB222" s="26"/>
      <c r="UGF222" s="23"/>
      <c r="UGK222" s="26"/>
      <c r="UGO222" s="23"/>
      <c r="UGT222" s="26"/>
      <c r="UGX222" s="23"/>
      <c r="UHC222" s="26"/>
      <c r="UHG222" s="23"/>
      <c r="UHL222" s="26"/>
      <c r="UHP222" s="23"/>
      <c r="UHU222" s="26"/>
      <c r="UHY222" s="23"/>
      <c r="UID222" s="26"/>
      <c r="UIH222" s="23"/>
      <c r="UIM222" s="26"/>
      <c r="UIQ222" s="23"/>
      <c r="UIV222" s="26"/>
      <c r="UIZ222" s="23"/>
      <c r="UJE222" s="26"/>
      <c r="UJI222" s="23"/>
      <c r="UJN222" s="26"/>
      <c r="UJR222" s="23"/>
      <c r="UJW222" s="26"/>
      <c r="UKA222" s="23"/>
      <c r="UKF222" s="26"/>
      <c r="UKJ222" s="23"/>
      <c r="UKO222" s="26"/>
      <c r="UKS222" s="23"/>
      <c r="UKX222" s="26"/>
      <c r="ULB222" s="23"/>
      <c r="ULG222" s="26"/>
      <c r="ULK222" s="23"/>
      <c r="ULP222" s="26"/>
      <c r="ULT222" s="23"/>
      <c r="ULY222" s="26"/>
      <c r="UMC222" s="23"/>
      <c r="UMH222" s="26"/>
      <c r="UML222" s="23"/>
      <c r="UMQ222" s="26"/>
      <c r="UMU222" s="23"/>
      <c r="UMZ222" s="26"/>
      <c r="UND222" s="23"/>
      <c r="UNI222" s="26"/>
      <c r="UNM222" s="23"/>
      <c r="UNR222" s="26"/>
      <c r="UNV222" s="23"/>
      <c r="UOA222" s="26"/>
      <c r="UOE222" s="23"/>
      <c r="UOJ222" s="26"/>
      <c r="UON222" s="23"/>
      <c r="UOS222" s="26"/>
      <c r="UOW222" s="23"/>
      <c r="UPB222" s="26"/>
      <c r="UPF222" s="23"/>
      <c r="UPK222" s="26"/>
      <c r="UPO222" s="23"/>
      <c r="UPT222" s="26"/>
      <c r="UPX222" s="23"/>
      <c r="UQC222" s="26"/>
      <c r="UQG222" s="23"/>
      <c r="UQL222" s="26"/>
      <c r="UQP222" s="23"/>
      <c r="UQU222" s="26"/>
      <c r="UQY222" s="23"/>
      <c r="URD222" s="26"/>
      <c r="URH222" s="23"/>
      <c r="URM222" s="26"/>
      <c r="URQ222" s="23"/>
      <c r="URV222" s="26"/>
      <c r="URZ222" s="23"/>
      <c r="USE222" s="26"/>
      <c r="USI222" s="23"/>
      <c r="USN222" s="26"/>
      <c r="USR222" s="23"/>
      <c r="USW222" s="26"/>
      <c r="UTA222" s="23"/>
      <c r="UTF222" s="26"/>
      <c r="UTJ222" s="23"/>
      <c r="UTO222" s="26"/>
      <c r="UTS222" s="23"/>
      <c r="UTX222" s="26"/>
      <c r="UUB222" s="23"/>
      <c r="UUG222" s="26"/>
      <c r="UUK222" s="23"/>
      <c r="UUP222" s="26"/>
      <c r="UUT222" s="23"/>
      <c r="UUY222" s="26"/>
      <c r="UVC222" s="23"/>
      <c r="UVH222" s="26"/>
      <c r="UVL222" s="23"/>
      <c r="UVQ222" s="26"/>
      <c r="UVU222" s="23"/>
      <c r="UVZ222" s="26"/>
      <c r="UWD222" s="23"/>
      <c r="UWI222" s="26"/>
      <c r="UWM222" s="23"/>
      <c r="UWR222" s="26"/>
      <c r="UWV222" s="23"/>
      <c r="UXA222" s="26"/>
      <c r="UXE222" s="23"/>
      <c r="UXJ222" s="26"/>
      <c r="UXN222" s="23"/>
      <c r="UXS222" s="26"/>
      <c r="UXW222" s="23"/>
      <c r="UYB222" s="26"/>
      <c r="UYF222" s="23"/>
      <c r="UYK222" s="26"/>
      <c r="UYO222" s="23"/>
      <c r="UYT222" s="26"/>
      <c r="UYX222" s="23"/>
      <c r="UZC222" s="26"/>
      <c r="UZG222" s="23"/>
      <c r="UZL222" s="26"/>
      <c r="UZP222" s="23"/>
      <c r="UZU222" s="26"/>
      <c r="UZY222" s="23"/>
      <c r="VAD222" s="26"/>
      <c r="VAH222" s="23"/>
      <c r="VAM222" s="26"/>
      <c r="VAQ222" s="23"/>
      <c r="VAV222" s="26"/>
      <c r="VAZ222" s="23"/>
      <c r="VBE222" s="26"/>
      <c r="VBI222" s="23"/>
      <c r="VBN222" s="26"/>
      <c r="VBR222" s="23"/>
      <c r="VBW222" s="26"/>
      <c r="VCA222" s="23"/>
      <c r="VCF222" s="26"/>
      <c r="VCJ222" s="23"/>
      <c r="VCO222" s="26"/>
      <c r="VCS222" s="23"/>
      <c r="VCX222" s="26"/>
      <c r="VDB222" s="23"/>
      <c r="VDG222" s="26"/>
      <c r="VDK222" s="23"/>
      <c r="VDP222" s="26"/>
      <c r="VDT222" s="23"/>
      <c r="VDY222" s="26"/>
      <c r="VEC222" s="23"/>
      <c r="VEH222" s="26"/>
      <c r="VEL222" s="23"/>
      <c r="VEQ222" s="26"/>
      <c r="VEU222" s="23"/>
      <c r="VEZ222" s="26"/>
      <c r="VFD222" s="23"/>
      <c r="VFI222" s="26"/>
      <c r="VFM222" s="23"/>
      <c r="VFR222" s="26"/>
      <c r="VFV222" s="23"/>
      <c r="VGA222" s="26"/>
      <c r="VGE222" s="23"/>
      <c r="VGJ222" s="26"/>
      <c r="VGN222" s="23"/>
      <c r="VGS222" s="26"/>
      <c r="VGW222" s="23"/>
      <c r="VHB222" s="26"/>
      <c r="VHF222" s="23"/>
      <c r="VHK222" s="26"/>
      <c r="VHO222" s="23"/>
      <c r="VHT222" s="26"/>
      <c r="VHX222" s="23"/>
      <c r="VIC222" s="26"/>
      <c r="VIG222" s="23"/>
      <c r="VIL222" s="26"/>
      <c r="VIP222" s="23"/>
      <c r="VIU222" s="26"/>
      <c r="VIY222" s="23"/>
      <c r="VJD222" s="26"/>
      <c r="VJH222" s="23"/>
      <c r="VJM222" s="26"/>
      <c r="VJQ222" s="23"/>
      <c r="VJV222" s="26"/>
      <c r="VJZ222" s="23"/>
      <c r="VKE222" s="26"/>
      <c r="VKI222" s="23"/>
      <c r="VKN222" s="26"/>
      <c r="VKR222" s="23"/>
      <c r="VKW222" s="26"/>
      <c r="VLA222" s="23"/>
      <c r="VLF222" s="26"/>
      <c r="VLJ222" s="23"/>
      <c r="VLO222" s="26"/>
      <c r="VLS222" s="23"/>
      <c r="VLX222" s="26"/>
      <c r="VMB222" s="23"/>
      <c r="VMG222" s="26"/>
      <c r="VMK222" s="23"/>
      <c r="VMP222" s="26"/>
      <c r="VMT222" s="23"/>
      <c r="VMY222" s="26"/>
      <c r="VNC222" s="23"/>
      <c r="VNH222" s="26"/>
      <c r="VNL222" s="23"/>
      <c r="VNQ222" s="26"/>
      <c r="VNU222" s="23"/>
      <c r="VNZ222" s="26"/>
      <c r="VOD222" s="23"/>
      <c r="VOI222" s="26"/>
      <c r="VOM222" s="23"/>
      <c r="VOR222" s="26"/>
      <c r="VOV222" s="23"/>
      <c r="VPA222" s="26"/>
      <c r="VPE222" s="23"/>
      <c r="VPJ222" s="26"/>
      <c r="VPN222" s="23"/>
      <c r="VPS222" s="26"/>
      <c r="VPW222" s="23"/>
      <c r="VQB222" s="26"/>
      <c r="VQF222" s="23"/>
      <c r="VQK222" s="26"/>
      <c r="VQO222" s="23"/>
      <c r="VQT222" s="26"/>
      <c r="VQX222" s="23"/>
      <c r="VRC222" s="26"/>
      <c r="VRG222" s="23"/>
      <c r="VRL222" s="26"/>
      <c r="VRP222" s="23"/>
      <c r="VRU222" s="26"/>
      <c r="VRY222" s="23"/>
      <c r="VSD222" s="26"/>
      <c r="VSH222" s="23"/>
      <c r="VSM222" s="26"/>
      <c r="VSQ222" s="23"/>
      <c r="VSV222" s="26"/>
      <c r="VSZ222" s="23"/>
      <c r="VTE222" s="26"/>
      <c r="VTI222" s="23"/>
      <c r="VTN222" s="26"/>
      <c r="VTR222" s="23"/>
      <c r="VTW222" s="26"/>
      <c r="VUA222" s="23"/>
      <c r="VUF222" s="26"/>
      <c r="VUJ222" s="23"/>
      <c r="VUO222" s="26"/>
      <c r="VUS222" s="23"/>
      <c r="VUX222" s="26"/>
      <c r="VVB222" s="23"/>
      <c r="VVG222" s="26"/>
      <c r="VVK222" s="23"/>
      <c r="VVP222" s="26"/>
      <c r="VVT222" s="23"/>
      <c r="VVY222" s="26"/>
      <c r="VWC222" s="23"/>
      <c r="VWH222" s="26"/>
      <c r="VWL222" s="23"/>
      <c r="VWQ222" s="26"/>
      <c r="VWU222" s="23"/>
      <c r="VWZ222" s="26"/>
      <c r="VXD222" s="23"/>
      <c r="VXI222" s="26"/>
      <c r="VXM222" s="23"/>
      <c r="VXR222" s="26"/>
      <c r="VXV222" s="23"/>
      <c r="VYA222" s="26"/>
      <c r="VYE222" s="23"/>
      <c r="VYJ222" s="26"/>
      <c r="VYN222" s="23"/>
      <c r="VYS222" s="26"/>
      <c r="VYW222" s="23"/>
      <c r="VZB222" s="26"/>
      <c r="VZF222" s="23"/>
      <c r="VZK222" s="26"/>
      <c r="VZO222" s="23"/>
      <c r="VZT222" s="26"/>
      <c r="VZX222" s="23"/>
      <c r="WAC222" s="26"/>
      <c r="WAG222" s="23"/>
      <c r="WAL222" s="26"/>
      <c r="WAP222" s="23"/>
      <c r="WAU222" s="26"/>
      <c r="WAY222" s="23"/>
      <c r="WBD222" s="26"/>
      <c r="WBH222" s="23"/>
      <c r="WBM222" s="26"/>
      <c r="WBQ222" s="23"/>
      <c r="WBV222" s="26"/>
      <c r="WBZ222" s="23"/>
      <c r="WCE222" s="26"/>
      <c r="WCI222" s="23"/>
      <c r="WCN222" s="26"/>
      <c r="WCR222" s="23"/>
      <c r="WCW222" s="26"/>
      <c r="WDA222" s="23"/>
      <c r="WDF222" s="26"/>
      <c r="WDJ222" s="23"/>
      <c r="WDO222" s="26"/>
      <c r="WDS222" s="23"/>
      <c r="WDX222" s="26"/>
      <c r="WEB222" s="23"/>
      <c r="WEG222" s="26"/>
      <c r="WEK222" s="23"/>
      <c r="WEP222" s="26"/>
      <c r="WET222" s="23"/>
      <c r="WEY222" s="26"/>
      <c r="WFC222" s="23"/>
      <c r="WFH222" s="26"/>
      <c r="WFL222" s="23"/>
      <c r="WFQ222" s="26"/>
      <c r="WFU222" s="23"/>
      <c r="WFZ222" s="26"/>
      <c r="WGD222" s="23"/>
      <c r="WGI222" s="26"/>
      <c r="WGM222" s="23"/>
      <c r="WGR222" s="26"/>
      <c r="WGV222" s="23"/>
      <c r="WHA222" s="26"/>
      <c r="WHE222" s="23"/>
      <c r="WHJ222" s="26"/>
      <c r="WHN222" s="23"/>
      <c r="WHS222" s="26"/>
      <c r="WHW222" s="23"/>
      <c r="WIB222" s="26"/>
      <c r="WIF222" s="23"/>
      <c r="WIK222" s="26"/>
      <c r="WIO222" s="23"/>
      <c r="WIT222" s="26"/>
      <c r="WIX222" s="23"/>
      <c r="WJC222" s="26"/>
      <c r="WJG222" s="23"/>
      <c r="WJL222" s="26"/>
      <c r="WJP222" s="23"/>
      <c r="WJU222" s="26"/>
      <c r="WJY222" s="23"/>
      <c r="WKD222" s="26"/>
      <c r="WKH222" s="23"/>
      <c r="WKM222" s="26"/>
      <c r="WKQ222" s="23"/>
      <c r="WKV222" s="26"/>
      <c r="WKZ222" s="23"/>
      <c r="WLE222" s="26"/>
      <c r="WLI222" s="23"/>
      <c r="WLN222" s="26"/>
      <c r="WLR222" s="23"/>
      <c r="WLW222" s="26"/>
      <c r="WMA222" s="23"/>
      <c r="WMF222" s="26"/>
      <c r="WMJ222" s="23"/>
      <c r="WMO222" s="26"/>
      <c r="WMS222" s="23"/>
      <c r="WMX222" s="26"/>
      <c r="WNB222" s="23"/>
      <c r="WNG222" s="26"/>
      <c r="WNK222" s="23"/>
      <c r="WNP222" s="26"/>
      <c r="WNT222" s="23"/>
      <c r="WNY222" s="26"/>
      <c r="WOC222" s="23"/>
      <c r="WOH222" s="26"/>
      <c r="WOL222" s="23"/>
      <c r="WOQ222" s="26"/>
      <c r="WOU222" s="23"/>
      <c r="WOZ222" s="26"/>
      <c r="WPD222" s="23"/>
      <c r="WPI222" s="26"/>
      <c r="WPM222" s="23"/>
      <c r="WPR222" s="26"/>
      <c r="WPV222" s="23"/>
      <c r="WQA222" s="26"/>
      <c r="WQE222" s="23"/>
      <c r="WQJ222" s="26"/>
      <c r="WQN222" s="23"/>
      <c r="WQS222" s="26"/>
      <c r="WQW222" s="23"/>
      <c r="WRB222" s="26"/>
      <c r="WRF222" s="23"/>
      <c r="WRK222" s="26"/>
      <c r="WRO222" s="23"/>
      <c r="WRT222" s="26"/>
      <c r="WRX222" s="23"/>
      <c r="WSC222" s="26"/>
      <c r="WSG222" s="23"/>
      <c r="WSL222" s="26"/>
      <c r="WSP222" s="23"/>
      <c r="WSU222" s="26"/>
      <c r="WSY222" s="23"/>
      <c r="WTD222" s="26"/>
      <c r="WTH222" s="23"/>
      <c r="WTM222" s="26"/>
      <c r="WTQ222" s="23"/>
      <c r="WTV222" s="26"/>
      <c r="WTZ222" s="23"/>
      <c r="WUE222" s="26"/>
      <c r="WUI222" s="23"/>
      <c r="WUN222" s="26"/>
      <c r="WUR222" s="23"/>
      <c r="WUW222" s="26"/>
      <c r="WVA222" s="23"/>
      <c r="WVF222" s="26"/>
      <c r="WVJ222" s="23"/>
      <c r="WVO222" s="26"/>
      <c r="WVS222" s="23"/>
      <c r="WVX222" s="26"/>
      <c r="WWB222" s="23"/>
      <c r="WWG222" s="26"/>
      <c r="WWK222" s="23"/>
      <c r="WWP222" s="26"/>
      <c r="WWT222" s="23"/>
      <c r="WWY222" s="26"/>
      <c r="WXC222" s="23"/>
      <c r="WXH222" s="26"/>
      <c r="WXL222" s="23"/>
      <c r="WXQ222" s="26"/>
      <c r="WXU222" s="23"/>
      <c r="WXZ222" s="26"/>
      <c r="WYD222" s="23"/>
      <c r="WYI222" s="26"/>
      <c r="WYM222" s="23"/>
      <c r="WYR222" s="26"/>
      <c r="WYV222" s="23"/>
      <c r="WZA222" s="26"/>
      <c r="WZE222" s="23"/>
      <c r="WZJ222" s="26"/>
      <c r="WZN222" s="23"/>
      <c r="WZS222" s="26"/>
      <c r="WZW222" s="23"/>
      <c r="XAB222" s="26"/>
      <c r="XAF222" s="23"/>
      <c r="XAK222" s="26"/>
      <c r="XAO222" s="23"/>
      <c r="XAT222" s="26"/>
      <c r="XAX222" s="23"/>
      <c r="XBC222" s="26"/>
      <c r="XBG222" s="23"/>
      <c r="XBL222" s="26"/>
      <c r="XBP222" s="23"/>
      <c r="XBU222" s="26"/>
      <c r="XBY222" s="23"/>
      <c r="XCD222" s="26"/>
      <c r="XCH222" s="23"/>
      <c r="XCM222" s="26"/>
      <c r="XCQ222" s="23"/>
      <c r="XCV222" s="26"/>
      <c r="XCZ222" s="23"/>
      <c r="XDE222" s="26"/>
      <c r="XDI222" s="23"/>
      <c r="XDN222" s="26"/>
      <c r="XDR222" s="23"/>
      <c r="XDW222" s="26"/>
      <c r="XEA222" s="23"/>
      <c r="XEF222" s="26"/>
      <c r="XEJ222" s="23"/>
      <c r="XEO222" s="26"/>
      <c r="XES222" s="23"/>
      <c r="XEX222" s="26"/>
      <c r="XFB222" s="23"/>
    </row>
    <row r="223" spans="1:1024 1028:2045 2050:3071 3076:4093 4097:5119 5123:6140 6145:7166 7171:8192 8197:9214 9218:10240 10244:11261 11266:12287 12292:13309 13313:14335 14339:15356 15361:16382" x14ac:dyDescent="0.3">
      <c r="B223" s="23"/>
      <c r="K223" s="23"/>
      <c r="P223" s="26"/>
      <c r="T223" s="23"/>
      <c r="Y223" s="26"/>
      <c r="AC223" s="23"/>
      <c r="AH223" s="26"/>
      <c r="AL223" s="23"/>
      <c r="AQ223" s="26"/>
      <c r="AU223" s="23"/>
      <c r="AZ223" s="26"/>
      <c r="BD223" s="23"/>
      <c r="BI223" s="26"/>
      <c r="BM223" s="23"/>
      <c r="BR223" s="26"/>
      <c r="BV223" s="23"/>
      <c r="CA223" s="26"/>
      <c r="CE223" s="23"/>
      <c r="CJ223" s="26"/>
      <c r="CN223" s="23"/>
      <c r="CS223" s="26"/>
      <c r="CW223" s="23"/>
      <c r="DB223" s="26"/>
      <c r="DF223" s="23"/>
      <c r="DK223" s="26"/>
      <c r="DO223" s="23"/>
      <c r="DT223" s="26"/>
      <c r="DX223" s="23"/>
      <c r="EC223" s="26"/>
      <c r="EG223" s="23"/>
      <c r="EL223" s="26"/>
      <c r="EP223" s="23"/>
      <c r="EU223" s="26"/>
      <c r="EY223" s="23"/>
      <c r="FD223" s="26"/>
      <c r="FH223" s="23"/>
      <c r="FM223" s="26"/>
      <c r="FQ223" s="23"/>
      <c r="FV223" s="26"/>
      <c r="FZ223" s="23"/>
      <c r="GE223" s="26"/>
      <c r="GI223" s="23"/>
      <c r="GN223" s="26"/>
      <c r="GR223" s="23"/>
      <c r="GW223" s="26"/>
      <c r="HA223" s="23"/>
      <c r="HF223" s="26"/>
      <c r="HJ223" s="23"/>
      <c r="HO223" s="26"/>
      <c r="HS223" s="23"/>
      <c r="HX223" s="26"/>
      <c r="IB223" s="23"/>
      <c r="IG223" s="26"/>
      <c r="IK223" s="23"/>
      <c r="IP223" s="26"/>
      <c r="IT223" s="23"/>
      <c r="IY223" s="26"/>
      <c r="JC223" s="23"/>
      <c r="JH223" s="26"/>
      <c r="JL223" s="23"/>
      <c r="JQ223" s="26"/>
      <c r="JU223" s="23"/>
      <c r="JZ223" s="26"/>
      <c r="KD223" s="23"/>
      <c r="KI223" s="26"/>
      <c r="KM223" s="23"/>
      <c r="KR223" s="26"/>
      <c r="KV223" s="23"/>
      <c r="LA223" s="26"/>
      <c r="LE223" s="23"/>
      <c r="LJ223" s="26"/>
      <c r="LN223" s="23"/>
      <c r="LS223" s="26"/>
      <c r="LW223" s="23"/>
      <c r="MB223" s="26"/>
      <c r="MF223" s="23"/>
      <c r="MK223" s="26"/>
      <c r="MO223" s="23"/>
      <c r="MT223" s="26"/>
      <c r="MX223" s="23"/>
      <c r="NC223" s="26"/>
      <c r="NG223" s="23"/>
      <c r="NL223" s="26"/>
      <c r="NP223" s="23"/>
      <c r="NU223" s="26"/>
      <c r="NY223" s="23"/>
      <c r="OD223" s="26"/>
      <c r="OH223" s="23"/>
      <c r="OM223" s="26"/>
      <c r="OQ223" s="23"/>
      <c r="OV223" s="26"/>
      <c r="OZ223" s="23"/>
      <c r="PE223" s="26"/>
      <c r="PI223" s="23"/>
      <c r="PN223" s="26"/>
      <c r="PR223" s="23"/>
      <c r="PW223" s="26"/>
      <c r="QA223" s="23"/>
      <c r="QF223" s="26"/>
      <c r="QJ223" s="23"/>
      <c r="QO223" s="26"/>
      <c r="QS223" s="23"/>
      <c r="QX223" s="26"/>
      <c r="RB223" s="23"/>
      <c r="RG223" s="26"/>
      <c r="RK223" s="23"/>
      <c r="RP223" s="26"/>
      <c r="RT223" s="23"/>
      <c r="RY223" s="26"/>
      <c r="SC223" s="23"/>
      <c r="SH223" s="26"/>
      <c r="SL223" s="23"/>
      <c r="SQ223" s="26"/>
      <c r="SU223" s="23"/>
      <c r="SZ223" s="26"/>
      <c r="TD223" s="23"/>
      <c r="TI223" s="26"/>
      <c r="TM223" s="23"/>
      <c r="TR223" s="26"/>
      <c r="TV223" s="23"/>
      <c r="UA223" s="26"/>
      <c r="UE223" s="23"/>
      <c r="UJ223" s="26"/>
      <c r="UN223" s="23"/>
      <c r="US223" s="26"/>
      <c r="UW223" s="23"/>
      <c r="VB223" s="26"/>
      <c r="VF223" s="23"/>
      <c r="VK223" s="26"/>
      <c r="VO223" s="23"/>
      <c r="VT223" s="26"/>
      <c r="VX223" s="23"/>
      <c r="WC223" s="26"/>
      <c r="WG223" s="23"/>
      <c r="WL223" s="26"/>
      <c r="WP223" s="23"/>
      <c r="WU223" s="26"/>
      <c r="WY223" s="23"/>
      <c r="XD223" s="26"/>
      <c r="XH223" s="23"/>
      <c r="XM223" s="26"/>
      <c r="XQ223" s="23"/>
      <c r="XV223" s="26"/>
      <c r="XZ223" s="23"/>
      <c r="YE223" s="26"/>
      <c r="YI223" s="23"/>
      <c r="YN223" s="26"/>
      <c r="YR223" s="23"/>
      <c r="YW223" s="26"/>
      <c r="ZA223" s="23"/>
      <c r="ZF223" s="26"/>
      <c r="ZJ223" s="23"/>
      <c r="ZO223" s="26"/>
      <c r="ZS223" s="23"/>
      <c r="ZX223" s="26"/>
      <c r="AAB223" s="23"/>
      <c r="AAG223" s="26"/>
      <c r="AAK223" s="23"/>
      <c r="AAP223" s="26"/>
      <c r="AAT223" s="23"/>
      <c r="AAY223" s="26"/>
      <c r="ABC223" s="23"/>
      <c r="ABH223" s="26"/>
      <c r="ABL223" s="23"/>
      <c r="ABQ223" s="26"/>
      <c r="ABU223" s="23"/>
      <c r="ABZ223" s="26"/>
      <c r="ACD223" s="23"/>
      <c r="ACI223" s="26"/>
      <c r="ACM223" s="23"/>
      <c r="ACR223" s="26"/>
      <c r="ACV223" s="23"/>
      <c r="ADA223" s="26"/>
      <c r="ADE223" s="23"/>
      <c r="ADJ223" s="26"/>
      <c r="ADN223" s="23"/>
      <c r="ADS223" s="26"/>
      <c r="ADW223" s="23"/>
      <c r="AEB223" s="26"/>
      <c r="AEF223" s="23"/>
      <c r="AEK223" s="26"/>
      <c r="AEO223" s="23"/>
      <c r="AET223" s="26"/>
      <c r="AEX223" s="23"/>
      <c r="AFC223" s="26"/>
      <c r="AFG223" s="23"/>
      <c r="AFL223" s="26"/>
      <c r="AFP223" s="23"/>
      <c r="AFU223" s="26"/>
      <c r="AFY223" s="23"/>
      <c r="AGD223" s="26"/>
      <c r="AGH223" s="23"/>
      <c r="AGM223" s="26"/>
      <c r="AGQ223" s="23"/>
      <c r="AGV223" s="26"/>
      <c r="AGZ223" s="23"/>
      <c r="AHE223" s="26"/>
      <c r="AHI223" s="23"/>
      <c r="AHN223" s="26"/>
      <c r="AHR223" s="23"/>
      <c r="AHW223" s="26"/>
      <c r="AIA223" s="23"/>
      <c r="AIF223" s="26"/>
      <c r="AIJ223" s="23"/>
      <c r="AIO223" s="26"/>
      <c r="AIS223" s="23"/>
      <c r="AIX223" s="26"/>
      <c r="AJB223" s="23"/>
      <c r="AJG223" s="26"/>
      <c r="AJK223" s="23"/>
      <c r="AJP223" s="26"/>
      <c r="AJT223" s="23"/>
      <c r="AJY223" s="26"/>
      <c r="AKC223" s="23"/>
      <c r="AKH223" s="26"/>
      <c r="AKL223" s="23"/>
      <c r="AKQ223" s="26"/>
      <c r="AKU223" s="23"/>
      <c r="AKZ223" s="26"/>
      <c r="ALD223" s="23"/>
      <c r="ALI223" s="26"/>
      <c r="ALM223" s="23"/>
      <c r="ALR223" s="26"/>
      <c r="ALV223" s="23"/>
      <c r="AMA223" s="26"/>
      <c r="AME223" s="23"/>
      <c r="AMJ223" s="26"/>
      <c r="AMN223" s="23"/>
      <c r="AMS223" s="26"/>
      <c r="AMW223" s="23"/>
      <c r="ANB223" s="26"/>
      <c r="ANF223" s="23"/>
      <c r="ANK223" s="26"/>
      <c r="ANO223" s="23"/>
      <c r="ANT223" s="26"/>
      <c r="ANX223" s="23"/>
      <c r="AOC223" s="26"/>
      <c r="AOG223" s="23"/>
      <c r="AOL223" s="26"/>
      <c r="AOP223" s="23"/>
      <c r="AOU223" s="26"/>
      <c r="AOY223" s="23"/>
      <c r="APD223" s="26"/>
      <c r="APH223" s="23"/>
      <c r="APM223" s="26"/>
      <c r="APQ223" s="23"/>
      <c r="APV223" s="26"/>
      <c r="APZ223" s="23"/>
      <c r="AQE223" s="26"/>
      <c r="AQI223" s="23"/>
      <c r="AQN223" s="26"/>
      <c r="AQR223" s="23"/>
      <c r="AQW223" s="26"/>
      <c r="ARA223" s="23"/>
      <c r="ARF223" s="26"/>
      <c r="ARJ223" s="23"/>
      <c r="ARO223" s="26"/>
      <c r="ARS223" s="23"/>
      <c r="ARX223" s="26"/>
      <c r="ASB223" s="23"/>
      <c r="ASG223" s="26"/>
      <c r="ASK223" s="23"/>
      <c r="ASP223" s="26"/>
      <c r="AST223" s="23"/>
      <c r="ASY223" s="26"/>
      <c r="ATC223" s="23"/>
      <c r="ATH223" s="26"/>
      <c r="ATL223" s="23"/>
      <c r="ATQ223" s="26"/>
      <c r="ATU223" s="23"/>
      <c r="ATZ223" s="26"/>
      <c r="AUD223" s="23"/>
      <c r="AUI223" s="26"/>
      <c r="AUM223" s="23"/>
      <c r="AUR223" s="26"/>
      <c r="AUV223" s="23"/>
      <c r="AVA223" s="26"/>
      <c r="AVE223" s="23"/>
      <c r="AVJ223" s="26"/>
      <c r="AVN223" s="23"/>
      <c r="AVS223" s="26"/>
      <c r="AVW223" s="23"/>
      <c r="AWB223" s="26"/>
      <c r="AWF223" s="23"/>
      <c r="AWK223" s="26"/>
      <c r="AWO223" s="23"/>
      <c r="AWT223" s="26"/>
      <c r="AWX223" s="23"/>
      <c r="AXC223" s="26"/>
      <c r="AXG223" s="23"/>
      <c r="AXL223" s="26"/>
      <c r="AXP223" s="23"/>
      <c r="AXU223" s="26"/>
      <c r="AXY223" s="23"/>
      <c r="AYD223" s="26"/>
      <c r="AYH223" s="23"/>
      <c r="AYM223" s="26"/>
      <c r="AYQ223" s="23"/>
      <c r="AYV223" s="26"/>
      <c r="AYZ223" s="23"/>
      <c r="AZE223" s="26"/>
      <c r="AZI223" s="23"/>
      <c r="AZN223" s="26"/>
      <c r="AZR223" s="23"/>
      <c r="AZW223" s="26"/>
      <c r="BAA223" s="23"/>
      <c r="BAF223" s="26"/>
      <c r="BAJ223" s="23"/>
      <c r="BAO223" s="26"/>
      <c r="BAS223" s="23"/>
      <c r="BAX223" s="26"/>
      <c r="BBB223" s="23"/>
      <c r="BBG223" s="26"/>
      <c r="BBK223" s="23"/>
      <c r="BBP223" s="26"/>
      <c r="BBT223" s="23"/>
      <c r="BBY223" s="26"/>
      <c r="BCC223" s="23"/>
      <c r="BCH223" s="26"/>
      <c r="BCL223" s="23"/>
      <c r="BCQ223" s="26"/>
      <c r="BCU223" s="23"/>
      <c r="BCZ223" s="26"/>
      <c r="BDD223" s="23"/>
      <c r="BDI223" s="26"/>
      <c r="BDM223" s="23"/>
      <c r="BDR223" s="26"/>
      <c r="BDV223" s="23"/>
      <c r="BEA223" s="26"/>
      <c r="BEE223" s="23"/>
      <c r="BEJ223" s="26"/>
      <c r="BEN223" s="23"/>
      <c r="BES223" s="26"/>
      <c r="BEW223" s="23"/>
      <c r="BFB223" s="26"/>
      <c r="BFF223" s="23"/>
      <c r="BFK223" s="26"/>
      <c r="BFO223" s="23"/>
      <c r="BFT223" s="26"/>
      <c r="BFX223" s="23"/>
      <c r="BGC223" s="26"/>
      <c r="BGG223" s="23"/>
      <c r="BGL223" s="26"/>
      <c r="BGP223" s="23"/>
      <c r="BGU223" s="26"/>
      <c r="BGY223" s="23"/>
      <c r="BHD223" s="26"/>
      <c r="BHH223" s="23"/>
      <c r="BHM223" s="26"/>
      <c r="BHQ223" s="23"/>
      <c r="BHV223" s="26"/>
      <c r="BHZ223" s="23"/>
      <c r="BIE223" s="26"/>
      <c r="BII223" s="23"/>
      <c r="BIN223" s="26"/>
      <c r="BIR223" s="23"/>
      <c r="BIW223" s="26"/>
      <c r="BJA223" s="23"/>
      <c r="BJF223" s="26"/>
      <c r="BJJ223" s="23"/>
      <c r="BJO223" s="26"/>
      <c r="BJS223" s="23"/>
      <c r="BJX223" s="26"/>
      <c r="BKB223" s="23"/>
      <c r="BKG223" s="26"/>
      <c r="BKK223" s="23"/>
      <c r="BKP223" s="26"/>
      <c r="BKT223" s="23"/>
      <c r="BKY223" s="26"/>
      <c r="BLC223" s="23"/>
      <c r="BLH223" s="26"/>
      <c r="BLL223" s="23"/>
      <c r="BLQ223" s="26"/>
      <c r="BLU223" s="23"/>
      <c r="BLZ223" s="26"/>
      <c r="BMD223" s="23"/>
      <c r="BMI223" s="26"/>
      <c r="BMM223" s="23"/>
      <c r="BMR223" s="26"/>
      <c r="BMV223" s="23"/>
      <c r="BNA223" s="26"/>
      <c r="BNE223" s="23"/>
      <c r="BNJ223" s="26"/>
      <c r="BNN223" s="23"/>
      <c r="BNS223" s="26"/>
      <c r="BNW223" s="23"/>
      <c r="BOB223" s="26"/>
      <c r="BOF223" s="23"/>
      <c r="BOK223" s="26"/>
      <c r="BOO223" s="23"/>
      <c r="BOT223" s="26"/>
      <c r="BOX223" s="23"/>
      <c r="BPC223" s="26"/>
      <c r="BPG223" s="23"/>
      <c r="BPL223" s="26"/>
      <c r="BPP223" s="23"/>
      <c r="BPU223" s="26"/>
      <c r="BPY223" s="23"/>
      <c r="BQD223" s="26"/>
      <c r="BQH223" s="23"/>
      <c r="BQM223" s="26"/>
      <c r="BQQ223" s="23"/>
      <c r="BQV223" s="26"/>
      <c r="BQZ223" s="23"/>
      <c r="BRE223" s="26"/>
      <c r="BRI223" s="23"/>
      <c r="BRN223" s="26"/>
      <c r="BRR223" s="23"/>
      <c r="BRW223" s="26"/>
      <c r="BSA223" s="23"/>
      <c r="BSF223" s="26"/>
      <c r="BSJ223" s="23"/>
      <c r="BSO223" s="26"/>
      <c r="BSS223" s="23"/>
      <c r="BSX223" s="26"/>
      <c r="BTB223" s="23"/>
      <c r="BTG223" s="26"/>
      <c r="BTK223" s="23"/>
      <c r="BTP223" s="26"/>
      <c r="BTT223" s="23"/>
      <c r="BTY223" s="26"/>
      <c r="BUC223" s="23"/>
      <c r="BUH223" s="26"/>
      <c r="BUL223" s="23"/>
      <c r="BUQ223" s="26"/>
      <c r="BUU223" s="23"/>
      <c r="BUZ223" s="26"/>
      <c r="BVD223" s="23"/>
      <c r="BVI223" s="26"/>
      <c r="BVM223" s="23"/>
      <c r="BVR223" s="26"/>
      <c r="BVV223" s="23"/>
      <c r="BWA223" s="26"/>
      <c r="BWE223" s="23"/>
      <c r="BWJ223" s="26"/>
      <c r="BWN223" s="23"/>
      <c r="BWS223" s="26"/>
      <c r="BWW223" s="23"/>
      <c r="BXB223" s="26"/>
      <c r="BXF223" s="23"/>
      <c r="BXK223" s="26"/>
      <c r="BXO223" s="23"/>
      <c r="BXT223" s="26"/>
      <c r="BXX223" s="23"/>
      <c r="BYC223" s="26"/>
      <c r="BYG223" s="23"/>
      <c r="BYL223" s="26"/>
      <c r="BYP223" s="23"/>
      <c r="BYU223" s="26"/>
      <c r="BYY223" s="23"/>
      <c r="BZD223" s="26"/>
      <c r="BZH223" s="23"/>
      <c r="BZM223" s="26"/>
      <c r="BZQ223" s="23"/>
      <c r="BZV223" s="26"/>
      <c r="BZZ223" s="23"/>
      <c r="CAE223" s="26"/>
      <c r="CAI223" s="23"/>
      <c r="CAN223" s="26"/>
      <c r="CAR223" s="23"/>
      <c r="CAW223" s="26"/>
      <c r="CBA223" s="23"/>
      <c r="CBF223" s="26"/>
      <c r="CBJ223" s="23"/>
      <c r="CBO223" s="26"/>
      <c r="CBS223" s="23"/>
      <c r="CBX223" s="26"/>
      <c r="CCB223" s="23"/>
      <c r="CCG223" s="26"/>
      <c r="CCK223" s="23"/>
      <c r="CCP223" s="26"/>
      <c r="CCT223" s="23"/>
      <c r="CCY223" s="26"/>
      <c r="CDC223" s="23"/>
      <c r="CDH223" s="26"/>
      <c r="CDL223" s="23"/>
      <c r="CDQ223" s="26"/>
      <c r="CDU223" s="23"/>
      <c r="CDZ223" s="26"/>
      <c r="CED223" s="23"/>
      <c r="CEI223" s="26"/>
      <c r="CEM223" s="23"/>
      <c r="CER223" s="26"/>
      <c r="CEV223" s="23"/>
      <c r="CFA223" s="26"/>
      <c r="CFE223" s="23"/>
      <c r="CFJ223" s="26"/>
      <c r="CFN223" s="23"/>
      <c r="CFS223" s="26"/>
      <c r="CFW223" s="23"/>
      <c r="CGB223" s="26"/>
      <c r="CGF223" s="23"/>
      <c r="CGK223" s="26"/>
      <c r="CGO223" s="23"/>
      <c r="CGT223" s="26"/>
      <c r="CGX223" s="23"/>
      <c r="CHC223" s="26"/>
      <c r="CHG223" s="23"/>
      <c r="CHL223" s="26"/>
      <c r="CHP223" s="23"/>
      <c r="CHU223" s="26"/>
      <c r="CHY223" s="23"/>
      <c r="CID223" s="26"/>
      <c r="CIH223" s="23"/>
      <c r="CIM223" s="26"/>
      <c r="CIQ223" s="23"/>
      <c r="CIV223" s="26"/>
      <c r="CIZ223" s="23"/>
      <c r="CJE223" s="26"/>
      <c r="CJI223" s="23"/>
      <c r="CJN223" s="26"/>
      <c r="CJR223" s="23"/>
      <c r="CJW223" s="26"/>
      <c r="CKA223" s="23"/>
      <c r="CKF223" s="26"/>
      <c r="CKJ223" s="23"/>
      <c r="CKO223" s="26"/>
      <c r="CKS223" s="23"/>
      <c r="CKX223" s="26"/>
      <c r="CLB223" s="23"/>
      <c r="CLG223" s="26"/>
      <c r="CLK223" s="23"/>
      <c r="CLP223" s="26"/>
      <c r="CLT223" s="23"/>
      <c r="CLY223" s="26"/>
      <c r="CMC223" s="23"/>
      <c r="CMH223" s="26"/>
      <c r="CML223" s="23"/>
      <c r="CMQ223" s="26"/>
      <c r="CMU223" s="23"/>
      <c r="CMZ223" s="26"/>
      <c r="CND223" s="23"/>
      <c r="CNI223" s="26"/>
      <c r="CNM223" s="23"/>
      <c r="CNR223" s="26"/>
      <c r="CNV223" s="23"/>
      <c r="COA223" s="26"/>
      <c r="COE223" s="23"/>
      <c r="COJ223" s="26"/>
      <c r="CON223" s="23"/>
      <c r="COS223" s="26"/>
      <c r="COW223" s="23"/>
      <c r="CPB223" s="26"/>
      <c r="CPF223" s="23"/>
      <c r="CPK223" s="26"/>
      <c r="CPO223" s="23"/>
      <c r="CPT223" s="26"/>
      <c r="CPX223" s="23"/>
      <c r="CQC223" s="26"/>
      <c r="CQG223" s="23"/>
      <c r="CQL223" s="26"/>
      <c r="CQP223" s="23"/>
      <c r="CQU223" s="26"/>
      <c r="CQY223" s="23"/>
      <c r="CRD223" s="26"/>
      <c r="CRH223" s="23"/>
      <c r="CRM223" s="26"/>
      <c r="CRQ223" s="23"/>
      <c r="CRV223" s="26"/>
      <c r="CRZ223" s="23"/>
      <c r="CSE223" s="26"/>
      <c r="CSI223" s="23"/>
      <c r="CSN223" s="26"/>
      <c r="CSR223" s="23"/>
      <c r="CSW223" s="26"/>
      <c r="CTA223" s="23"/>
      <c r="CTF223" s="26"/>
      <c r="CTJ223" s="23"/>
      <c r="CTO223" s="26"/>
      <c r="CTS223" s="23"/>
      <c r="CTX223" s="26"/>
      <c r="CUB223" s="23"/>
      <c r="CUG223" s="26"/>
      <c r="CUK223" s="23"/>
      <c r="CUP223" s="26"/>
      <c r="CUT223" s="23"/>
      <c r="CUY223" s="26"/>
      <c r="CVC223" s="23"/>
      <c r="CVH223" s="26"/>
      <c r="CVL223" s="23"/>
      <c r="CVQ223" s="26"/>
      <c r="CVU223" s="23"/>
      <c r="CVZ223" s="26"/>
      <c r="CWD223" s="23"/>
      <c r="CWI223" s="26"/>
      <c r="CWM223" s="23"/>
      <c r="CWR223" s="26"/>
      <c r="CWV223" s="23"/>
      <c r="CXA223" s="26"/>
      <c r="CXE223" s="23"/>
      <c r="CXJ223" s="26"/>
      <c r="CXN223" s="23"/>
      <c r="CXS223" s="26"/>
      <c r="CXW223" s="23"/>
      <c r="CYB223" s="26"/>
      <c r="CYF223" s="23"/>
      <c r="CYK223" s="26"/>
      <c r="CYO223" s="23"/>
      <c r="CYT223" s="26"/>
      <c r="CYX223" s="23"/>
      <c r="CZC223" s="26"/>
      <c r="CZG223" s="23"/>
      <c r="CZL223" s="26"/>
      <c r="CZP223" s="23"/>
      <c r="CZU223" s="26"/>
      <c r="CZY223" s="23"/>
      <c r="DAD223" s="26"/>
      <c r="DAH223" s="23"/>
      <c r="DAM223" s="26"/>
      <c r="DAQ223" s="23"/>
      <c r="DAV223" s="26"/>
      <c r="DAZ223" s="23"/>
      <c r="DBE223" s="26"/>
      <c r="DBI223" s="23"/>
      <c r="DBN223" s="26"/>
      <c r="DBR223" s="23"/>
      <c r="DBW223" s="26"/>
      <c r="DCA223" s="23"/>
      <c r="DCF223" s="26"/>
      <c r="DCJ223" s="23"/>
      <c r="DCO223" s="26"/>
      <c r="DCS223" s="23"/>
      <c r="DCX223" s="26"/>
      <c r="DDB223" s="23"/>
      <c r="DDG223" s="26"/>
      <c r="DDK223" s="23"/>
      <c r="DDP223" s="26"/>
      <c r="DDT223" s="23"/>
      <c r="DDY223" s="26"/>
      <c r="DEC223" s="23"/>
      <c r="DEH223" s="26"/>
      <c r="DEL223" s="23"/>
      <c r="DEQ223" s="26"/>
      <c r="DEU223" s="23"/>
      <c r="DEZ223" s="26"/>
      <c r="DFD223" s="23"/>
      <c r="DFI223" s="26"/>
      <c r="DFM223" s="23"/>
      <c r="DFR223" s="26"/>
      <c r="DFV223" s="23"/>
      <c r="DGA223" s="26"/>
      <c r="DGE223" s="23"/>
      <c r="DGJ223" s="26"/>
      <c r="DGN223" s="23"/>
      <c r="DGS223" s="26"/>
      <c r="DGW223" s="23"/>
      <c r="DHB223" s="26"/>
      <c r="DHF223" s="23"/>
      <c r="DHK223" s="26"/>
      <c r="DHO223" s="23"/>
      <c r="DHT223" s="26"/>
      <c r="DHX223" s="23"/>
      <c r="DIC223" s="26"/>
      <c r="DIG223" s="23"/>
      <c r="DIL223" s="26"/>
      <c r="DIP223" s="23"/>
      <c r="DIU223" s="26"/>
      <c r="DIY223" s="23"/>
      <c r="DJD223" s="26"/>
      <c r="DJH223" s="23"/>
      <c r="DJM223" s="26"/>
      <c r="DJQ223" s="23"/>
      <c r="DJV223" s="26"/>
      <c r="DJZ223" s="23"/>
      <c r="DKE223" s="26"/>
      <c r="DKI223" s="23"/>
      <c r="DKN223" s="26"/>
      <c r="DKR223" s="23"/>
      <c r="DKW223" s="26"/>
      <c r="DLA223" s="23"/>
      <c r="DLF223" s="26"/>
      <c r="DLJ223" s="23"/>
      <c r="DLO223" s="26"/>
      <c r="DLS223" s="23"/>
      <c r="DLX223" s="26"/>
      <c r="DMB223" s="23"/>
      <c r="DMG223" s="26"/>
      <c r="DMK223" s="23"/>
      <c r="DMP223" s="26"/>
      <c r="DMT223" s="23"/>
      <c r="DMY223" s="26"/>
      <c r="DNC223" s="23"/>
      <c r="DNH223" s="26"/>
      <c r="DNL223" s="23"/>
      <c r="DNQ223" s="26"/>
      <c r="DNU223" s="23"/>
      <c r="DNZ223" s="26"/>
      <c r="DOD223" s="23"/>
      <c r="DOI223" s="26"/>
      <c r="DOM223" s="23"/>
      <c r="DOR223" s="26"/>
      <c r="DOV223" s="23"/>
      <c r="DPA223" s="26"/>
      <c r="DPE223" s="23"/>
      <c r="DPJ223" s="26"/>
      <c r="DPN223" s="23"/>
      <c r="DPS223" s="26"/>
      <c r="DPW223" s="23"/>
      <c r="DQB223" s="26"/>
      <c r="DQF223" s="23"/>
      <c r="DQK223" s="26"/>
      <c r="DQO223" s="23"/>
      <c r="DQT223" s="26"/>
      <c r="DQX223" s="23"/>
      <c r="DRC223" s="26"/>
      <c r="DRG223" s="23"/>
      <c r="DRL223" s="26"/>
      <c r="DRP223" s="23"/>
      <c r="DRU223" s="26"/>
      <c r="DRY223" s="23"/>
      <c r="DSD223" s="26"/>
      <c r="DSH223" s="23"/>
      <c r="DSM223" s="26"/>
      <c r="DSQ223" s="23"/>
      <c r="DSV223" s="26"/>
      <c r="DSZ223" s="23"/>
      <c r="DTE223" s="26"/>
      <c r="DTI223" s="23"/>
      <c r="DTN223" s="26"/>
      <c r="DTR223" s="23"/>
      <c r="DTW223" s="26"/>
      <c r="DUA223" s="23"/>
      <c r="DUF223" s="26"/>
      <c r="DUJ223" s="23"/>
      <c r="DUO223" s="26"/>
      <c r="DUS223" s="23"/>
      <c r="DUX223" s="26"/>
      <c r="DVB223" s="23"/>
      <c r="DVG223" s="26"/>
      <c r="DVK223" s="23"/>
      <c r="DVP223" s="26"/>
      <c r="DVT223" s="23"/>
      <c r="DVY223" s="26"/>
      <c r="DWC223" s="23"/>
      <c r="DWH223" s="26"/>
      <c r="DWL223" s="23"/>
      <c r="DWQ223" s="26"/>
      <c r="DWU223" s="23"/>
      <c r="DWZ223" s="26"/>
      <c r="DXD223" s="23"/>
      <c r="DXI223" s="26"/>
      <c r="DXM223" s="23"/>
      <c r="DXR223" s="26"/>
      <c r="DXV223" s="23"/>
      <c r="DYA223" s="26"/>
      <c r="DYE223" s="23"/>
      <c r="DYJ223" s="26"/>
      <c r="DYN223" s="23"/>
      <c r="DYS223" s="26"/>
      <c r="DYW223" s="23"/>
      <c r="DZB223" s="26"/>
      <c r="DZF223" s="23"/>
      <c r="DZK223" s="26"/>
      <c r="DZO223" s="23"/>
      <c r="DZT223" s="26"/>
      <c r="DZX223" s="23"/>
      <c r="EAC223" s="26"/>
      <c r="EAG223" s="23"/>
      <c r="EAL223" s="26"/>
      <c r="EAP223" s="23"/>
      <c r="EAU223" s="26"/>
      <c r="EAY223" s="23"/>
      <c r="EBD223" s="26"/>
      <c r="EBH223" s="23"/>
      <c r="EBM223" s="26"/>
      <c r="EBQ223" s="23"/>
      <c r="EBV223" s="26"/>
      <c r="EBZ223" s="23"/>
      <c r="ECE223" s="26"/>
      <c r="ECI223" s="23"/>
      <c r="ECN223" s="26"/>
      <c r="ECR223" s="23"/>
      <c r="ECW223" s="26"/>
      <c r="EDA223" s="23"/>
      <c r="EDF223" s="26"/>
      <c r="EDJ223" s="23"/>
      <c r="EDO223" s="26"/>
      <c r="EDS223" s="23"/>
      <c r="EDX223" s="26"/>
      <c r="EEB223" s="23"/>
      <c r="EEG223" s="26"/>
      <c r="EEK223" s="23"/>
      <c r="EEP223" s="26"/>
      <c r="EET223" s="23"/>
      <c r="EEY223" s="26"/>
      <c r="EFC223" s="23"/>
      <c r="EFH223" s="26"/>
      <c r="EFL223" s="23"/>
      <c r="EFQ223" s="26"/>
      <c r="EFU223" s="23"/>
      <c r="EFZ223" s="26"/>
      <c r="EGD223" s="23"/>
      <c r="EGI223" s="26"/>
      <c r="EGM223" s="23"/>
      <c r="EGR223" s="26"/>
      <c r="EGV223" s="23"/>
      <c r="EHA223" s="26"/>
      <c r="EHE223" s="23"/>
      <c r="EHJ223" s="26"/>
      <c r="EHN223" s="23"/>
      <c r="EHS223" s="26"/>
      <c r="EHW223" s="23"/>
      <c r="EIB223" s="26"/>
      <c r="EIF223" s="23"/>
      <c r="EIK223" s="26"/>
      <c r="EIO223" s="23"/>
      <c r="EIT223" s="26"/>
      <c r="EIX223" s="23"/>
      <c r="EJC223" s="26"/>
      <c r="EJG223" s="23"/>
      <c r="EJL223" s="26"/>
      <c r="EJP223" s="23"/>
      <c r="EJU223" s="26"/>
      <c r="EJY223" s="23"/>
      <c r="EKD223" s="26"/>
      <c r="EKH223" s="23"/>
      <c r="EKM223" s="26"/>
      <c r="EKQ223" s="23"/>
      <c r="EKV223" s="26"/>
      <c r="EKZ223" s="23"/>
      <c r="ELE223" s="26"/>
      <c r="ELI223" s="23"/>
      <c r="ELN223" s="26"/>
      <c r="ELR223" s="23"/>
      <c r="ELW223" s="26"/>
      <c r="EMA223" s="23"/>
      <c r="EMF223" s="26"/>
      <c r="EMJ223" s="23"/>
      <c r="EMO223" s="26"/>
      <c r="EMS223" s="23"/>
      <c r="EMX223" s="26"/>
      <c r="ENB223" s="23"/>
      <c r="ENG223" s="26"/>
      <c r="ENK223" s="23"/>
      <c r="ENP223" s="26"/>
      <c r="ENT223" s="23"/>
      <c r="ENY223" s="26"/>
      <c r="EOC223" s="23"/>
      <c r="EOH223" s="26"/>
      <c r="EOL223" s="23"/>
      <c r="EOQ223" s="26"/>
      <c r="EOU223" s="23"/>
      <c r="EOZ223" s="26"/>
      <c r="EPD223" s="23"/>
      <c r="EPI223" s="26"/>
      <c r="EPM223" s="23"/>
      <c r="EPR223" s="26"/>
      <c r="EPV223" s="23"/>
      <c r="EQA223" s="26"/>
      <c r="EQE223" s="23"/>
      <c r="EQJ223" s="26"/>
      <c r="EQN223" s="23"/>
      <c r="EQS223" s="26"/>
      <c r="EQW223" s="23"/>
      <c r="ERB223" s="26"/>
      <c r="ERF223" s="23"/>
      <c r="ERK223" s="26"/>
      <c r="ERO223" s="23"/>
      <c r="ERT223" s="26"/>
      <c r="ERX223" s="23"/>
      <c r="ESC223" s="26"/>
      <c r="ESG223" s="23"/>
      <c r="ESL223" s="26"/>
      <c r="ESP223" s="23"/>
      <c r="ESU223" s="26"/>
      <c r="ESY223" s="23"/>
      <c r="ETD223" s="26"/>
      <c r="ETH223" s="23"/>
      <c r="ETM223" s="26"/>
      <c r="ETQ223" s="23"/>
      <c r="ETV223" s="26"/>
      <c r="ETZ223" s="23"/>
      <c r="EUE223" s="26"/>
      <c r="EUI223" s="23"/>
      <c r="EUN223" s="26"/>
      <c r="EUR223" s="23"/>
      <c r="EUW223" s="26"/>
      <c r="EVA223" s="23"/>
      <c r="EVF223" s="26"/>
      <c r="EVJ223" s="23"/>
      <c r="EVO223" s="26"/>
      <c r="EVS223" s="23"/>
      <c r="EVX223" s="26"/>
      <c r="EWB223" s="23"/>
      <c r="EWG223" s="26"/>
      <c r="EWK223" s="23"/>
      <c r="EWP223" s="26"/>
      <c r="EWT223" s="23"/>
      <c r="EWY223" s="26"/>
      <c r="EXC223" s="23"/>
      <c r="EXH223" s="26"/>
      <c r="EXL223" s="23"/>
      <c r="EXQ223" s="26"/>
      <c r="EXU223" s="23"/>
      <c r="EXZ223" s="26"/>
      <c r="EYD223" s="23"/>
      <c r="EYI223" s="26"/>
      <c r="EYM223" s="23"/>
      <c r="EYR223" s="26"/>
      <c r="EYV223" s="23"/>
      <c r="EZA223" s="26"/>
      <c r="EZE223" s="23"/>
      <c r="EZJ223" s="26"/>
      <c r="EZN223" s="23"/>
      <c r="EZS223" s="26"/>
      <c r="EZW223" s="23"/>
      <c r="FAB223" s="26"/>
      <c r="FAF223" s="23"/>
      <c r="FAK223" s="26"/>
      <c r="FAO223" s="23"/>
      <c r="FAT223" s="26"/>
      <c r="FAX223" s="23"/>
      <c r="FBC223" s="26"/>
      <c r="FBG223" s="23"/>
      <c r="FBL223" s="26"/>
      <c r="FBP223" s="23"/>
      <c r="FBU223" s="26"/>
      <c r="FBY223" s="23"/>
      <c r="FCD223" s="26"/>
      <c r="FCH223" s="23"/>
      <c r="FCM223" s="26"/>
      <c r="FCQ223" s="23"/>
      <c r="FCV223" s="26"/>
      <c r="FCZ223" s="23"/>
      <c r="FDE223" s="26"/>
      <c r="FDI223" s="23"/>
      <c r="FDN223" s="26"/>
      <c r="FDR223" s="23"/>
      <c r="FDW223" s="26"/>
      <c r="FEA223" s="23"/>
      <c r="FEF223" s="26"/>
      <c r="FEJ223" s="23"/>
      <c r="FEO223" s="26"/>
      <c r="FES223" s="23"/>
      <c r="FEX223" s="26"/>
      <c r="FFB223" s="23"/>
      <c r="FFG223" s="26"/>
      <c r="FFK223" s="23"/>
      <c r="FFP223" s="26"/>
      <c r="FFT223" s="23"/>
      <c r="FFY223" s="26"/>
      <c r="FGC223" s="23"/>
      <c r="FGH223" s="26"/>
      <c r="FGL223" s="23"/>
      <c r="FGQ223" s="26"/>
      <c r="FGU223" s="23"/>
      <c r="FGZ223" s="26"/>
      <c r="FHD223" s="23"/>
      <c r="FHI223" s="26"/>
      <c r="FHM223" s="23"/>
      <c r="FHR223" s="26"/>
      <c r="FHV223" s="23"/>
      <c r="FIA223" s="26"/>
      <c r="FIE223" s="23"/>
      <c r="FIJ223" s="26"/>
      <c r="FIN223" s="23"/>
      <c r="FIS223" s="26"/>
      <c r="FIW223" s="23"/>
      <c r="FJB223" s="26"/>
      <c r="FJF223" s="23"/>
      <c r="FJK223" s="26"/>
      <c r="FJO223" s="23"/>
      <c r="FJT223" s="26"/>
      <c r="FJX223" s="23"/>
      <c r="FKC223" s="26"/>
      <c r="FKG223" s="23"/>
      <c r="FKL223" s="26"/>
      <c r="FKP223" s="23"/>
      <c r="FKU223" s="26"/>
      <c r="FKY223" s="23"/>
      <c r="FLD223" s="26"/>
      <c r="FLH223" s="23"/>
      <c r="FLM223" s="26"/>
      <c r="FLQ223" s="23"/>
      <c r="FLV223" s="26"/>
      <c r="FLZ223" s="23"/>
      <c r="FME223" s="26"/>
      <c r="FMI223" s="23"/>
      <c r="FMN223" s="26"/>
      <c r="FMR223" s="23"/>
      <c r="FMW223" s="26"/>
      <c r="FNA223" s="23"/>
      <c r="FNF223" s="26"/>
      <c r="FNJ223" s="23"/>
      <c r="FNO223" s="26"/>
      <c r="FNS223" s="23"/>
      <c r="FNX223" s="26"/>
      <c r="FOB223" s="23"/>
      <c r="FOG223" s="26"/>
      <c r="FOK223" s="23"/>
      <c r="FOP223" s="26"/>
      <c r="FOT223" s="23"/>
      <c r="FOY223" s="26"/>
      <c r="FPC223" s="23"/>
      <c r="FPH223" s="26"/>
      <c r="FPL223" s="23"/>
      <c r="FPQ223" s="26"/>
      <c r="FPU223" s="23"/>
      <c r="FPZ223" s="26"/>
      <c r="FQD223" s="23"/>
      <c r="FQI223" s="26"/>
      <c r="FQM223" s="23"/>
      <c r="FQR223" s="26"/>
      <c r="FQV223" s="23"/>
      <c r="FRA223" s="26"/>
      <c r="FRE223" s="23"/>
      <c r="FRJ223" s="26"/>
      <c r="FRN223" s="23"/>
      <c r="FRS223" s="26"/>
      <c r="FRW223" s="23"/>
      <c r="FSB223" s="26"/>
      <c r="FSF223" s="23"/>
      <c r="FSK223" s="26"/>
      <c r="FSO223" s="23"/>
      <c r="FST223" s="26"/>
      <c r="FSX223" s="23"/>
      <c r="FTC223" s="26"/>
      <c r="FTG223" s="23"/>
      <c r="FTL223" s="26"/>
      <c r="FTP223" s="23"/>
      <c r="FTU223" s="26"/>
      <c r="FTY223" s="23"/>
      <c r="FUD223" s="26"/>
      <c r="FUH223" s="23"/>
      <c r="FUM223" s="26"/>
      <c r="FUQ223" s="23"/>
      <c r="FUV223" s="26"/>
      <c r="FUZ223" s="23"/>
      <c r="FVE223" s="26"/>
      <c r="FVI223" s="23"/>
      <c r="FVN223" s="26"/>
      <c r="FVR223" s="23"/>
      <c r="FVW223" s="26"/>
      <c r="FWA223" s="23"/>
      <c r="FWF223" s="26"/>
      <c r="FWJ223" s="23"/>
      <c r="FWO223" s="26"/>
      <c r="FWS223" s="23"/>
      <c r="FWX223" s="26"/>
      <c r="FXB223" s="23"/>
      <c r="FXG223" s="26"/>
      <c r="FXK223" s="23"/>
      <c r="FXP223" s="26"/>
      <c r="FXT223" s="23"/>
      <c r="FXY223" s="26"/>
      <c r="FYC223" s="23"/>
      <c r="FYH223" s="26"/>
      <c r="FYL223" s="23"/>
      <c r="FYQ223" s="26"/>
      <c r="FYU223" s="23"/>
      <c r="FYZ223" s="26"/>
      <c r="FZD223" s="23"/>
      <c r="FZI223" s="26"/>
      <c r="FZM223" s="23"/>
      <c r="FZR223" s="26"/>
      <c r="FZV223" s="23"/>
      <c r="GAA223" s="26"/>
      <c r="GAE223" s="23"/>
      <c r="GAJ223" s="26"/>
      <c r="GAN223" s="23"/>
      <c r="GAS223" s="26"/>
      <c r="GAW223" s="23"/>
      <c r="GBB223" s="26"/>
      <c r="GBF223" s="23"/>
      <c r="GBK223" s="26"/>
      <c r="GBO223" s="23"/>
      <c r="GBT223" s="26"/>
      <c r="GBX223" s="23"/>
      <c r="GCC223" s="26"/>
      <c r="GCG223" s="23"/>
      <c r="GCL223" s="26"/>
      <c r="GCP223" s="23"/>
      <c r="GCU223" s="26"/>
      <c r="GCY223" s="23"/>
      <c r="GDD223" s="26"/>
      <c r="GDH223" s="23"/>
      <c r="GDM223" s="26"/>
      <c r="GDQ223" s="23"/>
      <c r="GDV223" s="26"/>
      <c r="GDZ223" s="23"/>
      <c r="GEE223" s="26"/>
      <c r="GEI223" s="23"/>
      <c r="GEN223" s="26"/>
      <c r="GER223" s="23"/>
      <c r="GEW223" s="26"/>
      <c r="GFA223" s="23"/>
      <c r="GFF223" s="26"/>
      <c r="GFJ223" s="23"/>
      <c r="GFO223" s="26"/>
      <c r="GFS223" s="23"/>
      <c r="GFX223" s="26"/>
      <c r="GGB223" s="23"/>
      <c r="GGG223" s="26"/>
      <c r="GGK223" s="23"/>
      <c r="GGP223" s="26"/>
      <c r="GGT223" s="23"/>
      <c r="GGY223" s="26"/>
      <c r="GHC223" s="23"/>
      <c r="GHH223" s="26"/>
      <c r="GHL223" s="23"/>
      <c r="GHQ223" s="26"/>
      <c r="GHU223" s="23"/>
      <c r="GHZ223" s="26"/>
      <c r="GID223" s="23"/>
      <c r="GII223" s="26"/>
      <c r="GIM223" s="23"/>
      <c r="GIR223" s="26"/>
      <c r="GIV223" s="23"/>
      <c r="GJA223" s="26"/>
      <c r="GJE223" s="23"/>
      <c r="GJJ223" s="26"/>
      <c r="GJN223" s="23"/>
      <c r="GJS223" s="26"/>
      <c r="GJW223" s="23"/>
      <c r="GKB223" s="26"/>
      <c r="GKF223" s="23"/>
      <c r="GKK223" s="26"/>
      <c r="GKO223" s="23"/>
      <c r="GKT223" s="26"/>
      <c r="GKX223" s="23"/>
      <c r="GLC223" s="26"/>
      <c r="GLG223" s="23"/>
      <c r="GLL223" s="26"/>
      <c r="GLP223" s="23"/>
      <c r="GLU223" s="26"/>
      <c r="GLY223" s="23"/>
      <c r="GMD223" s="26"/>
      <c r="GMH223" s="23"/>
      <c r="GMM223" s="26"/>
      <c r="GMQ223" s="23"/>
      <c r="GMV223" s="26"/>
      <c r="GMZ223" s="23"/>
      <c r="GNE223" s="26"/>
      <c r="GNI223" s="23"/>
      <c r="GNN223" s="26"/>
      <c r="GNR223" s="23"/>
      <c r="GNW223" s="26"/>
      <c r="GOA223" s="23"/>
      <c r="GOF223" s="26"/>
      <c r="GOJ223" s="23"/>
      <c r="GOO223" s="26"/>
      <c r="GOS223" s="23"/>
      <c r="GOX223" s="26"/>
      <c r="GPB223" s="23"/>
      <c r="GPG223" s="26"/>
      <c r="GPK223" s="23"/>
      <c r="GPP223" s="26"/>
      <c r="GPT223" s="23"/>
      <c r="GPY223" s="26"/>
      <c r="GQC223" s="23"/>
      <c r="GQH223" s="26"/>
      <c r="GQL223" s="23"/>
      <c r="GQQ223" s="26"/>
      <c r="GQU223" s="23"/>
      <c r="GQZ223" s="26"/>
      <c r="GRD223" s="23"/>
      <c r="GRI223" s="26"/>
      <c r="GRM223" s="23"/>
      <c r="GRR223" s="26"/>
      <c r="GRV223" s="23"/>
      <c r="GSA223" s="26"/>
      <c r="GSE223" s="23"/>
      <c r="GSJ223" s="26"/>
      <c r="GSN223" s="23"/>
      <c r="GSS223" s="26"/>
      <c r="GSW223" s="23"/>
      <c r="GTB223" s="26"/>
      <c r="GTF223" s="23"/>
      <c r="GTK223" s="26"/>
      <c r="GTO223" s="23"/>
      <c r="GTT223" s="26"/>
      <c r="GTX223" s="23"/>
      <c r="GUC223" s="26"/>
      <c r="GUG223" s="23"/>
      <c r="GUL223" s="26"/>
      <c r="GUP223" s="23"/>
      <c r="GUU223" s="26"/>
      <c r="GUY223" s="23"/>
      <c r="GVD223" s="26"/>
      <c r="GVH223" s="23"/>
      <c r="GVM223" s="26"/>
      <c r="GVQ223" s="23"/>
      <c r="GVV223" s="26"/>
      <c r="GVZ223" s="23"/>
      <c r="GWE223" s="26"/>
      <c r="GWI223" s="23"/>
      <c r="GWN223" s="26"/>
      <c r="GWR223" s="23"/>
      <c r="GWW223" s="26"/>
      <c r="GXA223" s="23"/>
      <c r="GXF223" s="26"/>
      <c r="GXJ223" s="23"/>
      <c r="GXO223" s="26"/>
      <c r="GXS223" s="23"/>
      <c r="GXX223" s="26"/>
      <c r="GYB223" s="23"/>
      <c r="GYG223" s="26"/>
      <c r="GYK223" s="23"/>
      <c r="GYP223" s="26"/>
      <c r="GYT223" s="23"/>
      <c r="GYY223" s="26"/>
      <c r="GZC223" s="23"/>
      <c r="GZH223" s="26"/>
      <c r="GZL223" s="23"/>
      <c r="GZQ223" s="26"/>
      <c r="GZU223" s="23"/>
      <c r="GZZ223" s="26"/>
      <c r="HAD223" s="23"/>
      <c r="HAI223" s="26"/>
      <c r="HAM223" s="23"/>
      <c r="HAR223" s="26"/>
      <c r="HAV223" s="23"/>
      <c r="HBA223" s="26"/>
      <c r="HBE223" s="23"/>
      <c r="HBJ223" s="26"/>
      <c r="HBN223" s="23"/>
      <c r="HBS223" s="26"/>
      <c r="HBW223" s="23"/>
      <c r="HCB223" s="26"/>
      <c r="HCF223" s="23"/>
      <c r="HCK223" s="26"/>
      <c r="HCO223" s="23"/>
      <c r="HCT223" s="26"/>
      <c r="HCX223" s="23"/>
      <c r="HDC223" s="26"/>
      <c r="HDG223" s="23"/>
      <c r="HDL223" s="26"/>
      <c r="HDP223" s="23"/>
      <c r="HDU223" s="26"/>
      <c r="HDY223" s="23"/>
      <c r="HED223" s="26"/>
      <c r="HEH223" s="23"/>
      <c r="HEM223" s="26"/>
      <c r="HEQ223" s="23"/>
      <c r="HEV223" s="26"/>
      <c r="HEZ223" s="23"/>
      <c r="HFE223" s="26"/>
      <c r="HFI223" s="23"/>
      <c r="HFN223" s="26"/>
      <c r="HFR223" s="23"/>
      <c r="HFW223" s="26"/>
      <c r="HGA223" s="23"/>
      <c r="HGF223" s="26"/>
      <c r="HGJ223" s="23"/>
      <c r="HGO223" s="26"/>
      <c r="HGS223" s="23"/>
      <c r="HGX223" s="26"/>
      <c r="HHB223" s="23"/>
      <c r="HHG223" s="26"/>
      <c r="HHK223" s="23"/>
      <c r="HHP223" s="26"/>
      <c r="HHT223" s="23"/>
      <c r="HHY223" s="26"/>
      <c r="HIC223" s="23"/>
      <c r="HIH223" s="26"/>
      <c r="HIL223" s="23"/>
      <c r="HIQ223" s="26"/>
      <c r="HIU223" s="23"/>
      <c r="HIZ223" s="26"/>
      <c r="HJD223" s="23"/>
      <c r="HJI223" s="26"/>
      <c r="HJM223" s="23"/>
      <c r="HJR223" s="26"/>
      <c r="HJV223" s="23"/>
      <c r="HKA223" s="26"/>
      <c r="HKE223" s="23"/>
      <c r="HKJ223" s="26"/>
      <c r="HKN223" s="23"/>
      <c r="HKS223" s="26"/>
      <c r="HKW223" s="23"/>
      <c r="HLB223" s="26"/>
      <c r="HLF223" s="23"/>
      <c r="HLK223" s="26"/>
      <c r="HLO223" s="23"/>
      <c r="HLT223" s="26"/>
      <c r="HLX223" s="23"/>
      <c r="HMC223" s="26"/>
      <c r="HMG223" s="23"/>
      <c r="HML223" s="26"/>
      <c r="HMP223" s="23"/>
      <c r="HMU223" s="26"/>
      <c r="HMY223" s="23"/>
      <c r="HND223" s="26"/>
      <c r="HNH223" s="23"/>
      <c r="HNM223" s="26"/>
      <c r="HNQ223" s="23"/>
      <c r="HNV223" s="26"/>
      <c r="HNZ223" s="23"/>
      <c r="HOE223" s="26"/>
      <c r="HOI223" s="23"/>
      <c r="HON223" s="26"/>
      <c r="HOR223" s="23"/>
      <c r="HOW223" s="26"/>
      <c r="HPA223" s="23"/>
      <c r="HPF223" s="26"/>
      <c r="HPJ223" s="23"/>
      <c r="HPO223" s="26"/>
      <c r="HPS223" s="23"/>
      <c r="HPX223" s="26"/>
      <c r="HQB223" s="23"/>
      <c r="HQG223" s="26"/>
      <c r="HQK223" s="23"/>
      <c r="HQP223" s="26"/>
      <c r="HQT223" s="23"/>
      <c r="HQY223" s="26"/>
      <c r="HRC223" s="23"/>
      <c r="HRH223" s="26"/>
      <c r="HRL223" s="23"/>
      <c r="HRQ223" s="26"/>
      <c r="HRU223" s="23"/>
      <c r="HRZ223" s="26"/>
      <c r="HSD223" s="23"/>
      <c r="HSI223" s="26"/>
      <c r="HSM223" s="23"/>
      <c r="HSR223" s="26"/>
      <c r="HSV223" s="23"/>
      <c r="HTA223" s="26"/>
      <c r="HTE223" s="23"/>
      <c r="HTJ223" s="26"/>
      <c r="HTN223" s="23"/>
      <c r="HTS223" s="26"/>
      <c r="HTW223" s="23"/>
      <c r="HUB223" s="26"/>
      <c r="HUF223" s="23"/>
      <c r="HUK223" s="26"/>
      <c r="HUO223" s="23"/>
      <c r="HUT223" s="26"/>
      <c r="HUX223" s="23"/>
      <c r="HVC223" s="26"/>
      <c r="HVG223" s="23"/>
      <c r="HVL223" s="26"/>
      <c r="HVP223" s="23"/>
      <c r="HVU223" s="26"/>
      <c r="HVY223" s="23"/>
      <c r="HWD223" s="26"/>
      <c r="HWH223" s="23"/>
      <c r="HWM223" s="26"/>
      <c r="HWQ223" s="23"/>
      <c r="HWV223" s="26"/>
      <c r="HWZ223" s="23"/>
      <c r="HXE223" s="26"/>
      <c r="HXI223" s="23"/>
      <c r="HXN223" s="26"/>
      <c r="HXR223" s="23"/>
      <c r="HXW223" s="26"/>
      <c r="HYA223" s="23"/>
      <c r="HYF223" s="26"/>
      <c r="HYJ223" s="23"/>
      <c r="HYO223" s="26"/>
      <c r="HYS223" s="23"/>
      <c r="HYX223" s="26"/>
      <c r="HZB223" s="23"/>
      <c r="HZG223" s="26"/>
      <c r="HZK223" s="23"/>
      <c r="HZP223" s="26"/>
      <c r="HZT223" s="23"/>
      <c r="HZY223" s="26"/>
      <c r="IAC223" s="23"/>
      <c r="IAH223" s="26"/>
      <c r="IAL223" s="23"/>
      <c r="IAQ223" s="26"/>
      <c r="IAU223" s="23"/>
      <c r="IAZ223" s="26"/>
      <c r="IBD223" s="23"/>
      <c r="IBI223" s="26"/>
      <c r="IBM223" s="23"/>
      <c r="IBR223" s="26"/>
      <c r="IBV223" s="23"/>
      <c r="ICA223" s="26"/>
      <c r="ICE223" s="23"/>
      <c r="ICJ223" s="26"/>
      <c r="ICN223" s="23"/>
      <c r="ICS223" s="26"/>
      <c r="ICW223" s="23"/>
      <c r="IDB223" s="26"/>
      <c r="IDF223" s="23"/>
      <c r="IDK223" s="26"/>
      <c r="IDO223" s="23"/>
      <c r="IDT223" s="26"/>
      <c r="IDX223" s="23"/>
      <c r="IEC223" s="26"/>
      <c r="IEG223" s="23"/>
      <c r="IEL223" s="26"/>
      <c r="IEP223" s="23"/>
      <c r="IEU223" s="26"/>
      <c r="IEY223" s="23"/>
      <c r="IFD223" s="26"/>
      <c r="IFH223" s="23"/>
      <c r="IFM223" s="26"/>
      <c r="IFQ223" s="23"/>
      <c r="IFV223" s="26"/>
      <c r="IFZ223" s="23"/>
      <c r="IGE223" s="26"/>
      <c r="IGI223" s="23"/>
      <c r="IGN223" s="26"/>
      <c r="IGR223" s="23"/>
      <c r="IGW223" s="26"/>
      <c r="IHA223" s="23"/>
      <c r="IHF223" s="26"/>
      <c r="IHJ223" s="23"/>
      <c r="IHO223" s="26"/>
      <c r="IHS223" s="23"/>
      <c r="IHX223" s="26"/>
      <c r="IIB223" s="23"/>
      <c r="IIG223" s="26"/>
      <c r="IIK223" s="23"/>
      <c r="IIP223" s="26"/>
      <c r="IIT223" s="23"/>
      <c r="IIY223" s="26"/>
      <c r="IJC223" s="23"/>
      <c r="IJH223" s="26"/>
      <c r="IJL223" s="23"/>
      <c r="IJQ223" s="26"/>
      <c r="IJU223" s="23"/>
      <c r="IJZ223" s="26"/>
      <c r="IKD223" s="23"/>
      <c r="IKI223" s="26"/>
      <c r="IKM223" s="23"/>
      <c r="IKR223" s="26"/>
      <c r="IKV223" s="23"/>
      <c r="ILA223" s="26"/>
      <c r="ILE223" s="23"/>
      <c r="ILJ223" s="26"/>
      <c r="ILN223" s="23"/>
      <c r="ILS223" s="26"/>
      <c r="ILW223" s="23"/>
      <c r="IMB223" s="26"/>
      <c r="IMF223" s="23"/>
      <c r="IMK223" s="26"/>
      <c r="IMO223" s="23"/>
      <c r="IMT223" s="26"/>
      <c r="IMX223" s="23"/>
      <c r="INC223" s="26"/>
      <c r="ING223" s="23"/>
      <c r="INL223" s="26"/>
      <c r="INP223" s="23"/>
      <c r="INU223" s="26"/>
      <c r="INY223" s="23"/>
      <c r="IOD223" s="26"/>
      <c r="IOH223" s="23"/>
      <c r="IOM223" s="26"/>
      <c r="IOQ223" s="23"/>
      <c r="IOV223" s="26"/>
      <c r="IOZ223" s="23"/>
      <c r="IPE223" s="26"/>
      <c r="IPI223" s="23"/>
      <c r="IPN223" s="26"/>
      <c r="IPR223" s="23"/>
      <c r="IPW223" s="26"/>
      <c r="IQA223" s="23"/>
      <c r="IQF223" s="26"/>
      <c r="IQJ223" s="23"/>
      <c r="IQO223" s="26"/>
      <c r="IQS223" s="23"/>
      <c r="IQX223" s="26"/>
      <c r="IRB223" s="23"/>
      <c r="IRG223" s="26"/>
      <c r="IRK223" s="23"/>
      <c r="IRP223" s="26"/>
      <c r="IRT223" s="23"/>
      <c r="IRY223" s="26"/>
      <c r="ISC223" s="23"/>
      <c r="ISH223" s="26"/>
      <c r="ISL223" s="23"/>
      <c r="ISQ223" s="26"/>
      <c r="ISU223" s="23"/>
      <c r="ISZ223" s="26"/>
      <c r="ITD223" s="23"/>
      <c r="ITI223" s="26"/>
      <c r="ITM223" s="23"/>
      <c r="ITR223" s="26"/>
      <c r="ITV223" s="23"/>
      <c r="IUA223" s="26"/>
      <c r="IUE223" s="23"/>
      <c r="IUJ223" s="26"/>
      <c r="IUN223" s="23"/>
      <c r="IUS223" s="26"/>
      <c r="IUW223" s="23"/>
      <c r="IVB223" s="26"/>
      <c r="IVF223" s="23"/>
      <c r="IVK223" s="26"/>
      <c r="IVO223" s="23"/>
      <c r="IVT223" s="26"/>
      <c r="IVX223" s="23"/>
      <c r="IWC223" s="26"/>
      <c r="IWG223" s="23"/>
      <c r="IWL223" s="26"/>
      <c r="IWP223" s="23"/>
      <c r="IWU223" s="26"/>
      <c r="IWY223" s="23"/>
      <c r="IXD223" s="26"/>
      <c r="IXH223" s="23"/>
      <c r="IXM223" s="26"/>
      <c r="IXQ223" s="23"/>
      <c r="IXV223" s="26"/>
      <c r="IXZ223" s="23"/>
      <c r="IYE223" s="26"/>
      <c r="IYI223" s="23"/>
      <c r="IYN223" s="26"/>
      <c r="IYR223" s="23"/>
      <c r="IYW223" s="26"/>
      <c r="IZA223" s="23"/>
      <c r="IZF223" s="26"/>
      <c r="IZJ223" s="23"/>
      <c r="IZO223" s="26"/>
      <c r="IZS223" s="23"/>
      <c r="IZX223" s="26"/>
      <c r="JAB223" s="23"/>
      <c r="JAG223" s="26"/>
      <c r="JAK223" s="23"/>
      <c r="JAP223" s="26"/>
      <c r="JAT223" s="23"/>
      <c r="JAY223" s="26"/>
      <c r="JBC223" s="23"/>
      <c r="JBH223" s="26"/>
      <c r="JBL223" s="23"/>
      <c r="JBQ223" s="26"/>
      <c r="JBU223" s="23"/>
      <c r="JBZ223" s="26"/>
      <c r="JCD223" s="23"/>
      <c r="JCI223" s="26"/>
      <c r="JCM223" s="23"/>
      <c r="JCR223" s="26"/>
      <c r="JCV223" s="23"/>
      <c r="JDA223" s="26"/>
      <c r="JDE223" s="23"/>
      <c r="JDJ223" s="26"/>
      <c r="JDN223" s="23"/>
      <c r="JDS223" s="26"/>
      <c r="JDW223" s="23"/>
      <c r="JEB223" s="26"/>
      <c r="JEF223" s="23"/>
      <c r="JEK223" s="26"/>
      <c r="JEO223" s="23"/>
      <c r="JET223" s="26"/>
      <c r="JEX223" s="23"/>
      <c r="JFC223" s="26"/>
      <c r="JFG223" s="23"/>
      <c r="JFL223" s="26"/>
      <c r="JFP223" s="23"/>
      <c r="JFU223" s="26"/>
      <c r="JFY223" s="23"/>
      <c r="JGD223" s="26"/>
      <c r="JGH223" s="23"/>
      <c r="JGM223" s="26"/>
      <c r="JGQ223" s="23"/>
      <c r="JGV223" s="26"/>
      <c r="JGZ223" s="23"/>
      <c r="JHE223" s="26"/>
      <c r="JHI223" s="23"/>
      <c r="JHN223" s="26"/>
      <c r="JHR223" s="23"/>
      <c r="JHW223" s="26"/>
      <c r="JIA223" s="23"/>
      <c r="JIF223" s="26"/>
      <c r="JIJ223" s="23"/>
      <c r="JIO223" s="26"/>
      <c r="JIS223" s="23"/>
      <c r="JIX223" s="26"/>
      <c r="JJB223" s="23"/>
      <c r="JJG223" s="26"/>
      <c r="JJK223" s="23"/>
      <c r="JJP223" s="26"/>
      <c r="JJT223" s="23"/>
      <c r="JJY223" s="26"/>
      <c r="JKC223" s="23"/>
      <c r="JKH223" s="26"/>
      <c r="JKL223" s="23"/>
      <c r="JKQ223" s="26"/>
      <c r="JKU223" s="23"/>
      <c r="JKZ223" s="26"/>
      <c r="JLD223" s="23"/>
      <c r="JLI223" s="26"/>
      <c r="JLM223" s="23"/>
      <c r="JLR223" s="26"/>
      <c r="JLV223" s="23"/>
      <c r="JMA223" s="26"/>
      <c r="JME223" s="23"/>
      <c r="JMJ223" s="26"/>
      <c r="JMN223" s="23"/>
      <c r="JMS223" s="26"/>
      <c r="JMW223" s="23"/>
      <c r="JNB223" s="26"/>
      <c r="JNF223" s="23"/>
      <c r="JNK223" s="26"/>
      <c r="JNO223" s="23"/>
      <c r="JNT223" s="26"/>
      <c r="JNX223" s="23"/>
      <c r="JOC223" s="26"/>
      <c r="JOG223" s="23"/>
      <c r="JOL223" s="26"/>
      <c r="JOP223" s="23"/>
      <c r="JOU223" s="26"/>
      <c r="JOY223" s="23"/>
      <c r="JPD223" s="26"/>
      <c r="JPH223" s="23"/>
      <c r="JPM223" s="26"/>
      <c r="JPQ223" s="23"/>
      <c r="JPV223" s="26"/>
      <c r="JPZ223" s="23"/>
      <c r="JQE223" s="26"/>
      <c r="JQI223" s="23"/>
      <c r="JQN223" s="26"/>
      <c r="JQR223" s="23"/>
      <c r="JQW223" s="26"/>
      <c r="JRA223" s="23"/>
      <c r="JRF223" s="26"/>
      <c r="JRJ223" s="23"/>
      <c r="JRO223" s="26"/>
      <c r="JRS223" s="23"/>
      <c r="JRX223" s="26"/>
      <c r="JSB223" s="23"/>
      <c r="JSG223" s="26"/>
      <c r="JSK223" s="23"/>
      <c r="JSP223" s="26"/>
      <c r="JST223" s="23"/>
      <c r="JSY223" s="26"/>
      <c r="JTC223" s="23"/>
      <c r="JTH223" s="26"/>
      <c r="JTL223" s="23"/>
      <c r="JTQ223" s="26"/>
      <c r="JTU223" s="23"/>
      <c r="JTZ223" s="26"/>
      <c r="JUD223" s="23"/>
      <c r="JUI223" s="26"/>
      <c r="JUM223" s="23"/>
      <c r="JUR223" s="26"/>
      <c r="JUV223" s="23"/>
      <c r="JVA223" s="26"/>
      <c r="JVE223" s="23"/>
      <c r="JVJ223" s="26"/>
      <c r="JVN223" s="23"/>
      <c r="JVS223" s="26"/>
      <c r="JVW223" s="23"/>
      <c r="JWB223" s="26"/>
      <c r="JWF223" s="23"/>
      <c r="JWK223" s="26"/>
      <c r="JWO223" s="23"/>
      <c r="JWT223" s="26"/>
      <c r="JWX223" s="23"/>
      <c r="JXC223" s="26"/>
      <c r="JXG223" s="23"/>
      <c r="JXL223" s="26"/>
      <c r="JXP223" s="23"/>
      <c r="JXU223" s="26"/>
      <c r="JXY223" s="23"/>
      <c r="JYD223" s="26"/>
      <c r="JYH223" s="23"/>
      <c r="JYM223" s="26"/>
      <c r="JYQ223" s="23"/>
      <c r="JYV223" s="26"/>
      <c r="JYZ223" s="23"/>
      <c r="JZE223" s="26"/>
      <c r="JZI223" s="23"/>
      <c r="JZN223" s="26"/>
      <c r="JZR223" s="23"/>
      <c r="JZW223" s="26"/>
      <c r="KAA223" s="23"/>
      <c r="KAF223" s="26"/>
      <c r="KAJ223" s="23"/>
      <c r="KAO223" s="26"/>
      <c r="KAS223" s="23"/>
      <c r="KAX223" s="26"/>
      <c r="KBB223" s="23"/>
      <c r="KBG223" s="26"/>
      <c r="KBK223" s="23"/>
      <c r="KBP223" s="26"/>
      <c r="KBT223" s="23"/>
      <c r="KBY223" s="26"/>
      <c r="KCC223" s="23"/>
      <c r="KCH223" s="26"/>
      <c r="KCL223" s="23"/>
      <c r="KCQ223" s="26"/>
      <c r="KCU223" s="23"/>
      <c r="KCZ223" s="26"/>
      <c r="KDD223" s="23"/>
      <c r="KDI223" s="26"/>
      <c r="KDM223" s="23"/>
      <c r="KDR223" s="26"/>
      <c r="KDV223" s="23"/>
      <c r="KEA223" s="26"/>
      <c r="KEE223" s="23"/>
      <c r="KEJ223" s="26"/>
      <c r="KEN223" s="23"/>
      <c r="KES223" s="26"/>
      <c r="KEW223" s="23"/>
      <c r="KFB223" s="26"/>
      <c r="KFF223" s="23"/>
      <c r="KFK223" s="26"/>
      <c r="KFO223" s="23"/>
      <c r="KFT223" s="26"/>
      <c r="KFX223" s="23"/>
      <c r="KGC223" s="26"/>
      <c r="KGG223" s="23"/>
      <c r="KGL223" s="26"/>
      <c r="KGP223" s="23"/>
      <c r="KGU223" s="26"/>
      <c r="KGY223" s="23"/>
      <c r="KHD223" s="26"/>
      <c r="KHH223" s="23"/>
      <c r="KHM223" s="26"/>
      <c r="KHQ223" s="23"/>
      <c r="KHV223" s="26"/>
      <c r="KHZ223" s="23"/>
      <c r="KIE223" s="26"/>
      <c r="KII223" s="23"/>
      <c r="KIN223" s="26"/>
      <c r="KIR223" s="23"/>
      <c r="KIW223" s="26"/>
      <c r="KJA223" s="23"/>
      <c r="KJF223" s="26"/>
      <c r="KJJ223" s="23"/>
      <c r="KJO223" s="26"/>
      <c r="KJS223" s="23"/>
      <c r="KJX223" s="26"/>
      <c r="KKB223" s="23"/>
      <c r="KKG223" s="26"/>
      <c r="KKK223" s="23"/>
      <c r="KKP223" s="26"/>
      <c r="KKT223" s="23"/>
      <c r="KKY223" s="26"/>
      <c r="KLC223" s="23"/>
      <c r="KLH223" s="26"/>
      <c r="KLL223" s="23"/>
      <c r="KLQ223" s="26"/>
      <c r="KLU223" s="23"/>
      <c r="KLZ223" s="26"/>
      <c r="KMD223" s="23"/>
      <c r="KMI223" s="26"/>
      <c r="KMM223" s="23"/>
      <c r="KMR223" s="26"/>
      <c r="KMV223" s="23"/>
      <c r="KNA223" s="26"/>
      <c r="KNE223" s="23"/>
      <c r="KNJ223" s="26"/>
      <c r="KNN223" s="23"/>
      <c r="KNS223" s="26"/>
      <c r="KNW223" s="23"/>
      <c r="KOB223" s="26"/>
      <c r="KOF223" s="23"/>
      <c r="KOK223" s="26"/>
      <c r="KOO223" s="23"/>
      <c r="KOT223" s="26"/>
      <c r="KOX223" s="23"/>
      <c r="KPC223" s="26"/>
      <c r="KPG223" s="23"/>
      <c r="KPL223" s="26"/>
      <c r="KPP223" s="23"/>
      <c r="KPU223" s="26"/>
      <c r="KPY223" s="23"/>
      <c r="KQD223" s="26"/>
      <c r="KQH223" s="23"/>
      <c r="KQM223" s="26"/>
      <c r="KQQ223" s="23"/>
      <c r="KQV223" s="26"/>
      <c r="KQZ223" s="23"/>
      <c r="KRE223" s="26"/>
      <c r="KRI223" s="23"/>
      <c r="KRN223" s="26"/>
      <c r="KRR223" s="23"/>
      <c r="KRW223" s="26"/>
      <c r="KSA223" s="23"/>
      <c r="KSF223" s="26"/>
      <c r="KSJ223" s="23"/>
      <c r="KSO223" s="26"/>
      <c r="KSS223" s="23"/>
      <c r="KSX223" s="26"/>
      <c r="KTB223" s="23"/>
      <c r="KTG223" s="26"/>
      <c r="KTK223" s="23"/>
      <c r="KTP223" s="26"/>
      <c r="KTT223" s="23"/>
      <c r="KTY223" s="26"/>
      <c r="KUC223" s="23"/>
      <c r="KUH223" s="26"/>
      <c r="KUL223" s="23"/>
      <c r="KUQ223" s="26"/>
      <c r="KUU223" s="23"/>
      <c r="KUZ223" s="26"/>
      <c r="KVD223" s="23"/>
      <c r="KVI223" s="26"/>
      <c r="KVM223" s="23"/>
      <c r="KVR223" s="26"/>
      <c r="KVV223" s="23"/>
      <c r="KWA223" s="26"/>
      <c r="KWE223" s="23"/>
      <c r="KWJ223" s="26"/>
      <c r="KWN223" s="23"/>
      <c r="KWS223" s="26"/>
      <c r="KWW223" s="23"/>
      <c r="KXB223" s="26"/>
      <c r="KXF223" s="23"/>
      <c r="KXK223" s="26"/>
      <c r="KXO223" s="23"/>
      <c r="KXT223" s="26"/>
      <c r="KXX223" s="23"/>
      <c r="KYC223" s="26"/>
      <c r="KYG223" s="23"/>
      <c r="KYL223" s="26"/>
      <c r="KYP223" s="23"/>
      <c r="KYU223" s="26"/>
      <c r="KYY223" s="23"/>
      <c r="KZD223" s="26"/>
      <c r="KZH223" s="23"/>
      <c r="KZM223" s="26"/>
      <c r="KZQ223" s="23"/>
      <c r="KZV223" s="26"/>
      <c r="KZZ223" s="23"/>
      <c r="LAE223" s="26"/>
      <c r="LAI223" s="23"/>
      <c r="LAN223" s="26"/>
      <c r="LAR223" s="23"/>
      <c r="LAW223" s="26"/>
      <c r="LBA223" s="23"/>
      <c r="LBF223" s="26"/>
      <c r="LBJ223" s="23"/>
      <c r="LBO223" s="26"/>
      <c r="LBS223" s="23"/>
      <c r="LBX223" s="26"/>
      <c r="LCB223" s="23"/>
      <c r="LCG223" s="26"/>
      <c r="LCK223" s="23"/>
      <c r="LCP223" s="26"/>
      <c r="LCT223" s="23"/>
      <c r="LCY223" s="26"/>
      <c r="LDC223" s="23"/>
      <c r="LDH223" s="26"/>
      <c r="LDL223" s="23"/>
      <c r="LDQ223" s="26"/>
      <c r="LDU223" s="23"/>
      <c r="LDZ223" s="26"/>
      <c r="LED223" s="23"/>
      <c r="LEI223" s="26"/>
      <c r="LEM223" s="23"/>
      <c r="LER223" s="26"/>
      <c r="LEV223" s="23"/>
      <c r="LFA223" s="26"/>
      <c r="LFE223" s="23"/>
      <c r="LFJ223" s="26"/>
      <c r="LFN223" s="23"/>
      <c r="LFS223" s="26"/>
      <c r="LFW223" s="23"/>
      <c r="LGB223" s="26"/>
      <c r="LGF223" s="23"/>
      <c r="LGK223" s="26"/>
      <c r="LGO223" s="23"/>
      <c r="LGT223" s="26"/>
      <c r="LGX223" s="23"/>
      <c r="LHC223" s="26"/>
      <c r="LHG223" s="23"/>
      <c r="LHL223" s="26"/>
      <c r="LHP223" s="23"/>
      <c r="LHU223" s="26"/>
      <c r="LHY223" s="23"/>
      <c r="LID223" s="26"/>
      <c r="LIH223" s="23"/>
      <c r="LIM223" s="26"/>
      <c r="LIQ223" s="23"/>
      <c r="LIV223" s="26"/>
      <c r="LIZ223" s="23"/>
      <c r="LJE223" s="26"/>
      <c r="LJI223" s="23"/>
      <c r="LJN223" s="26"/>
      <c r="LJR223" s="23"/>
      <c r="LJW223" s="26"/>
      <c r="LKA223" s="23"/>
      <c r="LKF223" s="26"/>
      <c r="LKJ223" s="23"/>
      <c r="LKO223" s="26"/>
      <c r="LKS223" s="23"/>
      <c r="LKX223" s="26"/>
      <c r="LLB223" s="23"/>
      <c r="LLG223" s="26"/>
      <c r="LLK223" s="23"/>
      <c r="LLP223" s="26"/>
      <c r="LLT223" s="23"/>
      <c r="LLY223" s="26"/>
      <c r="LMC223" s="23"/>
      <c r="LMH223" s="26"/>
      <c r="LML223" s="23"/>
      <c r="LMQ223" s="26"/>
      <c r="LMU223" s="23"/>
      <c r="LMZ223" s="26"/>
      <c r="LND223" s="23"/>
      <c r="LNI223" s="26"/>
      <c r="LNM223" s="23"/>
      <c r="LNR223" s="26"/>
      <c r="LNV223" s="23"/>
      <c r="LOA223" s="26"/>
      <c r="LOE223" s="23"/>
      <c r="LOJ223" s="26"/>
      <c r="LON223" s="23"/>
      <c r="LOS223" s="26"/>
      <c r="LOW223" s="23"/>
      <c r="LPB223" s="26"/>
      <c r="LPF223" s="23"/>
      <c r="LPK223" s="26"/>
      <c r="LPO223" s="23"/>
      <c r="LPT223" s="26"/>
      <c r="LPX223" s="23"/>
      <c r="LQC223" s="26"/>
      <c r="LQG223" s="23"/>
      <c r="LQL223" s="26"/>
      <c r="LQP223" s="23"/>
      <c r="LQU223" s="26"/>
      <c r="LQY223" s="23"/>
      <c r="LRD223" s="26"/>
      <c r="LRH223" s="23"/>
      <c r="LRM223" s="26"/>
      <c r="LRQ223" s="23"/>
      <c r="LRV223" s="26"/>
      <c r="LRZ223" s="23"/>
      <c r="LSE223" s="26"/>
      <c r="LSI223" s="23"/>
      <c r="LSN223" s="26"/>
      <c r="LSR223" s="23"/>
      <c r="LSW223" s="26"/>
      <c r="LTA223" s="23"/>
      <c r="LTF223" s="26"/>
      <c r="LTJ223" s="23"/>
      <c r="LTO223" s="26"/>
      <c r="LTS223" s="23"/>
      <c r="LTX223" s="26"/>
      <c r="LUB223" s="23"/>
      <c r="LUG223" s="26"/>
      <c r="LUK223" s="23"/>
      <c r="LUP223" s="26"/>
      <c r="LUT223" s="23"/>
      <c r="LUY223" s="26"/>
      <c r="LVC223" s="23"/>
      <c r="LVH223" s="26"/>
      <c r="LVL223" s="23"/>
      <c r="LVQ223" s="26"/>
      <c r="LVU223" s="23"/>
      <c r="LVZ223" s="26"/>
      <c r="LWD223" s="23"/>
      <c r="LWI223" s="26"/>
      <c r="LWM223" s="23"/>
      <c r="LWR223" s="26"/>
      <c r="LWV223" s="23"/>
      <c r="LXA223" s="26"/>
      <c r="LXE223" s="23"/>
      <c r="LXJ223" s="26"/>
      <c r="LXN223" s="23"/>
      <c r="LXS223" s="26"/>
      <c r="LXW223" s="23"/>
      <c r="LYB223" s="26"/>
      <c r="LYF223" s="23"/>
      <c r="LYK223" s="26"/>
      <c r="LYO223" s="23"/>
      <c r="LYT223" s="26"/>
      <c r="LYX223" s="23"/>
      <c r="LZC223" s="26"/>
      <c r="LZG223" s="23"/>
      <c r="LZL223" s="26"/>
      <c r="LZP223" s="23"/>
      <c r="LZU223" s="26"/>
      <c r="LZY223" s="23"/>
      <c r="MAD223" s="26"/>
      <c r="MAH223" s="23"/>
      <c r="MAM223" s="26"/>
      <c r="MAQ223" s="23"/>
      <c r="MAV223" s="26"/>
      <c r="MAZ223" s="23"/>
      <c r="MBE223" s="26"/>
      <c r="MBI223" s="23"/>
      <c r="MBN223" s="26"/>
      <c r="MBR223" s="23"/>
      <c r="MBW223" s="26"/>
      <c r="MCA223" s="23"/>
      <c r="MCF223" s="26"/>
      <c r="MCJ223" s="23"/>
      <c r="MCO223" s="26"/>
      <c r="MCS223" s="23"/>
      <c r="MCX223" s="26"/>
      <c r="MDB223" s="23"/>
      <c r="MDG223" s="26"/>
      <c r="MDK223" s="23"/>
      <c r="MDP223" s="26"/>
      <c r="MDT223" s="23"/>
      <c r="MDY223" s="26"/>
      <c r="MEC223" s="23"/>
      <c r="MEH223" s="26"/>
      <c r="MEL223" s="23"/>
      <c r="MEQ223" s="26"/>
      <c r="MEU223" s="23"/>
      <c r="MEZ223" s="26"/>
      <c r="MFD223" s="23"/>
      <c r="MFI223" s="26"/>
      <c r="MFM223" s="23"/>
      <c r="MFR223" s="26"/>
      <c r="MFV223" s="23"/>
      <c r="MGA223" s="26"/>
      <c r="MGE223" s="23"/>
      <c r="MGJ223" s="26"/>
      <c r="MGN223" s="23"/>
      <c r="MGS223" s="26"/>
      <c r="MGW223" s="23"/>
      <c r="MHB223" s="26"/>
      <c r="MHF223" s="23"/>
      <c r="MHK223" s="26"/>
      <c r="MHO223" s="23"/>
      <c r="MHT223" s="26"/>
      <c r="MHX223" s="23"/>
      <c r="MIC223" s="26"/>
      <c r="MIG223" s="23"/>
      <c r="MIL223" s="26"/>
      <c r="MIP223" s="23"/>
      <c r="MIU223" s="26"/>
      <c r="MIY223" s="23"/>
      <c r="MJD223" s="26"/>
      <c r="MJH223" s="23"/>
      <c r="MJM223" s="26"/>
      <c r="MJQ223" s="23"/>
      <c r="MJV223" s="26"/>
      <c r="MJZ223" s="23"/>
      <c r="MKE223" s="26"/>
      <c r="MKI223" s="23"/>
      <c r="MKN223" s="26"/>
      <c r="MKR223" s="23"/>
      <c r="MKW223" s="26"/>
      <c r="MLA223" s="23"/>
      <c r="MLF223" s="26"/>
      <c r="MLJ223" s="23"/>
      <c r="MLO223" s="26"/>
      <c r="MLS223" s="23"/>
      <c r="MLX223" s="26"/>
      <c r="MMB223" s="23"/>
      <c r="MMG223" s="26"/>
      <c r="MMK223" s="23"/>
      <c r="MMP223" s="26"/>
      <c r="MMT223" s="23"/>
      <c r="MMY223" s="26"/>
      <c r="MNC223" s="23"/>
      <c r="MNH223" s="26"/>
      <c r="MNL223" s="23"/>
      <c r="MNQ223" s="26"/>
      <c r="MNU223" s="23"/>
      <c r="MNZ223" s="26"/>
      <c r="MOD223" s="23"/>
      <c r="MOI223" s="26"/>
      <c r="MOM223" s="23"/>
      <c r="MOR223" s="26"/>
      <c r="MOV223" s="23"/>
      <c r="MPA223" s="26"/>
      <c r="MPE223" s="23"/>
      <c r="MPJ223" s="26"/>
      <c r="MPN223" s="23"/>
      <c r="MPS223" s="26"/>
      <c r="MPW223" s="23"/>
      <c r="MQB223" s="26"/>
      <c r="MQF223" s="23"/>
      <c r="MQK223" s="26"/>
      <c r="MQO223" s="23"/>
      <c r="MQT223" s="26"/>
      <c r="MQX223" s="23"/>
      <c r="MRC223" s="26"/>
      <c r="MRG223" s="23"/>
      <c r="MRL223" s="26"/>
      <c r="MRP223" s="23"/>
      <c r="MRU223" s="26"/>
      <c r="MRY223" s="23"/>
      <c r="MSD223" s="26"/>
      <c r="MSH223" s="23"/>
      <c r="MSM223" s="26"/>
      <c r="MSQ223" s="23"/>
      <c r="MSV223" s="26"/>
      <c r="MSZ223" s="23"/>
      <c r="MTE223" s="26"/>
      <c r="MTI223" s="23"/>
      <c r="MTN223" s="26"/>
      <c r="MTR223" s="23"/>
      <c r="MTW223" s="26"/>
      <c r="MUA223" s="23"/>
      <c r="MUF223" s="26"/>
      <c r="MUJ223" s="23"/>
      <c r="MUO223" s="26"/>
      <c r="MUS223" s="23"/>
      <c r="MUX223" s="26"/>
      <c r="MVB223" s="23"/>
      <c r="MVG223" s="26"/>
      <c r="MVK223" s="23"/>
      <c r="MVP223" s="26"/>
      <c r="MVT223" s="23"/>
      <c r="MVY223" s="26"/>
      <c r="MWC223" s="23"/>
      <c r="MWH223" s="26"/>
      <c r="MWL223" s="23"/>
      <c r="MWQ223" s="26"/>
      <c r="MWU223" s="23"/>
      <c r="MWZ223" s="26"/>
      <c r="MXD223" s="23"/>
      <c r="MXI223" s="26"/>
      <c r="MXM223" s="23"/>
      <c r="MXR223" s="26"/>
      <c r="MXV223" s="23"/>
      <c r="MYA223" s="26"/>
      <c r="MYE223" s="23"/>
      <c r="MYJ223" s="26"/>
      <c r="MYN223" s="23"/>
      <c r="MYS223" s="26"/>
      <c r="MYW223" s="23"/>
      <c r="MZB223" s="26"/>
      <c r="MZF223" s="23"/>
      <c r="MZK223" s="26"/>
      <c r="MZO223" s="23"/>
      <c r="MZT223" s="26"/>
      <c r="MZX223" s="23"/>
      <c r="NAC223" s="26"/>
      <c r="NAG223" s="23"/>
      <c r="NAL223" s="26"/>
      <c r="NAP223" s="23"/>
      <c r="NAU223" s="26"/>
      <c r="NAY223" s="23"/>
      <c r="NBD223" s="26"/>
      <c r="NBH223" s="23"/>
      <c r="NBM223" s="26"/>
      <c r="NBQ223" s="23"/>
      <c r="NBV223" s="26"/>
      <c r="NBZ223" s="23"/>
      <c r="NCE223" s="26"/>
      <c r="NCI223" s="23"/>
      <c r="NCN223" s="26"/>
      <c r="NCR223" s="23"/>
      <c r="NCW223" s="26"/>
      <c r="NDA223" s="23"/>
      <c r="NDF223" s="26"/>
      <c r="NDJ223" s="23"/>
      <c r="NDO223" s="26"/>
      <c r="NDS223" s="23"/>
      <c r="NDX223" s="26"/>
      <c r="NEB223" s="23"/>
      <c r="NEG223" s="26"/>
      <c r="NEK223" s="23"/>
      <c r="NEP223" s="26"/>
      <c r="NET223" s="23"/>
      <c r="NEY223" s="26"/>
      <c r="NFC223" s="23"/>
      <c r="NFH223" s="26"/>
      <c r="NFL223" s="23"/>
      <c r="NFQ223" s="26"/>
      <c r="NFU223" s="23"/>
      <c r="NFZ223" s="26"/>
      <c r="NGD223" s="23"/>
      <c r="NGI223" s="26"/>
      <c r="NGM223" s="23"/>
      <c r="NGR223" s="26"/>
      <c r="NGV223" s="23"/>
      <c r="NHA223" s="26"/>
      <c r="NHE223" s="23"/>
      <c r="NHJ223" s="26"/>
      <c r="NHN223" s="23"/>
      <c r="NHS223" s="26"/>
      <c r="NHW223" s="23"/>
      <c r="NIB223" s="26"/>
      <c r="NIF223" s="23"/>
      <c r="NIK223" s="26"/>
      <c r="NIO223" s="23"/>
      <c r="NIT223" s="26"/>
      <c r="NIX223" s="23"/>
      <c r="NJC223" s="26"/>
      <c r="NJG223" s="23"/>
      <c r="NJL223" s="26"/>
      <c r="NJP223" s="23"/>
      <c r="NJU223" s="26"/>
      <c r="NJY223" s="23"/>
      <c r="NKD223" s="26"/>
      <c r="NKH223" s="23"/>
      <c r="NKM223" s="26"/>
      <c r="NKQ223" s="23"/>
      <c r="NKV223" s="26"/>
      <c r="NKZ223" s="23"/>
      <c r="NLE223" s="26"/>
      <c r="NLI223" s="23"/>
      <c r="NLN223" s="26"/>
      <c r="NLR223" s="23"/>
      <c r="NLW223" s="26"/>
      <c r="NMA223" s="23"/>
      <c r="NMF223" s="26"/>
      <c r="NMJ223" s="23"/>
      <c r="NMO223" s="26"/>
      <c r="NMS223" s="23"/>
      <c r="NMX223" s="26"/>
      <c r="NNB223" s="23"/>
      <c r="NNG223" s="26"/>
      <c r="NNK223" s="23"/>
      <c r="NNP223" s="26"/>
      <c r="NNT223" s="23"/>
      <c r="NNY223" s="26"/>
      <c r="NOC223" s="23"/>
      <c r="NOH223" s="26"/>
      <c r="NOL223" s="23"/>
      <c r="NOQ223" s="26"/>
      <c r="NOU223" s="23"/>
      <c r="NOZ223" s="26"/>
      <c r="NPD223" s="23"/>
      <c r="NPI223" s="26"/>
      <c r="NPM223" s="23"/>
      <c r="NPR223" s="26"/>
      <c r="NPV223" s="23"/>
      <c r="NQA223" s="26"/>
      <c r="NQE223" s="23"/>
      <c r="NQJ223" s="26"/>
      <c r="NQN223" s="23"/>
      <c r="NQS223" s="26"/>
      <c r="NQW223" s="23"/>
      <c r="NRB223" s="26"/>
      <c r="NRF223" s="23"/>
      <c r="NRK223" s="26"/>
      <c r="NRO223" s="23"/>
      <c r="NRT223" s="26"/>
      <c r="NRX223" s="23"/>
      <c r="NSC223" s="26"/>
      <c r="NSG223" s="23"/>
      <c r="NSL223" s="26"/>
      <c r="NSP223" s="23"/>
      <c r="NSU223" s="26"/>
      <c r="NSY223" s="23"/>
      <c r="NTD223" s="26"/>
      <c r="NTH223" s="23"/>
      <c r="NTM223" s="26"/>
      <c r="NTQ223" s="23"/>
      <c r="NTV223" s="26"/>
      <c r="NTZ223" s="23"/>
      <c r="NUE223" s="26"/>
      <c r="NUI223" s="23"/>
      <c r="NUN223" s="26"/>
      <c r="NUR223" s="23"/>
      <c r="NUW223" s="26"/>
      <c r="NVA223" s="23"/>
      <c r="NVF223" s="26"/>
      <c r="NVJ223" s="23"/>
      <c r="NVO223" s="26"/>
      <c r="NVS223" s="23"/>
      <c r="NVX223" s="26"/>
      <c r="NWB223" s="23"/>
      <c r="NWG223" s="26"/>
      <c r="NWK223" s="23"/>
      <c r="NWP223" s="26"/>
      <c r="NWT223" s="23"/>
      <c r="NWY223" s="26"/>
      <c r="NXC223" s="23"/>
      <c r="NXH223" s="26"/>
      <c r="NXL223" s="23"/>
      <c r="NXQ223" s="26"/>
      <c r="NXU223" s="23"/>
      <c r="NXZ223" s="26"/>
      <c r="NYD223" s="23"/>
      <c r="NYI223" s="26"/>
      <c r="NYM223" s="23"/>
      <c r="NYR223" s="26"/>
      <c r="NYV223" s="23"/>
      <c r="NZA223" s="26"/>
      <c r="NZE223" s="23"/>
      <c r="NZJ223" s="26"/>
      <c r="NZN223" s="23"/>
      <c r="NZS223" s="26"/>
      <c r="NZW223" s="23"/>
      <c r="OAB223" s="26"/>
      <c r="OAF223" s="23"/>
      <c r="OAK223" s="26"/>
      <c r="OAO223" s="23"/>
      <c r="OAT223" s="26"/>
      <c r="OAX223" s="23"/>
      <c r="OBC223" s="26"/>
      <c r="OBG223" s="23"/>
      <c r="OBL223" s="26"/>
      <c r="OBP223" s="23"/>
      <c r="OBU223" s="26"/>
      <c r="OBY223" s="23"/>
      <c r="OCD223" s="26"/>
      <c r="OCH223" s="23"/>
      <c r="OCM223" s="26"/>
      <c r="OCQ223" s="23"/>
      <c r="OCV223" s="26"/>
      <c r="OCZ223" s="23"/>
      <c r="ODE223" s="26"/>
      <c r="ODI223" s="23"/>
      <c r="ODN223" s="26"/>
      <c r="ODR223" s="23"/>
      <c r="ODW223" s="26"/>
      <c r="OEA223" s="23"/>
      <c r="OEF223" s="26"/>
      <c r="OEJ223" s="23"/>
      <c r="OEO223" s="26"/>
      <c r="OES223" s="23"/>
      <c r="OEX223" s="26"/>
      <c r="OFB223" s="23"/>
      <c r="OFG223" s="26"/>
      <c r="OFK223" s="23"/>
      <c r="OFP223" s="26"/>
      <c r="OFT223" s="23"/>
      <c r="OFY223" s="26"/>
      <c r="OGC223" s="23"/>
      <c r="OGH223" s="26"/>
      <c r="OGL223" s="23"/>
      <c r="OGQ223" s="26"/>
      <c r="OGU223" s="23"/>
      <c r="OGZ223" s="26"/>
      <c r="OHD223" s="23"/>
      <c r="OHI223" s="26"/>
      <c r="OHM223" s="23"/>
      <c r="OHR223" s="26"/>
      <c r="OHV223" s="23"/>
      <c r="OIA223" s="26"/>
      <c r="OIE223" s="23"/>
      <c r="OIJ223" s="26"/>
      <c r="OIN223" s="23"/>
      <c r="OIS223" s="26"/>
      <c r="OIW223" s="23"/>
      <c r="OJB223" s="26"/>
      <c r="OJF223" s="23"/>
      <c r="OJK223" s="26"/>
      <c r="OJO223" s="23"/>
      <c r="OJT223" s="26"/>
      <c r="OJX223" s="23"/>
      <c r="OKC223" s="26"/>
      <c r="OKG223" s="23"/>
      <c r="OKL223" s="26"/>
      <c r="OKP223" s="23"/>
      <c r="OKU223" s="26"/>
      <c r="OKY223" s="23"/>
      <c r="OLD223" s="26"/>
      <c r="OLH223" s="23"/>
      <c r="OLM223" s="26"/>
      <c r="OLQ223" s="23"/>
      <c r="OLV223" s="26"/>
      <c r="OLZ223" s="23"/>
      <c r="OME223" s="26"/>
      <c r="OMI223" s="23"/>
      <c r="OMN223" s="26"/>
      <c r="OMR223" s="23"/>
      <c r="OMW223" s="26"/>
      <c r="ONA223" s="23"/>
      <c r="ONF223" s="26"/>
      <c r="ONJ223" s="23"/>
      <c r="ONO223" s="26"/>
      <c r="ONS223" s="23"/>
      <c r="ONX223" s="26"/>
      <c r="OOB223" s="23"/>
      <c r="OOG223" s="26"/>
      <c r="OOK223" s="23"/>
      <c r="OOP223" s="26"/>
      <c r="OOT223" s="23"/>
      <c r="OOY223" s="26"/>
      <c r="OPC223" s="23"/>
      <c r="OPH223" s="26"/>
      <c r="OPL223" s="23"/>
      <c r="OPQ223" s="26"/>
      <c r="OPU223" s="23"/>
      <c r="OPZ223" s="26"/>
      <c r="OQD223" s="23"/>
      <c r="OQI223" s="26"/>
      <c r="OQM223" s="23"/>
      <c r="OQR223" s="26"/>
      <c r="OQV223" s="23"/>
      <c r="ORA223" s="26"/>
      <c r="ORE223" s="23"/>
      <c r="ORJ223" s="26"/>
      <c r="ORN223" s="23"/>
      <c r="ORS223" s="26"/>
      <c r="ORW223" s="23"/>
      <c r="OSB223" s="26"/>
      <c r="OSF223" s="23"/>
      <c r="OSK223" s="26"/>
      <c r="OSO223" s="23"/>
      <c r="OST223" s="26"/>
      <c r="OSX223" s="23"/>
      <c r="OTC223" s="26"/>
      <c r="OTG223" s="23"/>
      <c r="OTL223" s="26"/>
      <c r="OTP223" s="23"/>
      <c r="OTU223" s="26"/>
      <c r="OTY223" s="23"/>
      <c r="OUD223" s="26"/>
      <c r="OUH223" s="23"/>
      <c r="OUM223" s="26"/>
      <c r="OUQ223" s="23"/>
      <c r="OUV223" s="26"/>
      <c r="OUZ223" s="23"/>
      <c r="OVE223" s="26"/>
      <c r="OVI223" s="23"/>
      <c r="OVN223" s="26"/>
      <c r="OVR223" s="23"/>
      <c r="OVW223" s="26"/>
      <c r="OWA223" s="23"/>
      <c r="OWF223" s="26"/>
      <c r="OWJ223" s="23"/>
      <c r="OWO223" s="26"/>
      <c r="OWS223" s="23"/>
      <c r="OWX223" s="26"/>
      <c r="OXB223" s="23"/>
      <c r="OXG223" s="26"/>
      <c r="OXK223" s="23"/>
      <c r="OXP223" s="26"/>
      <c r="OXT223" s="23"/>
      <c r="OXY223" s="26"/>
      <c r="OYC223" s="23"/>
      <c r="OYH223" s="26"/>
      <c r="OYL223" s="23"/>
      <c r="OYQ223" s="26"/>
      <c r="OYU223" s="23"/>
      <c r="OYZ223" s="26"/>
      <c r="OZD223" s="23"/>
      <c r="OZI223" s="26"/>
      <c r="OZM223" s="23"/>
      <c r="OZR223" s="26"/>
      <c r="OZV223" s="23"/>
      <c r="PAA223" s="26"/>
      <c r="PAE223" s="23"/>
      <c r="PAJ223" s="26"/>
      <c r="PAN223" s="23"/>
      <c r="PAS223" s="26"/>
      <c r="PAW223" s="23"/>
      <c r="PBB223" s="26"/>
      <c r="PBF223" s="23"/>
      <c r="PBK223" s="26"/>
      <c r="PBO223" s="23"/>
      <c r="PBT223" s="26"/>
      <c r="PBX223" s="23"/>
      <c r="PCC223" s="26"/>
      <c r="PCG223" s="23"/>
      <c r="PCL223" s="26"/>
      <c r="PCP223" s="23"/>
      <c r="PCU223" s="26"/>
      <c r="PCY223" s="23"/>
      <c r="PDD223" s="26"/>
      <c r="PDH223" s="23"/>
      <c r="PDM223" s="26"/>
      <c r="PDQ223" s="23"/>
      <c r="PDV223" s="26"/>
      <c r="PDZ223" s="23"/>
      <c r="PEE223" s="26"/>
      <c r="PEI223" s="23"/>
      <c r="PEN223" s="26"/>
      <c r="PER223" s="23"/>
      <c r="PEW223" s="26"/>
      <c r="PFA223" s="23"/>
      <c r="PFF223" s="26"/>
      <c r="PFJ223" s="23"/>
      <c r="PFO223" s="26"/>
      <c r="PFS223" s="23"/>
      <c r="PFX223" s="26"/>
      <c r="PGB223" s="23"/>
      <c r="PGG223" s="26"/>
      <c r="PGK223" s="23"/>
      <c r="PGP223" s="26"/>
      <c r="PGT223" s="23"/>
      <c r="PGY223" s="26"/>
      <c r="PHC223" s="23"/>
      <c r="PHH223" s="26"/>
      <c r="PHL223" s="23"/>
      <c r="PHQ223" s="26"/>
      <c r="PHU223" s="23"/>
      <c r="PHZ223" s="26"/>
      <c r="PID223" s="23"/>
      <c r="PII223" s="26"/>
      <c r="PIM223" s="23"/>
      <c r="PIR223" s="26"/>
      <c r="PIV223" s="23"/>
      <c r="PJA223" s="26"/>
      <c r="PJE223" s="23"/>
      <c r="PJJ223" s="26"/>
      <c r="PJN223" s="23"/>
      <c r="PJS223" s="26"/>
      <c r="PJW223" s="23"/>
      <c r="PKB223" s="26"/>
      <c r="PKF223" s="23"/>
      <c r="PKK223" s="26"/>
      <c r="PKO223" s="23"/>
      <c r="PKT223" s="26"/>
      <c r="PKX223" s="23"/>
      <c r="PLC223" s="26"/>
      <c r="PLG223" s="23"/>
      <c r="PLL223" s="26"/>
      <c r="PLP223" s="23"/>
      <c r="PLU223" s="26"/>
      <c r="PLY223" s="23"/>
      <c r="PMD223" s="26"/>
      <c r="PMH223" s="23"/>
      <c r="PMM223" s="26"/>
      <c r="PMQ223" s="23"/>
      <c r="PMV223" s="26"/>
      <c r="PMZ223" s="23"/>
      <c r="PNE223" s="26"/>
      <c r="PNI223" s="23"/>
      <c r="PNN223" s="26"/>
      <c r="PNR223" s="23"/>
      <c r="PNW223" s="26"/>
      <c r="POA223" s="23"/>
      <c r="POF223" s="26"/>
      <c r="POJ223" s="23"/>
      <c r="POO223" s="26"/>
      <c r="POS223" s="23"/>
      <c r="POX223" s="26"/>
      <c r="PPB223" s="23"/>
      <c r="PPG223" s="26"/>
      <c r="PPK223" s="23"/>
      <c r="PPP223" s="26"/>
      <c r="PPT223" s="23"/>
      <c r="PPY223" s="26"/>
      <c r="PQC223" s="23"/>
      <c r="PQH223" s="26"/>
      <c r="PQL223" s="23"/>
      <c r="PQQ223" s="26"/>
      <c r="PQU223" s="23"/>
      <c r="PQZ223" s="26"/>
      <c r="PRD223" s="23"/>
      <c r="PRI223" s="26"/>
      <c r="PRM223" s="23"/>
      <c r="PRR223" s="26"/>
      <c r="PRV223" s="23"/>
      <c r="PSA223" s="26"/>
      <c r="PSE223" s="23"/>
      <c r="PSJ223" s="26"/>
      <c r="PSN223" s="23"/>
      <c r="PSS223" s="26"/>
      <c r="PSW223" s="23"/>
      <c r="PTB223" s="26"/>
      <c r="PTF223" s="23"/>
      <c r="PTK223" s="26"/>
      <c r="PTO223" s="23"/>
      <c r="PTT223" s="26"/>
      <c r="PTX223" s="23"/>
      <c r="PUC223" s="26"/>
      <c r="PUG223" s="23"/>
      <c r="PUL223" s="26"/>
      <c r="PUP223" s="23"/>
      <c r="PUU223" s="26"/>
      <c r="PUY223" s="23"/>
      <c r="PVD223" s="26"/>
      <c r="PVH223" s="23"/>
      <c r="PVM223" s="26"/>
      <c r="PVQ223" s="23"/>
      <c r="PVV223" s="26"/>
      <c r="PVZ223" s="23"/>
      <c r="PWE223" s="26"/>
      <c r="PWI223" s="23"/>
      <c r="PWN223" s="26"/>
      <c r="PWR223" s="23"/>
      <c r="PWW223" s="26"/>
      <c r="PXA223" s="23"/>
      <c r="PXF223" s="26"/>
      <c r="PXJ223" s="23"/>
      <c r="PXO223" s="26"/>
      <c r="PXS223" s="23"/>
      <c r="PXX223" s="26"/>
      <c r="PYB223" s="23"/>
      <c r="PYG223" s="26"/>
      <c r="PYK223" s="23"/>
      <c r="PYP223" s="26"/>
      <c r="PYT223" s="23"/>
      <c r="PYY223" s="26"/>
      <c r="PZC223" s="23"/>
      <c r="PZH223" s="26"/>
      <c r="PZL223" s="23"/>
      <c r="PZQ223" s="26"/>
      <c r="PZU223" s="23"/>
      <c r="PZZ223" s="26"/>
      <c r="QAD223" s="23"/>
      <c r="QAI223" s="26"/>
      <c r="QAM223" s="23"/>
      <c r="QAR223" s="26"/>
      <c r="QAV223" s="23"/>
      <c r="QBA223" s="26"/>
      <c r="QBE223" s="23"/>
      <c r="QBJ223" s="26"/>
      <c r="QBN223" s="23"/>
      <c r="QBS223" s="26"/>
      <c r="QBW223" s="23"/>
      <c r="QCB223" s="26"/>
      <c r="QCF223" s="23"/>
      <c r="QCK223" s="26"/>
      <c r="QCO223" s="23"/>
      <c r="QCT223" s="26"/>
      <c r="QCX223" s="23"/>
      <c r="QDC223" s="26"/>
      <c r="QDG223" s="23"/>
      <c r="QDL223" s="26"/>
      <c r="QDP223" s="23"/>
      <c r="QDU223" s="26"/>
      <c r="QDY223" s="23"/>
      <c r="QED223" s="26"/>
      <c r="QEH223" s="23"/>
      <c r="QEM223" s="26"/>
      <c r="QEQ223" s="23"/>
      <c r="QEV223" s="26"/>
      <c r="QEZ223" s="23"/>
      <c r="QFE223" s="26"/>
      <c r="QFI223" s="23"/>
      <c r="QFN223" s="26"/>
      <c r="QFR223" s="23"/>
      <c r="QFW223" s="26"/>
      <c r="QGA223" s="23"/>
      <c r="QGF223" s="26"/>
      <c r="QGJ223" s="23"/>
      <c r="QGO223" s="26"/>
      <c r="QGS223" s="23"/>
      <c r="QGX223" s="26"/>
      <c r="QHB223" s="23"/>
      <c r="QHG223" s="26"/>
      <c r="QHK223" s="23"/>
      <c r="QHP223" s="26"/>
      <c r="QHT223" s="23"/>
      <c r="QHY223" s="26"/>
      <c r="QIC223" s="23"/>
      <c r="QIH223" s="26"/>
      <c r="QIL223" s="23"/>
      <c r="QIQ223" s="26"/>
      <c r="QIU223" s="23"/>
      <c r="QIZ223" s="26"/>
      <c r="QJD223" s="23"/>
      <c r="QJI223" s="26"/>
      <c r="QJM223" s="23"/>
      <c r="QJR223" s="26"/>
      <c r="QJV223" s="23"/>
      <c r="QKA223" s="26"/>
      <c r="QKE223" s="23"/>
      <c r="QKJ223" s="26"/>
      <c r="QKN223" s="23"/>
      <c r="QKS223" s="26"/>
      <c r="QKW223" s="23"/>
      <c r="QLB223" s="26"/>
      <c r="QLF223" s="23"/>
      <c r="QLK223" s="26"/>
      <c r="QLO223" s="23"/>
      <c r="QLT223" s="26"/>
      <c r="QLX223" s="23"/>
      <c r="QMC223" s="26"/>
      <c r="QMG223" s="23"/>
      <c r="QML223" s="26"/>
      <c r="QMP223" s="23"/>
      <c r="QMU223" s="26"/>
      <c r="QMY223" s="23"/>
      <c r="QND223" s="26"/>
      <c r="QNH223" s="23"/>
      <c r="QNM223" s="26"/>
      <c r="QNQ223" s="23"/>
      <c r="QNV223" s="26"/>
      <c r="QNZ223" s="23"/>
      <c r="QOE223" s="26"/>
      <c r="QOI223" s="23"/>
      <c r="QON223" s="26"/>
      <c r="QOR223" s="23"/>
      <c r="QOW223" s="26"/>
      <c r="QPA223" s="23"/>
      <c r="QPF223" s="26"/>
      <c r="QPJ223" s="23"/>
      <c r="QPO223" s="26"/>
      <c r="QPS223" s="23"/>
      <c r="QPX223" s="26"/>
      <c r="QQB223" s="23"/>
      <c r="QQG223" s="26"/>
      <c r="QQK223" s="23"/>
      <c r="QQP223" s="26"/>
      <c r="QQT223" s="23"/>
      <c r="QQY223" s="26"/>
      <c r="QRC223" s="23"/>
      <c r="QRH223" s="26"/>
      <c r="QRL223" s="23"/>
      <c r="QRQ223" s="26"/>
      <c r="QRU223" s="23"/>
      <c r="QRZ223" s="26"/>
      <c r="QSD223" s="23"/>
      <c r="QSI223" s="26"/>
      <c r="QSM223" s="23"/>
      <c r="QSR223" s="26"/>
      <c r="QSV223" s="23"/>
      <c r="QTA223" s="26"/>
      <c r="QTE223" s="23"/>
      <c r="QTJ223" s="26"/>
      <c r="QTN223" s="23"/>
      <c r="QTS223" s="26"/>
      <c r="QTW223" s="23"/>
      <c r="QUB223" s="26"/>
      <c r="QUF223" s="23"/>
      <c r="QUK223" s="26"/>
      <c r="QUO223" s="23"/>
      <c r="QUT223" s="26"/>
      <c r="QUX223" s="23"/>
      <c r="QVC223" s="26"/>
      <c r="QVG223" s="23"/>
      <c r="QVL223" s="26"/>
      <c r="QVP223" s="23"/>
      <c r="QVU223" s="26"/>
      <c r="QVY223" s="23"/>
      <c r="QWD223" s="26"/>
      <c r="QWH223" s="23"/>
      <c r="QWM223" s="26"/>
      <c r="QWQ223" s="23"/>
      <c r="QWV223" s="26"/>
      <c r="QWZ223" s="23"/>
      <c r="QXE223" s="26"/>
      <c r="QXI223" s="23"/>
      <c r="QXN223" s="26"/>
      <c r="QXR223" s="23"/>
      <c r="QXW223" s="26"/>
      <c r="QYA223" s="23"/>
      <c r="QYF223" s="26"/>
      <c r="QYJ223" s="23"/>
      <c r="QYO223" s="26"/>
      <c r="QYS223" s="23"/>
      <c r="QYX223" s="26"/>
      <c r="QZB223" s="23"/>
      <c r="QZG223" s="26"/>
      <c r="QZK223" s="23"/>
      <c r="QZP223" s="26"/>
      <c r="QZT223" s="23"/>
      <c r="QZY223" s="26"/>
      <c r="RAC223" s="23"/>
      <c r="RAH223" s="26"/>
      <c r="RAL223" s="23"/>
      <c r="RAQ223" s="26"/>
      <c r="RAU223" s="23"/>
      <c r="RAZ223" s="26"/>
      <c r="RBD223" s="23"/>
      <c r="RBI223" s="26"/>
      <c r="RBM223" s="23"/>
      <c r="RBR223" s="26"/>
      <c r="RBV223" s="23"/>
      <c r="RCA223" s="26"/>
      <c r="RCE223" s="23"/>
      <c r="RCJ223" s="26"/>
      <c r="RCN223" s="23"/>
      <c r="RCS223" s="26"/>
      <c r="RCW223" s="23"/>
      <c r="RDB223" s="26"/>
      <c r="RDF223" s="23"/>
      <c r="RDK223" s="26"/>
      <c r="RDO223" s="23"/>
      <c r="RDT223" s="26"/>
      <c r="RDX223" s="23"/>
      <c r="REC223" s="26"/>
      <c r="REG223" s="23"/>
      <c r="REL223" s="26"/>
      <c r="REP223" s="23"/>
      <c r="REU223" s="26"/>
      <c r="REY223" s="23"/>
      <c r="RFD223" s="26"/>
      <c r="RFH223" s="23"/>
      <c r="RFM223" s="26"/>
      <c r="RFQ223" s="23"/>
      <c r="RFV223" s="26"/>
      <c r="RFZ223" s="23"/>
      <c r="RGE223" s="26"/>
      <c r="RGI223" s="23"/>
      <c r="RGN223" s="26"/>
      <c r="RGR223" s="23"/>
      <c r="RGW223" s="26"/>
      <c r="RHA223" s="23"/>
      <c r="RHF223" s="26"/>
      <c r="RHJ223" s="23"/>
      <c r="RHO223" s="26"/>
      <c r="RHS223" s="23"/>
      <c r="RHX223" s="26"/>
      <c r="RIB223" s="23"/>
      <c r="RIG223" s="26"/>
      <c r="RIK223" s="23"/>
      <c r="RIP223" s="26"/>
      <c r="RIT223" s="23"/>
      <c r="RIY223" s="26"/>
      <c r="RJC223" s="23"/>
      <c r="RJH223" s="26"/>
      <c r="RJL223" s="23"/>
      <c r="RJQ223" s="26"/>
      <c r="RJU223" s="23"/>
      <c r="RJZ223" s="26"/>
      <c r="RKD223" s="23"/>
      <c r="RKI223" s="26"/>
      <c r="RKM223" s="23"/>
      <c r="RKR223" s="26"/>
      <c r="RKV223" s="23"/>
      <c r="RLA223" s="26"/>
      <c r="RLE223" s="23"/>
      <c r="RLJ223" s="26"/>
      <c r="RLN223" s="23"/>
      <c r="RLS223" s="26"/>
      <c r="RLW223" s="23"/>
      <c r="RMB223" s="26"/>
      <c r="RMF223" s="23"/>
      <c r="RMK223" s="26"/>
      <c r="RMO223" s="23"/>
      <c r="RMT223" s="26"/>
      <c r="RMX223" s="23"/>
      <c r="RNC223" s="26"/>
      <c r="RNG223" s="23"/>
      <c r="RNL223" s="26"/>
      <c r="RNP223" s="23"/>
      <c r="RNU223" s="26"/>
      <c r="RNY223" s="23"/>
      <c r="ROD223" s="26"/>
      <c r="ROH223" s="23"/>
      <c r="ROM223" s="26"/>
      <c r="ROQ223" s="23"/>
      <c r="ROV223" s="26"/>
      <c r="ROZ223" s="23"/>
      <c r="RPE223" s="26"/>
      <c r="RPI223" s="23"/>
      <c r="RPN223" s="26"/>
      <c r="RPR223" s="23"/>
      <c r="RPW223" s="26"/>
      <c r="RQA223" s="23"/>
      <c r="RQF223" s="26"/>
      <c r="RQJ223" s="23"/>
      <c r="RQO223" s="26"/>
      <c r="RQS223" s="23"/>
      <c r="RQX223" s="26"/>
      <c r="RRB223" s="23"/>
      <c r="RRG223" s="26"/>
      <c r="RRK223" s="23"/>
      <c r="RRP223" s="26"/>
      <c r="RRT223" s="23"/>
      <c r="RRY223" s="26"/>
      <c r="RSC223" s="23"/>
      <c r="RSH223" s="26"/>
      <c r="RSL223" s="23"/>
      <c r="RSQ223" s="26"/>
      <c r="RSU223" s="23"/>
      <c r="RSZ223" s="26"/>
      <c r="RTD223" s="23"/>
      <c r="RTI223" s="26"/>
      <c r="RTM223" s="23"/>
      <c r="RTR223" s="26"/>
      <c r="RTV223" s="23"/>
      <c r="RUA223" s="26"/>
      <c r="RUE223" s="23"/>
      <c r="RUJ223" s="26"/>
      <c r="RUN223" s="23"/>
      <c r="RUS223" s="26"/>
      <c r="RUW223" s="23"/>
      <c r="RVB223" s="26"/>
      <c r="RVF223" s="23"/>
      <c r="RVK223" s="26"/>
      <c r="RVO223" s="23"/>
      <c r="RVT223" s="26"/>
      <c r="RVX223" s="23"/>
      <c r="RWC223" s="26"/>
      <c r="RWG223" s="23"/>
      <c r="RWL223" s="26"/>
      <c r="RWP223" s="23"/>
      <c r="RWU223" s="26"/>
      <c r="RWY223" s="23"/>
      <c r="RXD223" s="26"/>
      <c r="RXH223" s="23"/>
      <c r="RXM223" s="26"/>
      <c r="RXQ223" s="23"/>
      <c r="RXV223" s="26"/>
      <c r="RXZ223" s="23"/>
      <c r="RYE223" s="26"/>
      <c r="RYI223" s="23"/>
      <c r="RYN223" s="26"/>
      <c r="RYR223" s="23"/>
      <c r="RYW223" s="26"/>
      <c r="RZA223" s="23"/>
      <c r="RZF223" s="26"/>
      <c r="RZJ223" s="23"/>
      <c r="RZO223" s="26"/>
      <c r="RZS223" s="23"/>
      <c r="RZX223" s="26"/>
      <c r="SAB223" s="23"/>
      <c r="SAG223" s="26"/>
      <c r="SAK223" s="23"/>
      <c r="SAP223" s="26"/>
      <c r="SAT223" s="23"/>
      <c r="SAY223" s="26"/>
      <c r="SBC223" s="23"/>
      <c r="SBH223" s="26"/>
      <c r="SBL223" s="23"/>
      <c r="SBQ223" s="26"/>
      <c r="SBU223" s="23"/>
      <c r="SBZ223" s="26"/>
      <c r="SCD223" s="23"/>
      <c r="SCI223" s="26"/>
      <c r="SCM223" s="23"/>
      <c r="SCR223" s="26"/>
      <c r="SCV223" s="23"/>
      <c r="SDA223" s="26"/>
      <c r="SDE223" s="23"/>
      <c r="SDJ223" s="26"/>
      <c r="SDN223" s="23"/>
      <c r="SDS223" s="26"/>
      <c r="SDW223" s="23"/>
      <c r="SEB223" s="26"/>
      <c r="SEF223" s="23"/>
      <c r="SEK223" s="26"/>
      <c r="SEO223" s="23"/>
      <c r="SET223" s="26"/>
      <c r="SEX223" s="23"/>
      <c r="SFC223" s="26"/>
      <c r="SFG223" s="23"/>
      <c r="SFL223" s="26"/>
      <c r="SFP223" s="23"/>
      <c r="SFU223" s="26"/>
      <c r="SFY223" s="23"/>
      <c r="SGD223" s="26"/>
      <c r="SGH223" s="23"/>
      <c r="SGM223" s="26"/>
      <c r="SGQ223" s="23"/>
      <c r="SGV223" s="26"/>
      <c r="SGZ223" s="23"/>
      <c r="SHE223" s="26"/>
      <c r="SHI223" s="23"/>
      <c r="SHN223" s="26"/>
      <c r="SHR223" s="23"/>
      <c r="SHW223" s="26"/>
      <c r="SIA223" s="23"/>
      <c r="SIF223" s="26"/>
      <c r="SIJ223" s="23"/>
      <c r="SIO223" s="26"/>
      <c r="SIS223" s="23"/>
      <c r="SIX223" s="26"/>
      <c r="SJB223" s="23"/>
      <c r="SJG223" s="26"/>
      <c r="SJK223" s="23"/>
      <c r="SJP223" s="26"/>
      <c r="SJT223" s="23"/>
      <c r="SJY223" s="26"/>
      <c r="SKC223" s="23"/>
      <c r="SKH223" s="26"/>
      <c r="SKL223" s="23"/>
      <c r="SKQ223" s="26"/>
      <c r="SKU223" s="23"/>
      <c r="SKZ223" s="26"/>
      <c r="SLD223" s="23"/>
      <c r="SLI223" s="26"/>
      <c r="SLM223" s="23"/>
      <c r="SLR223" s="26"/>
      <c r="SLV223" s="23"/>
      <c r="SMA223" s="26"/>
      <c r="SME223" s="23"/>
      <c r="SMJ223" s="26"/>
      <c r="SMN223" s="23"/>
      <c r="SMS223" s="26"/>
      <c r="SMW223" s="23"/>
      <c r="SNB223" s="26"/>
      <c r="SNF223" s="23"/>
      <c r="SNK223" s="26"/>
      <c r="SNO223" s="23"/>
      <c r="SNT223" s="26"/>
      <c r="SNX223" s="23"/>
      <c r="SOC223" s="26"/>
      <c r="SOG223" s="23"/>
      <c r="SOL223" s="26"/>
      <c r="SOP223" s="23"/>
      <c r="SOU223" s="26"/>
      <c r="SOY223" s="23"/>
      <c r="SPD223" s="26"/>
      <c r="SPH223" s="23"/>
      <c r="SPM223" s="26"/>
      <c r="SPQ223" s="23"/>
      <c r="SPV223" s="26"/>
      <c r="SPZ223" s="23"/>
      <c r="SQE223" s="26"/>
      <c r="SQI223" s="23"/>
      <c r="SQN223" s="26"/>
      <c r="SQR223" s="23"/>
      <c r="SQW223" s="26"/>
      <c r="SRA223" s="23"/>
      <c r="SRF223" s="26"/>
      <c r="SRJ223" s="23"/>
      <c r="SRO223" s="26"/>
      <c r="SRS223" s="23"/>
      <c r="SRX223" s="26"/>
      <c r="SSB223" s="23"/>
      <c r="SSG223" s="26"/>
      <c r="SSK223" s="23"/>
      <c r="SSP223" s="26"/>
      <c r="SST223" s="23"/>
      <c r="SSY223" s="26"/>
      <c r="STC223" s="23"/>
      <c r="STH223" s="26"/>
      <c r="STL223" s="23"/>
      <c r="STQ223" s="26"/>
      <c r="STU223" s="23"/>
      <c r="STZ223" s="26"/>
      <c r="SUD223" s="23"/>
      <c r="SUI223" s="26"/>
      <c r="SUM223" s="23"/>
      <c r="SUR223" s="26"/>
      <c r="SUV223" s="23"/>
      <c r="SVA223" s="26"/>
      <c r="SVE223" s="23"/>
      <c r="SVJ223" s="26"/>
      <c r="SVN223" s="23"/>
      <c r="SVS223" s="26"/>
      <c r="SVW223" s="23"/>
      <c r="SWB223" s="26"/>
      <c r="SWF223" s="23"/>
      <c r="SWK223" s="26"/>
      <c r="SWO223" s="23"/>
      <c r="SWT223" s="26"/>
      <c r="SWX223" s="23"/>
      <c r="SXC223" s="26"/>
      <c r="SXG223" s="23"/>
      <c r="SXL223" s="26"/>
      <c r="SXP223" s="23"/>
      <c r="SXU223" s="26"/>
      <c r="SXY223" s="23"/>
      <c r="SYD223" s="26"/>
      <c r="SYH223" s="23"/>
      <c r="SYM223" s="26"/>
      <c r="SYQ223" s="23"/>
      <c r="SYV223" s="26"/>
      <c r="SYZ223" s="23"/>
      <c r="SZE223" s="26"/>
      <c r="SZI223" s="23"/>
      <c r="SZN223" s="26"/>
      <c r="SZR223" s="23"/>
      <c r="SZW223" s="26"/>
      <c r="TAA223" s="23"/>
      <c r="TAF223" s="26"/>
      <c r="TAJ223" s="23"/>
      <c r="TAO223" s="26"/>
      <c r="TAS223" s="23"/>
      <c r="TAX223" s="26"/>
      <c r="TBB223" s="23"/>
      <c r="TBG223" s="26"/>
      <c r="TBK223" s="23"/>
      <c r="TBP223" s="26"/>
      <c r="TBT223" s="23"/>
      <c r="TBY223" s="26"/>
      <c r="TCC223" s="23"/>
      <c r="TCH223" s="26"/>
      <c r="TCL223" s="23"/>
      <c r="TCQ223" s="26"/>
      <c r="TCU223" s="23"/>
      <c r="TCZ223" s="26"/>
      <c r="TDD223" s="23"/>
      <c r="TDI223" s="26"/>
      <c r="TDM223" s="23"/>
      <c r="TDR223" s="26"/>
      <c r="TDV223" s="23"/>
      <c r="TEA223" s="26"/>
      <c r="TEE223" s="23"/>
      <c r="TEJ223" s="26"/>
      <c r="TEN223" s="23"/>
      <c r="TES223" s="26"/>
      <c r="TEW223" s="23"/>
      <c r="TFB223" s="26"/>
      <c r="TFF223" s="23"/>
      <c r="TFK223" s="26"/>
      <c r="TFO223" s="23"/>
      <c r="TFT223" s="26"/>
      <c r="TFX223" s="23"/>
      <c r="TGC223" s="26"/>
      <c r="TGG223" s="23"/>
      <c r="TGL223" s="26"/>
      <c r="TGP223" s="23"/>
      <c r="TGU223" s="26"/>
      <c r="TGY223" s="23"/>
      <c r="THD223" s="26"/>
      <c r="THH223" s="23"/>
      <c r="THM223" s="26"/>
      <c r="THQ223" s="23"/>
      <c r="THV223" s="26"/>
      <c r="THZ223" s="23"/>
      <c r="TIE223" s="26"/>
      <c r="TII223" s="23"/>
      <c r="TIN223" s="26"/>
      <c r="TIR223" s="23"/>
      <c r="TIW223" s="26"/>
      <c r="TJA223" s="23"/>
      <c r="TJF223" s="26"/>
      <c r="TJJ223" s="23"/>
      <c r="TJO223" s="26"/>
      <c r="TJS223" s="23"/>
      <c r="TJX223" s="26"/>
      <c r="TKB223" s="23"/>
      <c r="TKG223" s="26"/>
      <c r="TKK223" s="23"/>
      <c r="TKP223" s="26"/>
      <c r="TKT223" s="23"/>
      <c r="TKY223" s="26"/>
      <c r="TLC223" s="23"/>
      <c r="TLH223" s="26"/>
      <c r="TLL223" s="23"/>
      <c r="TLQ223" s="26"/>
      <c r="TLU223" s="23"/>
      <c r="TLZ223" s="26"/>
      <c r="TMD223" s="23"/>
      <c r="TMI223" s="26"/>
      <c r="TMM223" s="23"/>
      <c r="TMR223" s="26"/>
      <c r="TMV223" s="23"/>
      <c r="TNA223" s="26"/>
      <c r="TNE223" s="23"/>
      <c r="TNJ223" s="26"/>
      <c r="TNN223" s="23"/>
      <c r="TNS223" s="26"/>
      <c r="TNW223" s="23"/>
      <c r="TOB223" s="26"/>
      <c r="TOF223" s="23"/>
      <c r="TOK223" s="26"/>
      <c r="TOO223" s="23"/>
      <c r="TOT223" s="26"/>
      <c r="TOX223" s="23"/>
      <c r="TPC223" s="26"/>
      <c r="TPG223" s="23"/>
      <c r="TPL223" s="26"/>
      <c r="TPP223" s="23"/>
      <c r="TPU223" s="26"/>
      <c r="TPY223" s="23"/>
      <c r="TQD223" s="26"/>
      <c r="TQH223" s="23"/>
      <c r="TQM223" s="26"/>
      <c r="TQQ223" s="23"/>
      <c r="TQV223" s="26"/>
      <c r="TQZ223" s="23"/>
      <c r="TRE223" s="26"/>
      <c r="TRI223" s="23"/>
      <c r="TRN223" s="26"/>
      <c r="TRR223" s="23"/>
      <c r="TRW223" s="26"/>
      <c r="TSA223" s="23"/>
      <c r="TSF223" s="26"/>
      <c r="TSJ223" s="23"/>
      <c r="TSO223" s="26"/>
      <c r="TSS223" s="23"/>
      <c r="TSX223" s="26"/>
      <c r="TTB223" s="23"/>
      <c r="TTG223" s="26"/>
      <c r="TTK223" s="23"/>
      <c r="TTP223" s="26"/>
      <c r="TTT223" s="23"/>
      <c r="TTY223" s="26"/>
      <c r="TUC223" s="23"/>
      <c r="TUH223" s="26"/>
      <c r="TUL223" s="23"/>
      <c r="TUQ223" s="26"/>
      <c r="TUU223" s="23"/>
      <c r="TUZ223" s="26"/>
      <c r="TVD223" s="23"/>
      <c r="TVI223" s="26"/>
      <c r="TVM223" s="23"/>
      <c r="TVR223" s="26"/>
      <c r="TVV223" s="23"/>
      <c r="TWA223" s="26"/>
      <c r="TWE223" s="23"/>
      <c r="TWJ223" s="26"/>
      <c r="TWN223" s="23"/>
      <c r="TWS223" s="26"/>
      <c r="TWW223" s="23"/>
      <c r="TXB223" s="26"/>
      <c r="TXF223" s="23"/>
      <c r="TXK223" s="26"/>
      <c r="TXO223" s="23"/>
      <c r="TXT223" s="26"/>
      <c r="TXX223" s="23"/>
      <c r="TYC223" s="26"/>
      <c r="TYG223" s="23"/>
      <c r="TYL223" s="26"/>
      <c r="TYP223" s="23"/>
      <c r="TYU223" s="26"/>
      <c r="TYY223" s="23"/>
      <c r="TZD223" s="26"/>
      <c r="TZH223" s="23"/>
      <c r="TZM223" s="26"/>
      <c r="TZQ223" s="23"/>
      <c r="TZV223" s="26"/>
      <c r="TZZ223" s="23"/>
      <c r="UAE223" s="26"/>
      <c r="UAI223" s="23"/>
      <c r="UAN223" s="26"/>
      <c r="UAR223" s="23"/>
      <c r="UAW223" s="26"/>
      <c r="UBA223" s="23"/>
      <c r="UBF223" s="26"/>
      <c r="UBJ223" s="23"/>
      <c r="UBO223" s="26"/>
      <c r="UBS223" s="23"/>
      <c r="UBX223" s="26"/>
      <c r="UCB223" s="23"/>
      <c r="UCG223" s="26"/>
      <c r="UCK223" s="23"/>
      <c r="UCP223" s="26"/>
      <c r="UCT223" s="23"/>
      <c r="UCY223" s="26"/>
      <c r="UDC223" s="23"/>
      <c r="UDH223" s="26"/>
      <c r="UDL223" s="23"/>
      <c r="UDQ223" s="26"/>
      <c r="UDU223" s="23"/>
      <c r="UDZ223" s="26"/>
      <c r="UED223" s="23"/>
      <c r="UEI223" s="26"/>
      <c r="UEM223" s="23"/>
      <c r="UER223" s="26"/>
      <c r="UEV223" s="23"/>
      <c r="UFA223" s="26"/>
      <c r="UFE223" s="23"/>
      <c r="UFJ223" s="26"/>
      <c r="UFN223" s="23"/>
      <c r="UFS223" s="26"/>
      <c r="UFW223" s="23"/>
      <c r="UGB223" s="26"/>
      <c r="UGF223" s="23"/>
      <c r="UGK223" s="26"/>
      <c r="UGO223" s="23"/>
      <c r="UGT223" s="26"/>
      <c r="UGX223" s="23"/>
      <c r="UHC223" s="26"/>
      <c r="UHG223" s="23"/>
      <c r="UHL223" s="26"/>
      <c r="UHP223" s="23"/>
      <c r="UHU223" s="26"/>
      <c r="UHY223" s="23"/>
      <c r="UID223" s="26"/>
      <c r="UIH223" s="23"/>
      <c r="UIM223" s="26"/>
      <c r="UIQ223" s="23"/>
      <c r="UIV223" s="26"/>
      <c r="UIZ223" s="23"/>
      <c r="UJE223" s="26"/>
      <c r="UJI223" s="23"/>
      <c r="UJN223" s="26"/>
      <c r="UJR223" s="23"/>
      <c r="UJW223" s="26"/>
      <c r="UKA223" s="23"/>
      <c r="UKF223" s="26"/>
      <c r="UKJ223" s="23"/>
      <c r="UKO223" s="26"/>
      <c r="UKS223" s="23"/>
      <c r="UKX223" s="26"/>
      <c r="ULB223" s="23"/>
      <c r="ULG223" s="26"/>
      <c r="ULK223" s="23"/>
      <c r="ULP223" s="26"/>
      <c r="ULT223" s="23"/>
      <c r="ULY223" s="26"/>
      <c r="UMC223" s="23"/>
      <c r="UMH223" s="26"/>
      <c r="UML223" s="23"/>
      <c r="UMQ223" s="26"/>
      <c r="UMU223" s="23"/>
      <c r="UMZ223" s="26"/>
      <c r="UND223" s="23"/>
      <c r="UNI223" s="26"/>
      <c r="UNM223" s="23"/>
      <c r="UNR223" s="26"/>
      <c r="UNV223" s="23"/>
      <c r="UOA223" s="26"/>
      <c r="UOE223" s="23"/>
      <c r="UOJ223" s="26"/>
      <c r="UON223" s="23"/>
      <c r="UOS223" s="26"/>
      <c r="UOW223" s="23"/>
      <c r="UPB223" s="26"/>
      <c r="UPF223" s="23"/>
      <c r="UPK223" s="26"/>
      <c r="UPO223" s="23"/>
      <c r="UPT223" s="26"/>
      <c r="UPX223" s="23"/>
      <c r="UQC223" s="26"/>
      <c r="UQG223" s="23"/>
      <c r="UQL223" s="26"/>
      <c r="UQP223" s="23"/>
      <c r="UQU223" s="26"/>
      <c r="UQY223" s="23"/>
      <c r="URD223" s="26"/>
      <c r="URH223" s="23"/>
      <c r="URM223" s="26"/>
      <c r="URQ223" s="23"/>
      <c r="URV223" s="26"/>
      <c r="URZ223" s="23"/>
      <c r="USE223" s="26"/>
      <c r="USI223" s="23"/>
      <c r="USN223" s="26"/>
      <c r="USR223" s="23"/>
      <c r="USW223" s="26"/>
      <c r="UTA223" s="23"/>
      <c r="UTF223" s="26"/>
      <c r="UTJ223" s="23"/>
      <c r="UTO223" s="26"/>
      <c r="UTS223" s="23"/>
      <c r="UTX223" s="26"/>
      <c r="UUB223" s="23"/>
      <c r="UUG223" s="26"/>
      <c r="UUK223" s="23"/>
      <c r="UUP223" s="26"/>
      <c r="UUT223" s="23"/>
      <c r="UUY223" s="26"/>
      <c r="UVC223" s="23"/>
      <c r="UVH223" s="26"/>
      <c r="UVL223" s="23"/>
      <c r="UVQ223" s="26"/>
      <c r="UVU223" s="23"/>
      <c r="UVZ223" s="26"/>
      <c r="UWD223" s="23"/>
      <c r="UWI223" s="26"/>
      <c r="UWM223" s="23"/>
      <c r="UWR223" s="26"/>
      <c r="UWV223" s="23"/>
      <c r="UXA223" s="26"/>
      <c r="UXE223" s="23"/>
      <c r="UXJ223" s="26"/>
      <c r="UXN223" s="23"/>
      <c r="UXS223" s="26"/>
      <c r="UXW223" s="23"/>
      <c r="UYB223" s="26"/>
      <c r="UYF223" s="23"/>
      <c r="UYK223" s="26"/>
      <c r="UYO223" s="23"/>
      <c r="UYT223" s="26"/>
      <c r="UYX223" s="23"/>
      <c r="UZC223" s="26"/>
      <c r="UZG223" s="23"/>
      <c r="UZL223" s="26"/>
      <c r="UZP223" s="23"/>
      <c r="UZU223" s="26"/>
      <c r="UZY223" s="23"/>
      <c r="VAD223" s="26"/>
      <c r="VAH223" s="23"/>
      <c r="VAM223" s="26"/>
      <c r="VAQ223" s="23"/>
      <c r="VAV223" s="26"/>
      <c r="VAZ223" s="23"/>
      <c r="VBE223" s="26"/>
      <c r="VBI223" s="23"/>
      <c r="VBN223" s="26"/>
      <c r="VBR223" s="23"/>
      <c r="VBW223" s="26"/>
      <c r="VCA223" s="23"/>
      <c r="VCF223" s="26"/>
      <c r="VCJ223" s="23"/>
      <c r="VCO223" s="26"/>
      <c r="VCS223" s="23"/>
      <c r="VCX223" s="26"/>
      <c r="VDB223" s="23"/>
      <c r="VDG223" s="26"/>
      <c r="VDK223" s="23"/>
      <c r="VDP223" s="26"/>
      <c r="VDT223" s="23"/>
      <c r="VDY223" s="26"/>
      <c r="VEC223" s="23"/>
      <c r="VEH223" s="26"/>
      <c r="VEL223" s="23"/>
      <c r="VEQ223" s="26"/>
      <c r="VEU223" s="23"/>
      <c r="VEZ223" s="26"/>
      <c r="VFD223" s="23"/>
      <c r="VFI223" s="26"/>
      <c r="VFM223" s="23"/>
      <c r="VFR223" s="26"/>
      <c r="VFV223" s="23"/>
      <c r="VGA223" s="26"/>
      <c r="VGE223" s="23"/>
      <c r="VGJ223" s="26"/>
      <c r="VGN223" s="23"/>
      <c r="VGS223" s="26"/>
      <c r="VGW223" s="23"/>
      <c r="VHB223" s="26"/>
      <c r="VHF223" s="23"/>
      <c r="VHK223" s="26"/>
      <c r="VHO223" s="23"/>
      <c r="VHT223" s="26"/>
      <c r="VHX223" s="23"/>
      <c r="VIC223" s="26"/>
      <c r="VIG223" s="23"/>
      <c r="VIL223" s="26"/>
      <c r="VIP223" s="23"/>
      <c r="VIU223" s="26"/>
      <c r="VIY223" s="23"/>
      <c r="VJD223" s="26"/>
      <c r="VJH223" s="23"/>
      <c r="VJM223" s="26"/>
      <c r="VJQ223" s="23"/>
      <c r="VJV223" s="26"/>
      <c r="VJZ223" s="23"/>
      <c r="VKE223" s="26"/>
      <c r="VKI223" s="23"/>
      <c r="VKN223" s="26"/>
      <c r="VKR223" s="23"/>
      <c r="VKW223" s="26"/>
      <c r="VLA223" s="23"/>
      <c r="VLF223" s="26"/>
      <c r="VLJ223" s="23"/>
      <c r="VLO223" s="26"/>
      <c r="VLS223" s="23"/>
      <c r="VLX223" s="26"/>
      <c r="VMB223" s="23"/>
      <c r="VMG223" s="26"/>
      <c r="VMK223" s="23"/>
      <c r="VMP223" s="26"/>
      <c r="VMT223" s="23"/>
      <c r="VMY223" s="26"/>
      <c r="VNC223" s="23"/>
      <c r="VNH223" s="26"/>
      <c r="VNL223" s="23"/>
      <c r="VNQ223" s="26"/>
      <c r="VNU223" s="23"/>
      <c r="VNZ223" s="26"/>
      <c r="VOD223" s="23"/>
      <c r="VOI223" s="26"/>
      <c r="VOM223" s="23"/>
      <c r="VOR223" s="26"/>
      <c r="VOV223" s="23"/>
      <c r="VPA223" s="26"/>
      <c r="VPE223" s="23"/>
      <c r="VPJ223" s="26"/>
      <c r="VPN223" s="23"/>
      <c r="VPS223" s="26"/>
      <c r="VPW223" s="23"/>
      <c r="VQB223" s="26"/>
      <c r="VQF223" s="23"/>
      <c r="VQK223" s="26"/>
      <c r="VQO223" s="23"/>
      <c r="VQT223" s="26"/>
      <c r="VQX223" s="23"/>
      <c r="VRC223" s="26"/>
      <c r="VRG223" s="23"/>
      <c r="VRL223" s="26"/>
      <c r="VRP223" s="23"/>
      <c r="VRU223" s="26"/>
      <c r="VRY223" s="23"/>
      <c r="VSD223" s="26"/>
      <c r="VSH223" s="23"/>
      <c r="VSM223" s="26"/>
      <c r="VSQ223" s="23"/>
      <c r="VSV223" s="26"/>
      <c r="VSZ223" s="23"/>
      <c r="VTE223" s="26"/>
      <c r="VTI223" s="23"/>
      <c r="VTN223" s="26"/>
      <c r="VTR223" s="23"/>
      <c r="VTW223" s="26"/>
      <c r="VUA223" s="23"/>
      <c r="VUF223" s="26"/>
      <c r="VUJ223" s="23"/>
      <c r="VUO223" s="26"/>
      <c r="VUS223" s="23"/>
      <c r="VUX223" s="26"/>
      <c r="VVB223" s="23"/>
      <c r="VVG223" s="26"/>
      <c r="VVK223" s="23"/>
      <c r="VVP223" s="26"/>
      <c r="VVT223" s="23"/>
      <c r="VVY223" s="26"/>
      <c r="VWC223" s="23"/>
      <c r="VWH223" s="26"/>
      <c r="VWL223" s="23"/>
      <c r="VWQ223" s="26"/>
      <c r="VWU223" s="23"/>
      <c r="VWZ223" s="26"/>
      <c r="VXD223" s="23"/>
      <c r="VXI223" s="26"/>
      <c r="VXM223" s="23"/>
      <c r="VXR223" s="26"/>
      <c r="VXV223" s="23"/>
      <c r="VYA223" s="26"/>
      <c r="VYE223" s="23"/>
      <c r="VYJ223" s="26"/>
      <c r="VYN223" s="23"/>
      <c r="VYS223" s="26"/>
      <c r="VYW223" s="23"/>
      <c r="VZB223" s="26"/>
      <c r="VZF223" s="23"/>
      <c r="VZK223" s="26"/>
      <c r="VZO223" s="23"/>
      <c r="VZT223" s="26"/>
      <c r="VZX223" s="23"/>
      <c r="WAC223" s="26"/>
      <c r="WAG223" s="23"/>
      <c r="WAL223" s="26"/>
      <c r="WAP223" s="23"/>
      <c r="WAU223" s="26"/>
      <c r="WAY223" s="23"/>
      <c r="WBD223" s="26"/>
      <c r="WBH223" s="23"/>
      <c r="WBM223" s="26"/>
      <c r="WBQ223" s="23"/>
      <c r="WBV223" s="26"/>
      <c r="WBZ223" s="23"/>
      <c r="WCE223" s="26"/>
      <c r="WCI223" s="23"/>
      <c r="WCN223" s="26"/>
      <c r="WCR223" s="23"/>
      <c r="WCW223" s="26"/>
      <c r="WDA223" s="23"/>
      <c r="WDF223" s="26"/>
      <c r="WDJ223" s="23"/>
      <c r="WDO223" s="26"/>
      <c r="WDS223" s="23"/>
      <c r="WDX223" s="26"/>
      <c r="WEB223" s="23"/>
      <c r="WEG223" s="26"/>
      <c r="WEK223" s="23"/>
      <c r="WEP223" s="26"/>
      <c r="WET223" s="23"/>
      <c r="WEY223" s="26"/>
      <c r="WFC223" s="23"/>
      <c r="WFH223" s="26"/>
      <c r="WFL223" s="23"/>
      <c r="WFQ223" s="26"/>
      <c r="WFU223" s="23"/>
      <c r="WFZ223" s="26"/>
      <c r="WGD223" s="23"/>
      <c r="WGI223" s="26"/>
      <c r="WGM223" s="23"/>
      <c r="WGR223" s="26"/>
      <c r="WGV223" s="23"/>
      <c r="WHA223" s="26"/>
      <c r="WHE223" s="23"/>
      <c r="WHJ223" s="26"/>
      <c r="WHN223" s="23"/>
      <c r="WHS223" s="26"/>
      <c r="WHW223" s="23"/>
      <c r="WIB223" s="26"/>
      <c r="WIF223" s="23"/>
      <c r="WIK223" s="26"/>
      <c r="WIO223" s="23"/>
      <c r="WIT223" s="26"/>
      <c r="WIX223" s="23"/>
      <c r="WJC223" s="26"/>
      <c r="WJG223" s="23"/>
      <c r="WJL223" s="26"/>
      <c r="WJP223" s="23"/>
      <c r="WJU223" s="26"/>
      <c r="WJY223" s="23"/>
      <c r="WKD223" s="26"/>
      <c r="WKH223" s="23"/>
      <c r="WKM223" s="26"/>
      <c r="WKQ223" s="23"/>
      <c r="WKV223" s="26"/>
      <c r="WKZ223" s="23"/>
      <c r="WLE223" s="26"/>
      <c r="WLI223" s="23"/>
      <c r="WLN223" s="26"/>
      <c r="WLR223" s="23"/>
      <c r="WLW223" s="26"/>
      <c r="WMA223" s="23"/>
      <c r="WMF223" s="26"/>
      <c r="WMJ223" s="23"/>
      <c r="WMO223" s="26"/>
      <c r="WMS223" s="23"/>
      <c r="WMX223" s="26"/>
      <c r="WNB223" s="23"/>
      <c r="WNG223" s="26"/>
      <c r="WNK223" s="23"/>
      <c r="WNP223" s="26"/>
      <c r="WNT223" s="23"/>
      <c r="WNY223" s="26"/>
      <c r="WOC223" s="23"/>
      <c r="WOH223" s="26"/>
      <c r="WOL223" s="23"/>
      <c r="WOQ223" s="26"/>
      <c r="WOU223" s="23"/>
      <c r="WOZ223" s="26"/>
      <c r="WPD223" s="23"/>
      <c r="WPI223" s="26"/>
      <c r="WPM223" s="23"/>
      <c r="WPR223" s="26"/>
      <c r="WPV223" s="23"/>
      <c r="WQA223" s="26"/>
      <c r="WQE223" s="23"/>
      <c r="WQJ223" s="26"/>
      <c r="WQN223" s="23"/>
      <c r="WQS223" s="26"/>
      <c r="WQW223" s="23"/>
      <c r="WRB223" s="26"/>
      <c r="WRF223" s="23"/>
      <c r="WRK223" s="26"/>
      <c r="WRO223" s="23"/>
      <c r="WRT223" s="26"/>
      <c r="WRX223" s="23"/>
      <c r="WSC223" s="26"/>
      <c r="WSG223" s="23"/>
      <c r="WSL223" s="26"/>
      <c r="WSP223" s="23"/>
      <c r="WSU223" s="26"/>
      <c r="WSY223" s="23"/>
      <c r="WTD223" s="26"/>
      <c r="WTH223" s="23"/>
      <c r="WTM223" s="26"/>
      <c r="WTQ223" s="23"/>
      <c r="WTV223" s="26"/>
      <c r="WTZ223" s="23"/>
      <c r="WUE223" s="26"/>
      <c r="WUI223" s="23"/>
      <c r="WUN223" s="26"/>
      <c r="WUR223" s="23"/>
      <c r="WUW223" s="26"/>
      <c r="WVA223" s="23"/>
      <c r="WVF223" s="26"/>
      <c r="WVJ223" s="23"/>
      <c r="WVO223" s="26"/>
      <c r="WVS223" s="23"/>
      <c r="WVX223" s="26"/>
      <c r="WWB223" s="23"/>
      <c r="WWG223" s="26"/>
      <c r="WWK223" s="23"/>
      <c r="WWP223" s="26"/>
      <c r="WWT223" s="23"/>
      <c r="WWY223" s="26"/>
      <c r="WXC223" s="23"/>
      <c r="WXH223" s="26"/>
      <c r="WXL223" s="23"/>
      <c r="WXQ223" s="26"/>
      <c r="WXU223" s="23"/>
      <c r="WXZ223" s="26"/>
      <c r="WYD223" s="23"/>
      <c r="WYI223" s="26"/>
      <c r="WYM223" s="23"/>
      <c r="WYR223" s="26"/>
      <c r="WYV223" s="23"/>
      <c r="WZA223" s="26"/>
      <c r="WZE223" s="23"/>
      <c r="WZJ223" s="26"/>
      <c r="WZN223" s="23"/>
      <c r="WZS223" s="26"/>
      <c r="WZW223" s="23"/>
      <c r="XAB223" s="26"/>
      <c r="XAF223" s="23"/>
      <c r="XAK223" s="26"/>
      <c r="XAO223" s="23"/>
      <c r="XAT223" s="26"/>
      <c r="XAX223" s="23"/>
      <c r="XBC223" s="26"/>
      <c r="XBG223" s="23"/>
      <c r="XBL223" s="26"/>
      <c r="XBP223" s="23"/>
      <c r="XBU223" s="26"/>
      <c r="XBY223" s="23"/>
      <c r="XCD223" s="26"/>
      <c r="XCH223" s="23"/>
      <c r="XCM223" s="26"/>
      <c r="XCQ223" s="23"/>
      <c r="XCV223" s="26"/>
      <c r="XCZ223" s="23"/>
      <c r="XDE223" s="26"/>
      <c r="XDI223" s="23"/>
      <c r="XDN223" s="26"/>
      <c r="XDR223" s="23"/>
      <c r="XDW223" s="26"/>
      <c r="XEA223" s="23"/>
      <c r="XEF223" s="26"/>
      <c r="XEJ223" s="23"/>
      <c r="XEO223" s="26"/>
      <c r="XES223" s="23"/>
      <c r="XEX223" s="26"/>
      <c r="XFB223" s="23"/>
    </row>
    <row r="224" spans="1:1024 1028:2045 2050:3071 3076:4093 4097:5119 5123:6140 6145:7166 7171:8192 8197:9214 9218:10240 10244:11261 11266:12287 12292:13309 13313:14335 14339:15356 15361:16382" x14ac:dyDescent="0.3">
      <c r="B224" s="23"/>
      <c r="K224" s="23"/>
      <c r="P224" s="26"/>
      <c r="T224" s="23"/>
      <c r="Y224" s="26"/>
      <c r="AC224" s="23"/>
      <c r="AH224" s="26"/>
      <c r="AL224" s="23"/>
      <c r="AQ224" s="26"/>
      <c r="AU224" s="23"/>
      <c r="AZ224" s="26"/>
      <c r="BD224" s="23"/>
      <c r="BI224" s="26"/>
      <c r="BM224" s="23"/>
      <c r="BR224" s="26"/>
      <c r="BV224" s="23"/>
      <c r="CA224" s="26"/>
      <c r="CE224" s="23"/>
      <c r="CJ224" s="26"/>
      <c r="CN224" s="23"/>
      <c r="CS224" s="26"/>
      <c r="CW224" s="23"/>
      <c r="DB224" s="26"/>
      <c r="DF224" s="23"/>
      <c r="DK224" s="26"/>
      <c r="DO224" s="23"/>
      <c r="DT224" s="26"/>
      <c r="DX224" s="23"/>
      <c r="EC224" s="26"/>
      <c r="EG224" s="23"/>
      <c r="EL224" s="26"/>
      <c r="EP224" s="23"/>
      <c r="EU224" s="26"/>
      <c r="EY224" s="23"/>
      <c r="FD224" s="26"/>
      <c r="FH224" s="23"/>
      <c r="FM224" s="26"/>
      <c r="FQ224" s="23"/>
      <c r="FV224" s="26"/>
      <c r="FZ224" s="23"/>
      <c r="GE224" s="26"/>
      <c r="GI224" s="23"/>
      <c r="GN224" s="26"/>
      <c r="GR224" s="23"/>
      <c r="GW224" s="26"/>
      <c r="HA224" s="23"/>
      <c r="HF224" s="26"/>
      <c r="HJ224" s="23"/>
      <c r="HO224" s="26"/>
      <c r="HS224" s="23"/>
      <c r="HX224" s="26"/>
      <c r="IB224" s="23"/>
      <c r="IG224" s="26"/>
      <c r="IK224" s="23"/>
      <c r="IP224" s="26"/>
      <c r="IT224" s="23"/>
      <c r="IY224" s="26"/>
      <c r="JC224" s="23"/>
      <c r="JH224" s="26"/>
      <c r="JL224" s="23"/>
      <c r="JQ224" s="26"/>
      <c r="JU224" s="23"/>
      <c r="JZ224" s="26"/>
      <c r="KD224" s="23"/>
      <c r="KI224" s="26"/>
      <c r="KM224" s="23"/>
      <c r="KR224" s="26"/>
      <c r="KV224" s="23"/>
      <c r="LA224" s="26"/>
      <c r="LE224" s="23"/>
      <c r="LJ224" s="26"/>
      <c r="LN224" s="23"/>
      <c r="LS224" s="26"/>
      <c r="LW224" s="23"/>
      <c r="MB224" s="26"/>
      <c r="MF224" s="23"/>
      <c r="MK224" s="26"/>
      <c r="MO224" s="23"/>
      <c r="MT224" s="26"/>
      <c r="MX224" s="23"/>
      <c r="NC224" s="26"/>
      <c r="NG224" s="23"/>
      <c r="NL224" s="26"/>
      <c r="NP224" s="23"/>
      <c r="NU224" s="26"/>
      <c r="NY224" s="23"/>
      <c r="OD224" s="26"/>
      <c r="OH224" s="23"/>
      <c r="OM224" s="26"/>
      <c r="OQ224" s="23"/>
      <c r="OV224" s="26"/>
      <c r="OZ224" s="23"/>
      <c r="PE224" s="26"/>
      <c r="PI224" s="23"/>
      <c r="PN224" s="26"/>
      <c r="PR224" s="23"/>
      <c r="PW224" s="26"/>
      <c r="QA224" s="23"/>
      <c r="QF224" s="26"/>
      <c r="QJ224" s="23"/>
      <c r="QO224" s="26"/>
      <c r="QS224" s="23"/>
      <c r="QX224" s="26"/>
      <c r="RB224" s="23"/>
      <c r="RG224" s="26"/>
      <c r="RK224" s="23"/>
      <c r="RP224" s="26"/>
      <c r="RT224" s="23"/>
      <c r="RY224" s="26"/>
      <c r="SC224" s="23"/>
      <c r="SH224" s="26"/>
      <c r="SL224" s="23"/>
      <c r="SQ224" s="26"/>
      <c r="SU224" s="23"/>
      <c r="SZ224" s="26"/>
      <c r="TD224" s="23"/>
      <c r="TI224" s="26"/>
      <c r="TM224" s="23"/>
      <c r="TR224" s="26"/>
      <c r="TV224" s="23"/>
      <c r="UA224" s="26"/>
      <c r="UE224" s="23"/>
      <c r="UJ224" s="26"/>
      <c r="UN224" s="23"/>
      <c r="US224" s="26"/>
      <c r="UW224" s="23"/>
      <c r="VB224" s="26"/>
      <c r="VF224" s="23"/>
      <c r="VK224" s="26"/>
      <c r="VO224" s="23"/>
      <c r="VT224" s="26"/>
      <c r="VX224" s="23"/>
      <c r="WC224" s="26"/>
      <c r="WG224" s="23"/>
      <c r="WL224" s="26"/>
      <c r="WP224" s="23"/>
      <c r="WU224" s="26"/>
      <c r="WY224" s="23"/>
      <c r="XD224" s="26"/>
      <c r="XH224" s="23"/>
      <c r="XM224" s="26"/>
      <c r="XQ224" s="23"/>
      <c r="XV224" s="26"/>
      <c r="XZ224" s="23"/>
      <c r="YE224" s="26"/>
      <c r="YI224" s="23"/>
      <c r="YN224" s="26"/>
      <c r="YR224" s="23"/>
      <c r="YW224" s="26"/>
      <c r="ZA224" s="23"/>
      <c r="ZF224" s="26"/>
      <c r="ZJ224" s="23"/>
      <c r="ZO224" s="26"/>
      <c r="ZS224" s="23"/>
      <c r="ZX224" s="26"/>
      <c r="AAB224" s="23"/>
      <c r="AAG224" s="26"/>
      <c r="AAK224" s="23"/>
      <c r="AAP224" s="26"/>
      <c r="AAT224" s="23"/>
      <c r="AAY224" s="26"/>
      <c r="ABC224" s="23"/>
      <c r="ABH224" s="26"/>
      <c r="ABL224" s="23"/>
      <c r="ABQ224" s="26"/>
      <c r="ABU224" s="23"/>
      <c r="ABZ224" s="26"/>
      <c r="ACD224" s="23"/>
      <c r="ACI224" s="26"/>
      <c r="ACM224" s="23"/>
      <c r="ACR224" s="26"/>
      <c r="ACV224" s="23"/>
      <c r="ADA224" s="26"/>
      <c r="ADE224" s="23"/>
      <c r="ADJ224" s="26"/>
      <c r="ADN224" s="23"/>
      <c r="ADS224" s="26"/>
      <c r="ADW224" s="23"/>
      <c r="AEB224" s="26"/>
      <c r="AEF224" s="23"/>
      <c r="AEK224" s="26"/>
      <c r="AEO224" s="23"/>
      <c r="AET224" s="26"/>
      <c r="AEX224" s="23"/>
      <c r="AFC224" s="26"/>
      <c r="AFG224" s="23"/>
      <c r="AFL224" s="26"/>
      <c r="AFP224" s="23"/>
      <c r="AFU224" s="26"/>
      <c r="AFY224" s="23"/>
      <c r="AGD224" s="26"/>
      <c r="AGH224" s="23"/>
      <c r="AGM224" s="26"/>
      <c r="AGQ224" s="23"/>
      <c r="AGV224" s="26"/>
      <c r="AGZ224" s="23"/>
      <c r="AHE224" s="26"/>
      <c r="AHI224" s="23"/>
      <c r="AHN224" s="26"/>
      <c r="AHR224" s="23"/>
      <c r="AHW224" s="26"/>
      <c r="AIA224" s="23"/>
      <c r="AIF224" s="26"/>
      <c r="AIJ224" s="23"/>
      <c r="AIO224" s="26"/>
      <c r="AIS224" s="23"/>
      <c r="AIX224" s="26"/>
      <c r="AJB224" s="23"/>
      <c r="AJG224" s="26"/>
      <c r="AJK224" s="23"/>
      <c r="AJP224" s="26"/>
      <c r="AJT224" s="23"/>
      <c r="AJY224" s="26"/>
      <c r="AKC224" s="23"/>
      <c r="AKH224" s="26"/>
      <c r="AKL224" s="23"/>
      <c r="AKQ224" s="26"/>
      <c r="AKU224" s="23"/>
      <c r="AKZ224" s="26"/>
      <c r="ALD224" s="23"/>
      <c r="ALI224" s="26"/>
      <c r="ALM224" s="23"/>
      <c r="ALR224" s="26"/>
      <c r="ALV224" s="23"/>
      <c r="AMA224" s="26"/>
      <c r="AME224" s="23"/>
      <c r="AMJ224" s="26"/>
      <c r="AMN224" s="23"/>
      <c r="AMS224" s="26"/>
      <c r="AMW224" s="23"/>
      <c r="ANB224" s="26"/>
      <c r="ANF224" s="23"/>
      <c r="ANK224" s="26"/>
      <c r="ANO224" s="23"/>
      <c r="ANT224" s="26"/>
      <c r="ANX224" s="23"/>
      <c r="AOC224" s="26"/>
      <c r="AOG224" s="23"/>
      <c r="AOL224" s="26"/>
      <c r="AOP224" s="23"/>
      <c r="AOU224" s="26"/>
      <c r="AOY224" s="23"/>
      <c r="APD224" s="26"/>
      <c r="APH224" s="23"/>
      <c r="APM224" s="26"/>
      <c r="APQ224" s="23"/>
      <c r="APV224" s="26"/>
      <c r="APZ224" s="23"/>
      <c r="AQE224" s="26"/>
      <c r="AQI224" s="23"/>
      <c r="AQN224" s="26"/>
      <c r="AQR224" s="23"/>
      <c r="AQW224" s="26"/>
      <c r="ARA224" s="23"/>
      <c r="ARF224" s="26"/>
      <c r="ARJ224" s="23"/>
      <c r="ARO224" s="26"/>
      <c r="ARS224" s="23"/>
      <c r="ARX224" s="26"/>
      <c r="ASB224" s="23"/>
      <c r="ASG224" s="26"/>
      <c r="ASK224" s="23"/>
      <c r="ASP224" s="26"/>
      <c r="AST224" s="23"/>
      <c r="ASY224" s="26"/>
      <c r="ATC224" s="23"/>
      <c r="ATH224" s="26"/>
      <c r="ATL224" s="23"/>
      <c r="ATQ224" s="26"/>
      <c r="ATU224" s="23"/>
      <c r="ATZ224" s="26"/>
      <c r="AUD224" s="23"/>
      <c r="AUI224" s="26"/>
      <c r="AUM224" s="23"/>
      <c r="AUR224" s="26"/>
      <c r="AUV224" s="23"/>
      <c r="AVA224" s="26"/>
      <c r="AVE224" s="23"/>
      <c r="AVJ224" s="26"/>
      <c r="AVN224" s="23"/>
      <c r="AVS224" s="26"/>
      <c r="AVW224" s="23"/>
      <c r="AWB224" s="26"/>
      <c r="AWF224" s="23"/>
      <c r="AWK224" s="26"/>
      <c r="AWO224" s="23"/>
      <c r="AWT224" s="26"/>
      <c r="AWX224" s="23"/>
      <c r="AXC224" s="26"/>
      <c r="AXG224" s="23"/>
      <c r="AXL224" s="26"/>
      <c r="AXP224" s="23"/>
      <c r="AXU224" s="26"/>
      <c r="AXY224" s="23"/>
      <c r="AYD224" s="26"/>
      <c r="AYH224" s="23"/>
      <c r="AYM224" s="26"/>
      <c r="AYQ224" s="23"/>
      <c r="AYV224" s="26"/>
      <c r="AYZ224" s="23"/>
      <c r="AZE224" s="26"/>
      <c r="AZI224" s="23"/>
      <c r="AZN224" s="26"/>
      <c r="AZR224" s="23"/>
      <c r="AZW224" s="26"/>
      <c r="BAA224" s="23"/>
      <c r="BAF224" s="26"/>
      <c r="BAJ224" s="23"/>
      <c r="BAO224" s="26"/>
      <c r="BAS224" s="23"/>
      <c r="BAX224" s="26"/>
      <c r="BBB224" s="23"/>
      <c r="BBG224" s="26"/>
      <c r="BBK224" s="23"/>
      <c r="BBP224" s="26"/>
      <c r="BBT224" s="23"/>
      <c r="BBY224" s="26"/>
      <c r="BCC224" s="23"/>
      <c r="BCH224" s="26"/>
      <c r="BCL224" s="23"/>
      <c r="BCQ224" s="26"/>
      <c r="BCU224" s="23"/>
      <c r="BCZ224" s="26"/>
      <c r="BDD224" s="23"/>
      <c r="BDI224" s="26"/>
      <c r="BDM224" s="23"/>
      <c r="BDR224" s="26"/>
      <c r="BDV224" s="23"/>
      <c r="BEA224" s="26"/>
      <c r="BEE224" s="23"/>
      <c r="BEJ224" s="26"/>
      <c r="BEN224" s="23"/>
      <c r="BES224" s="26"/>
      <c r="BEW224" s="23"/>
      <c r="BFB224" s="26"/>
      <c r="BFF224" s="23"/>
      <c r="BFK224" s="26"/>
      <c r="BFO224" s="23"/>
      <c r="BFT224" s="26"/>
      <c r="BFX224" s="23"/>
      <c r="BGC224" s="26"/>
      <c r="BGG224" s="23"/>
      <c r="BGL224" s="26"/>
      <c r="BGP224" s="23"/>
      <c r="BGU224" s="26"/>
      <c r="BGY224" s="23"/>
      <c r="BHD224" s="26"/>
      <c r="BHH224" s="23"/>
      <c r="BHM224" s="26"/>
      <c r="BHQ224" s="23"/>
      <c r="BHV224" s="26"/>
      <c r="BHZ224" s="23"/>
      <c r="BIE224" s="26"/>
      <c r="BII224" s="23"/>
      <c r="BIN224" s="26"/>
      <c r="BIR224" s="23"/>
      <c r="BIW224" s="26"/>
      <c r="BJA224" s="23"/>
      <c r="BJF224" s="26"/>
      <c r="BJJ224" s="23"/>
      <c r="BJO224" s="26"/>
      <c r="BJS224" s="23"/>
      <c r="BJX224" s="26"/>
      <c r="BKB224" s="23"/>
      <c r="BKG224" s="26"/>
      <c r="BKK224" s="23"/>
      <c r="BKP224" s="26"/>
      <c r="BKT224" s="23"/>
      <c r="BKY224" s="26"/>
      <c r="BLC224" s="23"/>
      <c r="BLH224" s="26"/>
      <c r="BLL224" s="23"/>
      <c r="BLQ224" s="26"/>
      <c r="BLU224" s="23"/>
      <c r="BLZ224" s="26"/>
      <c r="BMD224" s="23"/>
      <c r="BMI224" s="26"/>
      <c r="BMM224" s="23"/>
      <c r="BMR224" s="26"/>
      <c r="BMV224" s="23"/>
      <c r="BNA224" s="26"/>
      <c r="BNE224" s="23"/>
      <c r="BNJ224" s="26"/>
      <c r="BNN224" s="23"/>
      <c r="BNS224" s="26"/>
      <c r="BNW224" s="23"/>
      <c r="BOB224" s="26"/>
      <c r="BOF224" s="23"/>
      <c r="BOK224" s="26"/>
      <c r="BOO224" s="23"/>
      <c r="BOT224" s="26"/>
      <c r="BOX224" s="23"/>
      <c r="BPC224" s="26"/>
      <c r="BPG224" s="23"/>
      <c r="BPL224" s="26"/>
      <c r="BPP224" s="23"/>
      <c r="BPU224" s="26"/>
      <c r="BPY224" s="23"/>
      <c r="BQD224" s="26"/>
      <c r="BQH224" s="23"/>
      <c r="BQM224" s="26"/>
      <c r="BQQ224" s="23"/>
      <c r="BQV224" s="26"/>
      <c r="BQZ224" s="23"/>
      <c r="BRE224" s="26"/>
      <c r="BRI224" s="23"/>
      <c r="BRN224" s="26"/>
      <c r="BRR224" s="23"/>
      <c r="BRW224" s="26"/>
      <c r="BSA224" s="23"/>
      <c r="BSF224" s="26"/>
      <c r="BSJ224" s="23"/>
      <c r="BSO224" s="26"/>
      <c r="BSS224" s="23"/>
      <c r="BSX224" s="26"/>
      <c r="BTB224" s="23"/>
      <c r="BTG224" s="26"/>
      <c r="BTK224" s="23"/>
      <c r="BTP224" s="26"/>
      <c r="BTT224" s="23"/>
      <c r="BTY224" s="26"/>
      <c r="BUC224" s="23"/>
      <c r="BUH224" s="26"/>
      <c r="BUL224" s="23"/>
      <c r="BUQ224" s="26"/>
      <c r="BUU224" s="23"/>
      <c r="BUZ224" s="26"/>
      <c r="BVD224" s="23"/>
      <c r="BVI224" s="26"/>
      <c r="BVM224" s="23"/>
      <c r="BVR224" s="26"/>
      <c r="BVV224" s="23"/>
      <c r="BWA224" s="26"/>
      <c r="BWE224" s="23"/>
      <c r="BWJ224" s="26"/>
      <c r="BWN224" s="23"/>
      <c r="BWS224" s="26"/>
      <c r="BWW224" s="23"/>
      <c r="BXB224" s="26"/>
      <c r="BXF224" s="23"/>
      <c r="BXK224" s="26"/>
      <c r="BXO224" s="23"/>
      <c r="BXT224" s="26"/>
      <c r="BXX224" s="23"/>
      <c r="BYC224" s="26"/>
      <c r="BYG224" s="23"/>
      <c r="BYL224" s="26"/>
      <c r="BYP224" s="23"/>
      <c r="BYU224" s="26"/>
      <c r="BYY224" s="23"/>
      <c r="BZD224" s="26"/>
      <c r="BZH224" s="23"/>
      <c r="BZM224" s="26"/>
      <c r="BZQ224" s="23"/>
      <c r="BZV224" s="26"/>
      <c r="BZZ224" s="23"/>
      <c r="CAE224" s="26"/>
      <c r="CAI224" s="23"/>
      <c r="CAN224" s="26"/>
      <c r="CAR224" s="23"/>
      <c r="CAW224" s="26"/>
      <c r="CBA224" s="23"/>
      <c r="CBF224" s="26"/>
      <c r="CBJ224" s="23"/>
      <c r="CBO224" s="26"/>
      <c r="CBS224" s="23"/>
      <c r="CBX224" s="26"/>
      <c r="CCB224" s="23"/>
      <c r="CCG224" s="26"/>
      <c r="CCK224" s="23"/>
      <c r="CCP224" s="26"/>
      <c r="CCT224" s="23"/>
      <c r="CCY224" s="26"/>
      <c r="CDC224" s="23"/>
      <c r="CDH224" s="26"/>
      <c r="CDL224" s="23"/>
      <c r="CDQ224" s="26"/>
      <c r="CDU224" s="23"/>
      <c r="CDZ224" s="26"/>
      <c r="CED224" s="23"/>
      <c r="CEI224" s="26"/>
      <c r="CEM224" s="23"/>
      <c r="CER224" s="26"/>
      <c r="CEV224" s="23"/>
      <c r="CFA224" s="26"/>
      <c r="CFE224" s="23"/>
      <c r="CFJ224" s="26"/>
      <c r="CFN224" s="23"/>
      <c r="CFS224" s="26"/>
      <c r="CFW224" s="23"/>
      <c r="CGB224" s="26"/>
      <c r="CGF224" s="23"/>
      <c r="CGK224" s="26"/>
      <c r="CGO224" s="23"/>
      <c r="CGT224" s="26"/>
      <c r="CGX224" s="23"/>
      <c r="CHC224" s="26"/>
      <c r="CHG224" s="23"/>
      <c r="CHL224" s="26"/>
      <c r="CHP224" s="23"/>
      <c r="CHU224" s="26"/>
      <c r="CHY224" s="23"/>
      <c r="CID224" s="26"/>
      <c r="CIH224" s="23"/>
      <c r="CIM224" s="26"/>
      <c r="CIQ224" s="23"/>
      <c r="CIV224" s="26"/>
      <c r="CIZ224" s="23"/>
      <c r="CJE224" s="26"/>
      <c r="CJI224" s="23"/>
      <c r="CJN224" s="26"/>
      <c r="CJR224" s="23"/>
      <c r="CJW224" s="26"/>
      <c r="CKA224" s="23"/>
      <c r="CKF224" s="26"/>
      <c r="CKJ224" s="23"/>
      <c r="CKO224" s="26"/>
      <c r="CKS224" s="23"/>
      <c r="CKX224" s="26"/>
      <c r="CLB224" s="23"/>
      <c r="CLG224" s="26"/>
      <c r="CLK224" s="23"/>
      <c r="CLP224" s="26"/>
      <c r="CLT224" s="23"/>
      <c r="CLY224" s="26"/>
      <c r="CMC224" s="23"/>
      <c r="CMH224" s="26"/>
      <c r="CML224" s="23"/>
      <c r="CMQ224" s="26"/>
      <c r="CMU224" s="23"/>
      <c r="CMZ224" s="26"/>
      <c r="CND224" s="23"/>
      <c r="CNI224" s="26"/>
      <c r="CNM224" s="23"/>
      <c r="CNR224" s="26"/>
      <c r="CNV224" s="23"/>
      <c r="COA224" s="26"/>
      <c r="COE224" s="23"/>
      <c r="COJ224" s="26"/>
      <c r="CON224" s="23"/>
      <c r="COS224" s="26"/>
      <c r="COW224" s="23"/>
      <c r="CPB224" s="26"/>
      <c r="CPF224" s="23"/>
      <c r="CPK224" s="26"/>
      <c r="CPO224" s="23"/>
      <c r="CPT224" s="26"/>
      <c r="CPX224" s="23"/>
      <c r="CQC224" s="26"/>
      <c r="CQG224" s="23"/>
      <c r="CQL224" s="26"/>
      <c r="CQP224" s="23"/>
      <c r="CQU224" s="26"/>
      <c r="CQY224" s="23"/>
      <c r="CRD224" s="26"/>
      <c r="CRH224" s="23"/>
      <c r="CRM224" s="26"/>
      <c r="CRQ224" s="23"/>
      <c r="CRV224" s="26"/>
      <c r="CRZ224" s="23"/>
      <c r="CSE224" s="26"/>
      <c r="CSI224" s="23"/>
      <c r="CSN224" s="26"/>
      <c r="CSR224" s="23"/>
      <c r="CSW224" s="26"/>
      <c r="CTA224" s="23"/>
      <c r="CTF224" s="26"/>
      <c r="CTJ224" s="23"/>
      <c r="CTO224" s="26"/>
      <c r="CTS224" s="23"/>
      <c r="CTX224" s="26"/>
      <c r="CUB224" s="23"/>
      <c r="CUG224" s="26"/>
      <c r="CUK224" s="23"/>
      <c r="CUP224" s="26"/>
      <c r="CUT224" s="23"/>
      <c r="CUY224" s="26"/>
      <c r="CVC224" s="23"/>
      <c r="CVH224" s="26"/>
      <c r="CVL224" s="23"/>
      <c r="CVQ224" s="26"/>
      <c r="CVU224" s="23"/>
      <c r="CVZ224" s="26"/>
      <c r="CWD224" s="23"/>
      <c r="CWI224" s="26"/>
      <c r="CWM224" s="23"/>
      <c r="CWR224" s="26"/>
      <c r="CWV224" s="23"/>
      <c r="CXA224" s="26"/>
      <c r="CXE224" s="23"/>
      <c r="CXJ224" s="26"/>
      <c r="CXN224" s="23"/>
      <c r="CXS224" s="26"/>
      <c r="CXW224" s="23"/>
      <c r="CYB224" s="26"/>
      <c r="CYF224" s="23"/>
      <c r="CYK224" s="26"/>
      <c r="CYO224" s="23"/>
      <c r="CYT224" s="26"/>
      <c r="CYX224" s="23"/>
      <c r="CZC224" s="26"/>
      <c r="CZG224" s="23"/>
      <c r="CZL224" s="26"/>
      <c r="CZP224" s="23"/>
      <c r="CZU224" s="26"/>
      <c r="CZY224" s="23"/>
      <c r="DAD224" s="26"/>
      <c r="DAH224" s="23"/>
      <c r="DAM224" s="26"/>
      <c r="DAQ224" s="23"/>
      <c r="DAV224" s="26"/>
      <c r="DAZ224" s="23"/>
      <c r="DBE224" s="26"/>
      <c r="DBI224" s="23"/>
      <c r="DBN224" s="26"/>
      <c r="DBR224" s="23"/>
      <c r="DBW224" s="26"/>
      <c r="DCA224" s="23"/>
      <c r="DCF224" s="26"/>
      <c r="DCJ224" s="23"/>
      <c r="DCO224" s="26"/>
      <c r="DCS224" s="23"/>
      <c r="DCX224" s="26"/>
      <c r="DDB224" s="23"/>
      <c r="DDG224" s="26"/>
      <c r="DDK224" s="23"/>
      <c r="DDP224" s="26"/>
      <c r="DDT224" s="23"/>
      <c r="DDY224" s="26"/>
      <c r="DEC224" s="23"/>
      <c r="DEH224" s="26"/>
      <c r="DEL224" s="23"/>
      <c r="DEQ224" s="26"/>
      <c r="DEU224" s="23"/>
      <c r="DEZ224" s="26"/>
      <c r="DFD224" s="23"/>
      <c r="DFI224" s="26"/>
      <c r="DFM224" s="23"/>
      <c r="DFR224" s="26"/>
      <c r="DFV224" s="23"/>
      <c r="DGA224" s="26"/>
      <c r="DGE224" s="23"/>
      <c r="DGJ224" s="26"/>
      <c r="DGN224" s="23"/>
      <c r="DGS224" s="26"/>
      <c r="DGW224" s="23"/>
      <c r="DHB224" s="26"/>
      <c r="DHF224" s="23"/>
      <c r="DHK224" s="26"/>
      <c r="DHO224" s="23"/>
      <c r="DHT224" s="26"/>
      <c r="DHX224" s="23"/>
      <c r="DIC224" s="26"/>
      <c r="DIG224" s="23"/>
      <c r="DIL224" s="26"/>
      <c r="DIP224" s="23"/>
      <c r="DIU224" s="26"/>
      <c r="DIY224" s="23"/>
      <c r="DJD224" s="26"/>
      <c r="DJH224" s="23"/>
      <c r="DJM224" s="26"/>
      <c r="DJQ224" s="23"/>
      <c r="DJV224" s="26"/>
      <c r="DJZ224" s="23"/>
      <c r="DKE224" s="26"/>
      <c r="DKI224" s="23"/>
      <c r="DKN224" s="26"/>
      <c r="DKR224" s="23"/>
      <c r="DKW224" s="26"/>
      <c r="DLA224" s="23"/>
      <c r="DLF224" s="26"/>
      <c r="DLJ224" s="23"/>
      <c r="DLO224" s="26"/>
      <c r="DLS224" s="23"/>
      <c r="DLX224" s="26"/>
      <c r="DMB224" s="23"/>
      <c r="DMG224" s="26"/>
      <c r="DMK224" s="23"/>
      <c r="DMP224" s="26"/>
      <c r="DMT224" s="23"/>
      <c r="DMY224" s="26"/>
      <c r="DNC224" s="23"/>
      <c r="DNH224" s="26"/>
      <c r="DNL224" s="23"/>
      <c r="DNQ224" s="26"/>
      <c r="DNU224" s="23"/>
      <c r="DNZ224" s="26"/>
      <c r="DOD224" s="23"/>
      <c r="DOI224" s="26"/>
      <c r="DOM224" s="23"/>
      <c r="DOR224" s="26"/>
      <c r="DOV224" s="23"/>
      <c r="DPA224" s="26"/>
      <c r="DPE224" s="23"/>
      <c r="DPJ224" s="26"/>
      <c r="DPN224" s="23"/>
      <c r="DPS224" s="26"/>
      <c r="DPW224" s="23"/>
      <c r="DQB224" s="26"/>
      <c r="DQF224" s="23"/>
      <c r="DQK224" s="26"/>
      <c r="DQO224" s="23"/>
      <c r="DQT224" s="26"/>
      <c r="DQX224" s="23"/>
      <c r="DRC224" s="26"/>
      <c r="DRG224" s="23"/>
      <c r="DRL224" s="26"/>
      <c r="DRP224" s="23"/>
      <c r="DRU224" s="26"/>
      <c r="DRY224" s="23"/>
      <c r="DSD224" s="26"/>
      <c r="DSH224" s="23"/>
      <c r="DSM224" s="26"/>
      <c r="DSQ224" s="23"/>
      <c r="DSV224" s="26"/>
      <c r="DSZ224" s="23"/>
      <c r="DTE224" s="26"/>
      <c r="DTI224" s="23"/>
      <c r="DTN224" s="26"/>
      <c r="DTR224" s="23"/>
      <c r="DTW224" s="26"/>
      <c r="DUA224" s="23"/>
      <c r="DUF224" s="26"/>
      <c r="DUJ224" s="23"/>
      <c r="DUO224" s="26"/>
      <c r="DUS224" s="23"/>
      <c r="DUX224" s="26"/>
      <c r="DVB224" s="23"/>
      <c r="DVG224" s="26"/>
      <c r="DVK224" s="23"/>
      <c r="DVP224" s="26"/>
      <c r="DVT224" s="23"/>
      <c r="DVY224" s="26"/>
      <c r="DWC224" s="23"/>
      <c r="DWH224" s="26"/>
      <c r="DWL224" s="23"/>
      <c r="DWQ224" s="26"/>
      <c r="DWU224" s="23"/>
      <c r="DWZ224" s="26"/>
      <c r="DXD224" s="23"/>
      <c r="DXI224" s="26"/>
      <c r="DXM224" s="23"/>
      <c r="DXR224" s="26"/>
      <c r="DXV224" s="23"/>
      <c r="DYA224" s="26"/>
      <c r="DYE224" s="23"/>
      <c r="DYJ224" s="26"/>
      <c r="DYN224" s="23"/>
      <c r="DYS224" s="26"/>
      <c r="DYW224" s="23"/>
      <c r="DZB224" s="26"/>
      <c r="DZF224" s="23"/>
      <c r="DZK224" s="26"/>
      <c r="DZO224" s="23"/>
      <c r="DZT224" s="26"/>
      <c r="DZX224" s="23"/>
      <c r="EAC224" s="26"/>
      <c r="EAG224" s="23"/>
      <c r="EAL224" s="26"/>
      <c r="EAP224" s="23"/>
      <c r="EAU224" s="26"/>
      <c r="EAY224" s="23"/>
      <c r="EBD224" s="26"/>
      <c r="EBH224" s="23"/>
      <c r="EBM224" s="26"/>
      <c r="EBQ224" s="23"/>
      <c r="EBV224" s="26"/>
      <c r="EBZ224" s="23"/>
      <c r="ECE224" s="26"/>
      <c r="ECI224" s="23"/>
      <c r="ECN224" s="26"/>
      <c r="ECR224" s="23"/>
      <c r="ECW224" s="26"/>
      <c r="EDA224" s="23"/>
      <c r="EDF224" s="26"/>
      <c r="EDJ224" s="23"/>
      <c r="EDO224" s="26"/>
      <c r="EDS224" s="23"/>
      <c r="EDX224" s="26"/>
      <c r="EEB224" s="23"/>
      <c r="EEG224" s="26"/>
      <c r="EEK224" s="23"/>
      <c r="EEP224" s="26"/>
      <c r="EET224" s="23"/>
      <c r="EEY224" s="26"/>
      <c r="EFC224" s="23"/>
      <c r="EFH224" s="26"/>
      <c r="EFL224" s="23"/>
      <c r="EFQ224" s="26"/>
      <c r="EFU224" s="23"/>
      <c r="EFZ224" s="26"/>
      <c r="EGD224" s="23"/>
      <c r="EGI224" s="26"/>
      <c r="EGM224" s="23"/>
      <c r="EGR224" s="26"/>
      <c r="EGV224" s="23"/>
      <c r="EHA224" s="26"/>
      <c r="EHE224" s="23"/>
      <c r="EHJ224" s="26"/>
      <c r="EHN224" s="23"/>
      <c r="EHS224" s="26"/>
      <c r="EHW224" s="23"/>
      <c r="EIB224" s="26"/>
      <c r="EIF224" s="23"/>
      <c r="EIK224" s="26"/>
      <c r="EIO224" s="23"/>
      <c r="EIT224" s="26"/>
      <c r="EIX224" s="23"/>
      <c r="EJC224" s="26"/>
      <c r="EJG224" s="23"/>
      <c r="EJL224" s="26"/>
      <c r="EJP224" s="23"/>
      <c r="EJU224" s="26"/>
      <c r="EJY224" s="23"/>
      <c r="EKD224" s="26"/>
      <c r="EKH224" s="23"/>
      <c r="EKM224" s="26"/>
      <c r="EKQ224" s="23"/>
      <c r="EKV224" s="26"/>
      <c r="EKZ224" s="23"/>
      <c r="ELE224" s="26"/>
      <c r="ELI224" s="23"/>
      <c r="ELN224" s="26"/>
      <c r="ELR224" s="23"/>
      <c r="ELW224" s="26"/>
      <c r="EMA224" s="23"/>
      <c r="EMF224" s="26"/>
      <c r="EMJ224" s="23"/>
      <c r="EMO224" s="26"/>
      <c r="EMS224" s="23"/>
      <c r="EMX224" s="26"/>
      <c r="ENB224" s="23"/>
      <c r="ENG224" s="26"/>
      <c r="ENK224" s="23"/>
      <c r="ENP224" s="26"/>
      <c r="ENT224" s="23"/>
      <c r="ENY224" s="26"/>
      <c r="EOC224" s="23"/>
      <c r="EOH224" s="26"/>
      <c r="EOL224" s="23"/>
      <c r="EOQ224" s="26"/>
      <c r="EOU224" s="23"/>
      <c r="EOZ224" s="26"/>
      <c r="EPD224" s="23"/>
      <c r="EPI224" s="26"/>
      <c r="EPM224" s="23"/>
      <c r="EPR224" s="26"/>
      <c r="EPV224" s="23"/>
      <c r="EQA224" s="26"/>
      <c r="EQE224" s="23"/>
      <c r="EQJ224" s="26"/>
      <c r="EQN224" s="23"/>
      <c r="EQS224" s="26"/>
      <c r="EQW224" s="23"/>
      <c r="ERB224" s="26"/>
      <c r="ERF224" s="23"/>
      <c r="ERK224" s="26"/>
      <c r="ERO224" s="23"/>
      <c r="ERT224" s="26"/>
      <c r="ERX224" s="23"/>
      <c r="ESC224" s="26"/>
      <c r="ESG224" s="23"/>
      <c r="ESL224" s="26"/>
      <c r="ESP224" s="23"/>
      <c r="ESU224" s="26"/>
      <c r="ESY224" s="23"/>
      <c r="ETD224" s="26"/>
      <c r="ETH224" s="23"/>
      <c r="ETM224" s="26"/>
      <c r="ETQ224" s="23"/>
      <c r="ETV224" s="26"/>
      <c r="ETZ224" s="23"/>
      <c r="EUE224" s="26"/>
      <c r="EUI224" s="23"/>
      <c r="EUN224" s="26"/>
      <c r="EUR224" s="23"/>
      <c r="EUW224" s="26"/>
      <c r="EVA224" s="23"/>
      <c r="EVF224" s="26"/>
      <c r="EVJ224" s="23"/>
      <c r="EVO224" s="26"/>
      <c r="EVS224" s="23"/>
      <c r="EVX224" s="26"/>
      <c r="EWB224" s="23"/>
      <c r="EWG224" s="26"/>
      <c r="EWK224" s="23"/>
      <c r="EWP224" s="26"/>
      <c r="EWT224" s="23"/>
      <c r="EWY224" s="26"/>
      <c r="EXC224" s="23"/>
      <c r="EXH224" s="26"/>
      <c r="EXL224" s="23"/>
      <c r="EXQ224" s="26"/>
      <c r="EXU224" s="23"/>
      <c r="EXZ224" s="26"/>
      <c r="EYD224" s="23"/>
      <c r="EYI224" s="26"/>
      <c r="EYM224" s="23"/>
      <c r="EYR224" s="26"/>
      <c r="EYV224" s="23"/>
      <c r="EZA224" s="26"/>
      <c r="EZE224" s="23"/>
      <c r="EZJ224" s="26"/>
      <c r="EZN224" s="23"/>
      <c r="EZS224" s="26"/>
      <c r="EZW224" s="23"/>
      <c r="FAB224" s="26"/>
      <c r="FAF224" s="23"/>
      <c r="FAK224" s="26"/>
      <c r="FAO224" s="23"/>
      <c r="FAT224" s="26"/>
      <c r="FAX224" s="23"/>
      <c r="FBC224" s="26"/>
      <c r="FBG224" s="23"/>
      <c r="FBL224" s="26"/>
      <c r="FBP224" s="23"/>
      <c r="FBU224" s="26"/>
      <c r="FBY224" s="23"/>
      <c r="FCD224" s="26"/>
      <c r="FCH224" s="23"/>
      <c r="FCM224" s="26"/>
      <c r="FCQ224" s="23"/>
      <c r="FCV224" s="26"/>
      <c r="FCZ224" s="23"/>
      <c r="FDE224" s="26"/>
      <c r="FDI224" s="23"/>
      <c r="FDN224" s="26"/>
      <c r="FDR224" s="23"/>
      <c r="FDW224" s="26"/>
      <c r="FEA224" s="23"/>
      <c r="FEF224" s="26"/>
      <c r="FEJ224" s="23"/>
      <c r="FEO224" s="26"/>
      <c r="FES224" s="23"/>
      <c r="FEX224" s="26"/>
      <c r="FFB224" s="23"/>
      <c r="FFG224" s="26"/>
      <c r="FFK224" s="23"/>
      <c r="FFP224" s="26"/>
      <c r="FFT224" s="23"/>
      <c r="FFY224" s="26"/>
      <c r="FGC224" s="23"/>
      <c r="FGH224" s="26"/>
      <c r="FGL224" s="23"/>
      <c r="FGQ224" s="26"/>
      <c r="FGU224" s="23"/>
      <c r="FGZ224" s="26"/>
      <c r="FHD224" s="23"/>
      <c r="FHI224" s="26"/>
      <c r="FHM224" s="23"/>
      <c r="FHR224" s="26"/>
      <c r="FHV224" s="23"/>
      <c r="FIA224" s="26"/>
      <c r="FIE224" s="23"/>
      <c r="FIJ224" s="26"/>
      <c r="FIN224" s="23"/>
      <c r="FIS224" s="26"/>
      <c r="FIW224" s="23"/>
      <c r="FJB224" s="26"/>
      <c r="FJF224" s="23"/>
      <c r="FJK224" s="26"/>
      <c r="FJO224" s="23"/>
      <c r="FJT224" s="26"/>
      <c r="FJX224" s="23"/>
      <c r="FKC224" s="26"/>
      <c r="FKG224" s="23"/>
      <c r="FKL224" s="26"/>
      <c r="FKP224" s="23"/>
      <c r="FKU224" s="26"/>
      <c r="FKY224" s="23"/>
      <c r="FLD224" s="26"/>
      <c r="FLH224" s="23"/>
      <c r="FLM224" s="26"/>
      <c r="FLQ224" s="23"/>
      <c r="FLV224" s="26"/>
      <c r="FLZ224" s="23"/>
      <c r="FME224" s="26"/>
      <c r="FMI224" s="23"/>
      <c r="FMN224" s="26"/>
      <c r="FMR224" s="23"/>
      <c r="FMW224" s="26"/>
      <c r="FNA224" s="23"/>
      <c r="FNF224" s="26"/>
      <c r="FNJ224" s="23"/>
      <c r="FNO224" s="26"/>
      <c r="FNS224" s="23"/>
      <c r="FNX224" s="26"/>
      <c r="FOB224" s="23"/>
      <c r="FOG224" s="26"/>
      <c r="FOK224" s="23"/>
      <c r="FOP224" s="26"/>
      <c r="FOT224" s="23"/>
      <c r="FOY224" s="26"/>
      <c r="FPC224" s="23"/>
      <c r="FPH224" s="26"/>
      <c r="FPL224" s="23"/>
      <c r="FPQ224" s="26"/>
      <c r="FPU224" s="23"/>
      <c r="FPZ224" s="26"/>
      <c r="FQD224" s="23"/>
      <c r="FQI224" s="26"/>
      <c r="FQM224" s="23"/>
      <c r="FQR224" s="26"/>
      <c r="FQV224" s="23"/>
      <c r="FRA224" s="26"/>
      <c r="FRE224" s="23"/>
      <c r="FRJ224" s="26"/>
      <c r="FRN224" s="23"/>
      <c r="FRS224" s="26"/>
      <c r="FRW224" s="23"/>
      <c r="FSB224" s="26"/>
      <c r="FSF224" s="23"/>
      <c r="FSK224" s="26"/>
      <c r="FSO224" s="23"/>
      <c r="FST224" s="26"/>
      <c r="FSX224" s="23"/>
      <c r="FTC224" s="26"/>
      <c r="FTG224" s="23"/>
      <c r="FTL224" s="26"/>
      <c r="FTP224" s="23"/>
      <c r="FTU224" s="26"/>
      <c r="FTY224" s="23"/>
      <c r="FUD224" s="26"/>
      <c r="FUH224" s="23"/>
      <c r="FUM224" s="26"/>
      <c r="FUQ224" s="23"/>
      <c r="FUV224" s="26"/>
      <c r="FUZ224" s="23"/>
      <c r="FVE224" s="26"/>
      <c r="FVI224" s="23"/>
      <c r="FVN224" s="26"/>
      <c r="FVR224" s="23"/>
      <c r="FVW224" s="26"/>
      <c r="FWA224" s="23"/>
      <c r="FWF224" s="26"/>
      <c r="FWJ224" s="23"/>
      <c r="FWO224" s="26"/>
      <c r="FWS224" s="23"/>
      <c r="FWX224" s="26"/>
      <c r="FXB224" s="23"/>
      <c r="FXG224" s="26"/>
      <c r="FXK224" s="23"/>
      <c r="FXP224" s="26"/>
      <c r="FXT224" s="23"/>
      <c r="FXY224" s="26"/>
      <c r="FYC224" s="23"/>
      <c r="FYH224" s="26"/>
      <c r="FYL224" s="23"/>
      <c r="FYQ224" s="26"/>
      <c r="FYU224" s="23"/>
      <c r="FYZ224" s="26"/>
      <c r="FZD224" s="23"/>
      <c r="FZI224" s="26"/>
      <c r="FZM224" s="23"/>
      <c r="FZR224" s="26"/>
      <c r="FZV224" s="23"/>
      <c r="GAA224" s="26"/>
      <c r="GAE224" s="23"/>
      <c r="GAJ224" s="26"/>
      <c r="GAN224" s="23"/>
      <c r="GAS224" s="26"/>
      <c r="GAW224" s="23"/>
      <c r="GBB224" s="26"/>
      <c r="GBF224" s="23"/>
      <c r="GBK224" s="26"/>
      <c r="GBO224" s="23"/>
      <c r="GBT224" s="26"/>
      <c r="GBX224" s="23"/>
      <c r="GCC224" s="26"/>
      <c r="GCG224" s="23"/>
      <c r="GCL224" s="26"/>
      <c r="GCP224" s="23"/>
      <c r="GCU224" s="26"/>
      <c r="GCY224" s="23"/>
      <c r="GDD224" s="26"/>
      <c r="GDH224" s="23"/>
      <c r="GDM224" s="26"/>
      <c r="GDQ224" s="23"/>
      <c r="GDV224" s="26"/>
      <c r="GDZ224" s="23"/>
      <c r="GEE224" s="26"/>
      <c r="GEI224" s="23"/>
      <c r="GEN224" s="26"/>
      <c r="GER224" s="23"/>
      <c r="GEW224" s="26"/>
      <c r="GFA224" s="23"/>
      <c r="GFF224" s="26"/>
      <c r="GFJ224" s="23"/>
      <c r="GFO224" s="26"/>
      <c r="GFS224" s="23"/>
      <c r="GFX224" s="26"/>
      <c r="GGB224" s="23"/>
      <c r="GGG224" s="26"/>
      <c r="GGK224" s="23"/>
      <c r="GGP224" s="26"/>
      <c r="GGT224" s="23"/>
      <c r="GGY224" s="26"/>
      <c r="GHC224" s="23"/>
      <c r="GHH224" s="26"/>
      <c r="GHL224" s="23"/>
      <c r="GHQ224" s="26"/>
      <c r="GHU224" s="23"/>
      <c r="GHZ224" s="26"/>
      <c r="GID224" s="23"/>
      <c r="GII224" s="26"/>
      <c r="GIM224" s="23"/>
      <c r="GIR224" s="26"/>
      <c r="GIV224" s="23"/>
      <c r="GJA224" s="26"/>
      <c r="GJE224" s="23"/>
      <c r="GJJ224" s="26"/>
      <c r="GJN224" s="23"/>
      <c r="GJS224" s="26"/>
      <c r="GJW224" s="23"/>
      <c r="GKB224" s="26"/>
      <c r="GKF224" s="23"/>
      <c r="GKK224" s="26"/>
      <c r="GKO224" s="23"/>
      <c r="GKT224" s="26"/>
      <c r="GKX224" s="23"/>
      <c r="GLC224" s="26"/>
      <c r="GLG224" s="23"/>
      <c r="GLL224" s="26"/>
      <c r="GLP224" s="23"/>
      <c r="GLU224" s="26"/>
      <c r="GLY224" s="23"/>
      <c r="GMD224" s="26"/>
      <c r="GMH224" s="23"/>
      <c r="GMM224" s="26"/>
      <c r="GMQ224" s="23"/>
      <c r="GMV224" s="26"/>
      <c r="GMZ224" s="23"/>
      <c r="GNE224" s="26"/>
      <c r="GNI224" s="23"/>
      <c r="GNN224" s="26"/>
      <c r="GNR224" s="23"/>
      <c r="GNW224" s="26"/>
      <c r="GOA224" s="23"/>
      <c r="GOF224" s="26"/>
      <c r="GOJ224" s="23"/>
      <c r="GOO224" s="26"/>
      <c r="GOS224" s="23"/>
      <c r="GOX224" s="26"/>
      <c r="GPB224" s="23"/>
      <c r="GPG224" s="26"/>
      <c r="GPK224" s="23"/>
      <c r="GPP224" s="26"/>
      <c r="GPT224" s="23"/>
      <c r="GPY224" s="26"/>
      <c r="GQC224" s="23"/>
      <c r="GQH224" s="26"/>
      <c r="GQL224" s="23"/>
      <c r="GQQ224" s="26"/>
      <c r="GQU224" s="23"/>
      <c r="GQZ224" s="26"/>
      <c r="GRD224" s="23"/>
      <c r="GRI224" s="26"/>
      <c r="GRM224" s="23"/>
      <c r="GRR224" s="26"/>
      <c r="GRV224" s="23"/>
      <c r="GSA224" s="26"/>
      <c r="GSE224" s="23"/>
      <c r="GSJ224" s="26"/>
      <c r="GSN224" s="23"/>
      <c r="GSS224" s="26"/>
      <c r="GSW224" s="23"/>
      <c r="GTB224" s="26"/>
      <c r="GTF224" s="23"/>
      <c r="GTK224" s="26"/>
      <c r="GTO224" s="23"/>
      <c r="GTT224" s="26"/>
      <c r="GTX224" s="23"/>
      <c r="GUC224" s="26"/>
      <c r="GUG224" s="23"/>
      <c r="GUL224" s="26"/>
      <c r="GUP224" s="23"/>
      <c r="GUU224" s="26"/>
      <c r="GUY224" s="23"/>
      <c r="GVD224" s="26"/>
      <c r="GVH224" s="23"/>
      <c r="GVM224" s="26"/>
      <c r="GVQ224" s="23"/>
      <c r="GVV224" s="26"/>
      <c r="GVZ224" s="23"/>
      <c r="GWE224" s="26"/>
      <c r="GWI224" s="23"/>
      <c r="GWN224" s="26"/>
      <c r="GWR224" s="23"/>
      <c r="GWW224" s="26"/>
      <c r="GXA224" s="23"/>
      <c r="GXF224" s="26"/>
      <c r="GXJ224" s="23"/>
      <c r="GXO224" s="26"/>
      <c r="GXS224" s="23"/>
      <c r="GXX224" s="26"/>
      <c r="GYB224" s="23"/>
      <c r="GYG224" s="26"/>
      <c r="GYK224" s="23"/>
      <c r="GYP224" s="26"/>
      <c r="GYT224" s="23"/>
      <c r="GYY224" s="26"/>
      <c r="GZC224" s="23"/>
      <c r="GZH224" s="26"/>
      <c r="GZL224" s="23"/>
      <c r="GZQ224" s="26"/>
      <c r="GZU224" s="23"/>
      <c r="GZZ224" s="26"/>
      <c r="HAD224" s="23"/>
      <c r="HAI224" s="26"/>
      <c r="HAM224" s="23"/>
      <c r="HAR224" s="26"/>
      <c r="HAV224" s="23"/>
      <c r="HBA224" s="26"/>
      <c r="HBE224" s="23"/>
      <c r="HBJ224" s="26"/>
      <c r="HBN224" s="23"/>
      <c r="HBS224" s="26"/>
      <c r="HBW224" s="23"/>
      <c r="HCB224" s="26"/>
      <c r="HCF224" s="23"/>
      <c r="HCK224" s="26"/>
      <c r="HCO224" s="23"/>
      <c r="HCT224" s="26"/>
      <c r="HCX224" s="23"/>
      <c r="HDC224" s="26"/>
      <c r="HDG224" s="23"/>
      <c r="HDL224" s="26"/>
      <c r="HDP224" s="23"/>
      <c r="HDU224" s="26"/>
      <c r="HDY224" s="23"/>
      <c r="HED224" s="26"/>
      <c r="HEH224" s="23"/>
      <c r="HEM224" s="26"/>
      <c r="HEQ224" s="23"/>
      <c r="HEV224" s="26"/>
      <c r="HEZ224" s="23"/>
      <c r="HFE224" s="26"/>
      <c r="HFI224" s="23"/>
      <c r="HFN224" s="26"/>
      <c r="HFR224" s="23"/>
      <c r="HFW224" s="26"/>
      <c r="HGA224" s="23"/>
      <c r="HGF224" s="26"/>
      <c r="HGJ224" s="23"/>
      <c r="HGO224" s="26"/>
      <c r="HGS224" s="23"/>
      <c r="HGX224" s="26"/>
      <c r="HHB224" s="23"/>
      <c r="HHG224" s="26"/>
      <c r="HHK224" s="23"/>
      <c r="HHP224" s="26"/>
      <c r="HHT224" s="23"/>
      <c r="HHY224" s="26"/>
      <c r="HIC224" s="23"/>
      <c r="HIH224" s="26"/>
      <c r="HIL224" s="23"/>
      <c r="HIQ224" s="26"/>
      <c r="HIU224" s="23"/>
      <c r="HIZ224" s="26"/>
      <c r="HJD224" s="23"/>
      <c r="HJI224" s="26"/>
      <c r="HJM224" s="23"/>
      <c r="HJR224" s="26"/>
      <c r="HJV224" s="23"/>
      <c r="HKA224" s="26"/>
      <c r="HKE224" s="23"/>
      <c r="HKJ224" s="26"/>
      <c r="HKN224" s="23"/>
      <c r="HKS224" s="26"/>
      <c r="HKW224" s="23"/>
      <c r="HLB224" s="26"/>
      <c r="HLF224" s="23"/>
      <c r="HLK224" s="26"/>
      <c r="HLO224" s="23"/>
      <c r="HLT224" s="26"/>
      <c r="HLX224" s="23"/>
      <c r="HMC224" s="26"/>
      <c r="HMG224" s="23"/>
      <c r="HML224" s="26"/>
      <c r="HMP224" s="23"/>
      <c r="HMU224" s="26"/>
      <c r="HMY224" s="23"/>
      <c r="HND224" s="26"/>
      <c r="HNH224" s="23"/>
      <c r="HNM224" s="26"/>
      <c r="HNQ224" s="23"/>
      <c r="HNV224" s="26"/>
      <c r="HNZ224" s="23"/>
      <c r="HOE224" s="26"/>
      <c r="HOI224" s="23"/>
      <c r="HON224" s="26"/>
      <c r="HOR224" s="23"/>
      <c r="HOW224" s="26"/>
      <c r="HPA224" s="23"/>
      <c r="HPF224" s="26"/>
      <c r="HPJ224" s="23"/>
      <c r="HPO224" s="26"/>
      <c r="HPS224" s="23"/>
      <c r="HPX224" s="26"/>
      <c r="HQB224" s="23"/>
      <c r="HQG224" s="26"/>
      <c r="HQK224" s="23"/>
      <c r="HQP224" s="26"/>
      <c r="HQT224" s="23"/>
      <c r="HQY224" s="26"/>
      <c r="HRC224" s="23"/>
      <c r="HRH224" s="26"/>
      <c r="HRL224" s="23"/>
      <c r="HRQ224" s="26"/>
      <c r="HRU224" s="23"/>
      <c r="HRZ224" s="26"/>
      <c r="HSD224" s="23"/>
      <c r="HSI224" s="26"/>
      <c r="HSM224" s="23"/>
      <c r="HSR224" s="26"/>
      <c r="HSV224" s="23"/>
      <c r="HTA224" s="26"/>
      <c r="HTE224" s="23"/>
      <c r="HTJ224" s="26"/>
      <c r="HTN224" s="23"/>
      <c r="HTS224" s="26"/>
      <c r="HTW224" s="23"/>
      <c r="HUB224" s="26"/>
      <c r="HUF224" s="23"/>
      <c r="HUK224" s="26"/>
      <c r="HUO224" s="23"/>
      <c r="HUT224" s="26"/>
      <c r="HUX224" s="23"/>
      <c r="HVC224" s="26"/>
      <c r="HVG224" s="23"/>
      <c r="HVL224" s="26"/>
      <c r="HVP224" s="23"/>
      <c r="HVU224" s="26"/>
      <c r="HVY224" s="23"/>
      <c r="HWD224" s="26"/>
      <c r="HWH224" s="23"/>
      <c r="HWM224" s="26"/>
      <c r="HWQ224" s="23"/>
      <c r="HWV224" s="26"/>
      <c r="HWZ224" s="23"/>
      <c r="HXE224" s="26"/>
      <c r="HXI224" s="23"/>
      <c r="HXN224" s="26"/>
      <c r="HXR224" s="23"/>
      <c r="HXW224" s="26"/>
      <c r="HYA224" s="23"/>
      <c r="HYF224" s="26"/>
      <c r="HYJ224" s="23"/>
      <c r="HYO224" s="26"/>
      <c r="HYS224" s="23"/>
      <c r="HYX224" s="26"/>
      <c r="HZB224" s="23"/>
      <c r="HZG224" s="26"/>
      <c r="HZK224" s="23"/>
      <c r="HZP224" s="26"/>
      <c r="HZT224" s="23"/>
      <c r="HZY224" s="26"/>
      <c r="IAC224" s="23"/>
      <c r="IAH224" s="26"/>
      <c r="IAL224" s="23"/>
      <c r="IAQ224" s="26"/>
      <c r="IAU224" s="23"/>
      <c r="IAZ224" s="26"/>
      <c r="IBD224" s="23"/>
      <c r="IBI224" s="26"/>
      <c r="IBM224" s="23"/>
      <c r="IBR224" s="26"/>
      <c r="IBV224" s="23"/>
      <c r="ICA224" s="26"/>
      <c r="ICE224" s="23"/>
      <c r="ICJ224" s="26"/>
      <c r="ICN224" s="23"/>
      <c r="ICS224" s="26"/>
      <c r="ICW224" s="23"/>
      <c r="IDB224" s="26"/>
      <c r="IDF224" s="23"/>
      <c r="IDK224" s="26"/>
      <c r="IDO224" s="23"/>
      <c r="IDT224" s="26"/>
      <c r="IDX224" s="23"/>
      <c r="IEC224" s="26"/>
      <c r="IEG224" s="23"/>
      <c r="IEL224" s="26"/>
      <c r="IEP224" s="23"/>
      <c r="IEU224" s="26"/>
      <c r="IEY224" s="23"/>
      <c r="IFD224" s="26"/>
      <c r="IFH224" s="23"/>
      <c r="IFM224" s="26"/>
      <c r="IFQ224" s="23"/>
      <c r="IFV224" s="26"/>
      <c r="IFZ224" s="23"/>
      <c r="IGE224" s="26"/>
      <c r="IGI224" s="23"/>
      <c r="IGN224" s="26"/>
      <c r="IGR224" s="23"/>
      <c r="IGW224" s="26"/>
      <c r="IHA224" s="23"/>
      <c r="IHF224" s="26"/>
      <c r="IHJ224" s="23"/>
      <c r="IHO224" s="26"/>
      <c r="IHS224" s="23"/>
      <c r="IHX224" s="26"/>
      <c r="IIB224" s="23"/>
      <c r="IIG224" s="26"/>
      <c r="IIK224" s="23"/>
      <c r="IIP224" s="26"/>
      <c r="IIT224" s="23"/>
      <c r="IIY224" s="26"/>
      <c r="IJC224" s="23"/>
      <c r="IJH224" s="26"/>
      <c r="IJL224" s="23"/>
      <c r="IJQ224" s="26"/>
      <c r="IJU224" s="23"/>
      <c r="IJZ224" s="26"/>
      <c r="IKD224" s="23"/>
      <c r="IKI224" s="26"/>
      <c r="IKM224" s="23"/>
      <c r="IKR224" s="26"/>
      <c r="IKV224" s="23"/>
      <c r="ILA224" s="26"/>
      <c r="ILE224" s="23"/>
      <c r="ILJ224" s="26"/>
      <c r="ILN224" s="23"/>
      <c r="ILS224" s="26"/>
      <c r="ILW224" s="23"/>
      <c r="IMB224" s="26"/>
      <c r="IMF224" s="23"/>
      <c r="IMK224" s="26"/>
      <c r="IMO224" s="23"/>
      <c r="IMT224" s="26"/>
      <c r="IMX224" s="23"/>
      <c r="INC224" s="26"/>
      <c r="ING224" s="23"/>
      <c r="INL224" s="26"/>
      <c r="INP224" s="23"/>
      <c r="INU224" s="26"/>
      <c r="INY224" s="23"/>
      <c r="IOD224" s="26"/>
      <c r="IOH224" s="23"/>
      <c r="IOM224" s="26"/>
      <c r="IOQ224" s="23"/>
      <c r="IOV224" s="26"/>
      <c r="IOZ224" s="23"/>
      <c r="IPE224" s="26"/>
      <c r="IPI224" s="23"/>
      <c r="IPN224" s="26"/>
      <c r="IPR224" s="23"/>
      <c r="IPW224" s="26"/>
      <c r="IQA224" s="23"/>
      <c r="IQF224" s="26"/>
      <c r="IQJ224" s="23"/>
      <c r="IQO224" s="26"/>
      <c r="IQS224" s="23"/>
      <c r="IQX224" s="26"/>
      <c r="IRB224" s="23"/>
      <c r="IRG224" s="26"/>
      <c r="IRK224" s="23"/>
      <c r="IRP224" s="26"/>
      <c r="IRT224" s="23"/>
      <c r="IRY224" s="26"/>
      <c r="ISC224" s="23"/>
      <c r="ISH224" s="26"/>
      <c r="ISL224" s="23"/>
      <c r="ISQ224" s="26"/>
      <c r="ISU224" s="23"/>
      <c r="ISZ224" s="26"/>
      <c r="ITD224" s="23"/>
      <c r="ITI224" s="26"/>
      <c r="ITM224" s="23"/>
      <c r="ITR224" s="26"/>
      <c r="ITV224" s="23"/>
      <c r="IUA224" s="26"/>
      <c r="IUE224" s="23"/>
      <c r="IUJ224" s="26"/>
      <c r="IUN224" s="23"/>
      <c r="IUS224" s="26"/>
      <c r="IUW224" s="23"/>
      <c r="IVB224" s="26"/>
      <c r="IVF224" s="23"/>
      <c r="IVK224" s="26"/>
      <c r="IVO224" s="23"/>
      <c r="IVT224" s="26"/>
      <c r="IVX224" s="23"/>
      <c r="IWC224" s="26"/>
      <c r="IWG224" s="23"/>
      <c r="IWL224" s="26"/>
      <c r="IWP224" s="23"/>
      <c r="IWU224" s="26"/>
      <c r="IWY224" s="23"/>
      <c r="IXD224" s="26"/>
      <c r="IXH224" s="23"/>
      <c r="IXM224" s="26"/>
      <c r="IXQ224" s="23"/>
      <c r="IXV224" s="26"/>
      <c r="IXZ224" s="23"/>
      <c r="IYE224" s="26"/>
      <c r="IYI224" s="23"/>
      <c r="IYN224" s="26"/>
      <c r="IYR224" s="23"/>
      <c r="IYW224" s="26"/>
      <c r="IZA224" s="23"/>
      <c r="IZF224" s="26"/>
      <c r="IZJ224" s="23"/>
      <c r="IZO224" s="26"/>
      <c r="IZS224" s="23"/>
      <c r="IZX224" s="26"/>
      <c r="JAB224" s="23"/>
      <c r="JAG224" s="26"/>
      <c r="JAK224" s="23"/>
      <c r="JAP224" s="26"/>
      <c r="JAT224" s="23"/>
      <c r="JAY224" s="26"/>
      <c r="JBC224" s="23"/>
      <c r="JBH224" s="26"/>
      <c r="JBL224" s="23"/>
      <c r="JBQ224" s="26"/>
      <c r="JBU224" s="23"/>
      <c r="JBZ224" s="26"/>
      <c r="JCD224" s="23"/>
      <c r="JCI224" s="26"/>
      <c r="JCM224" s="23"/>
      <c r="JCR224" s="26"/>
      <c r="JCV224" s="23"/>
      <c r="JDA224" s="26"/>
      <c r="JDE224" s="23"/>
      <c r="JDJ224" s="26"/>
      <c r="JDN224" s="23"/>
      <c r="JDS224" s="26"/>
      <c r="JDW224" s="23"/>
      <c r="JEB224" s="26"/>
      <c r="JEF224" s="23"/>
      <c r="JEK224" s="26"/>
      <c r="JEO224" s="23"/>
      <c r="JET224" s="26"/>
      <c r="JEX224" s="23"/>
      <c r="JFC224" s="26"/>
      <c r="JFG224" s="23"/>
      <c r="JFL224" s="26"/>
      <c r="JFP224" s="23"/>
      <c r="JFU224" s="26"/>
      <c r="JFY224" s="23"/>
      <c r="JGD224" s="26"/>
      <c r="JGH224" s="23"/>
      <c r="JGM224" s="26"/>
      <c r="JGQ224" s="23"/>
      <c r="JGV224" s="26"/>
      <c r="JGZ224" s="23"/>
      <c r="JHE224" s="26"/>
      <c r="JHI224" s="23"/>
      <c r="JHN224" s="26"/>
      <c r="JHR224" s="23"/>
      <c r="JHW224" s="26"/>
      <c r="JIA224" s="23"/>
      <c r="JIF224" s="26"/>
      <c r="JIJ224" s="23"/>
      <c r="JIO224" s="26"/>
      <c r="JIS224" s="23"/>
      <c r="JIX224" s="26"/>
      <c r="JJB224" s="23"/>
      <c r="JJG224" s="26"/>
      <c r="JJK224" s="23"/>
      <c r="JJP224" s="26"/>
      <c r="JJT224" s="23"/>
      <c r="JJY224" s="26"/>
      <c r="JKC224" s="23"/>
      <c r="JKH224" s="26"/>
      <c r="JKL224" s="23"/>
      <c r="JKQ224" s="26"/>
      <c r="JKU224" s="23"/>
      <c r="JKZ224" s="26"/>
      <c r="JLD224" s="23"/>
      <c r="JLI224" s="26"/>
      <c r="JLM224" s="23"/>
      <c r="JLR224" s="26"/>
      <c r="JLV224" s="23"/>
      <c r="JMA224" s="26"/>
      <c r="JME224" s="23"/>
      <c r="JMJ224" s="26"/>
      <c r="JMN224" s="23"/>
      <c r="JMS224" s="26"/>
      <c r="JMW224" s="23"/>
      <c r="JNB224" s="26"/>
      <c r="JNF224" s="23"/>
      <c r="JNK224" s="26"/>
      <c r="JNO224" s="23"/>
      <c r="JNT224" s="26"/>
      <c r="JNX224" s="23"/>
      <c r="JOC224" s="26"/>
      <c r="JOG224" s="23"/>
      <c r="JOL224" s="26"/>
      <c r="JOP224" s="23"/>
      <c r="JOU224" s="26"/>
      <c r="JOY224" s="23"/>
      <c r="JPD224" s="26"/>
      <c r="JPH224" s="23"/>
      <c r="JPM224" s="26"/>
      <c r="JPQ224" s="23"/>
      <c r="JPV224" s="26"/>
      <c r="JPZ224" s="23"/>
      <c r="JQE224" s="26"/>
      <c r="JQI224" s="23"/>
      <c r="JQN224" s="26"/>
      <c r="JQR224" s="23"/>
      <c r="JQW224" s="26"/>
      <c r="JRA224" s="23"/>
      <c r="JRF224" s="26"/>
      <c r="JRJ224" s="23"/>
      <c r="JRO224" s="26"/>
      <c r="JRS224" s="23"/>
      <c r="JRX224" s="26"/>
      <c r="JSB224" s="23"/>
      <c r="JSG224" s="26"/>
      <c r="JSK224" s="23"/>
      <c r="JSP224" s="26"/>
      <c r="JST224" s="23"/>
      <c r="JSY224" s="26"/>
      <c r="JTC224" s="23"/>
      <c r="JTH224" s="26"/>
      <c r="JTL224" s="23"/>
      <c r="JTQ224" s="26"/>
      <c r="JTU224" s="23"/>
      <c r="JTZ224" s="26"/>
      <c r="JUD224" s="23"/>
      <c r="JUI224" s="26"/>
      <c r="JUM224" s="23"/>
      <c r="JUR224" s="26"/>
      <c r="JUV224" s="23"/>
      <c r="JVA224" s="26"/>
      <c r="JVE224" s="23"/>
      <c r="JVJ224" s="26"/>
      <c r="JVN224" s="23"/>
      <c r="JVS224" s="26"/>
      <c r="JVW224" s="23"/>
      <c r="JWB224" s="26"/>
      <c r="JWF224" s="23"/>
      <c r="JWK224" s="26"/>
      <c r="JWO224" s="23"/>
      <c r="JWT224" s="26"/>
      <c r="JWX224" s="23"/>
      <c r="JXC224" s="26"/>
      <c r="JXG224" s="23"/>
      <c r="JXL224" s="26"/>
      <c r="JXP224" s="23"/>
      <c r="JXU224" s="26"/>
      <c r="JXY224" s="23"/>
      <c r="JYD224" s="26"/>
      <c r="JYH224" s="23"/>
      <c r="JYM224" s="26"/>
      <c r="JYQ224" s="23"/>
      <c r="JYV224" s="26"/>
      <c r="JYZ224" s="23"/>
      <c r="JZE224" s="26"/>
      <c r="JZI224" s="23"/>
      <c r="JZN224" s="26"/>
      <c r="JZR224" s="23"/>
      <c r="JZW224" s="26"/>
      <c r="KAA224" s="23"/>
      <c r="KAF224" s="26"/>
      <c r="KAJ224" s="23"/>
      <c r="KAO224" s="26"/>
      <c r="KAS224" s="23"/>
      <c r="KAX224" s="26"/>
      <c r="KBB224" s="23"/>
      <c r="KBG224" s="26"/>
      <c r="KBK224" s="23"/>
      <c r="KBP224" s="26"/>
      <c r="KBT224" s="23"/>
      <c r="KBY224" s="26"/>
      <c r="KCC224" s="23"/>
      <c r="KCH224" s="26"/>
      <c r="KCL224" s="23"/>
      <c r="KCQ224" s="26"/>
      <c r="KCU224" s="23"/>
      <c r="KCZ224" s="26"/>
      <c r="KDD224" s="23"/>
      <c r="KDI224" s="26"/>
      <c r="KDM224" s="23"/>
      <c r="KDR224" s="26"/>
      <c r="KDV224" s="23"/>
      <c r="KEA224" s="26"/>
      <c r="KEE224" s="23"/>
      <c r="KEJ224" s="26"/>
      <c r="KEN224" s="23"/>
      <c r="KES224" s="26"/>
      <c r="KEW224" s="23"/>
      <c r="KFB224" s="26"/>
      <c r="KFF224" s="23"/>
      <c r="KFK224" s="26"/>
      <c r="KFO224" s="23"/>
      <c r="KFT224" s="26"/>
      <c r="KFX224" s="23"/>
      <c r="KGC224" s="26"/>
      <c r="KGG224" s="23"/>
      <c r="KGL224" s="26"/>
      <c r="KGP224" s="23"/>
      <c r="KGU224" s="26"/>
      <c r="KGY224" s="23"/>
      <c r="KHD224" s="26"/>
      <c r="KHH224" s="23"/>
      <c r="KHM224" s="26"/>
      <c r="KHQ224" s="23"/>
      <c r="KHV224" s="26"/>
      <c r="KHZ224" s="23"/>
      <c r="KIE224" s="26"/>
      <c r="KII224" s="23"/>
      <c r="KIN224" s="26"/>
      <c r="KIR224" s="23"/>
      <c r="KIW224" s="26"/>
      <c r="KJA224" s="23"/>
      <c r="KJF224" s="26"/>
      <c r="KJJ224" s="23"/>
      <c r="KJO224" s="26"/>
      <c r="KJS224" s="23"/>
      <c r="KJX224" s="26"/>
      <c r="KKB224" s="23"/>
      <c r="KKG224" s="26"/>
      <c r="KKK224" s="23"/>
      <c r="KKP224" s="26"/>
      <c r="KKT224" s="23"/>
      <c r="KKY224" s="26"/>
      <c r="KLC224" s="23"/>
      <c r="KLH224" s="26"/>
      <c r="KLL224" s="23"/>
      <c r="KLQ224" s="26"/>
      <c r="KLU224" s="23"/>
      <c r="KLZ224" s="26"/>
      <c r="KMD224" s="23"/>
      <c r="KMI224" s="26"/>
      <c r="KMM224" s="23"/>
      <c r="KMR224" s="26"/>
      <c r="KMV224" s="23"/>
      <c r="KNA224" s="26"/>
      <c r="KNE224" s="23"/>
      <c r="KNJ224" s="26"/>
      <c r="KNN224" s="23"/>
      <c r="KNS224" s="26"/>
      <c r="KNW224" s="23"/>
      <c r="KOB224" s="26"/>
      <c r="KOF224" s="23"/>
      <c r="KOK224" s="26"/>
      <c r="KOO224" s="23"/>
      <c r="KOT224" s="26"/>
      <c r="KOX224" s="23"/>
      <c r="KPC224" s="26"/>
      <c r="KPG224" s="23"/>
      <c r="KPL224" s="26"/>
      <c r="KPP224" s="23"/>
      <c r="KPU224" s="26"/>
      <c r="KPY224" s="23"/>
      <c r="KQD224" s="26"/>
      <c r="KQH224" s="23"/>
      <c r="KQM224" s="26"/>
      <c r="KQQ224" s="23"/>
      <c r="KQV224" s="26"/>
      <c r="KQZ224" s="23"/>
      <c r="KRE224" s="26"/>
      <c r="KRI224" s="23"/>
      <c r="KRN224" s="26"/>
      <c r="KRR224" s="23"/>
      <c r="KRW224" s="26"/>
      <c r="KSA224" s="23"/>
      <c r="KSF224" s="26"/>
      <c r="KSJ224" s="23"/>
      <c r="KSO224" s="26"/>
      <c r="KSS224" s="23"/>
      <c r="KSX224" s="26"/>
      <c r="KTB224" s="23"/>
      <c r="KTG224" s="26"/>
      <c r="KTK224" s="23"/>
      <c r="KTP224" s="26"/>
      <c r="KTT224" s="23"/>
      <c r="KTY224" s="26"/>
      <c r="KUC224" s="23"/>
      <c r="KUH224" s="26"/>
      <c r="KUL224" s="23"/>
      <c r="KUQ224" s="26"/>
      <c r="KUU224" s="23"/>
      <c r="KUZ224" s="26"/>
      <c r="KVD224" s="23"/>
      <c r="KVI224" s="26"/>
      <c r="KVM224" s="23"/>
      <c r="KVR224" s="26"/>
      <c r="KVV224" s="23"/>
      <c r="KWA224" s="26"/>
      <c r="KWE224" s="23"/>
      <c r="KWJ224" s="26"/>
      <c r="KWN224" s="23"/>
      <c r="KWS224" s="26"/>
      <c r="KWW224" s="23"/>
      <c r="KXB224" s="26"/>
      <c r="KXF224" s="23"/>
      <c r="KXK224" s="26"/>
      <c r="KXO224" s="23"/>
      <c r="KXT224" s="26"/>
      <c r="KXX224" s="23"/>
      <c r="KYC224" s="26"/>
      <c r="KYG224" s="23"/>
      <c r="KYL224" s="26"/>
      <c r="KYP224" s="23"/>
      <c r="KYU224" s="26"/>
      <c r="KYY224" s="23"/>
      <c r="KZD224" s="26"/>
      <c r="KZH224" s="23"/>
      <c r="KZM224" s="26"/>
      <c r="KZQ224" s="23"/>
      <c r="KZV224" s="26"/>
      <c r="KZZ224" s="23"/>
      <c r="LAE224" s="26"/>
      <c r="LAI224" s="23"/>
      <c r="LAN224" s="26"/>
      <c r="LAR224" s="23"/>
      <c r="LAW224" s="26"/>
      <c r="LBA224" s="23"/>
      <c r="LBF224" s="26"/>
      <c r="LBJ224" s="23"/>
      <c r="LBO224" s="26"/>
      <c r="LBS224" s="23"/>
      <c r="LBX224" s="26"/>
      <c r="LCB224" s="23"/>
      <c r="LCG224" s="26"/>
      <c r="LCK224" s="23"/>
      <c r="LCP224" s="26"/>
      <c r="LCT224" s="23"/>
      <c r="LCY224" s="26"/>
      <c r="LDC224" s="23"/>
      <c r="LDH224" s="26"/>
      <c r="LDL224" s="23"/>
      <c r="LDQ224" s="26"/>
      <c r="LDU224" s="23"/>
      <c r="LDZ224" s="26"/>
      <c r="LED224" s="23"/>
      <c r="LEI224" s="26"/>
      <c r="LEM224" s="23"/>
      <c r="LER224" s="26"/>
      <c r="LEV224" s="23"/>
      <c r="LFA224" s="26"/>
      <c r="LFE224" s="23"/>
      <c r="LFJ224" s="26"/>
      <c r="LFN224" s="23"/>
      <c r="LFS224" s="26"/>
      <c r="LFW224" s="23"/>
      <c r="LGB224" s="26"/>
      <c r="LGF224" s="23"/>
      <c r="LGK224" s="26"/>
      <c r="LGO224" s="23"/>
      <c r="LGT224" s="26"/>
      <c r="LGX224" s="23"/>
      <c r="LHC224" s="26"/>
      <c r="LHG224" s="23"/>
      <c r="LHL224" s="26"/>
      <c r="LHP224" s="23"/>
      <c r="LHU224" s="26"/>
      <c r="LHY224" s="23"/>
      <c r="LID224" s="26"/>
      <c r="LIH224" s="23"/>
      <c r="LIM224" s="26"/>
      <c r="LIQ224" s="23"/>
      <c r="LIV224" s="26"/>
      <c r="LIZ224" s="23"/>
      <c r="LJE224" s="26"/>
      <c r="LJI224" s="23"/>
      <c r="LJN224" s="26"/>
      <c r="LJR224" s="23"/>
      <c r="LJW224" s="26"/>
      <c r="LKA224" s="23"/>
      <c r="LKF224" s="26"/>
      <c r="LKJ224" s="23"/>
      <c r="LKO224" s="26"/>
      <c r="LKS224" s="23"/>
      <c r="LKX224" s="26"/>
      <c r="LLB224" s="23"/>
      <c r="LLG224" s="26"/>
      <c r="LLK224" s="23"/>
      <c r="LLP224" s="26"/>
      <c r="LLT224" s="23"/>
      <c r="LLY224" s="26"/>
      <c r="LMC224" s="23"/>
      <c r="LMH224" s="26"/>
      <c r="LML224" s="23"/>
      <c r="LMQ224" s="26"/>
      <c r="LMU224" s="23"/>
      <c r="LMZ224" s="26"/>
      <c r="LND224" s="23"/>
      <c r="LNI224" s="26"/>
      <c r="LNM224" s="23"/>
      <c r="LNR224" s="26"/>
      <c r="LNV224" s="23"/>
      <c r="LOA224" s="26"/>
      <c r="LOE224" s="23"/>
      <c r="LOJ224" s="26"/>
      <c r="LON224" s="23"/>
      <c r="LOS224" s="26"/>
      <c r="LOW224" s="23"/>
      <c r="LPB224" s="26"/>
      <c r="LPF224" s="23"/>
      <c r="LPK224" s="26"/>
      <c r="LPO224" s="23"/>
      <c r="LPT224" s="26"/>
      <c r="LPX224" s="23"/>
      <c r="LQC224" s="26"/>
      <c r="LQG224" s="23"/>
      <c r="LQL224" s="26"/>
      <c r="LQP224" s="23"/>
      <c r="LQU224" s="26"/>
      <c r="LQY224" s="23"/>
      <c r="LRD224" s="26"/>
      <c r="LRH224" s="23"/>
      <c r="LRM224" s="26"/>
      <c r="LRQ224" s="23"/>
      <c r="LRV224" s="26"/>
      <c r="LRZ224" s="23"/>
      <c r="LSE224" s="26"/>
      <c r="LSI224" s="23"/>
      <c r="LSN224" s="26"/>
      <c r="LSR224" s="23"/>
      <c r="LSW224" s="26"/>
      <c r="LTA224" s="23"/>
      <c r="LTF224" s="26"/>
      <c r="LTJ224" s="23"/>
      <c r="LTO224" s="26"/>
      <c r="LTS224" s="23"/>
      <c r="LTX224" s="26"/>
      <c r="LUB224" s="23"/>
      <c r="LUG224" s="26"/>
      <c r="LUK224" s="23"/>
      <c r="LUP224" s="26"/>
      <c r="LUT224" s="23"/>
      <c r="LUY224" s="26"/>
      <c r="LVC224" s="23"/>
      <c r="LVH224" s="26"/>
      <c r="LVL224" s="23"/>
      <c r="LVQ224" s="26"/>
      <c r="LVU224" s="23"/>
      <c r="LVZ224" s="26"/>
      <c r="LWD224" s="23"/>
      <c r="LWI224" s="26"/>
      <c r="LWM224" s="23"/>
      <c r="LWR224" s="26"/>
      <c r="LWV224" s="23"/>
      <c r="LXA224" s="26"/>
      <c r="LXE224" s="23"/>
      <c r="LXJ224" s="26"/>
      <c r="LXN224" s="23"/>
      <c r="LXS224" s="26"/>
      <c r="LXW224" s="23"/>
      <c r="LYB224" s="26"/>
      <c r="LYF224" s="23"/>
      <c r="LYK224" s="26"/>
      <c r="LYO224" s="23"/>
      <c r="LYT224" s="26"/>
      <c r="LYX224" s="23"/>
      <c r="LZC224" s="26"/>
      <c r="LZG224" s="23"/>
      <c r="LZL224" s="26"/>
      <c r="LZP224" s="23"/>
      <c r="LZU224" s="26"/>
      <c r="LZY224" s="23"/>
      <c r="MAD224" s="26"/>
      <c r="MAH224" s="23"/>
      <c r="MAM224" s="26"/>
      <c r="MAQ224" s="23"/>
      <c r="MAV224" s="26"/>
      <c r="MAZ224" s="23"/>
      <c r="MBE224" s="26"/>
      <c r="MBI224" s="23"/>
      <c r="MBN224" s="26"/>
      <c r="MBR224" s="23"/>
      <c r="MBW224" s="26"/>
      <c r="MCA224" s="23"/>
      <c r="MCF224" s="26"/>
      <c r="MCJ224" s="23"/>
      <c r="MCO224" s="26"/>
      <c r="MCS224" s="23"/>
      <c r="MCX224" s="26"/>
      <c r="MDB224" s="23"/>
      <c r="MDG224" s="26"/>
      <c r="MDK224" s="23"/>
      <c r="MDP224" s="26"/>
      <c r="MDT224" s="23"/>
      <c r="MDY224" s="26"/>
      <c r="MEC224" s="23"/>
      <c r="MEH224" s="26"/>
      <c r="MEL224" s="23"/>
      <c r="MEQ224" s="26"/>
      <c r="MEU224" s="23"/>
      <c r="MEZ224" s="26"/>
      <c r="MFD224" s="23"/>
      <c r="MFI224" s="26"/>
      <c r="MFM224" s="23"/>
      <c r="MFR224" s="26"/>
      <c r="MFV224" s="23"/>
      <c r="MGA224" s="26"/>
      <c r="MGE224" s="23"/>
      <c r="MGJ224" s="26"/>
      <c r="MGN224" s="23"/>
      <c r="MGS224" s="26"/>
      <c r="MGW224" s="23"/>
      <c r="MHB224" s="26"/>
      <c r="MHF224" s="23"/>
      <c r="MHK224" s="26"/>
      <c r="MHO224" s="23"/>
      <c r="MHT224" s="26"/>
      <c r="MHX224" s="23"/>
      <c r="MIC224" s="26"/>
      <c r="MIG224" s="23"/>
      <c r="MIL224" s="26"/>
      <c r="MIP224" s="23"/>
      <c r="MIU224" s="26"/>
      <c r="MIY224" s="23"/>
      <c r="MJD224" s="26"/>
      <c r="MJH224" s="23"/>
      <c r="MJM224" s="26"/>
      <c r="MJQ224" s="23"/>
      <c r="MJV224" s="26"/>
      <c r="MJZ224" s="23"/>
      <c r="MKE224" s="26"/>
      <c r="MKI224" s="23"/>
      <c r="MKN224" s="26"/>
      <c r="MKR224" s="23"/>
      <c r="MKW224" s="26"/>
      <c r="MLA224" s="23"/>
      <c r="MLF224" s="26"/>
      <c r="MLJ224" s="23"/>
      <c r="MLO224" s="26"/>
      <c r="MLS224" s="23"/>
      <c r="MLX224" s="26"/>
      <c r="MMB224" s="23"/>
      <c r="MMG224" s="26"/>
      <c r="MMK224" s="23"/>
      <c r="MMP224" s="26"/>
      <c r="MMT224" s="23"/>
      <c r="MMY224" s="26"/>
      <c r="MNC224" s="23"/>
      <c r="MNH224" s="26"/>
      <c r="MNL224" s="23"/>
      <c r="MNQ224" s="26"/>
      <c r="MNU224" s="23"/>
      <c r="MNZ224" s="26"/>
      <c r="MOD224" s="23"/>
      <c r="MOI224" s="26"/>
      <c r="MOM224" s="23"/>
      <c r="MOR224" s="26"/>
      <c r="MOV224" s="23"/>
      <c r="MPA224" s="26"/>
      <c r="MPE224" s="23"/>
      <c r="MPJ224" s="26"/>
      <c r="MPN224" s="23"/>
      <c r="MPS224" s="26"/>
      <c r="MPW224" s="23"/>
      <c r="MQB224" s="26"/>
      <c r="MQF224" s="23"/>
      <c r="MQK224" s="26"/>
      <c r="MQO224" s="23"/>
      <c r="MQT224" s="26"/>
      <c r="MQX224" s="23"/>
      <c r="MRC224" s="26"/>
      <c r="MRG224" s="23"/>
      <c r="MRL224" s="26"/>
      <c r="MRP224" s="23"/>
      <c r="MRU224" s="26"/>
      <c r="MRY224" s="23"/>
      <c r="MSD224" s="26"/>
      <c r="MSH224" s="23"/>
      <c r="MSM224" s="26"/>
      <c r="MSQ224" s="23"/>
      <c r="MSV224" s="26"/>
      <c r="MSZ224" s="23"/>
      <c r="MTE224" s="26"/>
      <c r="MTI224" s="23"/>
      <c r="MTN224" s="26"/>
      <c r="MTR224" s="23"/>
      <c r="MTW224" s="26"/>
      <c r="MUA224" s="23"/>
      <c r="MUF224" s="26"/>
      <c r="MUJ224" s="23"/>
      <c r="MUO224" s="26"/>
      <c r="MUS224" s="23"/>
      <c r="MUX224" s="26"/>
      <c r="MVB224" s="23"/>
      <c r="MVG224" s="26"/>
      <c r="MVK224" s="23"/>
      <c r="MVP224" s="26"/>
      <c r="MVT224" s="23"/>
      <c r="MVY224" s="26"/>
      <c r="MWC224" s="23"/>
      <c r="MWH224" s="26"/>
      <c r="MWL224" s="23"/>
      <c r="MWQ224" s="26"/>
      <c r="MWU224" s="23"/>
      <c r="MWZ224" s="26"/>
      <c r="MXD224" s="23"/>
      <c r="MXI224" s="26"/>
      <c r="MXM224" s="23"/>
      <c r="MXR224" s="26"/>
      <c r="MXV224" s="23"/>
      <c r="MYA224" s="26"/>
      <c r="MYE224" s="23"/>
      <c r="MYJ224" s="26"/>
      <c r="MYN224" s="23"/>
      <c r="MYS224" s="26"/>
      <c r="MYW224" s="23"/>
      <c r="MZB224" s="26"/>
      <c r="MZF224" s="23"/>
      <c r="MZK224" s="26"/>
      <c r="MZO224" s="23"/>
      <c r="MZT224" s="26"/>
      <c r="MZX224" s="23"/>
      <c r="NAC224" s="26"/>
      <c r="NAG224" s="23"/>
      <c r="NAL224" s="26"/>
      <c r="NAP224" s="23"/>
      <c r="NAU224" s="26"/>
      <c r="NAY224" s="23"/>
      <c r="NBD224" s="26"/>
      <c r="NBH224" s="23"/>
      <c r="NBM224" s="26"/>
      <c r="NBQ224" s="23"/>
      <c r="NBV224" s="26"/>
      <c r="NBZ224" s="23"/>
      <c r="NCE224" s="26"/>
      <c r="NCI224" s="23"/>
      <c r="NCN224" s="26"/>
      <c r="NCR224" s="23"/>
      <c r="NCW224" s="26"/>
      <c r="NDA224" s="23"/>
      <c r="NDF224" s="26"/>
      <c r="NDJ224" s="23"/>
      <c r="NDO224" s="26"/>
      <c r="NDS224" s="23"/>
      <c r="NDX224" s="26"/>
      <c r="NEB224" s="23"/>
      <c r="NEG224" s="26"/>
      <c r="NEK224" s="23"/>
      <c r="NEP224" s="26"/>
      <c r="NET224" s="23"/>
      <c r="NEY224" s="26"/>
      <c r="NFC224" s="23"/>
      <c r="NFH224" s="26"/>
      <c r="NFL224" s="23"/>
      <c r="NFQ224" s="26"/>
      <c r="NFU224" s="23"/>
      <c r="NFZ224" s="26"/>
      <c r="NGD224" s="23"/>
      <c r="NGI224" s="26"/>
      <c r="NGM224" s="23"/>
      <c r="NGR224" s="26"/>
      <c r="NGV224" s="23"/>
      <c r="NHA224" s="26"/>
      <c r="NHE224" s="23"/>
      <c r="NHJ224" s="26"/>
      <c r="NHN224" s="23"/>
      <c r="NHS224" s="26"/>
      <c r="NHW224" s="23"/>
      <c r="NIB224" s="26"/>
      <c r="NIF224" s="23"/>
      <c r="NIK224" s="26"/>
      <c r="NIO224" s="23"/>
      <c r="NIT224" s="26"/>
      <c r="NIX224" s="23"/>
      <c r="NJC224" s="26"/>
      <c r="NJG224" s="23"/>
      <c r="NJL224" s="26"/>
      <c r="NJP224" s="23"/>
      <c r="NJU224" s="26"/>
      <c r="NJY224" s="23"/>
      <c r="NKD224" s="26"/>
      <c r="NKH224" s="23"/>
      <c r="NKM224" s="26"/>
      <c r="NKQ224" s="23"/>
      <c r="NKV224" s="26"/>
      <c r="NKZ224" s="23"/>
      <c r="NLE224" s="26"/>
      <c r="NLI224" s="23"/>
      <c r="NLN224" s="26"/>
      <c r="NLR224" s="23"/>
      <c r="NLW224" s="26"/>
      <c r="NMA224" s="23"/>
      <c r="NMF224" s="26"/>
      <c r="NMJ224" s="23"/>
      <c r="NMO224" s="26"/>
      <c r="NMS224" s="23"/>
      <c r="NMX224" s="26"/>
      <c r="NNB224" s="23"/>
      <c r="NNG224" s="26"/>
      <c r="NNK224" s="23"/>
      <c r="NNP224" s="26"/>
      <c r="NNT224" s="23"/>
      <c r="NNY224" s="26"/>
      <c r="NOC224" s="23"/>
      <c r="NOH224" s="26"/>
      <c r="NOL224" s="23"/>
      <c r="NOQ224" s="26"/>
      <c r="NOU224" s="23"/>
      <c r="NOZ224" s="26"/>
      <c r="NPD224" s="23"/>
      <c r="NPI224" s="26"/>
      <c r="NPM224" s="23"/>
      <c r="NPR224" s="26"/>
      <c r="NPV224" s="23"/>
      <c r="NQA224" s="26"/>
      <c r="NQE224" s="23"/>
      <c r="NQJ224" s="26"/>
      <c r="NQN224" s="23"/>
      <c r="NQS224" s="26"/>
      <c r="NQW224" s="23"/>
      <c r="NRB224" s="26"/>
      <c r="NRF224" s="23"/>
      <c r="NRK224" s="26"/>
      <c r="NRO224" s="23"/>
      <c r="NRT224" s="26"/>
      <c r="NRX224" s="23"/>
      <c r="NSC224" s="26"/>
      <c r="NSG224" s="23"/>
      <c r="NSL224" s="26"/>
      <c r="NSP224" s="23"/>
      <c r="NSU224" s="26"/>
      <c r="NSY224" s="23"/>
      <c r="NTD224" s="26"/>
      <c r="NTH224" s="23"/>
      <c r="NTM224" s="26"/>
      <c r="NTQ224" s="23"/>
      <c r="NTV224" s="26"/>
      <c r="NTZ224" s="23"/>
      <c r="NUE224" s="26"/>
      <c r="NUI224" s="23"/>
      <c r="NUN224" s="26"/>
      <c r="NUR224" s="23"/>
      <c r="NUW224" s="26"/>
      <c r="NVA224" s="23"/>
      <c r="NVF224" s="26"/>
      <c r="NVJ224" s="23"/>
      <c r="NVO224" s="26"/>
      <c r="NVS224" s="23"/>
      <c r="NVX224" s="26"/>
      <c r="NWB224" s="23"/>
      <c r="NWG224" s="26"/>
      <c r="NWK224" s="23"/>
      <c r="NWP224" s="26"/>
      <c r="NWT224" s="23"/>
      <c r="NWY224" s="26"/>
      <c r="NXC224" s="23"/>
      <c r="NXH224" s="26"/>
      <c r="NXL224" s="23"/>
      <c r="NXQ224" s="26"/>
      <c r="NXU224" s="23"/>
      <c r="NXZ224" s="26"/>
      <c r="NYD224" s="23"/>
      <c r="NYI224" s="26"/>
      <c r="NYM224" s="23"/>
      <c r="NYR224" s="26"/>
      <c r="NYV224" s="23"/>
      <c r="NZA224" s="26"/>
      <c r="NZE224" s="23"/>
      <c r="NZJ224" s="26"/>
      <c r="NZN224" s="23"/>
      <c r="NZS224" s="26"/>
      <c r="NZW224" s="23"/>
      <c r="OAB224" s="26"/>
      <c r="OAF224" s="23"/>
      <c r="OAK224" s="26"/>
      <c r="OAO224" s="23"/>
      <c r="OAT224" s="26"/>
      <c r="OAX224" s="23"/>
      <c r="OBC224" s="26"/>
      <c r="OBG224" s="23"/>
      <c r="OBL224" s="26"/>
      <c r="OBP224" s="23"/>
      <c r="OBU224" s="26"/>
      <c r="OBY224" s="23"/>
      <c r="OCD224" s="26"/>
      <c r="OCH224" s="23"/>
      <c r="OCM224" s="26"/>
      <c r="OCQ224" s="23"/>
      <c r="OCV224" s="26"/>
      <c r="OCZ224" s="23"/>
      <c r="ODE224" s="26"/>
      <c r="ODI224" s="23"/>
      <c r="ODN224" s="26"/>
      <c r="ODR224" s="23"/>
      <c r="ODW224" s="26"/>
      <c r="OEA224" s="23"/>
      <c r="OEF224" s="26"/>
      <c r="OEJ224" s="23"/>
      <c r="OEO224" s="26"/>
      <c r="OES224" s="23"/>
      <c r="OEX224" s="26"/>
      <c r="OFB224" s="23"/>
      <c r="OFG224" s="26"/>
      <c r="OFK224" s="23"/>
      <c r="OFP224" s="26"/>
      <c r="OFT224" s="23"/>
      <c r="OFY224" s="26"/>
      <c r="OGC224" s="23"/>
      <c r="OGH224" s="26"/>
      <c r="OGL224" s="23"/>
      <c r="OGQ224" s="26"/>
      <c r="OGU224" s="23"/>
      <c r="OGZ224" s="26"/>
      <c r="OHD224" s="23"/>
      <c r="OHI224" s="26"/>
      <c r="OHM224" s="23"/>
      <c r="OHR224" s="26"/>
      <c r="OHV224" s="23"/>
      <c r="OIA224" s="26"/>
      <c r="OIE224" s="23"/>
      <c r="OIJ224" s="26"/>
      <c r="OIN224" s="23"/>
      <c r="OIS224" s="26"/>
      <c r="OIW224" s="23"/>
      <c r="OJB224" s="26"/>
      <c r="OJF224" s="23"/>
      <c r="OJK224" s="26"/>
      <c r="OJO224" s="23"/>
      <c r="OJT224" s="26"/>
      <c r="OJX224" s="23"/>
      <c r="OKC224" s="26"/>
      <c r="OKG224" s="23"/>
      <c r="OKL224" s="26"/>
      <c r="OKP224" s="23"/>
      <c r="OKU224" s="26"/>
      <c r="OKY224" s="23"/>
      <c r="OLD224" s="26"/>
      <c r="OLH224" s="23"/>
      <c r="OLM224" s="26"/>
      <c r="OLQ224" s="23"/>
      <c r="OLV224" s="26"/>
      <c r="OLZ224" s="23"/>
      <c r="OME224" s="26"/>
      <c r="OMI224" s="23"/>
      <c r="OMN224" s="26"/>
      <c r="OMR224" s="23"/>
      <c r="OMW224" s="26"/>
      <c r="ONA224" s="23"/>
      <c r="ONF224" s="26"/>
      <c r="ONJ224" s="23"/>
      <c r="ONO224" s="26"/>
      <c r="ONS224" s="23"/>
      <c r="ONX224" s="26"/>
      <c r="OOB224" s="23"/>
      <c r="OOG224" s="26"/>
      <c r="OOK224" s="23"/>
      <c r="OOP224" s="26"/>
      <c r="OOT224" s="23"/>
      <c r="OOY224" s="26"/>
      <c r="OPC224" s="23"/>
      <c r="OPH224" s="26"/>
      <c r="OPL224" s="23"/>
      <c r="OPQ224" s="26"/>
      <c r="OPU224" s="23"/>
      <c r="OPZ224" s="26"/>
      <c r="OQD224" s="23"/>
      <c r="OQI224" s="26"/>
      <c r="OQM224" s="23"/>
      <c r="OQR224" s="26"/>
      <c r="OQV224" s="23"/>
      <c r="ORA224" s="26"/>
      <c r="ORE224" s="23"/>
      <c r="ORJ224" s="26"/>
      <c r="ORN224" s="23"/>
      <c r="ORS224" s="26"/>
      <c r="ORW224" s="23"/>
      <c r="OSB224" s="26"/>
      <c r="OSF224" s="23"/>
      <c r="OSK224" s="26"/>
      <c r="OSO224" s="23"/>
      <c r="OST224" s="26"/>
      <c r="OSX224" s="23"/>
      <c r="OTC224" s="26"/>
      <c r="OTG224" s="23"/>
      <c r="OTL224" s="26"/>
      <c r="OTP224" s="23"/>
      <c r="OTU224" s="26"/>
      <c r="OTY224" s="23"/>
      <c r="OUD224" s="26"/>
      <c r="OUH224" s="23"/>
      <c r="OUM224" s="26"/>
      <c r="OUQ224" s="23"/>
      <c r="OUV224" s="26"/>
      <c r="OUZ224" s="23"/>
      <c r="OVE224" s="26"/>
      <c r="OVI224" s="23"/>
      <c r="OVN224" s="26"/>
      <c r="OVR224" s="23"/>
      <c r="OVW224" s="26"/>
      <c r="OWA224" s="23"/>
      <c r="OWF224" s="26"/>
      <c r="OWJ224" s="23"/>
      <c r="OWO224" s="26"/>
      <c r="OWS224" s="23"/>
      <c r="OWX224" s="26"/>
      <c r="OXB224" s="23"/>
      <c r="OXG224" s="26"/>
      <c r="OXK224" s="23"/>
      <c r="OXP224" s="26"/>
      <c r="OXT224" s="23"/>
      <c r="OXY224" s="26"/>
      <c r="OYC224" s="23"/>
      <c r="OYH224" s="26"/>
      <c r="OYL224" s="23"/>
      <c r="OYQ224" s="26"/>
      <c r="OYU224" s="23"/>
      <c r="OYZ224" s="26"/>
      <c r="OZD224" s="23"/>
      <c r="OZI224" s="26"/>
      <c r="OZM224" s="23"/>
      <c r="OZR224" s="26"/>
      <c r="OZV224" s="23"/>
      <c r="PAA224" s="26"/>
      <c r="PAE224" s="23"/>
      <c r="PAJ224" s="26"/>
      <c r="PAN224" s="23"/>
      <c r="PAS224" s="26"/>
      <c r="PAW224" s="23"/>
      <c r="PBB224" s="26"/>
      <c r="PBF224" s="23"/>
      <c r="PBK224" s="26"/>
      <c r="PBO224" s="23"/>
      <c r="PBT224" s="26"/>
      <c r="PBX224" s="23"/>
      <c r="PCC224" s="26"/>
      <c r="PCG224" s="23"/>
      <c r="PCL224" s="26"/>
      <c r="PCP224" s="23"/>
      <c r="PCU224" s="26"/>
      <c r="PCY224" s="23"/>
      <c r="PDD224" s="26"/>
      <c r="PDH224" s="23"/>
      <c r="PDM224" s="26"/>
      <c r="PDQ224" s="23"/>
      <c r="PDV224" s="26"/>
      <c r="PDZ224" s="23"/>
      <c r="PEE224" s="26"/>
      <c r="PEI224" s="23"/>
      <c r="PEN224" s="26"/>
      <c r="PER224" s="23"/>
      <c r="PEW224" s="26"/>
      <c r="PFA224" s="23"/>
      <c r="PFF224" s="26"/>
      <c r="PFJ224" s="23"/>
      <c r="PFO224" s="26"/>
      <c r="PFS224" s="23"/>
      <c r="PFX224" s="26"/>
      <c r="PGB224" s="23"/>
      <c r="PGG224" s="26"/>
      <c r="PGK224" s="23"/>
      <c r="PGP224" s="26"/>
      <c r="PGT224" s="23"/>
      <c r="PGY224" s="26"/>
      <c r="PHC224" s="23"/>
      <c r="PHH224" s="26"/>
      <c r="PHL224" s="23"/>
      <c r="PHQ224" s="26"/>
      <c r="PHU224" s="23"/>
      <c r="PHZ224" s="26"/>
      <c r="PID224" s="23"/>
      <c r="PII224" s="26"/>
      <c r="PIM224" s="23"/>
      <c r="PIR224" s="26"/>
      <c r="PIV224" s="23"/>
      <c r="PJA224" s="26"/>
      <c r="PJE224" s="23"/>
      <c r="PJJ224" s="26"/>
      <c r="PJN224" s="23"/>
      <c r="PJS224" s="26"/>
      <c r="PJW224" s="23"/>
      <c r="PKB224" s="26"/>
      <c r="PKF224" s="23"/>
      <c r="PKK224" s="26"/>
      <c r="PKO224" s="23"/>
      <c r="PKT224" s="26"/>
      <c r="PKX224" s="23"/>
      <c r="PLC224" s="26"/>
      <c r="PLG224" s="23"/>
      <c r="PLL224" s="26"/>
      <c r="PLP224" s="23"/>
      <c r="PLU224" s="26"/>
      <c r="PLY224" s="23"/>
      <c r="PMD224" s="26"/>
      <c r="PMH224" s="23"/>
      <c r="PMM224" s="26"/>
      <c r="PMQ224" s="23"/>
      <c r="PMV224" s="26"/>
      <c r="PMZ224" s="23"/>
      <c r="PNE224" s="26"/>
      <c r="PNI224" s="23"/>
      <c r="PNN224" s="26"/>
      <c r="PNR224" s="23"/>
      <c r="PNW224" s="26"/>
      <c r="POA224" s="23"/>
      <c r="POF224" s="26"/>
      <c r="POJ224" s="23"/>
      <c r="POO224" s="26"/>
      <c r="POS224" s="23"/>
      <c r="POX224" s="26"/>
      <c r="PPB224" s="23"/>
      <c r="PPG224" s="26"/>
      <c r="PPK224" s="23"/>
      <c r="PPP224" s="26"/>
      <c r="PPT224" s="23"/>
      <c r="PPY224" s="26"/>
      <c r="PQC224" s="23"/>
      <c r="PQH224" s="26"/>
      <c r="PQL224" s="23"/>
      <c r="PQQ224" s="26"/>
      <c r="PQU224" s="23"/>
      <c r="PQZ224" s="26"/>
      <c r="PRD224" s="23"/>
      <c r="PRI224" s="26"/>
      <c r="PRM224" s="23"/>
      <c r="PRR224" s="26"/>
      <c r="PRV224" s="23"/>
      <c r="PSA224" s="26"/>
      <c r="PSE224" s="23"/>
      <c r="PSJ224" s="26"/>
      <c r="PSN224" s="23"/>
      <c r="PSS224" s="26"/>
      <c r="PSW224" s="23"/>
      <c r="PTB224" s="26"/>
      <c r="PTF224" s="23"/>
      <c r="PTK224" s="26"/>
      <c r="PTO224" s="23"/>
      <c r="PTT224" s="26"/>
      <c r="PTX224" s="23"/>
      <c r="PUC224" s="26"/>
      <c r="PUG224" s="23"/>
      <c r="PUL224" s="26"/>
      <c r="PUP224" s="23"/>
      <c r="PUU224" s="26"/>
      <c r="PUY224" s="23"/>
      <c r="PVD224" s="26"/>
      <c r="PVH224" s="23"/>
      <c r="PVM224" s="26"/>
      <c r="PVQ224" s="23"/>
      <c r="PVV224" s="26"/>
      <c r="PVZ224" s="23"/>
      <c r="PWE224" s="26"/>
      <c r="PWI224" s="23"/>
      <c r="PWN224" s="26"/>
      <c r="PWR224" s="23"/>
      <c r="PWW224" s="26"/>
      <c r="PXA224" s="23"/>
      <c r="PXF224" s="26"/>
      <c r="PXJ224" s="23"/>
      <c r="PXO224" s="26"/>
      <c r="PXS224" s="23"/>
      <c r="PXX224" s="26"/>
      <c r="PYB224" s="23"/>
      <c r="PYG224" s="26"/>
      <c r="PYK224" s="23"/>
      <c r="PYP224" s="26"/>
      <c r="PYT224" s="23"/>
      <c r="PYY224" s="26"/>
      <c r="PZC224" s="23"/>
      <c r="PZH224" s="26"/>
      <c r="PZL224" s="23"/>
      <c r="PZQ224" s="26"/>
      <c r="PZU224" s="23"/>
      <c r="PZZ224" s="26"/>
      <c r="QAD224" s="23"/>
      <c r="QAI224" s="26"/>
      <c r="QAM224" s="23"/>
      <c r="QAR224" s="26"/>
      <c r="QAV224" s="23"/>
      <c r="QBA224" s="26"/>
      <c r="QBE224" s="23"/>
      <c r="QBJ224" s="26"/>
      <c r="QBN224" s="23"/>
      <c r="QBS224" s="26"/>
      <c r="QBW224" s="23"/>
      <c r="QCB224" s="26"/>
      <c r="QCF224" s="23"/>
      <c r="QCK224" s="26"/>
      <c r="QCO224" s="23"/>
      <c r="QCT224" s="26"/>
      <c r="QCX224" s="23"/>
      <c r="QDC224" s="26"/>
      <c r="QDG224" s="23"/>
      <c r="QDL224" s="26"/>
      <c r="QDP224" s="23"/>
      <c r="QDU224" s="26"/>
      <c r="QDY224" s="23"/>
      <c r="QED224" s="26"/>
      <c r="QEH224" s="23"/>
      <c r="QEM224" s="26"/>
      <c r="QEQ224" s="23"/>
      <c r="QEV224" s="26"/>
      <c r="QEZ224" s="23"/>
      <c r="QFE224" s="26"/>
      <c r="QFI224" s="23"/>
      <c r="QFN224" s="26"/>
      <c r="QFR224" s="23"/>
      <c r="QFW224" s="26"/>
      <c r="QGA224" s="23"/>
      <c r="QGF224" s="26"/>
      <c r="QGJ224" s="23"/>
      <c r="QGO224" s="26"/>
      <c r="QGS224" s="23"/>
      <c r="QGX224" s="26"/>
      <c r="QHB224" s="23"/>
      <c r="QHG224" s="26"/>
      <c r="QHK224" s="23"/>
      <c r="QHP224" s="26"/>
      <c r="QHT224" s="23"/>
      <c r="QHY224" s="26"/>
      <c r="QIC224" s="23"/>
      <c r="QIH224" s="26"/>
      <c r="QIL224" s="23"/>
      <c r="QIQ224" s="26"/>
      <c r="QIU224" s="23"/>
      <c r="QIZ224" s="26"/>
      <c r="QJD224" s="23"/>
      <c r="QJI224" s="26"/>
      <c r="QJM224" s="23"/>
      <c r="QJR224" s="26"/>
      <c r="QJV224" s="23"/>
      <c r="QKA224" s="26"/>
      <c r="QKE224" s="23"/>
      <c r="QKJ224" s="26"/>
      <c r="QKN224" s="23"/>
      <c r="QKS224" s="26"/>
      <c r="QKW224" s="23"/>
      <c r="QLB224" s="26"/>
      <c r="QLF224" s="23"/>
      <c r="QLK224" s="26"/>
      <c r="QLO224" s="23"/>
      <c r="QLT224" s="26"/>
      <c r="QLX224" s="23"/>
      <c r="QMC224" s="26"/>
      <c r="QMG224" s="23"/>
      <c r="QML224" s="26"/>
      <c r="QMP224" s="23"/>
      <c r="QMU224" s="26"/>
      <c r="QMY224" s="23"/>
      <c r="QND224" s="26"/>
      <c r="QNH224" s="23"/>
      <c r="QNM224" s="26"/>
      <c r="QNQ224" s="23"/>
      <c r="QNV224" s="26"/>
      <c r="QNZ224" s="23"/>
      <c r="QOE224" s="26"/>
      <c r="QOI224" s="23"/>
      <c r="QON224" s="26"/>
      <c r="QOR224" s="23"/>
      <c r="QOW224" s="26"/>
      <c r="QPA224" s="23"/>
      <c r="QPF224" s="26"/>
      <c r="QPJ224" s="23"/>
      <c r="QPO224" s="26"/>
      <c r="QPS224" s="23"/>
      <c r="QPX224" s="26"/>
      <c r="QQB224" s="23"/>
      <c r="QQG224" s="26"/>
      <c r="QQK224" s="23"/>
      <c r="QQP224" s="26"/>
      <c r="QQT224" s="23"/>
      <c r="QQY224" s="26"/>
      <c r="QRC224" s="23"/>
      <c r="QRH224" s="26"/>
      <c r="QRL224" s="23"/>
      <c r="QRQ224" s="26"/>
      <c r="QRU224" s="23"/>
      <c r="QRZ224" s="26"/>
      <c r="QSD224" s="23"/>
      <c r="QSI224" s="26"/>
      <c r="QSM224" s="23"/>
      <c r="QSR224" s="26"/>
      <c r="QSV224" s="23"/>
      <c r="QTA224" s="26"/>
      <c r="QTE224" s="23"/>
      <c r="QTJ224" s="26"/>
      <c r="QTN224" s="23"/>
      <c r="QTS224" s="26"/>
      <c r="QTW224" s="23"/>
      <c r="QUB224" s="26"/>
      <c r="QUF224" s="23"/>
      <c r="QUK224" s="26"/>
      <c r="QUO224" s="23"/>
      <c r="QUT224" s="26"/>
      <c r="QUX224" s="23"/>
      <c r="QVC224" s="26"/>
      <c r="QVG224" s="23"/>
      <c r="QVL224" s="26"/>
      <c r="QVP224" s="23"/>
      <c r="QVU224" s="26"/>
      <c r="QVY224" s="23"/>
      <c r="QWD224" s="26"/>
      <c r="QWH224" s="23"/>
      <c r="QWM224" s="26"/>
      <c r="QWQ224" s="23"/>
      <c r="QWV224" s="26"/>
      <c r="QWZ224" s="23"/>
      <c r="QXE224" s="26"/>
      <c r="QXI224" s="23"/>
      <c r="QXN224" s="26"/>
      <c r="QXR224" s="23"/>
      <c r="QXW224" s="26"/>
      <c r="QYA224" s="23"/>
      <c r="QYF224" s="26"/>
      <c r="QYJ224" s="23"/>
      <c r="QYO224" s="26"/>
      <c r="QYS224" s="23"/>
      <c r="QYX224" s="26"/>
      <c r="QZB224" s="23"/>
      <c r="QZG224" s="26"/>
      <c r="QZK224" s="23"/>
      <c r="QZP224" s="26"/>
      <c r="QZT224" s="23"/>
      <c r="QZY224" s="26"/>
      <c r="RAC224" s="23"/>
      <c r="RAH224" s="26"/>
      <c r="RAL224" s="23"/>
      <c r="RAQ224" s="26"/>
      <c r="RAU224" s="23"/>
      <c r="RAZ224" s="26"/>
      <c r="RBD224" s="23"/>
      <c r="RBI224" s="26"/>
      <c r="RBM224" s="23"/>
      <c r="RBR224" s="26"/>
      <c r="RBV224" s="23"/>
      <c r="RCA224" s="26"/>
      <c r="RCE224" s="23"/>
      <c r="RCJ224" s="26"/>
      <c r="RCN224" s="23"/>
      <c r="RCS224" s="26"/>
      <c r="RCW224" s="23"/>
      <c r="RDB224" s="26"/>
      <c r="RDF224" s="23"/>
      <c r="RDK224" s="26"/>
      <c r="RDO224" s="23"/>
      <c r="RDT224" s="26"/>
      <c r="RDX224" s="23"/>
      <c r="REC224" s="26"/>
      <c r="REG224" s="23"/>
      <c r="REL224" s="26"/>
      <c r="REP224" s="23"/>
      <c r="REU224" s="26"/>
      <c r="REY224" s="23"/>
      <c r="RFD224" s="26"/>
      <c r="RFH224" s="23"/>
      <c r="RFM224" s="26"/>
      <c r="RFQ224" s="23"/>
      <c r="RFV224" s="26"/>
      <c r="RFZ224" s="23"/>
      <c r="RGE224" s="26"/>
      <c r="RGI224" s="23"/>
      <c r="RGN224" s="26"/>
      <c r="RGR224" s="23"/>
      <c r="RGW224" s="26"/>
      <c r="RHA224" s="23"/>
      <c r="RHF224" s="26"/>
      <c r="RHJ224" s="23"/>
      <c r="RHO224" s="26"/>
      <c r="RHS224" s="23"/>
      <c r="RHX224" s="26"/>
      <c r="RIB224" s="23"/>
      <c r="RIG224" s="26"/>
      <c r="RIK224" s="23"/>
      <c r="RIP224" s="26"/>
      <c r="RIT224" s="23"/>
      <c r="RIY224" s="26"/>
      <c r="RJC224" s="23"/>
      <c r="RJH224" s="26"/>
      <c r="RJL224" s="23"/>
      <c r="RJQ224" s="26"/>
      <c r="RJU224" s="23"/>
      <c r="RJZ224" s="26"/>
      <c r="RKD224" s="23"/>
      <c r="RKI224" s="26"/>
      <c r="RKM224" s="23"/>
      <c r="RKR224" s="26"/>
      <c r="RKV224" s="23"/>
      <c r="RLA224" s="26"/>
      <c r="RLE224" s="23"/>
      <c r="RLJ224" s="26"/>
      <c r="RLN224" s="23"/>
      <c r="RLS224" s="26"/>
      <c r="RLW224" s="23"/>
      <c r="RMB224" s="26"/>
      <c r="RMF224" s="23"/>
      <c r="RMK224" s="26"/>
      <c r="RMO224" s="23"/>
      <c r="RMT224" s="26"/>
      <c r="RMX224" s="23"/>
      <c r="RNC224" s="26"/>
      <c r="RNG224" s="23"/>
      <c r="RNL224" s="26"/>
      <c r="RNP224" s="23"/>
      <c r="RNU224" s="26"/>
      <c r="RNY224" s="23"/>
      <c r="ROD224" s="26"/>
      <c r="ROH224" s="23"/>
      <c r="ROM224" s="26"/>
      <c r="ROQ224" s="23"/>
      <c r="ROV224" s="26"/>
      <c r="ROZ224" s="23"/>
      <c r="RPE224" s="26"/>
      <c r="RPI224" s="23"/>
      <c r="RPN224" s="26"/>
      <c r="RPR224" s="23"/>
      <c r="RPW224" s="26"/>
      <c r="RQA224" s="23"/>
      <c r="RQF224" s="26"/>
      <c r="RQJ224" s="23"/>
      <c r="RQO224" s="26"/>
      <c r="RQS224" s="23"/>
      <c r="RQX224" s="26"/>
      <c r="RRB224" s="23"/>
      <c r="RRG224" s="26"/>
      <c r="RRK224" s="23"/>
      <c r="RRP224" s="26"/>
      <c r="RRT224" s="23"/>
      <c r="RRY224" s="26"/>
      <c r="RSC224" s="23"/>
      <c r="RSH224" s="26"/>
      <c r="RSL224" s="23"/>
      <c r="RSQ224" s="26"/>
      <c r="RSU224" s="23"/>
      <c r="RSZ224" s="26"/>
      <c r="RTD224" s="23"/>
      <c r="RTI224" s="26"/>
      <c r="RTM224" s="23"/>
      <c r="RTR224" s="26"/>
      <c r="RTV224" s="23"/>
      <c r="RUA224" s="26"/>
      <c r="RUE224" s="23"/>
      <c r="RUJ224" s="26"/>
      <c r="RUN224" s="23"/>
      <c r="RUS224" s="26"/>
      <c r="RUW224" s="23"/>
      <c r="RVB224" s="26"/>
      <c r="RVF224" s="23"/>
      <c r="RVK224" s="26"/>
      <c r="RVO224" s="23"/>
      <c r="RVT224" s="26"/>
      <c r="RVX224" s="23"/>
      <c r="RWC224" s="26"/>
      <c r="RWG224" s="23"/>
      <c r="RWL224" s="26"/>
      <c r="RWP224" s="23"/>
      <c r="RWU224" s="26"/>
      <c r="RWY224" s="23"/>
      <c r="RXD224" s="26"/>
      <c r="RXH224" s="23"/>
      <c r="RXM224" s="26"/>
      <c r="RXQ224" s="23"/>
      <c r="RXV224" s="26"/>
      <c r="RXZ224" s="23"/>
      <c r="RYE224" s="26"/>
      <c r="RYI224" s="23"/>
      <c r="RYN224" s="26"/>
      <c r="RYR224" s="23"/>
      <c r="RYW224" s="26"/>
      <c r="RZA224" s="23"/>
      <c r="RZF224" s="26"/>
      <c r="RZJ224" s="23"/>
      <c r="RZO224" s="26"/>
      <c r="RZS224" s="23"/>
      <c r="RZX224" s="26"/>
      <c r="SAB224" s="23"/>
      <c r="SAG224" s="26"/>
      <c r="SAK224" s="23"/>
      <c r="SAP224" s="26"/>
      <c r="SAT224" s="23"/>
      <c r="SAY224" s="26"/>
      <c r="SBC224" s="23"/>
      <c r="SBH224" s="26"/>
      <c r="SBL224" s="23"/>
      <c r="SBQ224" s="26"/>
      <c r="SBU224" s="23"/>
      <c r="SBZ224" s="26"/>
      <c r="SCD224" s="23"/>
      <c r="SCI224" s="26"/>
      <c r="SCM224" s="23"/>
      <c r="SCR224" s="26"/>
      <c r="SCV224" s="23"/>
      <c r="SDA224" s="26"/>
      <c r="SDE224" s="23"/>
      <c r="SDJ224" s="26"/>
      <c r="SDN224" s="23"/>
      <c r="SDS224" s="26"/>
      <c r="SDW224" s="23"/>
      <c r="SEB224" s="26"/>
      <c r="SEF224" s="23"/>
      <c r="SEK224" s="26"/>
      <c r="SEO224" s="23"/>
      <c r="SET224" s="26"/>
      <c r="SEX224" s="23"/>
      <c r="SFC224" s="26"/>
      <c r="SFG224" s="23"/>
      <c r="SFL224" s="26"/>
      <c r="SFP224" s="23"/>
      <c r="SFU224" s="26"/>
      <c r="SFY224" s="23"/>
      <c r="SGD224" s="26"/>
      <c r="SGH224" s="23"/>
      <c r="SGM224" s="26"/>
      <c r="SGQ224" s="23"/>
      <c r="SGV224" s="26"/>
      <c r="SGZ224" s="23"/>
      <c r="SHE224" s="26"/>
      <c r="SHI224" s="23"/>
      <c r="SHN224" s="26"/>
      <c r="SHR224" s="23"/>
      <c r="SHW224" s="26"/>
      <c r="SIA224" s="23"/>
      <c r="SIF224" s="26"/>
      <c r="SIJ224" s="23"/>
      <c r="SIO224" s="26"/>
      <c r="SIS224" s="23"/>
      <c r="SIX224" s="26"/>
      <c r="SJB224" s="23"/>
      <c r="SJG224" s="26"/>
      <c r="SJK224" s="23"/>
      <c r="SJP224" s="26"/>
      <c r="SJT224" s="23"/>
      <c r="SJY224" s="26"/>
      <c r="SKC224" s="23"/>
      <c r="SKH224" s="26"/>
      <c r="SKL224" s="23"/>
      <c r="SKQ224" s="26"/>
      <c r="SKU224" s="23"/>
      <c r="SKZ224" s="26"/>
      <c r="SLD224" s="23"/>
      <c r="SLI224" s="26"/>
      <c r="SLM224" s="23"/>
      <c r="SLR224" s="26"/>
      <c r="SLV224" s="23"/>
      <c r="SMA224" s="26"/>
      <c r="SME224" s="23"/>
      <c r="SMJ224" s="26"/>
      <c r="SMN224" s="23"/>
      <c r="SMS224" s="26"/>
      <c r="SMW224" s="23"/>
      <c r="SNB224" s="26"/>
      <c r="SNF224" s="23"/>
      <c r="SNK224" s="26"/>
      <c r="SNO224" s="23"/>
      <c r="SNT224" s="26"/>
      <c r="SNX224" s="23"/>
      <c r="SOC224" s="26"/>
      <c r="SOG224" s="23"/>
      <c r="SOL224" s="26"/>
      <c r="SOP224" s="23"/>
      <c r="SOU224" s="26"/>
      <c r="SOY224" s="23"/>
      <c r="SPD224" s="26"/>
      <c r="SPH224" s="23"/>
      <c r="SPM224" s="26"/>
      <c r="SPQ224" s="23"/>
      <c r="SPV224" s="26"/>
      <c r="SPZ224" s="23"/>
      <c r="SQE224" s="26"/>
      <c r="SQI224" s="23"/>
      <c r="SQN224" s="26"/>
      <c r="SQR224" s="23"/>
      <c r="SQW224" s="26"/>
      <c r="SRA224" s="23"/>
      <c r="SRF224" s="26"/>
      <c r="SRJ224" s="23"/>
      <c r="SRO224" s="26"/>
      <c r="SRS224" s="23"/>
      <c r="SRX224" s="26"/>
      <c r="SSB224" s="23"/>
      <c r="SSG224" s="26"/>
      <c r="SSK224" s="23"/>
      <c r="SSP224" s="26"/>
      <c r="SST224" s="23"/>
      <c r="SSY224" s="26"/>
      <c r="STC224" s="23"/>
      <c r="STH224" s="26"/>
      <c r="STL224" s="23"/>
      <c r="STQ224" s="26"/>
      <c r="STU224" s="23"/>
      <c r="STZ224" s="26"/>
      <c r="SUD224" s="23"/>
      <c r="SUI224" s="26"/>
      <c r="SUM224" s="23"/>
      <c r="SUR224" s="26"/>
      <c r="SUV224" s="23"/>
      <c r="SVA224" s="26"/>
      <c r="SVE224" s="23"/>
      <c r="SVJ224" s="26"/>
      <c r="SVN224" s="23"/>
      <c r="SVS224" s="26"/>
      <c r="SVW224" s="23"/>
      <c r="SWB224" s="26"/>
      <c r="SWF224" s="23"/>
      <c r="SWK224" s="26"/>
      <c r="SWO224" s="23"/>
      <c r="SWT224" s="26"/>
      <c r="SWX224" s="23"/>
      <c r="SXC224" s="26"/>
      <c r="SXG224" s="23"/>
      <c r="SXL224" s="26"/>
      <c r="SXP224" s="23"/>
      <c r="SXU224" s="26"/>
      <c r="SXY224" s="23"/>
      <c r="SYD224" s="26"/>
      <c r="SYH224" s="23"/>
      <c r="SYM224" s="26"/>
      <c r="SYQ224" s="23"/>
      <c r="SYV224" s="26"/>
      <c r="SYZ224" s="23"/>
      <c r="SZE224" s="26"/>
      <c r="SZI224" s="23"/>
      <c r="SZN224" s="26"/>
      <c r="SZR224" s="23"/>
      <c r="SZW224" s="26"/>
      <c r="TAA224" s="23"/>
      <c r="TAF224" s="26"/>
      <c r="TAJ224" s="23"/>
      <c r="TAO224" s="26"/>
      <c r="TAS224" s="23"/>
      <c r="TAX224" s="26"/>
      <c r="TBB224" s="23"/>
      <c r="TBG224" s="26"/>
      <c r="TBK224" s="23"/>
      <c r="TBP224" s="26"/>
      <c r="TBT224" s="23"/>
      <c r="TBY224" s="26"/>
      <c r="TCC224" s="23"/>
      <c r="TCH224" s="26"/>
      <c r="TCL224" s="23"/>
      <c r="TCQ224" s="26"/>
      <c r="TCU224" s="23"/>
      <c r="TCZ224" s="26"/>
      <c r="TDD224" s="23"/>
      <c r="TDI224" s="26"/>
      <c r="TDM224" s="23"/>
      <c r="TDR224" s="26"/>
      <c r="TDV224" s="23"/>
      <c r="TEA224" s="26"/>
      <c r="TEE224" s="23"/>
      <c r="TEJ224" s="26"/>
      <c r="TEN224" s="23"/>
      <c r="TES224" s="26"/>
      <c r="TEW224" s="23"/>
      <c r="TFB224" s="26"/>
      <c r="TFF224" s="23"/>
      <c r="TFK224" s="26"/>
      <c r="TFO224" s="23"/>
      <c r="TFT224" s="26"/>
      <c r="TFX224" s="23"/>
      <c r="TGC224" s="26"/>
      <c r="TGG224" s="23"/>
      <c r="TGL224" s="26"/>
      <c r="TGP224" s="23"/>
      <c r="TGU224" s="26"/>
      <c r="TGY224" s="23"/>
      <c r="THD224" s="26"/>
      <c r="THH224" s="23"/>
      <c r="THM224" s="26"/>
      <c r="THQ224" s="23"/>
      <c r="THV224" s="26"/>
      <c r="THZ224" s="23"/>
      <c r="TIE224" s="26"/>
      <c r="TII224" s="23"/>
      <c r="TIN224" s="26"/>
      <c r="TIR224" s="23"/>
      <c r="TIW224" s="26"/>
      <c r="TJA224" s="23"/>
      <c r="TJF224" s="26"/>
      <c r="TJJ224" s="23"/>
      <c r="TJO224" s="26"/>
      <c r="TJS224" s="23"/>
      <c r="TJX224" s="26"/>
      <c r="TKB224" s="23"/>
      <c r="TKG224" s="26"/>
      <c r="TKK224" s="23"/>
      <c r="TKP224" s="26"/>
      <c r="TKT224" s="23"/>
      <c r="TKY224" s="26"/>
      <c r="TLC224" s="23"/>
      <c r="TLH224" s="26"/>
      <c r="TLL224" s="23"/>
      <c r="TLQ224" s="26"/>
      <c r="TLU224" s="23"/>
      <c r="TLZ224" s="26"/>
      <c r="TMD224" s="23"/>
      <c r="TMI224" s="26"/>
      <c r="TMM224" s="23"/>
      <c r="TMR224" s="26"/>
      <c r="TMV224" s="23"/>
      <c r="TNA224" s="26"/>
      <c r="TNE224" s="23"/>
      <c r="TNJ224" s="26"/>
      <c r="TNN224" s="23"/>
      <c r="TNS224" s="26"/>
      <c r="TNW224" s="23"/>
      <c r="TOB224" s="26"/>
      <c r="TOF224" s="23"/>
      <c r="TOK224" s="26"/>
      <c r="TOO224" s="23"/>
      <c r="TOT224" s="26"/>
      <c r="TOX224" s="23"/>
      <c r="TPC224" s="26"/>
      <c r="TPG224" s="23"/>
      <c r="TPL224" s="26"/>
      <c r="TPP224" s="23"/>
      <c r="TPU224" s="26"/>
      <c r="TPY224" s="23"/>
      <c r="TQD224" s="26"/>
      <c r="TQH224" s="23"/>
      <c r="TQM224" s="26"/>
      <c r="TQQ224" s="23"/>
      <c r="TQV224" s="26"/>
      <c r="TQZ224" s="23"/>
      <c r="TRE224" s="26"/>
      <c r="TRI224" s="23"/>
      <c r="TRN224" s="26"/>
      <c r="TRR224" s="23"/>
      <c r="TRW224" s="26"/>
      <c r="TSA224" s="23"/>
      <c r="TSF224" s="26"/>
      <c r="TSJ224" s="23"/>
      <c r="TSO224" s="26"/>
      <c r="TSS224" s="23"/>
      <c r="TSX224" s="26"/>
      <c r="TTB224" s="23"/>
      <c r="TTG224" s="26"/>
      <c r="TTK224" s="23"/>
      <c r="TTP224" s="26"/>
      <c r="TTT224" s="23"/>
      <c r="TTY224" s="26"/>
      <c r="TUC224" s="23"/>
      <c r="TUH224" s="26"/>
      <c r="TUL224" s="23"/>
      <c r="TUQ224" s="26"/>
      <c r="TUU224" s="23"/>
      <c r="TUZ224" s="26"/>
      <c r="TVD224" s="23"/>
      <c r="TVI224" s="26"/>
      <c r="TVM224" s="23"/>
      <c r="TVR224" s="26"/>
      <c r="TVV224" s="23"/>
      <c r="TWA224" s="26"/>
      <c r="TWE224" s="23"/>
      <c r="TWJ224" s="26"/>
      <c r="TWN224" s="23"/>
      <c r="TWS224" s="26"/>
      <c r="TWW224" s="23"/>
      <c r="TXB224" s="26"/>
      <c r="TXF224" s="23"/>
      <c r="TXK224" s="26"/>
      <c r="TXO224" s="23"/>
      <c r="TXT224" s="26"/>
      <c r="TXX224" s="23"/>
      <c r="TYC224" s="26"/>
      <c r="TYG224" s="23"/>
      <c r="TYL224" s="26"/>
      <c r="TYP224" s="23"/>
      <c r="TYU224" s="26"/>
      <c r="TYY224" s="23"/>
      <c r="TZD224" s="26"/>
      <c r="TZH224" s="23"/>
      <c r="TZM224" s="26"/>
      <c r="TZQ224" s="23"/>
      <c r="TZV224" s="26"/>
      <c r="TZZ224" s="23"/>
      <c r="UAE224" s="26"/>
      <c r="UAI224" s="23"/>
      <c r="UAN224" s="26"/>
      <c r="UAR224" s="23"/>
      <c r="UAW224" s="26"/>
      <c r="UBA224" s="23"/>
      <c r="UBF224" s="26"/>
      <c r="UBJ224" s="23"/>
      <c r="UBO224" s="26"/>
      <c r="UBS224" s="23"/>
      <c r="UBX224" s="26"/>
      <c r="UCB224" s="23"/>
      <c r="UCG224" s="26"/>
      <c r="UCK224" s="23"/>
      <c r="UCP224" s="26"/>
      <c r="UCT224" s="23"/>
      <c r="UCY224" s="26"/>
      <c r="UDC224" s="23"/>
      <c r="UDH224" s="26"/>
      <c r="UDL224" s="23"/>
      <c r="UDQ224" s="26"/>
      <c r="UDU224" s="23"/>
      <c r="UDZ224" s="26"/>
      <c r="UED224" s="23"/>
      <c r="UEI224" s="26"/>
      <c r="UEM224" s="23"/>
      <c r="UER224" s="26"/>
      <c r="UEV224" s="23"/>
      <c r="UFA224" s="26"/>
      <c r="UFE224" s="23"/>
      <c r="UFJ224" s="26"/>
      <c r="UFN224" s="23"/>
      <c r="UFS224" s="26"/>
      <c r="UFW224" s="23"/>
      <c r="UGB224" s="26"/>
      <c r="UGF224" s="23"/>
      <c r="UGK224" s="26"/>
      <c r="UGO224" s="23"/>
      <c r="UGT224" s="26"/>
      <c r="UGX224" s="23"/>
      <c r="UHC224" s="26"/>
      <c r="UHG224" s="23"/>
      <c r="UHL224" s="26"/>
      <c r="UHP224" s="23"/>
      <c r="UHU224" s="26"/>
      <c r="UHY224" s="23"/>
      <c r="UID224" s="26"/>
      <c r="UIH224" s="23"/>
      <c r="UIM224" s="26"/>
      <c r="UIQ224" s="23"/>
      <c r="UIV224" s="26"/>
      <c r="UIZ224" s="23"/>
      <c r="UJE224" s="26"/>
      <c r="UJI224" s="23"/>
      <c r="UJN224" s="26"/>
      <c r="UJR224" s="23"/>
      <c r="UJW224" s="26"/>
      <c r="UKA224" s="23"/>
      <c r="UKF224" s="26"/>
      <c r="UKJ224" s="23"/>
      <c r="UKO224" s="26"/>
      <c r="UKS224" s="23"/>
      <c r="UKX224" s="26"/>
      <c r="ULB224" s="23"/>
      <c r="ULG224" s="26"/>
      <c r="ULK224" s="23"/>
      <c r="ULP224" s="26"/>
      <c r="ULT224" s="23"/>
      <c r="ULY224" s="26"/>
      <c r="UMC224" s="23"/>
      <c r="UMH224" s="26"/>
      <c r="UML224" s="23"/>
      <c r="UMQ224" s="26"/>
      <c r="UMU224" s="23"/>
      <c r="UMZ224" s="26"/>
      <c r="UND224" s="23"/>
      <c r="UNI224" s="26"/>
      <c r="UNM224" s="23"/>
      <c r="UNR224" s="26"/>
      <c r="UNV224" s="23"/>
      <c r="UOA224" s="26"/>
      <c r="UOE224" s="23"/>
      <c r="UOJ224" s="26"/>
      <c r="UON224" s="23"/>
      <c r="UOS224" s="26"/>
      <c r="UOW224" s="23"/>
      <c r="UPB224" s="26"/>
      <c r="UPF224" s="23"/>
      <c r="UPK224" s="26"/>
      <c r="UPO224" s="23"/>
      <c r="UPT224" s="26"/>
      <c r="UPX224" s="23"/>
      <c r="UQC224" s="26"/>
      <c r="UQG224" s="23"/>
      <c r="UQL224" s="26"/>
      <c r="UQP224" s="23"/>
      <c r="UQU224" s="26"/>
      <c r="UQY224" s="23"/>
      <c r="URD224" s="26"/>
      <c r="URH224" s="23"/>
      <c r="URM224" s="26"/>
      <c r="URQ224" s="23"/>
      <c r="URV224" s="26"/>
      <c r="URZ224" s="23"/>
      <c r="USE224" s="26"/>
      <c r="USI224" s="23"/>
      <c r="USN224" s="26"/>
      <c r="USR224" s="23"/>
      <c r="USW224" s="26"/>
      <c r="UTA224" s="23"/>
      <c r="UTF224" s="26"/>
      <c r="UTJ224" s="23"/>
      <c r="UTO224" s="26"/>
      <c r="UTS224" s="23"/>
      <c r="UTX224" s="26"/>
      <c r="UUB224" s="23"/>
      <c r="UUG224" s="26"/>
      <c r="UUK224" s="23"/>
      <c r="UUP224" s="26"/>
      <c r="UUT224" s="23"/>
      <c r="UUY224" s="26"/>
      <c r="UVC224" s="23"/>
      <c r="UVH224" s="26"/>
      <c r="UVL224" s="23"/>
      <c r="UVQ224" s="26"/>
      <c r="UVU224" s="23"/>
      <c r="UVZ224" s="26"/>
      <c r="UWD224" s="23"/>
      <c r="UWI224" s="26"/>
      <c r="UWM224" s="23"/>
      <c r="UWR224" s="26"/>
      <c r="UWV224" s="23"/>
      <c r="UXA224" s="26"/>
      <c r="UXE224" s="23"/>
      <c r="UXJ224" s="26"/>
      <c r="UXN224" s="23"/>
      <c r="UXS224" s="26"/>
      <c r="UXW224" s="23"/>
      <c r="UYB224" s="26"/>
      <c r="UYF224" s="23"/>
      <c r="UYK224" s="26"/>
      <c r="UYO224" s="23"/>
      <c r="UYT224" s="26"/>
      <c r="UYX224" s="23"/>
      <c r="UZC224" s="26"/>
      <c r="UZG224" s="23"/>
      <c r="UZL224" s="26"/>
      <c r="UZP224" s="23"/>
      <c r="UZU224" s="26"/>
      <c r="UZY224" s="23"/>
      <c r="VAD224" s="26"/>
      <c r="VAH224" s="23"/>
      <c r="VAM224" s="26"/>
      <c r="VAQ224" s="23"/>
      <c r="VAV224" s="26"/>
      <c r="VAZ224" s="23"/>
      <c r="VBE224" s="26"/>
      <c r="VBI224" s="23"/>
      <c r="VBN224" s="26"/>
      <c r="VBR224" s="23"/>
      <c r="VBW224" s="26"/>
      <c r="VCA224" s="23"/>
      <c r="VCF224" s="26"/>
      <c r="VCJ224" s="23"/>
      <c r="VCO224" s="26"/>
      <c r="VCS224" s="23"/>
      <c r="VCX224" s="26"/>
      <c r="VDB224" s="23"/>
      <c r="VDG224" s="26"/>
      <c r="VDK224" s="23"/>
      <c r="VDP224" s="26"/>
      <c r="VDT224" s="23"/>
      <c r="VDY224" s="26"/>
      <c r="VEC224" s="23"/>
      <c r="VEH224" s="26"/>
      <c r="VEL224" s="23"/>
      <c r="VEQ224" s="26"/>
      <c r="VEU224" s="23"/>
      <c r="VEZ224" s="26"/>
      <c r="VFD224" s="23"/>
      <c r="VFI224" s="26"/>
      <c r="VFM224" s="23"/>
      <c r="VFR224" s="26"/>
      <c r="VFV224" s="23"/>
      <c r="VGA224" s="26"/>
      <c r="VGE224" s="23"/>
      <c r="VGJ224" s="26"/>
      <c r="VGN224" s="23"/>
      <c r="VGS224" s="26"/>
      <c r="VGW224" s="23"/>
      <c r="VHB224" s="26"/>
      <c r="VHF224" s="23"/>
      <c r="VHK224" s="26"/>
      <c r="VHO224" s="23"/>
      <c r="VHT224" s="26"/>
      <c r="VHX224" s="23"/>
      <c r="VIC224" s="26"/>
      <c r="VIG224" s="23"/>
      <c r="VIL224" s="26"/>
      <c r="VIP224" s="23"/>
      <c r="VIU224" s="26"/>
      <c r="VIY224" s="23"/>
      <c r="VJD224" s="26"/>
      <c r="VJH224" s="23"/>
      <c r="VJM224" s="26"/>
      <c r="VJQ224" s="23"/>
      <c r="VJV224" s="26"/>
      <c r="VJZ224" s="23"/>
      <c r="VKE224" s="26"/>
      <c r="VKI224" s="23"/>
      <c r="VKN224" s="26"/>
      <c r="VKR224" s="23"/>
      <c r="VKW224" s="26"/>
      <c r="VLA224" s="23"/>
      <c r="VLF224" s="26"/>
      <c r="VLJ224" s="23"/>
      <c r="VLO224" s="26"/>
      <c r="VLS224" s="23"/>
      <c r="VLX224" s="26"/>
      <c r="VMB224" s="23"/>
      <c r="VMG224" s="26"/>
      <c r="VMK224" s="23"/>
      <c r="VMP224" s="26"/>
      <c r="VMT224" s="23"/>
      <c r="VMY224" s="26"/>
      <c r="VNC224" s="23"/>
      <c r="VNH224" s="26"/>
      <c r="VNL224" s="23"/>
      <c r="VNQ224" s="26"/>
      <c r="VNU224" s="23"/>
      <c r="VNZ224" s="26"/>
      <c r="VOD224" s="23"/>
      <c r="VOI224" s="26"/>
      <c r="VOM224" s="23"/>
      <c r="VOR224" s="26"/>
      <c r="VOV224" s="23"/>
      <c r="VPA224" s="26"/>
      <c r="VPE224" s="23"/>
      <c r="VPJ224" s="26"/>
      <c r="VPN224" s="23"/>
      <c r="VPS224" s="26"/>
      <c r="VPW224" s="23"/>
      <c r="VQB224" s="26"/>
      <c r="VQF224" s="23"/>
      <c r="VQK224" s="26"/>
      <c r="VQO224" s="23"/>
      <c r="VQT224" s="26"/>
      <c r="VQX224" s="23"/>
      <c r="VRC224" s="26"/>
      <c r="VRG224" s="23"/>
      <c r="VRL224" s="26"/>
      <c r="VRP224" s="23"/>
      <c r="VRU224" s="26"/>
      <c r="VRY224" s="23"/>
      <c r="VSD224" s="26"/>
      <c r="VSH224" s="23"/>
      <c r="VSM224" s="26"/>
      <c r="VSQ224" s="23"/>
      <c r="VSV224" s="26"/>
      <c r="VSZ224" s="23"/>
      <c r="VTE224" s="26"/>
      <c r="VTI224" s="23"/>
      <c r="VTN224" s="26"/>
      <c r="VTR224" s="23"/>
      <c r="VTW224" s="26"/>
      <c r="VUA224" s="23"/>
      <c r="VUF224" s="26"/>
      <c r="VUJ224" s="23"/>
      <c r="VUO224" s="26"/>
      <c r="VUS224" s="23"/>
      <c r="VUX224" s="26"/>
      <c r="VVB224" s="23"/>
      <c r="VVG224" s="26"/>
      <c r="VVK224" s="23"/>
      <c r="VVP224" s="26"/>
      <c r="VVT224" s="23"/>
      <c r="VVY224" s="26"/>
      <c r="VWC224" s="23"/>
      <c r="VWH224" s="26"/>
      <c r="VWL224" s="23"/>
      <c r="VWQ224" s="26"/>
      <c r="VWU224" s="23"/>
      <c r="VWZ224" s="26"/>
      <c r="VXD224" s="23"/>
      <c r="VXI224" s="26"/>
      <c r="VXM224" s="23"/>
      <c r="VXR224" s="26"/>
      <c r="VXV224" s="23"/>
      <c r="VYA224" s="26"/>
      <c r="VYE224" s="23"/>
      <c r="VYJ224" s="26"/>
      <c r="VYN224" s="23"/>
      <c r="VYS224" s="26"/>
      <c r="VYW224" s="23"/>
      <c r="VZB224" s="26"/>
      <c r="VZF224" s="23"/>
      <c r="VZK224" s="26"/>
      <c r="VZO224" s="23"/>
      <c r="VZT224" s="26"/>
      <c r="VZX224" s="23"/>
      <c r="WAC224" s="26"/>
      <c r="WAG224" s="23"/>
      <c r="WAL224" s="26"/>
      <c r="WAP224" s="23"/>
      <c r="WAU224" s="26"/>
      <c r="WAY224" s="23"/>
      <c r="WBD224" s="26"/>
      <c r="WBH224" s="23"/>
      <c r="WBM224" s="26"/>
      <c r="WBQ224" s="23"/>
      <c r="WBV224" s="26"/>
      <c r="WBZ224" s="23"/>
      <c r="WCE224" s="26"/>
      <c r="WCI224" s="23"/>
      <c r="WCN224" s="26"/>
      <c r="WCR224" s="23"/>
      <c r="WCW224" s="26"/>
      <c r="WDA224" s="23"/>
      <c r="WDF224" s="26"/>
      <c r="WDJ224" s="23"/>
      <c r="WDO224" s="26"/>
      <c r="WDS224" s="23"/>
      <c r="WDX224" s="26"/>
      <c r="WEB224" s="23"/>
      <c r="WEG224" s="26"/>
      <c r="WEK224" s="23"/>
      <c r="WEP224" s="26"/>
      <c r="WET224" s="23"/>
      <c r="WEY224" s="26"/>
      <c r="WFC224" s="23"/>
      <c r="WFH224" s="26"/>
      <c r="WFL224" s="23"/>
      <c r="WFQ224" s="26"/>
      <c r="WFU224" s="23"/>
      <c r="WFZ224" s="26"/>
      <c r="WGD224" s="23"/>
      <c r="WGI224" s="26"/>
      <c r="WGM224" s="23"/>
      <c r="WGR224" s="26"/>
      <c r="WGV224" s="23"/>
      <c r="WHA224" s="26"/>
      <c r="WHE224" s="23"/>
      <c r="WHJ224" s="26"/>
      <c r="WHN224" s="23"/>
      <c r="WHS224" s="26"/>
      <c r="WHW224" s="23"/>
      <c r="WIB224" s="26"/>
      <c r="WIF224" s="23"/>
      <c r="WIK224" s="26"/>
      <c r="WIO224" s="23"/>
      <c r="WIT224" s="26"/>
      <c r="WIX224" s="23"/>
      <c r="WJC224" s="26"/>
      <c r="WJG224" s="23"/>
      <c r="WJL224" s="26"/>
      <c r="WJP224" s="23"/>
      <c r="WJU224" s="26"/>
      <c r="WJY224" s="23"/>
      <c r="WKD224" s="26"/>
      <c r="WKH224" s="23"/>
      <c r="WKM224" s="26"/>
      <c r="WKQ224" s="23"/>
      <c r="WKV224" s="26"/>
      <c r="WKZ224" s="23"/>
      <c r="WLE224" s="26"/>
      <c r="WLI224" s="23"/>
      <c r="WLN224" s="26"/>
      <c r="WLR224" s="23"/>
      <c r="WLW224" s="26"/>
      <c r="WMA224" s="23"/>
      <c r="WMF224" s="26"/>
      <c r="WMJ224" s="23"/>
      <c r="WMO224" s="26"/>
      <c r="WMS224" s="23"/>
      <c r="WMX224" s="26"/>
      <c r="WNB224" s="23"/>
      <c r="WNG224" s="26"/>
      <c r="WNK224" s="23"/>
      <c r="WNP224" s="26"/>
      <c r="WNT224" s="23"/>
      <c r="WNY224" s="26"/>
      <c r="WOC224" s="23"/>
      <c r="WOH224" s="26"/>
      <c r="WOL224" s="23"/>
      <c r="WOQ224" s="26"/>
      <c r="WOU224" s="23"/>
      <c r="WOZ224" s="26"/>
      <c r="WPD224" s="23"/>
      <c r="WPI224" s="26"/>
      <c r="WPM224" s="23"/>
      <c r="WPR224" s="26"/>
      <c r="WPV224" s="23"/>
      <c r="WQA224" s="26"/>
      <c r="WQE224" s="23"/>
      <c r="WQJ224" s="26"/>
      <c r="WQN224" s="23"/>
      <c r="WQS224" s="26"/>
      <c r="WQW224" s="23"/>
      <c r="WRB224" s="26"/>
      <c r="WRF224" s="23"/>
      <c r="WRK224" s="26"/>
      <c r="WRO224" s="23"/>
      <c r="WRT224" s="26"/>
      <c r="WRX224" s="23"/>
      <c r="WSC224" s="26"/>
      <c r="WSG224" s="23"/>
      <c r="WSL224" s="26"/>
      <c r="WSP224" s="23"/>
      <c r="WSU224" s="26"/>
      <c r="WSY224" s="23"/>
      <c r="WTD224" s="26"/>
      <c r="WTH224" s="23"/>
      <c r="WTM224" s="26"/>
      <c r="WTQ224" s="23"/>
      <c r="WTV224" s="26"/>
      <c r="WTZ224" s="23"/>
      <c r="WUE224" s="26"/>
      <c r="WUI224" s="23"/>
      <c r="WUN224" s="26"/>
      <c r="WUR224" s="23"/>
      <c r="WUW224" s="26"/>
      <c r="WVA224" s="23"/>
      <c r="WVF224" s="26"/>
      <c r="WVJ224" s="23"/>
      <c r="WVO224" s="26"/>
      <c r="WVS224" s="23"/>
      <c r="WVX224" s="26"/>
      <c r="WWB224" s="23"/>
      <c r="WWG224" s="26"/>
      <c r="WWK224" s="23"/>
      <c r="WWP224" s="26"/>
      <c r="WWT224" s="23"/>
      <c r="WWY224" s="26"/>
      <c r="WXC224" s="23"/>
      <c r="WXH224" s="26"/>
      <c r="WXL224" s="23"/>
      <c r="WXQ224" s="26"/>
      <c r="WXU224" s="23"/>
      <c r="WXZ224" s="26"/>
      <c r="WYD224" s="23"/>
      <c r="WYI224" s="26"/>
      <c r="WYM224" s="23"/>
      <c r="WYR224" s="26"/>
      <c r="WYV224" s="23"/>
      <c r="WZA224" s="26"/>
      <c r="WZE224" s="23"/>
      <c r="WZJ224" s="26"/>
      <c r="WZN224" s="23"/>
      <c r="WZS224" s="26"/>
      <c r="WZW224" s="23"/>
      <c r="XAB224" s="26"/>
      <c r="XAF224" s="23"/>
      <c r="XAK224" s="26"/>
      <c r="XAO224" s="23"/>
      <c r="XAT224" s="26"/>
      <c r="XAX224" s="23"/>
      <c r="XBC224" s="26"/>
      <c r="XBG224" s="23"/>
      <c r="XBL224" s="26"/>
      <c r="XBP224" s="23"/>
      <c r="XBU224" s="26"/>
      <c r="XBY224" s="23"/>
      <c r="XCD224" s="26"/>
      <c r="XCH224" s="23"/>
      <c r="XCM224" s="26"/>
      <c r="XCQ224" s="23"/>
      <c r="XCV224" s="26"/>
      <c r="XCZ224" s="23"/>
      <c r="XDE224" s="26"/>
      <c r="XDI224" s="23"/>
      <c r="XDN224" s="26"/>
      <c r="XDR224" s="23"/>
      <c r="XDW224" s="26"/>
      <c r="XEA224" s="23"/>
      <c r="XEF224" s="26"/>
      <c r="XEJ224" s="23"/>
      <c r="XEO224" s="26"/>
      <c r="XES224" s="23"/>
      <c r="XEX224" s="26"/>
      <c r="XFB224" s="23"/>
    </row>
    <row r="225" spans="2:1024 1028:2045 2050:3071 3076:4093 4097:5119 5123:6140 6145:7166 7171:8192 8197:9214 9218:10240 10244:11261 11266:12287 12292:13309 13313:14335 14339:15356 15361:16382" x14ac:dyDescent="0.3">
      <c r="B225" s="23"/>
      <c r="K225" s="23"/>
      <c r="P225" s="26"/>
      <c r="T225" s="23"/>
      <c r="Y225" s="26"/>
      <c r="AC225" s="23"/>
      <c r="AH225" s="26"/>
      <c r="AL225" s="23"/>
      <c r="AQ225" s="26"/>
      <c r="AU225" s="23"/>
      <c r="AZ225" s="26"/>
      <c r="BD225" s="23"/>
      <c r="BI225" s="26"/>
      <c r="BM225" s="23"/>
      <c r="BR225" s="26"/>
      <c r="BV225" s="23"/>
      <c r="CA225" s="26"/>
      <c r="CE225" s="23"/>
      <c r="CJ225" s="26"/>
      <c r="CN225" s="23"/>
      <c r="CS225" s="26"/>
      <c r="CW225" s="23"/>
      <c r="DB225" s="26"/>
      <c r="DF225" s="23"/>
      <c r="DK225" s="26"/>
      <c r="DO225" s="23"/>
      <c r="DT225" s="26"/>
      <c r="DX225" s="23"/>
      <c r="EC225" s="26"/>
      <c r="EG225" s="23"/>
      <c r="EL225" s="26"/>
      <c r="EP225" s="23"/>
      <c r="EU225" s="26"/>
      <c r="EY225" s="23"/>
      <c r="FD225" s="26"/>
      <c r="FH225" s="23"/>
      <c r="FM225" s="26"/>
      <c r="FQ225" s="23"/>
      <c r="FV225" s="26"/>
      <c r="FZ225" s="23"/>
      <c r="GE225" s="26"/>
      <c r="GI225" s="23"/>
      <c r="GN225" s="26"/>
      <c r="GR225" s="23"/>
      <c r="GW225" s="26"/>
      <c r="HA225" s="23"/>
      <c r="HF225" s="26"/>
      <c r="HJ225" s="23"/>
      <c r="HO225" s="26"/>
      <c r="HS225" s="23"/>
      <c r="HX225" s="26"/>
      <c r="IB225" s="23"/>
      <c r="IG225" s="26"/>
      <c r="IK225" s="23"/>
      <c r="IP225" s="26"/>
      <c r="IT225" s="23"/>
      <c r="IY225" s="26"/>
      <c r="JC225" s="23"/>
      <c r="JH225" s="26"/>
      <c r="JL225" s="23"/>
      <c r="JQ225" s="26"/>
      <c r="JU225" s="23"/>
      <c r="JZ225" s="26"/>
      <c r="KD225" s="23"/>
      <c r="KI225" s="26"/>
      <c r="KM225" s="23"/>
      <c r="KR225" s="26"/>
      <c r="KV225" s="23"/>
      <c r="LA225" s="26"/>
      <c r="LE225" s="23"/>
      <c r="LJ225" s="26"/>
      <c r="LN225" s="23"/>
      <c r="LS225" s="26"/>
      <c r="LW225" s="23"/>
      <c r="MB225" s="26"/>
      <c r="MF225" s="23"/>
      <c r="MK225" s="26"/>
      <c r="MO225" s="23"/>
      <c r="MT225" s="26"/>
      <c r="MX225" s="23"/>
      <c r="NC225" s="26"/>
      <c r="NG225" s="23"/>
      <c r="NL225" s="26"/>
      <c r="NP225" s="23"/>
      <c r="NU225" s="26"/>
      <c r="NY225" s="23"/>
      <c r="OD225" s="26"/>
      <c r="OH225" s="23"/>
      <c r="OM225" s="26"/>
      <c r="OQ225" s="23"/>
      <c r="OV225" s="26"/>
      <c r="OZ225" s="23"/>
      <c r="PE225" s="26"/>
      <c r="PI225" s="23"/>
      <c r="PN225" s="26"/>
      <c r="PR225" s="23"/>
      <c r="PW225" s="26"/>
      <c r="QA225" s="23"/>
      <c r="QF225" s="26"/>
      <c r="QJ225" s="23"/>
      <c r="QO225" s="26"/>
      <c r="QS225" s="23"/>
      <c r="QX225" s="26"/>
      <c r="RB225" s="23"/>
      <c r="RG225" s="26"/>
      <c r="RK225" s="23"/>
      <c r="RP225" s="26"/>
      <c r="RT225" s="23"/>
      <c r="RY225" s="26"/>
      <c r="SC225" s="23"/>
      <c r="SH225" s="26"/>
      <c r="SL225" s="23"/>
      <c r="SQ225" s="26"/>
      <c r="SU225" s="23"/>
      <c r="SZ225" s="26"/>
      <c r="TD225" s="23"/>
      <c r="TI225" s="26"/>
      <c r="TM225" s="23"/>
      <c r="TR225" s="26"/>
      <c r="TV225" s="23"/>
      <c r="UA225" s="26"/>
      <c r="UE225" s="23"/>
      <c r="UJ225" s="26"/>
      <c r="UN225" s="23"/>
      <c r="US225" s="26"/>
      <c r="UW225" s="23"/>
      <c r="VB225" s="26"/>
      <c r="VF225" s="23"/>
      <c r="VK225" s="26"/>
      <c r="VO225" s="23"/>
      <c r="VT225" s="26"/>
      <c r="VX225" s="23"/>
      <c r="WC225" s="26"/>
      <c r="WG225" s="23"/>
      <c r="WL225" s="26"/>
      <c r="WP225" s="23"/>
      <c r="WU225" s="26"/>
      <c r="WY225" s="23"/>
      <c r="XD225" s="26"/>
      <c r="XH225" s="23"/>
      <c r="XM225" s="26"/>
      <c r="XQ225" s="23"/>
      <c r="XV225" s="26"/>
      <c r="XZ225" s="23"/>
      <c r="YE225" s="26"/>
      <c r="YI225" s="23"/>
      <c r="YN225" s="26"/>
      <c r="YR225" s="23"/>
      <c r="YW225" s="26"/>
      <c r="ZA225" s="23"/>
      <c r="ZF225" s="26"/>
      <c r="ZJ225" s="23"/>
      <c r="ZO225" s="26"/>
      <c r="ZS225" s="23"/>
      <c r="ZX225" s="26"/>
      <c r="AAB225" s="23"/>
      <c r="AAG225" s="26"/>
      <c r="AAK225" s="23"/>
      <c r="AAP225" s="26"/>
      <c r="AAT225" s="23"/>
      <c r="AAY225" s="26"/>
      <c r="ABC225" s="23"/>
      <c r="ABH225" s="26"/>
      <c r="ABL225" s="23"/>
      <c r="ABQ225" s="26"/>
      <c r="ABU225" s="23"/>
      <c r="ABZ225" s="26"/>
      <c r="ACD225" s="23"/>
      <c r="ACI225" s="26"/>
      <c r="ACM225" s="23"/>
      <c r="ACR225" s="26"/>
      <c r="ACV225" s="23"/>
      <c r="ADA225" s="26"/>
      <c r="ADE225" s="23"/>
      <c r="ADJ225" s="26"/>
      <c r="ADN225" s="23"/>
      <c r="ADS225" s="26"/>
      <c r="ADW225" s="23"/>
      <c r="AEB225" s="26"/>
      <c r="AEF225" s="23"/>
      <c r="AEK225" s="26"/>
      <c r="AEO225" s="23"/>
      <c r="AET225" s="26"/>
      <c r="AEX225" s="23"/>
      <c r="AFC225" s="26"/>
      <c r="AFG225" s="23"/>
      <c r="AFL225" s="26"/>
      <c r="AFP225" s="23"/>
      <c r="AFU225" s="26"/>
      <c r="AFY225" s="23"/>
      <c r="AGD225" s="26"/>
      <c r="AGH225" s="23"/>
      <c r="AGM225" s="26"/>
      <c r="AGQ225" s="23"/>
      <c r="AGV225" s="26"/>
      <c r="AGZ225" s="23"/>
      <c r="AHE225" s="26"/>
      <c r="AHI225" s="23"/>
      <c r="AHN225" s="26"/>
      <c r="AHR225" s="23"/>
      <c r="AHW225" s="26"/>
      <c r="AIA225" s="23"/>
      <c r="AIF225" s="26"/>
      <c r="AIJ225" s="23"/>
      <c r="AIO225" s="26"/>
      <c r="AIS225" s="23"/>
      <c r="AIX225" s="26"/>
      <c r="AJB225" s="23"/>
      <c r="AJG225" s="26"/>
      <c r="AJK225" s="23"/>
      <c r="AJP225" s="26"/>
      <c r="AJT225" s="23"/>
      <c r="AJY225" s="26"/>
      <c r="AKC225" s="23"/>
      <c r="AKH225" s="26"/>
      <c r="AKL225" s="23"/>
      <c r="AKQ225" s="26"/>
      <c r="AKU225" s="23"/>
      <c r="AKZ225" s="26"/>
      <c r="ALD225" s="23"/>
      <c r="ALI225" s="26"/>
      <c r="ALM225" s="23"/>
      <c r="ALR225" s="26"/>
      <c r="ALV225" s="23"/>
      <c r="AMA225" s="26"/>
      <c r="AME225" s="23"/>
      <c r="AMJ225" s="26"/>
      <c r="AMN225" s="23"/>
      <c r="AMS225" s="26"/>
      <c r="AMW225" s="23"/>
      <c r="ANB225" s="26"/>
      <c r="ANF225" s="23"/>
      <c r="ANK225" s="26"/>
      <c r="ANO225" s="23"/>
      <c r="ANT225" s="26"/>
      <c r="ANX225" s="23"/>
      <c r="AOC225" s="26"/>
      <c r="AOG225" s="23"/>
      <c r="AOL225" s="26"/>
      <c r="AOP225" s="23"/>
      <c r="AOU225" s="26"/>
      <c r="AOY225" s="23"/>
      <c r="APD225" s="26"/>
      <c r="APH225" s="23"/>
      <c r="APM225" s="26"/>
      <c r="APQ225" s="23"/>
      <c r="APV225" s="26"/>
      <c r="APZ225" s="23"/>
      <c r="AQE225" s="26"/>
      <c r="AQI225" s="23"/>
      <c r="AQN225" s="26"/>
      <c r="AQR225" s="23"/>
      <c r="AQW225" s="26"/>
      <c r="ARA225" s="23"/>
      <c r="ARF225" s="26"/>
      <c r="ARJ225" s="23"/>
      <c r="ARO225" s="26"/>
      <c r="ARS225" s="23"/>
      <c r="ARX225" s="26"/>
      <c r="ASB225" s="23"/>
      <c r="ASG225" s="26"/>
      <c r="ASK225" s="23"/>
      <c r="ASP225" s="26"/>
      <c r="AST225" s="23"/>
      <c r="ASY225" s="26"/>
      <c r="ATC225" s="23"/>
      <c r="ATH225" s="26"/>
      <c r="ATL225" s="23"/>
      <c r="ATQ225" s="26"/>
      <c r="ATU225" s="23"/>
      <c r="ATZ225" s="26"/>
      <c r="AUD225" s="23"/>
      <c r="AUI225" s="26"/>
      <c r="AUM225" s="23"/>
      <c r="AUR225" s="26"/>
      <c r="AUV225" s="23"/>
      <c r="AVA225" s="26"/>
      <c r="AVE225" s="23"/>
      <c r="AVJ225" s="26"/>
      <c r="AVN225" s="23"/>
      <c r="AVS225" s="26"/>
      <c r="AVW225" s="23"/>
      <c r="AWB225" s="26"/>
      <c r="AWF225" s="23"/>
      <c r="AWK225" s="26"/>
      <c r="AWO225" s="23"/>
      <c r="AWT225" s="26"/>
      <c r="AWX225" s="23"/>
      <c r="AXC225" s="26"/>
      <c r="AXG225" s="23"/>
      <c r="AXL225" s="26"/>
      <c r="AXP225" s="23"/>
      <c r="AXU225" s="26"/>
      <c r="AXY225" s="23"/>
      <c r="AYD225" s="26"/>
      <c r="AYH225" s="23"/>
      <c r="AYM225" s="26"/>
      <c r="AYQ225" s="23"/>
      <c r="AYV225" s="26"/>
      <c r="AYZ225" s="23"/>
      <c r="AZE225" s="26"/>
      <c r="AZI225" s="23"/>
      <c r="AZN225" s="26"/>
      <c r="AZR225" s="23"/>
      <c r="AZW225" s="26"/>
      <c r="BAA225" s="23"/>
      <c r="BAF225" s="26"/>
      <c r="BAJ225" s="23"/>
      <c r="BAO225" s="26"/>
      <c r="BAS225" s="23"/>
      <c r="BAX225" s="26"/>
      <c r="BBB225" s="23"/>
      <c r="BBG225" s="26"/>
      <c r="BBK225" s="23"/>
      <c r="BBP225" s="26"/>
      <c r="BBT225" s="23"/>
      <c r="BBY225" s="26"/>
      <c r="BCC225" s="23"/>
      <c r="BCH225" s="26"/>
      <c r="BCL225" s="23"/>
      <c r="BCQ225" s="26"/>
      <c r="BCU225" s="23"/>
      <c r="BCZ225" s="26"/>
      <c r="BDD225" s="23"/>
      <c r="BDI225" s="26"/>
      <c r="BDM225" s="23"/>
      <c r="BDR225" s="26"/>
      <c r="BDV225" s="23"/>
      <c r="BEA225" s="26"/>
      <c r="BEE225" s="23"/>
      <c r="BEJ225" s="26"/>
      <c r="BEN225" s="23"/>
      <c r="BES225" s="26"/>
      <c r="BEW225" s="23"/>
      <c r="BFB225" s="26"/>
      <c r="BFF225" s="23"/>
      <c r="BFK225" s="26"/>
      <c r="BFO225" s="23"/>
      <c r="BFT225" s="26"/>
      <c r="BFX225" s="23"/>
      <c r="BGC225" s="26"/>
      <c r="BGG225" s="23"/>
      <c r="BGL225" s="26"/>
      <c r="BGP225" s="23"/>
      <c r="BGU225" s="26"/>
      <c r="BGY225" s="23"/>
      <c r="BHD225" s="26"/>
      <c r="BHH225" s="23"/>
      <c r="BHM225" s="26"/>
      <c r="BHQ225" s="23"/>
      <c r="BHV225" s="26"/>
      <c r="BHZ225" s="23"/>
      <c r="BIE225" s="26"/>
      <c r="BII225" s="23"/>
      <c r="BIN225" s="26"/>
      <c r="BIR225" s="23"/>
      <c r="BIW225" s="26"/>
      <c r="BJA225" s="23"/>
      <c r="BJF225" s="26"/>
      <c r="BJJ225" s="23"/>
      <c r="BJO225" s="26"/>
      <c r="BJS225" s="23"/>
      <c r="BJX225" s="26"/>
      <c r="BKB225" s="23"/>
      <c r="BKG225" s="26"/>
      <c r="BKK225" s="23"/>
      <c r="BKP225" s="26"/>
      <c r="BKT225" s="23"/>
      <c r="BKY225" s="26"/>
      <c r="BLC225" s="23"/>
      <c r="BLH225" s="26"/>
      <c r="BLL225" s="23"/>
      <c r="BLQ225" s="26"/>
      <c r="BLU225" s="23"/>
      <c r="BLZ225" s="26"/>
      <c r="BMD225" s="23"/>
      <c r="BMI225" s="26"/>
      <c r="BMM225" s="23"/>
      <c r="BMR225" s="26"/>
      <c r="BMV225" s="23"/>
      <c r="BNA225" s="26"/>
      <c r="BNE225" s="23"/>
      <c r="BNJ225" s="26"/>
      <c r="BNN225" s="23"/>
      <c r="BNS225" s="26"/>
      <c r="BNW225" s="23"/>
      <c r="BOB225" s="26"/>
      <c r="BOF225" s="23"/>
      <c r="BOK225" s="26"/>
      <c r="BOO225" s="23"/>
      <c r="BOT225" s="26"/>
      <c r="BOX225" s="23"/>
      <c r="BPC225" s="26"/>
      <c r="BPG225" s="23"/>
      <c r="BPL225" s="26"/>
      <c r="BPP225" s="23"/>
      <c r="BPU225" s="26"/>
      <c r="BPY225" s="23"/>
      <c r="BQD225" s="26"/>
      <c r="BQH225" s="23"/>
      <c r="BQM225" s="26"/>
      <c r="BQQ225" s="23"/>
      <c r="BQV225" s="26"/>
      <c r="BQZ225" s="23"/>
      <c r="BRE225" s="26"/>
      <c r="BRI225" s="23"/>
      <c r="BRN225" s="26"/>
      <c r="BRR225" s="23"/>
      <c r="BRW225" s="26"/>
      <c r="BSA225" s="23"/>
      <c r="BSF225" s="26"/>
      <c r="BSJ225" s="23"/>
      <c r="BSO225" s="26"/>
      <c r="BSS225" s="23"/>
      <c r="BSX225" s="26"/>
      <c r="BTB225" s="23"/>
      <c r="BTG225" s="26"/>
      <c r="BTK225" s="23"/>
      <c r="BTP225" s="26"/>
      <c r="BTT225" s="23"/>
      <c r="BTY225" s="26"/>
      <c r="BUC225" s="23"/>
      <c r="BUH225" s="26"/>
      <c r="BUL225" s="23"/>
      <c r="BUQ225" s="26"/>
      <c r="BUU225" s="23"/>
      <c r="BUZ225" s="26"/>
      <c r="BVD225" s="23"/>
      <c r="BVI225" s="26"/>
      <c r="BVM225" s="23"/>
      <c r="BVR225" s="26"/>
      <c r="BVV225" s="23"/>
      <c r="BWA225" s="26"/>
      <c r="BWE225" s="23"/>
      <c r="BWJ225" s="26"/>
      <c r="BWN225" s="23"/>
      <c r="BWS225" s="26"/>
      <c r="BWW225" s="23"/>
      <c r="BXB225" s="26"/>
      <c r="BXF225" s="23"/>
      <c r="BXK225" s="26"/>
      <c r="BXO225" s="23"/>
      <c r="BXT225" s="26"/>
      <c r="BXX225" s="23"/>
      <c r="BYC225" s="26"/>
      <c r="BYG225" s="23"/>
      <c r="BYL225" s="26"/>
      <c r="BYP225" s="23"/>
      <c r="BYU225" s="26"/>
      <c r="BYY225" s="23"/>
      <c r="BZD225" s="26"/>
      <c r="BZH225" s="23"/>
      <c r="BZM225" s="26"/>
      <c r="BZQ225" s="23"/>
      <c r="BZV225" s="26"/>
      <c r="BZZ225" s="23"/>
      <c r="CAE225" s="26"/>
      <c r="CAI225" s="23"/>
      <c r="CAN225" s="26"/>
      <c r="CAR225" s="23"/>
      <c r="CAW225" s="26"/>
      <c r="CBA225" s="23"/>
      <c r="CBF225" s="26"/>
      <c r="CBJ225" s="23"/>
      <c r="CBO225" s="26"/>
      <c r="CBS225" s="23"/>
      <c r="CBX225" s="26"/>
      <c r="CCB225" s="23"/>
      <c r="CCG225" s="26"/>
      <c r="CCK225" s="23"/>
      <c r="CCP225" s="26"/>
      <c r="CCT225" s="23"/>
      <c r="CCY225" s="26"/>
      <c r="CDC225" s="23"/>
      <c r="CDH225" s="26"/>
      <c r="CDL225" s="23"/>
      <c r="CDQ225" s="26"/>
      <c r="CDU225" s="23"/>
      <c r="CDZ225" s="26"/>
      <c r="CED225" s="23"/>
      <c r="CEI225" s="26"/>
      <c r="CEM225" s="23"/>
      <c r="CER225" s="26"/>
      <c r="CEV225" s="23"/>
      <c r="CFA225" s="26"/>
      <c r="CFE225" s="23"/>
      <c r="CFJ225" s="26"/>
      <c r="CFN225" s="23"/>
      <c r="CFS225" s="26"/>
      <c r="CFW225" s="23"/>
      <c r="CGB225" s="26"/>
      <c r="CGF225" s="23"/>
      <c r="CGK225" s="26"/>
      <c r="CGO225" s="23"/>
      <c r="CGT225" s="26"/>
      <c r="CGX225" s="23"/>
      <c r="CHC225" s="26"/>
      <c r="CHG225" s="23"/>
      <c r="CHL225" s="26"/>
      <c r="CHP225" s="23"/>
      <c r="CHU225" s="26"/>
      <c r="CHY225" s="23"/>
      <c r="CID225" s="26"/>
      <c r="CIH225" s="23"/>
      <c r="CIM225" s="26"/>
      <c r="CIQ225" s="23"/>
      <c r="CIV225" s="26"/>
      <c r="CIZ225" s="23"/>
      <c r="CJE225" s="26"/>
      <c r="CJI225" s="23"/>
      <c r="CJN225" s="26"/>
      <c r="CJR225" s="23"/>
      <c r="CJW225" s="26"/>
      <c r="CKA225" s="23"/>
      <c r="CKF225" s="26"/>
      <c r="CKJ225" s="23"/>
      <c r="CKO225" s="26"/>
      <c r="CKS225" s="23"/>
      <c r="CKX225" s="26"/>
      <c r="CLB225" s="23"/>
      <c r="CLG225" s="26"/>
      <c r="CLK225" s="23"/>
      <c r="CLP225" s="26"/>
      <c r="CLT225" s="23"/>
      <c r="CLY225" s="26"/>
      <c r="CMC225" s="23"/>
      <c r="CMH225" s="26"/>
      <c r="CML225" s="23"/>
      <c r="CMQ225" s="26"/>
      <c r="CMU225" s="23"/>
      <c r="CMZ225" s="26"/>
      <c r="CND225" s="23"/>
      <c r="CNI225" s="26"/>
      <c r="CNM225" s="23"/>
      <c r="CNR225" s="26"/>
      <c r="CNV225" s="23"/>
      <c r="COA225" s="26"/>
      <c r="COE225" s="23"/>
      <c r="COJ225" s="26"/>
      <c r="CON225" s="23"/>
      <c r="COS225" s="26"/>
      <c r="COW225" s="23"/>
      <c r="CPB225" s="26"/>
      <c r="CPF225" s="23"/>
      <c r="CPK225" s="26"/>
      <c r="CPO225" s="23"/>
      <c r="CPT225" s="26"/>
      <c r="CPX225" s="23"/>
      <c r="CQC225" s="26"/>
      <c r="CQG225" s="23"/>
      <c r="CQL225" s="26"/>
      <c r="CQP225" s="23"/>
      <c r="CQU225" s="26"/>
      <c r="CQY225" s="23"/>
      <c r="CRD225" s="26"/>
      <c r="CRH225" s="23"/>
      <c r="CRM225" s="26"/>
      <c r="CRQ225" s="23"/>
      <c r="CRV225" s="26"/>
      <c r="CRZ225" s="23"/>
      <c r="CSE225" s="26"/>
      <c r="CSI225" s="23"/>
      <c r="CSN225" s="26"/>
      <c r="CSR225" s="23"/>
      <c r="CSW225" s="26"/>
      <c r="CTA225" s="23"/>
      <c r="CTF225" s="26"/>
      <c r="CTJ225" s="23"/>
      <c r="CTO225" s="26"/>
      <c r="CTS225" s="23"/>
      <c r="CTX225" s="26"/>
      <c r="CUB225" s="23"/>
      <c r="CUG225" s="26"/>
      <c r="CUK225" s="23"/>
      <c r="CUP225" s="26"/>
      <c r="CUT225" s="23"/>
      <c r="CUY225" s="26"/>
      <c r="CVC225" s="23"/>
      <c r="CVH225" s="26"/>
      <c r="CVL225" s="23"/>
      <c r="CVQ225" s="26"/>
      <c r="CVU225" s="23"/>
      <c r="CVZ225" s="26"/>
      <c r="CWD225" s="23"/>
      <c r="CWI225" s="26"/>
      <c r="CWM225" s="23"/>
      <c r="CWR225" s="26"/>
      <c r="CWV225" s="23"/>
      <c r="CXA225" s="26"/>
      <c r="CXE225" s="23"/>
      <c r="CXJ225" s="26"/>
      <c r="CXN225" s="23"/>
      <c r="CXS225" s="26"/>
      <c r="CXW225" s="23"/>
      <c r="CYB225" s="26"/>
      <c r="CYF225" s="23"/>
      <c r="CYK225" s="26"/>
      <c r="CYO225" s="23"/>
      <c r="CYT225" s="26"/>
      <c r="CYX225" s="23"/>
      <c r="CZC225" s="26"/>
      <c r="CZG225" s="23"/>
      <c r="CZL225" s="26"/>
      <c r="CZP225" s="23"/>
      <c r="CZU225" s="26"/>
      <c r="CZY225" s="23"/>
      <c r="DAD225" s="26"/>
      <c r="DAH225" s="23"/>
      <c r="DAM225" s="26"/>
      <c r="DAQ225" s="23"/>
      <c r="DAV225" s="26"/>
      <c r="DAZ225" s="23"/>
      <c r="DBE225" s="26"/>
      <c r="DBI225" s="23"/>
      <c r="DBN225" s="26"/>
      <c r="DBR225" s="23"/>
      <c r="DBW225" s="26"/>
      <c r="DCA225" s="23"/>
      <c r="DCF225" s="26"/>
      <c r="DCJ225" s="23"/>
      <c r="DCO225" s="26"/>
      <c r="DCS225" s="23"/>
      <c r="DCX225" s="26"/>
      <c r="DDB225" s="23"/>
      <c r="DDG225" s="26"/>
      <c r="DDK225" s="23"/>
      <c r="DDP225" s="26"/>
      <c r="DDT225" s="23"/>
      <c r="DDY225" s="26"/>
      <c r="DEC225" s="23"/>
      <c r="DEH225" s="26"/>
      <c r="DEL225" s="23"/>
      <c r="DEQ225" s="26"/>
      <c r="DEU225" s="23"/>
      <c r="DEZ225" s="26"/>
      <c r="DFD225" s="23"/>
      <c r="DFI225" s="26"/>
      <c r="DFM225" s="23"/>
      <c r="DFR225" s="26"/>
      <c r="DFV225" s="23"/>
      <c r="DGA225" s="26"/>
      <c r="DGE225" s="23"/>
      <c r="DGJ225" s="26"/>
      <c r="DGN225" s="23"/>
      <c r="DGS225" s="26"/>
      <c r="DGW225" s="23"/>
      <c r="DHB225" s="26"/>
      <c r="DHF225" s="23"/>
      <c r="DHK225" s="26"/>
      <c r="DHO225" s="23"/>
      <c r="DHT225" s="26"/>
      <c r="DHX225" s="23"/>
      <c r="DIC225" s="26"/>
      <c r="DIG225" s="23"/>
      <c r="DIL225" s="26"/>
      <c r="DIP225" s="23"/>
      <c r="DIU225" s="26"/>
      <c r="DIY225" s="23"/>
      <c r="DJD225" s="26"/>
      <c r="DJH225" s="23"/>
      <c r="DJM225" s="26"/>
      <c r="DJQ225" s="23"/>
      <c r="DJV225" s="26"/>
      <c r="DJZ225" s="23"/>
      <c r="DKE225" s="26"/>
      <c r="DKI225" s="23"/>
      <c r="DKN225" s="26"/>
      <c r="DKR225" s="23"/>
      <c r="DKW225" s="26"/>
      <c r="DLA225" s="23"/>
      <c r="DLF225" s="26"/>
      <c r="DLJ225" s="23"/>
      <c r="DLO225" s="26"/>
      <c r="DLS225" s="23"/>
      <c r="DLX225" s="26"/>
      <c r="DMB225" s="23"/>
      <c r="DMG225" s="26"/>
      <c r="DMK225" s="23"/>
      <c r="DMP225" s="26"/>
      <c r="DMT225" s="23"/>
      <c r="DMY225" s="26"/>
      <c r="DNC225" s="23"/>
      <c r="DNH225" s="26"/>
      <c r="DNL225" s="23"/>
      <c r="DNQ225" s="26"/>
      <c r="DNU225" s="23"/>
      <c r="DNZ225" s="26"/>
      <c r="DOD225" s="23"/>
      <c r="DOI225" s="26"/>
      <c r="DOM225" s="23"/>
      <c r="DOR225" s="26"/>
      <c r="DOV225" s="23"/>
      <c r="DPA225" s="26"/>
      <c r="DPE225" s="23"/>
      <c r="DPJ225" s="26"/>
      <c r="DPN225" s="23"/>
      <c r="DPS225" s="26"/>
      <c r="DPW225" s="23"/>
      <c r="DQB225" s="26"/>
      <c r="DQF225" s="23"/>
      <c r="DQK225" s="26"/>
      <c r="DQO225" s="23"/>
      <c r="DQT225" s="26"/>
      <c r="DQX225" s="23"/>
      <c r="DRC225" s="26"/>
      <c r="DRG225" s="23"/>
      <c r="DRL225" s="26"/>
      <c r="DRP225" s="23"/>
      <c r="DRU225" s="26"/>
      <c r="DRY225" s="23"/>
      <c r="DSD225" s="26"/>
      <c r="DSH225" s="23"/>
      <c r="DSM225" s="26"/>
      <c r="DSQ225" s="23"/>
      <c r="DSV225" s="26"/>
      <c r="DSZ225" s="23"/>
      <c r="DTE225" s="26"/>
      <c r="DTI225" s="23"/>
      <c r="DTN225" s="26"/>
      <c r="DTR225" s="23"/>
      <c r="DTW225" s="26"/>
      <c r="DUA225" s="23"/>
      <c r="DUF225" s="26"/>
      <c r="DUJ225" s="23"/>
      <c r="DUO225" s="26"/>
      <c r="DUS225" s="23"/>
      <c r="DUX225" s="26"/>
      <c r="DVB225" s="23"/>
      <c r="DVG225" s="26"/>
      <c r="DVK225" s="23"/>
      <c r="DVP225" s="26"/>
      <c r="DVT225" s="23"/>
      <c r="DVY225" s="26"/>
      <c r="DWC225" s="23"/>
      <c r="DWH225" s="26"/>
      <c r="DWL225" s="23"/>
      <c r="DWQ225" s="26"/>
      <c r="DWU225" s="23"/>
      <c r="DWZ225" s="26"/>
      <c r="DXD225" s="23"/>
      <c r="DXI225" s="26"/>
      <c r="DXM225" s="23"/>
      <c r="DXR225" s="26"/>
      <c r="DXV225" s="23"/>
      <c r="DYA225" s="26"/>
      <c r="DYE225" s="23"/>
      <c r="DYJ225" s="26"/>
      <c r="DYN225" s="23"/>
      <c r="DYS225" s="26"/>
      <c r="DYW225" s="23"/>
      <c r="DZB225" s="26"/>
      <c r="DZF225" s="23"/>
      <c r="DZK225" s="26"/>
      <c r="DZO225" s="23"/>
      <c r="DZT225" s="26"/>
      <c r="DZX225" s="23"/>
      <c r="EAC225" s="26"/>
      <c r="EAG225" s="23"/>
      <c r="EAL225" s="26"/>
      <c r="EAP225" s="23"/>
      <c r="EAU225" s="26"/>
      <c r="EAY225" s="23"/>
      <c r="EBD225" s="26"/>
      <c r="EBH225" s="23"/>
      <c r="EBM225" s="26"/>
      <c r="EBQ225" s="23"/>
      <c r="EBV225" s="26"/>
      <c r="EBZ225" s="23"/>
      <c r="ECE225" s="26"/>
      <c r="ECI225" s="23"/>
      <c r="ECN225" s="26"/>
      <c r="ECR225" s="23"/>
      <c r="ECW225" s="26"/>
      <c r="EDA225" s="23"/>
      <c r="EDF225" s="26"/>
      <c r="EDJ225" s="23"/>
      <c r="EDO225" s="26"/>
      <c r="EDS225" s="23"/>
      <c r="EDX225" s="26"/>
      <c r="EEB225" s="23"/>
      <c r="EEG225" s="26"/>
      <c r="EEK225" s="23"/>
      <c r="EEP225" s="26"/>
      <c r="EET225" s="23"/>
      <c r="EEY225" s="26"/>
      <c r="EFC225" s="23"/>
      <c r="EFH225" s="26"/>
      <c r="EFL225" s="23"/>
      <c r="EFQ225" s="26"/>
      <c r="EFU225" s="23"/>
      <c r="EFZ225" s="26"/>
      <c r="EGD225" s="23"/>
      <c r="EGI225" s="26"/>
      <c r="EGM225" s="23"/>
      <c r="EGR225" s="26"/>
      <c r="EGV225" s="23"/>
      <c r="EHA225" s="26"/>
      <c r="EHE225" s="23"/>
      <c r="EHJ225" s="26"/>
      <c r="EHN225" s="23"/>
      <c r="EHS225" s="26"/>
      <c r="EHW225" s="23"/>
      <c r="EIB225" s="26"/>
      <c r="EIF225" s="23"/>
      <c r="EIK225" s="26"/>
      <c r="EIO225" s="23"/>
      <c r="EIT225" s="26"/>
      <c r="EIX225" s="23"/>
      <c r="EJC225" s="26"/>
      <c r="EJG225" s="23"/>
      <c r="EJL225" s="26"/>
      <c r="EJP225" s="23"/>
      <c r="EJU225" s="26"/>
      <c r="EJY225" s="23"/>
      <c r="EKD225" s="26"/>
      <c r="EKH225" s="23"/>
      <c r="EKM225" s="26"/>
      <c r="EKQ225" s="23"/>
      <c r="EKV225" s="26"/>
      <c r="EKZ225" s="23"/>
      <c r="ELE225" s="26"/>
      <c r="ELI225" s="23"/>
      <c r="ELN225" s="26"/>
      <c r="ELR225" s="23"/>
      <c r="ELW225" s="26"/>
      <c r="EMA225" s="23"/>
      <c r="EMF225" s="26"/>
      <c r="EMJ225" s="23"/>
      <c r="EMO225" s="26"/>
      <c r="EMS225" s="23"/>
      <c r="EMX225" s="26"/>
      <c r="ENB225" s="23"/>
      <c r="ENG225" s="26"/>
      <c r="ENK225" s="23"/>
      <c r="ENP225" s="26"/>
      <c r="ENT225" s="23"/>
      <c r="ENY225" s="26"/>
      <c r="EOC225" s="23"/>
      <c r="EOH225" s="26"/>
      <c r="EOL225" s="23"/>
      <c r="EOQ225" s="26"/>
      <c r="EOU225" s="23"/>
      <c r="EOZ225" s="26"/>
      <c r="EPD225" s="23"/>
      <c r="EPI225" s="26"/>
      <c r="EPM225" s="23"/>
      <c r="EPR225" s="26"/>
      <c r="EPV225" s="23"/>
      <c r="EQA225" s="26"/>
      <c r="EQE225" s="23"/>
      <c r="EQJ225" s="26"/>
      <c r="EQN225" s="23"/>
      <c r="EQS225" s="26"/>
      <c r="EQW225" s="23"/>
      <c r="ERB225" s="26"/>
      <c r="ERF225" s="23"/>
      <c r="ERK225" s="26"/>
      <c r="ERO225" s="23"/>
      <c r="ERT225" s="26"/>
      <c r="ERX225" s="23"/>
      <c r="ESC225" s="26"/>
      <c r="ESG225" s="23"/>
      <c r="ESL225" s="26"/>
      <c r="ESP225" s="23"/>
      <c r="ESU225" s="26"/>
      <c r="ESY225" s="23"/>
      <c r="ETD225" s="26"/>
      <c r="ETH225" s="23"/>
      <c r="ETM225" s="26"/>
      <c r="ETQ225" s="23"/>
      <c r="ETV225" s="26"/>
      <c r="ETZ225" s="23"/>
      <c r="EUE225" s="26"/>
      <c r="EUI225" s="23"/>
      <c r="EUN225" s="26"/>
      <c r="EUR225" s="23"/>
      <c r="EUW225" s="26"/>
      <c r="EVA225" s="23"/>
      <c r="EVF225" s="26"/>
      <c r="EVJ225" s="23"/>
      <c r="EVO225" s="26"/>
      <c r="EVS225" s="23"/>
      <c r="EVX225" s="26"/>
      <c r="EWB225" s="23"/>
      <c r="EWG225" s="26"/>
      <c r="EWK225" s="23"/>
      <c r="EWP225" s="26"/>
      <c r="EWT225" s="23"/>
      <c r="EWY225" s="26"/>
      <c r="EXC225" s="23"/>
      <c r="EXH225" s="26"/>
      <c r="EXL225" s="23"/>
      <c r="EXQ225" s="26"/>
      <c r="EXU225" s="23"/>
      <c r="EXZ225" s="26"/>
      <c r="EYD225" s="23"/>
      <c r="EYI225" s="26"/>
      <c r="EYM225" s="23"/>
      <c r="EYR225" s="26"/>
      <c r="EYV225" s="23"/>
      <c r="EZA225" s="26"/>
      <c r="EZE225" s="23"/>
      <c r="EZJ225" s="26"/>
      <c r="EZN225" s="23"/>
      <c r="EZS225" s="26"/>
      <c r="EZW225" s="23"/>
      <c r="FAB225" s="26"/>
      <c r="FAF225" s="23"/>
      <c r="FAK225" s="26"/>
      <c r="FAO225" s="23"/>
      <c r="FAT225" s="26"/>
      <c r="FAX225" s="23"/>
      <c r="FBC225" s="26"/>
      <c r="FBG225" s="23"/>
      <c r="FBL225" s="26"/>
      <c r="FBP225" s="23"/>
      <c r="FBU225" s="26"/>
      <c r="FBY225" s="23"/>
      <c r="FCD225" s="26"/>
      <c r="FCH225" s="23"/>
      <c r="FCM225" s="26"/>
      <c r="FCQ225" s="23"/>
      <c r="FCV225" s="26"/>
      <c r="FCZ225" s="23"/>
      <c r="FDE225" s="26"/>
      <c r="FDI225" s="23"/>
      <c r="FDN225" s="26"/>
      <c r="FDR225" s="23"/>
      <c r="FDW225" s="26"/>
      <c r="FEA225" s="23"/>
      <c r="FEF225" s="26"/>
      <c r="FEJ225" s="23"/>
      <c r="FEO225" s="26"/>
      <c r="FES225" s="23"/>
      <c r="FEX225" s="26"/>
      <c r="FFB225" s="23"/>
      <c r="FFG225" s="26"/>
      <c r="FFK225" s="23"/>
      <c r="FFP225" s="26"/>
      <c r="FFT225" s="23"/>
      <c r="FFY225" s="26"/>
      <c r="FGC225" s="23"/>
      <c r="FGH225" s="26"/>
      <c r="FGL225" s="23"/>
      <c r="FGQ225" s="26"/>
      <c r="FGU225" s="23"/>
      <c r="FGZ225" s="26"/>
      <c r="FHD225" s="23"/>
      <c r="FHI225" s="26"/>
      <c r="FHM225" s="23"/>
      <c r="FHR225" s="26"/>
      <c r="FHV225" s="23"/>
      <c r="FIA225" s="26"/>
      <c r="FIE225" s="23"/>
      <c r="FIJ225" s="26"/>
      <c r="FIN225" s="23"/>
      <c r="FIS225" s="26"/>
      <c r="FIW225" s="23"/>
      <c r="FJB225" s="26"/>
      <c r="FJF225" s="23"/>
      <c r="FJK225" s="26"/>
      <c r="FJO225" s="23"/>
      <c r="FJT225" s="26"/>
      <c r="FJX225" s="23"/>
      <c r="FKC225" s="26"/>
      <c r="FKG225" s="23"/>
      <c r="FKL225" s="26"/>
      <c r="FKP225" s="23"/>
      <c r="FKU225" s="26"/>
      <c r="FKY225" s="23"/>
      <c r="FLD225" s="26"/>
      <c r="FLH225" s="23"/>
      <c r="FLM225" s="26"/>
      <c r="FLQ225" s="23"/>
      <c r="FLV225" s="26"/>
      <c r="FLZ225" s="23"/>
      <c r="FME225" s="26"/>
      <c r="FMI225" s="23"/>
      <c r="FMN225" s="26"/>
      <c r="FMR225" s="23"/>
      <c r="FMW225" s="26"/>
      <c r="FNA225" s="23"/>
      <c r="FNF225" s="26"/>
      <c r="FNJ225" s="23"/>
      <c r="FNO225" s="26"/>
      <c r="FNS225" s="23"/>
      <c r="FNX225" s="26"/>
      <c r="FOB225" s="23"/>
      <c r="FOG225" s="26"/>
      <c r="FOK225" s="23"/>
      <c r="FOP225" s="26"/>
      <c r="FOT225" s="23"/>
      <c r="FOY225" s="26"/>
      <c r="FPC225" s="23"/>
      <c r="FPH225" s="26"/>
      <c r="FPL225" s="23"/>
      <c r="FPQ225" s="26"/>
      <c r="FPU225" s="23"/>
      <c r="FPZ225" s="26"/>
      <c r="FQD225" s="23"/>
      <c r="FQI225" s="26"/>
      <c r="FQM225" s="23"/>
      <c r="FQR225" s="26"/>
      <c r="FQV225" s="23"/>
      <c r="FRA225" s="26"/>
      <c r="FRE225" s="23"/>
      <c r="FRJ225" s="26"/>
      <c r="FRN225" s="23"/>
      <c r="FRS225" s="26"/>
      <c r="FRW225" s="23"/>
      <c r="FSB225" s="26"/>
      <c r="FSF225" s="23"/>
      <c r="FSK225" s="26"/>
      <c r="FSO225" s="23"/>
      <c r="FST225" s="26"/>
      <c r="FSX225" s="23"/>
      <c r="FTC225" s="26"/>
      <c r="FTG225" s="23"/>
      <c r="FTL225" s="26"/>
      <c r="FTP225" s="23"/>
      <c r="FTU225" s="26"/>
      <c r="FTY225" s="23"/>
      <c r="FUD225" s="26"/>
      <c r="FUH225" s="23"/>
      <c r="FUM225" s="26"/>
      <c r="FUQ225" s="23"/>
      <c r="FUV225" s="26"/>
      <c r="FUZ225" s="23"/>
      <c r="FVE225" s="26"/>
      <c r="FVI225" s="23"/>
      <c r="FVN225" s="26"/>
      <c r="FVR225" s="23"/>
      <c r="FVW225" s="26"/>
      <c r="FWA225" s="23"/>
      <c r="FWF225" s="26"/>
      <c r="FWJ225" s="23"/>
      <c r="FWO225" s="26"/>
      <c r="FWS225" s="23"/>
      <c r="FWX225" s="26"/>
      <c r="FXB225" s="23"/>
      <c r="FXG225" s="26"/>
      <c r="FXK225" s="23"/>
      <c r="FXP225" s="26"/>
      <c r="FXT225" s="23"/>
      <c r="FXY225" s="26"/>
      <c r="FYC225" s="23"/>
      <c r="FYH225" s="26"/>
      <c r="FYL225" s="23"/>
      <c r="FYQ225" s="26"/>
      <c r="FYU225" s="23"/>
      <c r="FYZ225" s="26"/>
      <c r="FZD225" s="23"/>
      <c r="FZI225" s="26"/>
      <c r="FZM225" s="23"/>
      <c r="FZR225" s="26"/>
      <c r="FZV225" s="23"/>
      <c r="GAA225" s="26"/>
      <c r="GAE225" s="23"/>
      <c r="GAJ225" s="26"/>
      <c r="GAN225" s="23"/>
      <c r="GAS225" s="26"/>
      <c r="GAW225" s="23"/>
      <c r="GBB225" s="26"/>
      <c r="GBF225" s="23"/>
      <c r="GBK225" s="26"/>
      <c r="GBO225" s="23"/>
      <c r="GBT225" s="26"/>
      <c r="GBX225" s="23"/>
      <c r="GCC225" s="26"/>
      <c r="GCG225" s="23"/>
      <c r="GCL225" s="26"/>
      <c r="GCP225" s="23"/>
      <c r="GCU225" s="26"/>
      <c r="GCY225" s="23"/>
      <c r="GDD225" s="26"/>
      <c r="GDH225" s="23"/>
      <c r="GDM225" s="26"/>
      <c r="GDQ225" s="23"/>
      <c r="GDV225" s="26"/>
      <c r="GDZ225" s="23"/>
      <c r="GEE225" s="26"/>
      <c r="GEI225" s="23"/>
      <c r="GEN225" s="26"/>
      <c r="GER225" s="23"/>
      <c r="GEW225" s="26"/>
      <c r="GFA225" s="23"/>
      <c r="GFF225" s="26"/>
      <c r="GFJ225" s="23"/>
      <c r="GFO225" s="26"/>
      <c r="GFS225" s="23"/>
      <c r="GFX225" s="26"/>
      <c r="GGB225" s="23"/>
      <c r="GGG225" s="26"/>
      <c r="GGK225" s="23"/>
      <c r="GGP225" s="26"/>
      <c r="GGT225" s="23"/>
      <c r="GGY225" s="26"/>
      <c r="GHC225" s="23"/>
      <c r="GHH225" s="26"/>
      <c r="GHL225" s="23"/>
      <c r="GHQ225" s="26"/>
      <c r="GHU225" s="23"/>
      <c r="GHZ225" s="26"/>
      <c r="GID225" s="23"/>
      <c r="GII225" s="26"/>
      <c r="GIM225" s="23"/>
      <c r="GIR225" s="26"/>
      <c r="GIV225" s="23"/>
      <c r="GJA225" s="26"/>
      <c r="GJE225" s="23"/>
      <c r="GJJ225" s="26"/>
      <c r="GJN225" s="23"/>
      <c r="GJS225" s="26"/>
      <c r="GJW225" s="23"/>
      <c r="GKB225" s="26"/>
      <c r="GKF225" s="23"/>
      <c r="GKK225" s="26"/>
      <c r="GKO225" s="23"/>
      <c r="GKT225" s="26"/>
      <c r="GKX225" s="23"/>
      <c r="GLC225" s="26"/>
      <c r="GLG225" s="23"/>
      <c r="GLL225" s="26"/>
      <c r="GLP225" s="23"/>
      <c r="GLU225" s="26"/>
      <c r="GLY225" s="23"/>
      <c r="GMD225" s="26"/>
      <c r="GMH225" s="23"/>
      <c r="GMM225" s="26"/>
      <c r="GMQ225" s="23"/>
      <c r="GMV225" s="26"/>
      <c r="GMZ225" s="23"/>
      <c r="GNE225" s="26"/>
      <c r="GNI225" s="23"/>
      <c r="GNN225" s="26"/>
      <c r="GNR225" s="23"/>
      <c r="GNW225" s="26"/>
      <c r="GOA225" s="23"/>
      <c r="GOF225" s="26"/>
      <c r="GOJ225" s="23"/>
      <c r="GOO225" s="26"/>
      <c r="GOS225" s="23"/>
      <c r="GOX225" s="26"/>
      <c r="GPB225" s="23"/>
      <c r="GPG225" s="26"/>
      <c r="GPK225" s="23"/>
      <c r="GPP225" s="26"/>
      <c r="GPT225" s="23"/>
      <c r="GPY225" s="26"/>
      <c r="GQC225" s="23"/>
      <c r="GQH225" s="26"/>
      <c r="GQL225" s="23"/>
      <c r="GQQ225" s="26"/>
      <c r="GQU225" s="23"/>
      <c r="GQZ225" s="26"/>
      <c r="GRD225" s="23"/>
      <c r="GRI225" s="26"/>
      <c r="GRM225" s="23"/>
      <c r="GRR225" s="26"/>
      <c r="GRV225" s="23"/>
      <c r="GSA225" s="26"/>
      <c r="GSE225" s="23"/>
      <c r="GSJ225" s="26"/>
      <c r="GSN225" s="23"/>
      <c r="GSS225" s="26"/>
      <c r="GSW225" s="23"/>
      <c r="GTB225" s="26"/>
      <c r="GTF225" s="23"/>
      <c r="GTK225" s="26"/>
      <c r="GTO225" s="23"/>
      <c r="GTT225" s="26"/>
      <c r="GTX225" s="23"/>
      <c r="GUC225" s="26"/>
      <c r="GUG225" s="23"/>
      <c r="GUL225" s="26"/>
      <c r="GUP225" s="23"/>
      <c r="GUU225" s="26"/>
      <c r="GUY225" s="23"/>
      <c r="GVD225" s="26"/>
      <c r="GVH225" s="23"/>
      <c r="GVM225" s="26"/>
      <c r="GVQ225" s="23"/>
      <c r="GVV225" s="26"/>
      <c r="GVZ225" s="23"/>
      <c r="GWE225" s="26"/>
      <c r="GWI225" s="23"/>
      <c r="GWN225" s="26"/>
      <c r="GWR225" s="23"/>
      <c r="GWW225" s="26"/>
      <c r="GXA225" s="23"/>
      <c r="GXF225" s="26"/>
      <c r="GXJ225" s="23"/>
      <c r="GXO225" s="26"/>
      <c r="GXS225" s="23"/>
      <c r="GXX225" s="26"/>
      <c r="GYB225" s="23"/>
      <c r="GYG225" s="26"/>
      <c r="GYK225" s="23"/>
      <c r="GYP225" s="26"/>
      <c r="GYT225" s="23"/>
      <c r="GYY225" s="26"/>
      <c r="GZC225" s="23"/>
      <c r="GZH225" s="26"/>
      <c r="GZL225" s="23"/>
      <c r="GZQ225" s="26"/>
      <c r="GZU225" s="23"/>
      <c r="GZZ225" s="26"/>
      <c r="HAD225" s="23"/>
      <c r="HAI225" s="26"/>
      <c r="HAM225" s="23"/>
      <c r="HAR225" s="26"/>
      <c r="HAV225" s="23"/>
      <c r="HBA225" s="26"/>
      <c r="HBE225" s="23"/>
      <c r="HBJ225" s="26"/>
      <c r="HBN225" s="23"/>
      <c r="HBS225" s="26"/>
      <c r="HBW225" s="23"/>
      <c r="HCB225" s="26"/>
      <c r="HCF225" s="23"/>
      <c r="HCK225" s="26"/>
      <c r="HCO225" s="23"/>
      <c r="HCT225" s="26"/>
      <c r="HCX225" s="23"/>
      <c r="HDC225" s="26"/>
      <c r="HDG225" s="23"/>
      <c r="HDL225" s="26"/>
      <c r="HDP225" s="23"/>
      <c r="HDU225" s="26"/>
      <c r="HDY225" s="23"/>
      <c r="HED225" s="26"/>
      <c r="HEH225" s="23"/>
      <c r="HEM225" s="26"/>
      <c r="HEQ225" s="23"/>
      <c r="HEV225" s="26"/>
      <c r="HEZ225" s="23"/>
      <c r="HFE225" s="26"/>
      <c r="HFI225" s="23"/>
      <c r="HFN225" s="26"/>
      <c r="HFR225" s="23"/>
      <c r="HFW225" s="26"/>
      <c r="HGA225" s="23"/>
      <c r="HGF225" s="26"/>
      <c r="HGJ225" s="23"/>
      <c r="HGO225" s="26"/>
      <c r="HGS225" s="23"/>
      <c r="HGX225" s="26"/>
      <c r="HHB225" s="23"/>
      <c r="HHG225" s="26"/>
      <c r="HHK225" s="23"/>
      <c r="HHP225" s="26"/>
      <c r="HHT225" s="23"/>
      <c r="HHY225" s="26"/>
      <c r="HIC225" s="23"/>
      <c r="HIH225" s="26"/>
      <c r="HIL225" s="23"/>
      <c r="HIQ225" s="26"/>
      <c r="HIU225" s="23"/>
      <c r="HIZ225" s="26"/>
      <c r="HJD225" s="23"/>
      <c r="HJI225" s="26"/>
      <c r="HJM225" s="23"/>
      <c r="HJR225" s="26"/>
      <c r="HJV225" s="23"/>
      <c r="HKA225" s="26"/>
      <c r="HKE225" s="23"/>
      <c r="HKJ225" s="26"/>
      <c r="HKN225" s="23"/>
      <c r="HKS225" s="26"/>
      <c r="HKW225" s="23"/>
      <c r="HLB225" s="26"/>
      <c r="HLF225" s="23"/>
      <c r="HLK225" s="26"/>
      <c r="HLO225" s="23"/>
      <c r="HLT225" s="26"/>
      <c r="HLX225" s="23"/>
      <c r="HMC225" s="26"/>
      <c r="HMG225" s="23"/>
      <c r="HML225" s="26"/>
      <c r="HMP225" s="23"/>
      <c r="HMU225" s="26"/>
      <c r="HMY225" s="23"/>
      <c r="HND225" s="26"/>
      <c r="HNH225" s="23"/>
      <c r="HNM225" s="26"/>
      <c r="HNQ225" s="23"/>
      <c r="HNV225" s="26"/>
      <c r="HNZ225" s="23"/>
      <c r="HOE225" s="26"/>
      <c r="HOI225" s="23"/>
      <c r="HON225" s="26"/>
      <c r="HOR225" s="23"/>
      <c r="HOW225" s="26"/>
      <c r="HPA225" s="23"/>
      <c r="HPF225" s="26"/>
      <c r="HPJ225" s="23"/>
      <c r="HPO225" s="26"/>
      <c r="HPS225" s="23"/>
      <c r="HPX225" s="26"/>
      <c r="HQB225" s="23"/>
      <c r="HQG225" s="26"/>
      <c r="HQK225" s="23"/>
      <c r="HQP225" s="26"/>
      <c r="HQT225" s="23"/>
      <c r="HQY225" s="26"/>
      <c r="HRC225" s="23"/>
      <c r="HRH225" s="26"/>
      <c r="HRL225" s="23"/>
      <c r="HRQ225" s="26"/>
      <c r="HRU225" s="23"/>
      <c r="HRZ225" s="26"/>
      <c r="HSD225" s="23"/>
      <c r="HSI225" s="26"/>
      <c r="HSM225" s="23"/>
      <c r="HSR225" s="26"/>
      <c r="HSV225" s="23"/>
      <c r="HTA225" s="26"/>
      <c r="HTE225" s="23"/>
      <c r="HTJ225" s="26"/>
      <c r="HTN225" s="23"/>
      <c r="HTS225" s="26"/>
      <c r="HTW225" s="23"/>
      <c r="HUB225" s="26"/>
      <c r="HUF225" s="23"/>
      <c r="HUK225" s="26"/>
      <c r="HUO225" s="23"/>
      <c r="HUT225" s="26"/>
      <c r="HUX225" s="23"/>
      <c r="HVC225" s="26"/>
      <c r="HVG225" s="23"/>
      <c r="HVL225" s="26"/>
      <c r="HVP225" s="23"/>
      <c r="HVU225" s="26"/>
      <c r="HVY225" s="23"/>
      <c r="HWD225" s="26"/>
      <c r="HWH225" s="23"/>
      <c r="HWM225" s="26"/>
      <c r="HWQ225" s="23"/>
      <c r="HWV225" s="26"/>
      <c r="HWZ225" s="23"/>
      <c r="HXE225" s="26"/>
      <c r="HXI225" s="23"/>
      <c r="HXN225" s="26"/>
      <c r="HXR225" s="23"/>
      <c r="HXW225" s="26"/>
      <c r="HYA225" s="23"/>
      <c r="HYF225" s="26"/>
      <c r="HYJ225" s="23"/>
      <c r="HYO225" s="26"/>
      <c r="HYS225" s="23"/>
      <c r="HYX225" s="26"/>
      <c r="HZB225" s="23"/>
      <c r="HZG225" s="26"/>
      <c r="HZK225" s="23"/>
      <c r="HZP225" s="26"/>
      <c r="HZT225" s="23"/>
      <c r="HZY225" s="26"/>
      <c r="IAC225" s="23"/>
      <c r="IAH225" s="26"/>
      <c r="IAL225" s="23"/>
      <c r="IAQ225" s="26"/>
      <c r="IAU225" s="23"/>
      <c r="IAZ225" s="26"/>
      <c r="IBD225" s="23"/>
      <c r="IBI225" s="26"/>
      <c r="IBM225" s="23"/>
      <c r="IBR225" s="26"/>
      <c r="IBV225" s="23"/>
      <c r="ICA225" s="26"/>
      <c r="ICE225" s="23"/>
      <c r="ICJ225" s="26"/>
      <c r="ICN225" s="23"/>
      <c r="ICS225" s="26"/>
      <c r="ICW225" s="23"/>
      <c r="IDB225" s="26"/>
      <c r="IDF225" s="23"/>
      <c r="IDK225" s="26"/>
      <c r="IDO225" s="23"/>
      <c r="IDT225" s="26"/>
      <c r="IDX225" s="23"/>
      <c r="IEC225" s="26"/>
      <c r="IEG225" s="23"/>
      <c r="IEL225" s="26"/>
      <c r="IEP225" s="23"/>
      <c r="IEU225" s="26"/>
      <c r="IEY225" s="23"/>
      <c r="IFD225" s="26"/>
      <c r="IFH225" s="23"/>
      <c r="IFM225" s="26"/>
      <c r="IFQ225" s="23"/>
      <c r="IFV225" s="26"/>
      <c r="IFZ225" s="23"/>
      <c r="IGE225" s="26"/>
      <c r="IGI225" s="23"/>
      <c r="IGN225" s="26"/>
      <c r="IGR225" s="23"/>
      <c r="IGW225" s="26"/>
      <c r="IHA225" s="23"/>
      <c r="IHF225" s="26"/>
      <c r="IHJ225" s="23"/>
      <c r="IHO225" s="26"/>
      <c r="IHS225" s="23"/>
      <c r="IHX225" s="26"/>
      <c r="IIB225" s="23"/>
      <c r="IIG225" s="26"/>
      <c r="IIK225" s="23"/>
      <c r="IIP225" s="26"/>
      <c r="IIT225" s="23"/>
      <c r="IIY225" s="26"/>
      <c r="IJC225" s="23"/>
      <c r="IJH225" s="26"/>
      <c r="IJL225" s="23"/>
      <c r="IJQ225" s="26"/>
      <c r="IJU225" s="23"/>
      <c r="IJZ225" s="26"/>
      <c r="IKD225" s="23"/>
      <c r="IKI225" s="26"/>
      <c r="IKM225" s="23"/>
      <c r="IKR225" s="26"/>
      <c r="IKV225" s="23"/>
      <c r="ILA225" s="26"/>
      <c r="ILE225" s="23"/>
      <c r="ILJ225" s="26"/>
      <c r="ILN225" s="23"/>
      <c r="ILS225" s="26"/>
      <c r="ILW225" s="23"/>
      <c r="IMB225" s="26"/>
      <c r="IMF225" s="23"/>
      <c r="IMK225" s="26"/>
      <c r="IMO225" s="23"/>
      <c r="IMT225" s="26"/>
      <c r="IMX225" s="23"/>
      <c r="INC225" s="26"/>
      <c r="ING225" s="23"/>
      <c r="INL225" s="26"/>
      <c r="INP225" s="23"/>
      <c r="INU225" s="26"/>
      <c r="INY225" s="23"/>
      <c r="IOD225" s="26"/>
      <c r="IOH225" s="23"/>
      <c r="IOM225" s="26"/>
      <c r="IOQ225" s="23"/>
      <c r="IOV225" s="26"/>
      <c r="IOZ225" s="23"/>
      <c r="IPE225" s="26"/>
      <c r="IPI225" s="23"/>
      <c r="IPN225" s="26"/>
      <c r="IPR225" s="23"/>
      <c r="IPW225" s="26"/>
      <c r="IQA225" s="23"/>
      <c r="IQF225" s="26"/>
      <c r="IQJ225" s="23"/>
      <c r="IQO225" s="26"/>
      <c r="IQS225" s="23"/>
      <c r="IQX225" s="26"/>
      <c r="IRB225" s="23"/>
      <c r="IRG225" s="26"/>
      <c r="IRK225" s="23"/>
      <c r="IRP225" s="26"/>
      <c r="IRT225" s="23"/>
      <c r="IRY225" s="26"/>
      <c r="ISC225" s="23"/>
      <c r="ISH225" s="26"/>
      <c r="ISL225" s="23"/>
      <c r="ISQ225" s="26"/>
      <c r="ISU225" s="23"/>
      <c r="ISZ225" s="26"/>
      <c r="ITD225" s="23"/>
      <c r="ITI225" s="26"/>
      <c r="ITM225" s="23"/>
      <c r="ITR225" s="26"/>
      <c r="ITV225" s="23"/>
      <c r="IUA225" s="26"/>
      <c r="IUE225" s="23"/>
      <c r="IUJ225" s="26"/>
      <c r="IUN225" s="23"/>
      <c r="IUS225" s="26"/>
      <c r="IUW225" s="23"/>
      <c r="IVB225" s="26"/>
      <c r="IVF225" s="23"/>
      <c r="IVK225" s="26"/>
      <c r="IVO225" s="23"/>
      <c r="IVT225" s="26"/>
      <c r="IVX225" s="23"/>
      <c r="IWC225" s="26"/>
      <c r="IWG225" s="23"/>
      <c r="IWL225" s="26"/>
      <c r="IWP225" s="23"/>
      <c r="IWU225" s="26"/>
      <c r="IWY225" s="23"/>
      <c r="IXD225" s="26"/>
      <c r="IXH225" s="23"/>
      <c r="IXM225" s="26"/>
      <c r="IXQ225" s="23"/>
      <c r="IXV225" s="26"/>
      <c r="IXZ225" s="23"/>
      <c r="IYE225" s="26"/>
      <c r="IYI225" s="23"/>
      <c r="IYN225" s="26"/>
      <c r="IYR225" s="23"/>
      <c r="IYW225" s="26"/>
      <c r="IZA225" s="23"/>
      <c r="IZF225" s="26"/>
      <c r="IZJ225" s="23"/>
      <c r="IZO225" s="26"/>
      <c r="IZS225" s="23"/>
      <c r="IZX225" s="26"/>
      <c r="JAB225" s="23"/>
      <c r="JAG225" s="26"/>
      <c r="JAK225" s="23"/>
      <c r="JAP225" s="26"/>
      <c r="JAT225" s="23"/>
      <c r="JAY225" s="26"/>
      <c r="JBC225" s="23"/>
      <c r="JBH225" s="26"/>
      <c r="JBL225" s="23"/>
      <c r="JBQ225" s="26"/>
      <c r="JBU225" s="23"/>
      <c r="JBZ225" s="26"/>
      <c r="JCD225" s="23"/>
      <c r="JCI225" s="26"/>
      <c r="JCM225" s="23"/>
      <c r="JCR225" s="26"/>
      <c r="JCV225" s="23"/>
      <c r="JDA225" s="26"/>
      <c r="JDE225" s="23"/>
      <c r="JDJ225" s="26"/>
      <c r="JDN225" s="23"/>
      <c r="JDS225" s="26"/>
      <c r="JDW225" s="23"/>
      <c r="JEB225" s="26"/>
      <c r="JEF225" s="23"/>
      <c r="JEK225" s="26"/>
      <c r="JEO225" s="23"/>
      <c r="JET225" s="26"/>
      <c r="JEX225" s="23"/>
      <c r="JFC225" s="26"/>
      <c r="JFG225" s="23"/>
      <c r="JFL225" s="26"/>
      <c r="JFP225" s="23"/>
      <c r="JFU225" s="26"/>
      <c r="JFY225" s="23"/>
      <c r="JGD225" s="26"/>
      <c r="JGH225" s="23"/>
      <c r="JGM225" s="26"/>
      <c r="JGQ225" s="23"/>
      <c r="JGV225" s="26"/>
      <c r="JGZ225" s="23"/>
      <c r="JHE225" s="26"/>
      <c r="JHI225" s="23"/>
      <c r="JHN225" s="26"/>
      <c r="JHR225" s="23"/>
      <c r="JHW225" s="26"/>
      <c r="JIA225" s="23"/>
      <c r="JIF225" s="26"/>
      <c r="JIJ225" s="23"/>
      <c r="JIO225" s="26"/>
      <c r="JIS225" s="23"/>
      <c r="JIX225" s="26"/>
      <c r="JJB225" s="23"/>
      <c r="JJG225" s="26"/>
      <c r="JJK225" s="23"/>
      <c r="JJP225" s="26"/>
      <c r="JJT225" s="23"/>
      <c r="JJY225" s="26"/>
      <c r="JKC225" s="23"/>
      <c r="JKH225" s="26"/>
      <c r="JKL225" s="23"/>
      <c r="JKQ225" s="26"/>
      <c r="JKU225" s="23"/>
      <c r="JKZ225" s="26"/>
      <c r="JLD225" s="23"/>
      <c r="JLI225" s="26"/>
      <c r="JLM225" s="23"/>
      <c r="JLR225" s="26"/>
      <c r="JLV225" s="23"/>
      <c r="JMA225" s="26"/>
      <c r="JME225" s="23"/>
      <c r="JMJ225" s="26"/>
      <c r="JMN225" s="23"/>
      <c r="JMS225" s="26"/>
      <c r="JMW225" s="23"/>
      <c r="JNB225" s="26"/>
      <c r="JNF225" s="23"/>
      <c r="JNK225" s="26"/>
      <c r="JNO225" s="23"/>
      <c r="JNT225" s="26"/>
      <c r="JNX225" s="23"/>
      <c r="JOC225" s="26"/>
      <c r="JOG225" s="23"/>
      <c r="JOL225" s="26"/>
      <c r="JOP225" s="23"/>
      <c r="JOU225" s="26"/>
      <c r="JOY225" s="23"/>
      <c r="JPD225" s="26"/>
      <c r="JPH225" s="23"/>
      <c r="JPM225" s="26"/>
      <c r="JPQ225" s="23"/>
      <c r="JPV225" s="26"/>
      <c r="JPZ225" s="23"/>
      <c r="JQE225" s="26"/>
      <c r="JQI225" s="23"/>
      <c r="JQN225" s="26"/>
      <c r="JQR225" s="23"/>
      <c r="JQW225" s="26"/>
      <c r="JRA225" s="23"/>
      <c r="JRF225" s="26"/>
      <c r="JRJ225" s="23"/>
      <c r="JRO225" s="26"/>
      <c r="JRS225" s="23"/>
      <c r="JRX225" s="26"/>
      <c r="JSB225" s="23"/>
      <c r="JSG225" s="26"/>
      <c r="JSK225" s="23"/>
      <c r="JSP225" s="26"/>
      <c r="JST225" s="23"/>
      <c r="JSY225" s="26"/>
      <c r="JTC225" s="23"/>
      <c r="JTH225" s="26"/>
      <c r="JTL225" s="23"/>
      <c r="JTQ225" s="26"/>
      <c r="JTU225" s="23"/>
      <c r="JTZ225" s="26"/>
      <c r="JUD225" s="23"/>
      <c r="JUI225" s="26"/>
      <c r="JUM225" s="23"/>
      <c r="JUR225" s="26"/>
      <c r="JUV225" s="23"/>
      <c r="JVA225" s="26"/>
      <c r="JVE225" s="23"/>
      <c r="JVJ225" s="26"/>
      <c r="JVN225" s="23"/>
      <c r="JVS225" s="26"/>
      <c r="JVW225" s="23"/>
      <c r="JWB225" s="26"/>
      <c r="JWF225" s="23"/>
      <c r="JWK225" s="26"/>
      <c r="JWO225" s="23"/>
      <c r="JWT225" s="26"/>
      <c r="JWX225" s="23"/>
      <c r="JXC225" s="26"/>
      <c r="JXG225" s="23"/>
      <c r="JXL225" s="26"/>
      <c r="JXP225" s="23"/>
      <c r="JXU225" s="26"/>
      <c r="JXY225" s="23"/>
      <c r="JYD225" s="26"/>
      <c r="JYH225" s="23"/>
      <c r="JYM225" s="26"/>
      <c r="JYQ225" s="23"/>
      <c r="JYV225" s="26"/>
      <c r="JYZ225" s="23"/>
      <c r="JZE225" s="26"/>
      <c r="JZI225" s="23"/>
      <c r="JZN225" s="26"/>
      <c r="JZR225" s="23"/>
      <c r="JZW225" s="26"/>
      <c r="KAA225" s="23"/>
      <c r="KAF225" s="26"/>
      <c r="KAJ225" s="23"/>
      <c r="KAO225" s="26"/>
      <c r="KAS225" s="23"/>
      <c r="KAX225" s="26"/>
      <c r="KBB225" s="23"/>
      <c r="KBG225" s="26"/>
      <c r="KBK225" s="23"/>
      <c r="KBP225" s="26"/>
      <c r="KBT225" s="23"/>
      <c r="KBY225" s="26"/>
      <c r="KCC225" s="23"/>
      <c r="KCH225" s="26"/>
      <c r="KCL225" s="23"/>
      <c r="KCQ225" s="26"/>
      <c r="KCU225" s="23"/>
      <c r="KCZ225" s="26"/>
      <c r="KDD225" s="23"/>
      <c r="KDI225" s="26"/>
      <c r="KDM225" s="23"/>
      <c r="KDR225" s="26"/>
      <c r="KDV225" s="23"/>
      <c r="KEA225" s="26"/>
      <c r="KEE225" s="23"/>
      <c r="KEJ225" s="26"/>
      <c r="KEN225" s="23"/>
      <c r="KES225" s="26"/>
      <c r="KEW225" s="23"/>
      <c r="KFB225" s="26"/>
      <c r="KFF225" s="23"/>
      <c r="KFK225" s="26"/>
      <c r="KFO225" s="23"/>
      <c r="KFT225" s="26"/>
      <c r="KFX225" s="23"/>
      <c r="KGC225" s="26"/>
      <c r="KGG225" s="23"/>
      <c r="KGL225" s="26"/>
      <c r="KGP225" s="23"/>
      <c r="KGU225" s="26"/>
      <c r="KGY225" s="23"/>
      <c r="KHD225" s="26"/>
      <c r="KHH225" s="23"/>
      <c r="KHM225" s="26"/>
      <c r="KHQ225" s="23"/>
      <c r="KHV225" s="26"/>
      <c r="KHZ225" s="23"/>
      <c r="KIE225" s="26"/>
      <c r="KII225" s="23"/>
      <c r="KIN225" s="26"/>
      <c r="KIR225" s="23"/>
      <c r="KIW225" s="26"/>
      <c r="KJA225" s="23"/>
      <c r="KJF225" s="26"/>
      <c r="KJJ225" s="23"/>
      <c r="KJO225" s="26"/>
      <c r="KJS225" s="23"/>
      <c r="KJX225" s="26"/>
      <c r="KKB225" s="23"/>
      <c r="KKG225" s="26"/>
      <c r="KKK225" s="23"/>
      <c r="KKP225" s="26"/>
      <c r="KKT225" s="23"/>
      <c r="KKY225" s="26"/>
      <c r="KLC225" s="23"/>
      <c r="KLH225" s="26"/>
      <c r="KLL225" s="23"/>
      <c r="KLQ225" s="26"/>
      <c r="KLU225" s="23"/>
      <c r="KLZ225" s="26"/>
      <c r="KMD225" s="23"/>
      <c r="KMI225" s="26"/>
      <c r="KMM225" s="23"/>
      <c r="KMR225" s="26"/>
      <c r="KMV225" s="23"/>
      <c r="KNA225" s="26"/>
      <c r="KNE225" s="23"/>
      <c r="KNJ225" s="26"/>
      <c r="KNN225" s="23"/>
      <c r="KNS225" s="26"/>
      <c r="KNW225" s="23"/>
      <c r="KOB225" s="26"/>
      <c r="KOF225" s="23"/>
      <c r="KOK225" s="26"/>
      <c r="KOO225" s="23"/>
      <c r="KOT225" s="26"/>
      <c r="KOX225" s="23"/>
      <c r="KPC225" s="26"/>
      <c r="KPG225" s="23"/>
      <c r="KPL225" s="26"/>
      <c r="KPP225" s="23"/>
      <c r="KPU225" s="26"/>
      <c r="KPY225" s="23"/>
      <c r="KQD225" s="26"/>
      <c r="KQH225" s="23"/>
      <c r="KQM225" s="26"/>
      <c r="KQQ225" s="23"/>
      <c r="KQV225" s="26"/>
      <c r="KQZ225" s="23"/>
      <c r="KRE225" s="26"/>
      <c r="KRI225" s="23"/>
      <c r="KRN225" s="26"/>
      <c r="KRR225" s="23"/>
      <c r="KRW225" s="26"/>
      <c r="KSA225" s="23"/>
      <c r="KSF225" s="26"/>
      <c r="KSJ225" s="23"/>
      <c r="KSO225" s="26"/>
      <c r="KSS225" s="23"/>
      <c r="KSX225" s="26"/>
      <c r="KTB225" s="23"/>
      <c r="KTG225" s="26"/>
      <c r="KTK225" s="23"/>
      <c r="KTP225" s="26"/>
      <c r="KTT225" s="23"/>
      <c r="KTY225" s="26"/>
      <c r="KUC225" s="23"/>
      <c r="KUH225" s="26"/>
      <c r="KUL225" s="23"/>
      <c r="KUQ225" s="26"/>
      <c r="KUU225" s="23"/>
      <c r="KUZ225" s="26"/>
      <c r="KVD225" s="23"/>
      <c r="KVI225" s="26"/>
      <c r="KVM225" s="23"/>
      <c r="KVR225" s="26"/>
      <c r="KVV225" s="23"/>
      <c r="KWA225" s="26"/>
      <c r="KWE225" s="23"/>
      <c r="KWJ225" s="26"/>
      <c r="KWN225" s="23"/>
      <c r="KWS225" s="26"/>
      <c r="KWW225" s="23"/>
      <c r="KXB225" s="26"/>
      <c r="KXF225" s="23"/>
      <c r="KXK225" s="26"/>
      <c r="KXO225" s="23"/>
      <c r="KXT225" s="26"/>
      <c r="KXX225" s="23"/>
      <c r="KYC225" s="26"/>
      <c r="KYG225" s="23"/>
      <c r="KYL225" s="26"/>
      <c r="KYP225" s="23"/>
      <c r="KYU225" s="26"/>
      <c r="KYY225" s="23"/>
      <c r="KZD225" s="26"/>
      <c r="KZH225" s="23"/>
      <c r="KZM225" s="26"/>
      <c r="KZQ225" s="23"/>
      <c r="KZV225" s="26"/>
      <c r="KZZ225" s="23"/>
      <c r="LAE225" s="26"/>
      <c r="LAI225" s="23"/>
      <c r="LAN225" s="26"/>
      <c r="LAR225" s="23"/>
      <c r="LAW225" s="26"/>
      <c r="LBA225" s="23"/>
      <c r="LBF225" s="26"/>
      <c r="LBJ225" s="23"/>
      <c r="LBO225" s="26"/>
      <c r="LBS225" s="23"/>
      <c r="LBX225" s="26"/>
      <c r="LCB225" s="23"/>
      <c r="LCG225" s="26"/>
      <c r="LCK225" s="23"/>
      <c r="LCP225" s="26"/>
      <c r="LCT225" s="23"/>
      <c r="LCY225" s="26"/>
      <c r="LDC225" s="23"/>
      <c r="LDH225" s="26"/>
      <c r="LDL225" s="23"/>
      <c r="LDQ225" s="26"/>
      <c r="LDU225" s="23"/>
      <c r="LDZ225" s="26"/>
      <c r="LED225" s="23"/>
      <c r="LEI225" s="26"/>
      <c r="LEM225" s="23"/>
      <c r="LER225" s="26"/>
      <c r="LEV225" s="23"/>
      <c r="LFA225" s="26"/>
      <c r="LFE225" s="23"/>
      <c r="LFJ225" s="26"/>
      <c r="LFN225" s="23"/>
      <c r="LFS225" s="26"/>
      <c r="LFW225" s="23"/>
      <c r="LGB225" s="26"/>
      <c r="LGF225" s="23"/>
      <c r="LGK225" s="26"/>
      <c r="LGO225" s="23"/>
      <c r="LGT225" s="26"/>
      <c r="LGX225" s="23"/>
      <c r="LHC225" s="26"/>
      <c r="LHG225" s="23"/>
      <c r="LHL225" s="26"/>
      <c r="LHP225" s="23"/>
      <c r="LHU225" s="26"/>
      <c r="LHY225" s="23"/>
      <c r="LID225" s="26"/>
      <c r="LIH225" s="23"/>
      <c r="LIM225" s="26"/>
      <c r="LIQ225" s="23"/>
      <c r="LIV225" s="26"/>
      <c r="LIZ225" s="23"/>
      <c r="LJE225" s="26"/>
      <c r="LJI225" s="23"/>
      <c r="LJN225" s="26"/>
      <c r="LJR225" s="23"/>
      <c r="LJW225" s="26"/>
      <c r="LKA225" s="23"/>
      <c r="LKF225" s="26"/>
      <c r="LKJ225" s="23"/>
      <c r="LKO225" s="26"/>
      <c r="LKS225" s="23"/>
      <c r="LKX225" s="26"/>
      <c r="LLB225" s="23"/>
      <c r="LLG225" s="26"/>
      <c r="LLK225" s="23"/>
      <c r="LLP225" s="26"/>
      <c r="LLT225" s="23"/>
      <c r="LLY225" s="26"/>
      <c r="LMC225" s="23"/>
      <c r="LMH225" s="26"/>
      <c r="LML225" s="23"/>
      <c r="LMQ225" s="26"/>
      <c r="LMU225" s="23"/>
      <c r="LMZ225" s="26"/>
      <c r="LND225" s="23"/>
      <c r="LNI225" s="26"/>
      <c r="LNM225" s="23"/>
      <c r="LNR225" s="26"/>
      <c r="LNV225" s="23"/>
      <c r="LOA225" s="26"/>
      <c r="LOE225" s="23"/>
      <c r="LOJ225" s="26"/>
      <c r="LON225" s="23"/>
      <c r="LOS225" s="26"/>
      <c r="LOW225" s="23"/>
      <c r="LPB225" s="26"/>
      <c r="LPF225" s="23"/>
      <c r="LPK225" s="26"/>
      <c r="LPO225" s="23"/>
      <c r="LPT225" s="26"/>
      <c r="LPX225" s="23"/>
      <c r="LQC225" s="26"/>
      <c r="LQG225" s="23"/>
      <c r="LQL225" s="26"/>
      <c r="LQP225" s="23"/>
      <c r="LQU225" s="26"/>
      <c r="LQY225" s="23"/>
      <c r="LRD225" s="26"/>
      <c r="LRH225" s="23"/>
      <c r="LRM225" s="26"/>
      <c r="LRQ225" s="23"/>
      <c r="LRV225" s="26"/>
      <c r="LRZ225" s="23"/>
      <c r="LSE225" s="26"/>
      <c r="LSI225" s="23"/>
      <c r="LSN225" s="26"/>
      <c r="LSR225" s="23"/>
      <c r="LSW225" s="26"/>
      <c r="LTA225" s="23"/>
      <c r="LTF225" s="26"/>
      <c r="LTJ225" s="23"/>
      <c r="LTO225" s="26"/>
      <c r="LTS225" s="23"/>
      <c r="LTX225" s="26"/>
      <c r="LUB225" s="23"/>
      <c r="LUG225" s="26"/>
      <c r="LUK225" s="23"/>
      <c r="LUP225" s="26"/>
      <c r="LUT225" s="23"/>
      <c r="LUY225" s="26"/>
      <c r="LVC225" s="23"/>
      <c r="LVH225" s="26"/>
      <c r="LVL225" s="23"/>
      <c r="LVQ225" s="26"/>
      <c r="LVU225" s="23"/>
      <c r="LVZ225" s="26"/>
      <c r="LWD225" s="23"/>
      <c r="LWI225" s="26"/>
      <c r="LWM225" s="23"/>
      <c r="LWR225" s="26"/>
      <c r="LWV225" s="23"/>
      <c r="LXA225" s="26"/>
      <c r="LXE225" s="23"/>
      <c r="LXJ225" s="26"/>
      <c r="LXN225" s="23"/>
      <c r="LXS225" s="26"/>
      <c r="LXW225" s="23"/>
      <c r="LYB225" s="26"/>
      <c r="LYF225" s="23"/>
      <c r="LYK225" s="26"/>
      <c r="LYO225" s="23"/>
      <c r="LYT225" s="26"/>
      <c r="LYX225" s="23"/>
      <c r="LZC225" s="26"/>
      <c r="LZG225" s="23"/>
      <c r="LZL225" s="26"/>
      <c r="LZP225" s="23"/>
      <c r="LZU225" s="26"/>
      <c r="LZY225" s="23"/>
      <c r="MAD225" s="26"/>
      <c r="MAH225" s="23"/>
      <c r="MAM225" s="26"/>
      <c r="MAQ225" s="23"/>
      <c r="MAV225" s="26"/>
      <c r="MAZ225" s="23"/>
      <c r="MBE225" s="26"/>
      <c r="MBI225" s="23"/>
      <c r="MBN225" s="26"/>
      <c r="MBR225" s="23"/>
      <c r="MBW225" s="26"/>
      <c r="MCA225" s="23"/>
      <c r="MCF225" s="26"/>
      <c r="MCJ225" s="23"/>
      <c r="MCO225" s="26"/>
      <c r="MCS225" s="23"/>
      <c r="MCX225" s="26"/>
      <c r="MDB225" s="23"/>
      <c r="MDG225" s="26"/>
      <c r="MDK225" s="23"/>
      <c r="MDP225" s="26"/>
      <c r="MDT225" s="23"/>
      <c r="MDY225" s="26"/>
      <c r="MEC225" s="23"/>
      <c r="MEH225" s="26"/>
      <c r="MEL225" s="23"/>
      <c r="MEQ225" s="26"/>
      <c r="MEU225" s="23"/>
      <c r="MEZ225" s="26"/>
      <c r="MFD225" s="23"/>
      <c r="MFI225" s="26"/>
      <c r="MFM225" s="23"/>
      <c r="MFR225" s="26"/>
      <c r="MFV225" s="23"/>
      <c r="MGA225" s="26"/>
      <c r="MGE225" s="23"/>
      <c r="MGJ225" s="26"/>
      <c r="MGN225" s="23"/>
      <c r="MGS225" s="26"/>
      <c r="MGW225" s="23"/>
      <c r="MHB225" s="26"/>
      <c r="MHF225" s="23"/>
      <c r="MHK225" s="26"/>
      <c r="MHO225" s="23"/>
      <c r="MHT225" s="26"/>
      <c r="MHX225" s="23"/>
      <c r="MIC225" s="26"/>
      <c r="MIG225" s="23"/>
      <c r="MIL225" s="26"/>
      <c r="MIP225" s="23"/>
      <c r="MIU225" s="26"/>
      <c r="MIY225" s="23"/>
      <c r="MJD225" s="26"/>
      <c r="MJH225" s="23"/>
      <c r="MJM225" s="26"/>
      <c r="MJQ225" s="23"/>
      <c r="MJV225" s="26"/>
      <c r="MJZ225" s="23"/>
      <c r="MKE225" s="26"/>
      <c r="MKI225" s="23"/>
      <c r="MKN225" s="26"/>
      <c r="MKR225" s="23"/>
      <c r="MKW225" s="26"/>
      <c r="MLA225" s="23"/>
      <c r="MLF225" s="26"/>
      <c r="MLJ225" s="23"/>
      <c r="MLO225" s="26"/>
      <c r="MLS225" s="23"/>
      <c r="MLX225" s="26"/>
      <c r="MMB225" s="23"/>
      <c r="MMG225" s="26"/>
      <c r="MMK225" s="23"/>
      <c r="MMP225" s="26"/>
      <c r="MMT225" s="23"/>
      <c r="MMY225" s="26"/>
      <c r="MNC225" s="23"/>
      <c r="MNH225" s="26"/>
      <c r="MNL225" s="23"/>
      <c r="MNQ225" s="26"/>
      <c r="MNU225" s="23"/>
      <c r="MNZ225" s="26"/>
      <c r="MOD225" s="23"/>
      <c r="MOI225" s="26"/>
      <c r="MOM225" s="23"/>
      <c r="MOR225" s="26"/>
      <c r="MOV225" s="23"/>
      <c r="MPA225" s="26"/>
      <c r="MPE225" s="23"/>
      <c r="MPJ225" s="26"/>
      <c r="MPN225" s="23"/>
      <c r="MPS225" s="26"/>
      <c r="MPW225" s="23"/>
      <c r="MQB225" s="26"/>
      <c r="MQF225" s="23"/>
      <c r="MQK225" s="26"/>
      <c r="MQO225" s="23"/>
      <c r="MQT225" s="26"/>
      <c r="MQX225" s="23"/>
      <c r="MRC225" s="26"/>
      <c r="MRG225" s="23"/>
      <c r="MRL225" s="26"/>
      <c r="MRP225" s="23"/>
      <c r="MRU225" s="26"/>
      <c r="MRY225" s="23"/>
      <c r="MSD225" s="26"/>
      <c r="MSH225" s="23"/>
      <c r="MSM225" s="26"/>
      <c r="MSQ225" s="23"/>
      <c r="MSV225" s="26"/>
      <c r="MSZ225" s="23"/>
      <c r="MTE225" s="26"/>
      <c r="MTI225" s="23"/>
      <c r="MTN225" s="26"/>
      <c r="MTR225" s="23"/>
      <c r="MTW225" s="26"/>
      <c r="MUA225" s="23"/>
      <c r="MUF225" s="26"/>
      <c r="MUJ225" s="23"/>
      <c r="MUO225" s="26"/>
      <c r="MUS225" s="23"/>
      <c r="MUX225" s="26"/>
      <c r="MVB225" s="23"/>
      <c r="MVG225" s="26"/>
      <c r="MVK225" s="23"/>
      <c r="MVP225" s="26"/>
      <c r="MVT225" s="23"/>
      <c r="MVY225" s="26"/>
      <c r="MWC225" s="23"/>
      <c r="MWH225" s="26"/>
      <c r="MWL225" s="23"/>
      <c r="MWQ225" s="26"/>
      <c r="MWU225" s="23"/>
      <c r="MWZ225" s="26"/>
      <c r="MXD225" s="23"/>
      <c r="MXI225" s="26"/>
      <c r="MXM225" s="23"/>
      <c r="MXR225" s="26"/>
      <c r="MXV225" s="23"/>
      <c r="MYA225" s="26"/>
      <c r="MYE225" s="23"/>
      <c r="MYJ225" s="26"/>
      <c r="MYN225" s="23"/>
      <c r="MYS225" s="26"/>
      <c r="MYW225" s="23"/>
      <c r="MZB225" s="26"/>
      <c r="MZF225" s="23"/>
      <c r="MZK225" s="26"/>
      <c r="MZO225" s="23"/>
      <c r="MZT225" s="26"/>
      <c r="MZX225" s="23"/>
      <c r="NAC225" s="26"/>
      <c r="NAG225" s="23"/>
      <c r="NAL225" s="26"/>
      <c r="NAP225" s="23"/>
      <c r="NAU225" s="26"/>
      <c r="NAY225" s="23"/>
      <c r="NBD225" s="26"/>
      <c r="NBH225" s="23"/>
      <c r="NBM225" s="26"/>
      <c r="NBQ225" s="23"/>
      <c r="NBV225" s="26"/>
      <c r="NBZ225" s="23"/>
      <c r="NCE225" s="26"/>
      <c r="NCI225" s="23"/>
      <c r="NCN225" s="26"/>
      <c r="NCR225" s="23"/>
      <c r="NCW225" s="26"/>
      <c r="NDA225" s="23"/>
      <c r="NDF225" s="26"/>
      <c r="NDJ225" s="23"/>
      <c r="NDO225" s="26"/>
      <c r="NDS225" s="23"/>
      <c r="NDX225" s="26"/>
      <c r="NEB225" s="23"/>
      <c r="NEG225" s="26"/>
      <c r="NEK225" s="23"/>
      <c r="NEP225" s="26"/>
      <c r="NET225" s="23"/>
      <c r="NEY225" s="26"/>
      <c r="NFC225" s="23"/>
      <c r="NFH225" s="26"/>
      <c r="NFL225" s="23"/>
      <c r="NFQ225" s="26"/>
      <c r="NFU225" s="23"/>
      <c r="NFZ225" s="26"/>
      <c r="NGD225" s="23"/>
      <c r="NGI225" s="26"/>
      <c r="NGM225" s="23"/>
      <c r="NGR225" s="26"/>
      <c r="NGV225" s="23"/>
      <c r="NHA225" s="26"/>
      <c r="NHE225" s="23"/>
      <c r="NHJ225" s="26"/>
      <c r="NHN225" s="23"/>
      <c r="NHS225" s="26"/>
      <c r="NHW225" s="23"/>
      <c r="NIB225" s="26"/>
      <c r="NIF225" s="23"/>
      <c r="NIK225" s="26"/>
      <c r="NIO225" s="23"/>
      <c r="NIT225" s="26"/>
      <c r="NIX225" s="23"/>
      <c r="NJC225" s="26"/>
      <c r="NJG225" s="23"/>
      <c r="NJL225" s="26"/>
      <c r="NJP225" s="23"/>
      <c r="NJU225" s="26"/>
      <c r="NJY225" s="23"/>
      <c r="NKD225" s="26"/>
      <c r="NKH225" s="23"/>
      <c r="NKM225" s="26"/>
      <c r="NKQ225" s="23"/>
      <c r="NKV225" s="26"/>
      <c r="NKZ225" s="23"/>
      <c r="NLE225" s="26"/>
      <c r="NLI225" s="23"/>
      <c r="NLN225" s="26"/>
      <c r="NLR225" s="23"/>
      <c r="NLW225" s="26"/>
      <c r="NMA225" s="23"/>
      <c r="NMF225" s="26"/>
      <c r="NMJ225" s="23"/>
      <c r="NMO225" s="26"/>
      <c r="NMS225" s="23"/>
      <c r="NMX225" s="26"/>
      <c r="NNB225" s="23"/>
      <c r="NNG225" s="26"/>
      <c r="NNK225" s="23"/>
      <c r="NNP225" s="26"/>
      <c r="NNT225" s="23"/>
      <c r="NNY225" s="26"/>
      <c r="NOC225" s="23"/>
      <c r="NOH225" s="26"/>
      <c r="NOL225" s="23"/>
      <c r="NOQ225" s="26"/>
      <c r="NOU225" s="23"/>
      <c r="NOZ225" s="26"/>
      <c r="NPD225" s="23"/>
      <c r="NPI225" s="26"/>
      <c r="NPM225" s="23"/>
      <c r="NPR225" s="26"/>
      <c r="NPV225" s="23"/>
      <c r="NQA225" s="26"/>
      <c r="NQE225" s="23"/>
      <c r="NQJ225" s="26"/>
      <c r="NQN225" s="23"/>
      <c r="NQS225" s="26"/>
      <c r="NQW225" s="23"/>
      <c r="NRB225" s="26"/>
      <c r="NRF225" s="23"/>
      <c r="NRK225" s="26"/>
      <c r="NRO225" s="23"/>
      <c r="NRT225" s="26"/>
      <c r="NRX225" s="23"/>
      <c r="NSC225" s="26"/>
      <c r="NSG225" s="23"/>
      <c r="NSL225" s="26"/>
      <c r="NSP225" s="23"/>
      <c r="NSU225" s="26"/>
      <c r="NSY225" s="23"/>
      <c r="NTD225" s="26"/>
      <c r="NTH225" s="23"/>
      <c r="NTM225" s="26"/>
      <c r="NTQ225" s="23"/>
      <c r="NTV225" s="26"/>
      <c r="NTZ225" s="23"/>
      <c r="NUE225" s="26"/>
      <c r="NUI225" s="23"/>
      <c r="NUN225" s="26"/>
      <c r="NUR225" s="23"/>
      <c r="NUW225" s="26"/>
      <c r="NVA225" s="23"/>
      <c r="NVF225" s="26"/>
      <c r="NVJ225" s="23"/>
      <c r="NVO225" s="26"/>
      <c r="NVS225" s="23"/>
      <c r="NVX225" s="26"/>
      <c r="NWB225" s="23"/>
      <c r="NWG225" s="26"/>
      <c r="NWK225" s="23"/>
      <c r="NWP225" s="26"/>
      <c r="NWT225" s="23"/>
      <c r="NWY225" s="26"/>
      <c r="NXC225" s="23"/>
      <c r="NXH225" s="26"/>
      <c r="NXL225" s="23"/>
      <c r="NXQ225" s="26"/>
      <c r="NXU225" s="23"/>
      <c r="NXZ225" s="26"/>
      <c r="NYD225" s="23"/>
      <c r="NYI225" s="26"/>
      <c r="NYM225" s="23"/>
      <c r="NYR225" s="26"/>
      <c r="NYV225" s="23"/>
      <c r="NZA225" s="26"/>
      <c r="NZE225" s="23"/>
      <c r="NZJ225" s="26"/>
      <c r="NZN225" s="23"/>
      <c r="NZS225" s="26"/>
      <c r="NZW225" s="23"/>
      <c r="OAB225" s="26"/>
      <c r="OAF225" s="23"/>
      <c r="OAK225" s="26"/>
      <c r="OAO225" s="23"/>
      <c r="OAT225" s="26"/>
      <c r="OAX225" s="23"/>
      <c r="OBC225" s="26"/>
      <c r="OBG225" s="23"/>
      <c r="OBL225" s="26"/>
      <c r="OBP225" s="23"/>
      <c r="OBU225" s="26"/>
      <c r="OBY225" s="23"/>
      <c r="OCD225" s="26"/>
      <c r="OCH225" s="23"/>
      <c r="OCM225" s="26"/>
      <c r="OCQ225" s="23"/>
      <c r="OCV225" s="26"/>
      <c r="OCZ225" s="23"/>
      <c r="ODE225" s="26"/>
      <c r="ODI225" s="23"/>
      <c r="ODN225" s="26"/>
      <c r="ODR225" s="23"/>
      <c r="ODW225" s="26"/>
      <c r="OEA225" s="23"/>
      <c r="OEF225" s="26"/>
      <c r="OEJ225" s="23"/>
      <c r="OEO225" s="26"/>
      <c r="OES225" s="23"/>
      <c r="OEX225" s="26"/>
      <c r="OFB225" s="23"/>
      <c r="OFG225" s="26"/>
      <c r="OFK225" s="23"/>
      <c r="OFP225" s="26"/>
      <c r="OFT225" s="23"/>
      <c r="OFY225" s="26"/>
      <c r="OGC225" s="23"/>
      <c r="OGH225" s="26"/>
      <c r="OGL225" s="23"/>
      <c r="OGQ225" s="26"/>
      <c r="OGU225" s="23"/>
      <c r="OGZ225" s="26"/>
      <c r="OHD225" s="23"/>
      <c r="OHI225" s="26"/>
      <c r="OHM225" s="23"/>
      <c r="OHR225" s="26"/>
      <c r="OHV225" s="23"/>
      <c r="OIA225" s="26"/>
      <c r="OIE225" s="23"/>
      <c r="OIJ225" s="26"/>
      <c r="OIN225" s="23"/>
      <c r="OIS225" s="26"/>
      <c r="OIW225" s="23"/>
      <c r="OJB225" s="26"/>
      <c r="OJF225" s="23"/>
      <c r="OJK225" s="26"/>
      <c r="OJO225" s="23"/>
      <c r="OJT225" s="26"/>
      <c r="OJX225" s="23"/>
      <c r="OKC225" s="26"/>
      <c r="OKG225" s="23"/>
      <c r="OKL225" s="26"/>
      <c r="OKP225" s="23"/>
      <c r="OKU225" s="26"/>
      <c r="OKY225" s="23"/>
      <c r="OLD225" s="26"/>
      <c r="OLH225" s="23"/>
      <c r="OLM225" s="26"/>
      <c r="OLQ225" s="23"/>
      <c r="OLV225" s="26"/>
      <c r="OLZ225" s="23"/>
      <c r="OME225" s="26"/>
      <c r="OMI225" s="23"/>
      <c r="OMN225" s="26"/>
      <c r="OMR225" s="23"/>
      <c r="OMW225" s="26"/>
      <c r="ONA225" s="23"/>
      <c r="ONF225" s="26"/>
      <c r="ONJ225" s="23"/>
      <c r="ONO225" s="26"/>
      <c r="ONS225" s="23"/>
      <c r="ONX225" s="26"/>
      <c r="OOB225" s="23"/>
      <c r="OOG225" s="26"/>
      <c r="OOK225" s="23"/>
      <c r="OOP225" s="26"/>
      <c r="OOT225" s="23"/>
      <c r="OOY225" s="26"/>
      <c r="OPC225" s="23"/>
      <c r="OPH225" s="26"/>
      <c r="OPL225" s="23"/>
      <c r="OPQ225" s="26"/>
      <c r="OPU225" s="23"/>
      <c r="OPZ225" s="26"/>
      <c r="OQD225" s="23"/>
      <c r="OQI225" s="26"/>
      <c r="OQM225" s="23"/>
      <c r="OQR225" s="26"/>
      <c r="OQV225" s="23"/>
      <c r="ORA225" s="26"/>
      <c r="ORE225" s="23"/>
      <c r="ORJ225" s="26"/>
      <c r="ORN225" s="23"/>
      <c r="ORS225" s="26"/>
      <c r="ORW225" s="23"/>
      <c r="OSB225" s="26"/>
      <c r="OSF225" s="23"/>
      <c r="OSK225" s="26"/>
      <c r="OSO225" s="23"/>
      <c r="OST225" s="26"/>
      <c r="OSX225" s="23"/>
      <c r="OTC225" s="26"/>
      <c r="OTG225" s="23"/>
      <c r="OTL225" s="26"/>
      <c r="OTP225" s="23"/>
      <c r="OTU225" s="26"/>
      <c r="OTY225" s="23"/>
      <c r="OUD225" s="26"/>
      <c r="OUH225" s="23"/>
      <c r="OUM225" s="26"/>
      <c r="OUQ225" s="23"/>
      <c r="OUV225" s="26"/>
      <c r="OUZ225" s="23"/>
      <c r="OVE225" s="26"/>
      <c r="OVI225" s="23"/>
      <c r="OVN225" s="26"/>
      <c r="OVR225" s="23"/>
      <c r="OVW225" s="26"/>
      <c r="OWA225" s="23"/>
      <c r="OWF225" s="26"/>
      <c r="OWJ225" s="23"/>
      <c r="OWO225" s="26"/>
      <c r="OWS225" s="23"/>
      <c r="OWX225" s="26"/>
      <c r="OXB225" s="23"/>
      <c r="OXG225" s="26"/>
      <c r="OXK225" s="23"/>
      <c r="OXP225" s="26"/>
      <c r="OXT225" s="23"/>
      <c r="OXY225" s="26"/>
      <c r="OYC225" s="23"/>
      <c r="OYH225" s="26"/>
      <c r="OYL225" s="23"/>
      <c r="OYQ225" s="26"/>
      <c r="OYU225" s="23"/>
      <c r="OYZ225" s="26"/>
      <c r="OZD225" s="23"/>
      <c r="OZI225" s="26"/>
      <c r="OZM225" s="23"/>
      <c r="OZR225" s="26"/>
      <c r="OZV225" s="23"/>
      <c r="PAA225" s="26"/>
      <c r="PAE225" s="23"/>
      <c r="PAJ225" s="26"/>
      <c r="PAN225" s="23"/>
      <c r="PAS225" s="26"/>
      <c r="PAW225" s="23"/>
      <c r="PBB225" s="26"/>
      <c r="PBF225" s="23"/>
      <c r="PBK225" s="26"/>
      <c r="PBO225" s="23"/>
      <c r="PBT225" s="26"/>
      <c r="PBX225" s="23"/>
      <c r="PCC225" s="26"/>
      <c r="PCG225" s="23"/>
      <c r="PCL225" s="26"/>
      <c r="PCP225" s="23"/>
      <c r="PCU225" s="26"/>
      <c r="PCY225" s="23"/>
      <c r="PDD225" s="26"/>
      <c r="PDH225" s="23"/>
      <c r="PDM225" s="26"/>
      <c r="PDQ225" s="23"/>
      <c r="PDV225" s="26"/>
      <c r="PDZ225" s="23"/>
      <c r="PEE225" s="26"/>
      <c r="PEI225" s="23"/>
      <c r="PEN225" s="26"/>
      <c r="PER225" s="23"/>
      <c r="PEW225" s="26"/>
      <c r="PFA225" s="23"/>
      <c r="PFF225" s="26"/>
      <c r="PFJ225" s="23"/>
      <c r="PFO225" s="26"/>
      <c r="PFS225" s="23"/>
      <c r="PFX225" s="26"/>
      <c r="PGB225" s="23"/>
      <c r="PGG225" s="26"/>
      <c r="PGK225" s="23"/>
      <c r="PGP225" s="26"/>
      <c r="PGT225" s="23"/>
      <c r="PGY225" s="26"/>
      <c r="PHC225" s="23"/>
      <c r="PHH225" s="26"/>
      <c r="PHL225" s="23"/>
      <c r="PHQ225" s="26"/>
      <c r="PHU225" s="23"/>
      <c r="PHZ225" s="26"/>
      <c r="PID225" s="23"/>
      <c r="PII225" s="26"/>
      <c r="PIM225" s="23"/>
      <c r="PIR225" s="26"/>
      <c r="PIV225" s="23"/>
      <c r="PJA225" s="26"/>
      <c r="PJE225" s="23"/>
      <c r="PJJ225" s="26"/>
      <c r="PJN225" s="23"/>
      <c r="PJS225" s="26"/>
      <c r="PJW225" s="23"/>
      <c r="PKB225" s="26"/>
      <c r="PKF225" s="23"/>
      <c r="PKK225" s="26"/>
      <c r="PKO225" s="23"/>
      <c r="PKT225" s="26"/>
      <c r="PKX225" s="23"/>
      <c r="PLC225" s="26"/>
      <c r="PLG225" s="23"/>
      <c r="PLL225" s="26"/>
      <c r="PLP225" s="23"/>
      <c r="PLU225" s="26"/>
      <c r="PLY225" s="23"/>
      <c r="PMD225" s="26"/>
      <c r="PMH225" s="23"/>
      <c r="PMM225" s="26"/>
      <c r="PMQ225" s="23"/>
      <c r="PMV225" s="26"/>
      <c r="PMZ225" s="23"/>
      <c r="PNE225" s="26"/>
      <c r="PNI225" s="23"/>
      <c r="PNN225" s="26"/>
      <c r="PNR225" s="23"/>
      <c r="PNW225" s="26"/>
      <c r="POA225" s="23"/>
      <c r="POF225" s="26"/>
      <c r="POJ225" s="23"/>
      <c r="POO225" s="26"/>
      <c r="POS225" s="23"/>
      <c r="POX225" s="26"/>
      <c r="PPB225" s="23"/>
      <c r="PPG225" s="26"/>
      <c r="PPK225" s="23"/>
      <c r="PPP225" s="26"/>
      <c r="PPT225" s="23"/>
      <c r="PPY225" s="26"/>
      <c r="PQC225" s="23"/>
      <c r="PQH225" s="26"/>
      <c r="PQL225" s="23"/>
      <c r="PQQ225" s="26"/>
      <c r="PQU225" s="23"/>
      <c r="PQZ225" s="26"/>
      <c r="PRD225" s="23"/>
      <c r="PRI225" s="26"/>
      <c r="PRM225" s="23"/>
      <c r="PRR225" s="26"/>
      <c r="PRV225" s="23"/>
      <c r="PSA225" s="26"/>
      <c r="PSE225" s="23"/>
      <c r="PSJ225" s="26"/>
      <c r="PSN225" s="23"/>
      <c r="PSS225" s="26"/>
      <c r="PSW225" s="23"/>
      <c r="PTB225" s="26"/>
      <c r="PTF225" s="23"/>
      <c r="PTK225" s="26"/>
      <c r="PTO225" s="23"/>
      <c r="PTT225" s="26"/>
      <c r="PTX225" s="23"/>
      <c r="PUC225" s="26"/>
      <c r="PUG225" s="23"/>
      <c r="PUL225" s="26"/>
      <c r="PUP225" s="23"/>
      <c r="PUU225" s="26"/>
      <c r="PUY225" s="23"/>
      <c r="PVD225" s="26"/>
      <c r="PVH225" s="23"/>
      <c r="PVM225" s="26"/>
      <c r="PVQ225" s="23"/>
      <c r="PVV225" s="26"/>
      <c r="PVZ225" s="23"/>
      <c r="PWE225" s="26"/>
      <c r="PWI225" s="23"/>
      <c r="PWN225" s="26"/>
      <c r="PWR225" s="23"/>
      <c r="PWW225" s="26"/>
      <c r="PXA225" s="23"/>
      <c r="PXF225" s="26"/>
      <c r="PXJ225" s="23"/>
      <c r="PXO225" s="26"/>
      <c r="PXS225" s="23"/>
      <c r="PXX225" s="26"/>
      <c r="PYB225" s="23"/>
      <c r="PYG225" s="26"/>
      <c r="PYK225" s="23"/>
      <c r="PYP225" s="26"/>
      <c r="PYT225" s="23"/>
      <c r="PYY225" s="26"/>
      <c r="PZC225" s="23"/>
      <c r="PZH225" s="26"/>
      <c r="PZL225" s="23"/>
      <c r="PZQ225" s="26"/>
      <c r="PZU225" s="23"/>
      <c r="PZZ225" s="26"/>
      <c r="QAD225" s="23"/>
      <c r="QAI225" s="26"/>
      <c r="QAM225" s="23"/>
      <c r="QAR225" s="26"/>
      <c r="QAV225" s="23"/>
      <c r="QBA225" s="26"/>
      <c r="QBE225" s="23"/>
      <c r="QBJ225" s="26"/>
      <c r="QBN225" s="23"/>
      <c r="QBS225" s="26"/>
      <c r="QBW225" s="23"/>
      <c r="QCB225" s="26"/>
      <c r="QCF225" s="23"/>
      <c r="QCK225" s="26"/>
      <c r="QCO225" s="23"/>
      <c r="QCT225" s="26"/>
      <c r="QCX225" s="23"/>
      <c r="QDC225" s="26"/>
      <c r="QDG225" s="23"/>
      <c r="QDL225" s="26"/>
      <c r="QDP225" s="23"/>
      <c r="QDU225" s="26"/>
      <c r="QDY225" s="23"/>
      <c r="QED225" s="26"/>
      <c r="QEH225" s="23"/>
      <c r="QEM225" s="26"/>
      <c r="QEQ225" s="23"/>
      <c r="QEV225" s="26"/>
      <c r="QEZ225" s="23"/>
      <c r="QFE225" s="26"/>
      <c r="QFI225" s="23"/>
      <c r="QFN225" s="26"/>
      <c r="QFR225" s="23"/>
      <c r="QFW225" s="26"/>
      <c r="QGA225" s="23"/>
      <c r="QGF225" s="26"/>
      <c r="QGJ225" s="23"/>
      <c r="QGO225" s="26"/>
      <c r="QGS225" s="23"/>
      <c r="QGX225" s="26"/>
      <c r="QHB225" s="23"/>
      <c r="QHG225" s="26"/>
      <c r="QHK225" s="23"/>
      <c r="QHP225" s="26"/>
      <c r="QHT225" s="23"/>
      <c r="QHY225" s="26"/>
      <c r="QIC225" s="23"/>
      <c r="QIH225" s="26"/>
      <c r="QIL225" s="23"/>
      <c r="QIQ225" s="26"/>
      <c r="QIU225" s="23"/>
      <c r="QIZ225" s="26"/>
      <c r="QJD225" s="23"/>
      <c r="QJI225" s="26"/>
      <c r="QJM225" s="23"/>
      <c r="QJR225" s="26"/>
      <c r="QJV225" s="23"/>
      <c r="QKA225" s="26"/>
      <c r="QKE225" s="23"/>
      <c r="QKJ225" s="26"/>
      <c r="QKN225" s="23"/>
      <c r="QKS225" s="26"/>
      <c r="QKW225" s="23"/>
      <c r="QLB225" s="26"/>
      <c r="QLF225" s="23"/>
      <c r="QLK225" s="26"/>
      <c r="QLO225" s="23"/>
      <c r="QLT225" s="26"/>
      <c r="QLX225" s="23"/>
      <c r="QMC225" s="26"/>
      <c r="QMG225" s="23"/>
      <c r="QML225" s="26"/>
      <c r="QMP225" s="23"/>
      <c r="QMU225" s="26"/>
      <c r="QMY225" s="23"/>
      <c r="QND225" s="26"/>
      <c r="QNH225" s="23"/>
      <c r="QNM225" s="26"/>
      <c r="QNQ225" s="23"/>
      <c r="QNV225" s="26"/>
      <c r="QNZ225" s="23"/>
      <c r="QOE225" s="26"/>
      <c r="QOI225" s="23"/>
      <c r="QON225" s="26"/>
      <c r="QOR225" s="23"/>
      <c r="QOW225" s="26"/>
      <c r="QPA225" s="23"/>
      <c r="QPF225" s="26"/>
      <c r="QPJ225" s="23"/>
      <c r="QPO225" s="26"/>
      <c r="QPS225" s="23"/>
      <c r="QPX225" s="26"/>
      <c r="QQB225" s="23"/>
      <c r="QQG225" s="26"/>
      <c r="QQK225" s="23"/>
      <c r="QQP225" s="26"/>
      <c r="QQT225" s="23"/>
      <c r="QQY225" s="26"/>
      <c r="QRC225" s="23"/>
      <c r="QRH225" s="26"/>
      <c r="QRL225" s="23"/>
      <c r="QRQ225" s="26"/>
      <c r="QRU225" s="23"/>
      <c r="QRZ225" s="26"/>
      <c r="QSD225" s="23"/>
      <c r="QSI225" s="26"/>
      <c r="QSM225" s="23"/>
      <c r="QSR225" s="26"/>
      <c r="QSV225" s="23"/>
      <c r="QTA225" s="26"/>
      <c r="QTE225" s="23"/>
      <c r="QTJ225" s="26"/>
      <c r="QTN225" s="23"/>
      <c r="QTS225" s="26"/>
      <c r="QTW225" s="23"/>
      <c r="QUB225" s="26"/>
      <c r="QUF225" s="23"/>
      <c r="QUK225" s="26"/>
      <c r="QUO225" s="23"/>
      <c r="QUT225" s="26"/>
      <c r="QUX225" s="23"/>
      <c r="QVC225" s="26"/>
      <c r="QVG225" s="23"/>
      <c r="QVL225" s="26"/>
      <c r="QVP225" s="23"/>
      <c r="QVU225" s="26"/>
      <c r="QVY225" s="23"/>
      <c r="QWD225" s="26"/>
      <c r="QWH225" s="23"/>
      <c r="QWM225" s="26"/>
      <c r="QWQ225" s="23"/>
      <c r="QWV225" s="26"/>
      <c r="QWZ225" s="23"/>
      <c r="QXE225" s="26"/>
      <c r="QXI225" s="23"/>
      <c r="QXN225" s="26"/>
      <c r="QXR225" s="23"/>
      <c r="QXW225" s="26"/>
      <c r="QYA225" s="23"/>
      <c r="QYF225" s="26"/>
      <c r="QYJ225" s="23"/>
      <c r="QYO225" s="26"/>
      <c r="QYS225" s="23"/>
      <c r="QYX225" s="26"/>
      <c r="QZB225" s="23"/>
      <c r="QZG225" s="26"/>
      <c r="QZK225" s="23"/>
      <c r="QZP225" s="26"/>
      <c r="QZT225" s="23"/>
      <c r="QZY225" s="26"/>
      <c r="RAC225" s="23"/>
      <c r="RAH225" s="26"/>
      <c r="RAL225" s="23"/>
      <c r="RAQ225" s="26"/>
      <c r="RAU225" s="23"/>
      <c r="RAZ225" s="26"/>
      <c r="RBD225" s="23"/>
      <c r="RBI225" s="26"/>
      <c r="RBM225" s="23"/>
      <c r="RBR225" s="26"/>
      <c r="RBV225" s="23"/>
      <c r="RCA225" s="26"/>
      <c r="RCE225" s="23"/>
      <c r="RCJ225" s="26"/>
      <c r="RCN225" s="23"/>
      <c r="RCS225" s="26"/>
      <c r="RCW225" s="23"/>
      <c r="RDB225" s="26"/>
      <c r="RDF225" s="23"/>
      <c r="RDK225" s="26"/>
      <c r="RDO225" s="23"/>
      <c r="RDT225" s="26"/>
      <c r="RDX225" s="23"/>
      <c r="REC225" s="26"/>
      <c r="REG225" s="23"/>
      <c r="REL225" s="26"/>
      <c r="REP225" s="23"/>
      <c r="REU225" s="26"/>
      <c r="REY225" s="23"/>
      <c r="RFD225" s="26"/>
      <c r="RFH225" s="23"/>
      <c r="RFM225" s="26"/>
      <c r="RFQ225" s="23"/>
      <c r="RFV225" s="26"/>
      <c r="RFZ225" s="23"/>
      <c r="RGE225" s="26"/>
      <c r="RGI225" s="23"/>
      <c r="RGN225" s="26"/>
      <c r="RGR225" s="23"/>
      <c r="RGW225" s="26"/>
      <c r="RHA225" s="23"/>
      <c r="RHF225" s="26"/>
      <c r="RHJ225" s="23"/>
      <c r="RHO225" s="26"/>
      <c r="RHS225" s="23"/>
      <c r="RHX225" s="26"/>
      <c r="RIB225" s="23"/>
      <c r="RIG225" s="26"/>
      <c r="RIK225" s="23"/>
      <c r="RIP225" s="26"/>
      <c r="RIT225" s="23"/>
      <c r="RIY225" s="26"/>
      <c r="RJC225" s="23"/>
      <c r="RJH225" s="26"/>
      <c r="RJL225" s="23"/>
      <c r="RJQ225" s="26"/>
      <c r="RJU225" s="23"/>
      <c r="RJZ225" s="26"/>
      <c r="RKD225" s="23"/>
      <c r="RKI225" s="26"/>
      <c r="RKM225" s="23"/>
      <c r="RKR225" s="26"/>
      <c r="RKV225" s="23"/>
      <c r="RLA225" s="26"/>
      <c r="RLE225" s="23"/>
      <c r="RLJ225" s="26"/>
      <c r="RLN225" s="23"/>
      <c r="RLS225" s="26"/>
      <c r="RLW225" s="23"/>
      <c r="RMB225" s="26"/>
      <c r="RMF225" s="23"/>
      <c r="RMK225" s="26"/>
      <c r="RMO225" s="23"/>
      <c r="RMT225" s="26"/>
      <c r="RMX225" s="23"/>
      <c r="RNC225" s="26"/>
      <c r="RNG225" s="23"/>
      <c r="RNL225" s="26"/>
      <c r="RNP225" s="23"/>
      <c r="RNU225" s="26"/>
      <c r="RNY225" s="23"/>
      <c r="ROD225" s="26"/>
      <c r="ROH225" s="23"/>
      <c r="ROM225" s="26"/>
      <c r="ROQ225" s="23"/>
      <c r="ROV225" s="26"/>
      <c r="ROZ225" s="23"/>
      <c r="RPE225" s="26"/>
      <c r="RPI225" s="23"/>
      <c r="RPN225" s="26"/>
      <c r="RPR225" s="23"/>
      <c r="RPW225" s="26"/>
      <c r="RQA225" s="23"/>
      <c r="RQF225" s="26"/>
      <c r="RQJ225" s="23"/>
      <c r="RQO225" s="26"/>
      <c r="RQS225" s="23"/>
      <c r="RQX225" s="26"/>
      <c r="RRB225" s="23"/>
      <c r="RRG225" s="26"/>
      <c r="RRK225" s="23"/>
      <c r="RRP225" s="26"/>
      <c r="RRT225" s="23"/>
      <c r="RRY225" s="26"/>
      <c r="RSC225" s="23"/>
      <c r="RSH225" s="26"/>
      <c r="RSL225" s="23"/>
      <c r="RSQ225" s="26"/>
      <c r="RSU225" s="23"/>
      <c r="RSZ225" s="26"/>
      <c r="RTD225" s="23"/>
      <c r="RTI225" s="26"/>
      <c r="RTM225" s="23"/>
      <c r="RTR225" s="26"/>
      <c r="RTV225" s="23"/>
      <c r="RUA225" s="26"/>
      <c r="RUE225" s="23"/>
      <c r="RUJ225" s="26"/>
      <c r="RUN225" s="23"/>
      <c r="RUS225" s="26"/>
      <c r="RUW225" s="23"/>
      <c r="RVB225" s="26"/>
      <c r="RVF225" s="23"/>
      <c r="RVK225" s="26"/>
      <c r="RVO225" s="23"/>
      <c r="RVT225" s="26"/>
      <c r="RVX225" s="23"/>
      <c r="RWC225" s="26"/>
      <c r="RWG225" s="23"/>
      <c r="RWL225" s="26"/>
      <c r="RWP225" s="23"/>
      <c r="RWU225" s="26"/>
      <c r="RWY225" s="23"/>
      <c r="RXD225" s="26"/>
      <c r="RXH225" s="23"/>
      <c r="RXM225" s="26"/>
      <c r="RXQ225" s="23"/>
      <c r="RXV225" s="26"/>
      <c r="RXZ225" s="23"/>
      <c r="RYE225" s="26"/>
      <c r="RYI225" s="23"/>
      <c r="RYN225" s="26"/>
      <c r="RYR225" s="23"/>
      <c r="RYW225" s="26"/>
      <c r="RZA225" s="23"/>
      <c r="RZF225" s="26"/>
      <c r="RZJ225" s="23"/>
      <c r="RZO225" s="26"/>
      <c r="RZS225" s="23"/>
      <c r="RZX225" s="26"/>
      <c r="SAB225" s="23"/>
      <c r="SAG225" s="26"/>
      <c r="SAK225" s="23"/>
      <c r="SAP225" s="26"/>
      <c r="SAT225" s="23"/>
      <c r="SAY225" s="26"/>
      <c r="SBC225" s="23"/>
      <c r="SBH225" s="26"/>
      <c r="SBL225" s="23"/>
      <c r="SBQ225" s="26"/>
      <c r="SBU225" s="23"/>
      <c r="SBZ225" s="26"/>
      <c r="SCD225" s="23"/>
      <c r="SCI225" s="26"/>
      <c r="SCM225" s="23"/>
      <c r="SCR225" s="26"/>
      <c r="SCV225" s="23"/>
      <c r="SDA225" s="26"/>
      <c r="SDE225" s="23"/>
      <c r="SDJ225" s="26"/>
      <c r="SDN225" s="23"/>
      <c r="SDS225" s="26"/>
      <c r="SDW225" s="23"/>
      <c r="SEB225" s="26"/>
      <c r="SEF225" s="23"/>
      <c r="SEK225" s="26"/>
      <c r="SEO225" s="23"/>
      <c r="SET225" s="26"/>
      <c r="SEX225" s="23"/>
      <c r="SFC225" s="26"/>
      <c r="SFG225" s="23"/>
      <c r="SFL225" s="26"/>
      <c r="SFP225" s="23"/>
      <c r="SFU225" s="26"/>
      <c r="SFY225" s="23"/>
      <c r="SGD225" s="26"/>
      <c r="SGH225" s="23"/>
      <c r="SGM225" s="26"/>
      <c r="SGQ225" s="23"/>
      <c r="SGV225" s="26"/>
      <c r="SGZ225" s="23"/>
      <c r="SHE225" s="26"/>
      <c r="SHI225" s="23"/>
      <c r="SHN225" s="26"/>
      <c r="SHR225" s="23"/>
      <c r="SHW225" s="26"/>
      <c r="SIA225" s="23"/>
      <c r="SIF225" s="26"/>
      <c r="SIJ225" s="23"/>
      <c r="SIO225" s="26"/>
      <c r="SIS225" s="23"/>
      <c r="SIX225" s="26"/>
      <c r="SJB225" s="23"/>
      <c r="SJG225" s="26"/>
      <c r="SJK225" s="23"/>
      <c r="SJP225" s="26"/>
      <c r="SJT225" s="23"/>
      <c r="SJY225" s="26"/>
      <c r="SKC225" s="23"/>
      <c r="SKH225" s="26"/>
      <c r="SKL225" s="23"/>
      <c r="SKQ225" s="26"/>
      <c r="SKU225" s="23"/>
      <c r="SKZ225" s="26"/>
      <c r="SLD225" s="23"/>
      <c r="SLI225" s="26"/>
      <c r="SLM225" s="23"/>
      <c r="SLR225" s="26"/>
      <c r="SLV225" s="23"/>
      <c r="SMA225" s="26"/>
      <c r="SME225" s="23"/>
      <c r="SMJ225" s="26"/>
      <c r="SMN225" s="23"/>
      <c r="SMS225" s="26"/>
      <c r="SMW225" s="23"/>
      <c r="SNB225" s="26"/>
      <c r="SNF225" s="23"/>
      <c r="SNK225" s="26"/>
      <c r="SNO225" s="23"/>
      <c r="SNT225" s="26"/>
      <c r="SNX225" s="23"/>
      <c r="SOC225" s="26"/>
      <c r="SOG225" s="23"/>
      <c r="SOL225" s="26"/>
      <c r="SOP225" s="23"/>
      <c r="SOU225" s="26"/>
      <c r="SOY225" s="23"/>
      <c r="SPD225" s="26"/>
      <c r="SPH225" s="23"/>
      <c r="SPM225" s="26"/>
      <c r="SPQ225" s="23"/>
      <c r="SPV225" s="26"/>
      <c r="SPZ225" s="23"/>
      <c r="SQE225" s="26"/>
      <c r="SQI225" s="23"/>
      <c r="SQN225" s="26"/>
      <c r="SQR225" s="23"/>
      <c r="SQW225" s="26"/>
      <c r="SRA225" s="23"/>
      <c r="SRF225" s="26"/>
      <c r="SRJ225" s="23"/>
      <c r="SRO225" s="26"/>
      <c r="SRS225" s="23"/>
      <c r="SRX225" s="26"/>
      <c r="SSB225" s="23"/>
      <c r="SSG225" s="26"/>
      <c r="SSK225" s="23"/>
      <c r="SSP225" s="26"/>
      <c r="SST225" s="23"/>
      <c r="SSY225" s="26"/>
      <c r="STC225" s="23"/>
      <c r="STH225" s="26"/>
      <c r="STL225" s="23"/>
      <c r="STQ225" s="26"/>
      <c r="STU225" s="23"/>
      <c r="STZ225" s="26"/>
      <c r="SUD225" s="23"/>
      <c r="SUI225" s="26"/>
      <c r="SUM225" s="23"/>
      <c r="SUR225" s="26"/>
      <c r="SUV225" s="23"/>
      <c r="SVA225" s="26"/>
      <c r="SVE225" s="23"/>
      <c r="SVJ225" s="26"/>
      <c r="SVN225" s="23"/>
      <c r="SVS225" s="26"/>
      <c r="SVW225" s="23"/>
      <c r="SWB225" s="26"/>
      <c r="SWF225" s="23"/>
      <c r="SWK225" s="26"/>
      <c r="SWO225" s="23"/>
      <c r="SWT225" s="26"/>
      <c r="SWX225" s="23"/>
      <c r="SXC225" s="26"/>
      <c r="SXG225" s="23"/>
      <c r="SXL225" s="26"/>
      <c r="SXP225" s="23"/>
      <c r="SXU225" s="26"/>
      <c r="SXY225" s="23"/>
      <c r="SYD225" s="26"/>
      <c r="SYH225" s="23"/>
      <c r="SYM225" s="26"/>
      <c r="SYQ225" s="23"/>
      <c r="SYV225" s="26"/>
      <c r="SYZ225" s="23"/>
      <c r="SZE225" s="26"/>
      <c r="SZI225" s="23"/>
      <c r="SZN225" s="26"/>
      <c r="SZR225" s="23"/>
      <c r="SZW225" s="26"/>
      <c r="TAA225" s="23"/>
      <c r="TAF225" s="26"/>
      <c r="TAJ225" s="23"/>
      <c r="TAO225" s="26"/>
      <c r="TAS225" s="23"/>
      <c r="TAX225" s="26"/>
      <c r="TBB225" s="23"/>
      <c r="TBG225" s="26"/>
      <c r="TBK225" s="23"/>
      <c r="TBP225" s="26"/>
      <c r="TBT225" s="23"/>
      <c r="TBY225" s="26"/>
      <c r="TCC225" s="23"/>
      <c r="TCH225" s="26"/>
      <c r="TCL225" s="23"/>
      <c r="TCQ225" s="26"/>
      <c r="TCU225" s="23"/>
      <c r="TCZ225" s="26"/>
      <c r="TDD225" s="23"/>
      <c r="TDI225" s="26"/>
      <c r="TDM225" s="23"/>
      <c r="TDR225" s="26"/>
      <c r="TDV225" s="23"/>
      <c r="TEA225" s="26"/>
      <c r="TEE225" s="23"/>
      <c r="TEJ225" s="26"/>
      <c r="TEN225" s="23"/>
      <c r="TES225" s="26"/>
      <c r="TEW225" s="23"/>
      <c r="TFB225" s="26"/>
      <c r="TFF225" s="23"/>
      <c r="TFK225" s="26"/>
      <c r="TFO225" s="23"/>
      <c r="TFT225" s="26"/>
      <c r="TFX225" s="23"/>
      <c r="TGC225" s="26"/>
      <c r="TGG225" s="23"/>
      <c r="TGL225" s="26"/>
      <c r="TGP225" s="23"/>
      <c r="TGU225" s="26"/>
      <c r="TGY225" s="23"/>
      <c r="THD225" s="26"/>
      <c r="THH225" s="23"/>
      <c r="THM225" s="26"/>
      <c r="THQ225" s="23"/>
      <c r="THV225" s="26"/>
      <c r="THZ225" s="23"/>
      <c r="TIE225" s="26"/>
      <c r="TII225" s="23"/>
      <c r="TIN225" s="26"/>
      <c r="TIR225" s="23"/>
      <c r="TIW225" s="26"/>
      <c r="TJA225" s="23"/>
      <c r="TJF225" s="26"/>
      <c r="TJJ225" s="23"/>
      <c r="TJO225" s="26"/>
      <c r="TJS225" s="23"/>
      <c r="TJX225" s="26"/>
      <c r="TKB225" s="23"/>
      <c r="TKG225" s="26"/>
      <c r="TKK225" s="23"/>
      <c r="TKP225" s="26"/>
      <c r="TKT225" s="23"/>
      <c r="TKY225" s="26"/>
      <c r="TLC225" s="23"/>
      <c r="TLH225" s="26"/>
      <c r="TLL225" s="23"/>
      <c r="TLQ225" s="26"/>
      <c r="TLU225" s="23"/>
      <c r="TLZ225" s="26"/>
      <c r="TMD225" s="23"/>
      <c r="TMI225" s="26"/>
      <c r="TMM225" s="23"/>
      <c r="TMR225" s="26"/>
      <c r="TMV225" s="23"/>
      <c r="TNA225" s="26"/>
      <c r="TNE225" s="23"/>
      <c r="TNJ225" s="26"/>
      <c r="TNN225" s="23"/>
      <c r="TNS225" s="26"/>
      <c r="TNW225" s="23"/>
      <c r="TOB225" s="26"/>
      <c r="TOF225" s="23"/>
      <c r="TOK225" s="26"/>
      <c r="TOO225" s="23"/>
      <c r="TOT225" s="26"/>
      <c r="TOX225" s="23"/>
      <c r="TPC225" s="26"/>
      <c r="TPG225" s="23"/>
      <c r="TPL225" s="26"/>
      <c r="TPP225" s="23"/>
      <c r="TPU225" s="26"/>
      <c r="TPY225" s="23"/>
      <c r="TQD225" s="26"/>
      <c r="TQH225" s="23"/>
      <c r="TQM225" s="26"/>
      <c r="TQQ225" s="23"/>
      <c r="TQV225" s="26"/>
      <c r="TQZ225" s="23"/>
      <c r="TRE225" s="26"/>
      <c r="TRI225" s="23"/>
      <c r="TRN225" s="26"/>
      <c r="TRR225" s="23"/>
      <c r="TRW225" s="26"/>
      <c r="TSA225" s="23"/>
      <c r="TSF225" s="26"/>
      <c r="TSJ225" s="23"/>
      <c r="TSO225" s="26"/>
      <c r="TSS225" s="23"/>
      <c r="TSX225" s="26"/>
      <c r="TTB225" s="23"/>
      <c r="TTG225" s="26"/>
      <c r="TTK225" s="23"/>
      <c r="TTP225" s="26"/>
      <c r="TTT225" s="23"/>
      <c r="TTY225" s="26"/>
      <c r="TUC225" s="23"/>
      <c r="TUH225" s="26"/>
      <c r="TUL225" s="23"/>
      <c r="TUQ225" s="26"/>
      <c r="TUU225" s="23"/>
      <c r="TUZ225" s="26"/>
      <c r="TVD225" s="23"/>
      <c r="TVI225" s="26"/>
      <c r="TVM225" s="23"/>
      <c r="TVR225" s="26"/>
      <c r="TVV225" s="23"/>
      <c r="TWA225" s="26"/>
      <c r="TWE225" s="23"/>
      <c r="TWJ225" s="26"/>
      <c r="TWN225" s="23"/>
      <c r="TWS225" s="26"/>
      <c r="TWW225" s="23"/>
      <c r="TXB225" s="26"/>
      <c r="TXF225" s="23"/>
      <c r="TXK225" s="26"/>
      <c r="TXO225" s="23"/>
      <c r="TXT225" s="26"/>
      <c r="TXX225" s="23"/>
      <c r="TYC225" s="26"/>
      <c r="TYG225" s="23"/>
      <c r="TYL225" s="26"/>
      <c r="TYP225" s="23"/>
      <c r="TYU225" s="26"/>
      <c r="TYY225" s="23"/>
      <c r="TZD225" s="26"/>
      <c r="TZH225" s="23"/>
      <c r="TZM225" s="26"/>
      <c r="TZQ225" s="23"/>
      <c r="TZV225" s="26"/>
      <c r="TZZ225" s="23"/>
      <c r="UAE225" s="26"/>
      <c r="UAI225" s="23"/>
      <c r="UAN225" s="26"/>
      <c r="UAR225" s="23"/>
      <c r="UAW225" s="26"/>
      <c r="UBA225" s="23"/>
      <c r="UBF225" s="26"/>
      <c r="UBJ225" s="23"/>
      <c r="UBO225" s="26"/>
      <c r="UBS225" s="23"/>
      <c r="UBX225" s="26"/>
      <c r="UCB225" s="23"/>
      <c r="UCG225" s="26"/>
      <c r="UCK225" s="23"/>
      <c r="UCP225" s="26"/>
      <c r="UCT225" s="23"/>
      <c r="UCY225" s="26"/>
      <c r="UDC225" s="23"/>
      <c r="UDH225" s="26"/>
      <c r="UDL225" s="23"/>
      <c r="UDQ225" s="26"/>
      <c r="UDU225" s="23"/>
      <c r="UDZ225" s="26"/>
      <c r="UED225" s="23"/>
      <c r="UEI225" s="26"/>
      <c r="UEM225" s="23"/>
      <c r="UER225" s="26"/>
      <c r="UEV225" s="23"/>
      <c r="UFA225" s="26"/>
      <c r="UFE225" s="23"/>
      <c r="UFJ225" s="26"/>
      <c r="UFN225" s="23"/>
      <c r="UFS225" s="26"/>
      <c r="UFW225" s="23"/>
      <c r="UGB225" s="26"/>
      <c r="UGF225" s="23"/>
      <c r="UGK225" s="26"/>
      <c r="UGO225" s="23"/>
      <c r="UGT225" s="26"/>
      <c r="UGX225" s="23"/>
      <c r="UHC225" s="26"/>
      <c r="UHG225" s="23"/>
      <c r="UHL225" s="26"/>
      <c r="UHP225" s="23"/>
      <c r="UHU225" s="26"/>
      <c r="UHY225" s="23"/>
      <c r="UID225" s="26"/>
      <c r="UIH225" s="23"/>
      <c r="UIM225" s="26"/>
      <c r="UIQ225" s="23"/>
      <c r="UIV225" s="26"/>
      <c r="UIZ225" s="23"/>
      <c r="UJE225" s="26"/>
      <c r="UJI225" s="23"/>
      <c r="UJN225" s="26"/>
      <c r="UJR225" s="23"/>
      <c r="UJW225" s="26"/>
      <c r="UKA225" s="23"/>
      <c r="UKF225" s="26"/>
      <c r="UKJ225" s="23"/>
      <c r="UKO225" s="26"/>
      <c r="UKS225" s="23"/>
      <c r="UKX225" s="26"/>
      <c r="ULB225" s="23"/>
      <c r="ULG225" s="26"/>
      <c r="ULK225" s="23"/>
      <c r="ULP225" s="26"/>
      <c r="ULT225" s="23"/>
      <c r="ULY225" s="26"/>
      <c r="UMC225" s="23"/>
      <c r="UMH225" s="26"/>
      <c r="UML225" s="23"/>
      <c r="UMQ225" s="26"/>
      <c r="UMU225" s="23"/>
      <c r="UMZ225" s="26"/>
      <c r="UND225" s="23"/>
      <c r="UNI225" s="26"/>
      <c r="UNM225" s="23"/>
      <c r="UNR225" s="26"/>
      <c r="UNV225" s="23"/>
      <c r="UOA225" s="26"/>
      <c r="UOE225" s="23"/>
      <c r="UOJ225" s="26"/>
      <c r="UON225" s="23"/>
      <c r="UOS225" s="26"/>
      <c r="UOW225" s="23"/>
      <c r="UPB225" s="26"/>
      <c r="UPF225" s="23"/>
      <c r="UPK225" s="26"/>
      <c r="UPO225" s="23"/>
      <c r="UPT225" s="26"/>
      <c r="UPX225" s="23"/>
      <c r="UQC225" s="26"/>
      <c r="UQG225" s="23"/>
      <c r="UQL225" s="26"/>
      <c r="UQP225" s="23"/>
      <c r="UQU225" s="26"/>
      <c r="UQY225" s="23"/>
      <c r="URD225" s="26"/>
      <c r="URH225" s="23"/>
      <c r="URM225" s="26"/>
      <c r="URQ225" s="23"/>
      <c r="URV225" s="26"/>
      <c r="URZ225" s="23"/>
      <c r="USE225" s="26"/>
      <c r="USI225" s="23"/>
      <c r="USN225" s="26"/>
      <c r="USR225" s="23"/>
      <c r="USW225" s="26"/>
      <c r="UTA225" s="23"/>
      <c r="UTF225" s="26"/>
      <c r="UTJ225" s="23"/>
      <c r="UTO225" s="26"/>
      <c r="UTS225" s="23"/>
      <c r="UTX225" s="26"/>
      <c r="UUB225" s="23"/>
      <c r="UUG225" s="26"/>
      <c r="UUK225" s="23"/>
      <c r="UUP225" s="26"/>
      <c r="UUT225" s="23"/>
      <c r="UUY225" s="26"/>
      <c r="UVC225" s="23"/>
      <c r="UVH225" s="26"/>
      <c r="UVL225" s="23"/>
      <c r="UVQ225" s="26"/>
      <c r="UVU225" s="23"/>
      <c r="UVZ225" s="26"/>
      <c r="UWD225" s="23"/>
      <c r="UWI225" s="26"/>
      <c r="UWM225" s="23"/>
      <c r="UWR225" s="26"/>
      <c r="UWV225" s="23"/>
      <c r="UXA225" s="26"/>
      <c r="UXE225" s="23"/>
      <c r="UXJ225" s="26"/>
      <c r="UXN225" s="23"/>
      <c r="UXS225" s="26"/>
      <c r="UXW225" s="23"/>
      <c r="UYB225" s="26"/>
      <c r="UYF225" s="23"/>
      <c r="UYK225" s="26"/>
      <c r="UYO225" s="23"/>
      <c r="UYT225" s="26"/>
      <c r="UYX225" s="23"/>
      <c r="UZC225" s="26"/>
      <c r="UZG225" s="23"/>
      <c r="UZL225" s="26"/>
      <c r="UZP225" s="23"/>
      <c r="UZU225" s="26"/>
      <c r="UZY225" s="23"/>
      <c r="VAD225" s="26"/>
      <c r="VAH225" s="23"/>
      <c r="VAM225" s="26"/>
      <c r="VAQ225" s="23"/>
      <c r="VAV225" s="26"/>
      <c r="VAZ225" s="23"/>
      <c r="VBE225" s="26"/>
      <c r="VBI225" s="23"/>
      <c r="VBN225" s="26"/>
      <c r="VBR225" s="23"/>
      <c r="VBW225" s="26"/>
      <c r="VCA225" s="23"/>
      <c r="VCF225" s="26"/>
      <c r="VCJ225" s="23"/>
      <c r="VCO225" s="26"/>
      <c r="VCS225" s="23"/>
      <c r="VCX225" s="26"/>
      <c r="VDB225" s="23"/>
      <c r="VDG225" s="26"/>
      <c r="VDK225" s="23"/>
      <c r="VDP225" s="26"/>
      <c r="VDT225" s="23"/>
      <c r="VDY225" s="26"/>
      <c r="VEC225" s="23"/>
      <c r="VEH225" s="26"/>
      <c r="VEL225" s="23"/>
      <c r="VEQ225" s="26"/>
      <c r="VEU225" s="23"/>
      <c r="VEZ225" s="26"/>
      <c r="VFD225" s="23"/>
      <c r="VFI225" s="26"/>
      <c r="VFM225" s="23"/>
      <c r="VFR225" s="26"/>
      <c r="VFV225" s="23"/>
      <c r="VGA225" s="26"/>
      <c r="VGE225" s="23"/>
      <c r="VGJ225" s="26"/>
      <c r="VGN225" s="23"/>
      <c r="VGS225" s="26"/>
      <c r="VGW225" s="23"/>
      <c r="VHB225" s="26"/>
      <c r="VHF225" s="23"/>
      <c r="VHK225" s="26"/>
      <c r="VHO225" s="23"/>
      <c r="VHT225" s="26"/>
      <c r="VHX225" s="23"/>
      <c r="VIC225" s="26"/>
      <c r="VIG225" s="23"/>
      <c r="VIL225" s="26"/>
      <c r="VIP225" s="23"/>
      <c r="VIU225" s="26"/>
      <c r="VIY225" s="23"/>
      <c r="VJD225" s="26"/>
      <c r="VJH225" s="23"/>
      <c r="VJM225" s="26"/>
      <c r="VJQ225" s="23"/>
      <c r="VJV225" s="26"/>
      <c r="VJZ225" s="23"/>
      <c r="VKE225" s="26"/>
      <c r="VKI225" s="23"/>
      <c r="VKN225" s="26"/>
      <c r="VKR225" s="23"/>
      <c r="VKW225" s="26"/>
      <c r="VLA225" s="23"/>
      <c r="VLF225" s="26"/>
      <c r="VLJ225" s="23"/>
      <c r="VLO225" s="26"/>
      <c r="VLS225" s="23"/>
      <c r="VLX225" s="26"/>
      <c r="VMB225" s="23"/>
      <c r="VMG225" s="26"/>
      <c r="VMK225" s="23"/>
      <c r="VMP225" s="26"/>
      <c r="VMT225" s="23"/>
      <c r="VMY225" s="26"/>
      <c r="VNC225" s="23"/>
      <c r="VNH225" s="26"/>
      <c r="VNL225" s="23"/>
      <c r="VNQ225" s="26"/>
      <c r="VNU225" s="23"/>
      <c r="VNZ225" s="26"/>
      <c r="VOD225" s="23"/>
      <c r="VOI225" s="26"/>
      <c r="VOM225" s="23"/>
      <c r="VOR225" s="26"/>
      <c r="VOV225" s="23"/>
      <c r="VPA225" s="26"/>
      <c r="VPE225" s="23"/>
      <c r="VPJ225" s="26"/>
      <c r="VPN225" s="23"/>
      <c r="VPS225" s="26"/>
      <c r="VPW225" s="23"/>
      <c r="VQB225" s="26"/>
      <c r="VQF225" s="23"/>
      <c r="VQK225" s="26"/>
      <c r="VQO225" s="23"/>
      <c r="VQT225" s="26"/>
      <c r="VQX225" s="23"/>
      <c r="VRC225" s="26"/>
      <c r="VRG225" s="23"/>
      <c r="VRL225" s="26"/>
      <c r="VRP225" s="23"/>
      <c r="VRU225" s="26"/>
      <c r="VRY225" s="23"/>
      <c r="VSD225" s="26"/>
      <c r="VSH225" s="23"/>
      <c r="VSM225" s="26"/>
      <c r="VSQ225" s="23"/>
      <c r="VSV225" s="26"/>
      <c r="VSZ225" s="23"/>
      <c r="VTE225" s="26"/>
      <c r="VTI225" s="23"/>
      <c r="VTN225" s="26"/>
      <c r="VTR225" s="23"/>
      <c r="VTW225" s="26"/>
      <c r="VUA225" s="23"/>
      <c r="VUF225" s="26"/>
      <c r="VUJ225" s="23"/>
      <c r="VUO225" s="26"/>
      <c r="VUS225" s="23"/>
      <c r="VUX225" s="26"/>
      <c r="VVB225" s="23"/>
      <c r="VVG225" s="26"/>
      <c r="VVK225" s="23"/>
      <c r="VVP225" s="26"/>
      <c r="VVT225" s="23"/>
      <c r="VVY225" s="26"/>
      <c r="VWC225" s="23"/>
      <c r="VWH225" s="26"/>
      <c r="VWL225" s="23"/>
      <c r="VWQ225" s="26"/>
      <c r="VWU225" s="23"/>
      <c r="VWZ225" s="26"/>
      <c r="VXD225" s="23"/>
      <c r="VXI225" s="26"/>
      <c r="VXM225" s="23"/>
      <c r="VXR225" s="26"/>
      <c r="VXV225" s="23"/>
      <c r="VYA225" s="26"/>
      <c r="VYE225" s="23"/>
      <c r="VYJ225" s="26"/>
      <c r="VYN225" s="23"/>
      <c r="VYS225" s="26"/>
      <c r="VYW225" s="23"/>
      <c r="VZB225" s="26"/>
      <c r="VZF225" s="23"/>
      <c r="VZK225" s="26"/>
      <c r="VZO225" s="23"/>
      <c r="VZT225" s="26"/>
      <c r="VZX225" s="23"/>
      <c r="WAC225" s="26"/>
      <c r="WAG225" s="23"/>
      <c r="WAL225" s="26"/>
      <c r="WAP225" s="23"/>
      <c r="WAU225" s="26"/>
      <c r="WAY225" s="23"/>
      <c r="WBD225" s="26"/>
      <c r="WBH225" s="23"/>
      <c r="WBM225" s="26"/>
      <c r="WBQ225" s="23"/>
      <c r="WBV225" s="26"/>
      <c r="WBZ225" s="23"/>
      <c r="WCE225" s="26"/>
      <c r="WCI225" s="23"/>
      <c r="WCN225" s="26"/>
      <c r="WCR225" s="23"/>
      <c r="WCW225" s="26"/>
      <c r="WDA225" s="23"/>
      <c r="WDF225" s="26"/>
      <c r="WDJ225" s="23"/>
      <c r="WDO225" s="26"/>
      <c r="WDS225" s="23"/>
      <c r="WDX225" s="26"/>
      <c r="WEB225" s="23"/>
      <c r="WEG225" s="26"/>
      <c r="WEK225" s="23"/>
      <c r="WEP225" s="26"/>
      <c r="WET225" s="23"/>
      <c r="WEY225" s="26"/>
      <c r="WFC225" s="23"/>
      <c r="WFH225" s="26"/>
      <c r="WFL225" s="23"/>
      <c r="WFQ225" s="26"/>
      <c r="WFU225" s="23"/>
      <c r="WFZ225" s="26"/>
      <c r="WGD225" s="23"/>
      <c r="WGI225" s="26"/>
      <c r="WGM225" s="23"/>
      <c r="WGR225" s="26"/>
      <c r="WGV225" s="23"/>
      <c r="WHA225" s="26"/>
      <c r="WHE225" s="23"/>
      <c r="WHJ225" s="26"/>
      <c r="WHN225" s="23"/>
      <c r="WHS225" s="26"/>
      <c r="WHW225" s="23"/>
      <c r="WIB225" s="26"/>
      <c r="WIF225" s="23"/>
      <c r="WIK225" s="26"/>
      <c r="WIO225" s="23"/>
      <c r="WIT225" s="26"/>
      <c r="WIX225" s="23"/>
      <c r="WJC225" s="26"/>
      <c r="WJG225" s="23"/>
      <c r="WJL225" s="26"/>
      <c r="WJP225" s="23"/>
      <c r="WJU225" s="26"/>
      <c r="WJY225" s="23"/>
      <c r="WKD225" s="26"/>
      <c r="WKH225" s="23"/>
      <c r="WKM225" s="26"/>
      <c r="WKQ225" s="23"/>
      <c r="WKV225" s="26"/>
      <c r="WKZ225" s="23"/>
      <c r="WLE225" s="26"/>
      <c r="WLI225" s="23"/>
      <c r="WLN225" s="26"/>
      <c r="WLR225" s="23"/>
      <c r="WLW225" s="26"/>
      <c r="WMA225" s="23"/>
      <c r="WMF225" s="26"/>
      <c r="WMJ225" s="23"/>
      <c r="WMO225" s="26"/>
      <c r="WMS225" s="23"/>
      <c r="WMX225" s="26"/>
      <c r="WNB225" s="23"/>
      <c r="WNG225" s="26"/>
      <c r="WNK225" s="23"/>
      <c r="WNP225" s="26"/>
      <c r="WNT225" s="23"/>
      <c r="WNY225" s="26"/>
      <c r="WOC225" s="23"/>
      <c r="WOH225" s="26"/>
      <c r="WOL225" s="23"/>
      <c r="WOQ225" s="26"/>
      <c r="WOU225" s="23"/>
      <c r="WOZ225" s="26"/>
      <c r="WPD225" s="23"/>
      <c r="WPI225" s="26"/>
      <c r="WPM225" s="23"/>
      <c r="WPR225" s="26"/>
      <c r="WPV225" s="23"/>
      <c r="WQA225" s="26"/>
      <c r="WQE225" s="23"/>
      <c r="WQJ225" s="26"/>
      <c r="WQN225" s="23"/>
      <c r="WQS225" s="26"/>
      <c r="WQW225" s="23"/>
      <c r="WRB225" s="26"/>
      <c r="WRF225" s="23"/>
      <c r="WRK225" s="26"/>
      <c r="WRO225" s="23"/>
      <c r="WRT225" s="26"/>
      <c r="WRX225" s="23"/>
      <c r="WSC225" s="26"/>
      <c r="WSG225" s="23"/>
      <c r="WSL225" s="26"/>
      <c r="WSP225" s="23"/>
      <c r="WSU225" s="26"/>
      <c r="WSY225" s="23"/>
      <c r="WTD225" s="26"/>
      <c r="WTH225" s="23"/>
      <c r="WTM225" s="26"/>
      <c r="WTQ225" s="23"/>
      <c r="WTV225" s="26"/>
      <c r="WTZ225" s="23"/>
      <c r="WUE225" s="26"/>
      <c r="WUI225" s="23"/>
      <c r="WUN225" s="26"/>
      <c r="WUR225" s="23"/>
      <c r="WUW225" s="26"/>
      <c r="WVA225" s="23"/>
      <c r="WVF225" s="26"/>
      <c r="WVJ225" s="23"/>
      <c r="WVO225" s="26"/>
      <c r="WVS225" s="23"/>
      <c r="WVX225" s="26"/>
      <c r="WWB225" s="23"/>
      <c r="WWG225" s="26"/>
      <c r="WWK225" s="23"/>
      <c r="WWP225" s="26"/>
      <c r="WWT225" s="23"/>
      <c r="WWY225" s="26"/>
      <c r="WXC225" s="23"/>
      <c r="WXH225" s="26"/>
      <c r="WXL225" s="23"/>
      <c r="WXQ225" s="26"/>
      <c r="WXU225" s="23"/>
      <c r="WXZ225" s="26"/>
      <c r="WYD225" s="23"/>
      <c r="WYI225" s="26"/>
      <c r="WYM225" s="23"/>
      <c r="WYR225" s="26"/>
      <c r="WYV225" s="23"/>
      <c r="WZA225" s="26"/>
      <c r="WZE225" s="23"/>
      <c r="WZJ225" s="26"/>
      <c r="WZN225" s="23"/>
      <c r="WZS225" s="26"/>
      <c r="WZW225" s="23"/>
      <c r="XAB225" s="26"/>
      <c r="XAF225" s="23"/>
      <c r="XAK225" s="26"/>
      <c r="XAO225" s="23"/>
      <c r="XAT225" s="26"/>
      <c r="XAX225" s="23"/>
      <c r="XBC225" s="26"/>
      <c r="XBG225" s="23"/>
      <c r="XBL225" s="26"/>
      <c r="XBP225" s="23"/>
      <c r="XBU225" s="26"/>
      <c r="XBY225" s="23"/>
      <c r="XCD225" s="26"/>
      <c r="XCH225" s="23"/>
      <c r="XCM225" s="26"/>
      <c r="XCQ225" s="23"/>
      <c r="XCV225" s="26"/>
      <c r="XCZ225" s="23"/>
      <c r="XDE225" s="26"/>
      <c r="XDI225" s="23"/>
      <c r="XDN225" s="26"/>
      <c r="XDR225" s="23"/>
      <c r="XDW225" s="26"/>
      <c r="XEA225" s="23"/>
      <c r="XEF225" s="26"/>
      <c r="XEJ225" s="23"/>
      <c r="XEO225" s="26"/>
      <c r="XES225" s="23"/>
      <c r="XEX225" s="26"/>
      <c r="XFB225" s="23"/>
    </row>
    <row r="226" spans="2:1024 1028:2045 2050:3071 3076:4093 4097:5119 5123:6140 6145:7166 7171:8192 8197:9214 9218:10240 10244:11261 11266:12287 12292:13309 13313:14335 14339:15356 15361:16382" x14ac:dyDescent="0.3">
      <c r="B226" s="23"/>
      <c r="K226" s="23"/>
      <c r="P226" s="26"/>
      <c r="T226" s="23"/>
      <c r="Y226" s="26"/>
      <c r="AC226" s="23"/>
      <c r="AH226" s="26"/>
      <c r="AL226" s="23"/>
      <c r="AQ226" s="26"/>
      <c r="AU226" s="23"/>
      <c r="AZ226" s="26"/>
      <c r="BD226" s="23"/>
      <c r="BI226" s="26"/>
      <c r="BM226" s="23"/>
      <c r="BR226" s="26"/>
      <c r="BV226" s="23"/>
      <c r="CA226" s="26"/>
      <c r="CE226" s="23"/>
      <c r="CJ226" s="26"/>
      <c r="CN226" s="23"/>
      <c r="CS226" s="26"/>
      <c r="CW226" s="23"/>
      <c r="DB226" s="26"/>
      <c r="DF226" s="23"/>
      <c r="DK226" s="26"/>
      <c r="DO226" s="23"/>
      <c r="DT226" s="26"/>
      <c r="DX226" s="23"/>
      <c r="EC226" s="26"/>
      <c r="EG226" s="23"/>
      <c r="EL226" s="26"/>
      <c r="EP226" s="23"/>
      <c r="EU226" s="26"/>
      <c r="EY226" s="23"/>
      <c r="FD226" s="26"/>
      <c r="FH226" s="23"/>
      <c r="FM226" s="26"/>
      <c r="FQ226" s="23"/>
      <c r="FV226" s="26"/>
      <c r="FZ226" s="23"/>
      <c r="GE226" s="26"/>
      <c r="GI226" s="23"/>
      <c r="GN226" s="26"/>
      <c r="GR226" s="23"/>
      <c r="GW226" s="26"/>
      <c r="HA226" s="23"/>
      <c r="HF226" s="26"/>
      <c r="HJ226" s="23"/>
      <c r="HO226" s="26"/>
      <c r="HS226" s="23"/>
      <c r="HX226" s="26"/>
      <c r="IB226" s="23"/>
      <c r="IG226" s="26"/>
      <c r="IK226" s="23"/>
      <c r="IP226" s="26"/>
      <c r="IT226" s="23"/>
      <c r="IY226" s="26"/>
      <c r="JC226" s="23"/>
      <c r="JH226" s="26"/>
      <c r="JL226" s="23"/>
      <c r="JQ226" s="26"/>
      <c r="JU226" s="23"/>
      <c r="JZ226" s="26"/>
      <c r="KD226" s="23"/>
      <c r="KI226" s="26"/>
      <c r="KM226" s="23"/>
      <c r="KR226" s="26"/>
      <c r="KV226" s="23"/>
      <c r="LA226" s="26"/>
      <c r="LE226" s="23"/>
      <c r="LJ226" s="26"/>
      <c r="LN226" s="23"/>
      <c r="LS226" s="26"/>
      <c r="LW226" s="23"/>
      <c r="MB226" s="26"/>
      <c r="MF226" s="23"/>
      <c r="MK226" s="26"/>
      <c r="MO226" s="23"/>
      <c r="MT226" s="26"/>
      <c r="MX226" s="23"/>
      <c r="NC226" s="26"/>
      <c r="NG226" s="23"/>
      <c r="NL226" s="26"/>
      <c r="NP226" s="23"/>
      <c r="NU226" s="26"/>
      <c r="NY226" s="23"/>
      <c r="OD226" s="26"/>
      <c r="OH226" s="23"/>
      <c r="OM226" s="26"/>
      <c r="OQ226" s="23"/>
      <c r="OV226" s="26"/>
      <c r="OZ226" s="23"/>
      <c r="PE226" s="26"/>
      <c r="PI226" s="23"/>
      <c r="PN226" s="26"/>
      <c r="PR226" s="23"/>
      <c r="PW226" s="26"/>
      <c r="QA226" s="23"/>
      <c r="QF226" s="26"/>
      <c r="QJ226" s="23"/>
      <c r="QO226" s="26"/>
      <c r="QS226" s="23"/>
      <c r="QX226" s="26"/>
      <c r="RB226" s="23"/>
      <c r="RG226" s="26"/>
      <c r="RK226" s="23"/>
      <c r="RP226" s="26"/>
      <c r="RT226" s="23"/>
      <c r="RY226" s="26"/>
      <c r="SC226" s="23"/>
      <c r="SH226" s="26"/>
      <c r="SL226" s="23"/>
      <c r="SQ226" s="26"/>
      <c r="SU226" s="23"/>
      <c r="SZ226" s="26"/>
      <c r="TD226" s="23"/>
      <c r="TI226" s="26"/>
      <c r="TM226" s="23"/>
      <c r="TR226" s="26"/>
      <c r="TV226" s="23"/>
      <c r="UA226" s="26"/>
      <c r="UE226" s="23"/>
      <c r="UJ226" s="26"/>
      <c r="UN226" s="23"/>
      <c r="US226" s="26"/>
      <c r="UW226" s="23"/>
      <c r="VB226" s="26"/>
      <c r="VF226" s="23"/>
      <c r="VK226" s="26"/>
      <c r="VO226" s="23"/>
      <c r="VT226" s="26"/>
      <c r="VX226" s="23"/>
      <c r="WC226" s="26"/>
      <c r="WG226" s="23"/>
      <c r="WL226" s="26"/>
      <c r="WP226" s="23"/>
      <c r="WU226" s="26"/>
      <c r="WY226" s="23"/>
      <c r="XD226" s="26"/>
      <c r="XH226" s="23"/>
      <c r="XM226" s="26"/>
      <c r="XQ226" s="23"/>
      <c r="XV226" s="26"/>
      <c r="XZ226" s="23"/>
      <c r="YE226" s="26"/>
      <c r="YI226" s="23"/>
      <c r="YN226" s="26"/>
      <c r="YR226" s="23"/>
      <c r="YW226" s="26"/>
      <c r="ZA226" s="23"/>
      <c r="ZF226" s="26"/>
      <c r="ZJ226" s="23"/>
      <c r="ZO226" s="26"/>
      <c r="ZS226" s="23"/>
      <c r="ZX226" s="26"/>
      <c r="AAB226" s="23"/>
      <c r="AAG226" s="26"/>
      <c r="AAK226" s="23"/>
      <c r="AAP226" s="26"/>
      <c r="AAT226" s="23"/>
      <c r="AAY226" s="26"/>
      <c r="ABC226" s="23"/>
      <c r="ABH226" s="26"/>
      <c r="ABL226" s="23"/>
      <c r="ABQ226" s="26"/>
      <c r="ABU226" s="23"/>
      <c r="ABZ226" s="26"/>
      <c r="ACD226" s="23"/>
      <c r="ACI226" s="26"/>
      <c r="ACM226" s="23"/>
      <c r="ACR226" s="26"/>
      <c r="ACV226" s="23"/>
      <c r="ADA226" s="26"/>
      <c r="ADE226" s="23"/>
      <c r="ADJ226" s="26"/>
      <c r="ADN226" s="23"/>
      <c r="ADS226" s="26"/>
      <c r="ADW226" s="23"/>
      <c r="AEB226" s="26"/>
      <c r="AEF226" s="23"/>
      <c r="AEK226" s="26"/>
      <c r="AEO226" s="23"/>
      <c r="AET226" s="26"/>
      <c r="AEX226" s="23"/>
      <c r="AFC226" s="26"/>
      <c r="AFG226" s="23"/>
      <c r="AFL226" s="26"/>
      <c r="AFP226" s="23"/>
      <c r="AFU226" s="26"/>
      <c r="AFY226" s="23"/>
      <c r="AGD226" s="26"/>
      <c r="AGH226" s="23"/>
      <c r="AGM226" s="26"/>
      <c r="AGQ226" s="23"/>
      <c r="AGV226" s="26"/>
      <c r="AGZ226" s="23"/>
      <c r="AHE226" s="26"/>
      <c r="AHI226" s="23"/>
      <c r="AHN226" s="26"/>
      <c r="AHR226" s="23"/>
      <c r="AHW226" s="26"/>
      <c r="AIA226" s="23"/>
      <c r="AIF226" s="26"/>
      <c r="AIJ226" s="23"/>
      <c r="AIO226" s="26"/>
      <c r="AIS226" s="23"/>
      <c r="AIX226" s="26"/>
      <c r="AJB226" s="23"/>
      <c r="AJG226" s="26"/>
      <c r="AJK226" s="23"/>
      <c r="AJP226" s="26"/>
      <c r="AJT226" s="23"/>
      <c r="AJY226" s="26"/>
      <c r="AKC226" s="23"/>
      <c r="AKH226" s="26"/>
      <c r="AKL226" s="23"/>
      <c r="AKQ226" s="26"/>
      <c r="AKU226" s="23"/>
      <c r="AKZ226" s="26"/>
      <c r="ALD226" s="23"/>
      <c r="ALI226" s="26"/>
      <c r="ALM226" s="23"/>
      <c r="ALR226" s="26"/>
      <c r="ALV226" s="23"/>
      <c r="AMA226" s="26"/>
      <c r="AME226" s="23"/>
      <c r="AMJ226" s="26"/>
      <c r="AMN226" s="23"/>
      <c r="AMS226" s="26"/>
      <c r="AMW226" s="23"/>
      <c r="ANB226" s="26"/>
      <c r="ANF226" s="23"/>
      <c r="ANK226" s="26"/>
      <c r="ANO226" s="23"/>
      <c r="ANT226" s="26"/>
      <c r="ANX226" s="23"/>
      <c r="AOC226" s="26"/>
      <c r="AOG226" s="23"/>
      <c r="AOL226" s="26"/>
      <c r="AOP226" s="23"/>
      <c r="AOU226" s="26"/>
      <c r="AOY226" s="23"/>
      <c r="APD226" s="26"/>
      <c r="APH226" s="23"/>
      <c r="APM226" s="26"/>
      <c r="APQ226" s="23"/>
      <c r="APV226" s="26"/>
      <c r="APZ226" s="23"/>
      <c r="AQE226" s="26"/>
      <c r="AQI226" s="23"/>
      <c r="AQN226" s="26"/>
      <c r="AQR226" s="23"/>
      <c r="AQW226" s="26"/>
      <c r="ARA226" s="23"/>
      <c r="ARF226" s="26"/>
      <c r="ARJ226" s="23"/>
      <c r="ARO226" s="26"/>
      <c r="ARS226" s="23"/>
      <c r="ARX226" s="26"/>
      <c r="ASB226" s="23"/>
      <c r="ASG226" s="26"/>
      <c r="ASK226" s="23"/>
      <c r="ASP226" s="26"/>
      <c r="AST226" s="23"/>
      <c r="ASY226" s="26"/>
      <c r="ATC226" s="23"/>
      <c r="ATH226" s="26"/>
      <c r="ATL226" s="23"/>
      <c r="ATQ226" s="26"/>
      <c r="ATU226" s="23"/>
      <c r="ATZ226" s="26"/>
      <c r="AUD226" s="23"/>
      <c r="AUI226" s="26"/>
      <c r="AUM226" s="23"/>
      <c r="AUR226" s="26"/>
      <c r="AUV226" s="23"/>
      <c r="AVA226" s="26"/>
      <c r="AVE226" s="23"/>
      <c r="AVJ226" s="26"/>
      <c r="AVN226" s="23"/>
      <c r="AVS226" s="26"/>
      <c r="AVW226" s="23"/>
      <c r="AWB226" s="26"/>
      <c r="AWF226" s="23"/>
      <c r="AWK226" s="26"/>
      <c r="AWO226" s="23"/>
      <c r="AWT226" s="26"/>
      <c r="AWX226" s="23"/>
      <c r="AXC226" s="26"/>
      <c r="AXG226" s="23"/>
      <c r="AXL226" s="26"/>
      <c r="AXP226" s="23"/>
      <c r="AXU226" s="26"/>
      <c r="AXY226" s="23"/>
      <c r="AYD226" s="26"/>
      <c r="AYH226" s="23"/>
      <c r="AYM226" s="26"/>
      <c r="AYQ226" s="23"/>
      <c r="AYV226" s="26"/>
      <c r="AYZ226" s="23"/>
      <c r="AZE226" s="26"/>
      <c r="AZI226" s="23"/>
      <c r="AZN226" s="26"/>
      <c r="AZR226" s="23"/>
      <c r="AZW226" s="26"/>
      <c r="BAA226" s="23"/>
      <c r="BAF226" s="26"/>
      <c r="BAJ226" s="23"/>
      <c r="BAO226" s="26"/>
      <c r="BAS226" s="23"/>
      <c r="BAX226" s="26"/>
      <c r="BBB226" s="23"/>
      <c r="BBG226" s="26"/>
      <c r="BBK226" s="23"/>
      <c r="BBP226" s="26"/>
      <c r="BBT226" s="23"/>
      <c r="BBY226" s="26"/>
      <c r="BCC226" s="23"/>
      <c r="BCH226" s="26"/>
      <c r="BCL226" s="23"/>
      <c r="BCQ226" s="26"/>
      <c r="BCU226" s="23"/>
      <c r="BCZ226" s="26"/>
      <c r="BDD226" s="23"/>
      <c r="BDI226" s="26"/>
      <c r="BDM226" s="23"/>
      <c r="BDR226" s="26"/>
      <c r="BDV226" s="23"/>
      <c r="BEA226" s="26"/>
      <c r="BEE226" s="23"/>
      <c r="BEJ226" s="26"/>
      <c r="BEN226" s="23"/>
      <c r="BES226" s="26"/>
      <c r="BEW226" s="23"/>
      <c r="BFB226" s="26"/>
      <c r="BFF226" s="23"/>
      <c r="BFK226" s="26"/>
      <c r="BFO226" s="23"/>
      <c r="BFT226" s="26"/>
      <c r="BFX226" s="23"/>
      <c r="BGC226" s="26"/>
      <c r="BGG226" s="23"/>
      <c r="BGL226" s="26"/>
      <c r="BGP226" s="23"/>
      <c r="BGU226" s="26"/>
      <c r="BGY226" s="23"/>
      <c r="BHD226" s="26"/>
      <c r="BHH226" s="23"/>
      <c r="BHM226" s="26"/>
      <c r="BHQ226" s="23"/>
      <c r="BHV226" s="26"/>
      <c r="BHZ226" s="23"/>
      <c r="BIE226" s="26"/>
      <c r="BII226" s="23"/>
      <c r="BIN226" s="26"/>
      <c r="BIR226" s="23"/>
      <c r="BIW226" s="26"/>
      <c r="BJA226" s="23"/>
      <c r="BJF226" s="26"/>
      <c r="BJJ226" s="23"/>
      <c r="BJO226" s="26"/>
      <c r="BJS226" s="23"/>
      <c r="BJX226" s="26"/>
      <c r="BKB226" s="23"/>
      <c r="BKG226" s="26"/>
      <c r="BKK226" s="23"/>
      <c r="BKP226" s="26"/>
      <c r="BKT226" s="23"/>
      <c r="BKY226" s="26"/>
      <c r="BLC226" s="23"/>
      <c r="BLH226" s="26"/>
      <c r="BLL226" s="23"/>
      <c r="BLQ226" s="26"/>
      <c r="BLU226" s="23"/>
      <c r="BLZ226" s="26"/>
      <c r="BMD226" s="23"/>
      <c r="BMI226" s="26"/>
      <c r="BMM226" s="23"/>
      <c r="BMR226" s="26"/>
      <c r="BMV226" s="23"/>
      <c r="BNA226" s="26"/>
      <c r="BNE226" s="23"/>
      <c r="BNJ226" s="26"/>
      <c r="BNN226" s="23"/>
      <c r="BNS226" s="26"/>
      <c r="BNW226" s="23"/>
      <c r="BOB226" s="26"/>
      <c r="BOF226" s="23"/>
      <c r="BOK226" s="26"/>
      <c r="BOO226" s="23"/>
      <c r="BOT226" s="26"/>
      <c r="BOX226" s="23"/>
      <c r="BPC226" s="26"/>
      <c r="BPG226" s="23"/>
      <c r="BPL226" s="26"/>
      <c r="BPP226" s="23"/>
      <c r="BPU226" s="26"/>
      <c r="BPY226" s="23"/>
      <c r="BQD226" s="26"/>
      <c r="BQH226" s="23"/>
      <c r="BQM226" s="26"/>
      <c r="BQQ226" s="23"/>
      <c r="BQV226" s="26"/>
      <c r="BQZ226" s="23"/>
      <c r="BRE226" s="26"/>
      <c r="BRI226" s="23"/>
      <c r="BRN226" s="26"/>
      <c r="BRR226" s="23"/>
      <c r="BRW226" s="26"/>
      <c r="BSA226" s="23"/>
      <c r="BSF226" s="26"/>
      <c r="BSJ226" s="23"/>
      <c r="BSO226" s="26"/>
      <c r="BSS226" s="23"/>
      <c r="BSX226" s="26"/>
      <c r="BTB226" s="23"/>
      <c r="BTG226" s="26"/>
      <c r="BTK226" s="23"/>
      <c r="BTP226" s="26"/>
      <c r="BTT226" s="23"/>
      <c r="BTY226" s="26"/>
      <c r="BUC226" s="23"/>
      <c r="BUH226" s="26"/>
      <c r="BUL226" s="23"/>
      <c r="BUQ226" s="26"/>
      <c r="BUU226" s="23"/>
      <c r="BUZ226" s="26"/>
      <c r="BVD226" s="23"/>
      <c r="BVI226" s="26"/>
      <c r="BVM226" s="23"/>
      <c r="BVR226" s="26"/>
      <c r="BVV226" s="23"/>
      <c r="BWA226" s="26"/>
      <c r="BWE226" s="23"/>
      <c r="BWJ226" s="26"/>
      <c r="BWN226" s="23"/>
      <c r="BWS226" s="26"/>
      <c r="BWW226" s="23"/>
      <c r="BXB226" s="26"/>
      <c r="BXF226" s="23"/>
      <c r="BXK226" s="26"/>
      <c r="BXO226" s="23"/>
      <c r="BXT226" s="26"/>
      <c r="BXX226" s="23"/>
      <c r="BYC226" s="26"/>
      <c r="BYG226" s="23"/>
      <c r="BYL226" s="26"/>
      <c r="BYP226" s="23"/>
      <c r="BYU226" s="26"/>
      <c r="BYY226" s="23"/>
      <c r="BZD226" s="26"/>
      <c r="BZH226" s="23"/>
      <c r="BZM226" s="26"/>
      <c r="BZQ226" s="23"/>
      <c r="BZV226" s="26"/>
      <c r="BZZ226" s="23"/>
      <c r="CAE226" s="26"/>
      <c r="CAI226" s="23"/>
      <c r="CAN226" s="26"/>
      <c r="CAR226" s="23"/>
      <c r="CAW226" s="26"/>
      <c r="CBA226" s="23"/>
      <c r="CBF226" s="26"/>
      <c r="CBJ226" s="23"/>
      <c r="CBO226" s="26"/>
      <c r="CBS226" s="23"/>
      <c r="CBX226" s="26"/>
      <c r="CCB226" s="23"/>
      <c r="CCG226" s="26"/>
      <c r="CCK226" s="23"/>
      <c r="CCP226" s="26"/>
      <c r="CCT226" s="23"/>
      <c r="CCY226" s="26"/>
      <c r="CDC226" s="23"/>
      <c r="CDH226" s="26"/>
      <c r="CDL226" s="23"/>
      <c r="CDQ226" s="26"/>
      <c r="CDU226" s="23"/>
      <c r="CDZ226" s="26"/>
      <c r="CED226" s="23"/>
      <c r="CEI226" s="26"/>
      <c r="CEM226" s="23"/>
      <c r="CER226" s="26"/>
      <c r="CEV226" s="23"/>
      <c r="CFA226" s="26"/>
      <c r="CFE226" s="23"/>
      <c r="CFJ226" s="26"/>
      <c r="CFN226" s="23"/>
      <c r="CFS226" s="26"/>
      <c r="CFW226" s="23"/>
      <c r="CGB226" s="26"/>
      <c r="CGF226" s="23"/>
      <c r="CGK226" s="26"/>
      <c r="CGO226" s="23"/>
      <c r="CGT226" s="26"/>
      <c r="CGX226" s="23"/>
      <c r="CHC226" s="26"/>
      <c r="CHG226" s="23"/>
      <c r="CHL226" s="26"/>
      <c r="CHP226" s="23"/>
      <c r="CHU226" s="26"/>
      <c r="CHY226" s="23"/>
      <c r="CID226" s="26"/>
      <c r="CIH226" s="23"/>
      <c r="CIM226" s="26"/>
      <c r="CIQ226" s="23"/>
      <c r="CIV226" s="26"/>
      <c r="CIZ226" s="23"/>
      <c r="CJE226" s="26"/>
      <c r="CJI226" s="23"/>
      <c r="CJN226" s="26"/>
      <c r="CJR226" s="23"/>
      <c r="CJW226" s="26"/>
      <c r="CKA226" s="23"/>
      <c r="CKF226" s="26"/>
      <c r="CKJ226" s="23"/>
      <c r="CKO226" s="26"/>
      <c r="CKS226" s="23"/>
      <c r="CKX226" s="26"/>
      <c r="CLB226" s="23"/>
      <c r="CLG226" s="26"/>
      <c r="CLK226" s="23"/>
      <c r="CLP226" s="26"/>
      <c r="CLT226" s="23"/>
      <c r="CLY226" s="26"/>
      <c r="CMC226" s="23"/>
      <c r="CMH226" s="26"/>
      <c r="CML226" s="23"/>
      <c r="CMQ226" s="26"/>
      <c r="CMU226" s="23"/>
      <c r="CMZ226" s="26"/>
      <c r="CND226" s="23"/>
      <c r="CNI226" s="26"/>
      <c r="CNM226" s="23"/>
      <c r="CNR226" s="26"/>
      <c r="CNV226" s="23"/>
      <c r="COA226" s="26"/>
      <c r="COE226" s="23"/>
      <c r="COJ226" s="26"/>
      <c r="CON226" s="23"/>
      <c r="COS226" s="26"/>
      <c r="COW226" s="23"/>
      <c r="CPB226" s="26"/>
      <c r="CPF226" s="23"/>
      <c r="CPK226" s="26"/>
      <c r="CPO226" s="23"/>
      <c r="CPT226" s="26"/>
      <c r="CPX226" s="23"/>
      <c r="CQC226" s="26"/>
      <c r="CQG226" s="23"/>
      <c r="CQL226" s="26"/>
      <c r="CQP226" s="23"/>
      <c r="CQU226" s="26"/>
      <c r="CQY226" s="23"/>
      <c r="CRD226" s="26"/>
      <c r="CRH226" s="23"/>
      <c r="CRM226" s="26"/>
      <c r="CRQ226" s="23"/>
      <c r="CRV226" s="26"/>
      <c r="CRZ226" s="23"/>
      <c r="CSE226" s="26"/>
      <c r="CSI226" s="23"/>
      <c r="CSN226" s="26"/>
      <c r="CSR226" s="23"/>
      <c r="CSW226" s="26"/>
      <c r="CTA226" s="23"/>
      <c r="CTF226" s="26"/>
      <c r="CTJ226" s="23"/>
      <c r="CTO226" s="26"/>
      <c r="CTS226" s="23"/>
      <c r="CTX226" s="26"/>
      <c r="CUB226" s="23"/>
      <c r="CUG226" s="26"/>
      <c r="CUK226" s="23"/>
      <c r="CUP226" s="26"/>
      <c r="CUT226" s="23"/>
      <c r="CUY226" s="26"/>
      <c r="CVC226" s="23"/>
      <c r="CVH226" s="26"/>
      <c r="CVL226" s="23"/>
      <c r="CVQ226" s="26"/>
      <c r="CVU226" s="23"/>
      <c r="CVZ226" s="26"/>
      <c r="CWD226" s="23"/>
      <c r="CWI226" s="26"/>
      <c r="CWM226" s="23"/>
      <c r="CWR226" s="26"/>
      <c r="CWV226" s="23"/>
      <c r="CXA226" s="26"/>
      <c r="CXE226" s="23"/>
      <c r="CXJ226" s="26"/>
      <c r="CXN226" s="23"/>
      <c r="CXS226" s="26"/>
      <c r="CXW226" s="23"/>
      <c r="CYB226" s="26"/>
      <c r="CYF226" s="23"/>
      <c r="CYK226" s="26"/>
      <c r="CYO226" s="23"/>
      <c r="CYT226" s="26"/>
      <c r="CYX226" s="23"/>
      <c r="CZC226" s="26"/>
      <c r="CZG226" s="23"/>
      <c r="CZL226" s="26"/>
      <c r="CZP226" s="23"/>
      <c r="CZU226" s="26"/>
      <c r="CZY226" s="23"/>
      <c r="DAD226" s="26"/>
      <c r="DAH226" s="23"/>
      <c r="DAM226" s="26"/>
      <c r="DAQ226" s="23"/>
      <c r="DAV226" s="26"/>
      <c r="DAZ226" s="23"/>
      <c r="DBE226" s="26"/>
      <c r="DBI226" s="23"/>
      <c r="DBN226" s="26"/>
      <c r="DBR226" s="23"/>
      <c r="DBW226" s="26"/>
      <c r="DCA226" s="23"/>
      <c r="DCF226" s="26"/>
      <c r="DCJ226" s="23"/>
      <c r="DCO226" s="26"/>
      <c r="DCS226" s="23"/>
      <c r="DCX226" s="26"/>
      <c r="DDB226" s="23"/>
      <c r="DDG226" s="26"/>
      <c r="DDK226" s="23"/>
      <c r="DDP226" s="26"/>
      <c r="DDT226" s="23"/>
      <c r="DDY226" s="26"/>
      <c r="DEC226" s="23"/>
      <c r="DEH226" s="26"/>
      <c r="DEL226" s="23"/>
      <c r="DEQ226" s="26"/>
      <c r="DEU226" s="23"/>
      <c r="DEZ226" s="26"/>
      <c r="DFD226" s="23"/>
      <c r="DFI226" s="26"/>
      <c r="DFM226" s="23"/>
      <c r="DFR226" s="26"/>
      <c r="DFV226" s="23"/>
      <c r="DGA226" s="26"/>
      <c r="DGE226" s="23"/>
      <c r="DGJ226" s="26"/>
      <c r="DGN226" s="23"/>
      <c r="DGS226" s="26"/>
      <c r="DGW226" s="23"/>
      <c r="DHB226" s="26"/>
      <c r="DHF226" s="23"/>
      <c r="DHK226" s="26"/>
      <c r="DHO226" s="23"/>
      <c r="DHT226" s="26"/>
      <c r="DHX226" s="23"/>
      <c r="DIC226" s="26"/>
      <c r="DIG226" s="23"/>
      <c r="DIL226" s="26"/>
      <c r="DIP226" s="23"/>
      <c r="DIU226" s="26"/>
      <c r="DIY226" s="23"/>
      <c r="DJD226" s="26"/>
      <c r="DJH226" s="23"/>
      <c r="DJM226" s="26"/>
      <c r="DJQ226" s="23"/>
      <c r="DJV226" s="26"/>
      <c r="DJZ226" s="23"/>
      <c r="DKE226" s="26"/>
      <c r="DKI226" s="23"/>
      <c r="DKN226" s="26"/>
      <c r="DKR226" s="23"/>
      <c r="DKW226" s="26"/>
      <c r="DLA226" s="23"/>
      <c r="DLF226" s="26"/>
      <c r="DLJ226" s="23"/>
      <c r="DLO226" s="26"/>
      <c r="DLS226" s="23"/>
      <c r="DLX226" s="26"/>
      <c r="DMB226" s="23"/>
      <c r="DMG226" s="26"/>
      <c r="DMK226" s="23"/>
      <c r="DMP226" s="26"/>
      <c r="DMT226" s="23"/>
      <c r="DMY226" s="26"/>
      <c r="DNC226" s="23"/>
      <c r="DNH226" s="26"/>
      <c r="DNL226" s="23"/>
      <c r="DNQ226" s="26"/>
      <c r="DNU226" s="23"/>
      <c r="DNZ226" s="26"/>
      <c r="DOD226" s="23"/>
      <c r="DOI226" s="26"/>
      <c r="DOM226" s="23"/>
      <c r="DOR226" s="26"/>
      <c r="DOV226" s="23"/>
      <c r="DPA226" s="26"/>
      <c r="DPE226" s="23"/>
      <c r="DPJ226" s="26"/>
      <c r="DPN226" s="23"/>
      <c r="DPS226" s="26"/>
      <c r="DPW226" s="23"/>
      <c r="DQB226" s="26"/>
      <c r="DQF226" s="23"/>
      <c r="DQK226" s="26"/>
      <c r="DQO226" s="23"/>
      <c r="DQT226" s="26"/>
      <c r="DQX226" s="23"/>
      <c r="DRC226" s="26"/>
      <c r="DRG226" s="23"/>
      <c r="DRL226" s="26"/>
      <c r="DRP226" s="23"/>
      <c r="DRU226" s="26"/>
      <c r="DRY226" s="23"/>
      <c r="DSD226" s="26"/>
      <c r="DSH226" s="23"/>
      <c r="DSM226" s="26"/>
      <c r="DSQ226" s="23"/>
      <c r="DSV226" s="26"/>
      <c r="DSZ226" s="23"/>
      <c r="DTE226" s="26"/>
      <c r="DTI226" s="23"/>
      <c r="DTN226" s="26"/>
      <c r="DTR226" s="23"/>
      <c r="DTW226" s="26"/>
      <c r="DUA226" s="23"/>
      <c r="DUF226" s="26"/>
      <c r="DUJ226" s="23"/>
      <c r="DUO226" s="26"/>
      <c r="DUS226" s="23"/>
      <c r="DUX226" s="26"/>
      <c r="DVB226" s="23"/>
      <c r="DVG226" s="26"/>
      <c r="DVK226" s="23"/>
      <c r="DVP226" s="26"/>
      <c r="DVT226" s="23"/>
      <c r="DVY226" s="26"/>
      <c r="DWC226" s="23"/>
      <c r="DWH226" s="26"/>
      <c r="DWL226" s="23"/>
      <c r="DWQ226" s="26"/>
      <c r="DWU226" s="23"/>
      <c r="DWZ226" s="26"/>
      <c r="DXD226" s="23"/>
      <c r="DXI226" s="26"/>
      <c r="DXM226" s="23"/>
      <c r="DXR226" s="26"/>
      <c r="DXV226" s="23"/>
      <c r="DYA226" s="26"/>
      <c r="DYE226" s="23"/>
      <c r="DYJ226" s="26"/>
      <c r="DYN226" s="23"/>
      <c r="DYS226" s="26"/>
      <c r="DYW226" s="23"/>
      <c r="DZB226" s="26"/>
      <c r="DZF226" s="23"/>
      <c r="DZK226" s="26"/>
      <c r="DZO226" s="23"/>
      <c r="DZT226" s="26"/>
      <c r="DZX226" s="23"/>
      <c r="EAC226" s="26"/>
      <c r="EAG226" s="23"/>
      <c r="EAL226" s="26"/>
      <c r="EAP226" s="23"/>
      <c r="EAU226" s="26"/>
      <c r="EAY226" s="23"/>
      <c r="EBD226" s="26"/>
      <c r="EBH226" s="23"/>
      <c r="EBM226" s="26"/>
      <c r="EBQ226" s="23"/>
      <c r="EBV226" s="26"/>
      <c r="EBZ226" s="23"/>
      <c r="ECE226" s="26"/>
      <c r="ECI226" s="23"/>
      <c r="ECN226" s="26"/>
      <c r="ECR226" s="23"/>
      <c r="ECW226" s="26"/>
      <c r="EDA226" s="23"/>
      <c r="EDF226" s="26"/>
      <c r="EDJ226" s="23"/>
      <c r="EDO226" s="26"/>
      <c r="EDS226" s="23"/>
      <c r="EDX226" s="26"/>
      <c r="EEB226" s="23"/>
      <c r="EEG226" s="26"/>
      <c r="EEK226" s="23"/>
      <c r="EEP226" s="26"/>
      <c r="EET226" s="23"/>
      <c r="EEY226" s="26"/>
      <c r="EFC226" s="23"/>
      <c r="EFH226" s="26"/>
      <c r="EFL226" s="23"/>
      <c r="EFQ226" s="26"/>
      <c r="EFU226" s="23"/>
      <c r="EFZ226" s="26"/>
      <c r="EGD226" s="23"/>
      <c r="EGI226" s="26"/>
      <c r="EGM226" s="23"/>
      <c r="EGR226" s="26"/>
      <c r="EGV226" s="23"/>
      <c r="EHA226" s="26"/>
      <c r="EHE226" s="23"/>
      <c r="EHJ226" s="26"/>
      <c r="EHN226" s="23"/>
      <c r="EHS226" s="26"/>
      <c r="EHW226" s="23"/>
      <c r="EIB226" s="26"/>
      <c r="EIF226" s="23"/>
      <c r="EIK226" s="26"/>
      <c r="EIO226" s="23"/>
      <c r="EIT226" s="26"/>
      <c r="EIX226" s="23"/>
      <c r="EJC226" s="26"/>
      <c r="EJG226" s="23"/>
      <c r="EJL226" s="26"/>
      <c r="EJP226" s="23"/>
      <c r="EJU226" s="26"/>
      <c r="EJY226" s="23"/>
      <c r="EKD226" s="26"/>
      <c r="EKH226" s="23"/>
      <c r="EKM226" s="26"/>
      <c r="EKQ226" s="23"/>
      <c r="EKV226" s="26"/>
      <c r="EKZ226" s="23"/>
      <c r="ELE226" s="26"/>
      <c r="ELI226" s="23"/>
      <c r="ELN226" s="26"/>
      <c r="ELR226" s="23"/>
      <c r="ELW226" s="26"/>
      <c r="EMA226" s="23"/>
      <c r="EMF226" s="26"/>
      <c r="EMJ226" s="23"/>
      <c r="EMO226" s="26"/>
      <c r="EMS226" s="23"/>
      <c r="EMX226" s="26"/>
      <c r="ENB226" s="23"/>
      <c r="ENG226" s="26"/>
      <c r="ENK226" s="23"/>
      <c r="ENP226" s="26"/>
      <c r="ENT226" s="23"/>
      <c r="ENY226" s="26"/>
      <c r="EOC226" s="23"/>
      <c r="EOH226" s="26"/>
      <c r="EOL226" s="23"/>
      <c r="EOQ226" s="26"/>
      <c r="EOU226" s="23"/>
      <c r="EOZ226" s="26"/>
      <c r="EPD226" s="23"/>
      <c r="EPI226" s="26"/>
      <c r="EPM226" s="23"/>
      <c r="EPR226" s="26"/>
      <c r="EPV226" s="23"/>
      <c r="EQA226" s="26"/>
      <c r="EQE226" s="23"/>
      <c r="EQJ226" s="26"/>
      <c r="EQN226" s="23"/>
      <c r="EQS226" s="26"/>
      <c r="EQW226" s="23"/>
      <c r="ERB226" s="26"/>
      <c r="ERF226" s="23"/>
      <c r="ERK226" s="26"/>
      <c r="ERO226" s="23"/>
      <c r="ERT226" s="26"/>
      <c r="ERX226" s="23"/>
      <c r="ESC226" s="26"/>
      <c r="ESG226" s="23"/>
      <c r="ESL226" s="26"/>
      <c r="ESP226" s="23"/>
      <c r="ESU226" s="26"/>
      <c r="ESY226" s="23"/>
      <c r="ETD226" s="26"/>
      <c r="ETH226" s="23"/>
      <c r="ETM226" s="26"/>
      <c r="ETQ226" s="23"/>
      <c r="ETV226" s="26"/>
      <c r="ETZ226" s="23"/>
      <c r="EUE226" s="26"/>
      <c r="EUI226" s="23"/>
      <c r="EUN226" s="26"/>
      <c r="EUR226" s="23"/>
      <c r="EUW226" s="26"/>
      <c r="EVA226" s="23"/>
      <c r="EVF226" s="26"/>
      <c r="EVJ226" s="23"/>
      <c r="EVO226" s="26"/>
      <c r="EVS226" s="23"/>
      <c r="EVX226" s="26"/>
      <c r="EWB226" s="23"/>
      <c r="EWG226" s="26"/>
      <c r="EWK226" s="23"/>
      <c r="EWP226" s="26"/>
      <c r="EWT226" s="23"/>
      <c r="EWY226" s="26"/>
      <c r="EXC226" s="23"/>
      <c r="EXH226" s="26"/>
      <c r="EXL226" s="23"/>
      <c r="EXQ226" s="26"/>
      <c r="EXU226" s="23"/>
      <c r="EXZ226" s="26"/>
      <c r="EYD226" s="23"/>
      <c r="EYI226" s="26"/>
      <c r="EYM226" s="23"/>
      <c r="EYR226" s="26"/>
      <c r="EYV226" s="23"/>
      <c r="EZA226" s="26"/>
      <c r="EZE226" s="23"/>
      <c r="EZJ226" s="26"/>
      <c r="EZN226" s="23"/>
      <c r="EZS226" s="26"/>
      <c r="EZW226" s="23"/>
      <c r="FAB226" s="26"/>
      <c r="FAF226" s="23"/>
      <c r="FAK226" s="26"/>
      <c r="FAO226" s="23"/>
      <c r="FAT226" s="26"/>
      <c r="FAX226" s="23"/>
      <c r="FBC226" s="26"/>
      <c r="FBG226" s="23"/>
      <c r="FBL226" s="26"/>
      <c r="FBP226" s="23"/>
      <c r="FBU226" s="26"/>
      <c r="FBY226" s="23"/>
      <c r="FCD226" s="26"/>
      <c r="FCH226" s="23"/>
      <c r="FCM226" s="26"/>
      <c r="FCQ226" s="23"/>
      <c r="FCV226" s="26"/>
      <c r="FCZ226" s="23"/>
      <c r="FDE226" s="26"/>
      <c r="FDI226" s="23"/>
      <c r="FDN226" s="26"/>
      <c r="FDR226" s="23"/>
      <c r="FDW226" s="26"/>
      <c r="FEA226" s="23"/>
      <c r="FEF226" s="26"/>
      <c r="FEJ226" s="23"/>
      <c r="FEO226" s="26"/>
      <c r="FES226" s="23"/>
      <c r="FEX226" s="26"/>
      <c r="FFB226" s="23"/>
      <c r="FFG226" s="26"/>
      <c r="FFK226" s="23"/>
      <c r="FFP226" s="26"/>
      <c r="FFT226" s="23"/>
      <c r="FFY226" s="26"/>
      <c r="FGC226" s="23"/>
      <c r="FGH226" s="26"/>
      <c r="FGL226" s="23"/>
      <c r="FGQ226" s="26"/>
      <c r="FGU226" s="23"/>
      <c r="FGZ226" s="26"/>
      <c r="FHD226" s="23"/>
      <c r="FHI226" s="26"/>
      <c r="FHM226" s="23"/>
      <c r="FHR226" s="26"/>
      <c r="FHV226" s="23"/>
      <c r="FIA226" s="26"/>
      <c r="FIE226" s="23"/>
      <c r="FIJ226" s="26"/>
      <c r="FIN226" s="23"/>
      <c r="FIS226" s="26"/>
      <c r="FIW226" s="23"/>
      <c r="FJB226" s="26"/>
      <c r="FJF226" s="23"/>
      <c r="FJK226" s="26"/>
      <c r="FJO226" s="23"/>
      <c r="FJT226" s="26"/>
      <c r="FJX226" s="23"/>
      <c r="FKC226" s="26"/>
      <c r="FKG226" s="23"/>
      <c r="FKL226" s="26"/>
      <c r="FKP226" s="23"/>
      <c r="FKU226" s="26"/>
      <c r="FKY226" s="23"/>
      <c r="FLD226" s="26"/>
      <c r="FLH226" s="23"/>
      <c r="FLM226" s="26"/>
      <c r="FLQ226" s="23"/>
      <c r="FLV226" s="26"/>
      <c r="FLZ226" s="23"/>
      <c r="FME226" s="26"/>
      <c r="FMI226" s="23"/>
      <c r="FMN226" s="26"/>
      <c r="FMR226" s="23"/>
      <c r="FMW226" s="26"/>
      <c r="FNA226" s="23"/>
      <c r="FNF226" s="26"/>
      <c r="FNJ226" s="23"/>
      <c r="FNO226" s="26"/>
      <c r="FNS226" s="23"/>
      <c r="FNX226" s="26"/>
      <c r="FOB226" s="23"/>
      <c r="FOG226" s="26"/>
      <c r="FOK226" s="23"/>
      <c r="FOP226" s="26"/>
      <c r="FOT226" s="23"/>
      <c r="FOY226" s="26"/>
      <c r="FPC226" s="23"/>
      <c r="FPH226" s="26"/>
      <c r="FPL226" s="23"/>
      <c r="FPQ226" s="26"/>
      <c r="FPU226" s="23"/>
      <c r="FPZ226" s="26"/>
      <c r="FQD226" s="23"/>
      <c r="FQI226" s="26"/>
      <c r="FQM226" s="23"/>
      <c r="FQR226" s="26"/>
      <c r="FQV226" s="23"/>
      <c r="FRA226" s="26"/>
      <c r="FRE226" s="23"/>
      <c r="FRJ226" s="26"/>
      <c r="FRN226" s="23"/>
      <c r="FRS226" s="26"/>
      <c r="FRW226" s="23"/>
      <c r="FSB226" s="26"/>
      <c r="FSF226" s="23"/>
      <c r="FSK226" s="26"/>
      <c r="FSO226" s="23"/>
      <c r="FST226" s="26"/>
      <c r="FSX226" s="23"/>
      <c r="FTC226" s="26"/>
      <c r="FTG226" s="23"/>
      <c r="FTL226" s="26"/>
      <c r="FTP226" s="23"/>
      <c r="FTU226" s="26"/>
      <c r="FTY226" s="23"/>
      <c r="FUD226" s="26"/>
      <c r="FUH226" s="23"/>
      <c r="FUM226" s="26"/>
      <c r="FUQ226" s="23"/>
      <c r="FUV226" s="26"/>
      <c r="FUZ226" s="23"/>
      <c r="FVE226" s="26"/>
      <c r="FVI226" s="23"/>
      <c r="FVN226" s="26"/>
      <c r="FVR226" s="23"/>
      <c r="FVW226" s="26"/>
      <c r="FWA226" s="23"/>
      <c r="FWF226" s="26"/>
      <c r="FWJ226" s="23"/>
      <c r="FWO226" s="26"/>
      <c r="FWS226" s="23"/>
      <c r="FWX226" s="26"/>
      <c r="FXB226" s="23"/>
      <c r="FXG226" s="26"/>
      <c r="FXK226" s="23"/>
      <c r="FXP226" s="26"/>
      <c r="FXT226" s="23"/>
      <c r="FXY226" s="26"/>
      <c r="FYC226" s="23"/>
      <c r="FYH226" s="26"/>
      <c r="FYL226" s="23"/>
      <c r="FYQ226" s="26"/>
      <c r="FYU226" s="23"/>
      <c r="FYZ226" s="26"/>
      <c r="FZD226" s="23"/>
      <c r="FZI226" s="26"/>
      <c r="FZM226" s="23"/>
      <c r="FZR226" s="26"/>
      <c r="FZV226" s="23"/>
      <c r="GAA226" s="26"/>
      <c r="GAE226" s="23"/>
      <c r="GAJ226" s="26"/>
      <c r="GAN226" s="23"/>
      <c r="GAS226" s="26"/>
      <c r="GAW226" s="23"/>
      <c r="GBB226" s="26"/>
      <c r="GBF226" s="23"/>
      <c r="GBK226" s="26"/>
      <c r="GBO226" s="23"/>
      <c r="GBT226" s="26"/>
      <c r="GBX226" s="23"/>
      <c r="GCC226" s="26"/>
      <c r="GCG226" s="23"/>
      <c r="GCL226" s="26"/>
      <c r="GCP226" s="23"/>
      <c r="GCU226" s="26"/>
      <c r="GCY226" s="23"/>
      <c r="GDD226" s="26"/>
      <c r="GDH226" s="23"/>
      <c r="GDM226" s="26"/>
      <c r="GDQ226" s="23"/>
      <c r="GDV226" s="26"/>
      <c r="GDZ226" s="23"/>
      <c r="GEE226" s="26"/>
      <c r="GEI226" s="23"/>
      <c r="GEN226" s="26"/>
      <c r="GER226" s="23"/>
      <c r="GEW226" s="26"/>
      <c r="GFA226" s="23"/>
      <c r="GFF226" s="26"/>
      <c r="GFJ226" s="23"/>
      <c r="GFO226" s="26"/>
      <c r="GFS226" s="23"/>
      <c r="GFX226" s="26"/>
      <c r="GGB226" s="23"/>
      <c r="GGG226" s="26"/>
      <c r="GGK226" s="23"/>
      <c r="GGP226" s="26"/>
      <c r="GGT226" s="23"/>
      <c r="GGY226" s="26"/>
      <c r="GHC226" s="23"/>
      <c r="GHH226" s="26"/>
      <c r="GHL226" s="23"/>
      <c r="GHQ226" s="26"/>
      <c r="GHU226" s="23"/>
      <c r="GHZ226" s="26"/>
      <c r="GID226" s="23"/>
      <c r="GII226" s="26"/>
      <c r="GIM226" s="23"/>
      <c r="GIR226" s="26"/>
      <c r="GIV226" s="23"/>
      <c r="GJA226" s="26"/>
      <c r="GJE226" s="23"/>
      <c r="GJJ226" s="26"/>
      <c r="GJN226" s="23"/>
      <c r="GJS226" s="26"/>
      <c r="GJW226" s="23"/>
      <c r="GKB226" s="26"/>
      <c r="GKF226" s="23"/>
      <c r="GKK226" s="26"/>
      <c r="GKO226" s="23"/>
      <c r="GKT226" s="26"/>
      <c r="GKX226" s="23"/>
      <c r="GLC226" s="26"/>
      <c r="GLG226" s="23"/>
      <c r="GLL226" s="26"/>
      <c r="GLP226" s="23"/>
      <c r="GLU226" s="26"/>
      <c r="GLY226" s="23"/>
      <c r="GMD226" s="26"/>
      <c r="GMH226" s="23"/>
      <c r="GMM226" s="26"/>
      <c r="GMQ226" s="23"/>
      <c r="GMV226" s="26"/>
      <c r="GMZ226" s="23"/>
      <c r="GNE226" s="26"/>
      <c r="GNI226" s="23"/>
      <c r="GNN226" s="26"/>
      <c r="GNR226" s="23"/>
      <c r="GNW226" s="26"/>
      <c r="GOA226" s="23"/>
      <c r="GOF226" s="26"/>
      <c r="GOJ226" s="23"/>
      <c r="GOO226" s="26"/>
      <c r="GOS226" s="23"/>
      <c r="GOX226" s="26"/>
      <c r="GPB226" s="23"/>
      <c r="GPG226" s="26"/>
      <c r="GPK226" s="23"/>
      <c r="GPP226" s="26"/>
      <c r="GPT226" s="23"/>
      <c r="GPY226" s="26"/>
      <c r="GQC226" s="23"/>
      <c r="GQH226" s="26"/>
      <c r="GQL226" s="23"/>
      <c r="GQQ226" s="26"/>
      <c r="GQU226" s="23"/>
      <c r="GQZ226" s="26"/>
      <c r="GRD226" s="23"/>
      <c r="GRI226" s="26"/>
      <c r="GRM226" s="23"/>
      <c r="GRR226" s="26"/>
      <c r="GRV226" s="23"/>
      <c r="GSA226" s="26"/>
      <c r="GSE226" s="23"/>
      <c r="GSJ226" s="26"/>
      <c r="GSN226" s="23"/>
      <c r="GSS226" s="26"/>
      <c r="GSW226" s="23"/>
      <c r="GTB226" s="26"/>
      <c r="GTF226" s="23"/>
      <c r="GTK226" s="26"/>
      <c r="GTO226" s="23"/>
      <c r="GTT226" s="26"/>
      <c r="GTX226" s="23"/>
      <c r="GUC226" s="26"/>
      <c r="GUG226" s="23"/>
      <c r="GUL226" s="26"/>
      <c r="GUP226" s="23"/>
      <c r="GUU226" s="26"/>
      <c r="GUY226" s="23"/>
      <c r="GVD226" s="26"/>
      <c r="GVH226" s="23"/>
      <c r="GVM226" s="26"/>
      <c r="GVQ226" s="23"/>
      <c r="GVV226" s="26"/>
      <c r="GVZ226" s="23"/>
      <c r="GWE226" s="26"/>
      <c r="GWI226" s="23"/>
      <c r="GWN226" s="26"/>
      <c r="GWR226" s="23"/>
      <c r="GWW226" s="26"/>
      <c r="GXA226" s="23"/>
      <c r="GXF226" s="26"/>
      <c r="GXJ226" s="23"/>
      <c r="GXO226" s="26"/>
      <c r="GXS226" s="23"/>
      <c r="GXX226" s="26"/>
      <c r="GYB226" s="23"/>
      <c r="GYG226" s="26"/>
      <c r="GYK226" s="23"/>
      <c r="GYP226" s="26"/>
      <c r="GYT226" s="23"/>
      <c r="GYY226" s="26"/>
      <c r="GZC226" s="23"/>
      <c r="GZH226" s="26"/>
      <c r="GZL226" s="23"/>
      <c r="GZQ226" s="26"/>
      <c r="GZU226" s="23"/>
      <c r="GZZ226" s="26"/>
      <c r="HAD226" s="23"/>
      <c r="HAI226" s="26"/>
      <c r="HAM226" s="23"/>
      <c r="HAR226" s="26"/>
      <c r="HAV226" s="23"/>
      <c r="HBA226" s="26"/>
      <c r="HBE226" s="23"/>
      <c r="HBJ226" s="26"/>
      <c r="HBN226" s="23"/>
      <c r="HBS226" s="26"/>
      <c r="HBW226" s="23"/>
      <c r="HCB226" s="26"/>
      <c r="HCF226" s="23"/>
      <c r="HCK226" s="26"/>
      <c r="HCO226" s="23"/>
      <c r="HCT226" s="26"/>
      <c r="HCX226" s="23"/>
      <c r="HDC226" s="26"/>
      <c r="HDG226" s="23"/>
      <c r="HDL226" s="26"/>
      <c r="HDP226" s="23"/>
      <c r="HDU226" s="26"/>
      <c r="HDY226" s="23"/>
      <c r="HED226" s="26"/>
      <c r="HEH226" s="23"/>
      <c r="HEM226" s="26"/>
      <c r="HEQ226" s="23"/>
      <c r="HEV226" s="26"/>
      <c r="HEZ226" s="23"/>
      <c r="HFE226" s="26"/>
      <c r="HFI226" s="23"/>
      <c r="HFN226" s="26"/>
      <c r="HFR226" s="23"/>
      <c r="HFW226" s="26"/>
      <c r="HGA226" s="23"/>
      <c r="HGF226" s="26"/>
      <c r="HGJ226" s="23"/>
      <c r="HGO226" s="26"/>
      <c r="HGS226" s="23"/>
      <c r="HGX226" s="26"/>
      <c r="HHB226" s="23"/>
      <c r="HHG226" s="26"/>
      <c r="HHK226" s="23"/>
      <c r="HHP226" s="26"/>
      <c r="HHT226" s="23"/>
      <c r="HHY226" s="26"/>
      <c r="HIC226" s="23"/>
      <c r="HIH226" s="26"/>
      <c r="HIL226" s="23"/>
      <c r="HIQ226" s="26"/>
      <c r="HIU226" s="23"/>
      <c r="HIZ226" s="26"/>
      <c r="HJD226" s="23"/>
      <c r="HJI226" s="26"/>
      <c r="HJM226" s="23"/>
      <c r="HJR226" s="26"/>
      <c r="HJV226" s="23"/>
      <c r="HKA226" s="26"/>
      <c r="HKE226" s="23"/>
      <c r="HKJ226" s="26"/>
      <c r="HKN226" s="23"/>
      <c r="HKS226" s="26"/>
      <c r="HKW226" s="23"/>
      <c r="HLB226" s="26"/>
      <c r="HLF226" s="23"/>
      <c r="HLK226" s="26"/>
      <c r="HLO226" s="23"/>
      <c r="HLT226" s="26"/>
      <c r="HLX226" s="23"/>
      <c r="HMC226" s="26"/>
      <c r="HMG226" s="23"/>
      <c r="HML226" s="26"/>
      <c r="HMP226" s="23"/>
      <c r="HMU226" s="26"/>
      <c r="HMY226" s="23"/>
      <c r="HND226" s="26"/>
      <c r="HNH226" s="23"/>
      <c r="HNM226" s="26"/>
      <c r="HNQ226" s="23"/>
      <c r="HNV226" s="26"/>
      <c r="HNZ226" s="23"/>
      <c r="HOE226" s="26"/>
      <c r="HOI226" s="23"/>
      <c r="HON226" s="26"/>
      <c r="HOR226" s="23"/>
      <c r="HOW226" s="26"/>
      <c r="HPA226" s="23"/>
      <c r="HPF226" s="26"/>
      <c r="HPJ226" s="23"/>
      <c r="HPO226" s="26"/>
      <c r="HPS226" s="23"/>
      <c r="HPX226" s="26"/>
      <c r="HQB226" s="23"/>
      <c r="HQG226" s="26"/>
      <c r="HQK226" s="23"/>
      <c r="HQP226" s="26"/>
      <c r="HQT226" s="23"/>
      <c r="HQY226" s="26"/>
      <c r="HRC226" s="23"/>
      <c r="HRH226" s="26"/>
      <c r="HRL226" s="23"/>
      <c r="HRQ226" s="26"/>
      <c r="HRU226" s="23"/>
      <c r="HRZ226" s="26"/>
      <c r="HSD226" s="23"/>
      <c r="HSI226" s="26"/>
      <c r="HSM226" s="23"/>
      <c r="HSR226" s="26"/>
      <c r="HSV226" s="23"/>
      <c r="HTA226" s="26"/>
      <c r="HTE226" s="23"/>
      <c r="HTJ226" s="26"/>
      <c r="HTN226" s="23"/>
      <c r="HTS226" s="26"/>
      <c r="HTW226" s="23"/>
      <c r="HUB226" s="26"/>
      <c r="HUF226" s="23"/>
      <c r="HUK226" s="26"/>
      <c r="HUO226" s="23"/>
      <c r="HUT226" s="26"/>
      <c r="HUX226" s="23"/>
      <c r="HVC226" s="26"/>
      <c r="HVG226" s="23"/>
      <c r="HVL226" s="26"/>
      <c r="HVP226" s="23"/>
      <c r="HVU226" s="26"/>
      <c r="HVY226" s="23"/>
      <c r="HWD226" s="26"/>
      <c r="HWH226" s="23"/>
      <c r="HWM226" s="26"/>
      <c r="HWQ226" s="23"/>
      <c r="HWV226" s="26"/>
      <c r="HWZ226" s="23"/>
      <c r="HXE226" s="26"/>
      <c r="HXI226" s="23"/>
      <c r="HXN226" s="26"/>
      <c r="HXR226" s="23"/>
      <c r="HXW226" s="26"/>
      <c r="HYA226" s="23"/>
      <c r="HYF226" s="26"/>
      <c r="HYJ226" s="23"/>
      <c r="HYO226" s="26"/>
      <c r="HYS226" s="23"/>
      <c r="HYX226" s="26"/>
      <c r="HZB226" s="23"/>
      <c r="HZG226" s="26"/>
      <c r="HZK226" s="23"/>
      <c r="HZP226" s="26"/>
      <c r="HZT226" s="23"/>
      <c r="HZY226" s="26"/>
      <c r="IAC226" s="23"/>
      <c r="IAH226" s="26"/>
      <c r="IAL226" s="23"/>
      <c r="IAQ226" s="26"/>
      <c r="IAU226" s="23"/>
      <c r="IAZ226" s="26"/>
      <c r="IBD226" s="23"/>
      <c r="IBI226" s="26"/>
      <c r="IBM226" s="23"/>
      <c r="IBR226" s="26"/>
      <c r="IBV226" s="23"/>
      <c r="ICA226" s="26"/>
      <c r="ICE226" s="23"/>
      <c r="ICJ226" s="26"/>
      <c r="ICN226" s="23"/>
      <c r="ICS226" s="26"/>
      <c r="ICW226" s="23"/>
      <c r="IDB226" s="26"/>
      <c r="IDF226" s="23"/>
      <c r="IDK226" s="26"/>
      <c r="IDO226" s="23"/>
      <c r="IDT226" s="26"/>
      <c r="IDX226" s="23"/>
      <c r="IEC226" s="26"/>
      <c r="IEG226" s="23"/>
      <c r="IEL226" s="26"/>
      <c r="IEP226" s="23"/>
      <c r="IEU226" s="26"/>
      <c r="IEY226" s="23"/>
      <c r="IFD226" s="26"/>
      <c r="IFH226" s="23"/>
      <c r="IFM226" s="26"/>
      <c r="IFQ226" s="23"/>
      <c r="IFV226" s="26"/>
      <c r="IFZ226" s="23"/>
      <c r="IGE226" s="26"/>
      <c r="IGI226" s="23"/>
      <c r="IGN226" s="26"/>
      <c r="IGR226" s="23"/>
      <c r="IGW226" s="26"/>
      <c r="IHA226" s="23"/>
      <c r="IHF226" s="26"/>
      <c r="IHJ226" s="23"/>
      <c r="IHO226" s="26"/>
      <c r="IHS226" s="23"/>
      <c r="IHX226" s="26"/>
      <c r="IIB226" s="23"/>
      <c r="IIG226" s="26"/>
      <c r="IIK226" s="23"/>
      <c r="IIP226" s="26"/>
      <c r="IIT226" s="23"/>
      <c r="IIY226" s="26"/>
      <c r="IJC226" s="23"/>
      <c r="IJH226" s="26"/>
      <c r="IJL226" s="23"/>
      <c r="IJQ226" s="26"/>
      <c r="IJU226" s="23"/>
      <c r="IJZ226" s="26"/>
      <c r="IKD226" s="23"/>
      <c r="IKI226" s="26"/>
      <c r="IKM226" s="23"/>
      <c r="IKR226" s="26"/>
      <c r="IKV226" s="23"/>
      <c r="ILA226" s="26"/>
      <c r="ILE226" s="23"/>
      <c r="ILJ226" s="26"/>
      <c r="ILN226" s="23"/>
      <c r="ILS226" s="26"/>
      <c r="ILW226" s="23"/>
      <c r="IMB226" s="26"/>
      <c r="IMF226" s="23"/>
      <c r="IMK226" s="26"/>
      <c r="IMO226" s="23"/>
      <c r="IMT226" s="26"/>
      <c r="IMX226" s="23"/>
      <c r="INC226" s="26"/>
      <c r="ING226" s="23"/>
      <c r="INL226" s="26"/>
      <c r="INP226" s="23"/>
      <c r="INU226" s="26"/>
      <c r="INY226" s="23"/>
      <c r="IOD226" s="26"/>
      <c r="IOH226" s="23"/>
      <c r="IOM226" s="26"/>
      <c r="IOQ226" s="23"/>
      <c r="IOV226" s="26"/>
      <c r="IOZ226" s="23"/>
      <c r="IPE226" s="26"/>
      <c r="IPI226" s="23"/>
      <c r="IPN226" s="26"/>
      <c r="IPR226" s="23"/>
      <c r="IPW226" s="26"/>
      <c r="IQA226" s="23"/>
      <c r="IQF226" s="26"/>
      <c r="IQJ226" s="23"/>
      <c r="IQO226" s="26"/>
      <c r="IQS226" s="23"/>
      <c r="IQX226" s="26"/>
      <c r="IRB226" s="23"/>
      <c r="IRG226" s="26"/>
      <c r="IRK226" s="23"/>
      <c r="IRP226" s="26"/>
      <c r="IRT226" s="23"/>
      <c r="IRY226" s="26"/>
      <c r="ISC226" s="23"/>
      <c r="ISH226" s="26"/>
      <c r="ISL226" s="23"/>
      <c r="ISQ226" s="26"/>
      <c r="ISU226" s="23"/>
      <c r="ISZ226" s="26"/>
      <c r="ITD226" s="23"/>
      <c r="ITI226" s="26"/>
      <c r="ITM226" s="23"/>
      <c r="ITR226" s="26"/>
      <c r="ITV226" s="23"/>
      <c r="IUA226" s="26"/>
      <c r="IUE226" s="23"/>
      <c r="IUJ226" s="26"/>
      <c r="IUN226" s="23"/>
      <c r="IUS226" s="26"/>
      <c r="IUW226" s="23"/>
      <c r="IVB226" s="26"/>
      <c r="IVF226" s="23"/>
      <c r="IVK226" s="26"/>
      <c r="IVO226" s="23"/>
      <c r="IVT226" s="26"/>
      <c r="IVX226" s="23"/>
      <c r="IWC226" s="26"/>
      <c r="IWG226" s="23"/>
      <c r="IWL226" s="26"/>
      <c r="IWP226" s="23"/>
      <c r="IWU226" s="26"/>
      <c r="IWY226" s="23"/>
      <c r="IXD226" s="26"/>
      <c r="IXH226" s="23"/>
      <c r="IXM226" s="26"/>
      <c r="IXQ226" s="23"/>
      <c r="IXV226" s="26"/>
      <c r="IXZ226" s="23"/>
      <c r="IYE226" s="26"/>
      <c r="IYI226" s="23"/>
      <c r="IYN226" s="26"/>
      <c r="IYR226" s="23"/>
      <c r="IYW226" s="26"/>
      <c r="IZA226" s="23"/>
      <c r="IZF226" s="26"/>
      <c r="IZJ226" s="23"/>
      <c r="IZO226" s="26"/>
      <c r="IZS226" s="23"/>
      <c r="IZX226" s="26"/>
      <c r="JAB226" s="23"/>
      <c r="JAG226" s="26"/>
      <c r="JAK226" s="23"/>
      <c r="JAP226" s="26"/>
      <c r="JAT226" s="23"/>
      <c r="JAY226" s="26"/>
      <c r="JBC226" s="23"/>
      <c r="JBH226" s="26"/>
      <c r="JBL226" s="23"/>
      <c r="JBQ226" s="26"/>
      <c r="JBU226" s="23"/>
      <c r="JBZ226" s="26"/>
      <c r="JCD226" s="23"/>
      <c r="JCI226" s="26"/>
      <c r="JCM226" s="23"/>
      <c r="JCR226" s="26"/>
      <c r="JCV226" s="23"/>
      <c r="JDA226" s="26"/>
      <c r="JDE226" s="23"/>
      <c r="JDJ226" s="26"/>
      <c r="JDN226" s="23"/>
      <c r="JDS226" s="26"/>
      <c r="JDW226" s="23"/>
      <c r="JEB226" s="26"/>
      <c r="JEF226" s="23"/>
      <c r="JEK226" s="26"/>
      <c r="JEO226" s="23"/>
      <c r="JET226" s="26"/>
      <c r="JEX226" s="23"/>
      <c r="JFC226" s="26"/>
      <c r="JFG226" s="23"/>
      <c r="JFL226" s="26"/>
      <c r="JFP226" s="23"/>
      <c r="JFU226" s="26"/>
      <c r="JFY226" s="23"/>
      <c r="JGD226" s="26"/>
      <c r="JGH226" s="23"/>
      <c r="JGM226" s="26"/>
      <c r="JGQ226" s="23"/>
      <c r="JGV226" s="26"/>
      <c r="JGZ226" s="23"/>
      <c r="JHE226" s="26"/>
      <c r="JHI226" s="23"/>
      <c r="JHN226" s="26"/>
      <c r="JHR226" s="23"/>
      <c r="JHW226" s="26"/>
      <c r="JIA226" s="23"/>
      <c r="JIF226" s="26"/>
      <c r="JIJ226" s="23"/>
      <c r="JIO226" s="26"/>
      <c r="JIS226" s="23"/>
      <c r="JIX226" s="26"/>
      <c r="JJB226" s="23"/>
      <c r="JJG226" s="26"/>
      <c r="JJK226" s="23"/>
      <c r="JJP226" s="26"/>
      <c r="JJT226" s="23"/>
      <c r="JJY226" s="26"/>
      <c r="JKC226" s="23"/>
      <c r="JKH226" s="26"/>
      <c r="JKL226" s="23"/>
      <c r="JKQ226" s="26"/>
      <c r="JKU226" s="23"/>
      <c r="JKZ226" s="26"/>
      <c r="JLD226" s="23"/>
      <c r="JLI226" s="26"/>
      <c r="JLM226" s="23"/>
      <c r="JLR226" s="26"/>
      <c r="JLV226" s="23"/>
      <c r="JMA226" s="26"/>
      <c r="JME226" s="23"/>
      <c r="JMJ226" s="26"/>
      <c r="JMN226" s="23"/>
      <c r="JMS226" s="26"/>
      <c r="JMW226" s="23"/>
      <c r="JNB226" s="26"/>
      <c r="JNF226" s="23"/>
      <c r="JNK226" s="26"/>
      <c r="JNO226" s="23"/>
      <c r="JNT226" s="26"/>
      <c r="JNX226" s="23"/>
      <c r="JOC226" s="26"/>
      <c r="JOG226" s="23"/>
      <c r="JOL226" s="26"/>
      <c r="JOP226" s="23"/>
      <c r="JOU226" s="26"/>
      <c r="JOY226" s="23"/>
      <c r="JPD226" s="26"/>
      <c r="JPH226" s="23"/>
      <c r="JPM226" s="26"/>
      <c r="JPQ226" s="23"/>
      <c r="JPV226" s="26"/>
      <c r="JPZ226" s="23"/>
      <c r="JQE226" s="26"/>
      <c r="JQI226" s="23"/>
      <c r="JQN226" s="26"/>
      <c r="JQR226" s="23"/>
      <c r="JQW226" s="26"/>
      <c r="JRA226" s="23"/>
      <c r="JRF226" s="26"/>
      <c r="JRJ226" s="23"/>
      <c r="JRO226" s="26"/>
      <c r="JRS226" s="23"/>
      <c r="JRX226" s="26"/>
      <c r="JSB226" s="23"/>
      <c r="JSG226" s="26"/>
      <c r="JSK226" s="23"/>
      <c r="JSP226" s="26"/>
      <c r="JST226" s="23"/>
      <c r="JSY226" s="26"/>
      <c r="JTC226" s="23"/>
      <c r="JTH226" s="26"/>
      <c r="JTL226" s="23"/>
      <c r="JTQ226" s="26"/>
      <c r="JTU226" s="23"/>
      <c r="JTZ226" s="26"/>
      <c r="JUD226" s="23"/>
      <c r="JUI226" s="26"/>
      <c r="JUM226" s="23"/>
      <c r="JUR226" s="26"/>
      <c r="JUV226" s="23"/>
      <c r="JVA226" s="26"/>
      <c r="JVE226" s="23"/>
      <c r="JVJ226" s="26"/>
      <c r="JVN226" s="23"/>
      <c r="JVS226" s="26"/>
      <c r="JVW226" s="23"/>
      <c r="JWB226" s="26"/>
      <c r="JWF226" s="23"/>
      <c r="JWK226" s="26"/>
      <c r="JWO226" s="23"/>
      <c r="JWT226" s="26"/>
      <c r="JWX226" s="23"/>
      <c r="JXC226" s="26"/>
      <c r="JXG226" s="23"/>
      <c r="JXL226" s="26"/>
      <c r="JXP226" s="23"/>
      <c r="JXU226" s="26"/>
      <c r="JXY226" s="23"/>
      <c r="JYD226" s="26"/>
      <c r="JYH226" s="23"/>
      <c r="JYM226" s="26"/>
      <c r="JYQ226" s="23"/>
      <c r="JYV226" s="26"/>
      <c r="JYZ226" s="23"/>
      <c r="JZE226" s="26"/>
      <c r="JZI226" s="23"/>
      <c r="JZN226" s="26"/>
      <c r="JZR226" s="23"/>
      <c r="JZW226" s="26"/>
      <c r="KAA226" s="23"/>
      <c r="KAF226" s="26"/>
      <c r="KAJ226" s="23"/>
      <c r="KAO226" s="26"/>
      <c r="KAS226" s="23"/>
      <c r="KAX226" s="26"/>
      <c r="KBB226" s="23"/>
      <c r="KBG226" s="26"/>
      <c r="KBK226" s="23"/>
      <c r="KBP226" s="26"/>
      <c r="KBT226" s="23"/>
      <c r="KBY226" s="26"/>
      <c r="KCC226" s="23"/>
      <c r="KCH226" s="26"/>
      <c r="KCL226" s="23"/>
      <c r="KCQ226" s="26"/>
      <c r="KCU226" s="23"/>
      <c r="KCZ226" s="26"/>
      <c r="KDD226" s="23"/>
      <c r="KDI226" s="26"/>
      <c r="KDM226" s="23"/>
      <c r="KDR226" s="26"/>
      <c r="KDV226" s="23"/>
      <c r="KEA226" s="26"/>
      <c r="KEE226" s="23"/>
      <c r="KEJ226" s="26"/>
      <c r="KEN226" s="23"/>
      <c r="KES226" s="26"/>
      <c r="KEW226" s="23"/>
      <c r="KFB226" s="26"/>
      <c r="KFF226" s="23"/>
      <c r="KFK226" s="26"/>
      <c r="KFO226" s="23"/>
      <c r="KFT226" s="26"/>
      <c r="KFX226" s="23"/>
      <c r="KGC226" s="26"/>
      <c r="KGG226" s="23"/>
      <c r="KGL226" s="26"/>
      <c r="KGP226" s="23"/>
      <c r="KGU226" s="26"/>
      <c r="KGY226" s="23"/>
      <c r="KHD226" s="26"/>
      <c r="KHH226" s="23"/>
      <c r="KHM226" s="26"/>
      <c r="KHQ226" s="23"/>
      <c r="KHV226" s="26"/>
      <c r="KHZ226" s="23"/>
      <c r="KIE226" s="26"/>
      <c r="KII226" s="23"/>
      <c r="KIN226" s="26"/>
      <c r="KIR226" s="23"/>
      <c r="KIW226" s="26"/>
      <c r="KJA226" s="23"/>
      <c r="KJF226" s="26"/>
      <c r="KJJ226" s="23"/>
      <c r="KJO226" s="26"/>
      <c r="KJS226" s="23"/>
      <c r="KJX226" s="26"/>
      <c r="KKB226" s="23"/>
      <c r="KKG226" s="26"/>
      <c r="KKK226" s="23"/>
      <c r="KKP226" s="26"/>
      <c r="KKT226" s="23"/>
      <c r="KKY226" s="26"/>
      <c r="KLC226" s="23"/>
      <c r="KLH226" s="26"/>
      <c r="KLL226" s="23"/>
      <c r="KLQ226" s="26"/>
      <c r="KLU226" s="23"/>
      <c r="KLZ226" s="26"/>
      <c r="KMD226" s="23"/>
      <c r="KMI226" s="26"/>
      <c r="KMM226" s="23"/>
      <c r="KMR226" s="26"/>
      <c r="KMV226" s="23"/>
      <c r="KNA226" s="26"/>
      <c r="KNE226" s="23"/>
      <c r="KNJ226" s="26"/>
      <c r="KNN226" s="23"/>
      <c r="KNS226" s="26"/>
      <c r="KNW226" s="23"/>
      <c r="KOB226" s="26"/>
      <c r="KOF226" s="23"/>
      <c r="KOK226" s="26"/>
      <c r="KOO226" s="23"/>
      <c r="KOT226" s="26"/>
      <c r="KOX226" s="23"/>
      <c r="KPC226" s="26"/>
      <c r="KPG226" s="23"/>
      <c r="KPL226" s="26"/>
      <c r="KPP226" s="23"/>
      <c r="KPU226" s="26"/>
      <c r="KPY226" s="23"/>
      <c r="KQD226" s="26"/>
      <c r="KQH226" s="23"/>
      <c r="KQM226" s="26"/>
      <c r="KQQ226" s="23"/>
      <c r="KQV226" s="26"/>
      <c r="KQZ226" s="23"/>
      <c r="KRE226" s="26"/>
      <c r="KRI226" s="23"/>
      <c r="KRN226" s="26"/>
      <c r="KRR226" s="23"/>
      <c r="KRW226" s="26"/>
      <c r="KSA226" s="23"/>
      <c r="KSF226" s="26"/>
      <c r="KSJ226" s="23"/>
      <c r="KSO226" s="26"/>
      <c r="KSS226" s="23"/>
      <c r="KSX226" s="26"/>
      <c r="KTB226" s="23"/>
      <c r="KTG226" s="26"/>
      <c r="KTK226" s="23"/>
      <c r="KTP226" s="26"/>
      <c r="KTT226" s="23"/>
      <c r="KTY226" s="26"/>
      <c r="KUC226" s="23"/>
      <c r="KUH226" s="26"/>
      <c r="KUL226" s="23"/>
      <c r="KUQ226" s="26"/>
      <c r="KUU226" s="23"/>
      <c r="KUZ226" s="26"/>
      <c r="KVD226" s="23"/>
      <c r="KVI226" s="26"/>
      <c r="KVM226" s="23"/>
      <c r="KVR226" s="26"/>
      <c r="KVV226" s="23"/>
      <c r="KWA226" s="26"/>
      <c r="KWE226" s="23"/>
      <c r="KWJ226" s="26"/>
      <c r="KWN226" s="23"/>
      <c r="KWS226" s="26"/>
      <c r="KWW226" s="23"/>
      <c r="KXB226" s="26"/>
      <c r="KXF226" s="23"/>
      <c r="KXK226" s="26"/>
      <c r="KXO226" s="23"/>
      <c r="KXT226" s="26"/>
      <c r="KXX226" s="23"/>
      <c r="KYC226" s="26"/>
      <c r="KYG226" s="23"/>
      <c r="KYL226" s="26"/>
      <c r="KYP226" s="23"/>
      <c r="KYU226" s="26"/>
      <c r="KYY226" s="23"/>
      <c r="KZD226" s="26"/>
      <c r="KZH226" s="23"/>
      <c r="KZM226" s="26"/>
      <c r="KZQ226" s="23"/>
      <c r="KZV226" s="26"/>
      <c r="KZZ226" s="23"/>
      <c r="LAE226" s="26"/>
      <c r="LAI226" s="23"/>
      <c r="LAN226" s="26"/>
      <c r="LAR226" s="23"/>
      <c r="LAW226" s="26"/>
      <c r="LBA226" s="23"/>
      <c r="LBF226" s="26"/>
      <c r="LBJ226" s="23"/>
      <c r="LBO226" s="26"/>
      <c r="LBS226" s="23"/>
      <c r="LBX226" s="26"/>
      <c r="LCB226" s="23"/>
      <c r="LCG226" s="26"/>
      <c r="LCK226" s="23"/>
      <c r="LCP226" s="26"/>
      <c r="LCT226" s="23"/>
      <c r="LCY226" s="26"/>
      <c r="LDC226" s="23"/>
      <c r="LDH226" s="26"/>
      <c r="LDL226" s="23"/>
      <c r="LDQ226" s="26"/>
      <c r="LDU226" s="23"/>
      <c r="LDZ226" s="26"/>
      <c r="LED226" s="23"/>
      <c r="LEI226" s="26"/>
      <c r="LEM226" s="23"/>
      <c r="LER226" s="26"/>
      <c r="LEV226" s="23"/>
      <c r="LFA226" s="26"/>
      <c r="LFE226" s="23"/>
      <c r="LFJ226" s="26"/>
      <c r="LFN226" s="23"/>
      <c r="LFS226" s="26"/>
      <c r="LFW226" s="23"/>
      <c r="LGB226" s="26"/>
      <c r="LGF226" s="23"/>
      <c r="LGK226" s="26"/>
      <c r="LGO226" s="23"/>
      <c r="LGT226" s="26"/>
      <c r="LGX226" s="23"/>
      <c r="LHC226" s="26"/>
      <c r="LHG226" s="23"/>
      <c r="LHL226" s="26"/>
      <c r="LHP226" s="23"/>
      <c r="LHU226" s="26"/>
      <c r="LHY226" s="23"/>
      <c r="LID226" s="26"/>
      <c r="LIH226" s="23"/>
      <c r="LIM226" s="26"/>
      <c r="LIQ226" s="23"/>
      <c r="LIV226" s="26"/>
      <c r="LIZ226" s="23"/>
      <c r="LJE226" s="26"/>
      <c r="LJI226" s="23"/>
      <c r="LJN226" s="26"/>
      <c r="LJR226" s="23"/>
      <c r="LJW226" s="26"/>
      <c r="LKA226" s="23"/>
      <c r="LKF226" s="26"/>
      <c r="LKJ226" s="23"/>
      <c r="LKO226" s="26"/>
      <c r="LKS226" s="23"/>
      <c r="LKX226" s="26"/>
      <c r="LLB226" s="23"/>
      <c r="LLG226" s="26"/>
      <c r="LLK226" s="23"/>
      <c r="LLP226" s="26"/>
      <c r="LLT226" s="23"/>
      <c r="LLY226" s="26"/>
      <c r="LMC226" s="23"/>
      <c r="LMH226" s="26"/>
      <c r="LML226" s="23"/>
      <c r="LMQ226" s="26"/>
      <c r="LMU226" s="23"/>
      <c r="LMZ226" s="26"/>
      <c r="LND226" s="23"/>
      <c r="LNI226" s="26"/>
      <c r="LNM226" s="23"/>
      <c r="LNR226" s="26"/>
      <c r="LNV226" s="23"/>
      <c r="LOA226" s="26"/>
      <c r="LOE226" s="23"/>
      <c r="LOJ226" s="26"/>
      <c r="LON226" s="23"/>
      <c r="LOS226" s="26"/>
      <c r="LOW226" s="23"/>
      <c r="LPB226" s="26"/>
      <c r="LPF226" s="23"/>
      <c r="LPK226" s="26"/>
      <c r="LPO226" s="23"/>
      <c r="LPT226" s="26"/>
      <c r="LPX226" s="23"/>
      <c r="LQC226" s="26"/>
      <c r="LQG226" s="23"/>
      <c r="LQL226" s="26"/>
      <c r="LQP226" s="23"/>
      <c r="LQU226" s="26"/>
      <c r="LQY226" s="23"/>
      <c r="LRD226" s="26"/>
      <c r="LRH226" s="23"/>
      <c r="LRM226" s="26"/>
      <c r="LRQ226" s="23"/>
      <c r="LRV226" s="26"/>
      <c r="LRZ226" s="23"/>
      <c r="LSE226" s="26"/>
      <c r="LSI226" s="23"/>
      <c r="LSN226" s="26"/>
      <c r="LSR226" s="23"/>
      <c r="LSW226" s="26"/>
      <c r="LTA226" s="23"/>
      <c r="LTF226" s="26"/>
      <c r="LTJ226" s="23"/>
      <c r="LTO226" s="26"/>
      <c r="LTS226" s="23"/>
      <c r="LTX226" s="26"/>
      <c r="LUB226" s="23"/>
      <c r="LUG226" s="26"/>
      <c r="LUK226" s="23"/>
      <c r="LUP226" s="26"/>
      <c r="LUT226" s="23"/>
      <c r="LUY226" s="26"/>
      <c r="LVC226" s="23"/>
      <c r="LVH226" s="26"/>
      <c r="LVL226" s="23"/>
      <c r="LVQ226" s="26"/>
      <c r="LVU226" s="23"/>
      <c r="LVZ226" s="26"/>
      <c r="LWD226" s="23"/>
      <c r="LWI226" s="26"/>
      <c r="LWM226" s="23"/>
      <c r="LWR226" s="26"/>
      <c r="LWV226" s="23"/>
      <c r="LXA226" s="26"/>
      <c r="LXE226" s="23"/>
      <c r="LXJ226" s="26"/>
      <c r="LXN226" s="23"/>
      <c r="LXS226" s="26"/>
      <c r="LXW226" s="23"/>
      <c r="LYB226" s="26"/>
      <c r="LYF226" s="23"/>
      <c r="LYK226" s="26"/>
      <c r="LYO226" s="23"/>
      <c r="LYT226" s="26"/>
      <c r="LYX226" s="23"/>
      <c r="LZC226" s="26"/>
      <c r="LZG226" s="23"/>
      <c r="LZL226" s="26"/>
      <c r="LZP226" s="23"/>
      <c r="LZU226" s="26"/>
      <c r="LZY226" s="23"/>
      <c r="MAD226" s="26"/>
      <c r="MAH226" s="23"/>
      <c r="MAM226" s="26"/>
      <c r="MAQ226" s="23"/>
      <c r="MAV226" s="26"/>
      <c r="MAZ226" s="23"/>
      <c r="MBE226" s="26"/>
      <c r="MBI226" s="23"/>
      <c r="MBN226" s="26"/>
      <c r="MBR226" s="23"/>
      <c r="MBW226" s="26"/>
      <c r="MCA226" s="23"/>
      <c r="MCF226" s="26"/>
      <c r="MCJ226" s="23"/>
      <c r="MCO226" s="26"/>
      <c r="MCS226" s="23"/>
      <c r="MCX226" s="26"/>
      <c r="MDB226" s="23"/>
      <c r="MDG226" s="26"/>
      <c r="MDK226" s="23"/>
      <c r="MDP226" s="26"/>
      <c r="MDT226" s="23"/>
      <c r="MDY226" s="26"/>
      <c r="MEC226" s="23"/>
      <c r="MEH226" s="26"/>
      <c r="MEL226" s="23"/>
      <c r="MEQ226" s="26"/>
      <c r="MEU226" s="23"/>
      <c r="MEZ226" s="26"/>
      <c r="MFD226" s="23"/>
      <c r="MFI226" s="26"/>
      <c r="MFM226" s="23"/>
      <c r="MFR226" s="26"/>
      <c r="MFV226" s="23"/>
      <c r="MGA226" s="26"/>
      <c r="MGE226" s="23"/>
      <c r="MGJ226" s="26"/>
      <c r="MGN226" s="23"/>
      <c r="MGS226" s="26"/>
      <c r="MGW226" s="23"/>
      <c r="MHB226" s="26"/>
      <c r="MHF226" s="23"/>
      <c r="MHK226" s="26"/>
      <c r="MHO226" s="23"/>
      <c r="MHT226" s="26"/>
      <c r="MHX226" s="23"/>
      <c r="MIC226" s="26"/>
      <c r="MIG226" s="23"/>
      <c r="MIL226" s="26"/>
      <c r="MIP226" s="23"/>
      <c r="MIU226" s="26"/>
      <c r="MIY226" s="23"/>
      <c r="MJD226" s="26"/>
      <c r="MJH226" s="23"/>
      <c r="MJM226" s="26"/>
      <c r="MJQ226" s="23"/>
      <c r="MJV226" s="26"/>
      <c r="MJZ226" s="23"/>
      <c r="MKE226" s="26"/>
      <c r="MKI226" s="23"/>
      <c r="MKN226" s="26"/>
      <c r="MKR226" s="23"/>
      <c r="MKW226" s="26"/>
      <c r="MLA226" s="23"/>
      <c r="MLF226" s="26"/>
      <c r="MLJ226" s="23"/>
      <c r="MLO226" s="26"/>
      <c r="MLS226" s="23"/>
      <c r="MLX226" s="26"/>
      <c r="MMB226" s="23"/>
      <c r="MMG226" s="26"/>
      <c r="MMK226" s="23"/>
      <c r="MMP226" s="26"/>
      <c r="MMT226" s="23"/>
      <c r="MMY226" s="26"/>
      <c r="MNC226" s="23"/>
      <c r="MNH226" s="26"/>
      <c r="MNL226" s="23"/>
      <c r="MNQ226" s="26"/>
      <c r="MNU226" s="23"/>
      <c r="MNZ226" s="26"/>
      <c r="MOD226" s="23"/>
      <c r="MOI226" s="26"/>
      <c r="MOM226" s="23"/>
      <c r="MOR226" s="26"/>
      <c r="MOV226" s="23"/>
      <c r="MPA226" s="26"/>
      <c r="MPE226" s="23"/>
      <c r="MPJ226" s="26"/>
      <c r="MPN226" s="23"/>
      <c r="MPS226" s="26"/>
      <c r="MPW226" s="23"/>
      <c r="MQB226" s="26"/>
      <c r="MQF226" s="23"/>
      <c r="MQK226" s="26"/>
      <c r="MQO226" s="23"/>
      <c r="MQT226" s="26"/>
      <c r="MQX226" s="23"/>
      <c r="MRC226" s="26"/>
      <c r="MRG226" s="23"/>
      <c r="MRL226" s="26"/>
      <c r="MRP226" s="23"/>
      <c r="MRU226" s="26"/>
      <c r="MRY226" s="23"/>
      <c r="MSD226" s="26"/>
      <c r="MSH226" s="23"/>
      <c r="MSM226" s="26"/>
      <c r="MSQ226" s="23"/>
      <c r="MSV226" s="26"/>
      <c r="MSZ226" s="23"/>
      <c r="MTE226" s="26"/>
      <c r="MTI226" s="23"/>
      <c r="MTN226" s="26"/>
      <c r="MTR226" s="23"/>
      <c r="MTW226" s="26"/>
      <c r="MUA226" s="23"/>
      <c r="MUF226" s="26"/>
      <c r="MUJ226" s="23"/>
      <c r="MUO226" s="26"/>
      <c r="MUS226" s="23"/>
      <c r="MUX226" s="26"/>
      <c r="MVB226" s="23"/>
      <c r="MVG226" s="26"/>
      <c r="MVK226" s="23"/>
      <c r="MVP226" s="26"/>
      <c r="MVT226" s="23"/>
      <c r="MVY226" s="26"/>
      <c r="MWC226" s="23"/>
      <c r="MWH226" s="26"/>
      <c r="MWL226" s="23"/>
      <c r="MWQ226" s="26"/>
      <c r="MWU226" s="23"/>
      <c r="MWZ226" s="26"/>
      <c r="MXD226" s="23"/>
      <c r="MXI226" s="26"/>
      <c r="MXM226" s="23"/>
      <c r="MXR226" s="26"/>
      <c r="MXV226" s="23"/>
      <c r="MYA226" s="26"/>
      <c r="MYE226" s="23"/>
      <c r="MYJ226" s="26"/>
      <c r="MYN226" s="23"/>
      <c r="MYS226" s="26"/>
      <c r="MYW226" s="23"/>
      <c r="MZB226" s="26"/>
      <c r="MZF226" s="23"/>
      <c r="MZK226" s="26"/>
      <c r="MZO226" s="23"/>
      <c r="MZT226" s="26"/>
      <c r="MZX226" s="23"/>
      <c r="NAC226" s="26"/>
      <c r="NAG226" s="23"/>
      <c r="NAL226" s="26"/>
      <c r="NAP226" s="23"/>
      <c r="NAU226" s="26"/>
      <c r="NAY226" s="23"/>
      <c r="NBD226" s="26"/>
      <c r="NBH226" s="23"/>
      <c r="NBM226" s="26"/>
      <c r="NBQ226" s="23"/>
      <c r="NBV226" s="26"/>
      <c r="NBZ226" s="23"/>
      <c r="NCE226" s="26"/>
      <c r="NCI226" s="23"/>
      <c r="NCN226" s="26"/>
      <c r="NCR226" s="23"/>
      <c r="NCW226" s="26"/>
      <c r="NDA226" s="23"/>
      <c r="NDF226" s="26"/>
      <c r="NDJ226" s="23"/>
      <c r="NDO226" s="26"/>
      <c r="NDS226" s="23"/>
      <c r="NDX226" s="26"/>
      <c r="NEB226" s="23"/>
      <c r="NEG226" s="26"/>
      <c r="NEK226" s="23"/>
      <c r="NEP226" s="26"/>
      <c r="NET226" s="23"/>
      <c r="NEY226" s="26"/>
      <c r="NFC226" s="23"/>
      <c r="NFH226" s="26"/>
      <c r="NFL226" s="23"/>
      <c r="NFQ226" s="26"/>
      <c r="NFU226" s="23"/>
      <c r="NFZ226" s="26"/>
      <c r="NGD226" s="23"/>
      <c r="NGI226" s="26"/>
      <c r="NGM226" s="23"/>
      <c r="NGR226" s="26"/>
      <c r="NGV226" s="23"/>
      <c r="NHA226" s="26"/>
      <c r="NHE226" s="23"/>
      <c r="NHJ226" s="26"/>
      <c r="NHN226" s="23"/>
      <c r="NHS226" s="26"/>
      <c r="NHW226" s="23"/>
      <c r="NIB226" s="26"/>
      <c r="NIF226" s="23"/>
      <c r="NIK226" s="26"/>
      <c r="NIO226" s="23"/>
      <c r="NIT226" s="26"/>
      <c r="NIX226" s="23"/>
      <c r="NJC226" s="26"/>
      <c r="NJG226" s="23"/>
      <c r="NJL226" s="26"/>
      <c r="NJP226" s="23"/>
      <c r="NJU226" s="26"/>
      <c r="NJY226" s="23"/>
      <c r="NKD226" s="26"/>
      <c r="NKH226" s="23"/>
      <c r="NKM226" s="26"/>
      <c r="NKQ226" s="23"/>
      <c r="NKV226" s="26"/>
      <c r="NKZ226" s="23"/>
      <c r="NLE226" s="26"/>
      <c r="NLI226" s="23"/>
      <c r="NLN226" s="26"/>
      <c r="NLR226" s="23"/>
      <c r="NLW226" s="26"/>
      <c r="NMA226" s="23"/>
      <c r="NMF226" s="26"/>
      <c r="NMJ226" s="23"/>
      <c r="NMO226" s="26"/>
      <c r="NMS226" s="23"/>
      <c r="NMX226" s="26"/>
      <c r="NNB226" s="23"/>
      <c r="NNG226" s="26"/>
      <c r="NNK226" s="23"/>
      <c r="NNP226" s="26"/>
      <c r="NNT226" s="23"/>
      <c r="NNY226" s="26"/>
      <c r="NOC226" s="23"/>
      <c r="NOH226" s="26"/>
      <c r="NOL226" s="23"/>
      <c r="NOQ226" s="26"/>
      <c r="NOU226" s="23"/>
      <c r="NOZ226" s="26"/>
      <c r="NPD226" s="23"/>
      <c r="NPI226" s="26"/>
      <c r="NPM226" s="23"/>
      <c r="NPR226" s="26"/>
      <c r="NPV226" s="23"/>
      <c r="NQA226" s="26"/>
      <c r="NQE226" s="23"/>
      <c r="NQJ226" s="26"/>
      <c r="NQN226" s="23"/>
      <c r="NQS226" s="26"/>
      <c r="NQW226" s="23"/>
      <c r="NRB226" s="26"/>
      <c r="NRF226" s="23"/>
      <c r="NRK226" s="26"/>
      <c r="NRO226" s="23"/>
      <c r="NRT226" s="26"/>
      <c r="NRX226" s="23"/>
      <c r="NSC226" s="26"/>
      <c r="NSG226" s="23"/>
      <c r="NSL226" s="26"/>
      <c r="NSP226" s="23"/>
      <c r="NSU226" s="26"/>
      <c r="NSY226" s="23"/>
      <c r="NTD226" s="26"/>
      <c r="NTH226" s="23"/>
      <c r="NTM226" s="26"/>
      <c r="NTQ226" s="23"/>
      <c r="NTV226" s="26"/>
      <c r="NTZ226" s="23"/>
      <c r="NUE226" s="26"/>
      <c r="NUI226" s="23"/>
      <c r="NUN226" s="26"/>
      <c r="NUR226" s="23"/>
      <c r="NUW226" s="26"/>
      <c r="NVA226" s="23"/>
      <c r="NVF226" s="26"/>
      <c r="NVJ226" s="23"/>
      <c r="NVO226" s="26"/>
      <c r="NVS226" s="23"/>
      <c r="NVX226" s="26"/>
      <c r="NWB226" s="23"/>
      <c r="NWG226" s="26"/>
      <c r="NWK226" s="23"/>
      <c r="NWP226" s="26"/>
      <c r="NWT226" s="23"/>
      <c r="NWY226" s="26"/>
      <c r="NXC226" s="23"/>
      <c r="NXH226" s="26"/>
      <c r="NXL226" s="23"/>
      <c r="NXQ226" s="26"/>
      <c r="NXU226" s="23"/>
      <c r="NXZ226" s="26"/>
      <c r="NYD226" s="23"/>
      <c r="NYI226" s="26"/>
      <c r="NYM226" s="23"/>
      <c r="NYR226" s="26"/>
      <c r="NYV226" s="23"/>
      <c r="NZA226" s="26"/>
      <c r="NZE226" s="23"/>
      <c r="NZJ226" s="26"/>
      <c r="NZN226" s="23"/>
      <c r="NZS226" s="26"/>
      <c r="NZW226" s="23"/>
      <c r="OAB226" s="26"/>
      <c r="OAF226" s="23"/>
      <c r="OAK226" s="26"/>
      <c r="OAO226" s="23"/>
      <c r="OAT226" s="26"/>
      <c r="OAX226" s="23"/>
      <c r="OBC226" s="26"/>
      <c r="OBG226" s="23"/>
      <c r="OBL226" s="26"/>
      <c r="OBP226" s="23"/>
      <c r="OBU226" s="26"/>
      <c r="OBY226" s="23"/>
      <c r="OCD226" s="26"/>
      <c r="OCH226" s="23"/>
      <c r="OCM226" s="26"/>
      <c r="OCQ226" s="23"/>
      <c r="OCV226" s="26"/>
      <c r="OCZ226" s="23"/>
      <c r="ODE226" s="26"/>
      <c r="ODI226" s="23"/>
      <c r="ODN226" s="26"/>
      <c r="ODR226" s="23"/>
      <c r="ODW226" s="26"/>
      <c r="OEA226" s="23"/>
      <c r="OEF226" s="26"/>
      <c r="OEJ226" s="23"/>
      <c r="OEO226" s="26"/>
      <c r="OES226" s="23"/>
      <c r="OEX226" s="26"/>
      <c r="OFB226" s="23"/>
      <c r="OFG226" s="26"/>
      <c r="OFK226" s="23"/>
      <c r="OFP226" s="26"/>
      <c r="OFT226" s="23"/>
      <c r="OFY226" s="26"/>
      <c r="OGC226" s="23"/>
      <c r="OGH226" s="26"/>
      <c r="OGL226" s="23"/>
      <c r="OGQ226" s="26"/>
      <c r="OGU226" s="23"/>
      <c r="OGZ226" s="26"/>
      <c r="OHD226" s="23"/>
      <c r="OHI226" s="26"/>
      <c r="OHM226" s="23"/>
      <c r="OHR226" s="26"/>
      <c r="OHV226" s="23"/>
      <c r="OIA226" s="26"/>
      <c r="OIE226" s="23"/>
      <c r="OIJ226" s="26"/>
      <c r="OIN226" s="23"/>
      <c r="OIS226" s="26"/>
      <c r="OIW226" s="23"/>
      <c r="OJB226" s="26"/>
      <c r="OJF226" s="23"/>
      <c r="OJK226" s="26"/>
      <c r="OJO226" s="23"/>
      <c r="OJT226" s="26"/>
      <c r="OJX226" s="23"/>
      <c r="OKC226" s="26"/>
      <c r="OKG226" s="23"/>
      <c r="OKL226" s="26"/>
      <c r="OKP226" s="23"/>
      <c r="OKU226" s="26"/>
      <c r="OKY226" s="23"/>
      <c r="OLD226" s="26"/>
      <c r="OLH226" s="23"/>
      <c r="OLM226" s="26"/>
      <c r="OLQ226" s="23"/>
      <c r="OLV226" s="26"/>
      <c r="OLZ226" s="23"/>
      <c r="OME226" s="26"/>
      <c r="OMI226" s="23"/>
      <c r="OMN226" s="26"/>
      <c r="OMR226" s="23"/>
      <c r="OMW226" s="26"/>
      <c r="ONA226" s="23"/>
      <c r="ONF226" s="26"/>
      <c r="ONJ226" s="23"/>
      <c r="ONO226" s="26"/>
      <c r="ONS226" s="23"/>
      <c r="ONX226" s="26"/>
      <c r="OOB226" s="23"/>
      <c r="OOG226" s="26"/>
      <c r="OOK226" s="23"/>
      <c r="OOP226" s="26"/>
      <c r="OOT226" s="23"/>
      <c r="OOY226" s="26"/>
      <c r="OPC226" s="23"/>
      <c r="OPH226" s="26"/>
      <c r="OPL226" s="23"/>
      <c r="OPQ226" s="26"/>
      <c r="OPU226" s="23"/>
      <c r="OPZ226" s="26"/>
      <c r="OQD226" s="23"/>
      <c r="OQI226" s="26"/>
      <c r="OQM226" s="23"/>
      <c r="OQR226" s="26"/>
      <c r="OQV226" s="23"/>
      <c r="ORA226" s="26"/>
      <c r="ORE226" s="23"/>
      <c r="ORJ226" s="26"/>
      <c r="ORN226" s="23"/>
      <c r="ORS226" s="26"/>
      <c r="ORW226" s="23"/>
      <c r="OSB226" s="26"/>
      <c r="OSF226" s="23"/>
      <c r="OSK226" s="26"/>
      <c r="OSO226" s="23"/>
      <c r="OST226" s="26"/>
      <c r="OSX226" s="23"/>
      <c r="OTC226" s="26"/>
      <c r="OTG226" s="23"/>
      <c r="OTL226" s="26"/>
      <c r="OTP226" s="23"/>
      <c r="OTU226" s="26"/>
      <c r="OTY226" s="23"/>
      <c r="OUD226" s="26"/>
      <c r="OUH226" s="23"/>
      <c r="OUM226" s="26"/>
      <c r="OUQ226" s="23"/>
      <c r="OUV226" s="26"/>
      <c r="OUZ226" s="23"/>
      <c r="OVE226" s="26"/>
      <c r="OVI226" s="23"/>
      <c r="OVN226" s="26"/>
      <c r="OVR226" s="23"/>
      <c r="OVW226" s="26"/>
      <c r="OWA226" s="23"/>
      <c r="OWF226" s="26"/>
      <c r="OWJ226" s="23"/>
      <c r="OWO226" s="26"/>
      <c r="OWS226" s="23"/>
      <c r="OWX226" s="26"/>
      <c r="OXB226" s="23"/>
      <c r="OXG226" s="26"/>
      <c r="OXK226" s="23"/>
      <c r="OXP226" s="26"/>
      <c r="OXT226" s="23"/>
      <c r="OXY226" s="26"/>
      <c r="OYC226" s="23"/>
      <c r="OYH226" s="26"/>
      <c r="OYL226" s="23"/>
      <c r="OYQ226" s="26"/>
      <c r="OYU226" s="23"/>
      <c r="OYZ226" s="26"/>
      <c r="OZD226" s="23"/>
      <c r="OZI226" s="26"/>
      <c r="OZM226" s="23"/>
      <c r="OZR226" s="26"/>
      <c r="OZV226" s="23"/>
      <c r="PAA226" s="26"/>
      <c r="PAE226" s="23"/>
      <c r="PAJ226" s="26"/>
      <c r="PAN226" s="23"/>
      <c r="PAS226" s="26"/>
      <c r="PAW226" s="23"/>
      <c r="PBB226" s="26"/>
      <c r="PBF226" s="23"/>
      <c r="PBK226" s="26"/>
      <c r="PBO226" s="23"/>
      <c r="PBT226" s="26"/>
      <c r="PBX226" s="23"/>
      <c r="PCC226" s="26"/>
      <c r="PCG226" s="23"/>
      <c r="PCL226" s="26"/>
      <c r="PCP226" s="23"/>
      <c r="PCU226" s="26"/>
      <c r="PCY226" s="23"/>
      <c r="PDD226" s="26"/>
      <c r="PDH226" s="23"/>
      <c r="PDM226" s="26"/>
      <c r="PDQ226" s="23"/>
      <c r="PDV226" s="26"/>
      <c r="PDZ226" s="23"/>
      <c r="PEE226" s="26"/>
      <c r="PEI226" s="23"/>
      <c r="PEN226" s="26"/>
      <c r="PER226" s="23"/>
      <c r="PEW226" s="26"/>
      <c r="PFA226" s="23"/>
      <c r="PFF226" s="26"/>
      <c r="PFJ226" s="23"/>
      <c r="PFO226" s="26"/>
      <c r="PFS226" s="23"/>
      <c r="PFX226" s="26"/>
      <c r="PGB226" s="23"/>
      <c r="PGG226" s="26"/>
      <c r="PGK226" s="23"/>
      <c r="PGP226" s="26"/>
      <c r="PGT226" s="23"/>
      <c r="PGY226" s="26"/>
      <c r="PHC226" s="23"/>
      <c r="PHH226" s="26"/>
      <c r="PHL226" s="23"/>
      <c r="PHQ226" s="26"/>
      <c r="PHU226" s="23"/>
      <c r="PHZ226" s="26"/>
      <c r="PID226" s="23"/>
      <c r="PII226" s="26"/>
      <c r="PIM226" s="23"/>
      <c r="PIR226" s="26"/>
      <c r="PIV226" s="23"/>
      <c r="PJA226" s="26"/>
      <c r="PJE226" s="23"/>
      <c r="PJJ226" s="26"/>
      <c r="PJN226" s="23"/>
      <c r="PJS226" s="26"/>
      <c r="PJW226" s="23"/>
      <c r="PKB226" s="26"/>
      <c r="PKF226" s="23"/>
      <c r="PKK226" s="26"/>
      <c r="PKO226" s="23"/>
      <c r="PKT226" s="26"/>
      <c r="PKX226" s="23"/>
      <c r="PLC226" s="26"/>
      <c r="PLG226" s="23"/>
      <c r="PLL226" s="26"/>
      <c r="PLP226" s="23"/>
      <c r="PLU226" s="26"/>
      <c r="PLY226" s="23"/>
      <c r="PMD226" s="26"/>
      <c r="PMH226" s="23"/>
      <c r="PMM226" s="26"/>
      <c r="PMQ226" s="23"/>
      <c r="PMV226" s="26"/>
      <c r="PMZ226" s="23"/>
      <c r="PNE226" s="26"/>
      <c r="PNI226" s="23"/>
      <c r="PNN226" s="26"/>
      <c r="PNR226" s="23"/>
      <c r="PNW226" s="26"/>
      <c r="POA226" s="23"/>
      <c r="POF226" s="26"/>
      <c r="POJ226" s="23"/>
      <c r="POO226" s="26"/>
      <c r="POS226" s="23"/>
      <c r="POX226" s="26"/>
      <c r="PPB226" s="23"/>
      <c r="PPG226" s="26"/>
      <c r="PPK226" s="23"/>
      <c r="PPP226" s="26"/>
      <c r="PPT226" s="23"/>
      <c r="PPY226" s="26"/>
      <c r="PQC226" s="23"/>
      <c r="PQH226" s="26"/>
      <c r="PQL226" s="23"/>
      <c r="PQQ226" s="26"/>
      <c r="PQU226" s="23"/>
      <c r="PQZ226" s="26"/>
      <c r="PRD226" s="23"/>
      <c r="PRI226" s="26"/>
      <c r="PRM226" s="23"/>
      <c r="PRR226" s="26"/>
      <c r="PRV226" s="23"/>
      <c r="PSA226" s="26"/>
      <c r="PSE226" s="23"/>
      <c r="PSJ226" s="26"/>
      <c r="PSN226" s="23"/>
      <c r="PSS226" s="26"/>
      <c r="PSW226" s="23"/>
      <c r="PTB226" s="26"/>
      <c r="PTF226" s="23"/>
      <c r="PTK226" s="26"/>
      <c r="PTO226" s="23"/>
      <c r="PTT226" s="26"/>
      <c r="PTX226" s="23"/>
      <c r="PUC226" s="26"/>
      <c r="PUG226" s="23"/>
      <c r="PUL226" s="26"/>
      <c r="PUP226" s="23"/>
      <c r="PUU226" s="26"/>
      <c r="PUY226" s="23"/>
      <c r="PVD226" s="26"/>
      <c r="PVH226" s="23"/>
      <c r="PVM226" s="26"/>
      <c r="PVQ226" s="23"/>
      <c r="PVV226" s="26"/>
      <c r="PVZ226" s="23"/>
      <c r="PWE226" s="26"/>
      <c r="PWI226" s="23"/>
      <c r="PWN226" s="26"/>
      <c r="PWR226" s="23"/>
      <c r="PWW226" s="26"/>
      <c r="PXA226" s="23"/>
      <c r="PXF226" s="26"/>
      <c r="PXJ226" s="23"/>
      <c r="PXO226" s="26"/>
      <c r="PXS226" s="23"/>
      <c r="PXX226" s="26"/>
      <c r="PYB226" s="23"/>
      <c r="PYG226" s="26"/>
      <c r="PYK226" s="23"/>
      <c r="PYP226" s="26"/>
      <c r="PYT226" s="23"/>
      <c r="PYY226" s="26"/>
      <c r="PZC226" s="23"/>
      <c r="PZH226" s="26"/>
      <c r="PZL226" s="23"/>
      <c r="PZQ226" s="26"/>
      <c r="PZU226" s="23"/>
      <c r="PZZ226" s="26"/>
      <c r="QAD226" s="23"/>
      <c r="QAI226" s="26"/>
      <c r="QAM226" s="23"/>
      <c r="QAR226" s="26"/>
      <c r="QAV226" s="23"/>
      <c r="QBA226" s="26"/>
      <c r="QBE226" s="23"/>
      <c r="QBJ226" s="26"/>
      <c r="QBN226" s="23"/>
      <c r="QBS226" s="26"/>
      <c r="QBW226" s="23"/>
      <c r="QCB226" s="26"/>
      <c r="QCF226" s="23"/>
      <c r="QCK226" s="26"/>
      <c r="QCO226" s="23"/>
      <c r="QCT226" s="26"/>
      <c r="QCX226" s="23"/>
      <c r="QDC226" s="26"/>
      <c r="QDG226" s="23"/>
      <c r="QDL226" s="26"/>
      <c r="QDP226" s="23"/>
      <c r="QDU226" s="26"/>
      <c r="QDY226" s="23"/>
      <c r="QED226" s="26"/>
      <c r="QEH226" s="23"/>
      <c r="QEM226" s="26"/>
      <c r="QEQ226" s="23"/>
      <c r="QEV226" s="26"/>
      <c r="QEZ226" s="23"/>
      <c r="QFE226" s="26"/>
      <c r="QFI226" s="23"/>
      <c r="QFN226" s="26"/>
      <c r="QFR226" s="23"/>
      <c r="QFW226" s="26"/>
      <c r="QGA226" s="23"/>
      <c r="QGF226" s="26"/>
      <c r="QGJ226" s="23"/>
      <c r="QGO226" s="26"/>
      <c r="QGS226" s="23"/>
      <c r="QGX226" s="26"/>
      <c r="QHB226" s="23"/>
      <c r="QHG226" s="26"/>
      <c r="QHK226" s="23"/>
      <c r="QHP226" s="26"/>
      <c r="QHT226" s="23"/>
      <c r="QHY226" s="26"/>
      <c r="QIC226" s="23"/>
      <c r="QIH226" s="26"/>
      <c r="QIL226" s="23"/>
      <c r="QIQ226" s="26"/>
      <c r="QIU226" s="23"/>
      <c r="QIZ226" s="26"/>
      <c r="QJD226" s="23"/>
      <c r="QJI226" s="26"/>
      <c r="QJM226" s="23"/>
      <c r="QJR226" s="26"/>
      <c r="QJV226" s="23"/>
      <c r="QKA226" s="26"/>
      <c r="QKE226" s="23"/>
      <c r="QKJ226" s="26"/>
      <c r="QKN226" s="23"/>
      <c r="QKS226" s="26"/>
      <c r="QKW226" s="23"/>
      <c r="QLB226" s="26"/>
      <c r="QLF226" s="23"/>
      <c r="QLK226" s="26"/>
      <c r="QLO226" s="23"/>
      <c r="QLT226" s="26"/>
      <c r="QLX226" s="23"/>
      <c r="QMC226" s="26"/>
      <c r="QMG226" s="23"/>
      <c r="QML226" s="26"/>
      <c r="QMP226" s="23"/>
      <c r="QMU226" s="26"/>
      <c r="QMY226" s="23"/>
      <c r="QND226" s="26"/>
      <c r="QNH226" s="23"/>
      <c r="QNM226" s="26"/>
      <c r="QNQ226" s="23"/>
      <c r="QNV226" s="26"/>
      <c r="QNZ226" s="23"/>
      <c r="QOE226" s="26"/>
      <c r="QOI226" s="23"/>
      <c r="QON226" s="26"/>
      <c r="QOR226" s="23"/>
      <c r="QOW226" s="26"/>
      <c r="QPA226" s="23"/>
      <c r="QPF226" s="26"/>
      <c r="QPJ226" s="23"/>
      <c r="QPO226" s="26"/>
      <c r="QPS226" s="23"/>
      <c r="QPX226" s="26"/>
      <c r="QQB226" s="23"/>
      <c r="QQG226" s="26"/>
      <c r="QQK226" s="23"/>
      <c r="QQP226" s="26"/>
      <c r="QQT226" s="23"/>
      <c r="QQY226" s="26"/>
      <c r="QRC226" s="23"/>
      <c r="QRH226" s="26"/>
      <c r="QRL226" s="23"/>
      <c r="QRQ226" s="26"/>
      <c r="QRU226" s="23"/>
      <c r="QRZ226" s="26"/>
      <c r="QSD226" s="23"/>
      <c r="QSI226" s="26"/>
      <c r="QSM226" s="23"/>
      <c r="QSR226" s="26"/>
      <c r="QSV226" s="23"/>
      <c r="QTA226" s="26"/>
      <c r="QTE226" s="23"/>
      <c r="QTJ226" s="26"/>
      <c r="QTN226" s="23"/>
      <c r="QTS226" s="26"/>
      <c r="QTW226" s="23"/>
      <c r="QUB226" s="26"/>
      <c r="QUF226" s="23"/>
      <c r="QUK226" s="26"/>
      <c r="QUO226" s="23"/>
      <c r="QUT226" s="26"/>
      <c r="QUX226" s="23"/>
      <c r="QVC226" s="26"/>
      <c r="QVG226" s="23"/>
      <c r="QVL226" s="26"/>
      <c r="QVP226" s="23"/>
      <c r="QVU226" s="26"/>
      <c r="QVY226" s="23"/>
      <c r="QWD226" s="26"/>
      <c r="QWH226" s="23"/>
      <c r="QWM226" s="26"/>
      <c r="QWQ226" s="23"/>
      <c r="QWV226" s="26"/>
      <c r="QWZ226" s="23"/>
      <c r="QXE226" s="26"/>
      <c r="QXI226" s="23"/>
      <c r="QXN226" s="26"/>
      <c r="QXR226" s="23"/>
      <c r="QXW226" s="26"/>
      <c r="QYA226" s="23"/>
      <c r="QYF226" s="26"/>
      <c r="QYJ226" s="23"/>
      <c r="QYO226" s="26"/>
      <c r="QYS226" s="23"/>
      <c r="QYX226" s="26"/>
      <c r="QZB226" s="23"/>
      <c r="QZG226" s="26"/>
      <c r="QZK226" s="23"/>
      <c r="QZP226" s="26"/>
      <c r="QZT226" s="23"/>
      <c r="QZY226" s="26"/>
      <c r="RAC226" s="23"/>
      <c r="RAH226" s="26"/>
      <c r="RAL226" s="23"/>
      <c r="RAQ226" s="26"/>
      <c r="RAU226" s="23"/>
      <c r="RAZ226" s="26"/>
      <c r="RBD226" s="23"/>
      <c r="RBI226" s="26"/>
      <c r="RBM226" s="23"/>
      <c r="RBR226" s="26"/>
      <c r="RBV226" s="23"/>
      <c r="RCA226" s="26"/>
      <c r="RCE226" s="23"/>
      <c r="RCJ226" s="26"/>
      <c r="RCN226" s="23"/>
      <c r="RCS226" s="26"/>
      <c r="RCW226" s="23"/>
      <c r="RDB226" s="26"/>
      <c r="RDF226" s="23"/>
      <c r="RDK226" s="26"/>
      <c r="RDO226" s="23"/>
      <c r="RDT226" s="26"/>
      <c r="RDX226" s="23"/>
      <c r="REC226" s="26"/>
      <c r="REG226" s="23"/>
      <c r="REL226" s="26"/>
      <c r="REP226" s="23"/>
      <c r="REU226" s="26"/>
      <c r="REY226" s="23"/>
      <c r="RFD226" s="26"/>
      <c r="RFH226" s="23"/>
      <c r="RFM226" s="26"/>
      <c r="RFQ226" s="23"/>
      <c r="RFV226" s="26"/>
      <c r="RFZ226" s="23"/>
      <c r="RGE226" s="26"/>
      <c r="RGI226" s="23"/>
      <c r="RGN226" s="26"/>
      <c r="RGR226" s="23"/>
      <c r="RGW226" s="26"/>
      <c r="RHA226" s="23"/>
      <c r="RHF226" s="26"/>
      <c r="RHJ226" s="23"/>
      <c r="RHO226" s="26"/>
      <c r="RHS226" s="23"/>
      <c r="RHX226" s="26"/>
      <c r="RIB226" s="23"/>
      <c r="RIG226" s="26"/>
      <c r="RIK226" s="23"/>
      <c r="RIP226" s="26"/>
      <c r="RIT226" s="23"/>
      <c r="RIY226" s="26"/>
      <c r="RJC226" s="23"/>
      <c r="RJH226" s="26"/>
      <c r="RJL226" s="23"/>
      <c r="RJQ226" s="26"/>
      <c r="RJU226" s="23"/>
      <c r="RJZ226" s="26"/>
      <c r="RKD226" s="23"/>
      <c r="RKI226" s="26"/>
      <c r="RKM226" s="23"/>
      <c r="RKR226" s="26"/>
      <c r="RKV226" s="23"/>
      <c r="RLA226" s="26"/>
      <c r="RLE226" s="23"/>
      <c r="RLJ226" s="26"/>
      <c r="RLN226" s="23"/>
      <c r="RLS226" s="26"/>
      <c r="RLW226" s="23"/>
      <c r="RMB226" s="26"/>
      <c r="RMF226" s="23"/>
      <c r="RMK226" s="26"/>
      <c r="RMO226" s="23"/>
      <c r="RMT226" s="26"/>
      <c r="RMX226" s="23"/>
      <c r="RNC226" s="26"/>
      <c r="RNG226" s="23"/>
      <c r="RNL226" s="26"/>
      <c r="RNP226" s="23"/>
      <c r="RNU226" s="26"/>
      <c r="RNY226" s="23"/>
      <c r="ROD226" s="26"/>
      <c r="ROH226" s="23"/>
      <c r="ROM226" s="26"/>
      <c r="ROQ226" s="23"/>
      <c r="ROV226" s="26"/>
      <c r="ROZ226" s="23"/>
      <c r="RPE226" s="26"/>
      <c r="RPI226" s="23"/>
      <c r="RPN226" s="26"/>
      <c r="RPR226" s="23"/>
      <c r="RPW226" s="26"/>
      <c r="RQA226" s="23"/>
      <c r="RQF226" s="26"/>
      <c r="RQJ226" s="23"/>
      <c r="RQO226" s="26"/>
      <c r="RQS226" s="23"/>
      <c r="RQX226" s="26"/>
      <c r="RRB226" s="23"/>
      <c r="RRG226" s="26"/>
      <c r="RRK226" s="23"/>
      <c r="RRP226" s="26"/>
      <c r="RRT226" s="23"/>
      <c r="RRY226" s="26"/>
      <c r="RSC226" s="23"/>
      <c r="RSH226" s="26"/>
      <c r="RSL226" s="23"/>
      <c r="RSQ226" s="26"/>
      <c r="RSU226" s="23"/>
      <c r="RSZ226" s="26"/>
      <c r="RTD226" s="23"/>
      <c r="RTI226" s="26"/>
      <c r="RTM226" s="23"/>
      <c r="RTR226" s="26"/>
      <c r="RTV226" s="23"/>
      <c r="RUA226" s="26"/>
      <c r="RUE226" s="23"/>
      <c r="RUJ226" s="26"/>
      <c r="RUN226" s="23"/>
      <c r="RUS226" s="26"/>
      <c r="RUW226" s="23"/>
      <c r="RVB226" s="26"/>
      <c r="RVF226" s="23"/>
      <c r="RVK226" s="26"/>
      <c r="RVO226" s="23"/>
      <c r="RVT226" s="26"/>
      <c r="RVX226" s="23"/>
      <c r="RWC226" s="26"/>
      <c r="RWG226" s="23"/>
      <c r="RWL226" s="26"/>
      <c r="RWP226" s="23"/>
      <c r="RWU226" s="26"/>
      <c r="RWY226" s="23"/>
      <c r="RXD226" s="26"/>
      <c r="RXH226" s="23"/>
      <c r="RXM226" s="26"/>
      <c r="RXQ226" s="23"/>
      <c r="RXV226" s="26"/>
      <c r="RXZ226" s="23"/>
      <c r="RYE226" s="26"/>
      <c r="RYI226" s="23"/>
      <c r="RYN226" s="26"/>
      <c r="RYR226" s="23"/>
      <c r="RYW226" s="26"/>
      <c r="RZA226" s="23"/>
      <c r="RZF226" s="26"/>
      <c r="RZJ226" s="23"/>
      <c r="RZO226" s="26"/>
      <c r="RZS226" s="23"/>
      <c r="RZX226" s="26"/>
      <c r="SAB226" s="23"/>
      <c r="SAG226" s="26"/>
      <c r="SAK226" s="23"/>
      <c r="SAP226" s="26"/>
      <c r="SAT226" s="23"/>
      <c r="SAY226" s="26"/>
      <c r="SBC226" s="23"/>
      <c r="SBH226" s="26"/>
      <c r="SBL226" s="23"/>
      <c r="SBQ226" s="26"/>
      <c r="SBU226" s="23"/>
      <c r="SBZ226" s="26"/>
      <c r="SCD226" s="23"/>
      <c r="SCI226" s="26"/>
      <c r="SCM226" s="23"/>
      <c r="SCR226" s="26"/>
      <c r="SCV226" s="23"/>
      <c r="SDA226" s="26"/>
      <c r="SDE226" s="23"/>
      <c r="SDJ226" s="26"/>
      <c r="SDN226" s="23"/>
      <c r="SDS226" s="26"/>
      <c r="SDW226" s="23"/>
      <c r="SEB226" s="26"/>
      <c r="SEF226" s="23"/>
      <c r="SEK226" s="26"/>
      <c r="SEO226" s="23"/>
      <c r="SET226" s="26"/>
      <c r="SEX226" s="23"/>
      <c r="SFC226" s="26"/>
      <c r="SFG226" s="23"/>
      <c r="SFL226" s="26"/>
      <c r="SFP226" s="23"/>
      <c r="SFU226" s="26"/>
      <c r="SFY226" s="23"/>
      <c r="SGD226" s="26"/>
      <c r="SGH226" s="23"/>
      <c r="SGM226" s="26"/>
      <c r="SGQ226" s="23"/>
      <c r="SGV226" s="26"/>
      <c r="SGZ226" s="23"/>
      <c r="SHE226" s="26"/>
      <c r="SHI226" s="23"/>
      <c r="SHN226" s="26"/>
      <c r="SHR226" s="23"/>
      <c r="SHW226" s="26"/>
      <c r="SIA226" s="23"/>
      <c r="SIF226" s="26"/>
      <c r="SIJ226" s="23"/>
      <c r="SIO226" s="26"/>
      <c r="SIS226" s="23"/>
      <c r="SIX226" s="26"/>
      <c r="SJB226" s="23"/>
      <c r="SJG226" s="26"/>
      <c r="SJK226" s="23"/>
      <c r="SJP226" s="26"/>
      <c r="SJT226" s="23"/>
      <c r="SJY226" s="26"/>
      <c r="SKC226" s="23"/>
      <c r="SKH226" s="26"/>
      <c r="SKL226" s="23"/>
      <c r="SKQ226" s="26"/>
      <c r="SKU226" s="23"/>
      <c r="SKZ226" s="26"/>
      <c r="SLD226" s="23"/>
      <c r="SLI226" s="26"/>
      <c r="SLM226" s="23"/>
      <c r="SLR226" s="26"/>
      <c r="SLV226" s="23"/>
      <c r="SMA226" s="26"/>
      <c r="SME226" s="23"/>
      <c r="SMJ226" s="26"/>
      <c r="SMN226" s="23"/>
      <c r="SMS226" s="26"/>
      <c r="SMW226" s="23"/>
      <c r="SNB226" s="26"/>
      <c r="SNF226" s="23"/>
      <c r="SNK226" s="26"/>
      <c r="SNO226" s="23"/>
      <c r="SNT226" s="26"/>
      <c r="SNX226" s="23"/>
      <c r="SOC226" s="26"/>
      <c r="SOG226" s="23"/>
      <c r="SOL226" s="26"/>
      <c r="SOP226" s="23"/>
      <c r="SOU226" s="26"/>
      <c r="SOY226" s="23"/>
      <c r="SPD226" s="26"/>
      <c r="SPH226" s="23"/>
      <c r="SPM226" s="26"/>
      <c r="SPQ226" s="23"/>
      <c r="SPV226" s="26"/>
      <c r="SPZ226" s="23"/>
      <c r="SQE226" s="26"/>
      <c r="SQI226" s="23"/>
      <c r="SQN226" s="26"/>
      <c r="SQR226" s="23"/>
      <c r="SQW226" s="26"/>
      <c r="SRA226" s="23"/>
      <c r="SRF226" s="26"/>
      <c r="SRJ226" s="23"/>
      <c r="SRO226" s="26"/>
      <c r="SRS226" s="23"/>
      <c r="SRX226" s="26"/>
      <c r="SSB226" s="23"/>
      <c r="SSG226" s="26"/>
      <c r="SSK226" s="23"/>
      <c r="SSP226" s="26"/>
      <c r="SST226" s="23"/>
      <c r="SSY226" s="26"/>
      <c r="STC226" s="23"/>
      <c r="STH226" s="26"/>
      <c r="STL226" s="23"/>
      <c r="STQ226" s="26"/>
      <c r="STU226" s="23"/>
      <c r="STZ226" s="26"/>
      <c r="SUD226" s="23"/>
      <c r="SUI226" s="26"/>
      <c r="SUM226" s="23"/>
      <c r="SUR226" s="26"/>
      <c r="SUV226" s="23"/>
      <c r="SVA226" s="26"/>
      <c r="SVE226" s="23"/>
      <c r="SVJ226" s="26"/>
      <c r="SVN226" s="23"/>
      <c r="SVS226" s="26"/>
      <c r="SVW226" s="23"/>
      <c r="SWB226" s="26"/>
      <c r="SWF226" s="23"/>
      <c r="SWK226" s="26"/>
      <c r="SWO226" s="23"/>
      <c r="SWT226" s="26"/>
      <c r="SWX226" s="23"/>
      <c r="SXC226" s="26"/>
      <c r="SXG226" s="23"/>
      <c r="SXL226" s="26"/>
      <c r="SXP226" s="23"/>
      <c r="SXU226" s="26"/>
      <c r="SXY226" s="23"/>
      <c r="SYD226" s="26"/>
      <c r="SYH226" s="23"/>
      <c r="SYM226" s="26"/>
      <c r="SYQ226" s="23"/>
      <c r="SYV226" s="26"/>
      <c r="SYZ226" s="23"/>
      <c r="SZE226" s="26"/>
      <c r="SZI226" s="23"/>
      <c r="SZN226" s="26"/>
      <c r="SZR226" s="23"/>
      <c r="SZW226" s="26"/>
      <c r="TAA226" s="23"/>
      <c r="TAF226" s="26"/>
      <c r="TAJ226" s="23"/>
      <c r="TAO226" s="26"/>
      <c r="TAS226" s="23"/>
      <c r="TAX226" s="26"/>
      <c r="TBB226" s="23"/>
      <c r="TBG226" s="26"/>
      <c r="TBK226" s="23"/>
      <c r="TBP226" s="26"/>
      <c r="TBT226" s="23"/>
      <c r="TBY226" s="26"/>
      <c r="TCC226" s="23"/>
      <c r="TCH226" s="26"/>
      <c r="TCL226" s="23"/>
      <c r="TCQ226" s="26"/>
      <c r="TCU226" s="23"/>
      <c r="TCZ226" s="26"/>
      <c r="TDD226" s="23"/>
      <c r="TDI226" s="26"/>
      <c r="TDM226" s="23"/>
      <c r="TDR226" s="26"/>
      <c r="TDV226" s="23"/>
      <c r="TEA226" s="26"/>
      <c r="TEE226" s="23"/>
      <c r="TEJ226" s="26"/>
      <c r="TEN226" s="23"/>
      <c r="TES226" s="26"/>
      <c r="TEW226" s="23"/>
      <c r="TFB226" s="26"/>
      <c r="TFF226" s="23"/>
      <c r="TFK226" s="26"/>
      <c r="TFO226" s="23"/>
      <c r="TFT226" s="26"/>
      <c r="TFX226" s="23"/>
      <c r="TGC226" s="26"/>
      <c r="TGG226" s="23"/>
      <c r="TGL226" s="26"/>
      <c r="TGP226" s="23"/>
      <c r="TGU226" s="26"/>
      <c r="TGY226" s="23"/>
      <c r="THD226" s="26"/>
      <c r="THH226" s="23"/>
      <c r="THM226" s="26"/>
      <c r="THQ226" s="23"/>
      <c r="THV226" s="26"/>
      <c r="THZ226" s="23"/>
      <c r="TIE226" s="26"/>
      <c r="TII226" s="23"/>
      <c r="TIN226" s="26"/>
      <c r="TIR226" s="23"/>
      <c r="TIW226" s="26"/>
      <c r="TJA226" s="23"/>
      <c r="TJF226" s="26"/>
      <c r="TJJ226" s="23"/>
      <c r="TJO226" s="26"/>
      <c r="TJS226" s="23"/>
      <c r="TJX226" s="26"/>
      <c r="TKB226" s="23"/>
      <c r="TKG226" s="26"/>
      <c r="TKK226" s="23"/>
      <c r="TKP226" s="26"/>
      <c r="TKT226" s="23"/>
      <c r="TKY226" s="26"/>
      <c r="TLC226" s="23"/>
      <c r="TLH226" s="26"/>
      <c r="TLL226" s="23"/>
      <c r="TLQ226" s="26"/>
      <c r="TLU226" s="23"/>
      <c r="TLZ226" s="26"/>
      <c r="TMD226" s="23"/>
      <c r="TMI226" s="26"/>
      <c r="TMM226" s="23"/>
      <c r="TMR226" s="26"/>
      <c r="TMV226" s="23"/>
      <c r="TNA226" s="26"/>
      <c r="TNE226" s="23"/>
      <c r="TNJ226" s="26"/>
      <c r="TNN226" s="23"/>
      <c r="TNS226" s="26"/>
      <c r="TNW226" s="23"/>
      <c r="TOB226" s="26"/>
      <c r="TOF226" s="23"/>
      <c r="TOK226" s="26"/>
      <c r="TOO226" s="23"/>
      <c r="TOT226" s="26"/>
      <c r="TOX226" s="23"/>
      <c r="TPC226" s="26"/>
      <c r="TPG226" s="23"/>
      <c r="TPL226" s="26"/>
      <c r="TPP226" s="23"/>
      <c r="TPU226" s="26"/>
      <c r="TPY226" s="23"/>
      <c r="TQD226" s="26"/>
      <c r="TQH226" s="23"/>
      <c r="TQM226" s="26"/>
      <c r="TQQ226" s="23"/>
      <c r="TQV226" s="26"/>
      <c r="TQZ226" s="23"/>
      <c r="TRE226" s="26"/>
      <c r="TRI226" s="23"/>
      <c r="TRN226" s="26"/>
      <c r="TRR226" s="23"/>
      <c r="TRW226" s="26"/>
      <c r="TSA226" s="23"/>
      <c r="TSF226" s="26"/>
      <c r="TSJ226" s="23"/>
      <c r="TSO226" s="26"/>
      <c r="TSS226" s="23"/>
      <c r="TSX226" s="26"/>
      <c r="TTB226" s="23"/>
      <c r="TTG226" s="26"/>
      <c r="TTK226" s="23"/>
      <c r="TTP226" s="26"/>
      <c r="TTT226" s="23"/>
      <c r="TTY226" s="26"/>
      <c r="TUC226" s="23"/>
      <c r="TUH226" s="26"/>
      <c r="TUL226" s="23"/>
      <c r="TUQ226" s="26"/>
      <c r="TUU226" s="23"/>
      <c r="TUZ226" s="26"/>
      <c r="TVD226" s="23"/>
      <c r="TVI226" s="26"/>
      <c r="TVM226" s="23"/>
      <c r="TVR226" s="26"/>
      <c r="TVV226" s="23"/>
      <c r="TWA226" s="26"/>
      <c r="TWE226" s="23"/>
      <c r="TWJ226" s="26"/>
      <c r="TWN226" s="23"/>
      <c r="TWS226" s="26"/>
      <c r="TWW226" s="23"/>
      <c r="TXB226" s="26"/>
      <c r="TXF226" s="23"/>
      <c r="TXK226" s="26"/>
      <c r="TXO226" s="23"/>
      <c r="TXT226" s="26"/>
      <c r="TXX226" s="23"/>
      <c r="TYC226" s="26"/>
      <c r="TYG226" s="23"/>
      <c r="TYL226" s="26"/>
      <c r="TYP226" s="23"/>
      <c r="TYU226" s="26"/>
      <c r="TYY226" s="23"/>
      <c r="TZD226" s="26"/>
      <c r="TZH226" s="23"/>
      <c r="TZM226" s="26"/>
      <c r="TZQ226" s="23"/>
      <c r="TZV226" s="26"/>
      <c r="TZZ226" s="23"/>
      <c r="UAE226" s="26"/>
      <c r="UAI226" s="23"/>
      <c r="UAN226" s="26"/>
      <c r="UAR226" s="23"/>
      <c r="UAW226" s="26"/>
      <c r="UBA226" s="23"/>
      <c r="UBF226" s="26"/>
      <c r="UBJ226" s="23"/>
      <c r="UBO226" s="26"/>
      <c r="UBS226" s="23"/>
      <c r="UBX226" s="26"/>
      <c r="UCB226" s="23"/>
      <c r="UCG226" s="26"/>
      <c r="UCK226" s="23"/>
      <c r="UCP226" s="26"/>
      <c r="UCT226" s="23"/>
      <c r="UCY226" s="26"/>
      <c r="UDC226" s="23"/>
      <c r="UDH226" s="26"/>
      <c r="UDL226" s="23"/>
      <c r="UDQ226" s="26"/>
      <c r="UDU226" s="23"/>
      <c r="UDZ226" s="26"/>
      <c r="UED226" s="23"/>
      <c r="UEI226" s="26"/>
      <c r="UEM226" s="23"/>
      <c r="UER226" s="26"/>
      <c r="UEV226" s="23"/>
      <c r="UFA226" s="26"/>
      <c r="UFE226" s="23"/>
      <c r="UFJ226" s="26"/>
      <c r="UFN226" s="23"/>
      <c r="UFS226" s="26"/>
      <c r="UFW226" s="23"/>
      <c r="UGB226" s="26"/>
      <c r="UGF226" s="23"/>
      <c r="UGK226" s="26"/>
      <c r="UGO226" s="23"/>
      <c r="UGT226" s="26"/>
      <c r="UGX226" s="23"/>
      <c r="UHC226" s="26"/>
      <c r="UHG226" s="23"/>
      <c r="UHL226" s="26"/>
      <c r="UHP226" s="23"/>
      <c r="UHU226" s="26"/>
      <c r="UHY226" s="23"/>
      <c r="UID226" s="26"/>
      <c r="UIH226" s="23"/>
      <c r="UIM226" s="26"/>
      <c r="UIQ226" s="23"/>
      <c r="UIV226" s="26"/>
      <c r="UIZ226" s="23"/>
      <c r="UJE226" s="26"/>
      <c r="UJI226" s="23"/>
      <c r="UJN226" s="26"/>
      <c r="UJR226" s="23"/>
      <c r="UJW226" s="26"/>
      <c r="UKA226" s="23"/>
      <c r="UKF226" s="26"/>
      <c r="UKJ226" s="23"/>
      <c r="UKO226" s="26"/>
      <c r="UKS226" s="23"/>
      <c r="UKX226" s="26"/>
      <c r="ULB226" s="23"/>
      <c r="ULG226" s="26"/>
      <c r="ULK226" s="23"/>
      <c r="ULP226" s="26"/>
      <c r="ULT226" s="23"/>
      <c r="ULY226" s="26"/>
      <c r="UMC226" s="23"/>
      <c r="UMH226" s="26"/>
      <c r="UML226" s="23"/>
      <c r="UMQ226" s="26"/>
      <c r="UMU226" s="23"/>
      <c r="UMZ226" s="26"/>
      <c r="UND226" s="23"/>
      <c r="UNI226" s="26"/>
      <c r="UNM226" s="23"/>
      <c r="UNR226" s="26"/>
      <c r="UNV226" s="23"/>
      <c r="UOA226" s="26"/>
      <c r="UOE226" s="23"/>
      <c r="UOJ226" s="26"/>
      <c r="UON226" s="23"/>
      <c r="UOS226" s="26"/>
      <c r="UOW226" s="23"/>
      <c r="UPB226" s="26"/>
      <c r="UPF226" s="23"/>
      <c r="UPK226" s="26"/>
      <c r="UPO226" s="23"/>
      <c r="UPT226" s="26"/>
      <c r="UPX226" s="23"/>
      <c r="UQC226" s="26"/>
      <c r="UQG226" s="23"/>
      <c r="UQL226" s="26"/>
      <c r="UQP226" s="23"/>
      <c r="UQU226" s="26"/>
      <c r="UQY226" s="23"/>
      <c r="URD226" s="26"/>
      <c r="URH226" s="23"/>
      <c r="URM226" s="26"/>
      <c r="URQ226" s="23"/>
      <c r="URV226" s="26"/>
      <c r="URZ226" s="23"/>
      <c r="USE226" s="26"/>
      <c r="USI226" s="23"/>
      <c r="USN226" s="26"/>
      <c r="USR226" s="23"/>
      <c r="USW226" s="26"/>
      <c r="UTA226" s="23"/>
      <c r="UTF226" s="26"/>
      <c r="UTJ226" s="23"/>
      <c r="UTO226" s="26"/>
      <c r="UTS226" s="23"/>
      <c r="UTX226" s="26"/>
      <c r="UUB226" s="23"/>
      <c r="UUG226" s="26"/>
      <c r="UUK226" s="23"/>
      <c r="UUP226" s="26"/>
      <c r="UUT226" s="23"/>
      <c r="UUY226" s="26"/>
      <c r="UVC226" s="23"/>
      <c r="UVH226" s="26"/>
      <c r="UVL226" s="23"/>
      <c r="UVQ226" s="26"/>
      <c r="UVU226" s="23"/>
      <c r="UVZ226" s="26"/>
      <c r="UWD226" s="23"/>
      <c r="UWI226" s="26"/>
      <c r="UWM226" s="23"/>
      <c r="UWR226" s="26"/>
      <c r="UWV226" s="23"/>
      <c r="UXA226" s="26"/>
      <c r="UXE226" s="23"/>
      <c r="UXJ226" s="26"/>
      <c r="UXN226" s="23"/>
      <c r="UXS226" s="26"/>
      <c r="UXW226" s="23"/>
      <c r="UYB226" s="26"/>
      <c r="UYF226" s="23"/>
      <c r="UYK226" s="26"/>
      <c r="UYO226" s="23"/>
      <c r="UYT226" s="26"/>
      <c r="UYX226" s="23"/>
      <c r="UZC226" s="26"/>
      <c r="UZG226" s="23"/>
      <c r="UZL226" s="26"/>
      <c r="UZP226" s="23"/>
      <c r="UZU226" s="26"/>
      <c r="UZY226" s="23"/>
      <c r="VAD226" s="26"/>
      <c r="VAH226" s="23"/>
      <c r="VAM226" s="26"/>
      <c r="VAQ226" s="23"/>
      <c r="VAV226" s="26"/>
      <c r="VAZ226" s="23"/>
      <c r="VBE226" s="26"/>
      <c r="VBI226" s="23"/>
      <c r="VBN226" s="26"/>
      <c r="VBR226" s="23"/>
      <c r="VBW226" s="26"/>
      <c r="VCA226" s="23"/>
      <c r="VCF226" s="26"/>
      <c r="VCJ226" s="23"/>
      <c r="VCO226" s="26"/>
      <c r="VCS226" s="23"/>
      <c r="VCX226" s="26"/>
      <c r="VDB226" s="23"/>
      <c r="VDG226" s="26"/>
      <c r="VDK226" s="23"/>
      <c r="VDP226" s="26"/>
      <c r="VDT226" s="23"/>
      <c r="VDY226" s="26"/>
      <c r="VEC226" s="23"/>
      <c r="VEH226" s="26"/>
      <c r="VEL226" s="23"/>
      <c r="VEQ226" s="26"/>
      <c r="VEU226" s="23"/>
      <c r="VEZ226" s="26"/>
      <c r="VFD226" s="23"/>
      <c r="VFI226" s="26"/>
      <c r="VFM226" s="23"/>
      <c r="VFR226" s="26"/>
      <c r="VFV226" s="23"/>
      <c r="VGA226" s="26"/>
      <c r="VGE226" s="23"/>
      <c r="VGJ226" s="26"/>
      <c r="VGN226" s="23"/>
      <c r="VGS226" s="26"/>
      <c r="VGW226" s="23"/>
      <c r="VHB226" s="26"/>
      <c r="VHF226" s="23"/>
      <c r="VHK226" s="26"/>
      <c r="VHO226" s="23"/>
      <c r="VHT226" s="26"/>
      <c r="VHX226" s="23"/>
      <c r="VIC226" s="26"/>
      <c r="VIG226" s="23"/>
      <c r="VIL226" s="26"/>
      <c r="VIP226" s="23"/>
      <c r="VIU226" s="26"/>
      <c r="VIY226" s="23"/>
      <c r="VJD226" s="26"/>
      <c r="VJH226" s="23"/>
      <c r="VJM226" s="26"/>
      <c r="VJQ226" s="23"/>
      <c r="VJV226" s="26"/>
      <c r="VJZ226" s="23"/>
      <c r="VKE226" s="26"/>
      <c r="VKI226" s="23"/>
      <c r="VKN226" s="26"/>
      <c r="VKR226" s="23"/>
      <c r="VKW226" s="26"/>
      <c r="VLA226" s="23"/>
      <c r="VLF226" s="26"/>
      <c r="VLJ226" s="23"/>
      <c r="VLO226" s="26"/>
      <c r="VLS226" s="23"/>
      <c r="VLX226" s="26"/>
      <c r="VMB226" s="23"/>
      <c r="VMG226" s="26"/>
      <c r="VMK226" s="23"/>
      <c r="VMP226" s="26"/>
      <c r="VMT226" s="23"/>
      <c r="VMY226" s="26"/>
      <c r="VNC226" s="23"/>
      <c r="VNH226" s="26"/>
      <c r="VNL226" s="23"/>
      <c r="VNQ226" s="26"/>
      <c r="VNU226" s="23"/>
      <c r="VNZ226" s="26"/>
      <c r="VOD226" s="23"/>
      <c r="VOI226" s="26"/>
      <c r="VOM226" s="23"/>
      <c r="VOR226" s="26"/>
      <c r="VOV226" s="23"/>
      <c r="VPA226" s="26"/>
      <c r="VPE226" s="23"/>
      <c r="VPJ226" s="26"/>
      <c r="VPN226" s="23"/>
      <c r="VPS226" s="26"/>
      <c r="VPW226" s="23"/>
      <c r="VQB226" s="26"/>
      <c r="VQF226" s="23"/>
      <c r="VQK226" s="26"/>
      <c r="VQO226" s="23"/>
      <c r="VQT226" s="26"/>
      <c r="VQX226" s="23"/>
      <c r="VRC226" s="26"/>
      <c r="VRG226" s="23"/>
      <c r="VRL226" s="26"/>
      <c r="VRP226" s="23"/>
      <c r="VRU226" s="26"/>
      <c r="VRY226" s="23"/>
      <c r="VSD226" s="26"/>
      <c r="VSH226" s="23"/>
      <c r="VSM226" s="26"/>
      <c r="VSQ226" s="23"/>
      <c r="VSV226" s="26"/>
      <c r="VSZ226" s="23"/>
      <c r="VTE226" s="26"/>
      <c r="VTI226" s="23"/>
      <c r="VTN226" s="26"/>
      <c r="VTR226" s="23"/>
      <c r="VTW226" s="26"/>
      <c r="VUA226" s="23"/>
      <c r="VUF226" s="26"/>
      <c r="VUJ226" s="23"/>
      <c r="VUO226" s="26"/>
      <c r="VUS226" s="23"/>
      <c r="VUX226" s="26"/>
      <c r="VVB226" s="23"/>
      <c r="VVG226" s="26"/>
      <c r="VVK226" s="23"/>
      <c r="VVP226" s="26"/>
      <c r="VVT226" s="23"/>
      <c r="VVY226" s="26"/>
      <c r="VWC226" s="23"/>
      <c r="VWH226" s="26"/>
      <c r="VWL226" s="23"/>
      <c r="VWQ226" s="26"/>
      <c r="VWU226" s="23"/>
      <c r="VWZ226" s="26"/>
      <c r="VXD226" s="23"/>
      <c r="VXI226" s="26"/>
      <c r="VXM226" s="23"/>
      <c r="VXR226" s="26"/>
      <c r="VXV226" s="23"/>
      <c r="VYA226" s="26"/>
      <c r="VYE226" s="23"/>
      <c r="VYJ226" s="26"/>
      <c r="VYN226" s="23"/>
      <c r="VYS226" s="26"/>
      <c r="VYW226" s="23"/>
      <c r="VZB226" s="26"/>
      <c r="VZF226" s="23"/>
      <c r="VZK226" s="26"/>
      <c r="VZO226" s="23"/>
      <c r="VZT226" s="26"/>
      <c r="VZX226" s="23"/>
      <c r="WAC226" s="26"/>
      <c r="WAG226" s="23"/>
      <c r="WAL226" s="26"/>
      <c r="WAP226" s="23"/>
      <c r="WAU226" s="26"/>
      <c r="WAY226" s="23"/>
      <c r="WBD226" s="26"/>
      <c r="WBH226" s="23"/>
      <c r="WBM226" s="26"/>
      <c r="WBQ226" s="23"/>
      <c r="WBV226" s="26"/>
      <c r="WBZ226" s="23"/>
      <c r="WCE226" s="26"/>
      <c r="WCI226" s="23"/>
      <c r="WCN226" s="26"/>
      <c r="WCR226" s="23"/>
      <c r="WCW226" s="26"/>
      <c r="WDA226" s="23"/>
      <c r="WDF226" s="26"/>
      <c r="WDJ226" s="23"/>
      <c r="WDO226" s="26"/>
      <c r="WDS226" s="23"/>
      <c r="WDX226" s="26"/>
      <c r="WEB226" s="23"/>
      <c r="WEG226" s="26"/>
      <c r="WEK226" s="23"/>
      <c r="WEP226" s="26"/>
      <c r="WET226" s="23"/>
      <c r="WEY226" s="26"/>
      <c r="WFC226" s="23"/>
      <c r="WFH226" s="26"/>
      <c r="WFL226" s="23"/>
      <c r="WFQ226" s="26"/>
      <c r="WFU226" s="23"/>
      <c r="WFZ226" s="26"/>
      <c r="WGD226" s="23"/>
      <c r="WGI226" s="26"/>
      <c r="WGM226" s="23"/>
      <c r="WGR226" s="26"/>
      <c r="WGV226" s="23"/>
      <c r="WHA226" s="26"/>
      <c r="WHE226" s="23"/>
      <c r="WHJ226" s="26"/>
      <c r="WHN226" s="23"/>
      <c r="WHS226" s="26"/>
      <c r="WHW226" s="23"/>
      <c r="WIB226" s="26"/>
      <c r="WIF226" s="23"/>
      <c r="WIK226" s="26"/>
      <c r="WIO226" s="23"/>
      <c r="WIT226" s="26"/>
      <c r="WIX226" s="23"/>
      <c r="WJC226" s="26"/>
      <c r="WJG226" s="23"/>
      <c r="WJL226" s="26"/>
      <c r="WJP226" s="23"/>
      <c r="WJU226" s="26"/>
      <c r="WJY226" s="23"/>
      <c r="WKD226" s="26"/>
      <c r="WKH226" s="23"/>
      <c r="WKM226" s="26"/>
      <c r="WKQ226" s="23"/>
      <c r="WKV226" s="26"/>
      <c r="WKZ226" s="23"/>
      <c r="WLE226" s="26"/>
      <c r="WLI226" s="23"/>
      <c r="WLN226" s="26"/>
      <c r="WLR226" s="23"/>
      <c r="WLW226" s="26"/>
      <c r="WMA226" s="23"/>
      <c r="WMF226" s="26"/>
      <c r="WMJ226" s="23"/>
      <c r="WMO226" s="26"/>
      <c r="WMS226" s="23"/>
      <c r="WMX226" s="26"/>
      <c r="WNB226" s="23"/>
      <c r="WNG226" s="26"/>
      <c r="WNK226" s="23"/>
      <c r="WNP226" s="26"/>
      <c r="WNT226" s="23"/>
      <c r="WNY226" s="26"/>
      <c r="WOC226" s="23"/>
      <c r="WOH226" s="26"/>
      <c r="WOL226" s="23"/>
      <c r="WOQ226" s="26"/>
      <c r="WOU226" s="23"/>
      <c r="WOZ226" s="26"/>
      <c r="WPD226" s="23"/>
      <c r="WPI226" s="26"/>
      <c r="WPM226" s="23"/>
      <c r="WPR226" s="26"/>
      <c r="WPV226" s="23"/>
      <c r="WQA226" s="26"/>
      <c r="WQE226" s="23"/>
      <c r="WQJ226" s="26"/>
      <c r="WQN226" s="23"/>
      <c r="WQS226" s="26"/>
      <c r="WQW226" s="23"/>
      <c r="WRB226" s="26"/>
      <c r="WRF226" s="23"/>
      <c r="WRK226" s="26"/>
      <c r="WRO226" s="23"/>
      <c r="WRT226" s="26"/>
      <c r="WRX226" s="23"/>
      <c r="WSC226" s="26"/>
      <c r="WSG226" s="23"/>
      <c r="WSL226" s="26"/>
      <c r="WSP226" s="23"/>
      <c r="WSU226" s="26"/>
      <c r="WSY226" s="23"/>
      <c r="WTD226" s="26"/>
      <c r="WTH226" s="23"/>
      <c r="WTM226" s="26"/>
      <c r="WTQ226" s="23"/>
      <c r="WTV226" s="26"/>
      <c r="WTZ226" s="23"/>
      <c r="WUE226" s="26"/>
      <c r="WUI226" s="23"/>
      <c r="WUN226" s="26"/>
      <c r="WUR226" s="23"/>
      <c r="WUW226" s="26"/>
      <c r="WVA226" s="23"/>
      <c r="WVF226" s="26"/>
      <c r="WVJ226" s="23"/>
      <c r="WVO226" s="26"/>
      <c r="WVS226" s="23"/>
      <c r="WVX226" s="26"/>
      <c r="WWB226" s="23"/>
      <c r="WWG226" s="26"/>
      <c r="WWK226" s="23"/>
      <c r="WWP226" s="26"/>
      <c r="WWT226" s="23"/>
      <c r="WWY226" s="26"/>
      <c r="WXC226" s="23"/>
      <c r="WXH226" s="26"/>
      <c r="WXL226" s="23"/>
      <c r="WXQ226" s="26"/>
      <c r="WXU226" s="23"/>
      <c r="WXZ226" s="26"/>
      <c r="WYD226" s="23"/>
      <c r="WYI226" s="26"/>
      <c r="WYM226" s="23"/>
      <c r="WYR226" s="26"/>
      <c r="WYV226" s="23"/>
      <c r="WZA226" s="26"/>
      <c r="WZE226" s="23"/>
      <c r="WZJ226" s="26"/>
      <c r="WZN226" s="23"/>
      <c r="WZS226" s="26"/>
      <c r="WZW226" s="23"/>
      <c r="XAB226" s="26"/>
      <c r="XAF226" s="23"/>
      <c r="XAK226" s="26"/>
      <c r="XAO226" s="23"/>
      <c r="XAT226" s="26"/>
      <c r="XAX226" s="23"/>
      <c r="XBC226" s="26"/>
      <c r="XBG226" s="23"/>
      <c r="XBL226" s="26"/>
      <c r="XBP226" s="23"/>
      <c r="XBU226" s="26"/>
      <c r="XBY226" s="23"/>
      <c r="XCD226" s="26"/>
      <c r="XCH226" s="23"/>
      <c r="XCM226" s="26"/>
      <c r="XCQ226" s="23"/>
      <c r="XCV226" s="26"/>
      <c r="XCZ226" s="23"/>
      <c r="XDE226" s="26"/>
      <c r="XDI226" s="23"/>
      <c r="XDN226" s="26"/>
      <c r="XDR226" s="23"/>
      <c r="XDW226" s="26"/>
      <c r="XEA226" s="23"/>
      <c r="XEF226" s="26"/>
      <c r="XEJ226" s="23"/>
      <c r="XEO226" s="26"/>
      <c r="XES226" s="23"/>
      <c r="XEX226" s="26"/>
      <c r="XFB226" s="23"/>
    </row>
    <row r="227" spans="2:1024 1028:2045 2050:3071 3076:4093 4097:5119 5123:6140 6145:7166 7171:8192 8197:9214 9218:10240 10244:11261 11266:12287 12292:13309 13313:14335 14339:15356 15361:16382" x14ac:dyDescent="0.3">
      <c r="B227" s="23"/>
      <c r="K227" s="23"/>
      <c r="P227" s="26"/>
      <c r="T227" s="23"/>
      <c r="Y227" s="26"/>
      <c r="AC227" s="23"/>
      <c r="AH227" s="26"/>
      <c r="AL227" s="23"/>
      <c r="AQ227" s="26"/>
      <c r="AU227" s="23"/>
      <c r="AZ227" s="26"/>
      <c r="BD227" s="23"/>
      <c r="BI227" s="26"/>
      <c r="BM227" s="23"/>
      <c r="BR227" s="26"/>
      <c r="BV227" s="23"/>
      <c r="CA227" s="26"/>
      <c r="CE227" s="23"/>
      <c r="CJ227" s="26"/>
      <c r="CN227" s="23"/>
      <c r="CS227" s="26"/>
      <c r="CW227" s="23"/>
      <c r="DB227" s="26"/>
      <c r="DF227" s="23"/>
      <c r="DK227" s="26"/>
      <c r="DO227" s="23"/>
      <c r="DT227" s="26"/>
      <c r="DX227" s="23"/>
      <c r="EC227" s="26"/>
      <c r="EG227" s="23"/>
      <c r="EL227" s="26"/>
      <c r="EP227" s="23"/>
      <c r="EU227" s="26"/>
      <c r="EY227" s="23"/>
      <c r="FD227" s="26"/>
      <c r="FH227" s="23"/>
      <c r="FM227" s="26"/>
      <c r="FQ227" s="23"/>
      <c r="FV227" s="26"/>
      <c r="FZ227" s="23"/>
      <c r="GE227" s="26"/>
      <c r="GI227" s="23"/>
      <c r="GN227" s="26"/>
      <c r="GR227" s="23"/>
      <c r="GW227" s="26"/>
      <c r="HA227" s="23"/>
      <c r="HF227" s="26"/>
      <c r="HJ227" s="23"/>
      <c r="HO227" s="26"/>
      <c r="HS227" s="23"/>
      <c r="HX227" s="26"/>
      <c r="IB227" s="23"/>
      <c r="IG227" s="26"/>
      <c r="IK227" s="23"/>
      <c r="IP227" s="26"/>
      <c r="IT227" s="23"/>
      <c r="IY227" s="26"/>
      <c r="JC227" s="23"/>
      <c r="JH227" s="26"/>
      <c r="JL227" s="23"/>
      <c r="JQ227" s="26"/>
      <c r="JU227" s="23"/>
      <c r="JZ227" s="26"/>
      <c r="KD227" s="23"/>
      <c r="KI227" s="26"/>
      <c r="KM227" s="23"/>
      <c r="KR227" s="26"/>
      <c r="KV227" s="23"/>
      <c r="LA227" s="26"/>
      <c r="LE227" s="23"/>
      <c r="LJ227" s="26"/>
      <c r="LN227" s="23"/>
      <c r="LS227" s="26"/>
      <c r="LW227" s="23"/>
      <c r="MB227" s="26"/>
      <c r="MF227" s="23"/>
      <c r="MK227" s="26"/>
      <c r="MO227" s="23"/>
      <c r="MT227" s="26"/>
      <c r="MX227" s="23"/>
      <c r="NC227" s="26"/>
      <c r="NG227" s="23"/>
      <c r="NL227" s="26"/>
      <c r="NP227" s="23"/>
      <c r="NU227" s="26"/>
      <c r="NY227" s="23"/>
      <c r="OD227" s="26"/>
      <c r="OH227" s="23"/>
      <c r="OM227" s="26"/>
      <c r="OQ227" s="23"/>
      <c r="OV227" s="26"/>
      <c r="OZ227" s="23"/>
      <c r="PE227" s="26"/>
      <c r="PI227" s="23"/>
      <c r="PN227" s="26"/>
      <c r="PR227" s="23"/>
      <c r="PW227" s="26"/>
      <c r="QA227" s="23"/>
      <c r="QF227" s="26"/>
      <c r="QJ227" s="23"/>
      <c r="QO227" s="26"/>
      <c r="QS227" s="23"/>
      <c r="QX227" s="26"/>
      <c r="RB227" s="23"/>
      <c r="RG227" s="26"/>
      <c r="RK227" s="23"/>
      <c r="RP227" s="26"/>
      <c r="RT227" s="23"/>
      <c r="RY227" s="26"/>
      <c r="SC227" s="23"/>
      <c r="SH227" s="26"/>
      <c r="SL227" s="23"/>
      <c r="SQ227" s="26"/>
      <c r="SU227" s="23"/>
      <c r="SZ227" s="26"/>
      <c r="TD227" s="23"/>
      <c r="TI227" s="26"/>
      <c r="TM227" s="23"/>
      <c r="TR227" s="26"/>
      <c r="TV227" s="23"/>
      <c r="UA227" s="26"/>
      <c r="UE227" s="23"/>
      <c r="UJ227" s="26"/>
      <c r="UN227" s="23"/>
      <c r="US227" s="26"/>
      <c r="UW227" s="23"/>
      <c r="VB227" s="26"/>
      <c r="VF227" s="23"/>
      <c r="VK227" s="26"/>
      <c r="VO227" s="23"/>
      <c r="VT227" s="26"/>
      <c r="VX227" s="23"/>
      <c r="WC227" s="26"/>
      <c r="WG227" s="23"/>
      <c r="WL227" s="26"/>
      <c r="WP227" s="23"/>
      <c r="WU227" s="26"/>
      <c r="WY227" s="23"/>
      <c r="XD227" s="26"/>
      <c r="XH227" s="23"/>
      <c r="XM227" s="26"/>
      <c r="XQ227" s="23"/>
      <c r="XV227" s="26"/>
      <c r="XZ227" s="23"/>
      <c r="YE227" s="26"/>
      <c r="YI227" s="23"/>
      <c r="YN227" s="26"/>
      <c r="YR227" s="23"/>
      <c r="YW227" s="26"/>
      <c r="ZA227" s="23"/>
      <c r="ZF227" s="26"/>
      <c r="ZJ227" s="23"/>
      <c r="ZO227" s="26"/>
      <c r="ZS227" s="23"/>
      <c r="ZX227" s="26"/>
      <c r="AAB227" s="23"/>
      <c r="AAG227" s="26"/>
      <c r="AAK227" s="23"/>
      <c r="AAP227" s="26"/>
      <c r="AAT227" s="23"/>
      <c r="AAY227" s="26"/>
      <c r="ABC227" s="23"/>
      <c r="ABH227" s="26"/>
      <c r="ABL227" s="23"/>
      <c r="ABQ227" s="26"/>
      <c r="ABU227" s="23"/>
      <c r="ABZ227" s="26"/>
      <c r="ACD227" s="23"/>
      <c r="ACI227" s="26"/>
      <c r="ACM227" s="23"/>
      <c r="ACR227" s="26"/>
      <c r="ACV227" s="23"/>
      <c r="ADA227" s="26"/>
      <c r="ADE227" s="23"/>
      <c r="ADJ227" s="26"/>
      <c r="ADN227" s="23"/>
      <c r="ADS227" s="26"/>
      <c r="ADW227" s="23"/>
      <c r="AEB227" s="26"/>
      <c r="AEF227" s="23"/>
      <c r="AEK227" s="26"/>
      <c r="AEO227" s="23"/>
      <c r="AET227" s="26"/>
      <c r="AEX227" s="23"/>
      <c r="AFC227" s="26"/>
      <c r="AFG227" s="23"/>
      <c r="AFL227" s="26"/>
      <c r="AFP227" s="23"/>
      <c r="AFU227" s="26"/>
      <c r="AFY227" s="23"/>
      <c r="AGD227" s="26"/>
      <c r="AGH227" s="23"/>
      <c r="AGM227" s="26"/>
      <c r="AGQ227" s="23"/>
      <c r="AGV227" s="26"/>
      <c r="AGZ227" s="23"/>
      <c r="AHE227" s="26"/>
      <c r="AHI227" s="23"/>
      <c r="AHN227" s="26"/>
      <c r="AHR227" s="23"/>
      <c r="AHW227" s="26"/>
      <c r="AIA227" s="23"/>
      <c r="AIF227" s="26"/>
      <c r="AIJ227" s="23"/>
      <c r="AIO227" s="26"/>
      <c r="AIS227" s="23"/>
      <c r="AIX227" s="26"/>
      <c r="AJB227" s="23"/>
      <c r="AJG227" s="26"/>
      <c r="AJK227" s="23"/>
      <c r="AJP227" s="26"/>
      <c r="AJT227" s="23"/>
      <c r="AJY227" s="26"/>
      <c r="AKC227" s="23"/>
      <c r="AKH227" s="26"/>
      <c r="AKL227" s="23"/>
      <c r="AKQ227" s="26"/>
      <c r="AKU227" s="23"/>
      <c r="AKZ227" s="26"/>
      <c r="ALD227" s="23"/>
      <c r="ALI227" s="26"/>
      <c r="ALM227" s="23"/>
      <c r="ALR227" s="26"/>
      <c r="ALV227" s="23"/>
      <c r="AMA227" s="26"/>
      <c r="AME227" s="23"/>
      <c r="AMJ227" s="26"/>
      <c r="AMN227" s="23"/>
      <c r="AMS227" s="26"/>
      <c r="AMW227" s="23"/>
      <c r="ANB227" s="26"/>
      <c r="ANF227" s="23"/>
      <c r="ANK227" s="26"/>
      <c r="ANO227" s="23"/>
      <c r="ANT227" s="26"/>
      <c r="ANX227" s="23"/>
      <c r="AOC227" s="26"/>
      <c r="AOG227" s="23"/>
      <c r="AOL227" s="26"/>
      <c r="AOP227" s="23"/>
      <c r="AOU227" s="26"/>
      <c r="AOY227" s="23"/>
      <c r="APD227" s="26"/>
      <c r="APH227" s="23"/>
      <c r="APM227" s="26"/>
      <c r="APQ227" s="23"/>
      <c r="APV227" s="26"/>
      <c r="APZ227" s="23"/>
      <c r="AQE227" s="26"/>
      <c r="AQI227" s="23"/>
      <c r="AQN227" s="26"/>
      <c r="AQR227" s="23"/>
      <c r="AQW227" s="26"/>
      <c r="ARA227" s="23"/>
      <c r="ARF227" s="26"/>
      <c r="ARJ227" s="23"/>
      <c r="ARO227" s="26"/>
      <c r="ARS227" s="23"/>
      <c r="ARX227" s="26"/>
      <c r="ASB227" s="23"/>
      <c r="ASG227" s="26"/>
      <c r="ASK227" s="23"/>
      <c r="ASP227" s="26"/>
      <c r="AST227" s="23"/>
      <c r="ASY227" s="26"/>
      <c r="ATC227" s="23"/>
      <c r="ATH227" s="26"/>
      <c r="ATL227" s="23"/>
      <c r="ATQ227" s="26"/>
      <c r="ATU227" s="23"/>
      <c r="ATZ227" s="26"/>
      <c r="AUD227" s="23"/>
      <c r="AUI227" s="26"/>
      <c r="AUM227" s="23"/>
      <c r="AUR227" s="26"/>
      <c r="AUV227" s="23"/>
      <c r="AVA227" s="26"/>
      <c r="AVE227" s="23"/>
      <c r="AVJ227" s="26"/>
      <c r="AVN227" s="23"/>
      <c r="AVS227" s="26"/>
      <c r="AVW227" s="23"/>
      <c r="AWB227" s="26"/>
      <c r="AWF227" s="23"/>
      <c r="AWK227" s="26"/>
      <c r="AWO227" s="23"/>
      <c r="AWT227" s="26"/>
      <c r="AWX227" s="23"/>
      <c r="AXC227" s="26"/>
      <c r="AXG227" s="23"/>
      <c r="AXL227" s="26"/>
      <c r="AXP227" s="23"/>
      <c r="AXU227" s="26"/>
      <c r="AXY227" s="23"/>
      <c r="AYD227" s="26"/>
      <c r="AYH227" s="23"/>
      <c r="AYM227" s="26"/>
      <c r="AYQ227" s="23"/>
      <c r="AYV227" s="26"/>
      <c r="AYZ227" s="23"/>
      <c r="AZE227" s="26"/>
      <c r="AZI227" s="23"/>
      <c r="AZN227" s="26"/>
      <c r="AZR227" s="23"/>
      <c r="AZW227" s="26"/>
      <c r="BAA227" s="23"/>
      <c r="BAF227" s="26"/>
      <c r="BAJ227" s="23"/>
      <c r="BAO227" s="26"/>
      <c r="BAS227" s="23"/>
      <c r="BAX227" s="26"/>
      <c r="BBB227" s="23"/>
      <c r="BBG227" s="26"/>
      <c r="BBK227" s="23"/>
      <c r="BBP227" s="26"/>
      <c r="BBT227" s="23"/>
      <c r="BBY227" s="26"/>
      <c r="BCC227" s="23"/>
      <c r="BCH227" s="26"/>
      <c r="BCL227" s="23"/>
      <c r="BCQ227" s="26"/>
      <c r="BCU227" s="23"/>
      <c r="BCZ227" s="26"/>
      <c r="BDD227" s="23"/>
      <c r="BDI227" s="26"/>
      <c r="BDM227" s="23"/>
      <c r="BDR227" s="26"/>
      <c r="BDV227" s="23"/>
      <c r="BEA227" s="26"/>
      <c r="BEE227" s="23"/>
      <c r="BEJ227" s="26"/>
      <c r="BEN227" s="23"/>
      <c r="BES227" s="26"/>
      <c r="BEW227" s="23"/>
      <c r="BFB227" s="26"/>
      <c r="BFF227" s="23"/>
      <c r="BFK227" s="26"/>
      <c r="BFO227" s="23"/>
      <c r="BFT227" s="26"/>
      <c r="BFX227" s="23"/>
      <c r="BGC227" s="26"/>
      <c r="BGG227" s="23"/>
      <c r="BGL227" s="26"/>
      <c r="BGP227" s="23"/>
      <c r="BGU227" s="26"/>
      <c r="BGY227" s="23"/>
      <c r="BHD227" s="26"/>
      <c r="BHH227" s="23"/>
      <c r="BHM227" s="26"/>
      <c r="BHQ227" s="23"/>
      <c r="BHV227" s="26"/>
      <c r="BHZ227" s="23"/>
      <c r="BIE227" s="26"/>
      <c r="BII227" s="23"/>
      <c r="BIN227" s="26"/>
      <c r="BIR227" s="23"/>
      <c r="BIW227" s="26"/>
      <c r="BJA227" s="23"/>
      <c r="BJF227" s="26"/>
      <c r="BJJ227" s="23"/>
      <c r="BJO227" s="26"/>
      <c r="BJS227" s="23"/>
      <c r="BJX227" s="26"/>
      <c r="BKB227" s="23"/>
      <c r="BKG227" s="26"/>
      <c r="BKK227" s="23"/>
      <c r="BKP227" s="26"/>
      <c r="BKT227" s="23"/>
      <c r="BKY227" s="26"/>
      <c r="BLC227" s="23"/>
      <c r="BLH227" s="26"/>
      <c r="BLL227" s="23"/>
      <c r="BLQ227" s="26"/>
      <c r="BLU227" s="23"/>
      <c r="BLZ227" s="26"/>
      <c r="BMD227" s="23"/>
      <c r="BMI227" s="26"/>
      <c r="BMM227" s="23"/>
      <c r="BMR227" s="26"/>
      <c r="BMV227" s="23"/>
      <c r="BNA227" s="26"/>
      <c r="BNE227" s="23"/>
      <c r="BNJ227" s="26"/>
      <c r="BNN227" s="23"/>
      <c r="BNS227" s="26"/>
      <c r="BNW227" s="23"/>
      <c r="BOB227" s="26"/>
      <c r="BOF227" s="23"/>
      <c r="BOK227" s="26"/>
      <c r="BOO227" s="23"/>
      <c r="BOT227" s="26"/>
      <c r="BOX227" s="23"/>
      <c r="BPC227" s="26"/>
      <c r="BPG227" s="23"/>
      <c r="BPL227" s="26"/>
      <c r="BPP227" s="23"/>
      <c r="BPU227" s="26"/>
      <c r="BPY227" s="23"/>
      <c r="BQD227" s="26"/>
      <c r="BQH227" s="23"/>
      <c r="BQM227" s="26"/>
      <c r="BQQ227" s="23"/>
      <c r="BQV227" s="26"/>
      <c r="BQZ227" s="23"/>
      <c r="BRE227" s="26"/>
      <c r="BRI227" s="23"/>
      <c r="BRN227" s="26"/>
      <c r="BRR227" s="23"/>
      <c r="BRW227" s="26"/>
      <c r="BSA227" s="23"/>
      <c r="BSF227" s="26"/>
      <c r="BSJ227" s="23"/>
      <c r="BSO227" s="26"/>
      <c r="BSS227" s="23"/>
      <c r="BSX227" s="26"/>
      <c r="BTB227" s="23"/>
      <c r="BTG227" s="26"/>
      <c r="BTK227" s="23"/>
      <c r="BTP227" s="26"/>
      <c r="BTT227" s="23"/>
      <c r="BTY227" s="26"/>
      <c r="BUC227" s="23"/>
      <c r="BUH227" s="26"/>
      <c r="BUL227" s="23"/>
      <c r="BUQ227" s="26"/>
      <c r="BUU227" s="23"/>
      <c r="BUZ227" s="26"/>
      <c r="BVD227" s="23"/>
      <c r="BVI227" s="26"/>
      <c r="BVM227" s="23"/>
      <c r="BVR227" s="26"/>
      <c r="BVV227" s="23"/>
      <c r="BWA227" s="26"/>
      <c r="BWE227" s="23"/>
      <c r="BWJ227" s="26"/>
      <c r="BWN227" s="23"/>
      <c r="BWS227" s="26"/>
      <c r="BWW227" s="23"/>
      <c r="BXB227" s="26"/>
      <c r="BXF227" s="23"/>
      <c r="BXK227" s="26"/>
      <c r="BXO227" s="23"/>
      <c r="BXT227" s="26"/>
      <c r="BXX227" s="23"/>
      <c r="BYC227" s="26"/>
      <c r="BYG227" s="23"/>
      <c r="BYL227" s="26"/>
      <c r="BYP227" s="23"/>
      <c r="BYU227" s="26"/>
      <c r="BYY227" s="23"/>
      <c r="BZD227" s="26"/>
      <c r="BZH227" s="23"/>
      <c r="BZM227" s="26"/>
      <c r="BZQ227" s="23"/>
      <c r="BZV227" s="26"/>
      <c r="BZZ227" s="23"/>
      <c r="CAE227" s="26"/>
      <c r="CAI227" s="23"/>
      <c r="CAN227" s="26"/>
      <c r="CAR227" s="23"/>
      <c r="CAW227" s="26"/>
      <c r="CBA227" s="23"/>
      <c r="CBF227" s="26"/>
      <c r="CBJ227" s="23"/>
      <c r="CBO227" s="26"/>
      <c r="CBS227" s="23"/>
      <c r="CBX227" s="26"/>
      <c r="CCB227" s="23"/>
      <c r="CCG227" s="26"/>
      <c r="CCK227" s="23"/>
      <c r="CCP227" s="26"/>
      <c r="CCT227" s="23"/>
      <c r="CCY227" s="26"/>
      <c r="CDC227" s="23"/>
      <c r="CDH227" s="26"/>
      <c r="CDL227" s="23"/>
      <c r="CDQ227" s="26"/>
      <c r="CDU227" s="23"/>
      <c r="CDZ227" s="26"/>
      <c r="CED227" s="23"/>
      <c r="CEI227" s="26"/>
      <c r="CEM227" s="23"/>
      <c r="CER227" s="26"/>
      <c r="CEV227" s="23"/>
      <c r="CFA227" s="26"/>
      <c r="CFE227" s="23"/>
      <c r="CFJ227" s="26"/>
      <c r="CFN227" s="23"/>
      <c r="CFS227" s="26"/>
      <c r="CFW227" s="23"/>
      <c r="CGB227" s="26"/>
      <c r="CGF227" s="23"/>
      <c r="CGK227" s="26"/>
      <c r="CGO227" s="23"/>
      <c r="CGT227" s="26"/>
      <c r="CGX227" s="23"/>
      <c r="CHC227" s="26"/>
      <c r="CHG227" s="23"/>
      <c r="CHL227" s="26"/>
      <c r="CHP227" s="23"/>
      <c r="CHU227" s="26"/>
      <c r="CHY227" s="23"/>
      <c r="CID227" s="26"/>
      <c r="CIH227" s="23"/>
      <c r="CIM227" s="26"/>
      <c r="CIQ227" s="23"/>
      <c r="CIV227" s="26"/>
      <c r="CIZ227" s="23"/>
      <c r="CJE227" s="26"/>
      <c r="CJI227" s="23"/>
      <c r="CJN227" s="26"/>
      <c r="CJR227" s="23"/>
      <c r="CJW227" s="26"/>
      <c r="CKA227" s="23"/>
      <c r="CKF227" s="26"/>
      <c r="CKJ227" s="23"/>
      <c r="CKO227" s="26"/>
      <c r="CKS227" s="23"/>
      <c r="CKX227" s="26"/>
      <c r="CLB227" s="23"/>
      <c r="CLG227" s="26"/>
      <c r="CLK227" s="23"/>
      <c r="CLP227" s="26"/>
      <c r="CLT227" s="23"/>
      <c r="CLY227" s="26"/>
      <c r="CMC227" s="23"/>
      <c r="CMH227" s="26"/>
      <c r="CML227" s="23"/>
      <c r="CMQ227" s="26"/>
      <c r="CMU227" s="23"/>
      <c r="CMZ227" s="26"/>
      <c r="CND227" s="23"/>
      <c r="CNI227" s="26"/>
      <c r="CNM227" s="23"/>
      <c r="CNR227" s="26"/>
      <c r="CNV227" s="23"/>
      <c r="COA227" s="26"/>
      <c r="COE227" s="23"/>
      <c r="COJ227" s="26"/>
      <c r="CON227" s="23"/>
      <c r="COS227" s="26"/>
      <c r="COW227" s="23"/>
      <c r="CPB227" s="26"/>
      <c r="CPF227" s="23"/>
      <c r="CPK227" s="26"/>
      <c r="CPO227" s="23"/>
      <c r="CPT227" s="26"/>
      <c r="CPX227" s="23"/>
      <c r="CQC227" s="26"/>
      <c r="CQG227" s="23"/>
      <c r="CQL227" s="26"/>
      <c r="CQP227" s="23"/>
      <c r="CQU227" s="26"/>
      <c r="CQY227" s="23"/>
      <c r="CRD227" s="26"/>
      <c r="CRH227" s="23"/>
      <c r="CRM227" s="26"/>
      <c r="CRQ227" s="23"/>
      <c r="CRV227" s="26"/>
      <c r="CRZ227" s="23"/>
      <c r="CSE227" s="26"/>
      <c r="CSI227" s="23"/>
      <c r="CSN227" s="26"/>
      <c r="CSR227" s="23"/>
      <c r="CSW227" s="26"/>
      <c r="CTA227" s="23"/>
      <c r="CTF227" s="26"/>
      <c r="CTJ227" s="23"/>
      <c r="CTO227" s="26"/>
      <c r="CTS227" s="23"/>
      <c r="CTX227" s="26"/>
      <c r="CUB227" s="23"/>
      <c r="CUG227" s="26"/>
      <c r="CUK227" s="23"/>
      <c r="CUP227" s="26"/>
      <c r="CUT227" s="23"/>
      <c r="CUY227" s="26"/>
      <c r="CVC227" s="23"/>
      <c r="CVH227" s="26"/>
      <c r="CVL227" s="23"/>
      <c r="CVQ227" s="26"/>
      <c r="CVU227" s="23"/>
      <c r="CVZ227" s="26"/>
      <c r="CWD227" s="23"/>
      <c r="CWI227" s="26"/>
      <c r="CWM227" s="23"/>
      <c r="CWR227" s="26"/>
      <c r="CWV227" s="23"/>
      <c r="CXA227" s="26"/>
      <c r="CXE227" s="23"/>
      <c r="CXJ227" s="26"/>
      <c r="CXN227" s="23"/>
      <c r="CXS227" s="26"/>
      <c r="CXW227" s="23"/>
      <c r="CYB227" s="26"/>
      <c r="CYF227" s="23"/>
      <c r="CYK227" s="26"/>
      <c r="CYO227" s="23"/>
      <c r="CYT227" s="26"/>
      <c r="CYX227" s="23"/>
      <c r="CZC227" s="26"/>
      <c r="CZG227" s="23"/>
      <c r="CZL227" s="26"/>
      <c r="CZP227" s="23"/>
      <c r="CZU227" s="26"/>
      <c r="CZY227" s="23"/>
      <c r="DAD227" s="26"/>
      <c r="DAH227" s="23"/>
      <c r="DAM227" s="26"/>
      <c r="DAQ227" s="23"/>
      <c r="DAV227" s="26"/>
      <c r="DAZ227" s="23"/>
      <c r="DBE227" s="26"/>
      <c r="DBI227" s="23"/>
      <c r="DBN227" s="26"/>
      <c r="DBR227" s="23"/>
      <c r="DBW227" s="26"/>
      <c r="DCA227" s="23"/>
      <c r="DCF227" s="26"/>
      <c r="DCJ227" s="23"/>
      <c r="DCO227" s="26"/>
      <c r="DCS227" s="23"/>
      <c r="DCX227" s="26"/>
      <c r="DDB227" s="23"/>
      <c r="DDG227" s="26"/>
      <c r="DDK227" s="23"/>
      <c r="DDP227" s="26"/>
      <c r="DDT227" s="23"/>
      <c r="DDY227" s="26"/>
      <c r="DEC227" s="23"/>
      <c r="DEH227" s="26"/>
      <c r="DEL227" s="23"/>
      <c r="DEQ227" s="26"/>
      <c r="DEU227" s="23"/>
      <c r="DEZ227" s="26"/>
      <c r="DFD227" s="23"/>
      <c r="DFI227" s="26"/>
      <c r="DFM227" s="23"/>
      <c r="DFR227" s="26"/>
      <c r="DFV227" s="23"/>
      <c r="DGA227" s="26"/>
      <c r="DGE227" s="23"/>
      <c r="DGJ227" s="26"/>
      <c r="DGN227" s="23"/>
      <c r="DGS227" s="26"/>
      <c r="DGW227" s="23"/>
      <c r="DHB227" s="26"/>
      <c r="DHF227" s="23"/>
      <c r="DHK227" s="26"/>
      <c r="DHO227" s="23"/>
      <c r="DHT227" s="26"/>
      <c r="DHX227" s="23"/>
      <c r="DIC227" s="26"/>
      <c r="DIG227" s="23"/>
      <c r="DIL227" s="26"/>
      <c r="DIP227" s="23"/>
      <c r="DIU227" s="26"/>
      <c r="DIY227" s="23"/>
      <c r="DJD227" s="26"/>
      <c r="DJH227" s="23"/>
      <c r="DJM227" s="26"/>
      <c r="DJQ227" s="23"/>
      <c r="DJV227" s="26"/>
      <c r="DJZ227" s="23"/>
      <c r="DKE227" s="26"/>
      <c r="DKI227" s="23"/>
      <c r="DKN227" s="26"/>
      <c r="DKR227" s="23"/>
      <c r="DKW227" s="26"/>
      <c r="DLA227" s="23"/>
      <c r="DLF227" s="26"/>
      <c r="DLJ227" s="23"/>
      <c r="DLO227" s="26"/>
      <c r="DLS227" s="23"/>
      <c r="DLX227" s="26"/>
      <c r="DMB227" s="23"/>
      <c r="DMG227" s="26"/>
      <c r="DMK227" s="23"/>
      <c r="DMP227" s="26"/>
      <c r="DMT227" s="23"/>
      <c r="DMY227" s="26"/>
      <c r="DNC227" s="23"/>
      <c r="DNH227" s="26"/>
      <c r="DNL227" s="23"/>
      <c r="DNQ227" s="26"/>
      <c r="DNU227" s="23"/>
      <c r="DNZ227" s="26"/>
      <c r="DOD227" s="23"/>
      <c r="DOI227" s="26"/>
      <c r="DOM227" s="23"/>
      <c r="DOR227" s="26"/>
      <c r="DOV227" s="23"/>
      <c r="DPA227" s="26"/>
      <c r="DPE227" s="23"/>
      <c r="DPJ227" s="26"/>
      <c r="DPN227" s="23"/>
      <c r="DPS227" s="26"/>
      <c r="DPW227" s="23"/>
      <c r="DQB227" s="26"/>
      <c r="DQF227" s="23"/>
      <c r="DQK227" s="26"/>
      <c r="DQO227" s="23"/>
      <c r="DQT227" s="26"/>
      <c r="DQX227" s="23"/>
      <c r="DRC227" s="26"/>
      <c r="DRG227" s="23"/>
      <c r="DRL227" s="26"/>
      <c r="DRP227" s="23"/>
      <c r="DRU227" s="26"/>
      <c r="DRY227" s="23"/>
      <c r="DSD227" s="26"/>
      <c r="DSH227" s="23"/>
      <c r="DSM227" s="26"/>
      <c r="DSQ227" s="23"/>
      <c r="DSV227" s="26"/>
      <c r="DSZ227" s="23"/>
      <c r="DTE227" s="26"/>
      <c r="DTI227" s="23"/>
      <c r="DTN227" s="26"/>
      <c r="DTR227" s="23"/>
      <c r="DTW227" s="26"/>
      <c r="DUA227" s="23"/>
      <c r="DUF227" s="26"/>
      <c r="DUJ227" s="23"/>
      <c r="DUO227" s="26"/>
      <c r="DUS227" s="23"/>
      <c r="DUX227" s="26"/>
      <c r="DVB227" s="23"/>
      <c r="DVG227" s="26"/>
      <c r="DVK227" s="23"/>
      <c r="DVP227" s="26"/>
      <c r="DVT227" s="23"/>
      <c r="DVY227" s="26"/>
      <c r="DWC227" s="23"/>
      <c r="DWH227" s="26"/>
      <c r="DWL227" s="23"/>
      <c r="DWQ227" s="26"/>
      <c r="DWU227" s="23"/>
      <c r="DWZ227" s="26"/>
      <c r="DXD227" s="23"/>
      <c r="DXI227" s="26"/>
      <c r="DXM227" s="23"/>
      <c r="DXR227" s="26"/>
      <c r="DXV227" s="23"/>
      <c r="DYA227" s="26"/>
      <c r="DYE227" s="23"/>
      <c r="DYJ227" s="26"/>
      <c r="DYN227" s="23"/>
      <c r="DYS227" s="26"/>
      <c r="DYW227" s="23"/>
      <c r="DZB227" s="26"/>
      <c r="DZF227" s="23"/>
      <c r="DZK227" s="26"/>
      <c r="DZO227" s="23"/>
      <c r="DZT227" s="26"/>
      <c r="DZX227" s="23"/>
      <c r="EAC227" s="26"/>
      <c r="EAG227" s="23"/>
      <c r="EAL227" s="26"/>
      <c r="EAP227" s="23"/>
      <c r="EAU227" s="26"/>
      <c r="EAY227" s="23"/>
      <c r="EBD227" s="26"/>
      <c r="EBH227" s="23"/>
      <c r="EBM227" s="26"/>
      <c r="EBQ227" s="23"/>
      <c r="EBV227" s="26"/>
      <c r="EBZ227" s="23"/>
      <c r="ECE227" s="26"/>
      <c r="ECI227" s="23"/>
      <c r="ECN227" s="26"/>
      <c r="ECR227" s="23"/>
      <c r="ECW227" s="26"/>
      <c r="EDA227" s="23"/>
      <c r="EDF227" s="26"/>
      <c r="EDJ227" s="23"/>
      <c r="EDO227" s="26"/>
      <c r="EDS227" s="23"/>
      <c r="EDX227" s="26"/>
      <c r="EEB227" s="23"/>
      <c r="EEG227" s="26"/>
      <c r="EEK227" s="23"/>
      <c r="EEP227" s="26"/>
      <c r="EET227" s="23"/>
      <c r="EEY227" s="26"/>
      <c r="EFC227" s="23"/>
      <c r="EFH227" s="26"/>
      <c r="EFL227" s="23"/>
      <c r="EFQ227" s="26"/>
      <c r="EFU227" s="23"/>
      <c r="EFZ227" s="26"/>
      <c r="EGD227" s="23"/>
      <c r="EGI227" s="26"/>
      <c r="EGM227" s="23"/>
      <c r="EGR227" s="26"/>
      <c r="EGV227" s="23"/>
      <c r="EHA227" s="26"/>
      <c r="EHE227" s="23"/>
      <c r="EHJ227" s="26"/>
      <c r="EHN227" s="23"/>
      <c r="EHS227" s="26"/>
      <c r="EHW227" s="23"/>
      <c r="EIB227" s="26"/>
      <c r="EIF227" s="23"/>
      <c r="EIK227" s="26"/>
      <c r="EIO227" s="23"/>
      <c r="EIT227" s="26"/>
      <c r="EIX227" s="23"/>
      <c r="EJC227" s="26"/>
      <c r="EJG227" s="23"/>
      <c r="EJL227" s="26"/>
      <c r="EJP227" s="23"/>
      <c r="EJU227" s="26"/>
      <c r="EJY227" s="23"/>
      <c r="EKD227" s="26"/>
      <c r="EKH227" s="23"/>
      <c r="EKM227" s="26"/>
      <c r="EKQ227" s="23"/>
      <c r="EKV227" s="26"/>
      <c r="EKZ227" s="23"/>
      <c r="ELE227" s="26"/>
      <c r="ELI227" s="23"/>
      <c r="ELN227" s="26"/>
      <c r="ELR227" s="23"/>
      <c r="ELW227" s="26"/>
      <c r="EMA227" s="23"/>
      <c r="EMF227" s="26"/>
      <c r="EMJ227" s="23"/>
      <c r="EMO227" s="26"/>
      <c r="EMS227" s="23"/>
      <c r="EMX227" s="26"/>
      <c r="ENB227" s="23"/>
      <c r="ENG227" s="26"/>
      <c r="ENK227" s="23"/>
      <c r="ENP227" s="26"/>
      <c r="ENT227" s="23"/>
      <c r="ENY227" s="26"/>
      <c r="EOC227" s="23"/>
      <c r="EOH227" s="26"/>
      <c r="EOL227" s="23"/>
      <c r="EOQ227" s="26"/>
      <c r="EOU227" s="23"/>
      <c r="EOZ227" s="26"/>
      <c r="EPD227" s="23"/>
      <c r="EPI227" s="26"/>
      <c r="EPM227" s="23"/>
      <c r="EPR227" s="26"/>
      <c r="EPV227" s="23"/>
      <c r="EQA227" s="26"/>
      <c r="EQE227" s="23"/>
      <c r="EQJ227" s="26"/>
      <c r="EQN227" s="23"/>
      <c r="EQS227" s="26"/>
      <c r="EQW227" s="23"/>
      <c r="ERB227" s="26"/>
      <c r="ERF227" s="23"/>
      <c r="ERK227" s="26"/>
      <c r="ERO227" s="23"/>
      <c r="ERT227" s="26"/>
      <c r="ERX227" s="23"/>
      <c r="ESC227" s="26"/>
      <c r="ESG227" s="23"/>
      <c r="ESL227" s="26"/>
      <c r="ESP227" s="23"/>
      <c r="ESU227" s="26"/>
      <c r="ESY227" s="23"/>
      <c r="ETD227" s="26"/>
      <c r="ETH227" s="23"/>
      <c r="ETM227" s="26"/>
      <c r="ETQ227" s="23"/>
      <c r="ETV227" s="26"/>
      <c r="ETZ227" s="23"/>
      <c r="EUE227" s="26"/>
      <c r="EUI227" s="23"/>
      <c r="EUN227" s="26"/>
      <c r="EUR227" s="23"/>
      <c r="EUW227" s="26"/>
      <c r="EVA227" s="23"/>
      <c r="EVF227" s="26"/>
      <c r="EVJ227" s="23"/>
      <c r="EVO227" s="26"/>
      <c r="EVS227" s="23"/>
      <c r="EVX227" s="26"/>
      <c r="EWB227" s="23"/>
      <c r="EWG227" s="26"/>
      <c r="EWK227" s="23"/>
      <c r="EWP227" s="26"/>
      <c r="EWT227" s="23"/>
      <c r="EWY227" s="26"/>
      <c r="EXC227" s="23"/>
      <c r="EXH227" s="26"/>
      <c r="EXL227" s="23"/>
      <c r="EXQ227" s="26"/>
      <c r="EXU227" s="23"/>
      <c r="EXZ227" s="26"/>
      <c r="EYD227" s="23"/>
      <c r="EYI227" s="26"/>
      <c r="EYM227" s="23"/>
      <c r="EYR227" s="26"/>
      <c r="EYV227" s="23"/>
      <c r="EZA227" s="26"/>
      <c r="EZE227" s="23"/>
      <c r="EZJ227" s="26"/>
      <c r="EZN227" s="23"/>
      <c r="EZS227" s="26"/>
      <c r="EZW227" s="23"/>
      <c r="FAB227" s="26"/>
      <c r="FAF227" s="23"/>
      <c r="FAK227" s="26"/>
      <c r="FAO227" s="23"/>
      <c r="FAT227" s="26"/>
      <c r="FAX227" s="23"/>
      <c r="FBC227" s="26"/>
      <c r="FBG227" s="23"/>
      <c r="FBL227" s="26"/>
      <c r="FBP227" s="23"/>
      <c r="FBU227" s="26"/>
      <c r="FBY227" s="23"/>
      <c r="FCD227" s="26"/>
      <c r="FCH227" s="23"/>
      <c r="FCM227" s="26"/>
      <c r="FCQ227" s="23"/>
      <c r="FCV227" s="26"/>
      <c r="FCZ227" s="23"/>
      <c r="FDE227" s="26"/>
      <c r="FDI227" s="23"/>
      <c r="FDN227" s="26"/>
      <c r="FDR227" s="23"/>
      <c r="FDW227" s="26"/>
      <c r="FEA227" s="23"/>
      <c r="FEF227" s="26"/>
      <c r="FEJ227" s="23"/>
      <c r="FEO227" s="26"/>
      <c r="FES227" s="23"/>
      <c r="FEX227" s="26"/>
      <c r="FFB227" s="23"/>
      <c r="FFG227" s="26"/>
      <c r="FFK227" s="23"/>
      <c r="FFP227" s="26"/>
      <c r="FFT227" s="23"/>
      <c r="FFY227" s="26"/>
      <c r="FGC227" s="23"/>
      <c r="FGH227" s="26"/>
      <c r="FGL227" s="23"/>
      <c r="FGQ227" s="26"/>
      <c r="FGU227" s="23"/>
      <c r="FGZ227" s="26"/>
      <c r="FHD227" s="23"/>
      <c r="FHI227" s="26"/>
      <c r="FHM227" s="23"/>
      <c r="FHR227" s="26"/>
      <c r="FHV227" s="23"/>
      <c r="FIA227" s="26"/>
      <c r="FIE227" s="23"/>
      <c r="FIJ227" s="26"/>
      <c r="FIN227" s="23"/>
      <c r="FIS227" s="26"/>
      <c r="FIW227" s="23"/>
      <c r="FJB227" s="26"/>
      <c r="FJF227" s="23"/>
      <c r="FJK227" s="26"/>
      <c r="FJO227" s="23"/>
      <c r="FJT227" s="26"/>
      <c r="FJX227" s="23"/>
      <c r="FKC227" s="26"/>
      <c r="FKG227" s="23"/>
      <c r="FKL227" s="26"/>
      <c r="FKP227" s="23"/>
      <c r="FKU227" s="26"/>
      <c r="FKY227" s="23"/>
      <c r="FLD227" s="26"/>
      <c r="FLH227" s="23"/>
      <c r="FLM227" s="26"/>
      <c r="FLQ227" s="23"/>
      <c r="FLV227" s="26"/>
      <c r="FLZ227" s="23"/>
      <c r="FME227" s="26"/>
      <c r="FMI227" s="23"/>
      <c r="FMN227" s="26"/>
      <c r="FMR227" s="23"/>
      <c r="FMW227" s="26"/>
      <c r="FNA227" s="23"/>
      <c r="FNF227" s="26"/>
      <c r="FNJ227" s="23"/>
      <c r="FNO227" s="26"/>
      <c r="FNS227" s="23"/>
      <c r="FNX227" s="26"/>
      <c r="FOB227" s="23"/>
      <c r="FOG227" s="26"/>
      <c r="FOK227" s="23"/>
      <c r="FOP227" s="26"/>
      <c r="FOT227" s="23"/>
      <c r="FOY227" s="26"/>
      <c r="FPC227" s="23"/>
      <c r="FPH227" s="26"/>
      <c r="FPL227" s="23"/>
      <c r="FPQ227" s="26"/>
      <c r="FPU227" s="23"/>
      <c r="FPZ227" s="26"/>
      <c r="FQD227" s="23"/>
      <c r="FQI227" s="26"/>
      <c r="FQM227" s="23"/>
      <c r="FQR227" s="26"/>
      <c r="FQV227" s="23"/>
      <c r="FRA227" s="26"/>
      <c r="FRE227" s="23"/>
      <c r="FRJ227" s="26"/>
      <c r="FRN227" s="23"/>
      <c r="FRS227" s="26"/>
      <c r="FRW227" s="23"/>
      <c r="FSB227" s="26"/>
      <c r="FSF227" s="23"/>
      <c r="FSK227" s="26"/>
      <c r="FSO227" s="23"/>
      <c r="FST227" s="26"/>
      <c r="FSX227" s="23"/>
      <c r="FTC227" s="26"/>
      <c r="FTG227" s="23"/>
      <c r="FTL227" s="26"/>
      <c r="FTP227" s="23"/>
      <c r="FTU227" s="26"/>
      <c r="FTY227" s="23"/>
      <c r="FUD227" s="26"/>
      <c r="FUH227" s="23"/>
      <c r="FUM227" s="26"/>
      <c r="FUQ227" s="23"/>
      <c r="FUV227" s="26"/>
      <c r="FUZ227" s="23"/>
      <c r="FVE227" s="26"/>
      <c r="FVI227" s="23"/>
      <c r="FVN227" s="26"/>
      <c r="FVR227" s="23"/>
      <c r="FVW227" s="26"/>
      <c r="FWA227" s="23"/>
      <c r="FWF227" s="26"/>
      <c r="FWJ227" s="23"/>
      <c r="FWO227" s="26"/>
      <c r="FWS227" s="23"/>
      <c r="FWX227" s="26"/>
      <c r="FXB227" s="23"/>
      <c r="FXG227" s="26"/>
      <c r="FXK227" s="23"/>
      <c r="FXP227" s="26"/>
      <c r="FXT227" s="23"/>
      <c r="FXY227" s="26"/>
      <c r="FYC227" s="23"/>
      <c r="FYH227" s="26"/>
      <c r="FYL227" s="23"/>
      <c r="FYQ227" s="26"/>
      <c r="FYU227" s="23"/>
      <c r="FYZ227" s="26"/>
      <c r="FZD227" s="23"/>
      <c r="FZI227" s="26"/>
      <c r="FZM227" s="23"/>
      <c r="FZR227" s="26"/>
      <c r="FZV227" s="23"/>
      <c r="GAA227" s="26"/>
      <c r="GAE227" s="23"/>
      <c r="GAJ227" s="26"/>
      <c r="GAN227" s="23"/>
      <c r="GAS227" s="26"/>
      <c r="GAW227" s="23"/>
      <c r="GBB227" s="26"/>
      <c r="GBF227" s="23"/>
      <c r="GBK227" s="26"/>
      <c r="GBO227" s="23"/>
      <c r="GBT227" s="26"/>
      <c r="GBX227" s="23"/>
      <c r="GCC227" s="26"/>
      <c r="GCG227" s="23"/>
      <c r="GCL227" s="26"/>
      <c r="GCP227" s="23"/>
      <c r="GCU227" s="26"/>
      <c r="GCY227" s="23"/>
      <c r="GDD227" s="26"/>
      <c r="GDH227" s="23"/>
      <c r="GDM227" s="26"/>
      <c r="GDQ227" s="23"/>
      <c r="GDV227" s="26"/>
      <c r="GDZ227" s="23"/>
      <c r="GEE227" s="26"/>
      <c r="GEI227" s="23"/>
      <c r="GEN227" s="26"/>
      <c r="GER227" s="23"/>
      <c r="GEW227" s="26"/>
      <c r="GFA227" s="23"/>
      <c r="GFF227" s="26"/>
      <c r="GFJ227" s="23"/>
      <c r="GFO227" s="26"/>
      <c r="GFS227" s="23"/>
      <c r="GFX227" s="26"/>
      <c r="GGB227" s="23"/>
      <c r="GGG227" s="26"/>
      <c r="GGK227" s="23"/>
      <c r="GGP227" s="26"/>
      <c r="GGT227" s="23"/>
      <c r="GGY227" s="26"/>
      <c r="GHC227" s="23"/>
      <c r="GHH227" s="26"/>
      <c r="GHL227" s="23"/>
      <c r="GHQ227" s="26"/>
      <c r="GHU227" s="23"/>
      <c r="GHZ227" s="26"/>
      <c r="GID227" s="23"/>
      <c r="GII227" s="26"/>
      <c r="GIM227" s="23"/>
      <c r="GIR227" s="26"/>
      <c r="GIV227" s="23"/>
      <c r="GJA227" s="26"/>
      <c r="GJE227" s="23"/>
      <c r="GJJ227" s="26"/>
      <c r="GJN227" s="23"/>
      <c r="GJS227" s="26"/>
      <c r="GJW227" s="23"/>
      <c r="GKB227" s="26"/>
      <c r="GKF227" s="23"/>
      <c r="GKK227" s="26"/>
      <c r="GKO227" s="23"/>
      <c r="GKT227" s="26"/>
      <c r="GKX227" s="23"/>
      <c r="GLC227" s="26"/>
      <c r="GLG227" s="23"/>
      <c r="GLL227" s="26"/>
      <c r="GLP227" s="23"/>
      <c r="GLU227" s="26"/>
      <c r="GLY227" s="23"/>
      <c r="GMD227" s="26"/>
      <c r="GMH227" s="23"/>
      <c r="GMM227" s="26"/>
      <c r="GMQ227" s="23"/>
      <c r="GMV227" s="26"/>
      <c r="GMZ227" s="23"/>
      <c r="GNE227" s="26"/>
      <c r="GNI227" s="23"/>
      <c r="GNN227" s="26"/>
      <c r="GNR227" s="23"/>
      <c r="GNW227" s="26"/>
      <c r="GOA227" s="23"/>
      <c r="GOF227" s="26"/>
      <c r="GOJ227" s="23"/>
      <c r="GOO227" s="26"/>
      <c r="GOS227" s="23"/>
      <c r="GOX227" s="26"/>
      <c r="GPB227" s="23"/>
      <c r="GPG227" s="26"/>
      <c r="GPK227" s="23"/>
      <c r="GPP227" s="26"/>
      <c r="GPT227" s="23"/>
      <c r="GPY227" s="26"/>
      <c r="GQC227" s="23"/>
      <c r="GQH227" s="26"/>
      <c r="GQL227" s="23"/>
      <c r="GQQ227" s="26"/>
      <c r="GQU227" s="23"/>
      <c r="GQZ227" s="26"/>
      <c r="GRD227" s="23"/>
      <c r="GRI227" s="26"/>
      <c r="GRM227" s="23"/>
      <c r="GRR227" s="26"/>
      <c r="GRV227" s="23"/>
      <c r="GSA227" s="26"/>
      <c r="GSE227" s="23"/>
      <c r="GSJ227" s="26"/>
      <c r="GSN227" s="23"/>
      <c r="GSS227" s="26"/>
      <c r="GSW227" s="23"/>
      <c r="GTB227" s="26"/>
      <c r="GTF227" s="23"/>
      <c r="GTK227" s="26"/>
      <c r="GTO227" s="23"/>
      <c r="GTT227" s="26"/>
      <c r="GTX227" s="23"/>
      <c r="GUC227" s="26"/>
      <c r="GUG227" s="23"/>
      <c r="GUL227" s="26"/>
      <c r="GUP227" s="23"/>
      <c r="GUU227" s="26"/>
      <c r="GUY227" s="23"/>
      <c r="GVD227" s="26"/>
      <c r="GVH227" s="23"/>
      <c r="GVM227" s="26"/>
      <c r="GVQ227" s="23"/>
      <c r="GVV227" s="26"/>
      <c r="GVZ227" s="23"/>
      <c r="GWE227" s="26"/>
      <c r="GWI227" s="23"/>
      <c r="GWN227" s="26"/>
      <c r="GWR227" s="23"/>
      <c r="GWW227" s="26"/>
      <c r="GXA227" s="23"/>
      <c r="GXF227" s="26"/>
      <c r="GXJ227" s="23"/>
      <c r="GXO227" s="26"/>
      <c r="GXS227" s="23"/>
      <c r="GXX227" s="26"/>
      <c r="GYB227" s="23"/>
      <c r="GYG227" s="26"/>
      <c r="GYK227" s="23"/>
      <c r="GYP227" s="26"/>
      <c r="GYT227" s="23"/>
      <c r="GYY227" s="26"/>
      <c r="GZC227" s="23"/>
      <c r="GZH227" s="26"/>
      <c r="GZL227" s="23"/>
      <c r="GZQ227" s="26"/>
      <c r="GZU227" s="23"/>
      <c r="GZZ227" s="26"/>
      <c r="HAD227" s="23"/>
      <c r="HAI227" s="26"/>
      <c r="HAM227" s="23"/>
      <c r="HAR227" s="26"/>
      <c r="HAV227" s="23"/>
      <c r="HBA227" s="26"/>
      <c r="HBE227" s="23"/>
      <c r="HBJ227" s="26"/>
      <c r="HBN227" s="23"/>
      <c r="HBS227" s="26"/>
      <c r="HBW227" s="23"/>
      <c r="HCB227" s="26"/>
      <c r="HCF227" s="23"/>
      <c r="HCK227" s="26"/>
      <c r="HCO227" s="23"/>
      <c r="HCT227" s="26"/>
      <c r="HCX227" s="23"/>
      <c r="HDC227" s="26"/>
      <c r="HDG227" s="23"/>
      <c r="HDL227" s="26"/>
      <c r="HDP227" s="23"/>
      <c r="HDU227" s="26"/>
      <c r="HDY227" s="23"/>
      <c r="HED227" s="26"/>
      <c r="HEH227" s="23"/>
      <c r="HEM227" s="26"/>
      <c r="HEQ227" s="23"/>
      <c r="HEV227" s="26"/>
      <c r="HEZ227" s="23"/>
      <c r="HFE227" s="26"/>
      <c r="HFI227" s="23"/>
      <c r="HFN227" s="26"/>
      <c r="HFR227" s="23"/>
      <c r="HFW227" s="26"/>
      <c r="HGA227" s="23"/>
      <c r="HGF227" s="26"/>
      <c r="HGJ227" s="23"/>
      <c r="HGO227" s="26"/>
      <c r="HGS227" s="23"/>
      <c r="HGX227" s="26"/>
      <c r="HHB227" s="23"/>
      <c r="HHG227" s="26"/>
      <c r="HHK227" s="23"/>
      <c r="HHP227" s="26"/>
      <c r="HHT227" s="23"/>
      <c r="HHY227" s="26"/>
      <c r="HIC227" s="23"/>
      <c r="HIH227" s="26"/>
      <c r="HIL227" s="23"/>
      <c r="HIQ227" s="26"/>
      <c r="HIU227" s="23"/>
      <c r="HIZ227" s="26"/>
      <c r="HJD227" s="23"/>
      <c r="HJI227" s="26"/>
      <c r="HJM227" s="23"/>
      <c r="HJR227" s="26"/>
      <c r="HJV227" s="23"/>
      <c r="HKA227" s="26"/>
      <c r="HKE227" s="23"/>
      <c r="HKJ227" s="26"/>
      <c r="HKN227" s="23"/>
      <c r="HKS227" s="26"/>
      <c r="HKW227" s="23"/>
      <c r="HLB227" s="26"/>
      <c r="HLF227" s="23"/>
      <c r="HLK227" s="26"/>
      <c r="HLO227" s="23"/>
      <c r="HLT227" s="26"/>
      <c r="HLX227" s="23"/>
      <c r="HMC227" s="26"/>
      <c r="HMG227" s="23"/>
      <c r="HML227" s="26"/>
      <c r="HMP227" s="23"/>
      <c r="HMU227" s="26"/>
      <c r="HMY227" s="23"/>
      <c r="HND227" s="26"/>
      <c r="HNH227" s="23"/>
      <c r="HNM227" s="26"/>
      <c r="HNQ227" s="23"/>
      <c r="HNV227" s="26"/>
      <c r="HNZ227" s="23"/>
      <c r="HOE227" s="26"/>
      <c r="HOI227" s="23"/>
      <c r="HON227" s="26"/>
      <c r="HOR227" s="23"/>
      <c r="HOW227" s="26"/>
      <c r="HPA227" s="23"/>
      <c r="HPF227" s="26"/>
      <c r="HPJ227" s="23"/>
      <c r="HPO227" s="26"/>
      <c r="HPS227" s="23"/>
      <c r="HPX227" s="26"/>
      <c r="HQB227" s="23"/>
      <c r="HQG227" s="26"/>
      <c r="HQK227" s="23"/>
      <c r="HQP227" s="26"/>
      <c r="HQT227" s="23"/>
      <c r="HQY227" s="26"/>
      <c r="HRC227" s="23"/>
      <c r="HRH227" s="26"/>
      <c r="HRL227" s="23"/>
      <c r="HRQ227" s="26"/>
      <c r="HRU227" s="23"/>
      <c r="HRZ227" s="26"/>
      <c r="HSD227" s="23"/>
      <c r="HSI227" s="26"/>
      <c r="HSM227" s="23"/>
      <c r="HSR227" s="26"/>
      <c r="HSV227" s="23"/>
      <c r="HTA227" s="26"/>
      <c r="HTE227" s="23"/>
      <c r="HTJ227" s="26"/>
      <c r="HTN227" s="23"/>
      <c r="HTS227" s="26"/>
      <c r="HTW227" s="23"/>
      <c r="HUB227" s="26"/>
      <c r="HUF227" s="23"/>
      <c r="HUK227" s="26"/>
      <c r="HUO227" s="23"/>
      <c r="HUT227" s="26"/>
      <c r="HUX227" s="23"/>
      <c r="HVC227" s="26"/>
      <c r="HVG227" s="23"/>
      <c r="HVL227" s="26"/>
      <c r="HVP227" s="23"/>
      <c r="HVU227" s="26"/>
      <c r="HVY227" s="23"/>
      <c r="HWD227" s="26"/>
      <c r="HWH227" s="23"/>
      <c r="HWM227" s="26"/>
      <c r="HWQ227" s="23"/>
      <c r="HWV227" s="26"/>
      <c r="HWZ227" s="23"/>
      <c r="HXE227" s="26"/>
      <c r="HXI227" s="23"/>
      <c r="HXN227" s="26"/>
      <c r="HXR227" s="23"/>
      <c r="HXW227" s="26"/>
      <c r="HYA227" s="23"/>
      <c r="HYF227" s="26"/>
      <c r="HYJ227" s="23"/>
      <c r="HYO227" s="26"/>
      <c r="HYS227" s="23"/>
      <c r="HYX227" s="26"/>
      <c r="HZB227" s="23"/>
      <c r="HZG227" s="26"/>
      <c r="HZK227" s="23"/>
      <c r="HZP227" s="26"/>
      <c r="HZT227" s="23"/>
      <c r="HZY227" s="26"/>
      <c r="IAC227" s="23"/>
      <c r="IAH227" s="26"/>
      <c r="IAL227" s="23"/>
      <c r="IAQ227" s="26"/>
      <c r="IAU227" s="23"/>
      <c r="IAZ227" s="26"/>
      <c r="IBD227" s="23"/>
      <c r="IBI227" s="26"/>
      <c r="IBM227" s="23"/>
      <c r="IBR227" s="26"/>
      <c r="IBV227" s="23"/>
      <c r="ICA227" s="26"/>
      <c r="ICE227" s="23"/>
      <c r="ICJ227" s="26"/>
      <c r="ICN227" s="23"/>
      <c r="ICS227" s="26"/>
      <c r="ICW227" s="23"/>
      <c r="IDB227" s="26"/>
      <c r="IDF227" s="23"/>
      <c r="IDK227" s="26"/>
      <c r="IDO227" s="23"/>
      <c r="IDT227" s="26"/>
      <c r="IDX227" s="23"/>
      <c r="IEC227" s="26"/>
      <c r="IEG227" s="23"/>
      <c r="IEL227" s="26"/>
      <c r="IEP227" s="23"/>
      <c r="IEU227" s="26"/>
      <c r="IEY227" s="23"/>
      <c r="IFD227" s="26"/>
      <c r="IFH227" s="23"/>
      <c r="IFM227" s="26"/>
      <c r="IFQ227" s="23"/>
      <c r="IFV227" s="26"/>
      <c r="IFZ227" s="23"/>
      <c r="IGE227" s="26"/>
      <c r="IGI227" s="23"/>
      <c r="IGN227" s="26"/>
      <c r="IGR227" s="23"/>
      <c r="IGW227" s="26"/>
      <c r="IHA227" s="23"/>
      <c r="IHF227" s="26"/>
      <c r="IHJ227" s="23"/>
      <c r="IHO227" s="26"/>
      <c r="IHS227" s="23"/>
      <c r="IHX227" s="26"/>
      <c r="IIB227" s="23"/>
      <c r="IIG227" s="26"/>
      <c r="IIK227" s="23"/>
      <c r="IIP227" s="26"/>
      <c r="IIT227" s="23"/>
      <c r="IIY227" s="26"/>
      <c r="IJC227" s="23"/>
      <c r="IJH227" s="26"/>
      <c r="IJL227" s="23"/>
      <c r="IJQ227" s="26"/>
      <c r="IJU227" s="23"/>
      <c r="IJZ227" s="26"/>
      <c r="IKD227" s="23"/>
      <c r="IKI227" s="26"/>
      <c r="IKM227" s="23"/>
      <c r="IKR227" s="26"/>
      <c r="IKV227" s="23"/>
      <c r="ILA227" s="26"/>
      <c r="ILE227" s="23"/>
      <c r="ILJ227" s="26"/>
      <c r="ILN227" s="23"/>
      <c r="ILS227" s="26"/>
      <c r="ILW227" s="23"/>
      <c r="IMB227" s="26"/>
      <c r="IMF227" s="23"/>
      <c r="IMK227" s="26"/>
      <c r="IMO227" s="23"/>
      <c r="IMT227" s="26"/>
      <c r="IMX227" s="23"/>
      <c r="INC227" s="26"/>
      <c r="ING227" s="23"/>
      <c r="INL227" s="26"/>
      <c r="INP227" s="23"/>
      <c r="INU227" s="26"/>
      <c r="INY227" s="23"/>
      <c r="IOD227" s="26"/>
      <c r="IOH227" s="23"/>
      <c r="IOM227" s="26"/>
      <c r="IOQ227" s="23"/>
      <c r="IOV227" s="26"/>
      <c r="IOZ227" s="23"/>
      <c r="IPE227" s="26"/>
      <c r="IPI227" s="23"/>
      <c r="IPN227" s="26"/>
      <c r="IPR227" s="23"/>
      <c r="IPW227" s="26"/>
      <c r="IQA227" s="23"/>
      <c r="IQF227" s="26"/>
      <c r="IQJ227" s="23"/>
      <c r="IQO227" s="26"/>
      <c r="IQS227" s="23"/>
      <c r="IQX227" s="26"/>
      <c r="IRB227" s="23"/>
      <c r="IRG227" s="26"/>
      <c r="IRK227" s="23"/>
      <c r="IRP227" s="26"/>
      <c r="IRT227" s="23"/>
      <c r="IRY227" s="26"/>
      <c r="ISC227" s="23"/>
      <c r="ISH227" s="26"/>
      <c r="ISL227" s="23"/>
      <c r="ISQ227" s="26"/>
      <c r="ISU227" s="23"/>
      <c r="ISZ227" s="26"/>
      <c r="ITD227" s="23"/>
      <c r="ITI227" s="26"/>
      <c r="ITM227" s="23"/>
      <c r="ITR227" s="26"/>
      <c r="ITV227" s="23"/>
      <c r="IUA227" s="26"/>
      <c r="IUE227" s="23"/>
      <c r="IUJ227" s="26"/>
      <c r="IUN227" s="23"/>
      <c r="IUS227" s="26"/>
      <c r="IUW227" s="23"/>
      <c r="IVB227" s="26"/>
      <c r="IVF227" s="23"/>
      <c r="IVK227" s="26"/>
      <c r="IVO227" s="23"/>
      <c r="IVT227" s="26"/>
      <c r="IVX227" s="23"/>
      <c r="IWC227" s="26"/>
      <c r="IWG227" s="23"/>
      <c r="IWL227" s="26"/>
      <c r="IWP227" s="23"/>
      <c r="IWU227" s="26"/>
      <c r="IWY227" s="23"/>
      <c r="IXD227" s="26"/>
      <c r="IXH227" s="23"/>
      <c r="IXM227" s="26"/>
      <c r="IXQ227" s="23"/>
      <c r="IXV227" s="26"/>
      <c r="IXZ227" s="23"/>
      <c r="IYE227" s="26"/>
      <c r="IYI227" s="23"/>
      <c r="IYN227" s="26"/>
      <c r="IYR227" s="23"/>
      <c r="IYW227" s="26"/>
      <c r="IZA227" s="23"/>
      <c r="IZF227" s="26"/>
      <c r="IZJ227" s="23"/>
      <c r="IZO227" s="26"/>
      <c r="IZS227" s="23"/>
      <c r="IZX227" s="26"/>
      <c r="JAB227" s="23"/>
      <c r="JAG227" s="26"/>
      <c r="JAK227" s="23"/>
      <c r="JAP227" s="26"/>
      <c r="JAT227" s="23"/>
      <c r="JAY227" s="26"/>
      <c r="JBC227" s="23"/>
      <c r="JBH227" s="26"/>
      <c r="JBL227" s="23"/>
      <c r="JBQ227" s="26"/>
      <c r="JBU227" s="23"/>
      <c r="JBZ227" s="26"/>
      <c r="JCD227" s="23"/>
      <c r="JCI227" s="26"/>
      <c r="JCM227" s="23"/>
      <c r="JCR227" s="26"/>
      <c r="JCV227" s="23"/>
      <c r="JDA227" s="26"/>
      <c r="JDE227" s="23"/>
      <c r="JDJ227" s="26"/>
      <c r="JDN227" s="23"/>
      <c r="JDS227" s="26"/>
      <c r="JDW227" s="23"/>
      <c r="JEB227" s="26"/>
      <c r="JEF227" s="23"/>
      <c r="JEK227" s="26"/>
      <c r="JEO227" s="23"/>
      <c r="JET227" s="26"/>
      <c r="JEX227" s="23"/>
      <c r="JFC227" s="26"/>
      <c r="JFG227" s="23"/>
      <c r="JFL227" s="26"/>
      <c r="JFP227" s="23"/>
      <c r="JFU227" s="26"/>
      <c r="JFY227" s="23"/>
      <c r="JGD227" s="26"/>
      <c r="JGH227" s="23"/>
      <c r="JGM227" s="26"/>
      <c r="JGQ227" s="23"/>
      <c r="JGV227" s="26"/>
      <c r="JGZ227" s="23"/>
      <c r="JHE227" s="26"/>
      <c r="JHI227" s="23"/>
      <c r="JHN227" s="26"/>
      <c r="JHR227" s="23"/>
      <c r="JHW227" s="26"/>
      <c r="JIA227" s="23"/>
      <c r="JIF227" s="26"/>
      <c r="JIJ227" s="23"/>
      <c r="JIO227" s="26"/>
      <c r="JIS227" s="23"/>
      <c r="JIX227" s="26"/>
      <c r="JJB227" s="23"/>
      <c r="JJG227" s="26"/>
      <c r="JJK227" s="23"/>
      <c r="JJP227" s="26"/>
      <c r="JJT227" s="23"/>
      <c r="JJY227" s="26"/>
      <c r="JKC227" s="23"/>
      <c r="JKH227" s="26"/>
      <c r="JKL227" s="23"/>
      <c r="JKQ227" s="26"/>
      <c r="JKU227" s="23"/>
      <c r="JKZ227" s="26"/>
      <c r="JLD227" s="23"/>
      <c r="JLI227" s="26"/>
      <c r="JLM227" s="23"/>
      <c r="JLR227" s="26"/>
      <c r="JLV227" s="23"/>
      <c r="JMA227" s="26"/>
      <c r="JME227" s="23"/>
      <c r="JMJ227" s="26"/>
      <c r="JMN227" s="23"/>
      <c r="JMS227" s="26"/>
      <c r="JMW227" s="23"/>
      <c r="JNB227" s="26"/>
      <c r="JNF227" s="23"/>
      <c r="JNK227" s="26"/>
      <c r="JNO227" s="23"/>
      <c r="JNT227" s="26"/>
      <c r="JNX227" s="23"/>
      <c r="JOC227" s="26"/>
      <c r="JOG227" s="23"/>
      <c r="JOL227" s="26"/>
      <c r="JOP227" s="23"/>
      <c r="JOU227" s="26"/>
      <c r="JOY227" s="23"/>
      <c r="JPD227" s="26"/>
      <c r="JPH227" s="23"/>
      <c r="JPM227" s="26"/>
      <c r="JPQ227" s="23"/>
      <c r="JPV227" s="26"/>
      <c r="JPZ227" s="23"/>
      <c r="JQE227" s="26"/>
      <c r="JQI227" s="23"/>
      <c r="JQN227" s="26"/>
      <c r="JQR227" s="23"/>
      <c r="JQW227" s="26"/>
      <c r="JRA227" s="23"/>
      <c r="JRF227" s="26"/>
      <c r="JRJ227" s="23"/>
      <c r="JRO227" s="26"/>
      <c r="JRS227" s="23"/>
      <c r="JRX227" s="26"/>
      <c r="JSB227" s="23"/>
      <c r="JSG227" s="26"/>
      <c r="JSK227" s="23"/>
      <c r="JSP227" s="26"/>
      <c r="JST227" s="23"/>
      <c r="JSY227" s="26"/>
      <c r="JTC227" s="23"/>
      <c r="JTH227" s="26"/>
      <c r="JTL227" s="23"/>
      <c r="JTQ227" s="26"/>
      <c r="JTU227" s="23"/>
      <c r="JTZ227" s="26"/>
      <c r="JUD227" s="23"/>
      <c r="JUI227" s="26"/>
      <c r="JUM227" s="23"/>
      <c r="JUR227" s="26"/>
      <c r="JUV227" s="23"/>
      <c r="JVA227" s="26"/>
      <c r="JVE227" s="23"/>
      <c r="JVJ227" s="26"/>
      <c r="JVN227" s="23"/>
      <c r="JVS227" s="26"/>
      <c r="JVW227" s="23"/>
      <c r="JWB227" s="26"/>
      <c r="JWF227" s="23"/>
      <c r="JWK227" s="26"/>
      <c r="JWO227" s="23"/>
      <c r="JWT227" s="26"/>
      <c r="JWX227" s="23"/>
      <c r="JXC227" s="26"/>
      <c r="JXG227" s="23"/>
      <c r="JXL227" s="26"/>
      <c r="JXP227" s="23"/>
      <c r="JXU227" s="26"/>
      <c r="JXY227" s="23"/>
      <c r="JYD227" s="26"/>
      <c r="JYH227" s="23"/>
      <c r="JYM227" s="26"/>
      <c r="JYQ227" s="23"/>
      <c r="JYV227" s="26"/>
      <c r="JYZ227" s="23"/>
      <c r="JZE227" s="26"/>
      <c r="JZI227" s="23"/>
      <c r="JZN227" s="26"/>
      <c r="JZR227" s="23"/>
      <c r="JZW227" s="26"/>
      <c r="KAA227" s="23"/>
      <c r="KAF227" s="26"/>
      <c r="KAJ227" s="23"/>
      <c r="KAO227" s="26"/>
      <c r="KAS227" s="23"/>
      <c r="KAX227" s="26"/>
      <c r="KBB227" s="23"/>
      <c r="KBG227" s="26"/>
      <c r="KBK227" s="23"/>
      <c r="KBP227" s="26"/>
      <c r="KBT227" s="23"/>
      <c r="KBY227" s="26"/>
      <c r="KCC227" s="23"/>
      <c r="KCH227" s="26"/>
      <c r="KCL227" s="23"/>
      <c r="KCQ227" s="26"/>
      <c r="KCU227" s="23"/>
      <c r="KCZ227" s="26"/>
      <c r="KDD227" s="23"/>
      <c r="KDI227" s="26"/>
      <c r="KDM227" s="23"/>
      <c r="KDR227" s="26"/>
      <c r="KDV227" s="23"/>
      <c r="KEA227" s="26"/>
      <c r="KEE227" s="23"/>
      <c r="KEJ227" s="26"/>
      <c r="KEN227" s="23"/>
      <c r="KES227" s="26"/>
      <c r="KEW227" s="23"/>
      <c r="KFB227" s="26"/>
      <c r="KFF227" s="23"/>
      <c r="KFK227" s="26"/>
      <c r="KFO227" s="23"/>
      <c r="KFT227" s="26"/>
      <c r="KFX227" s="23"/>
      <c r="KGC227" s="26"/>
      <c r="KGG227" s="23"/>
      <c r="KGL227" s="26"/>
      <c r="KGP227" s="23"/>
      <c r="KGU227" s="26"/>
      <c r="KGY227" s="23"/>
      <c r="KHD227" s="26"/>
      <c r="KHH227" s="23"/>
      <c r="KHM227" s="26"/>
      <c r="KHQ227" s="23"/>
      <c r="KHV227" s="26"/>
      <c r="KHZ227" s="23"/>
      <c r="KIE227" s="26"/>
      <c r="KII227" s="23"/>
      <c r="KIN227" s="26"/>
      <c r="KIR227" s="23"/>
      <c r="KIW227" s="26"/>
      <c r="KJA227" s="23"/>
      <c r="KJF227" s="26"/>
      <c r="KJJ227" s="23"/>
      <c r="KJO227" s="26"/>
      <c r="KJS227" s="23"/>
      <c r="KJX227" s="26"/>
      <c r="KKB227" s="23"/>
      <c r="KKG227" s="26"/>
      <c r="KKK227" s="23"/>
      <c r="KKP227" s="26"/>
      <c r="KKT227" s="23"/>
      <c r="KKY227" s="26"/>
      <c r="KLC227" s="23"/>
      <c r="KLH227" s="26"/>
      <c r="KLL227" s="23"/>
      <c r="KLQ227" s="26"/>
      <c r="KLU227" s="23"/>
      <c r="KLZ227" s="26"/>
      <c r="KMD227" s="23"/>
      <c r="KMI227" s="26"/>
      <c r="KMM227" s="23"/>
      <c r="KMR227" s="26"/>
      <c r="KMV227" s="23"/>
      <c r="KNA227" s="26"/>
      <c r="KNE227" s="23"/>
      <c r="KNJ227" s="26"/>
      <c r="KNN227" s="23"/>
      <c r="KNS227" s="26"/>
      <c r="KNW227" s="23"/>
      <c r="KOB227" s="26"/>
      <c r="KOF227" s="23"/>
      <c r="KOK227" s="26"/>
      <c r="KOO227" s="23"/>
      <c r="KOT227" s="26"/>
      <c r="KOX227" s="23"/>
      <c r="KPC227" s="26"/>
      <c r="KPG227" s="23"/>
      <c r="KPL227" s="26"/>
      <c r="KPP227" s="23"/>
      <c r="KPU227" s="26"/>
      <c r="KPY227" s="23"/>
      <c r="KQD227" s="26"/>
      <c r="KQH227" s="23"/>
      <c r="KQM227" s="26"/>
      <c r="KQQ227" s="23"/>
      <c r="KQV227" s="26"/>
      <c r="KQZ227" s="23"/>
      <c r="KRE227" s="26"/>
      <c r="KRI227" s="23"/>
      <c r="KRN227" s="26"/>
      <c r="KRR227" s="23"/>
      <c r="KRW227" s="26"/>
      <c r="KSA227" s="23"/>
      <c r="KSF227" s="26"/>
      <c r="KSJ227" s="23"/>
      <c r="KSO227" s="26"/>
      <c r="KSS227" s="23"/>
      <c r="KSX227" s="26"/>
      <c r="KTB227" s="23"/>
      <c r="KTG227" s="26"/>
      <c r="KTK227" s="23"/>
      <c r="KTP227" s="26"/>
      <c r="KTT227" s="23"/>
      <c r="KTY227" s="26"/>
      <c r="KUC227" s="23"/>
      <c r="KUH227" s="26"/>
      <c r="KUL227" s="23"/>
      <c r="KUQ227" s="26"/>
      <c r="KUU227" s="23"/>
      <c r="KUZ227" s="26"/>
      <c r="KVD227" s="23"/>
      <c r="KVI227" s="26"/>
      <c r="KVM227" s="23"/>
      <c r="KVR227" s="26"/>
      <c r="KVV227" s="23"/>
      <c r="KWA227" s="26"/>
      <c r="KWE227" s="23"/>
      <c r="KWJ227" s="26"/>
      <c r="KWN227" s="23"/>
      <c r="KWS227" s="26"/>
      <c r="KWW227" s="23"/>
      <c r="KXB227" s="26"/>
      <c r="KXF227" s="23"/>
      <c r="KXK227" s="26"/>
      <c r="KXO227" s="23"/>
      <c r="KXT227" s="26"/>
      <c r="KXX227" s="23"/>
      <c r="KYC227" s="26"/>
      <c r="KYG227" s="23"/>
      <c r="KYL227" s="26"/>
      <c r="KYP227" s="23"/>
      <c r="KYU227" s="26"/>
      <c r="KYY227" s="23"/>
      <c r="KZD227" s="26"/>
      <c r="KZH227" s="23"/>
      <c r="KZM227" s="26"/>
      <c r="KZQ227" s="23"/>
      <c r="KZV227" s="26"/>
      <c r="KZZ227" s="23"/>
      <c r="LAE227" s="26"/>
      <c r="LAI227" s="23"/>
      <c r="LAN227" s="26"/>
      <c r="LAR227" s="23"/>
      <c r="LAW227" s="26"/>
      <c r="LBA227" s="23"/>
      <c r="LBF227" s="26"/>
      <c r="LBJ227" s="23"/>
      <c r="LBO227" s="26"/>
      <c r="LBS227" s="23"/>
      <c r="LBX227" s="26"/>
      <c r="LCB227" s="23"/>
      <c r="LCG227" s="26"/>
      <c r="LCK227" s="23"/>
      <c r="LCP227" s="26"/>
      <c r="LCT227" s="23"/>
      <c r="LCY227" s="26"/>
      <c r="LDC227" s="23"/>
      <c r="LDH227" s="26"/>
      <c r="LDL227" s="23"/>
      <c r="LDQ227" s="26"/>
      <c r="LDU227" s="23"/>
      <c r="LDZ227" s="26"/>
      <c r="LED227" s="23"/>
      <c r="LEI227" s="26"/>
      <c r="LEM227" s="23"/>
      <c r="LER227" s="26"/>
      <c r="LEV227" s="23"/>
      <c r="LFA227" s="26"/>
      <c r="LFE227" s="23"/>
      <c r="LFJ227" s="26"/>
      <c r="LFN227" s="23"/>
      <c r="LFS227" s="26"/>
      <c r="LFW227" s="23"/>
      <c r="LGB227" s="26"/>
      <c r="LGF227" s="23"/>
      <c r="LGK227" s="26"/>
      <c r="LGO227" s="23"/>
      <c r="LGT227" s="26"/>
      <c r="LGX227" s="23"/>
      <c r="LHC227" s="26"/>
      <c r="LHG227" s="23"/>
      <c r="LHL227" s="26"/>
      <c r="LHP227" s="23"/>
      <c r="LHU227" s="26"/>
      <c r="LHY227" s="23"/>
      <c r="LID227" s="26"/>
      <c r="LIH227" s="23"/>
      <c r="LIM227" s="26"/>
      <c r="LIQ227" s="23"/>
      <c r="LIV227" s="26"/>
      <c r="LIZ227" s="23"/>
      <c r="LJE227" s="26"/>
      <c r="LJI227" s="23"/>
      <c r="LJN227" s="26"/>
      <c r="LJR227" s="23"/>
      <c r="LJW227" s="26"/>
      <c r="LKA227" s="23"/>
      <c r="LKF227" s="26"/>
      <c r="LKJ227" s="23"/>
      <c r="LKO227" s="26"/>
      <c r="LKS227" s="23"/>
      <c r="LKX227" s="26"/>
      <c r="LLB227" s="23"/>
      <c r="LLG227" s="26"/>
      <c r="LLK227" s="23"/>
      <c r="LLP227" s="26"/>
      <c r="LLT227" s="23"/>
      <c r="LLY227" s="26"/>
      <c r="LMC227" s="23"/>
      <c r="LMH227" s="26"/>
      <c r="LML227" s="23"/>
      <c r="LMQ227" s="26"/>
      <c r="LMU227" s="23"/>
      <c r="LMZ227" s="26"/>
      <c r="LND227" s="23"/>
      <c r="LNI227" s="26"/>
      <c r="LNM227" s="23"/>
      <c r="LNR227" s="26"/>
      <c r="LNV227" s="23"/>
      <c r="LOA227" s="26"/>
      <c r="LOE227" s="23"/>
      <c r="LOJ227" s="26"/>
      <c r="LON227" s="23"/>
      <c r="LOS227" s="26"/>
      <c r="LOW227" s="23"/>
      <c r="LPB227" s="26"/>
      <c r="LPF227" s="23"/>
      <c r="LPK227" s="26"/>
      <c r="LPO227" s="23"/>
      <c r="LPT227" s="26"/>
      <c r="LPX227" s="23"/>
      <c r="LQC227" s="26"/>
      <c r="LQG227" s="23"/>
      <c r="LQL227" s="26"/>
      <c r="LQP227" s="23"/>
      <c r="LQU227" s="26"/>
      <c r="LQY227" s="23"/>
      <c r="LRD227" s="26"/>
      <c r="LRH227" s="23"/>
      <c r="LRM227" s="26"/>
      <c r="LRQ227" s="23"/>
      <c r="LRV227" s="26"/>
      <c r="LRZ227" s="23"/>
      <c r="LSE227" s="26"/>
      <c r="LSI227" s="23"/>
      <c r="LSN227" s="26"/>
      <c r="LSR227" s="23"/>
      <c r="LSW227" s="26"/>
      <c r="LTA227" s="23"/>
      <c r="LTF227" s="26"/>
      <c r="LTJ227" s="23"/>
      <c r="LTO227" s="26"/>
      <c r="LTS227" s="23"/>
      <c r="LTX227" s="26"/>
      <c r="LUB227" s="23"/>
      <c r="LUG227" s="26"/>
      <c r="LUK227" s="23"/>
      <c r="LUP227" s="26"/>
      <c r="LUT227" s="23"/>
      <c r="LUY227" s="26"/>
      <c r="LVC227" s="23"/>
      <c r="LVH227" s="26"/>
      <c r="LVL227" s="23"/>
      <c r="LVQ227" s="26"/>
      <c r="LVU227" s="23"/>
      <c r="LVZ227" s="26"/>
      <c r="LWD227" s="23"/>
      <c r="LWI227" s="26"/>
      <c r="LWM227" s="23"/>
      <c r="LWR227" s="26"/>
      <c r="LWV227" s="23"/>
      <c r="LXA227" s="26"/>
      <c r="LXE227" s="23"/>
      <c r="LXJ227" s="26"/>
      <c r="LXN227" s="23"/>
      <c r="LXS227" s="26"/>
      <c r="LXW227" s="23"/>
      <c r="LYB227" s="26"/>
      <c r="LYF227" s="23"/>
      <c r="LYK227" s="26"/>
      <c r="LYO227" s="23"/>
      <c r="LYT227" s="26"/>
      <c r="LYX227" s="23"/>
      <c r="LZC227" s="26"/>
      <c r="LZG227" s="23"/>
      <c r="LZL227" s="26"/>
      <c r="LZP227" s="23"/>
      <c r="LZU227" s="26"/>
      <c r="LZY227" s="23"/>
      <c r="MAD227" s="26"/>
      <c r="MAH227" s="23"/>
      <c r="MAM227" s="26"/>
      <c r="MAQ227" s="23"/>
      <c r="MAV227" s="26"/>
      <c r="MAZ227" s="23"/>
      <c r="MBE227" s="26"/>
      <c r="MBI227" s="23"/>
      <c r="MBN227" s="26"/>
      <c r="MBR227" s="23"/>
      <c r="MBW227" s="26"/>
      <c r="MCA227" s="23"/>
      <c r="MCF227" s="26"/>
      <c r="MCJ227" s="23"/>
      <c r="MCO227" s="26"/>
      <c r="MCS227" s="23"/>
      <c r="MCX227" s="26"/>
      <c r="MDB227" s="23"/>
      <c r="MDG227" s="26"/>
      <c r="MDK227" s="23"/>
      <c r="MDP227" s="26"/>
      <c r="MDT227" s="23"/>
      <c r="MDY227" s="26"/>
      <c r="MEC227" s="23"/>
      <c r="MEH227" s="26"/>
      <c r="MEL227" s="23"/>
      <c r="MEQ227" s="26"/>
      <c r="MEU227" s="23"/>
      <c r="MEZ227" s="26"/>
      <c r="MFD227" s="23"/>
      <c r="MFI227" s="26"/>
      <c r="MFM227" s="23"/>
      <c r="MFR227" s="26"/>
      <c r="MFV227" s="23"/>
      <c r="MGA227" s="26"/>
      <c r="MGE227" s="23"/>
      <c r="MGJ227" s="26"/>
      <c r="MGN227" s="23"/>
      <c r="MGS227" s="26"/>
      <c r="MGW227" s="23"/>
      <c r="MHB227" s="26"/>
      <c r="MHF227" s="23"/>
      <c r="MHK227" s="26"/>
      <c r="MHO227" s="23"/>
      <c r="MHT227" s="26"/>
      <c r="MHX227" s="23"/>
      <c r="MIC227" s="26"/>
      <c r="MIG227" s="23"/>
      <c r="MIL227" s="26"/>
      <c r="MIP227" s="23"/>
      <c r="MIU227" s="26"/>
      <c r="MIY227" s="23"/>
      <c r="MJD227" s="26"/>
      <c r="MJH227" s="23"/>
      <c r="MJM227" s="26"/>
      <c r="MJQ227" s="23"/>
      <c r="MJV227" s="26"/>
      <c r="MJZ227" s="23"/>
      <c r="MKE227" s="26"/>
      <c r="MKI227" s="23"/>
      <c r="MKN227" s="26"/>
      <c r="MKR227" s="23"/>
      <c r="MKW227" s="26"/>
      <c r="MLA227" s="23"/>
      <c r="MLF227" s="26"/>
      <c r="MLJ227" s="23"/>
      <c r="MLO227" s="26"/>
      <c r="MLS227" s="23"/>
      <c r="MLX227" s="26"/>
      <c r="MMB227" s="23"/>
      <c r="MMG227" s="26"/>
      <c r="MMK227" s="23"/>
      <c r="MMP227" s="26"/>
      <c r="MMT227" s="23"/>
      <c r="MMY227" s="26"/>
      <c r="MNC227" s="23"/>
      <c r="MNH227" s="26"/>
      <c r="MNL227" s="23"/>
      <c r="MNQ227" s="26"/>
      <c r="MNU227" s="23"/>
      <c r="MNZ227" s="26"/>
      <c r="MOD227" s="23"/>
      <c r="MOI227" s="26"/>
      <c r="MOM227" s="23"/>
      <c r="MOR227" s="26"/>
      <c r="MOV227" s="23"/>
      <c r="MPA227" s="26"/>
      <c r="MPE227" s="23"/>
      <c r="MPJ227" s="26"/>
      <c r="MPN227" s="23"/>
      <c r="MPS227" s="26"/>
      <c r="MPW227" s="23"/>
      <c r="MQB227" s="26"/>
      <c r="MQF227" s="23"/>
      <c r="MQK227" s="26"/>
      <c r="MQO227" s="23"/>
      <c r="MQT227" s="26"/>
      <c r="MQX227" s="23"/>
      <c r="MRC227" s="26"/>
      <c r="MRG227" s="23"/>
      <c r="MRL227" s="26"/>
      <c r="MRP227" s="23"/>
      <c r="MRU227" s="26"/>
      <c r="MRY227" s="23"/>
      <c r="MSD227" s="26"/>
      <c r="MSH227" s="23"/>
      <c r="MSM227" s="26"/>
      <c r="MSQ227" s="23"/>
      <c r="MSV227" s="26"/>
      <c r="MSZ227" s="23"/>
      <c r="MTE227" s="26"/>
      <c r="MTI227" s="23"/>
      <c r="MTN227" s="26"/>
      <c r="MTR227" s="23"/>
      <c r="MTW227" s="26"/>
      <c r="MUA227" s="23"/>
      <c r="MUF227" s="26"/>
      <c r="MUJ227" s="23"/>
      <c r="MUO227" s="26"/>
      <c r="MUS227" s="23"/>
      <c r="MUX227" s="26"/>
      <c r="MVB227" s="23"/>
      <c r="MVG227" s="26"/>
      <c r="MVK227" s="23"/>
      <c r="MVP227" s="26"/>
      <c r="MVT227" s="23"/>
      <c r="MVY227" s="26"/>
      <c r="MWC227" s="23"/>
      <c r="MWH227" s="26"/>
      <c r="MWL227" s="23"/>
      <c r="MWQ227" s="26"/>
      <c r="MWU227" s="23"/>
      <c r="MWZ227" s="26"/>
      <c r="MXD227" s="23"/>
      <c r="MXI227" s="26"/>
      <c r="MXM227" s="23"/>
      <c r="MXR227" s="26"/>
      <c r="MXV227" s="23"/>
      <c r="MYA227" s="26"/>
      <c r="MYE227" s="23"/>
      <c r="MYJ227" s="26"/>
      <c r="MYN227" s="23"/>
      <c r="MYS227" s="26"/>
      <c r="MYW227" s="23"/>
      <c r="MZB227" s="26"/>
      <c r="MZF227" s="23"/>
      <c r="MZK227" s="26"/>
      <c r="MZO227" s="23"/>
      <c r="MZT227" s="26"/>
      <c r="MZX227" s="23"/>
      <c r="NAC227" s="26"/>
      <c r="NAG227" s="23"/>
      <c r="NAL227" s="26"/>
      <c r="NAP227" s="23"/>
      <c r="NAU227" s="26"/>
      <c r="NAY227" s="23"/>
      <c r="NBD227" s="26"/>
      <c r="NBH227" s="23"/>
      <c r="NBM227" s="26"/>
      <c r="NBQ227" s="23"/>
      <c r="NBV227" s="26"/>
      <c r="NBZ227" s="23"/>
      <c r="NCE227" s="26"/>
      <c r="NCI227" s="23"/>
      <c r="NCN227" s="26"/>
      <c r="NCR227" s="23"/>
      <c r="NCW227" s="26"/>
      <c r="NDA227" s="23"/>
      <c r="NDF227" s="26"/>
      <c r="NDJ227" s="23"/>
      <c r="NDO227" s="26"/>
      <c r="NDS227" s="23"/>
      <c r="NDX227" s="26"/>
      <c r="NEB227" s="23"/>
      <c r="NEG227" s="26"/>
      <c r="NEK227" s="23"/>
      <c r="NEP227" s="26"/>
      <c r="NET227" s="23"/>
      <c r="NEY227" s="26"/>
      <c r="NFC227" s="23"/>
      <c r="NFH227" s="26"/>
      <c r="NFL227" s="23"/>
      <c r="NFQ227" s="26"/>
      <c r="NFU227" s="23"/>
      <c r="NFZ227" s="26"/>
      <c r="NGD227" s="23"/>
      <c r="NGI227" s="26"/>
      <c r="NGM227" s="23"/>
      <c r="NGR227" s="26"/>
      <c r="NGV227" s="23"/>
      <c r="NHA227" s="26"/>
      <c r="NHE227" s="23"/>
      <c r="NHJ227" s="26"/>
      <c r="NHN227" s="23"/>
      <c r="NHS227" s="26"/>
      <c r="NHW227" s="23"/>
      <c r="NIB227" s="26"/>
      <c r="NIF227" s="23"/>
      <c r="NIK227" s="26"/>
      <c r="NIO227" s="23"/>
      <c r="NIT227" s="26"/>
      <c r="NIX227" s="23"/>
      <c r="NJC227" s="26"/>
      <c r="NJG227" s="23"/>
      <c r="NJL227" s="26"/>
      <c r="NJP227" s="23"/>
      <c r="NJU227" s="26"/>
      <c r="NJY227" s="23"/>
      <c r="NKD227" s="26"/>
      <c r="NKH227" s="23"/>
      <c r="NKM227" s="26"/>
      <c r="NKQ227" s="23"/>
      <c r="NKV227" s="26"/>
      <c r="NKZ227" s="23"/>
      <c r="NLE227" s="26"/>
      <c r="NLI227" s="23"/>
      <c r="NLN227" s="26"/>
      <c r="NLR227" s="23"/>
      <c r="NLW227" s="26"/>
      <c r="NMA227" s="23"/>
      <c r="NMF227" s="26"/>
      <c r="NMJ227" s="23"/>
      <c r="NMO227" s="26"/>
      <c r="NMS227" s="23"/>
      <c r="NMX227" s="26"/>
      <c r="NNB227" s="23"/>
      <c r="NNG227" s="26"/>
      <c r="NNK227" s="23"/>
      <c r="NNP227" s="26"/>
      <c r="NNT227" s="23"/>
      <c r="NNY227" s="26"/>
      <c r="NOC227" s="23"/>
      <c r="NOH227" s="26"/>
      <c r="NOL227" s="23"/>
      <c r="NOQ227" s="26"/>
      <c r="NOU227" s="23"/>
      <c r="NOZ227" s="26"/>
      <c r="NPD227" s="23"/>
      <c r="NPI227" s="26"/>
      <c r="NPM227" s="23"/>
      <c r="NPR227" s="26"/>
      <c r="NPV227" s="23"/>
      <c r="NQA227" s="26"/>
      <c r="NQE227" s="23"/>
      <c r="NQJ227" s="26"/>
      <c r="NQN227" s="23"/>
      <c r="NQS227" s="26"/>
      <c r="NQW227" s="23"/>
      <c r="NRB227" s="26"/>
      <c r="NRF227" s="23"/>
      <c r="NRK227" s="26"/>
      <c r="NRO227" s="23"/>
      <c r="NRT227" s="26"/>
      <c r="NRX227" s="23"/>
      <c r="NSC227" s="26"/>
      <c r="NSG227" s="23"/>
      <c r="NSL227" s="26"/>
      <c r="NSP227" s="23"/>
      <c r="NSU227" s="26"/>
      <c r="NSY227" s="23"/>
      <c r="NTD227" s="26"/>
      <c r="NTH227" s="23"/>
      <c r="NTM227" s="26"/>
      <c r="NTQ227" s="23"/>
      <c r="NTV227" s="26"/>
      <c r="NTZ227" s="23"/>
      <c r="NUE227" s="26"/>
      <c r="NUI227" s="23"/>
      <c r="NUN227" s="26"/>
      <c r="NUR227" s="23"/>
      <c r="NUW227" s="26"/>
      <c r="NVA227" s="23"/>
      <c r="NVF227" s="26"/>
      <c r="NVJ227" s="23"/>
      <c r="NVO227" s="26"/>
      <c r="NVS227" s="23"/>
      <c r="NVX227" s="26"/>
      <c r="NWB227" s="23"/>
      <c r="NWG227" s="26"/>
      <c r="NWK227" s="23"/>
      <c r="NWP227" s="26"/>
      <c r="NWT227" s="23"/>
      <c r="NWY227" s="26"/>
      <c r="NXC227" s="23"/>
      <c r="NXH227" s="26"/>
      <c r="NXL227" s="23"/>
      <c r="NXQ227" s="26"/>
      <c r="NXU227" s="23"/>
      <c r="NXZ227" s="26"/>
      <c r="NYD227" s="23"/>
      <c r="NYI227" s="26"/>
      <c r="NYM227" s="23"/>
      <c r="NYR227" s="26"/>
      <c r="NYV227" s="23"/>
      <c r="NZA227" s="26"/>
      <c r="NZE227" s="23"/>
      <c r="NZJ227" s="26"/>
      <c r="NZN227" s="23"/>
      <c r="NZS227" s="26"/>
      <c r="NZW227" s="23"/>
      <c r="OAB227" s="26"/>
      <c r="OAF227" s="23"/>
      <c r="OAK227" s="26"/>
      <c r="OAO227" s="23"/>
      <c r="OAT227" s="26"/>
      <c r="OAX227" s="23"/>
      <c r="OBC227" s="26"/>
      <c r="OBG227" s="23"/>
      <c r="OBL227" s="26"/>
      <c r="OBP227" s="23"/>
      <c r="OBU227" s="26"/>
      <c r="OBY227" s="23"/>
      <c r="OCD227" s="26"/>
      <c r="OCH227" s="23"/>
      <c r="OCM227" s="26"/>
      <c r="OCQ227" s="23"/>
      <c r="OCV227" s="26"/>
      <c r="OCZ227" s="23"/>
      <c r="ODE227" s="26"/>
      <c r="ODI227" s="23"/>
      <c r="ODN227" s="26"/>
      <c r="ODR227" s="23"/>
      <c r="ODW227" s="26"/>
      <c r="OEA227" s="23"/>
      <c r="OEF227" s="26"/>
      <c r="OEJ227" s="23"/>
      <c r="OEO227" s="26"/>
      <c r="OES227" s="23"/>
      <c r="OEX227" s="26"/>
      <c r="OFB227" s="23"/>
      <c r="OFG227" s="26"/>
      <c r="OFK227" s="23"/>
      <c r="OFP227" s="26"/>
      <c r="OFT227" s="23"/>
      <c r="OFY227" s="26"/>
      <c r="OGC227" s="23"/>
      <c r="OGH227" s="26"/>
      <c r="OGL227" s="23"/>
      <c r="OGQ227" s="26"/>
      <c r="OGU227" s="23"/>
      <c r="OGZ227" s="26"/>
      <c r="OHD227" s="23"/>
      <c r="OHI227" s="26"/>
      <c r="OHM227" s="23"/>
      <c r="OHR227" s="26"/>
      <c r="OHV227" s="23"/>
      <c r="OIA227" s="26"/>
      <c r="OIE227" s="23"/>
      <c r="OIJ227" s="26"/>
      <c r="OIN227" s="23"/>
      <c r="OIS227" s="26"/>
      <c r="OIW227" s="23"/>
      <c r="OJB227" s="26"/>
      <c r="OJF227" s="23"/>
      <c r="OJK227" s="26"/>
      <c r="OJO227" s="23"/>
      <c r="OJT227" s="26"/>
      <c r="OJX227" s="23"/>
      <c r="OKC227" s="26"/>
      <c r="OKG227" s="23"/>
      <c r="OKL227" s="26"/>
      <c r="OKP227" s="23"/>
      <c r="OKU227" s="26"/>
      <c r="OKY227" s="23"/>
      <c r="OLD227" s="26"/>
      <c r="OLH227" s="23"/>
      <c r="OLM227" s="26"/>
      <c r="OLQ227" s="23"/>
      <c r="OLV227" s="26"/>
      <c r="OLZ227" s="23"/>
      <c r="OME227" s="26"/>
      <c r="OMI227" s="23"/>
      <c r="OMN227" s="26"/>
      <c r="OMR227" s="23"/>
      <c r="OMW227" s="26"/>
      <c r="ONA227" s="23"/>
      <c r="ONF227" s="26"/>
      <c r="ONJ227" s="23"/>
      <c r="ONO227" s="26"/>
      <c r="ONS227" s="23"/>
      <c r="ONX227" s="26"/>
      <c r="OOB227" s="23"/>
      <c r="OOG227" s="26"/>
      <c r="OOK227" s="23"/>
      <c r="OOP227" s="26"/>
      <c r="OOT227" s="23"/>
      <c r="OOY227" s="26"/>
      <c r="OPC227" s="23"/>
      <c r="OPH227" s="26"/>
      <c r="OPL227" s="23"/>
      <c r="OPQ227" s="26"/>
      <c r="OPU227" s="23"/>
      <c r="OPZ227" s="26"/>
      <c r="OQD227" s="23"/>
      <c r="OQI227" s="26"/>
      <c r="OQM227" s="23"/>
      <c r="OQR227" s="26"/>
      <c r="OQV227" s="23"/>
      <c r="ORA227" s="26"/>
      <c r="ORE227" s="23"/>
      <c r="ORJ227" s="26"/>
      <c r="ORN227" s="23"/>
      <c r="ORS227" s="26"/>
      <c r="ORW227" s="23"/>
      <c r="OSB227" s="26"/>
      <c r="OSF227" s="23"/>
      <c r="OSK227" s="26"/>
      <c r="OSO227" s="23"/>
      <c r="OST227" s="26"/>
      <c r="OSX227" s="23"/>
      <c r="OTC227" s="26"/>
      <c r="OTG227" s="23"/>
      <c r="OTL227" s="26"/>
      <c r="OTP227" s="23"/>
      <c r="OTU227" s="26"/>
      <c r="OTY227" s="23"/>
      <c r="OUD227" s="26"/>
      <c r="OUH227" s="23"/>
      <c r="OUM227" s="26"/>
      <c r="OUQ227" s="23"/>
      <c r="OUV227" s="26"/>
      <c r="OUZ227" s="23"/>
      <c r="OVE227" s="26"/>
      <c r="OVI227" s="23"/>
      <c r="OVN227" s="26"/>
      <c r="OVR227" s="23"/>
      <c r="OVW227" s="26"/>
      <c r="OWA227" s="23"/>
      <c r="OWF227" s="26"/>
      <c r="OWJ227" s="23"/>
      <c r="OWO227" s="26"/>
      <c r="OWS227" s="23"/>
      <c r="OWX227" s="26"/>
      <c r="OXB227" s="23"/>
      <c r="OXG227" s="26"/>
      <c r="OXK227" s="23"/>
      <c r="OXP227" s="26"/>
      <c r="OXT227" s="23"/>
      <c r="OXY227" s="26"/>
      <c r="OYC227" s="23"/>
      <c r="OYH227" s="26"/>
      <c r="OYL227" s="23"/>
      <c r="OYQ227" s="26"/>
      <c r="OYU227" s="23"/>
      <c r="OYZ227" s="26"/>
      <c r="OZD227" s="23"/>
      <c r="OZI227" s="26"/>
      <c r="OZM227" s="23"/>
      <c r="OZR227" s="26"/>
      <c r="OZV227" s="23"/>
      <c r="PAA227" s="26"/>
      <c r="PAE227" s="23"/>
      <c r="PAJ227" s="26"/>
      <c r="PAN227" s="23"/>
      <c r="PAS227" s="26"/>
      <c r="PAW227" s="23"/>
      <c r="PBB227" s="26"/>
      <c r="PBF227" s="23"/>
      <c r="PBK227" s="26"/>
      <c r="PBO227" s="23"/>
      <c r="PBT227" s="26"/>
      <c r="PBX227" s="23"/>
      <c r="PCC227" s="26"/>
      <c r="PCG227" s="23"/>
      <c r="PCL227" s="26"/>
      <c r="PCP227" s="23"/>
      <c r="PCU227" s="26"/>
      <c r="PCY227" s="23"/>
      <c r="PDD227" s="26"/>
      <c r="PDH227" s="23"/>
      <c r="PDM227" s="26"/>
      <c r="PDQ227" s="23"/>
      <c r="PDV227" s="26"/>
      <c r="PDZ227" s="23"/>
      <c r="PEE227" s="26"/>
      <c r="PEI227" s="23"/>
      <c r="PEN227" s="26"/>
      <c r="PER227" s="23"/>
      <c r="PEW227" s="26"/>
      <c r="PFA227" s="23"/>
      <c r="PFF227" s="26"/>
      <c r="PFJ227" s="23"/>
      <c r="PFO227" s="26"/>
      <c r="PFS227" s="23"/>
      <c r="PFX227" s="26"/>
      <c r="PGB227" s="23"/>
      <c r="PGG227" s="26"/>
      <c r="PGK227" s="23"/>
      <c r="PGP227" s="26"/>
      <c r="PGT227" s="23"/>
      <c r="PGY227" s="26"/>
      <c r="PHC227" s="23"/>
      <c r="PHH227" s="26"/>
      <c r="PHL227" s="23"/>
      <c r="PHQ227" s="26"/>
      <c r="PHU227" s="23"/>
      <c r="PHZ227" s="26"/>
      <c r="PID227" s="23"/>
      <c r="PII227" s="26"/>
      <c r="PIM227" s="23"/>
      <c r="PIR227" s="26"/>
      <c r="PIV227" s="23"/>
      <c r="PJA227" s="26"/>
      <c r="PJE227" s="23"/>
      <c r="PJJ227" s="26"/>
      <c r="PJN227" s="23"/>
      <c r="PJS227" s="26"/>
      <c r="PJW227" s="23"/>
      <c r="PKB227" s="26"/>
      <c r="PKF227" s="23"/>
      <c r="PKK227" s="26"/>
      <c r="PKO227" s="23"/>
      <c r="PKT227" s="26"/>
      <c r="PKX227" s="23"/>
      <c r="PLC227" s="26"/>
      <c r="PLG227" s="23"/>
      <c r="PLL227" s="26"/>
      <c r="PLP227" s="23"/>
      <c r="PLU227" s="26"/>
      <c r="PLY227" s="23"/>
      <c r="PMD227" s="26"/>
      <c r="PMH227" s="23"/>
      <c r="PMM227" s="26"/>
      <c r="PMQ227" s="23"/>
      <c r="PMV227" s="26"/>
      <c r="PMZ227" s="23"/>
      <c r="PNE227" s="26"/>
      <c r="PNI227" s="23"/>
      <c r="PNN227" s="26"/>
      <c r="PNR227" s="23"/>
      <c r="PNW227" s="26"/>
      <c r="POA227" s="23"/>
      <c r="POF227" s="26"/>
      <c r="POJ227" s="23"/>
      <c r="POO227" s="26"/>
      <c r="POS227" s="23"/>
      <c r="POX227" s="26"/>
      <c r="PPB227" s="23"/>
      <c r="PPG227" s="26"/>
      <c r="PPK227" s="23"/>
      <c r="PPP227" s="26"/>
      <c r="PPT227" s="23"/>
      <c r="PPY227" s="26"/>
      <c r="PQC227" s="23"/>
      <c r="PQH227" s="26"/>
      <c r="PQL227" s="23"/>
      <c r="PQQ227" s="26"/>
      <c r="PQU227" s="23"/>
      <c r="PQZ227" s="26"/>
      <c r="PRD227" s="23"/>
      <c r="PRI227" s="26"/>
      <c r="PRM227" s="23"/>
      <c r="PRR227" s="26"/>
      <c r="PRV227" s="23"/>
      <c r="PSA227" s="26"/>
      <c r="PSE227" s="23"/>
      <c r="PSJ227" s="26"/>
      <c r="PSN227" s="23"/>
      <c r="PSS227" s="26"/>
      <c r="PSW227" s="23"/>
      <c r="PTB227" s="26"/>
      <c r="PTF227" s="23"/>
      <c r="PTK227" s="26"/>
      <c r="PTO227" s="23"/>
      <c r="PTT227" s="26"/>
      <c r="PTX227" s="23"/>
      <c r="PUC227" s="26"/>
      <c r="PUG227" s="23"/>
      <c r="PUL227" s="26"/>
      <c r="PUP227" s="23"/>
      <c r="PUU227" s="26"/>
      <c r="PUY227" s="23"/>
      <c r="PVD227" s="26"/>
      <c r="PVH227" s="23"/>
      <c r="PVM227" s="26"/>
      <c r="PVQ227" s="23"/>
      <c r="PVV227" s="26"/>
      <c r="PVZ227" s="23"/>
      <c r="PWE227" s="26"/>
      <c r="PWI227" s="23"/>
      <c r="PWN227" s="26"/>
      <c r="PWR227" s="23"/>
      <c r="PWW227" s="26"/>
      <c r="PXA227" s="23"/>
      <c r="PXF227" s="26"/>
      <c r="PXJ227" s="23"/>
      <c r="PXO227" s="26"/>
      <c r="PXS227" s="23"/>
      <c r="PXX227" s="26"/>
      <c r="PYB227" s="23"/>
      <c r="PYG227" s="26"/>
      <c r="PYK227" s="23"/>
      <c r="PYP227" s="26"/>
      <c r="PYT227" s="23"/>
      <c r="PYY227" s="26"/>
      <c r="PZC227" s="23"/>
      <c r="PZH227" s="26"/>
      <c r="PZL227" s="23"/>
      <c r="PZQ227" s="26"/>
      <c r="PZU227" s="23"/>
      <c r="PZZ227" s="26"/>
      <c r="QAD227" s="23"/>
      <c r="QAI227" s="26"/>
      <c r="QAM227" s="23"/>
      <c r="QAR227" s="26"/>
      <c r="QAV227" s="23"/>
      <c r="QBA227" s="26"/>
      <c r="QBE227" s="23"/>
      <c r="QBJ227" s="26"/>
      <c r="QBN227" s="23"/>
      <c r="QBS227" s="26"/>
      <c r="QBW227" s="23"/>
      <c r="QCB227" s="26"/>
      <c r="QCF227" s="23"/>
      <c r="QCK227" s="26"/>
      <c r="QCO227" s="23"/>
      <c r="QCT227" s="26"/>
      <c r="QCX227" s="23"/>
      <c r="QDC227" s="26"/>
      <c r="QDG227" s="23"/>
      <c r="QDL227" s="26"/>
      <c r="QDP227" s="23"/>
      <c r="QDU227" s="26"/>
      <c r="QDY227" s="23"/>
      <c r="QED227" s="26"/>
      <c r="QEH227" s="23"/>
      <c r="QEM227" s="26"/>
      <c r="QEQ227" s="23"/>
      <c r="QEV227" s="26"/>
      <c r="QEZ227" s="23"/>
      <c r="QFE227" s="26"/>
      <c r="QFI227" s="23"/>
      <c r="QFN227" s="26"/>
      <c r="QFR227" s="23"/>
      <c r="QFW227" s="26"/>
      <c r="QGA227" s="23"/>
      <c r="QGF227" s="26"/>
      <c r="QGJ227" s="23"/>
      <c r="QGO227" s="26"/>
      <c r="QGS227" s="23"/>
      <c r="QGX227" s="26"/>
      <c r="QHB227" s="23"/>
      <c r="QHG227" s="26"/>
      <c r="QHK227" s="23"/>
      <c r="QHP227" s="26"/>
      <c r="QHT227" s="23"/>
      <c r="QHY227" s="26"/>
      <c r="QIC227" s="23"/>
      <c r="QIH227" s="26"/>
      <c r="QIL227" s="23"/>
      <c r="QIQ227" s="26"/>
      <c r="QIU227" s="23"/>
      <c r="QIZ227" s="26"/>
      <c r="QJD227" s="23"/>
      <c r="QJI227" s="26"/>
      <c r="QJM227" s="23"/>
      <c r="QJR227" s="26"/>
      <c r="QJV227" s="23"/>
      <c r="QKA227" s="26"/>
      <c r="QKE227" s="23"/>
      <c r="QKJ227" s="26"/>
      <c r="QKN227" s="23"/>
      <c r="QKS227" s="26"/>
      <c r="QKW227" s="23"/>
      <c r="QLB227" s="26"/>
      <c r="QLF227" s="23"/>
      <c r="QLK227" s="26"/>
      <c r="QLO227" s="23"/>
      <c r="QLT227" s="26"/>
      <c r="QLX227" s="23"/>
      <c r="QMC227" s="26"/>
      <c r="QMG227" s="23"/>
      <c r="QML227" s="26"/>
      <c r="QMP227" s="23"/>
      <c r="QMU227" s="26"/>
      <c r="QMY227" s="23"/>
      <c r="QND227" s="26"/>
      <c r="QNH227" s="23"/>
      <c r="QNM227" s="26"/>
      <c r="QNQ227" s="23"/>
      <c r="QNV227" s="26"/>
      <c r="QNZ227" s="23"/>
      <c r="QOE227" s="26"/>
      <c r="QOI227" s="23"/>
      <c r="QON227" s="26"/>
      <c r="QOR227" s="23"/>
      <c r="QOW227" s="26"/>
      <c r="QPA227" s="23"/>
      <c r="QPF227" s="26"/>
      <c r="QPJ227" s="23"/>
      <c r="QPO227" s="26"/>
      <c r="QPS227" s="23"/>
      <c r="QPX227" s="26"/>
      <c r="QQB227" s="23"/>
      <c r="QQG227" s="26"/>
      <c r="QQK227" s="23"/>
      <c r="QQP227" s="26"/>
      <c r="QQT227" s="23"/>
      <c r="QQY227" s="26"/>
      <c r="QRC227" s="23"/>
      <c r="QRH227" s="26"/>
      <c r="QRL227" s="23"/>
      <c r="QRQ227" s="26"/>
      <c r="QRU227" s="23"/>
      <c r="QRZ227" s="26"/>
      <c r="QSD227" s="23"/>
      <c r="QSI227" s="26"/>
      <c r="QSM227" s="23"/>
      <c r="QSR227" s="26"/>
      <c r="QSV227" s="23"/>
      <c r="QTA227" s="26"/>
      <c r="QTE227" s="23"/>
      <c r="QTJ227" s="26"/>
      <c r="QTN227" s="23"/>
      <c r="QTS227" s="26"/>
      <c r="QTW227" s="23"/>
      <c r="QUB227" s="26"/>
      <c r="QUF227" s="23"/>
      <c r="QUK227" s="26"/>
      <c r="QUO227" s="23"/>
      <c r="QUT227" s="26"/>
      <c r="QUX227" s="23"/>
      <c r="QVC227" s="26"/>
      <c r="QVG227" s="23"/>
      <c r="QVL227" s="26"/>
      <c r="QVP227" s="23"/>
      <c r="QVU227" s="26"/>
      <c r="QVY227" s="23"/>
      <c r="QWD227" s="26"/>
      <c r="QWH227" s="23"/>
      <c r="QWM227" s="26"/>
      <c r="QWQ227" s="23"/>
      <c r="QWV227" s="26"/>
      <c r="QWZ227" s="23"/>
      <c r="QXE227" s="26"/>
      <c r="QXI227" s="23"/>
      <c r="QXN227" s="26"/>
      <c r="QXR227" s="23"/>
      <c r="QXW227" s="26"/>
      <c r="QYA227" s="23"/>
      <c r="QYF227" s="26"/>
      <c r="QYJ227" s="23"/>
      <c r="QYO227" s="26"/>
      <c r="QYS227" s="23"/>
      <c r="QYX227" s="26"/>
      <c r="QZB227" s="23"/>
      <c r="QZG227" s="26"/>
      <c r="QZK227" s="23"/>
      <c r="QZP227" s="26"/>
      <c r="QZT227" s="23"/>
      <c r="QZY227" s="26"/>
      <c r="RAC227" s="23"/>
      <c r="RAH227" s="26"/>
      <c r="RAL227" s="23"/>
      <c r="RAQ227" s="26"/>
      <c r="RAU227" s="23"/>
      <c r="RAZ227" s="26"/>
      <c r="RBD227" s="23"/>
      <c r="RBI227" s="26"/>
      <c r="RBM227" s="23"/>
      <c r="RBR227" s="26"/>
      <c r="RBV227" s="23"/>
      <c r="RCA227" s="26"/>
      <c r="RCE227" s="23"/>
      <c r="RCJ227" s="26"/>
      <c r="RCN227" s="23"/>
      <c r="RCS227" s="26"/>
      <c r="RCW227" s="23"/>
      <c r="RDB227" s="26"/>
      <c r="RDF227" s="23"/>
      <c r="RDK227" s="26"/>
      <c r="RDO227" s="23"/>
      <c r="RDT227" s="26"/>
      <c r="RDX227" s="23"/>
      <c r="REC227" s="26"/>
      <c r="REG227" s="23"/>
      <c r="REL227" s="26"/>
      <c r="REP227" s="23"/>
      <c r="REU227" s="26"/>
      <c r="REY227" s="23"/>
      <c r="RFD227" s="26"/>
      <c r="RFH227" s="23"/>
      <c r="RFM227" s="26"/>
      <c r="RFQ227" s="23"/>
      <c r="RFV227" s="26"/>
      <c r="RFZ227" s="23"/>
      <c r="RGE227" s="26"/>
      <c r="RGI227" s="23"/>
      <c r="RGN227" s="26"/>
      <c r="RGR227" s="23"/>
      <c r="RGW227" s="26"/>
      <c r="RHA227" s="23"/>
      <c r="RHF227" s="26"/>
      <c r="RHJ227" s="23"/>
      <c r="RHO227" s="26"/>
      <c r="RHS227" s="23"/>
      <c r="RHX227" s="26"/>
      <c r="RIB227" s="23"/>
      <c r="RIG227" s="26"/>
      <c r="RIK227" s="23"/>
      <c r="RIP227" s="26"/>
      <c r="RIT227" s="23"/>
      <c r="RIY227" s="26"/>
      <c r="RJC227" s="23"/>
      <c r="RJH227" s="26"/>
      <c r="RJL227" s="23"/>
      <c r="RJQ227" s="26"/>
      <c r="RJU227" s="23"/>
      <c r="RJZ227" s="26"/>
      <c r="RKD227" s="23"/>
      <c r="RKI227" s="26"/>
      <c r="RKM227" s="23"/>
      <c r="RKR227" s="26"/>
      <c r="RKV227" s="23"/>
      <c r="RLA227" s="26"/>
      <c r="RLE227" s="23"/>
      <c r="RLJ227" s="26"/>
      <c r="RLN227" s="23"/>
      <c r="RLS227" s="26"/>
      <c r="RLW227" s="23"/>
      <c r="RMB227" s="26"/>
      <c r="RMF227" s="23"/>
      <c r="RMK227" s="26"/>
      <c r="RMO227" s="23"/>
      <c r="RMT227" s="26"/>
      <c r="RMX227" s="23"/>
      <c r="RNC227" s="26"/>
      <c r="RNG227" s="23"/>
      <c r="RNL227" s="26"/>
      <c r="RNP227" s="23"/>
      <c r="RNU227" s="26"/>
      <c r="RNY227" s="23"/>
      <c r="ROD227" s="26"/>
      <c r="ROH227" s="23"/>
      <c r="ROM227" s="26"/>
      <c r="ROQ227" s="23"/>
      <c r="ROV227" s="26"/>
      <c r="ROZ227" s="23"/>
      <c r="RPE227" s="26"/>
      <c r="RPI227" s="23"/>
      <c r="RPN227" s="26"/>
      <c r="RPR227" s="23"/>
      <c r="RPW227" s="26"/>
      <c r="RQA227" s="23"/>
      <c r="RQF227" s="26"/>
      <c r="RQJ227" s="23"/>
      <c r="RQO227" s="26"/>
      <c r="RQS227" s="23"/>
      <c r="RQX227" s="26"/>
      <c r="RRB227" s="23"/>
      <c r="RRG227" s="26"/>
      <c r="RRK227" s="23"/>
      <c r="RRP227" s="26"/>
      <c r="RRT227" s="23"/>
      <c r="RRY227" s="26"/>
      <c r="RSC227" s="23"/>
      <c r="RSH227" s="26"/>
      <c r="RSL227" s="23"/>
      <c r="RSQ227" s="26"/>
      <c r="RSU227" s="23"/>
      <c r="RSZ227" s="26"/>
      <c r="RTD227" s="23"/>
      <c r="RTI227" s="26"/>
      <c r="RTM227" s="23"/>
      <c r="RTR227" s="26"/>
      <c r="RTV227" s="23"/>
      <c r="RUA227" s="26"/>
      <c r="RUE227" s="23"/>
      <c r="RUJ227" s="26"/>
      <c r="RUN227" s="23"/>
      <c r="RUS227" s="26"/>
      <c r="RUW227" s="23"/>
      <c r="RVB227" s="26"/>
      <c r="RVF227" s="23"/>
      <c r="RVK227" s="26"/>
      <c r="RVO227" s="23"/>
      <c r="RVT227" s="26"/>
      <c r="RVX227" s="23"/>
      <c r="RWC227" s="26"/>
      <c r="RWG227" s="23"/>
      <c r="RWL227" s="26"/>
      <c r="RWP227" s="23"/>
      <c r="RWU227" s="26"/>
      <c r="RWY227" s="23"/>
      <c r="RXD227" s="26"/>
      <c r="RXH227" s="23"/>
      <c r="RXM227" s="26"/>
      <c r="RXQ227" s="23"/>
      <c r="RXV227" s="26"/>
      <c r="RXZ227" s="23"/>
      <c r="RYE227" s="26"/>
      <c r="RYI227" s="23"/>
      <c r="RYN227" s="26"/>
      <c r="RYR227" s="23"/>
      <c r="RYW227" s="26"/>
      <c r="RZA227" s="23"/>
      <c r="RZF227" s="26"/>
      <c r="RZJ227" s="23"/>
      <c r="RZO227" s="26"/>
      <c r="RZS227" s="23"/>
      <c r="RZX227" s="26"/>
      <c r="SAB227" s="23"/>
      <c r="SAG227" s="26"/>
      <c r="SAK227" s="23"/>
      <c r="SAP227" s="26"/>
      <c r="SAT227" s="23"/>
      <c r="SAY227" s="26"/>
      <c r="SBC227" s="23"/>
      <c r="SBH227" s="26"/>
      <c r="SBL227" s="23"/>
      <c r="SBQ227" s="26"/>
      <c r="SBU227" s="23"/>
      <c r="SBZ227" s="26"/>
      <c r="SCD227" s="23"/>
      <c r="SCI227" s="26"/>
      <c r="SCM227" s="23"/>
      <c r="SCR227" s="26"/>
      <c r="SCV227" s="23"/>
      <c r="SDA227" s="26"/>
      <c r="SDE227" s="23"/>
      <c r="SDJ227" s="26"/>
      <c r="SDN227" s="23"/>
      <c r="SDS227" s="26"/>
      <c r="SDW227" s="23"/>
      <c r="SEB227" s="26"/>
      <c r="SEF227" s="23"/>
      <c r="SEK227" s="26"/>
      <c r="SEO227" s="23"/>
      <c r="SET227" s="26"/>
      <c r="SEX227" s="23"/>
      <c r="SFC227" s="26"/>
      <c r="SFG227" s="23"/>
      <c r="SFL227" s="26"/>
      <c r="SFP227" s="23"/>
      <c r="SFU227" s="26"/>
      <c r="SFY227" s="23"/>
      <c r="SGD227" s="26"/>
      <c r="SGH227" s="23"/>
      <c r="SGM227" s="26"/>
      <c r="SGQ227" s="23"/>
      <c r="SGV227" s="26"/>
      <c r="SGZ227" s="23"/>
      <c r="SHE227" s="26"/>
      <c r="SHI227" s="23"/>
      <c r="SHN227" s="26"/>
      <c r="SHR227" s="23"/>
      <c r="SHW227" s="26"/>
      <c r="SIA227" s="23"/>
      <c r="SIF227" s="26"/>
      <c r="SIJ227" s="23"/>
      <c r="SIO227" s="26"/>
      <c r="SIS227" s="23"/>
      <c r="SIX227" s="26"/>
      <c r="SJB227" s="23"/>
      <c r="SJG227" s="26"/>
      <c r="SJK227" s="23"/>
      <c r="SJP227" s="26"/>
      <c r="SJT227" s="23"/>
      <c r="SJY227" s="26"/>
      <c r="SKC227" s="23"/>
      <c r="SKH227" s="26"/>
      <c r="SKL227" s="23"/>
      <c r="SKQ227" s="26"/>
      <c r="SKU227" s="23"/>
      <c r="SKZ227" s="26"/>
      <c r="SLD227" s="23"/>
      <c r="SLI227" s="26"/>
      <c r="SLM227" s="23"/>
      <c r="SLR227" s="26"/>
      <c r="SLV227" s="23"/>
      <c r="SMA227" s="26"/>
      <c r="SME227" s="23"/>
      <c r="SMJ227" s="26"/>
      <c r="SMN227" s="23"/>
      <c r="SMS227" s="26"/>
      <c r="SMW227" s="23"/>
      <c r="SNB227" s="26"/>
      <c r="SNF227" s="23"/>
      <c r="SNK227" s="26"/>
      <c r="SNO227" s="23"/>
      <c r="SNT227" s="26"/>
      <c r="SNX227" s="23"/>
      <c r="SOC227" s="26"/>
      <c r="SOG227" s="23"/>
      <c r="SOL227" s="26"/>
      <c r="SOP227" s="23"/>
      <c r="SOU227" s="26"/>
      <c r="SOY227" s="23"/>
      <c r="SPD227" s="26"/>
      <c r="SPH227" s="23"/>
      <c r="SPM227" s="26"/>
      <c r="SPQ227" s="23"/>
      <c r="SPV227" s="26"/>
      <c r="SPZ227" s="23"/>
      <c r="SQE227" s="26"/>
      <c r="SQI227" s="23"/>
      <c r="SQN227" s="26"/>
      <c r="SQR227" s="23"/>
      <c r="SQW227" s="26"/>
      <c r="SRA227" s="23"/>
      <c r="SRF227" s="26"/>
      <c r="SRJ227" s="23"/>
      <c r="SRO227" s="26"/>
      <c r="SRS227" s="23"/>
      <c r="SRX227" s="26"/>
      <c r="SSB227" s="23"/>
      <c r="SSG227" s="26"/>
      <c r="SSK227" s="23"/>
      <c r="SSP227" s="26"/>
      <c r="SST227" s="23"/>
      <c r="SSY227" s="26"/>
      <c r="STC227" s="23"/>
      <c r="STH227" s="26"/>
      <c r="STL227" s="23"/>
      <c r="STQ227" s="26"/>
      <c r="STU227" s="23"/>
      <c r="STZ227" s="26"/>
      <c r="SUD227" s="23"/>
      <c r="SUI227" s="26"/>
      <c r="SUM227" s="23"/>
      <c r="SUR227" s="26"/>
      <c r="SUV227" s="23"/>
      <c r="SVA227" s="26"/>
      <c r="SVE227" s="23"/>
      <c r="SVJ227" s="26"/>
      <c r="SVN227" s="23"/>
      <c r="SVS227" s="26"/>
      <c r="SVW227" s="23"/>
      <c r="SWB227" s="26"/>
      <c r="SWF227" s="23"/>
      <c r="SWK227" s="26"/>
      <c r="SWO227" s="23"/>
      <c r="SWT227" s="26"/>
      <c r="SWX227" s="23"/>
      <c r="SXC227" s="26"/>
      <c r="SXG227" s="23"/>
      <c r="SXL227" s="26"/>
      <c r="SXP227" s="23"/>
      <c r="SXU227" s="26"/>
      <c r="SXY227" s="23"/>
      <c r="SYD227" s="26"/>
      <c r="SYH227" s="23"/>
      <c r="SYM227" s="26"/>
      <c r="SYQ227" s="23"/>
      <c r="SYV227" s="26"/>
      <c r="SYZ227" s="23"/>
      <c r="SZE227" s="26"/>
      <c r="SZI227" s="23"/>
      <c r="SZN227" s="26"/>
      <c r="SZR227" s="23"/>
      <c r="SZW227" s="26"/>
      <c r="TAA227" s="23"/>
      <c r="TAF227" s="26"/>
      <c r="TAJ227" s="23"/>
      <c r="TAO227" s="26"/>
      <c r="TAS227" s="23"/>
      <c r="TAX227" s="26"/>
      <c r="TBB227" s="23"/>
      <c r="TBG227" s="26"/>
      <c r="TBK227" s="23"/>
      <c r="TBP227" s="26"/>
      <c r="TBT227" s="23"/>
      <c r="TBY227" s="26"/>
      <c r="TCC227" s="23"/>
      <c r="TCH227" s="26"/>
      <c r="TCL227" s="23"/>
      <c r="TCQ227" s="26"/>
      <c r="TCU227" s="23"/>
      <c r="TCZ227" s="26"/>
      <c r="TDD227" s="23"/>
      <c r="TDI227" s="26"/>
      <c r="TDM227" s="23"/>
      <c r="TDR227" s="26"/>
      <c r="TDV227" s="23"/>
      <c r="TEA227" s="26"/>
      <c r="TEE227" s="23"/>
      <c r="TEJ227" s="26"/>
      <c r="TEN227" s="23"/>
      <c r="TES227" s="26"/>
      <c r="TEW227" s="23"/>
      <c r="TFB227" s="26"/>
      <c r="TFF227" s="23"/>
      <c r="TFK227" s="26"/>
      <c r="TFO227" s="23"/>
      <c r="TFT227" s="26"/>
      <c r="TFX227" s="23"/>
      <c r="TGC227" s="26"/>
      <c r="TGG227" s="23"/>
      <c r="TGL227" s="26"/>
      <c r="TGP227" s="23"/>
      <c r="TGU227" s="26"/>
      <c r="TGY227" s="23"/>
      <c r="THD227" s="26"/>
      <c r="THH227" s="23"/>
      <c r="THM227" s="26"/>
      <c r="THQ227" s="23"/>
      <c r="THV227" s="26"/>
      <c r="THZ227" s="23"/>
      <c r="TIE227" s="26"/>
      <c r="TII227" s="23"/>
      <c r="TIN227" s="26"/>
      <c r="TIR227" s="23"/>
      <c r="TIW227" s="26"/>
      <c r="TJA227" s="23"/>
      <c r="TJF227" s="26"/>
      <c r="TJJ227" s="23"/>
      <c r="TJO227" s="26"/>
      <c r="TJS227" s="23"/>
      <c r="TJX227" s="26"/>
      <c r="TKB227" s="23"/>
      <c r="TKG227" s="26"/>
      <c r="TKK227" s="23"/>
      <c r="TKP227" s="26"/>
      <c r="TKT227" s="23"/>
      <c r="TKY227" s="26"/>
      <c r="TLC227" s="23"/>
      <c r="TLH227" s="26"/>
      <c r="TLL227" s="23"/>
      <c r="TLQ227" s="26"/>
      <c r="TLU227" s="23"/>
      <c r="TLZ227" s="26"/>
      <c r="TMD227" s="23"/>
      <c r="TMI227" s="26"/>
      <c r="TMM227" s="23"/>
      <c r="TMR227" s="26"/>
      <c r="TMV227" s="23"/>
      <c r="TNA227" s="26"/>
      <c r="TNE227" s="23"/>
      <c r="TNJ227" s="26"/>
      <c r="TNN227" s="23"/>
      <c r="TNS227" s="26"/>
      <c r="TNW227" s="23"/>
      <c r="TOB227" s="26"/>
      <c r="TOF227" s="23"/>
      <c r="TOK227" s="26"/>
      <c r="TOO227" s="23"/>
      <c r="TOT227" s="26"/>
      <c r="TOX227" s="23"/>
      <c r="TPC227" s="26"/>
      <c r="TPG227" s="23"/>
      <c r="TPL227" s="26"/>
      <c r="TPP227" s="23"/>
      <c r="TPU227" s="26"/>
      <c r="TPY227" s="23"/>
      <c r="TQD227" s="26"/>
      <c r="TQH227" s="23"/>
      <c r="TQM227" s="26"/>
      <c r="TQQ227" s="23"/>
      <c r="TQV227" s="26"/>
      <c r="TQZ227" s="23"/>
      <c r="TRE227" s="26"/>
      <c r="TRI227" s="23"/>
      <c r="TRN227" s="26"/>
      <c r="TRR227" s="23"/>
      <c r="TRW227" s="26"/>
      <c r="TSA227" s="23"/>
      <c r="TSF227" s="26"/>
      <c r="TSJ227" s="23"/>
      <c r="TSO227" s="26"/>
      <c r="TSS227" s="23"/>
      <c r="TSX227" s="26"/>
      <c r="TTB227" s="23"/>
      <c r="TTG227" s="26"/>
      <c r="TTK227" s="23"/>
      <c r="TTP227" s="26"/>
      <c r="TTT227" s="23"/>
      <c r="TTY227" s="26"/>
      <c r="TUC227" s="23"/>
      <c r="TUH227" s="26"/>
      <c r="TUL227" s="23"/>
      <c r="TUQ227" s="26"/>
      <c r="TUU227" s="23"/>
      <c r="TUZ227" s="26"/>
      <c r="TVD227" s="23"/>
      <c r="TVI227" s="26"/>
      <c r="TVM227" s="23"/>
      <c r="TVR227" s="26"/>
      <c r="TVV227" s="23"/>
      <c r="TWA227" s="26"/>
      <c r="TWE227" s="23"/>
      <c r="TWJ227" s="26"/>
      <c r="TWN227" s="23"/>
      <c r="TWS227" s="26"/>
      <c r="TWW227" s="23"/>
      <c r="TXB227" s="26"/>
      <c r="TXF227" s="23"/>
      <c r="TXK227" s="26"/>
      <c r="TXO227" s="23"/>
      <c r="TXT227" s="26"/>
      <c r="TXX227" s="23"/>
      <c r="TYC227" s="26"/>
      <c r="TYG227" s="23"/>
      <c r="TYL227" s="26"/>
      <c r="TYP227" s="23"/>
      <c r="TYU227" s="26"/>
      <c r="TYY227" s="23"/>
      <c r="TZD227" s="26"/>
      <c r="TZH227" s="23"/>
      <c r="TZM227" s="26"/>
      <c r="TZQ227" s="23"/>
      <c r="TZV227" s="26"/>
      <c r="TZZ227" s="23"/>
      <c r="UAE227" s="26"/>
      <c r="UAI227" s="23"/>
      <c r="UAN227" s="26"/>
      <c r="UAR227" s="23"/>
      <c r="UAW227" s="26"/>
      <c r="UBA227" s="23"/>
      <c r="UBF227" s="26"/>
      <c r="UBJ227" s="23"/>
      <c r="UBO227" s="26"/>
      <c r="UBS227" s="23"/>
      <c r="UBX227" s="26"/>
      <c r="UCB227" s="23"/>
      <c r="UCG227" s="26"/>
      <c r="UCK227" s="23"/>
      <c r="UCP227" s="26"/>
      <c r="UCT227" s="23"/>
      <c r="UCY227" s="26"/>
      <c r="UDC227" s="23"/>
      <c r="UDH227" s="26"/>
      <c r="UDL227" s="23"/>
      <c r="UDQ227" s="26"/>
      <c r="UDU227" s="23"/>
      <c r="UDZ227" s="26"/>
      <c r="UED227" s="23"/>
      <c r="UEI227" s="26"/>
      <c r="UEM227" s="23"/>
      <c r="UER227" s="26"/>
      <c r="UEV227" s="23"/>
      <c r="UFA227" s="26"/>
      <c r="UFE227" s="23"/>
      <c r="UFJ227" s="26"/>
      <c r="UFN227" s="23"/>
      <c r="UFS227" s="26"/>
      <c r="UFW227" s="23"/>
      <c r="UGB227" s="26"/>
      <c r="UGF227" s="23"/>
      <c r="UGK227" s="26"/>
      <c r="UGO227" s="23"/>
      <c r="UGT227" s="26"/>
      <c r="UGX227" s="23"/>
      <c r="UHC227" s="26"/>
      <c r="UHG227" s="23"/>
      <c r="UHL227" s="26"/>
      <c r="UHP227" s="23"/>
      <c r="UHU227" s="26"/>
      <c r="UHY227" s="23"/>
      <c r="UID227" s="26"/>
      <c r="UIH227" s="23"/>
      <c r="UIM227" s="26"/>
      <c r="UIQ227" s="23"/>
      <c r="UIV227" s="26"/>
      <c r="UIZ227" s="23"/>
      <c r="UJE227" s="26"/>
      <c r="UJI227" s="23"/>
      <c r="UJN227" s="26"/>
      <c r="UJR227" s="23"/>
      <c r="UJW227" s="26"/>
      <c r="UKA227" s="23"/>
      <c r="UKF227" s="26"/>
      <c r="UKJ227" s="23"/>
      <c r="UKO227" s="26"/>
      <c r="UKS227" s="23"/>
      <c r="UKX227" s="26"/>
      <c r="ULB227" s="23"/>
      <c r="ULG227" s="26"/>
      <c r="ULK227" s="23"/>
      <c r="ULP227" s="26"/>
      <c r="ULT227" s="23"/>
      <c r="ULY227" s="26"/>
      <c r="UMC227" s="23"/>
      <c r="UMH227" s="26"/>
      <c r="UML227" s="23"/>
      <c r="UMQ227" s="26"/>
      <c r="UMU227" s="23"/>
      <c r="UMZ227" s="26"/>
      <c r="UND227" s="23"/>
      <c r="UNI227" s="26"/>
      <c r="UNM227" s="23"/>
      <c r="UNR227" s="26"/>
      <c r="UNV227" s="23"/>
      <c r="UOA227" s="26"/>
      <c r="UOE227" s="23"/>
      <c r="UOJ227" s="26"/>
      <c r="UON227" s="23"/>
      <c r="UOS227" s="26"/>
      <c r="UOW227" s="23"/>
      <c r="UPB227" s="26"/>
      <c r="UPF227" s="23"/>
      <c r="UPK227" s="26"/>
      <c r="UPO227" s="23"/>
      <c r="UPT227" s="26"/>
      <c r="UPX227" s="23"/>
      <c r="UQC227" s="26"/>
      <c r="UQG227" s="23"/>
      <c r="UQL227" s="26"/>
      <c r="UQP227" s="23"/>
      <c r="UQU227" s="26"/>
      <c r="UQY227" s="23"/>
      <c r="URD227" s="26"/>
      <c r="URH227" s="23"/>
      <c r="URM227" s="26"/>
      <c r="URQ227" s="23"/>
      <c r="URV227" s="26"/>
      <c r="URZ227" s="23"/>
      <c r="USE227" s="26"/>
      <c r="USI227" s="23"/>
      <c r="USN227" s="26"/>
      <c r="USR227" s="23"/>
      <c r="USW227" s="26"/>
      <c r="UTA227" s="23"/>
      <c r="UTF227" s="26"/>
      <c r="UTJ227" s="23"/>
      <c r="UTO227" s="26"/>
      <c r="UTS227" s="23"/>
      <c r="UTX227" s="26"/>
      <c r="UUB227" s="23"/>
      <c r="UUG227" s="26"/>
      <c r="UUK227" s="23"/>
      <c r="UUP227" s="26"/>
      <c r="UUT227" s="23"/>
      <c r="UUY227" s="26"/>
      <c r="UVC227" s="23"/>
      <c r="UVH227" s="26"/>
      <c r="UVL227" s="23"/>
      <c r="UVQ227" s="26"/>
      <c r="UVU227" s="23"/>
      <c r="UVZ227" s="26"/>
      <c r="UWD227" s="23"/>
      <c r="UWI227" s="26"/>
      <c r="UWM227" s="23"/>
      <c r="UWR227" s="26"/>
      <c r="UWV227" s="23"/>
      <c r="UXA227" s="26"/>
      <c r="UXE227" s="23"/>
      <c r="UXJ227" s="26"/>
      <c r="UXN227" s="23"/>
      <c r="UXS227" s="26"/>
      <c r="UXW227" s="23"/>
      <c r="UYB227" s="26"/>
      <c r="UYF227" s="23"/>
      <c r="UYK227" s="26"/>
      <c r="UYO227" s="23"/>
      <c r="UYT227" s="26"/>
      <c r="UYX227" s="23"/>
      <c r="UZC227" s="26"/>
      <c r="UZG227" s="23"/>
      <c r="UZL227" s="26"/>
      <c r="UZP227" s="23"/>
      <c r="UZU227" s="26"/>
      <c r="UZY227" s="23"/>
      <c r="VAD227" s="26"/>
      <c r="VAH227" s="23"/>
      <c r="VAM227" s="26"/>
      <c r="VAQ227" s="23"/>
      <c r="VAV227" s="26"/>
      <c r="VAZ227" s="23"/>
      <c r="VBE227" s="26"/>
      <c r="VBI227" s="23"/>
      <c r="VBN227" s="26"/>
      <c r="VBR227" s="23"/>
      <c r="VBW227" s="26"/>
      <c r="VCA227" s="23"/>
      <c r="VCF227" s="26"/>
      <c r="VCJ227" s="23"/>
      <c r="VCO227" s="26"/>
      <c r="VCS227" s="23"/>
      <c r="VCX227" s="26"/>
      <c r="VDB227" s="23"/>
      <c r="VDG227" s="26"/>
      <c r="VDK227" s="23"/>
      <c r="VDP227" s="26"/>
      <c r="VDT227" s="23"/>
      <c r="VDY227" s="26"/>
      <c r="VEC227" s="23"/>
      <c r="VEH227" s="26"/>
      <c r="VEL227" s="23"/>
      <c r="VEQ227" s="26"/>
      <c r="VEU227" s="23"/>
      <c r="VEZ227" s="26"/>
      <c r="VFD227" s="23"/>
      <c r="VFI227" s="26"/>
      <c r="VFM227" s="23"/>
      <c r="VFR227" s="26"/>
      <c r="VFV227" s="23"/>
      <c r="VGA227" s="26"/>
      <c r="VGE227" s="23"/>
      <c r="VGJ227" s="26"/>
      <c r="VGN227" s="23"/>
      <c r="VGS227" s="26"/>
      <c r="VGW227" s="23"/>
      <c r="VHB227" s="26"/>
      <c r="VHF227" s="23"/>
      <c r="VHK227" s="26"/>
      <c r="VHO227" s="23"/>
      <c r="VHT227" s="26"/>
      <c r="VHX227" s="23"/>
      <c r="VIC227" s="26"/>
      <c r="VIG227" s="23"/>
      <c r="VIL227" s="26"/>
      <c r="VIP227" s="23"/>
      <c r="VIU227" s="26"/>
      <c r="VIY227" s="23"/>
      <c r="VJD227" s="26"/>
      <c r="VJH227" s="23"/>
      <c r="VJM227" s="26"/>
      <c r="VJQ227" s="23"/>
      <c r="VJV227" s="26"/>
      <c r="VJZ227" s="23"/>
      <c r="VKE227" s="26"/>
      <c r="VKI227" s="23"/>
      <c r="VKN227" s="26"/>
      <c r="VKR227" s="23"/>
      <c r="VKW227" s="26"/>
      <c r="VLA227" s="23"/>
      <c r="VLF227" s="26"/>
      <c r="VLJ227" s="23"/>
      <c r="VLO227" s="26"/>
      <c r="VLS227" s="23"/>
      <c r="VLX227" s="26"/>
      <c r="VMB227" s="23"/>
      <c r="VMG227" s="26"/>
      <c r="VMK227" s="23"/>
      <c r="VMP227" s="26"/>
      <c r="VMT227" s="23"/>
      <c r="VMY227" s="26"/>
      <c r="VNC227" s="23"/>
      <c r="VNH227" s="26"/>
      <c r="VNL227" s="23"/>
      <c r="VNQ227" s="26"/>
      <c r="VNU227" s="23"/>
      <c r="VNZ227" s="26"/>
      <c r="VOD227" s="23"/>
      <c r="VOI227" s="26"/>
      <c r="VOM227" s="23"/>
      <c r="VOR227" s="26"/>
      <c r="VOV227" s="23"/>
      <c r="VPA227" s="26"/>
      <c r="VPE227" s="23"/>
      <c r="VPJ227" s="26"/>
      <c r="VPN227" s="23"/>
      <c r="VPS227" s="26"/>
      <c r="VPW227" s="23"/>
      <c r="VQB227" s="26"/>
      <c r="VQF227" s="23"/>
      <c r="VQK227" s="26"/>
      <c r="VQO227" s="23"/>
      <c r="VQT227" s="26"/>
      <c r="VQX227" s="23"/>
      <c r="VRC227" s="26"/>
      <c r="VRG227" s="23"/>
      <c r="VRL227" s="26"/>
      <c r="VRP227" s="23"/>
      <c r="VRU227" s="26"/>
      <c r="VRY227" s="23"/>
      <c r="VSD227" s="26"/>
      <c r="VSH227" s="23"/>
      <c r="VSM227" s="26"/>
      <c r="VSQ227" s="23"/>
      <c r="VSV227" s="26"/>
      <c r="VSZ227" s="23"/>
      <c r="VTE227" s="26"/>
      <c r="VTI227" s="23"/>
      <c r="VTN227" s="26"/>
      <c r="VTR227" s="23"/>
      <c r="VTW227" s="26"/>
      <c r="VUA227" s="23"/>
      <c r="VUF227" s="26"/>
      <c r="VUJ227" s="23"/>
      <c r="VUO227" s="26"/>
      <c r="VUS227" s="23"/>
      <c r="VUX227" s="26"/>
      <c r="VVB227" s="23"/>
      <c r="VVG227" s="26"/>
      <c r="VVK227" s="23"/>
      <c r="VVP227" s="26"/>
      <c r="VVT227" s="23"/>
      <c r="VVY227" s="26"/>
      <c r="VWC227" s="23"/>
      <c r="VWH227" s="26"/>
      <c r="VWL227" s="23"/>
      <c r="VWQ227" s="26"/>
      <c r="VWU227" s="23"/>
      <c r="VWZ227" s="26"/>
      <c r="VXD227" s="23"/>
      <c r="VXI227" s="26"/>
      <c r="VXM227" s="23"/>
      <c r="VXR227" s="26"/>
      <c r="VXV227" s="23"/>
      <c r="VYA227" s="26"/>
      <c r="VYE227" s="23"/>
      <c r="VYJ227" s="26"/>
      <c r="VYN227" s="23"/>
      <c r="VYS227" s="26"/>
      <c r="VYW227" s="23"/>
      <c r="VZB227" s="26"/>
      <c r="VZF227" s="23"/>
      <c r="VZK227" s="26"/>
      <c r="VZO227" s="23"/>
      <c r="VZT227" s="26"/>
      <c r="VZX227" s="23"/>
      <c r="WAC227" s="26"/>
      <c r="WAG227" s="23"/>
      <c r="WAL227" s="26"/>
      <c r="WAP227" s="23"/>
      <c r="WAU227" s="26"/>
      <c r="WAY227" s="23"/>
      <c r="WBD227" s="26"/>
      <c r="WBH227" s="23"/>
      <c r="WBM227" s="26"/>
      <c r="WBQ227" s="23"/>
      <c r="WBV227" s="26"/>
      <c r="WBZ227" s="23"/>
      <c r="WCE227" s="26"/>
      <c r="WCI227" s="23"/>
      <c r="WCN227" s="26"/>
      <c r="WCR227" s="23"/>
      <c r="WCW227" s="26"/>
      <c r="WDA227" s="23"/>
      <c r="WDF227" s="26"/>
      <c r="WDJ227" s="23"/>
      <c r="WDO227" s="26"/>
      <c r="WDS227" s="23"/>
      <c r="WDX227" s="26"/>
      <c r="WEB227" s="23"/>
      <c r="WEG227" s="26"/>
      <c r="WEK227" s="23"/>
      <c r="WEP227" s="26"/>
      <c r="WET227" s="23"/>
      <c r="WEY227" s="26"/>
      <c r="WFC227" s="23"/>
      <c r="WFH227" s="26"/>
      <c r="WFL227" s="23"/>
      <c r="WFQ227" s="26"/>
      <c r="WFU227" s="23"/>
      <c r="WFZ227" s="26"/>
      <c r="WGD227" s="23"/>
      <c r="WGI227" s="26"/>
      <c r="WGM227" s="23"/>
      <c r="WGR227" s="26"/>
      <c r="WGV227" s="23"/>
      <c r="WHA227" s="26"/>
      <c r="WHE227" s="23"/>
      <c r="WHJ227" s="26"/>
      <c r="WHN227" s="23"/>
      <c r="WHS227" s="26"/>
      <c r="WHW227" s="23"/>
      <c r="WIB227" s="26"/>
      <c r="WIF227" s="23"/>
      <c r="WIK227" s="26"/>
      <c r="WIO227" s="23"/>
      <c r="WIT227" s="26"/>
      <c r="WIX227" s="23"/>
      <c r="WJC227" s="26"/>
      <c r="WJG227" s="23"/>
      <c r="WJL227" s="26"/>
      <c r="WJP227" s="23"/>
      <c r="WJU227" s="26"/>
      <c r="WJY227" s="23"/>
      <c r="WKD227" s="26"/>
      <c r="WKH227" s="23"/>
      <c r="WKM227" s="26"/>
      <c r="WKQ227" s="23"/>
      <c r="WKV227" s="26"/>
      <c r="WKZ227" s="23"/>
      <c r="WLE227" s="26"/>
      <c r="WLI227" s="23"/>
      <c r="WLN227" s="26"/>
      <c r="WLR227" s="23"/>
      <c r="WLW227" s="26"/>
      <c r="WMA227" s="23"/>
      <c r="WMF227" s="26"/>
      <c r="WMJ227" s="23"/>
      <c r="WMO227" s="26"/>
      <c r="WMS227" s="23"/>
      <c r="WMX227" s="26"/>
      <c r="WNB227" s="23"/>
      <c r="WNG227" s="26"/>
      <c r="WNK227" s="23"/>
      <c r="WNP227" s="26"/>
      <c r="WNT227" s="23"/>
      <c r="WNY227" s="26"/>
      <c r="WOC227" s="23"/>
      <c r="WOH227" s="26"/>
      <c r="WOL227" s="23"/>
      <c r="WOQ227" s="26"/>
      <c r="WOU227" s="23"/>
      <c r="WOZ227" s="26"/>
      <c r="WPD227" s="23"/>
      <c r="WPI227" s="26"/>
      <c r="WPM227" s="23"/>
      <c r="WPR227" s="26"/>
      <c r="WPV227" s="23"/>
      <c r="WQA227" s="26"/>
      <c r="WQE227" s="23"/>
      <c r="WQJ227" s="26"/>
      <c r="WQN227" s="23"/>
      <c r="WQS227" s="26"/>
      <c r="WQW227" s="23"/>
      <c r="WRB227" s="26"/>
      <c r="WRF227" s="23"/>
      <c r="WRK227" s="26"/>
      <c r="WRO227" s="23"/>
      <c r="WRT227" s="26"/>
      <c r="WRX227" s="23"/>
      <c r="WSC227" s="26"/>
      <c r="WSG227" s="23"/>
      <c r="WSL227" s="26"/>
      <c r="WSP227" s="23"/>
      <c r="WSU227" s="26"/>
      <c r="WSY227" s="23"/>
      <c r="WTD227" s="26"/>
      <c r="WTH227" s="23"/>
      <c r="WTM227" s="26"/>
      <c r="WTQ227" s="23"/>
      <c r="WTV227" s="26"/>
      <c r="WTZ227" s="23"/>
      <c r="WUE227" s="26"/>
      <c r="WUI227" s="23"/>
      <c r="WUN227" s="26"/>
      <c r="WUR227" s="23"/>
      <c r="WUW227" s="26"/>
      <c r="WVA227" s="23"/>
      <c r="WVF227" s="26"/>
      <c r="WVJ227" s="23"/>
      <c r="WVO227" s="26"/>
      <c r="WVS227" s="23"/>
      <c r="WVX227" s="26"/>
      <c r="WWB227" s="23"/>
      <c r="WWG227" s="26"/>
      <c r="WWK227" s="23"/>
      <c r="WWP227" s="26"/>
      <c r="WWT227" s="23"/>
      <c r="WWY227" s="26"/>
      <c r="WXC227" s="23"/>
      <c r="WXH227" s="26"/>
      <c r="WXL227" s="23"/>
      <c r="WXQ227" s="26"/>
      <c r="WXU227" s="23"/>
      <c r="WXZ227" s="26"/>
      <c r="WYD227" s="23"/>
      <c r="WYI227" s="26"/>
      <c r="WYM227" s="23"/>
      <c r="WYR227" s="26"/>
      <c r="WYV227" s="23"/>
      <c r="WZA227" s="26"/>
      <c r="WZE227" s="23"/>
      <c r="WZJ227" s="26"/>
      <c r="WZN227" s="23"/>
      <c r="WZS227" s="26"/>
      <c r="WZW227" s="23"/>
      <c r="XAB227" s="26"/>
      <c r="XAF227" s="23"/>
      <c r="XAK227" s="26"/>
      <c r="XAO227" s="23"/>
      <c r="XAT227" s="26"/>
      <c r="XAX227" s="23"/>
      <c r="XBC227" s="26"/>
      <c r="XBG227" s="23"/>
      <c r="XBL227" s="26"/>
      <c r="XBP227" s="23"/>
      <c r="XBU227" s="26"/>
      <c r="XBY227" s="23"/>
      <c r="XCD227" s="26"/>
      <c r="XCH227" s="23"/>
      <c r="XCM227" s="26"/>
      <c r="XCQ227" s="23"/>
      <c r="XCV227" s="26"/>
      <c r="XCZ227" s="23"/>
      <c r="XDE227" s="26"/>
      <c r="XDI227" s="23"/>
      <c r="XDN227" s="26"/>
      <c r="XDR227" s="23"/>
      <c r="XDW227" s="26"/>
      <c r="XEA227" s="23"/>
      <c r="XEF227" s="26"/>
      <c r="XEJ227" s="23"/>
      <c r="XEO227" s="26"/>
      <c r="XES227" s="23"/>
      <c r="XEX227" s="26"/>
      <c r="XFB227" s="23"/>
    </row>
    <row r="228" spans="2:1024 1028:2045 2050:3071 3076:4093 4097:5119 5123:6140 6145:7166 7171:8192 8197:9214 9218:10240 10244:11261 11266:12287 12292:13309 13313:14335 14339:15356 15361:16382" x14ac:dyDescent="0.3">
      <c r="B228" s="23"/>
      <c r="K228" s="23"/>
      <c r="P228" s="26"/>
      <c r="T228" s="23"/>
      <c r="Y228" s="26"/>
      <c r="AC228" s="23"/>
      <c r="AH228" s="26"/>
      <c r="AL228" s="23"/>
      <c r="AQ228" s="26"/>
      <c r="AU228" s="23"/>
      <c r="AZ228" s="26"/>
      <c r="BD228" s="23"/>
      <c r="BI228" s="26"/>
      <c r="BM228" s="23"/>
      <c r="BR228" s="26"/>
      <c r="BV228" s="23"/>
      <c r="CA228" s="26"/>
      <c r="CE228" s="23"/>
      <c r="CJ228" s="26"/>
      <c r="CN228" s="23"/>
      <c r="CS228" s="26"/>
      <c r="CW228" s="23"/>
      <c r="DB228" s="26"/>
      <c r="DF228" s="23"/>
      <c r="DK228" s="26"/>
      <c r="DO228" s="23"/>
      <c r="DT228" s="26"/>
      <c r="DX228" s="23"/>
      <c r="EC228" s="26"/>
      <c r="EG228" s="23"/>
      <c r="EL228" s="26"/>
      <c r="EP228" s="23"/>
      <c r="EU228" s="26"/>
      <c r="EY228" s="23"/>
      <c r="FD228" s="26"/>
      <c r="FH228" s="23"/>
      <c r="FM228" s="26"/>
      <c r="FQ228" s="23"/>
      <c r="FV228" s="26"/>
      <c r="FZ228" s="23"/>
      <c r="GE228" s="26"/>
      <c r="GI228" s="23"/>
      <c r="GN228" s="26"/>
      <c r="GR228" s="23"/>
      <c r="GW228" s="26"/>
      <c r="HA228" s="23"/>
      <c r="HF228" s="26"/>
      <c r="HJ228" s="23"/>
      <c r="HO228" s="26"/>
      <c r="HS228" s="23"/>
      <c r="HX228" s="26"/>
      <c r="IB228" s="23"/>
      <c r="IG228" s="26"/>
      <c r="IK228" s="23"/>
      <c r="IP228" s="26"/>
      <c r="IT228" s="23"/>
      <c r="IY228" s="26"/>
      <c r="JC228" s="23"/>
      <c r="JH228" s="26"/>
      <c r="JL228" s="23"/>
      <c r="JQ228" s="26"/>
      <c r="JU228" s="23"/>
      <c r="JZ228" s="26"/>
      <c r="KD228" s="23"/>
      <c r="KI228" s="26"/>
      <c r="KM228" s="23"/>
      <c r="KR228" s="26"/>
      <c r="KV228" s="23"/>
      <c r="LA228" s="26"/>
      <c r="LE228" s="23"/>
      <c r="LJ228" s="26"/>
      <c r="LN228" s="23"/>
      <c r="LS228" s="26"/>
      <c r="LW228" s="23"/>
      <c r="MB228" s="26"/>
      <c r="MF228" s="23"/>
      <c r="MK228" s="26"/>
      <c r="MO228" s="23"/>
      <c r="MT228" s="26"/>
      <c r="MX228" s="23"/>
      <c r="NC228" s="26"/>
      <c r="NG228" s="23"/>
      <c r="NL228" s="26"/>
      <c r="NP228" s="23"/>
      <c r="NU228" s="26"/>
      <c r="NY228" s="23"/>
      <c r="OD228" s="26"/>
      <c r="OH228" s="23"/>
      <c r="OM228" s="26"/>
      <c r="OQ228" s="23"/>
      <c r="OV228" s="26"/>
      <c r="OZ228" s="23"/>
      <c r="PE228" s="26"/>
      <c r="PI228" s="23"/>
      <c r="PN228" s="26"/>
      <c r="PR228" s="23"/>
      <c r="PW228" s="26"/>
      <c r="QA228" s="23"/>
      <c r="QF228" s="26"/>
      <c r="QJ228" s="23"/>
      <c r="QO228" s="26"/>
      <c r="QS228" s="23"/>
      <c r="QX228" s="26"/>
      <c r="RB228" s="23"/>
      <c r="RG228" s="26"/>
      <c r="RK228" s="23"/>
      <c r="RP228" s="26"/>
      <c r="RT228" s="23"/>
      <c r="RY228" s="26"/>
      <c r="SC228" s="23"/>
      <c r="SH228" s="26"/>
      <c r="SL228" s="23"/>
      <c r="SQ228" s="26"/>
      <c r="SU228" s="23"/>
      <c r="SZ228" s="26"/>
      <c r="TD228" s="23"/>
      <c r="TI228" s="26"/>
      <c r="TM228" s="23"/>
      <c r="TR228" s="26"/>
      <c r="TV228" s="23"/>
      <c r="UA228" s="26"/>
      <c r="UE228" s="23"/>
      <c r="UJ228" s="26"/>
      <c r="UN228" s="23"/>
      <c r="US228" s="26"/>
      <c r="UW228" s="23"/>
      <c r="VB228" s="26"/>
      <c r="VF228" s="23"/>
      <c r="VK228" s="26"/>
      <c r="VO228" s="23"/>
      <c r="VT228" s="26"/>
      <c r="VX228" s="23"/>
      <c r="WC228" s="26"/>
      <c r="WG228" s="23"/>
      <c r="WL228" s="26"/>
      <c r="WP228" s="23"/>
      <c r="WU228" s="26"/>
      <c r="WY228" s="23"/>
      <c r="XD228" s="26"/>
      <c r="XH228" s="23"/>
      <c r="XM228" s="26"/>
      <c r="XQ228" s="23"/>
      <c r="XV228" s="26"/>
      <c r="XZ228" s="23"/>
      <c r="YE228" s="26"/>
      <c r="YI228" s="23"/>
      <c r="YN228" s="26"/>
      <c r="YR228" s="23"/>
      <c r="YW228" s="26"/>
      <c r="ZA228" s="23"/>
      <c r="ZF228" s="26"/>
      <c r="ZJ228" s="23"/>
      <c r="ZO228" s="26"/>
      <c r="ZS228" s="23"/>
      <c r="ZX228" s="26"/>
      <c r="AAB228" s="23"/>
      <c r="AAG228" s="26"/>
      <c r="AAK228" s="23"/>
      <c r="AAP228" s="26"/>
      <c r="AAT228" s="23"/>
      <c r="AAY228" s="26"/>
      <c r="ABC228" s="23"/>
      <c r="ABH228" s="26"/>
      <c r="ABL228" s="23"/>
      <c r="ABQ228" s="26"/>
      <c r="ABU228" s="23"/>
      <c r="ABZ228" s="26"/>
      <c r="ACD228" s="23"/>
      <c r="ACI228" s="26"/>
      <c r="ACM228" s="23"/>
      <c r="ACR228" s="26"/>
      <c r="ACV228" s="23"/>
      <c r="ADA228" s="26"/>
      <c r="ADE228" s="23"/>
      <c r="ADJ228" s="26"/>
      <c r="ADN228" s="23"/>
      <c r="ADS228" s="26"/>
      <c r="ADW228" s="23"/>
      <c r="AEB228" s="26"/>
      <c r="AEF228" s="23"/>
      <c r="AEK228" s="26"/>
      <c r="AEO228" s="23"/>
      <c r="AET228" s="26"/>
      <c r="AEX228" s="23"/>
      <c r="AFC228" s="26"/>
      <c r="AFG228" s="23"/>
      <c r="AFL228" s="26"/>
      <c r="AFP228" s="23"/>
      <c r="AFU228" s="26"/>
      <c r="AFY228" s="23"/>
      <c r="AGD228" s="26"/>
      <c r="AGH228" s="23"/>
      <c r="AGM228" s="26"/>
      <c r="AGQ228" s="23"/>
      <c r="AGV228" s="26"/>
      <c r="AGZ228" s="23"/>
      <c r="AHE228" s="26"/>
      <c r="AHI228" s="23"/>
      <c r="AHN228" s="26"/>
      <c r="AHR228" s="23"/>
      <c r="AHW228" s="26"/>
      <c r="AIA228" s="23"/>
      <c r="AIF228" s="26"/>
      <c r="AIJ228" s="23"/>
      <c r="AIO228" s="26"/>
      <c r="AIS228" s="23"/>
      <c r="AIX228" s="26"/>
      <c r="AJB228" s="23"/>
      <c r="AJG228" s="26"/>
      <c r="AJK228" s="23"/>
      <c r="AJP228" s="26"/>
      <c r="AJT228" s="23"/>
      <c r="AJY228" s="26"/>
      <c r="AKC228" s="23"/>
      <c r="AKH228" s="26"/>
      <c r="AKL228" s="23"/>
      <c r="AKQ228" s="26"/>
      <c r="AKU228" s="23"/>
      <c r="AKZ228" s="26"/>
      <c r="ALD228" s="23"/>
      <c r="ALI228" s="26"/>
      <c r="ALM228" s="23"/>
      <c r="ALR228" s="26"/>
      <c r="ALV228" s="23"/>
      <c r="AMA228" s="26"/>
      <c r="AME228" s="23"/>
      <c r="AMJ228" s="26"/>
      <c r="AMN228" s="23"/>
      <c r="AMS228" s="26"/>
      <c r="AMW228" s="23"/>
      <c r="ANB228" s="26"/>
      <c r="ANF228" s="23"/>
      <c r="ANK228" s="26"/>
      <c r="ANO228" s="23"/>
      <c r="ANT228" s="26"/>
      <c r="ANX228" s="23"/>
      <c r="AOC228" s="26"/>
      <c r="AOG228" s="23"/>
      <c r="AOL228" s="26"/>
      <c r="AOP228" s="23"/>
      <c r="AOU228" s="26"/>
      <c r="AOY228" s="23"/>
      <c r="APD228" s="26"/>
      <c r="APH228" s="23"/>
      <c r="APM228" s="26"/>
      <c r="APQ228" s="23"/>
      <c r="APV228" s="26"/>
      <c r="APZ228" s="23"/>
      <c r="AQE228" s="26"/>
      <c r="AQI228" s="23"/>
      <c r="AQN228" s="26"/>
      <c r="AQR228" s="23"/>
      <c r="AQW228" s="26"/>
      <c r="ARA228" s="23"/>
      <c r="ARF228" s="26"/>
      <c r="ARJ228" s="23"/>
      <c r="ARO228" s="26"/>
      <c r="ARS228" s="23"/>
      <c r="ARX228" s="26"/>
      <c r="ASB228" s="23"/>
      <c r="ASG228" s="26"/>
      <c r="ASK228" s="23"/>
      <c r="ASP228" s="26"/>
      <c r="AST228" s="23"/>
      <c r="ASY228" s="26"/>
      <c r="ATC228" s="23"/>
      <c r="ATH228" s="26"/>
      <c r="ATL228" s="23"/>
      <c r="ATQ228" s="26"/>
      <c r="ATU228" s="23"/>
      <c r="ATZ228" s="26"/>
      <c r="AUD228" s="23"/>
      <c r="AUI228" s="26"/>
      <c r="AUM228" s="23"/>
      <c r="AUR228" s="26"/>
      <c r="AUV228" s="23"/>
      <c r="AVA228" s="26"/>
      <c r="AVE228" s="23"/>
      <c r="AVJ228" s="26"/>
      <c r="AVN228" s="23"/>
      <c r="AVS228" s="26"/>
      <c r="AVW228" s="23"/>
      <c r="AWB228" s="26"/>
      <c r="AWF228" s="23"/>
      <c r="AWK228" s="26"/>
      <c r="AWO228" s="23"/>
      <c r="AWT228" s="26"/>
      <c r="AWX228" s="23"/>
      <c r="AXC228" s="26"/>
      <c r="AXG228" s="23"/>
      <c r="AXL228" s="26"/>
      <c r="AXP228" s="23"/>
      <c r="AXU228" s="26"/>
      <c r="AXY228" s="23"/>
      <c r="AYD228" s="26"/>
      <c r="AYH228" s="23"/>
      <c r="AYM228" s="26"/>
      <c r="AYQ228" s="23"/>
      <c r="AYV228" s="26"/>
      <c r="AYZ228" s="23"/>
      <c r="AZE228" s="26"/>
      <c r="AZI228" s="23"/>
      <c r="AZN228" s="26"/>
      <c r="AZR228" s="23"/>
      <c r="AZW228" s="26"/>
      <c r="BAA228" s="23"/>
      <c r="BAF228" s="26"/>
      <c r="BAJ228" s="23"/>
      <c r="BAO228" s="26"/>
      <c r="BAS228" s="23"/>
      <c r="BAX228" s="26"/>
      <c r="BBB228" s="23"/>
      <c r="BBG228" s="26"/>
      <c r="BBK228" s="23"/>
      <c r="BBP228" s="26"/>
      <c r="BBT228" s="23"/>
      <c r="BBY228" s="26"/>
      <c r="BCC228" s="23"/>
      <c r="BCH228" s="26"/>
      <c r="BCL228" s="23"/>
      <c r="BCQ228" s="26"/>
      <c r="BCU228" s="23"/>
      <c r="BCZ228" s="26"/>
      <c r="BDD228" s="23"/>
      <c r="BDI228" s="26"/>
      <c r="BDM228" s="23"/>
      <c r="BDR228" s="26"/>
      <c r="BDV228" s="23"/>
      <c r="BEA228" s="26"/>
      <c r="BEE228" s="23"/>
      <c r="BEJ228" s="26"/>
      <c r="BEN228" s="23"/>
      <c r="BES228" s="26"/>
      <c r="BEW228" s="23"/>
      <c r="BFB228" s="26"/>
      <c r="BFF228" s="23"/>
      <c r="BFK228" s="26"/>
      <c r="BFO228" s="23"/>
      <c r="BFT228" s="26"/>
      <c r="BFX228" s="23"/>
      <c r="BGC228" s="26"/>
      <c r="BGG228" s="23"/>
      <c r="BGL228" s="26"/>
      <c r="BGP228" s="23"/>
      <c r="BGU228" s="26"/>
      <c r="BGY228" s="23"/>
      <c r="BHD228" s="26"/>
      <c r="BHH228" s="23"/>
      <c r="BHM228" s="26"/>
      <c r="BHQ228" s="23"/>
      <c r="BHV228" s="26"/>
      <c r="BHZ228" s="23"/>
      <c r="BIE228" s="26"/>
      <c r="BII228" s="23"/>
      <c r="BIN228" s="26"/>
      <c r="BIR228" s="23"/>
      <c r="BIW228" s="26"/>
      <c r="BJA228" s="23"/>
      <c r="BJF228" s="26"/>
      <c r="BJJ228" s="23"/>
      <c r="BJO228" s="26"/>
      <c r="BJS228" s="23"/>
      <c r="BJX228" s="26"/>
      <c r="BKB228" s="23"/>
      <c r="BKG228" s="26"/>
      <c r="BKK228" s="23"/>
      <c r="BKP228" s="26"/>
      <c r="BKT228" s="23"/>
      <c r="BKY228" s="26"/>
      <c r="BLC228" s="23"/>
      <c r="BLH228" s="26"/>
      <c r="BLL228" s="23"/>
      <c r="BLQ228" s="26"/>
      <c r="BLU228" s="23"/>
      <c r="BLZ228" s="26"/>
      <c r="BMD228" s="23"/>
      <c r="BMI228" s="26"/>
      <c r="BMM228" s="23"/>
      <c r="BMR228" s="26"/>
      <c r="BMV228" s="23"/>
      <c r="BNA228" s="26"/>
      <c r="BNE228" s="23"/>
      <c r="BNJ228" s="26"/>
      <c r="BNN228" s="23"/>
      <c r="BNS228" s="26"/>
      <c r="BNW228" s="23"/>
      <c r="BOB228" s="26"/>
      <c r="BOF228" s="23"/>
      <c r="BOK228" s="26"/>
      <c r="BOO228" s="23"/>
      <c r="BOT228" s="26"/>
      <c r="BOX228" s="23"/>
      <c r="BPC228" s="26"/>
      <c r="BPG228" s="23"/>
      <c r="BPL228" s="26"/>
      <c r="BPP228" s="23"/>
      <c r="BPU228" s="26"/>
      <c r="BPY228" s="23"/>
      <c r="BQD228" s="26"/>
      <c r="BQH228" s="23"/>
      <c r="BQM228" s="26"/>
      <c r="BQQ228" s="23"/>
      <c r="BQV228" s="26"/>
      <c r="BQZ228" s="23"/>
      <c r="BRE228" s="26"/>
      <c r="BRI228" s="23"/>
      <c r="BRN228" s="26"/>
      <c r="BRR228" s="23"/>
      <c r="BRW228" s="26"/>
      <c r="BSA228" s="23"/>
      <c r="BSF228" s="26"/>
      <c r="BSJ228" s="23"/>
      <c r="BSO228" s="26"/>
      <c r="BSS228" s="23"/>
      <c r="BSX228" s="26"/>
      <c r="BTB228" s="23"/>
      <c r="BTG228" s="26"/>
      <c r="BTK228" s="23"/>
      <c r="BTP228" s="26"/>
      <c r="BTT228" s="23"/>
      <c r="BTY228" s="26"/>
      <c r="BUC228" s="23"/>
      <c r="BUH228" s="26"/>
      <c r="BUL228" s="23"/>
      <c r="BUQ228" s="26"/>
      <c r="BUU228" s="23"/>
      <c r="BUZ228" s="26"/>
      <c r="BVD228" s="23"/>
      <c r="BVI228" s="26"/>
      <c r="BVM228" s="23"/>
      <c r="BVR228" s="26"/>
      <c r="BVV228" s="23"/>
      <c r="BWA228" s="26"/>
      <c r="BWE228" s="23"/>
      <c r="BWJ228" s="26"/>
      <c r="BWN228" s="23"/>
      <c r="BWS228" s="26"/>
      <c r="BWW228" s="23"/>
      <c r="BXB228" s="26"/>
      <c r="BXF228" s="23"/>
      <c r="BXK228" s="26"/>
      <c r="BXO228" s="23"/>
      <c r="BXT228" s="26"/>
      <c r="BXX228" s="23"/>
      <c r="BYC228" s="26"/>
      <c r="BYG228" s="23"/>
      <c r="BYL228" s="26"/>
      <c r="BYP228" s="23"/>
      <c r="BYU228" s="26"/>
      <c r="BYY228" s="23"/>
      <c r="BZD228" s="26"/>
      <c r="BZH228" s="23"/>
      <c r="BZM228" s="26"/>
      <c r="BZQ228" s="23"/>
      <c r="BZV228" s="26"/>
      <c r="BZZ228" s="23"/>
      <c r="CAE228" s="26"/>
      <c r="CAI228" s="23"/>
      <c r="CAN228" s="26"/>
      <c r="CAR228" s="23"/>
      <c r="CAW228" s="26"/>
      <c r="CBA228" s="23"/>
      <c r="CBF228" s="26"/>
      <c r="CBJ228" s="23"/>
      <c r="CBO228" s="26"/>
      <c r="CBS228" s="23"/>
      <c r="CBX228" s="26"/>
      <c r="CCB228" s="23"/>
      <c r="CCG228" s="26"/>
      <c r="CCK228" s="23"/>
      <c r="CCP228" s="26"/>
      <c r="CCT228" s="23"/>
      <c r="CCY228" s="26"/>
      <c r="CDC228" s="23"/>
      <c r="CDH228" s="26"/>
      <c r="CDL228" s="23"/>
      <c r="CDQ228" s="26"/>
      <c r="CDU228" s="23"/>
      <c r="CDZ228" s="26"/>
      <c r="CED228" s="23"/>
      <c r="CEI228" s="26"/>
      <c r="CEM228" s="23"/>
      <c r="CER228" s="26"/>
      <c r="CEV228" s="23"/>
      <c r="CFA228" s="26"/>
      <c r="CFE228" s="23"/>
      <c r="CFJ228" s="26"/>
      <c r="CFN228" s="23"/>
      <c r="CFS228" s="26"/>
      <c r="CFW228" s="23"/>
      <c r="CGB228" s="26"/>
      <c r="CGF228" s="23"/>
      <c r="CGK228" s="26"/>
      <c r="CGO228" s="23"/>
      <c r="CGT228" s="26"/>
      <c r="CGX228" s="23"/>
      <c r="CHC228" s="26"/>
      <c r="CHG228" s="23"/>
      <c r="CHL228" s="26"/>
      <c r="CHP228" s="23"/>
      <c r="CHU228" s="26"/>
      <c r="CHY228" s="23"/>
      <c r="CID228" s="26"/>
      <c r="CIH228" s="23"/>
      <c r="CIM228" s="26"/>
      <c r="CIQ228" s="23"/>
      <c r="CIV228" s="26"/>
      <c r="CIZ228" s="23"/>
      <c r="CJE228" s="26"/>
      <c r="CJI228" s="23"/>
      <c r="CJN228" s="26"/>
      <c r="CJR228" s="23"/>
      <c r="CJW228" s="26"/>
      <c r="CKA228" s="23"/>
      <c r="CKF228" s="26"/>
      <c r="CKJ228" s="23"/>
      <c r="CKO228" s="26"/>
      <c r="CKS228" s="23"/>
      <c r="CKX228" s="26"/>
      <c r="CLB228" s="23"/>
      <c r="CLG228" s="26"/>
      <c r="CLK228" s="23"/>
      <c r="CLP228" s="26"/>
      <c r="CLT228" s="23"/>
      <c r="CLY228" s="26"/>
      <c r="CMC228" s="23"/>
      <c r="CMH228" s="26"/>
      <c r="CML228" s="23"/>
      <c r="CMQ228" s="26"/>
      <c r="CMU228" s="23"/>
      <c r="CMZ228" s="26"/>
      <c r="CND228" s="23"/>
      <c r="CNI228" s="26"/>
      <c r="CNM228" s="23"/>
      <c r="CNR228" s="26"/>
      <c r="CNV228" s="23"/>
      <c r="COA228" s="26"/>
      <c r="COE228" s="23"/>
      <c r="COJ228" s="26"/>
      <c r="CON228" s="23"/>
      <c r="COS228" s="26"/>
      <c r="COW228" s="23"/>
      <c r="CPB228" s="26"/>
      <c r="CPF228" s="23"/>
      <c r="CPK228" s="26"/>
      <c r="CPO228" s="23"/>
      <c r="CPT228" s="26"/>
      <c r="CPX228" s="23"/>
      <c r="CQC228" s="26"/>
      <c r="CQG228" s="23"/>
      <c r="CQL228" s="26"/>
      <c r="CQP228" s="23"/>
      <c r="CQU228" s="26"/>
      <c r="CQY228" s="23"/>
      <c r="CRD228" s="26"/>
      <c r="CRH228" s="23"/>
      <c r="CRM228" s="26"/>
      <c r="CRQ228" s="23"/>
      <c r="CRV228" s="26"/>
      <c r="CRZ228" s="23"/>
      <c r="CSE228" s="26"/>
      <c r="CSI228" s="23"/>
      <c r="CSN228" s="26"/>
      <c r="CSR228" s="23"/>
      <c r="CSW228" s="26"/>
      <c r="CTA228" s="23"/>
      <c r="CTF228" s="26"/>
      <c r="CTJ228" s="23"/>
      <c r="CTO228" s="26"/>
      <c r="CTS228" s="23"/>
      <c r="CTX228" s="26"/>
      <c r="CUB228" s="23"/>
      <c r="CUG228" s="26"/>
      <c r="CUK228" s="23"/>
      <c r="CUP228" s="26"/>
      <c r="CUT228" s="23"/>
      <c r="CUY228" s="26"/>
      <c r="CVC228" s="23"/>
      <c r="CVH228" s="26"/>
      <c r="CVL228" s="23"/>
      <c r="CVQ228" s="26"/>
      <c r="CVU228" s="23"/>
      <c r="CVZ228" s="26"/>
      <c r="CWD228" s="23"/>
      <c r="CWI228" s="26"/>
      <c r="CWM228" s="23"/>
      <c r="CWR228" s="26"/>
      <c r="CWV228" s="23"/>
      <c r="CXA228" s="26"/>
      <c r="CXE228" s="23"/>
      <c r="CXJ228" s="26"/>
      <c r="CXN228" s="23"/>
      <c r="CXS228" s="26"/>
      <c r="CXW228" s="23"/>
      <c r="CYB228" s="26"/>
      <c r="CYF228" s="23"/>
      <c r="CYK228" s="26"/>
      <c r="CYO228" s="23"/>
      <c r="CYT228" s="26"/>
      <c r="CYX228" s="23"/>
      <c r="CZC228" s="26"/>
      <c r="CZG228" s="23"/>
      <c r="CZL228" s="26"/>
      <c r="CZP228" s="23"/>
      <c r="CZU228" s="26"/>
      <c r="CZY228" s="23"/>
      <c r="DAD228" s="26"/>
      <c r="DAH228" s="23"/>
      <c r="DAM228" s="26"/>
      <c r="DAQ228" s="23"/>
      <c r="DAV228" s="26"/>
      <c r="DAZ228" s="23"/>
      <c r="DBE228" s="26"/>
      <c r="DBI228" s="23"/>
      <c r="DBN228" s="26"/>
      <c r="DBR228" s="23"/>
      <c r="DBW228" s="26"/>
      <c r="DCA228" s="23"/>
      <c r="DCF228" s="26"/>
      <c r="DCJ228" s="23"/>
      <c r="DCO228" s="26"/>
      <c r="DCS228" s="23"/>
      <c r="DCX228" s="26"/>
      <c r="DDB228" s="23"/>
      <c r="DDG228" s="26"/>
      <c r="DDK228" s="23"/>
      <c r="DDP228" s="26"/>
      <c r="DDT228" s="23"/>
      <c r="DDY228" s="26"/>
      <c r="DEC228" s="23"/>
      <c r="DEH228" s="26"/>
      <c r="DEL228" s="23"/>
      <c r="DEQ228" s="26"/>
      <c r="DEU228" s="23"/>
      <c r="DEZ228" s="26"/>
      <c r="DFD228" s="23"/>
      <c r="DFI228" s="26"/>
      <c r="DFM228" s="23"/>
      <c r="DFR228" s="26"/>
      <c r="DFV228" s="23"/>
      <c r="DGA228" s="26"/>
      <c r="DGE228" s="23"/>
      <c r="DGJ228" s="26"/>
      <c r="DGN228" s="23"/>
      <c r="DGS228" s="26"/>
      <c r="DGW228" s="23"/>
      <c r="DHB228" s="26"/>
      <c r="DHF228" s="23"/>
      <c r="DHK228" s="26"/>
      <c r="DHO228" s="23"/>
      <c r="DHT228" s="26"/>
      <c r="DHX228" s="23"/>
      <c r="DIC228" s="26"/>
      <c r="DIG228" s="23"/>
      <c r="DIL228" s="26"/>
      <c r="DIP228" s="23"/>
      <c r="DIU228" s="26"/>
      <c r="DIY228" s="23"/>
      <c r="DJD228" s="26"/>
      <c r="DJH228" s="23"/>
      <c r="DJM228" s="26"/>
      <c r="DJQ228" s="23"/>
      <c r="DJV228" s="26"/>
      <c r="DJZ228" s="23"/>
      <c r="DKE228" s="26"/>
      <c r="DKI228" s="23"/>
      <c r="DKN228" s="26"/>
      <c r="DKR228" s="23"/>
      <c r="DKW228" s="26"/>
      <c r="DLA228" s="23"/>
      <c r="DLF228" s="26"/>
      <c r="DLJ228" s="23"/>
      <c r="DLO228" s="26"/>
      <c r="DLS228" s="23"/>
      <c r="DLX228" s="26"/>
      <c r="DMB228" s="23"/>
      <c r="DMG228" s="26"/>
      <c r="DMK228" s="23"/>
      <c r="DMP228" s="26"/>
      <c r="DMT228" s="23"/>
      <c r="DMY228" s="26"/>
      <c r="DNC228" s="23"/>
      <c r="DNH228" s="26"/>
      <c r="DNL228" s="23"/>
      <c r="DNQ228" s="26"/>
      <c r="DNU228" s="23"/>
      <c r="DNZ228" s="26"/>
      <c r="DOD228" s="23"/>
      <c r="DOI228" s="26"/>
      <c r="DOM228" s="23"/>
      <c r="DOR228" s="26"/>
      <c r="DOV228" s="23"/>
      <c r="DPA228" s="26"/>
      <c r="DPE228" s="23"/>
      <c r="DPJ228" s="26"/>
      <c r="DPN228" s="23"/>
      <c r="DPS228" s="26"/>
      <c r="DPW228" s="23"/>
      <c r="DQB228" s="26"/>
      <c r="DQF228" s="23"/>
      <c r="DQK228" s="26"/>
      <c r="DQO228" s="23"/>
      <c r="DQT228" s="26"/>
      <c r="DQX228" s="23"/>
      <c r="DRC228" s="26"/>
      <c r="DRG228" s="23"/>
      <c r="DRL228" s="26"/>
      <c r="DRP228" s="23"/>
      <c r="DRU228" s="26"/>
      <c r="DRY228" s="23"/>
      <c r="DSD228" s="26"/>
      <c r="DSH228" s="23"/>
      <c r="DSM228" s="26"/>
      <c r="DSQ228" s="23"/>
      <c r="DSV228" s="26"/>
      <c r="DSZ228" s="23"/>
      <c r="DTE228" s="26"/>
      <c r="DTI228" s="23"/>
      <c r="DTN228" s="26"/>
      <c r="DTR228" s="23"/>
      <c r="DTW228" s="26"/>
      <c r="DUA228" s="23"/>
      <c r="DUF228" s="26"/>
      <c r="DUJ228" s="23"/>
      <c r="DUO228" s="26"/>
      <c r="DUS228" s="23"/>
      <c r="DUX228" s="26"/>
      <c r="DVB228" s="23"/>
      <c r="DVG228" s="26"/>
      <c r="DVK228" s="23"/>
      <c r="DVP228" s="26"/>
      <c r="DVT228" s="23"/>
      <c r="DVY228" s="26"/>
      <c r="DWC228" s="23"/>
      <c r="DWH228" s="26"/>
      <c r="DWL228" s="23"/>
      <c r="DWQ228" s="26"/>
      <c r="DWU228" s="23"/>
      <c r="DWZ228" s="26"/>
      <c r="DXD228" s="23"/>
      <c r="DXI228" s="26"/>
      <c r="DXM228" s="23"/>
      <c r="DXR228" s="26"/>
      <c r="DXV228" s="23"/>
      <c r="DYA228" s="26"/>
      <c r="DYE228" s="23"/>
      <c r="DYJ228" s="26"/>
      <c r="DYN228" s="23"/>
      <c r="DYS228" s="26"/>
      <c r="DYW228" s="23"/>
      <c r="DZB228" s="26"/>
      <c r="DZF228" s="23"/>
      <c r="DZK228" s="26"/>
      <c r="DZO228" s="23"/>
      <c r="DZT228" s="26"/>
      <c r="DZX228" s="23"/>
      <c r="EAC228" s="26"/>
      <c r="EAG228" s="23"/>
      <c r="EAL228" s="26"/>
      <c r="EAP228" s="23"/>
      <c r="EAU228" s="26"/>
      <c r="EAY228" s="23"/>
      <c r="EBD228" s="26"/>
      <c r="EBH228" s="23"/>
      <c r="EBM228" s="26"/>
      <c r="EBQ228" s="23"/>
      <c r="EBV228" s="26"/>
      <c r="EBZ228" s="23"/>
      <c r="ECE228" s="26"/>
      <c r="ECI228" s="23"/>
      <c r="ECN228" s="26"/>
      <c r="ECR228" s="23"/>
      <c r="ECW228" s="26"/>
      <c r="EDA228" s="23"/>
      <c r="EDF228" s="26"/>
      <c r="EDJ228" s="23"/>
      <c r="EDO228" s="26"/>
      <c r="EDS228" s="23"/>
      <c r="EDX228" s="26"/>
      <c r="EEB228" s="23"/>
      <c r="EEG228" s="26"/>
      <c r="EEK228" s="23"/>
      <c r="EEP228" s="26"/>
      <c r="EET228" s="23"/>
      <c r="EEY228" s="26"/>
      <c r="EFC228" s="23"/>
      <c r="EFH228" s="26"/>
      <c r="EFL228" s="23"/>
      <c r="EFQ228" s="26"/>
      <c r="EFU228" s="23"/>
      <c r="EFZ228" s="26"/>
      <c r="EGD228" s="23"/>
      <c r="EGI228" s="26"/>
      <c r="EGM228" s="23"/>
      <c r="EGR228" s="26"/>
      <c r="EGV228" s="23"/>
      <c r="EHA228" s="26"/>
      <c r="EHE228" s="23"/>
      <c r="EHJ228" s="26"/>
      <c r="EHN228" s="23"/>
      <c r="EHS228" s="26"/>
      <c r="EHW228" s="23"/>
      <c r="EIB228" s="26"/>
      <c r="EIF228" s="23"/>
      <c r="EIK228" s="26"/>
      <c r="EIO228" s="23"/>
      <c r="EIT228" s="26"/>
      <c r="EIX228" s="23"/>
      <c r="EJC228" s="26"/>
      <c r="EJG228" s="23"/>
      <c r="EJL228" s="26"/>
      <c r="EJP228" s="23"/>
      <c r="EJU228" s="26"/>
      <c r="EJY228" s="23"/>
      <c r="EKD228" s="26"/>
      <c r="EKH228" s="23"/>
      <c r="EKM228" s="26"/>
      <c r="EKQ228" s="23"/>
      <c r="EKV228" s="26"/>
      <c r="EKZ228" s="23"/>
      <c r="ELE228" s="26"/>
      <c r="ELI228" s="23"/>
      <c r="ELN228" s="26"/>
      <c r="ELR228" s="23"/>
      <c r="ELW228" s="26"/>
      <c r="EMA228" s="23"/>
      <c r="EMF228" s="26"/>
      <c r="EMJ228" s="23"/>
      <c r="EMO228" s="26"/>
      <c r="EMS228" s="23"/>
      <c r="EMX228" s="26"/>
      <c r="ENB228" s="23"/>
      <c r="ENG228" s="26"/>
      <c r="ENK228" s="23"/>
      <c r="ENP228" s="26"/>
      <c r="ENT228" s="23"/>
      <c r="ENY228" s="26"/>
      <c r="EOC228" s="23"/>
      <c r="EOH228" s="26"/>
      <c r="EOL228" s="23"/>
      <c r="EOQ228" s="26"/>
      <c r="EOU228" s="23"/>
      <c r="EOZ228" s="26"/>
      <c r="EPD228" s="23"/>
      <c r="EPI228" s="26"/>
      <c r="EPM228" s="23"/>
      <c r="EPR228" s="26"/>
      <c r="EPV228" s="23"/>
      <c r="EQA228" s="26"/>
      <c r="EQE228" s="23"/>
      <c r="EQJ228" s="26"/>
      <c r="EQN228" s="23"/>
      <c r="EQS228" s="26"/>
      <c r="EQW228" s="23"/>
      <c r="ERB228" s="26"/>
      <c r="ERF228" s="23"/>
      <c r="ERK228" s="26"/>
      <c r="ERO228" s="23"/>
      <c r="ERT228" s="26"/>
      <c r="ERX228" s="23"/>
      <c r="ESC228" s="26"/>
      <c r="ESG228" s="23"/>
      <c r="ESL228" s="26"/>
      <c r="ESP228" s="23"/>
      <c r="ESU228" s="26"/>
      <c r="ESY228" s="23"/>
      <c r="ETD228" s="26"/>
      <c r="ETH228" s="23"/>
      <c r="ETM228" s="26"/>
      <c r="ETQ228" s="23"/>
      <c r="ETV228" s="26"/>
      <c r="ETZ228" s="23"/>
      <c r="EUE228" s="26"/>
      <c r="EUI228" s="23"/>
      <c r="EUN228" s="26"/>
      <c r="EUR228" s="23"/>
      <c r="EUW228" s="26"/>
      <c r="EVA228" s="23"/>
      <c r="EVF228" s="26"/>
      <c r="EVJ228" s="23"/>
      <c r="EVO228" s="26"/>
      <c r="EVS228" s="23"/>
      <c r="EVX228" s="26"/>
      <c r="EWB228" s="23"/>
      <c r="EWG228" s="26"/>
      <c r="EWK228" s="23"/>
      <c r="EWP228" s="26"/>
      <c r="EWT228" s="23"/>
      <c r="EWY228" s="26"/>
      <c r="EXC228" s="23"/>
      <c r="EXH228" s="26"/>
      <c r="EXL228" s="23"/>
      <c r="EXQ228" s="26"/>
      <c r="EXU228" s="23"/>
      <c r="EXZ228" s="26"/>
      <c r="EYD228" s="23"/>
      <c r="EYI228" s="26"/>
      <c r="EYM228" s="23"/>
      <c r="EYR228" s="26"/>
      <c r="EYV228" s="23"/>
      <c r="EZA228" s="26"/>
      <c r="EZE228" s="23"/>
      <c r="EZJ228" s="26"/>
      <c r="EZN228" s="23"/>
      <c r="EZS228" s="26"/>
      <c r="EZW228" s="23"/>
      <c r="FAB228" s="26"/>
      <c r="FAF228" s="23"/>
      <c r="FAK228" s="26"/>
      <c r="FAO228" s="23"/>
      <c r="FAT228" s="26"/>
      <c r="FAX228" s="23"/>
      <c r="FBC228" s="26"/>
      <c r="FBG228" s="23"/>
      <c r="FBL228" s="26"/>
      <c r="FBP228" s="23"/>
      <c r="FBU228" s="26"/>
      <c r="FBY228" s="23"/>
      <c r="FCD228" s="26"/>
      <c r="FCH228" s="23"/>
      <c r="FCM228" s="26"/>
      <c r="FCQ228" s="23"/>
      <c r="FCV228" s="26"/>
      <c r="FCZ228" s="23"/>
      <c r="FDE228" s="26"/>
      <c r="FDI228" s="23"/>
      <c r="FDN228" s="26"/>
      <c r="FDR228" s="23"/>
      <c r="FDW228" s="26"/>
      <c r="FEA228" s="23"/>
      <c r="FEF228" s="26"/>
      <c r="FEJ228" s="23"/>
      <c r="FEO228" s="26"/>
      <c r="FES228" s="23"/>
      <c r="FEX228" s="26"/>
      <c r="FFB228" s="23"/>
      <c r="FFG228" s="26"/>
      <c r="FFK228" s="23"/>
      <c r="FFP228" s="26"/>
      <c r="FFT228" s="23"/>
      <c r="FFY228" s="26"/>
      <c r="FGC228" s="23"/>
      <c r="FGH228" s="26"/>
      <c r="FGL228" s="23"/>
      <c r="FGQ228" s="26"/>
      <c r="FGU228" s="23"/>
      <c r="FGZ228" s="26"/>
      <c r="FHD228" s="23"/>
      <c r="FHI228" s="26"/>
      <c r="FHM228" s="23"/>
      <c r="FHR228" s="26"/>
      <c r="FHV228" s="23"/>
      <c r="FIA228" s="26"/>
      <c r="FIE228" s="23"/>
      <c r="FIJ228" s="26"/>
      <c r="FIN228" s="23"/>
      <c r="FIS228" s="26"/>
      <c r="FIW228" s="23"/>
      <c r="FJB228" s="26"/>
      <c r="FJF228" s="23"/>
      <c r="FJK228" s="26"/>
      <c r="FJO228" s="23"/>
      <c r="FJT228" s="26"/>
      <c r="FJX228" s="23"/>
      <c r="FKC228" s="26"/>
      <c r="FKG228" s="23"/>
      <c r="FKL228" s="26"/>
      <c r="FKP228" s="23"/>
      <c r="FKU228" s="26"/>
      <c r="FKY228" s="23"/>
      <c r="FLD228" s="26"/>
      <c r="FLH228" s="23"/>
      <c r="FLM228" s="26"/>
      <c r="FLQ228" s="23"/>
      <c r="FLV228" s="26"/>
      <c r="FLZ228" s="23"/>
      <c r="FME228" s="26"/>
      <c r="FMI228" s="23"/>
      <c r="FMN228" s="26"/>
      <c r="FMR228" s="23"/>
      <c r="FMW228" s="26"/>
      <c r="FNA228" s="23"/>
      <c r="FNF228" s="26"/>
      <c r="FNJ228" s="23"/>
      <c r="FNO228" s="26"/>
      <c r="FNS228" s="23"/>
      <c r="FNX228" s="26"/>
      <c r="FOB228" s="23"/>
      <c r="FOG228" s="26"/>
      <c r="FOK228" s="23"/>
      <c r="FOP228" s="26"/>
      <c r="FOT228" s="23"/>
      <c r="FOY228" s="26"/>
      <c r="FPC228" s="23"/>
      <c r="FPH228" s="26"/>
      <c r="FPL228" s="23"/>
      <c r="FPQ228" s="26"/>
      <c r="FPU228" s="23"/>
      <c r="FPZ228" s="26"/>
      <c r="FQD228" s="23"/>
      <c r="FQI228" s="26"/>
      <c r="FQM228" s="23"/>
      <c r="FQR228" s="26"/>
      <c r="FQV228" s="23"/>
      <c r="FRA228" s="26"/>
      <c r="FRE228" s="23"/>
      <c r="FRJ228" s="26"/>
      <c r="FRN228" s="23"/>
      <c r="FRS228" s="26"/>
      <c r="FRW228" s="23"/>
      <c r="FSB228" s="26"/>
      <c r="FSF228" s="23"/>
      <c r="FSK228" s="26"/>
      <c r="FSO228" s="23"/>
      <c r="FST228" s="26"/>
      <c r="FSX228" s="23"/>
      <c r="FTC228" s="26"/>
      <c r="FTG228" s="23"/>
      <c r="FTL228" s="26"/>
      <c r="FTP228" s="23"/>
      <c r="FTU228" s="26"/>
      <c r="FTY228" s="23"/>
      <c r="FUD228" s="26"/>
      <c r="FUH228" s="23"/>
      <c r="FUM228" s="26"/>
      <c r="FUQ228" s="23"/>
      <c r="FUV228" s="26"/>
      <c r="FUZ228" s="23"/>
      <c r="FVE228" s="26"/>
      <c r="FVI228" s="23"/>
      <c r="FVN228" s="26"/>
      <c r="FVR228" s="23"/>
      <c r="FVW228" s="26"/>
      <c r="FWA228" s="23"/>
      <c r="FWF228" s="26"/>
      <c r="FWJ228" s="23"/>
      <c r="FWO228" s="26"/>
      <c r="FWS228" s="23"/>
      <c r="FWX228" s="26"/>
      <c r="FXB228" s="23"/>
      <c r="FXG228" s="26"/>
      <c r="FXK228" s="23"/>
      <c r="FXP228" s="26"/>
      <c r="FXT228" s="23"/>
      <c r="FXY228" s="26"/>
      <c r="FYC228" s="23"/>
      <c r="FYH228" s="26"/>
      <c r="FYL228" s="23"/>
      <c r="FYQ228" s="26"/>
      <c r="FYU228" s="23"/>
      <c r="FYZ228" s="26"/>
      <c r="FZD228" s="23"/>
      <c r="FZI228" s="26"/>
      <c r="FZM228" s="23"/>
      <c r="FZR228" s="26"/>
      <c r="FZV228" s="23"/>
      <c r="GAA228" s="26"/>
      <c r="GAE228" s="23"/>
      <c r="GAJ228" s="26"/>
      <c r="GAN228" s="23"/>
      <c r="GAS228" s="26"/>
      <c r="GAW228" s="23"/>
      <c r="GBB228" s="26"/>
      <c r="GBF228" s="23"/>
      <c r="GBK228" s="26"/>
      <c r="GBO228" s="23"/>
      <c r="GBT228" s="26"/>
      <c r="GBX228" s="23"/>
      <c r="GCC228" s="26"/>
      <c r="GCG228" s="23"/>
      <c r="GCL228" s="26"/>
      <c r="GCP228" s="23"/>
      <c r="GCU228" s="26"/>
      <c r="GCY228" s="23"/>
      <c r="GDD228" s="26"/>
      <c r="GDH228" s="23"/>
      <c r="GDM228" s="26"/>
      <c r="GDQ228" s="23"/>
      <c r="GDV228" s="26"/>
      <c r="GDZ228" s="23"/>
      <c r="GEE228" s="26"/>
      <c r="GEI228" s="23"/>
      <c r="GEN228" s="26"/>
      <c r="GER228" s="23"/>
      <c r="GEW228" s="26"/>
      <c r="GFA228" s="23"/>
      <c r="GFF228" s="26"/>
      <c r="GFJ228" s="23"/>
      <c r="GFO228" s="26"/>
      <c r="GFS228" s="23"/>
      <c r="GFX228" s="26"/>
      <c r="GGB228" s="23"/>
      <c r="GGG228" s="26"/>
      <c r="GGK228" s="23"/>
      <c r="GGP228" s="26"/>
      <c r="GGT228" s="23"/>
      <c r="GGY228" s="26"/>
      <c r="GHC228" s="23"/>
      <c r="GHH228" s="26"/>
      <c r="GHL228" s="23"/>
      <c r="GHQ228" s="26"/>
      <c r="GHU228" s="23"/>
      <c r="GHZ228" s="26"/>
      <c r="GID228" s="23"/>
      <c r="GII228" s="26"/>
      <c r="GIM228" s="23"/>
      <c r="GIR228" s="26"/>
      <c r="GIV228" s="23"/>
      <c r="GJA228" s="26"/>
      <c r="GJE228" s="23"/>
      <c r="GJJ228" s="26"/>
      <c r="GJN228" s="23"/>
      <c r="GJS228" s="26"/>
      <c r="GJW228" s="23"/>
      <c r="GKB228" s="26"/>
      <c r="GKF228" s="23"/>
      <c r="GKK228" s="26"/>
      <c r="GKO228" s="23"/>
      <c r="GKT228" s="26"/>
      <c r="GKX228" s="23"/>
      <c r="GLC228" s="26"/>
      <c r="GLG228" s="23"/>
      <c r="GLL228" s="26"/>
      <c r="GLP228" s="23"/>
      <c r="GLU228" s="26"/>
      <c r="GLY228" s="23"/>
      <c r="GMD228" s="26"/>
      <c r="GMH228" s="23"/>
      <c r="GMM228" s="26"/>
      <c r="GMQ228" s="23"/>
      <c r="GMV228" s="26"/>
      <c r="GMZ228" s="23"/>
      <c r="GNE228" s="26"/>
      <c r="GNI228" s="23"/>
      <c r="GNN228" s="26"/>
      <c r="GNR228" s="23"/>
      <c r="GNW228" s="26"/>
      <c r="GOA228" s="23"/>
      <c r="GOF228" s="26"/>
      <c r="GOJ228" s="23"/>
      <c r="GOO228" s="26"/>
      <c r="GOS228" s="23"/>
      <c r="GOX228" s="26"/>
      <c r="GPB228" s="23"/>
      <c r="GPG228" s="26"/>
      <c r="GPK228" s="23"/>
      <c r="GPP228" s="26"/>
      <c r="GPT228" s="23"/>
      <c r="GPY228" s="26"/>
      <c r="GQC228" s="23"/>
      <c r="GQH228" s="26"/>
      <c r="GQL228" s="23"/>
      <c r="GQQ228" s="26"/>
      <c r="GQU228" s="23"/>
      <c r="GQZ228" s="26"/>
      <c r="GRD228" s="23"/>
      <c r="GRI228" s="26"/>
      <c r="GRM228" s="23"/>
      <c r="GRR228" s="26"/>
      <c r="GRV228" s="23"/>
      <c r="GSA228" s="26"/>
      <c r="GSE228" s="23"/>
      <c r="GSJ228" s="26"/>
      <c r="GSN228" s="23"/>
      <c r="GSS228" s="26"/>
      <c r="GSW228" s="23"/>
      <c r="GTB228" s="26"/>
      <c r="GTF228" s="23"/>
      <c r="GTK228" s="26"/>
      <c r="GTO228" s="23"/>
      <c r="GTT228" s="26"/>
      <c r="GTX228" s="23"/>
      <c r="GUC228" s="26"/>
      <c r="GUG228" s="23"/>
      <c r="GUL228" s="26"/>
      <c r="GUP228" s="23"/>
      <c r="GUU228" s="26"/>
      <c r="GUY228" s="23"/>
      <c r="GVD228" s="26"/>
      <c r="GVH228" s="23"/>
      <c r="GVM228" s="26"/>
      <c r="GVQ228" s="23"/>
      <c r="GVV228" s="26"/>
      <c r="GVZ228" s="23"/>
      <c r="GWE228" s="26"/>
      <c r="GWI228" s="23"/>
      <c r="GWN228" s="26"/>
      <c r="GWR228" s="23"/>
      <c r="GWW228" s="26"/>
      <c r="GXA228" s="23"/>
      <c r="GXF228" s="26"/>
      <c r="GXJ228" s="23"/>
      <c r="GXO228" s="26"/>
      <c r="GXS228" s="23"/>
      <c r="GXX228" s="26"/>
      <c r="GYB228" s="23"/>
      <c r="GYG228" s="26"/>
      <c r="GYK228" s="23"/>
      <c r="GYP228" s="26"/>
      <c r="GYT228" s="23"/>
      <c r="GYY228" s="26"/>
      <c r="GZC228" s="23"/>
      <c r="GZH228" s="26"/>
      <c r="GZL228" s="23"/>
      <c r="GZQ228" s="26"/>
      <c r="GZU228" s="23"/>
      <c r="GZZ228" s="26"/>
      <c r="HAD228" s="23"/>
      <c r="HAI228" s="26"/>
      <c r="HAM228" s="23"/>
      <c r="HAR228" s="26"/>
      <c r="HAV228" s="23"/>
      <c r="HBA228" s="26"/>
      <c r="HBE228" s="23"/>
      <c r="HBJ228" s="26"/>
      <c r="HBN228" s="23"/>
      <c r="HBS228" s="26"/>
      <c r="HBW228" s="23"/>
      <c r="HCB228" s="26"/>
      <c r="HCF228" s="23"/>
      <c r="HCK228" s="26"/>
      <c r="HCO228" s="23"/>
      <c r="HCT228" s="26"/>
      <c r="HCX228" s="23"/>
      <c r="HDC228" s="26"/>
      <c r="HDG228" s="23"/>
      <c r="HDL228" s="26"/>
      <c r="HDP228" s="23"/>
      <c r="HDU228" s="26"/>
      <c r="HDY228" s="23"/>
      <c r="HED228" s="26"/>
      <c r="HEH228" s="23"/>
      <c r="HEM228" s="26"/>
      <c r="HEQ228" s="23"/>
      <c r="HEV228" s="26"/>
      <c r="HEZ228" s="23"/>
      <c r="HFE228" s="26"/>
      <c r="HFI228" s="23"/>
      <c r="HFN228" s="26"/>
      <c r="HFR228" s="23"/>
      <c r="HFW228" s="26"/>
      <c r="HGA228" s="23"/>
      <c r="HGF228" s="26"/>
      <c r="HGJ228" s="23"/>
      <c r="HGO228" s="26"/>
      <c r="HGS228" s="23"/>
      <c r="HGX228" s="26"/>
      <c r="HHB228" s="23"/>
      <c r="HHG228" s="26"/>
      <c r="HHK228" s="23"/>
      <c r="HHP228" s="26"/>
      <c r="HHT228" s="23"/>
      <c r="HHY228" s="26"/>
      <c r="HIC228" s="23"/>
      <c r="HIH228" s="26"/>
      <c r="HIL228" s="23"/>
      <c r="HIQ228" s="26"/>
      <c r="HIU228" s="23"/>
      <c r="HIZ228" s="26"/>
      <c r="HJD228" s="23"/>
      <c r="HJI228" s="26"/>
      <c r="HJM228" s="23"/>
      <c r="HJR228" s="26"/>
      <c r="HJV228" s="23"/>
      <c r="HKA228" s="26"/>
      <c r="HKE228" s="23"/>
      <c r="HKJ228" s="26"/>
      <c r="HKN228" s="23"/>
      <c r="HKS228" s="26"/>
      <c r="HKW228" s="23"/>
      <c r="HLB228" s="26"/>
      <c r="HLF228" s="23"/>
      <c r="HLK228" s="26"/>
      <c r="HLO228" s="23"/>
      <c r="HLT228" s="26"/>
      <c r="HLX228" s="23"/>
      <c r="HMC228" s="26"/>
      <c r="HMG228" s="23"/>
      <c r="HML228" s="26"/>
      <c r="HMP228" s="23"/>
      <c r="HMU228" s="26"/>
      <c r="HMY228" s="23"/>
      <c r="HND228" s="26"/>
      <c r="HNH228" s="23"/>
      <c r="HNM228" s="26"/>
      <c r="HNQ228" s="23"/>
      <c r="HNV228" s="26"/>
      <c r="HNZ228" s="23"/>
      <c r="HOE228" s="26"/>
      <c r="HOI228" s="23"/>
      <c r="HON228" s="26"/>
      <c r="HOR228" s="23"/>
      <c r="HOW228" s="26"/>
      <c r="HPA228" s="23"/>
      <c r="HPF228" s="26"/>
      <c r="HPJ228" s="23"/>
      <c r="HPO228" s="26"/>
      <c r="HPS228" s="23"/>
      <c r="HPX228" s="26"/>
      <c r="HQB228" s="23"/>
      <c r="HQG228" s="26"/>
      <c r="HQK228" s="23"/>
      <c r="HQP228" s="26"/>
      <c r="HQT228" s="23"/>
      <c r="HQY228" s="26"/>
      <c r="HRC228" s="23"/>
      <c r="HRH228" s="26"/>
      <c r="HRL228" s="23"/>
      <c r="HRQ228" s="26"/>
      <c r="HRU228" s="23"/>
      <c r="HRZ228" s="26"/>
      <c r="HSD228" s="23"/>
      <c r="HSI228" s="26"/>
      <c r="HSM228" s="23"/>
      <c r="HSR228" s="26"/>
      <c r="HSV228" s="23"/>
      <c r="HTA228" s="26"/>
      <c r="HTE228" s="23"/>
      <c r="HTJ228" s="26"/>
      <c r="HTN228" s="23"/>
      <c r="HTS228" s="26"/>
      <c r="HTW228" s="23"/>
      <c r="HUB228" s="26"/>
      <c r="HUF228" s="23"/>
      <c r="HUK228" s="26"/>
      <c r="HUO228" s="23"/>
      <c r="HUT228" s="26"/>
      <c r="HUX228" s="23"/>
      <c r="HVC228" s="26"/>
      <c r="HVG228" s="23"/>
      <c r="HVL228" s="26"/>
      <c r="HVP228" s="23"/>
      <c r="HVU228" s="26"/>
      <c r="HVY228" s="23"/>
      <c r="HWD228" s="26"/>
      <c r="HWH228" s="23"/>
      <c r="HWM228" s="26"/>
      <c r="HWQ228" s="23"/>
      <c r="HWV228" s="26"/>
      <c r="HWZ228" s="23"/>
      <c r="HXE228" s="26"/>
      <c r="HXI228" s="23"/>
      <c r="HXN228" s="26"/>
      <c r="HXR228" s="23"/>
      <c r="HXW228" s="26"/>
      <c r="HYA228" s="23"/>
      <c r="HYF228" s="26"/>
      <c r="HYJ228" s="23"/>
      <c r="HYO228" s="26"/>
      <c r="HYS228" s="23"/>
      <c r="HYX228" s="26"/>
      <c r="HZB228" s="23"/>
      <c r="HZG228" s="26"/>
      <c r="HZK228" s="23"/>
      <c r="HZP228" s="26"/>
      <c r="HZT228" s="23"/>
      <c r="HZY228" s="26"/>
      <c r="IAC228" s="23"/>
      <c r="IAH228" s="26"/>
      <c r="IAL228" s="23"/>
      <c r="IAQ228" s="26"/>
      <c r="IAU228" s="23"/>
      <c r="IAZ228" s="26"/>
      <c r="IBD228" s="23"/>
      <c r="IBI228" s="26"/>
      <c r="IBM228" s="23"/>
      <c r="IBR228" s="26"/>
      <c r="IBV228" s="23"/>
      <c r="ICA228" s="26"/>
      <c r="ICE228" s="23"/>
      <c r="ICJ228" s="26"/>
      <c r="ICN228" s="23"/>
      <c r="ICS228" s="26"/>
      <c r="ICW228" s="23"/>
      <c r="IDB228" s="26"/>
      <c r="IDF228" s="23"/>
      <c r="IDK228" s="26"/>
      <c r="IDO228" s="23"/>
      <c r="IDT228" s="26"/>
      <c r="IDX228" s="23"/>
      <c r="IEC228" s="26"/>
      <c r="IEG228" s="23"/>
      <c r="IEL228" s="26"/>
      <c r="IEP228" s="23"/>
      <c r="IEU228" s="26"/>
      <c r="IEY228" s="23"/>
      <c r="IFD228" s="26"/>
      <c r="IFH228" s="23"/>
      <c r="IFM228" s="26"/>
      <c r="IFQ228" s="23"/>
      <c r="IFV228" s="26"/>
      <c r="IFZ228" s="23"/>
      <c r="IGE228" s="26"/>
      <c r="IGI228" s="23"/>
      <c r="IGN228" s="26"/>
      <c r="IGR228" s="23"/>
      <c r="IGW228" s="26"/>
      <c r="IHA228" s="23"/>
      <c r="IHF228" s="26"/>
      <c r="IHJ228" s="23"/>
      <c r="IHO228" s="26"/>
      <c r="IHS228" s="23"/>
      <c r="IHX228" s="26"/>
      <c r="IIB228" s="23"/>
      <c r="IIG228" s="26"/>
      <c r="IIK228" s="23"/>
      <c r="IIP228" s="26"/>
      <c r="IIT228" s="23"/>
      <c r="IIY228" s="26"/>
      <c r="IJC228" s="23"/>
      <c r="IJH228" s="26"/>
      <c r="IJL228" s="23"/>
      <c r="IJQ228" s="26"/>
      <c r="IJU228" s="23"/>
      <c r="IJZ228" s="26"/>
      <c r="IKD228" s="23"/>
      <c r="IKI228" s="26"/>
      <c r="IKM228" s="23"/>
      <c r="IKR228" s="26"/>
      <c r="IKV228" s="23"/>
      <c r="ILA228" s="26"/>
      <c r="ILE228" s="23"/>
      <c r="ILJ228" s="26"/>
      <c r="ILN228" s="23"/>
      <c r="ILS228" s="26"/>
      <c r="ILW228" s="23"/>
      <c r="IMB228" s="26"/>
      <c r="IMF228" s="23"/>
      <c r="IMK228" s="26"/>
      <c r="IMO228" s="23"/>
      <c r="IMT228" s="26"/>
      <c r="IMX228" s="23"/>
      <c r="INC228" s="26"/>
      <c r="ING228" s="23"/>
      <c r="INL228" s="26"/>
      <c r="INP228" s="23"/>
      <c r="INU228" s="26"/>
      <c r="INY228" s="23"/>
      <c r="IOD228" s="26"/>
      <c r="IOH228" s="23"/>
      <c r="IOM228" s="26"/>
      <c r="IOQ228" s="23"/>
      <c r="IOV228" s="26"/>
      <c r="IOZ228" s="23"/>
      <c r="IPE228" s="26"/>
      <c r="IPI228" s="23"/>
      <c r="IPN228" s="26"/>
      <c r="IPR228" s="23"/>
      <c r="IPW228" s="26"/>
      <c r="IQA228" s="23"/>
      <c r="IQF228" s="26"/>
      <c r="IQJ228" s="23"/>
      <c r="IQO228" s="26"/>
      <c r="IQS228" s="23"/>
      <c r="IQX228" s="26"/>
      <c r="IRB228" s="23"/>
      <c r="IRG228" s="26"/>
      <c r="IRK228" s="23"/>
      <c r="IRP228" s="26"/>
      <c r="IRT228" s="23"/>
      <c r="IRY228" s="26"/>
      <c r="ISC228" s="23"/>
      <c r="ISH228" s="26"/>
      <c r="ISL228" s="23"/>
      <c r="ISQ228" s="26"/>
      <c r="ISU228" s="23"/>
      <c r="ISZ228" s="26"/>
      <c r="ITD228" s="23"/>
      <c r="ITI228" s="26"/>
      <c r="ITM228" s="23"/>
      <c r="ITR228" s="26"/>
      <c r="ITV228" s="23"/>
      <c r="IUA228" s="26"/>
      <c r="IUE228" s="23"/>
      <c r="IUJ228" s="26"/>
      <c r="IUN228" s="23"/>
      <c r="IUS228" s="26"/>
      <c r="IUW228" s="23"/>
      <c r="IVB228" s="26"/>
      <c r="IVF228" s="23"/>
      <c r="IVK228" s="26"/>
      <c r="IVO228" s="23"/>
      <c r="IVT228" s="26"/>
      <c r="IVX228" s="23"/>
      <c r="IWC228" s="26"/>
      <c r="IWG228" s="23"/>
      <c r="IWL228" s="26"/>
      <c r="IWP228" s="23"/>
      <c r="IWU228" s="26"/>
      <c r="IWY228" s="23"/>
      <c r="IXD228" s="26"/>
      <c r="IXH228" s="23"/>
      <c r="IXM228" s="26"/>
      <c r="IXQ228" s="23"/>
      <c r="IXV228" s="26"/>
      <c r="IXZ228" s="23"/>
      <c r="IYE228" s="26"/>
      <c r="IYI228" s="23"/>
      <c r="IYN228" s="26"/>
      <c r="IYR228" s="23"/>
      <c r="IYW228" s="26"/>
      <c r="IZA228" s="23"/>
      <c r="IZF228" s="26"/>
      <c r="IZJ228" s="23"/>
      <c r="IZO228" s="26"/>
      <c r="IZS228" s="23"/>
      <c r="IZX228" s="26"/>
      <c r="JAB228" s="23"/>
      <c r="JAG228" s="26"/>
      <c r="JAK228" s="23"/>
      <c r="JAP228" s="26"/>
      <c r="JAT228" s="23"/>
      <c r="JAY228" s="26"/>
      <c r="JBC228" s="23"/>
      <c r="JBH228" s="26"/>
      <c r="JBL228" s="23"/>
      <c r="JBQ228" s="26"/>
      <c r="JBU228" s="23"/>
      <c r="JBZ228" s="26"/>
      <c r="JCD228" s="23"/>
      <c r="JCI228" s="26"/>
      <c r="JCM228" s="23"/>
      <c r="JCR228" s="26"/>
      <c r="JCV228" s="23"/>
      <c r="JDA228" s="26"/>
      <c r="JDE228" s="23"/>
      <c r="JDJ228" s="26"/>
      <c r="JDN228" s="23"/>
      <c r="JDS228" s="26"/>
      <c r="JDW228" s="23"/>
      <c r="JEB228" s="26"/>
      <c r="JEF228" s="23"/>
      <c r="JEK228" s="26"/>
      <c r="JEO228" s="23"/>
      <c r="JET228" s="26"/>
      <c r="JEX228" s="23"/>
      <c r="JFC228" s="26"/>
      <c r="JFG228" s="23"/>
      <c r="JFL228" s="26"/>
      <c r="JFP228" s="23"/>
      <c r="JFU228" s="26"/>
      <c r="JFY228" s="23"/>
      <c r="JGD228" s="26"/>
      <c r="JGH228" s="23"/>
      <c r="JGM228" s="26"/>
      <c r="JGQ228" s="23"/>
      <c r="JGV228" s="26"/>
      <c r="JGZ228" s="23"/>
      <c r="JHE228" s="26"/>
      <c r="JHI228" s="23"/>
      <c r="JHN228" s="26"/>
      <c r="JHR228" s="23"/>
      <c r="JHW228" s="26"/>
      <c r="JIA228" s="23"/>
      <c r="JIF228" s="26"/>
      <c r="JIJ228" s="23"/>
      <c r="JIO228" s="26"/>
      <c r="JIS228" s="23"/>
      <c r="JIX228" s="26"/>
      <c r="JJB228" s="23"/>
      <c r="JJG228" s="26"/>
      <c r="JJK228" s="23"/>
      <c r="JJP228" s="26"/>
      <c r="JJT228" s="23"/>
      <c r="JJY228" s="26"/>
      <c r="JKC228" s="23"/>
      <c r="JKH228" s="26"/>
      <c r="JKL228" s="23"/>
      <c r="JKQ228" s="26"/>
      <c r="JKU228" s="23"/>
      <c r="JKZ228" s="26"/>
      <c r="JLD228" s="23"/>
      <c r="JLI228" s="26"/>
      <c r="JLM228" s="23"/>
      <c r="JLR228" s="26"/>
      <c r="JLV228" s="23"/>
      <c r="JMA228" s="26"/>
      <c r="JME228" s="23"/>
      <c r="JMJ228" s="26"/>
      <c r="JMN228" s="23"/>
      <c r="JMS228" s="26"/>
      <c r="JMW228" s="23"/>
      <c r="JNB228" s="26"/>
      <c r="JNF228" s="23"/>
      <c r="JNK228" s="26"/>
      <c r="JNO228" s="23"/>
      <c r="JNT228" s="26"/>
      <c r="JNX228" s="23"/>
      <c r="JOC228" s="26"/>
      <c r="JOG228" s="23"/>
      <c r="JOL228" s="26"/>
      <c r="JOP228" s="23"/>
      <c r="JOU228" s="26"/>
      <c r="JOY228" s="23"/>
      <c r="JPD228" s="26"/>
      <c r="JPH228" s="23"/>
      <c r="JPM228" s="26"/>
      <c r="JPQ228" s="23"/>
      <c r="JPV228" s="26"/>
      <c r="JPZ228" s="23"/>
      <c r="JQE228" s="26"/>
      <c r="JQI228" s="23"/>
      <c r="JQN228" s="26"/>
      <c r="JQR228" s="23"/>
      <c r="JQW228" s="26"/>
      <c r="JRA228" s="23"/>
      <c r="JRF228" s="26"/>
      <c r="JRJ228" s="23"/>
      <c r="JRO228" s="26"/>
      <c r="JRS228" s="23"/>
      <c r="JRX228" s="26"/>
      <c r="JSB228" s="23"/>
      <c r="JSG228" s="26"/>
      <c r="JSK228" s="23"/>
      <c r="JSP228" s="26"/>
      <c r="JST228" s="23"/>
      <c r="JSY228" s="26"/>
      <c r="JTC228" s="23"/>
      <c r="JTH228" s="26"/>
      <c r="JTL228" s="23"/>
      <c r="JTQ228" s="26"/>
      <c r="JTU228" s="23"/>
      <c r="JTZ228" s="26"/>
      <c r="JUD228" s="23"/>
      <c r="JUI228" s="26"/>
      <c r="JUM228" s="23"/>
      <c r="JUR228" s="26"/>
      <c r="JUV228" s="23"/>
      <c r="JVA228" s="26"/>
      <c r="JVE228" s="23"/>
      <c r="JVJ228" s="26"/>
      <c r="JVN228" s="23"/>
      <c r="JVS228" s="26"/>
      <c r="JVW228" s="23"/>
      <c r="JWB228" s="26"/>
      <c r="JWF228" s="23"/>
      <c r="JWK228" s="26"/>
      <c r="JWO228" s="23"/>
      <c r="JWT228" s="26"/>
      <c r="JWX228" s="23"/>
      <c r="JXC228" s="26"/>
      <c r="JXG228" s="23"/>
      <c r="JXL228" s="26"/>
      <c r="JXP228" s="23"/>
      <c r="JXU228" s="26"/>
      <c r="JXY228" s="23"/>
      <c r="JYD228" s="26"/>
      <c r="JYH228" s="23"/>
      <c r="JYM228" s="26"/>
      <c r="JYQ228" s="23"/>
      <c r="JYV228" s="26"/>
      <c r="JYZ228" s="23"/>
      <c r="JZE228" s="26"/>
      <c r="JZI228" s="23"/>
      <c r="JZN228" s="26"/>
      <c r="JZR228" s="23"/>
      <c r="JZW228" s="26"/>
      <c r="KAA228" s="23"/>
      <c r="KAF228" s="26"/>
      <c r="KAJ228" s="23"/>
      <c r="KAO228" s="26"/>
      <c r="KAS228" s="23"/>
      <c r="KAX228" s="26"/>
      <c r="KBB228" s="23"/>
      <c r="KBG228" s="26"/>
      <c r="KBK228" s="23"/>
      <c r="KBP228" s="26"/>
      <c r="KBT228" s="23"/>
      <c r="KBY228" s="26"/>
      <c r="KCC228" s="23"/>
      <c r="KCH228" s="26"/>
      <c r="KCL228" s="23"/>
      <c r="KCQ228" s="26"/>
      <c r="KCU228" s="23"/>
      <c r="KCZ228" s="26"/>
      <c r="KDD228" s="23"/>
      <c r="KDI228" s="26"/>
      <c r="KDM228" s="23"/>
      <c r="KDR228" s="26"/>
      <c r="KDV228" s="23"/>
      <c r="KEA228" s="26"/>
      <c r="KEE228" s="23"/>
      <c r="KEJ228" s="26"/>
      <c r="KEN228" s="23"/>
      <c r="KES228" s="26"/>
      <c r="KEW228" s="23"/>
      <c r="KFB228" s="26"/>
      <c r="KFF228" s="23"/>
      <c r="KFK228" s="26"/>
      <c r="KFO228" s="23"/>
      <c r="KFT228" s="26"/>
      <c r="KFX228" s="23"/>
      <c r="KGC228" s="26"/>
      <c r="KGG228" s="23"/>
      <c r="KGL228" s="26"/>
      <c r="KGP228" s="23"/>
      <c r="KGU228" s="26"/>
      <c r="KGY228" s="23"/>
      <c r="KHD228" s="26"/>
      <c r="KHH228" s="23"/>
      <c r="KHM228" s="26"/>
      <c r="KHQ228" s="23"/>
      <c r="KHV228" s="26"/>
      <c r="KHZ228" s="23"/>
      <c r="KIE228" s="26"/>
      <c r="KII228" s="23"/>
      <c r="KIN228" s="26"/>
      <c r="KIR228" s="23"/>
      <c r="KIW228" s="26"/>
      <c r="KJA228" s="23"/>
      <c r="KJF228" s="26"/>
      <c r="KJJ228" s="23"/>
      <c r="KJO228" s="26"/>
      <c r="KJS228" s="23"/>
      <c r="KJX228" s="26"/>
      <c r="KKB228" s="23"/>
      <c r="KKG228" s="26"/>
      <c r="KKK228" s="23"/>
      <c r="KKP228" s="26"/>
      <c r="KKT228" s="23"/>
      <c r="KKY228" s="26"/>
      <c r="KLC228" s="23"/>
      <c r="KLH228" s="26"/>
      <c r="KLL228" s="23"/>
      <c r="KLQ228" s="26"/>
      <c r="KLU228" s="23"/>
      <c r="KLZ228" s="26"/>
      <c r="KMD228" s="23"/>
      <c r="KMI228" s="26"/>
      <c r="KMM228" s="23"/>
      <c r="KMR228" s="26"/>
      <c r="KMV228" s="23"/>
      <c r="KNA228" s="26"/>
      <c r="KNE228" s="23"/>
      <c r="KNJ228" s="26"/>
      <c r="KNN228" s="23"/>
      <c r="KNS228" s="26"/>
      <c r="KNW228" s="23"/>
      <c r="KOB228" s="26"/>
      <c r="KOF228" s="23"/>
      <c r="KOK228" s="26"/>
      <c r="KOO228" s="23"/>
      <c r="KOT228" s="26"/>
      <c r="KOX228" s="23"/>
      <c r="KPC228" s="26"/>
      <c r="KPG228" s="23"/>
      <c r="KPL228" s="26"/>
      <c r="KPP228" s="23"/>
      <c r="KPU228" s="26"/>
      <c r="KPY228" s="23"/>
      <c r="KQD228" s="26"/>
      <c r="KQH228" s="23"/>
      <c r="KQM228" s="26"/>
      <c r="KQQ228" s="23"/>
      <c r="KQV228" s="26"/>
      <c r="KQZ228" s="23"/>
      <c r="KRE228" s="26"/>
      <c r="KRI228" s="23"/>
      <c r="KRN228" s="26"/>
      <c r="KRR228" s="23"/>
      <c r="KRW228" s="26"/>
      <c r="KSA228" s="23"/>
      <c r="KSF228" s="26"/>
      <c r="KSJ228" s="23"/>
      <c r="KSO228" s="26"/>
      <c r="KSS228" s="23"/>
      <c r="KSX228" s="26"/>
      <c r="KTB228" s="23"/>
      <c r="KTG228" s="26"/>
      <c r="KTK228" s="23"/>
      <c r="KTP228" s="26"/>
      <c r="KTT228" s="23"/>
      <c r="KTY228" s="26"/>
      <c r="KUC228" s="23"/>
      <c r="KUH228" s="26"/>
      <c r="KUL228" s="23"/>
      <c r="KUQ228" s="26"/>
      <c r="KUU228" s="23"/>
      <c r="KUZ228" s="26"/>
      <c r="KVD228" s="23"/>
      <c r="KVI228" s="26"/>
      <c r="KVM228" s="23"/>
      <c r="KVR228" s="26"/>
      <c r="KVV228" s="23"/>
      <c r="KWA228" s="26"/>
      <c r="KWE228" s="23"/>
      <c r="KWJ228" s="26"/>
      <c r="KWN228" s="23"/>
      <c r="KWS228" s="26"/>
      <c r="KWW228" s="23"/>
      <c r="KXB228" s="26"/>
      <c r="KXF228" s="23"/>
      <c r="KXK228" s="26"/>
      <c r="KXO228" s="23"/>
      <c r="KXT228" s="26"/>
      <c r="KXX228" s="23"/>
      <c r="KYC228" s="26"/>
      <c r="KYG228" s="23"/>
      <c r="KYL228" s="26"/>
      <c r="KYP228" s="23"/>
      <c r="KYU228" s="26"/>
      <c r="KYY228" s="23"/>
      <c r="KZD228" s="26"/>
      <c r="KZH228" s="23"/>
      <c r="KZM228" s="26"/>
      <c r="KZQ228" s="23"/>
      <c r="KZV228" s="26"/>
      <c r="KZZ228" s="23"/>
      <c r="LAE228" s="26"/>
      <c r="LAI228" s="23"/>
      <c r="LAN228" s="26"/>
      <c r="LAR228" s="23"/>
      <c r="LAW228" s="26"/>
      <c r="LBA228" s="23"/>
      <c r="LBF228" s="26"/>
      <c r="LBJ228" s="23"/>
      <c r="LBO228" s="26"/>
      <c r="LBS228" s="23"/>
      <c r="LBX228" s="26"/>
      <c r="LCB228" s="23"/>
      <c r="LCG228" s="26"/>
      <c r="LCK228" s="23"/>
      <c r="LCP228" s="26"/>
      <c r="LCT228" s="23"/>
      <c r="LCY228" s="26"/>
      <c r="LDC228" s="23"/>
      <c r="LDH228" s="26"/>
      <c r="LDL228" s="23"/>
      <c r="LDQ228" s="26"/>
      <c r="LDU228" s="23"/>
      <c r="LDZ228" s="26"/>
      <c r="LED228" s="23"/>
      <c r="LEI228" s="26"/>
      <c r="LEM228" s="23"/>
      <c r="LER228" s="26"/>
      <c r="LEV228" s="23"/>
      <c r="LFA228" s="26"/>
      <c r="LFE228" s="23"/>
      <c r="LFJ228" s="26"/>
      <c r="LFN228" s="23"/>
      <c r="LFS228" s="26"/>
      <c r="LFW228" s="23"/>
      <c r="LGB228" s="26"/>
      <c r="LGF228" s="23"/>
      <c r="LGK228" s="26"/>
      <c r="LGO228" s="23"/>
      <c r="LGT228" s="26"/>
      <c r="LGX228" s="23"/>
      <c r="LHC228" s="26"/>
      <c r="LHG228" s="23"/>
      <c r="LHL228" s="26"/>
      <c r="LHP228" s="23"/>
      <c r="LHU228" s="26"/>
      <c r="LHY228" s="23"/>
      <c r="LID228" s="26"/>
      <c r="LIH228" s="23"/>
      <c r="LIM228" s="26"/>
      <c r="LIQ228" s="23"/>
      <c r="LIV228" s="26"/>
      <c r="LIZ228" s="23"/>
      <c r="LJE228" s="26"/>
      <c r="LJI228" s="23"/>
      <c r="LJN228" s="26"/>
      <c r="LJR228" s="23"/>
      <c r="LJW228" s="26"/>
      <c r="LKA228" s="23"/>
      <c r="LKF228" s="26"/>
      <c r="LKJ228" s="23"/>
      <c r="LKO228" s="26"/>
      <c r="LKS228" s="23"/>
      <c r="LKX228" s="26"/>
      <c r="LLB228" s="23"/>
      <c r="LLG228" s="26"/>
      <c r="LLK228" s="23"/>
      <c r="LLP228" s="26"/>
      <c r="LLT228" s="23"/>
      <c r="LLY228" s="26"/>
      <c r="LMC228" s="23"/>
      <c r="LMH228" s="26"/>
      <c r="LML228" s="23"/>
      <c r="LMQ228" s="26"/>
      <c r="LMU228" s="23"/>
      <c r="LMZ228" s="26"/>
      <c r="LND228" s="23"/>
      <c r="LNI228" s="26"/>
      <c r="LNM228" s="23"/>
      <c r="LNR228" s="26"/>
      <c r="LNV228" s="23"/>
      <c r="LOA228" s="26"/>
      <c r="LOE228" s="23"/>
      <c r="LOJ228" s="26"/>
      <c r="LON228" s="23"/>
      <c r="LOS228" s="26"/>
      <c r="LOW228" s="23"/>
      <c r="LPB228" s="26"/>
      <c r="LPF228" s="23"/>
      <c r="LPK228" s="26"/>
      <c r="LPO228" s="23"/>
      <c r="LPT228" s="26"/>
      <c r="LPX228" s="23"/>
      <c r="LQC228" s="26"/>
      <c r="LQG228" s="23"/>
      <c r="LQL228" s="26"/>
      <c r="LQP228" s="23"/>
      <c r="LQU228" s="26"/>
      <c r="LQY228" s="23"/>
      <c r="LRD228" s="26"/>
      <c r="LRH228" s="23"/>
      <c r="LRM228" s="26"/>
      <c r="LRQ228" s="23"/>
      <c r="LRV228" s="26"/>
      <c r="LRZ228" s="23"/>
      <c r="LSE228" s="26"/>
      <c r="LSI228" s="23"/>
      <c r="LSN228" s="26"/>
      <c r="LSR228" s="23"/>
      <c r="LSW228" s="26"/>
      <c r="LTA228" s="23"/>
      <c r="LTF228" s="26"/>
      <c r="LTJ228" s="23"/>
      <c r="LTO228" s="26"/>
      <c r="LTS228" s="23"/>
      <c r="LTX228" s="26"/>
      <c r="LUB228" s="23"/>
      <c r="LUG228" s="26"/>
      <c r="LUK228" s="23"/>
      <c r="LUP228" s="26"/>
      <c r="LUT228" s="23"/>
      <c r="LUY228" s="26"/>
      <c r="LVC228" s="23"/>
      <c r="LVH228" s="26"/>
      <c r="LVL228" s="23"/>
      <c r="LVQ228" s="26"/>
      <c r="LVU228" s="23"/>
      <c r="LVZ228" s="26"/>
      <c r="LWD228" s="23"/>
      <c r="LWI228" s="26"/>
      <c r="LWM228" s="23"/>
      <c r="LWR228" s="26"/>
      <c r="LWV228" s="23"/>
      <c r="LXA228" s="26"/>
      <c r="LXE228" s="23"/>
      <c r="LXJ228" s="26"/>
      <c r="LXN228" s="23"/>
      <c r="LXS228" s="26"/>
      <c r="LXW228" s="23"/>
      <c r="LYB228" s="26"/>
      <c r="LYF228" s="23"/>
      <c r="LYK228" s="26"/>
      <c r="LYO228" s="23"/>
      <c r="LYT228" s="26"/>
      <c r="LYX228" s="23"/>
      <c r="LZC228" s="26"/>
      <c r="LZG228" s="23"/>
      <c r="LZL228" s="26"/>
      <c r="LZP228" s="23"/>
      <c r="LZU228" s="26"/>
      <c r="LZY228" s="23"/>
      <c r="MAD228" s="26"/>
      <c r="MAH228" s="23"/>
      <c r="MAM228" s="26"/>
      <c r="MAQ228" s="23"/>
      <c r="MAV228" s="26"/>
      <c r="MAZ228" s="23"/>
      <c r="MBE228" s="26"/>
      <c r="MBI228" s="23"/>
      <c r="MBN228" s="26"/>
      <c r="MBR228" s="23"/>
      <c r="MBW228" s="26"/>
      <c r="MCA228" s="23"/>
      <c r="MCF228" s="26"/>
      <c r="MCJ228" s="23"/>
      <c r="MCO228" s="26"/>
      <c r="MCS228" s="23"/>
      <c r="MCX228" s="26"/>
      <c r="MDB228" s="23"/>
      <c r="MDG228" s="26"/>
      <c r="MDK228" s="23"/>
      <c r="MDP228" s="26"/>
      <c r="MDT228" s="23"/>
      <c r="MDY228" s="26"/>
      <c r="MEC228" s="23"/>
      <c r="MEH228" s="26"/>
      <c r="MEL228" s="23"/>
      <c r="MEQ228" s="26"/>
      <c r="MEU228" s="23"/>
      <c r="MEZ228" s="26"/>
      <c r="MFD228" s="23"/>
      <c r="MFI228" s="26"/>
      <c r="MFM228" s="23"/>
      <c r="MFR228" s="26"/>
      <c r="MFV228" s="23"/>
      <c r="MGA228" s="26"/>
      <c r="MGE228" s="23"/>
      <c r="MGJ228" s="26"/>
      <c r="MGN228" s="23"/>
      <c r="MGS228" s="26"/>
      <c r="MGW228" s="23"/>
      <c r="MHB228" s="26"/>
      <c r="MHF228" s="23"/>
      <c r="MHK228" s="26"/>
      <c r="MHO228" s="23"/>
      <c r="MHT228" s="26"/>
      <c r="MHX228" s="23"/>
      <c r="MIC228" s="26"/>
      <c r="MIG228" s="23"/>
      <c r="MIL228" s="26"/>
      <c r="MIP228" s="23"/>
      <c r="MIU228" s="26"/>
      <c r="MIY228" s="23"/>
      <c r="MJD228" s="26"/>
      <c r="MJH228" s="23"/>
      <c r="MJM228" s="26"/>
      <c r="MJQ228" s="23"/>
      <c r="MJV228" s="26"/>
      <c r="MJZ228" s="23"/>
      <c r="MKE228" s="26"/>
      <c r="MKI228" s="23"/>
      <c r="MKN228" s="26"/>
      <c r="MKR228" s="23"/>
      <c r="MKW228" s="26"/>
      <c r="MLA228" s="23"/>
      <c r="MLF228" s="26"/>
      <c r="MLJ228" s="23"/>
      <c r="MLO228" s="26"/>
      <c r="MLS228" s="23"/>
      <c r="MLX228" s="26"/>
      <c r="MMB228" s="23"/>
      <c r="MMG228" s="26"/>
      <c r="MMK228" s="23"/>
      <c r="MMP228" s="26"/>
      <c r="MMT228" s="23"/>
      <c r="MMY228" s="26"/>
      <c r="MNC228" s="23"/>
      <c r="MNH228" s="26"/>
      <c r="MNL228" s="23"/>
      <c r="MNQ228" s="26"/>
      <c r="MNU228" s="23"/>
      <c r="MNZ228" s="26"/>
      <c r="MOD228" s="23"/>
      <c r="MOI228" s="26"/>
      <c r="MOM228" s="23"/>
      <c r="MOR228" s="26"/>
      <c r="MOV228" s="23"/>
      <c r="MPA228" s="26"/>
      <c r="MPE228" s="23"/>
      <c r="MPJ228" s="26"/>
      <c r="MPN228" s="23"/>
      <c r="MPS228" s="26"/>
      <c r="MPW228" s="23"/>
      <c r="MQB228" s="26"/>
      <c r="MQF228" s="23"/>
      <c r="MQK228" s="26"/>
      <c r="MQO228" s="23"/>
      <c r="MQT228" s="26"/>
      <c r="MQX228" s="23"/>
      <c r="MRC228" s="26"/>
      <c r="MRG228" s="23"/>
      <c r="MRL228" s="26"/>
      <c r="MRP228" s="23"/>
      <c r="MRU228" s="26"/>
      <c r="MRY228" s="23"/>
      <c r="MSD228" s="26"/>
      <c r="MSH228" s="23"/>
      <c r="MSM228" s="26"/>
      <c r="MSQ228" s="23"/>
      <c r="MSV228" s="26"/>
      <c r="MSZ228" s="23"/>
      <c r="MTE228" s="26"/>
      <c r="MTI228" s="23"/>
      <c r="MTN228" s="26"/>
      <c r="MTR228" s="23"/>
      <c r="MTW228" s="26"/>
      <c r="MUA228" s="23"/>
      <c r="MUF228" s="26"/>
      <c r="MUJ228" s="23"/>
      <c r="MUO228" s="26"/>
      <c r="MUS228" s="23"/>
      <c r="MUX228" s="26"/>
      <c r="MVB228" s="23"/>
      <c r="MVG228" s="26"/>
      <c r="MVK228" s="23"/>
      <c r="MVP228" s="26"/>
      <c r="MVT228" s="23"/>
      <c r="MVY228" s="26"/>
      <c r="MWC228" s="23"/>
      <c r="MWH228" s="26"/>
      <c r="MWL228" s="23"/>
      <c r="MWQ228" s="26"/>
      <c r="MWU228" s="23"/>
      <c r="MWZ228" s="26"/>
      <c r="MXD228" s="23"/>
      <c r="MXI228" s="26"/>
      <c r="MXM228" s="23"/>
      <c r="MXR228" s="26"/>
      <c r="MXV228" s="23"/>
      <c r="MYA228" s="26"/>
      <c r="MYE228" s="23"/>
      <c r="MYJ228" s="26"/>
      <c r="MYN228" s="23"/>
      <c r="MYS228" s="26"/>
      <c r="MYW228" s="23"/>
      <c r="MZB228" s="26"/>
      <c r="MZF228" s="23"/>
      <c r="MZK228" s="26"/>
      <c r="MZO228" s="23"/>
      <c r="MZT228" s="26"/>
      <c r="MZX228" s="23"/>
      <c r="NAC228" s="26"/>
      <c r="NAG228" s="23"/>
      <c r="NAL228" s="26"/>
      <c r="NAP228" s="23"/>
      <c r="NAU228" s="26"/>
      <c r="NAY228" s="23"/>
      <c r="NBD228" s="26"/>
      <c r="NBH228" s="23"/>
      <c r="NBM228" s="26"/>
      <c r="NBQ228" s="23"/>
      <c r="NBV228" s="26"/>
      <c r="NBZ228" s="23"/>
      <c r="NCE228" s="26"/>
      <c r="NCI228" s="23"/>
      <c r="NCN228" s="26"/>
      <c r="NCR228" s="23"/>
      <c r="NCW228" s="26"/>
      <c r="NDA228" s="23"/>
      <c r="NDF228" s="26"/>
      <c r="NDJ228" s="23"/>
      <c r="NDO228" s="26"/>
      <c r="NDS228" s="23"/>
      <c r="NDX228" s="26"/>
      <c r="NEB228" s="23"/>
      <c r="NEG228" s="26"/>
      <c r="NEK228" s="23"/>
      <c r="NEP228" s="26"/>
      <c r="NET228" s="23"/>
      <c r="NEY228" s="26"/>
      <c r="NFC228" s="23"/>
      <c r="NFH228" s="26"/>
      <c r="NFL228" s="23"/>
      <c r="NFQ228" s="26"/>
      <c r="NFU228" s="23"/>
      <c r="NFZ228" s="26"/>
      <c r="NGD228" s="23"/>
      <c r="NGI228" s="26"/>
      <c r="NGM228" s="23"/>
      <c r="NGR228" s="26"/>
      <c r="NGV228" s="23"/>
      <c r="NHA228" s="26"/>
      <c r="NHE228" s="23"/>
      <c r="NHJ228" s="26"/>
      <c r="NHN228" s="23"/>
      <c r="NHS228" s="26"/>
      <c r="NHW228" s="23"/>
      <c r="NIB228" s="26"/>
      <c r="NIF228" s="23"/>
      <c r="NIK228" s="26"/>
      <c r="NIO228" s="23"/>
      <c r="NIT228" s="26"/>
      <c r="NIX228" s="23"/>
      <c r="NJC228" s="26"/>
      <c r="NJG228" s="23"/>
      <c r="NJL228" s="26"/>
      <c r="NJP228" s="23"/>
      <c r="NJU228" s="26"/>
      <c r="NJY228" s="23"/>
      <c r="NKD228" s="26"/>
      <c r="NKH228" s="23"/>
      <c r="NKM228" s="26"/>
      <c r="NKQ228" s="23"/>
      <c r="NKV228" s="26"/>
      <c r="NKZ228" s="23"/>
      <c r="NLE228" s="26"/>
      <c r="NLI228" s="23"/>
      <c r="NLN228" s="26"/>
      <c r="NLR228" s="23"/>
      <c r="NLW228" s="26"/>
      <c r="NMA228" s="23"/>
      <c r="NMF228" s="26"/>
      <c r="NMJ228" s="23"/>
      <c r="NMO228" s="26"/>
      <c r="NMS228" s="23"/>
      <c r="NMX228" s="26"/>
      <c r="NNB228" s="23"/>
      <c r="NNG228" s="26"/>
      <c r="NNK228" s="23"/>
      <c r="NNP228" s="26"/>
      <c r="NNT228" s="23"/>
      <c r="NNY228" s="26"/>
      <c r="NOC228" s="23"/>
      <c r="NOH228" s="26"/>
      <c r="NOL228" s="23"/>
      <c r="NOQ228" s="26"/>
      <c r="NOU228" s="23"/>
      <c r="NOZ228" s="26"/>
      <c r="NPD228" s="23"/>
      <c r="NPI228" s="26"/>
      <c r="NPM228" s="23"/>
      <c r="NPR228" s="26"/>
      <c r="NPV228" s="23"/>
      <c r="NQA228" s="26"/>
      <c r="NQE228" s="23"/>
      <c r="NQJ228" s="26"/>
      <c r="NQN228" s="23"/>
      <c r="NQS228" s="26"/>
      <c r="NQW228" s="23"/>
      <c r="NRB228" s="26"/>
      <c r="NRF228" s="23"/>
      <c r="NRK228" s="26"/>
      <c r="NRO228" s="23"/>
      <c r="NRT228" s="26"/>
      <c r="NRX228" s="23"/>
      <c r="NSC228" s="26"/>
      <c r="NSG228" s="23"/>
      <c r="NSL228" s="26"/>
      <c r="NSP228" s="23"/>
      <c r="NSU228" s="26"/>
      <c r="NSY228" s="23"/>
      <c r="NTD228" s="26"/>
      <c r="NTH228" s="23"/>
      <c r="NTM228" s="26"/>
      <c r="NTQ228" s="23"/>
      <c r="NTV228" s="26"/>
      <c r="NTZ228" s="23"/>
      <c r="NUE228" s="26"/>
      <c r="NUI228" s="23"/>
      <c r="NUN228" s="26"/>
      <c r="NUR228" s="23"/>
      <c r="NUW228" s="26"/>
      <c r="NVA228" s="23"/>
      <c r="NVF228" s="26"/>
      <c r="NVJ228" s="23"/>
      <c r="NVO228" s="26"/>
      <c r="NVS228" s="23"/>
      <c r="NVX228" s="26"/>
      <c r="NWB228" s="23"/>
      <c r="NWG228" s="26"/>
      <c r="NWK228" s="23"/>
      <c r="NWP228" s="26"/>
      <c r="NWT228" s="23"/>
      <c r="NWY228" s="26"/>
      <c r="NXC228" s="23"/>
      <c r="NXH228" s="26"/>
      <c r="NXL228" s="23"/>
      <c r="NXQ228" s="26"/>
      <c r="NXU228" s="23"/>
      <c r="NXZ228" s="26"/>
      <c r="NYD228" s="23"/>
      <c r="NYI228" s="26"/>
      <c r="NYM228" s="23"/>
      <c r="NYR228" s="26"/>
      <c r="NYV228" s="23"/>
      <c r="NZA228" s="26"/>
      <c r="NZE228" s="23"/>
      <c r="NZJ228" s="26"/>
      <c r="NZN228" s="23"/>
      <c r="NZS228" s="26"/>
      <c r="NZW228" s="23"/>
      <c r="OAB228" s="26"/>
      <c r="OAF228" s="23"/>
      <c r="OAK228" s="26"/>
      <c r="OAO228" s="23"/>
      <c r="OAT228" s="26"/>
      <c r="OAX228" s="23"/>
      <c r="OBC228" s="26"/>
      <c r="OBG228" s="23"/>
      <c r="OBL228" s="26"/>
      <c r="OBP228" s="23"/>
      <c r="OBU228" s="26"/>
      <c r="OBY228" s="23"/>
      <c r="OCD228" s="26"/>
      <c r="OCH228" s="23"/>
      <c r="OCM228" s="26"/>
      <c r="OCQ228" s="23"/>
      <c r="OCV228" s="26"/>
      <c r="OCZ228" s="23"/>
      <c r="ODE228" s="26"/>
      <c r="ODI228" s="23"/>
      <c r="ODN228" s="26"/>
      <c r="ODR228" s="23"/>
      <c r="ODW228" s="26"/>
      <c r="OEA228" s="23"/>
      <c r="OEF228" s="26"/>
      <c r="OEJ228" s="23"/>
      <c r="OEO228" s="26"/>
      <c r="OES228" s="23"/>
      <c r="OEX228" s="26"/>
      <c r="OFB228" s="23"/>
      <c r="OFG228" s="26"/>
      <c r="OFK228" s="23"/>
      <c r="OFP228" s="26"/>
      <c r="OFT228" s="23"/>
      <c r="OFY228" s="26"/>
      <c r="OGC228" s="23"/>
      <c r="OGH228" s="26"/>
      <c r="OGL228" s="23"/>
      <c r="OGQ228" s="26"/>
      <c r="OGU228" s="23"/>
      <c r="OGZ228" s="26"/>
      <c r="OHD228" s="23"/>
      <c r="OHI228" s="26"/>
      <c r="OHM228" s="23"/>
      <c r="OHR228" s="26"/>
      <c r="OHV228" s="23"/>
      <c r="OIA228" s="26"/>
      <c r="OIE228" s="23"/>
      <c r="OIJ228" s="26"/>
      <c r="OIN228" s="23"/>
      <c r="OIS228" s="26"/>
      <c r="OIW228" s="23"/>
      <c r="OJB228" s="26"/>
      <c r="OJF228" s="23"/>
      <c r="OJK228" s="26"/>
      <c r="OJO228" s="23"/>
      <c r="OJT228" s="26"/>
      <c r="OJX228" s="23"/>
      <c r="OKC228" s="26"/>
      <c r="OKG228" s="23"/>
      <c r="OKL228" s="26"/>
      <c r="OKP228" s="23"/>
      <c r="OKU228" s="26"/>
      <c r="OKY228" s="23"/>
      <c r="OLD228" s="26"/>
      <c r="OLH228" s="23"/>
      <c r="OLM228" s="26"/>
      <c r="OLQ228" s="23"/>
      <c r="OLV228" s="26"/>
      <c r="OLZ228" s="23"/>
      <c r="OME228" s="26"/>
      <c r="OMI228" s="23"/>
      <c r="OMN228" s="26"/>
      <c r="OMR228" s="23"/>
      <c r="OMW228" s="26"/>
      <c r="ONA228" s="23"/>
      <c r="ONF228" s="26"/>
      <c r="ONJ228" s="23"/>
      <c r="ONO228" s="26"/>
      <c r="ONS228" s="23"/>
      <c r="ONX228" s="26"/>
      <c r="OOB228" s="23"/>
      <c r="OOG228" s="26"/>
      <c r="OOK228" s="23"/>
      <c r="OOP228" s="26"/>
      <c r="OOT228" s="23"/>
      <c r="OOY228" s="26"/>
      <c r="OPC228" s="23"/>
      <c r="OPH228" s="26"/>
      <c r="OPL228" s="23"/>
      <c r="OPQ228" s="26"/>
      <c r="OPU228" s="23"/>
      <c r="OPZ228" s="26"/>
      <c r="OQD228" s="23"/>
      <c r="OQI228" s="26"/>
      <c r="OQM228" s="23"/>
      <c r="OQR228" s="26"/>
      <c r="OQV228" s="23"/>
      <c r="ORA228" s="26"/>
      <c r="ORE228" s="23"/>
      <c r="ORJ228" s="26"/>
      <c r="ORN228" s="23"/>
      <c r="ORS228" s="26"/>
      <c r="ORW228" s="23"/>
      <c r="OSB228" s="26"/>
      <c r="OSF228" s="23"/>
      <c r="OSK228" s="26"/>
      <c r="OSO228" s="23"/>
      <c r="OST228" s="26"/>
      <c r="OSX228" s="23"/>
      <c r="OTC228" s="26"/>
      <c r="OTG228" s="23"/>
      <c r="OTL228" s="26"/>
      <c r="OTP228" s="23"/>
      <c r="OTU228" s="26"/>
      <c r="OTY228" s="23"/>
      <c r="OUD228" s="26"/>
      <c r="OUH228" s="23"/>
      <c r="OUM228" s="26"/>
      <c r="OUQ228" s="23"/>
      <c r="OUV228" s="26"/>
      <c r="OUZ228" s="23"/>
      <c r="OVE228" s="26"/>
      <c r="OVI228" s="23"/>
      <c r="OVN228" s="26"/>
      <c r="OVR228" s="23"/>
      <c r="OVW228" s="26"/>
      <c r="OWA228" s="23"/>
      <c r="OWF228" s="26"/>
      <c r="OWJ228" s="23"/>
      <c r="OWO228" s="26"/>
      <c r="OWS228" s="23"/>
      <c r="OWX228" s="26"/>
      <c r="OXB228" s="23"/>
      <c r="OXG228" s="26"/>
      <c r="OXK228" s="23"/>
      <c r="OXP228" s="26"/>
      <c r="OXT228" s="23"/>
      <c r="OXY228" s="26"/>
      <c r="OYC228" s="23"/>
      <c r="OYH228" s="26"/>
      <c r="OYL228" s="23"/>
      <c r="OYQ228" s="26"/>
      <c r="OYU228" s="23"/>
      <c r="OYZ228" s="26"/>
      <c r="OZD228" s="23"/>
      <c r="OZI228" s="26"/>
      <c r="OZM228" s="23"/>
      <c r="OZR228" s="26"/>
      <c r="OZV228" s="23"/>
      <c r="PAA228" s="26"/>
      <c r="PAE228" s="23"/>
      <c r="PAJ228" s="26"/>
      <c r="PAN228" s="23"/>
      <c r="PAS228" s="26"/>
      <c r="PAW228" s="23"/>
      <c r="PBB228" s="26"/>
      <c r="PBF228" s="23"/>
      <c r="PBK228" s="26"/>
      <c r="PBO228" s="23"/>
      <c r="PBT228" s="26"/>
      <c r="PBX228" s="23"/>
      <c r="PCC228" s="26"/>
      <c r="PCG228" s="23"/>
      <c r="PCL228" s="26"/>
      <c r="PCP228" s="23"/>
      <c r="PCU228" s="26"/>
      <c r="PCY228" s="23"/>
      <c r="PDD228" s="26"/>
      <c r="PDH228" s="23"/>
      <c r="PDM228" s="26"/>
      <c r="PDQ228" s="23"/>
      <c r="PDV228" s="26"/>
      <c r="PDZ228" s="23"/>
      <c r="PEE228" s="26"/>
      <c r="PEI228" s="23"/>
      <c r="PEN228" s="26"/>
      <c r="PER228" s="23"/>
      <c r="PEW228" s="26"/>
      <c r="PFA228" s="23"/>
      <c r="PFF228" s="26"/>
      <c r="PFJ228" s="23"/>
      <c r="PFO228" s="26"/>
      <c r="PFS228" s="23"/>
      <c r="PFX228" s="26"/>
      <c r="PGB228" s="23"/>
      <c r="PGG228" s="26"/>
      <c r="PGK228" s="23"/>
      <c r="PGP228" s="26"/>
      <c r="PGT228" s="23"/>
      <c r="PGY228" s="26"/>
      <c r="PHC228" s="23"/>
      <c r="PHH228" s="26"/>
      <c r="PHL228" s="23"/>
      <c r="PHQ228" s="26"/>
      <c r="PHU228" s="23"/>
      <c r="PHZ228" s="26"/>
      <c r="PID228" s="23"/>
      <c r="PII228" s="26"/>
      <c r="PIM228" s="23"/>
      <c r="PIR228" s="26"/>
      <c r="PIV228" s="23"/>
      <c r="PJA228" s="26"/>
      <c r="PJE228" s="23"/>
      <c r="PJJ228" s="26"/>
      <c r="PJN228" s="23"/>
      <c r="PJS228" s="26"/>
      <c r="PJW228" s="23"/>
      <c r="PKB228" s="26"/>
      <c r="PKF228" s="23"/>
      <c r="PKK228" s="26"/>
      <c r="PKO228" s="23"/>
      <c r="PKT228" s="26"/>
      <c r="PKX228" s="23"/>
      <c r="PLC228" s="26"/>
      <c r="PLG228" s="23"/>
      <c r="PLL228" s="26"/>
      <c r="PLP228" s="23"/>
      <c r="PLU228" s="26"/>
      <c r="PLY228" s="23"/>
      <c r="PMD228" s="26"/>
      <c r="PMH228" s="23"/>
      <c r="PMM228" s="26"/>
      <c r="PMQ228" s="23"/>
      <c r="PMV228" s="26"/>
      <c r="PMZ228" s="23"/>
      <c r="PNE228" s="26"/>
      <c r="PNI228" s="23"/>
      <c r="PNN228" s="26"/>
      <c r="PNR228" s="23"/>
      <c r="PNW228" s="26"/>
      <c r="POA228" s="23"/>
      <c r="POF228" s="26"/>
      <c r="POJ228" s="23"/>
      <c r="POO228" s="26"/>
      <c r="POS228" s="23"/>
      <c r="POX228" s="26"/>
      <c r="PPB228" s="23"/>
      <c r="PPG228" s="26"/>
      <c r="PPK228" s="23"/>
      <c r="PPP228" s="26"/>
      <c r="PPT228" s="23"/>
      <c r="PPY228" s="26"/>
      <c r="PQC228" s="23"/>
      <c r="PQH228" s="26"/>
      <c r="PQL228" s="23"/>
      <c r="PQQ228" s="26"/>
      <c r="PQU228" s="23"/>
      <c r="PQZ228" s="26"/>
      <c r="PRD228" s="23"/>
      <c r="PRI228" s="26"/>
      <c r="PRM228" s="23"/>
      <c r="PRR228" s="26"/>
      <c r="PRV228" s="23"/>
      <c r="PSA228" s="26"/>
      <c r="PSE228" s="23"/>
      <c r="PSJ228" s="26"/>
      <c r="PSN228" s="23"/>
      <c r="PSS228" s="26"/>
      <c r="PSW228" s="23"/>
      <c r="PTB228" s="26"/>
      <c r="PTF228" s="23"/>
      <c r="PTK228" s="26"/>
      <c r="PTO228" s="23"/>
      <c r="PTT228" s="26"/>
      <c r="PTX228" s="23"/>
      <c r="PUC228" s="26"/>
      <c r="PUG228" s="23"/>
      <c r="PUL228" s="26"/>
      <c r="PUP228" s="23"/>
      <c r="PUU228" s="26"/>
      <c r="PUY228" s="23"/>
      <c r="PVD228" s="26"/>
      <c r="PVH228" s="23"/>
      <c r="PVM228" s="26"/>
      <c r="PVQ228" s="23"/>
      <c r="PVV228" s="26"/>
      <c r="PVZ228" s="23"/>
      <c r="PWE228" s="26"/>
      <c r="PWI228" s="23"/>
      <c r="PWN228" s="26"/>
      <c r="PWR228" s="23"/>
      <c r="PWW228" s="26"/>
      <c r="PXA228" s="23"/>
      <c r="PXF228" s="26"/>
      <c r="PXJ228" s="23"/>
      <c r="PXO228" s="26"/>
      <c r="PXS228" s="23"/>
      <c r="PXX228" s="26"/>
      <c r="PYB228" s="23"/>
      <c r="PYG228" s="26"/>
      <c r="PYK228" s="23"/>
      <c r="PYP228" s="26"/>
      <c r="PYT228" s="23"/>
      <c r="PYY228" s="26"/>
      <c r="PZC228" s="23"/>
      <c r="PZH228" s="26"/>
      <c r="PZL228" s="23"/>
      <c r="PZQ228" s="26"/>
      <c r="PZU228" s="23"/>
      <c r="PZZ228" s="26"/>
      <c r="QAD228" s="23"/>
      <c r="QAI228" s="26"/>
      <c r="QAM228" s="23"/>
      <c r="QAR228" s="26"/>
      <c r="QAV228" s="23"/>
      <c r="QBA228" s="26"/>
      <c r="QBE228" s="23"/>
      <c r="QBJ228" s="26"/>
      <c r="QBN228" s="23"/>
      <c r="QBS228" s="26"/>
      <c r="QBW228" s="23"/>
      <c r="QCB228" s="26"/>
      <c r="QCF228" s="23"/>
      <c r="QCK228" s="26"/>
      <c r="QCO228" s="23"/>
      <c r="QCT228" s="26"/>
      <c r="QCX228" s="23"/>
      <c r="QDC228" s="26"/>
      <c r="QDG228" s="23"/>
      <c r="QDL228" s="26"/>
      <c r="QDP228" s="23"/>
      <c r="QDU228" s="26"/>
      <c r="QDY228" s="23"/>
      <c r="QED228" s="26"/>
      <c r="QEH228" s="23"/>
      <c r="QEM228" s="26"/>
      <c r="QEQ228" s="23"/>
      <c r="QEV228" s="26"/>
      <c r="QEZ228" s="23"/>
      <c r="QFE228" s="26"/>
      <c r="QFI228" s="23"/>
      <c r="QFN228" s="26"/>
      <c r="QFR228" s="23"/>
      <c r="QFW228" s="26"/>
      <c r="QGA228" s="23"/>
      <c r="QGF228" s="26"/>
      <c r="QGJ228" s="23"/>
      <c r="QGO228" s="26"/>
      <c r="QGS228" s="23"/>
      <c r="QGX228" s="26"/>
      <c r="QHB228" s="23"/>
      <c r="QHG228" s="26"/>
      <c r="QHK228" s="23"/>
      <c r="QHP228" s="26"/>
      <c r="QHT228" s="23"/>
      <c r="QHY228" s="26"/>
      <c r="QIC228" s="23"/>
      <c r="QIH228" s="26"/>
      <c r="QIL228" s="23"/>
      <c r="QIQ228" s="26"/>
      <c r="QIU228" s="23"/>
      <c r="QIZ228" s="26"/>
      <c r="QJD228" s="23"/>
      <c r="QJI228" s="26"/>
      <c r="QJM228" s="23"/>
      <c r="QJR228" s="26"/>
      <c r="QJV228" s="23"/>
      <c r="QKA228" s="26"/>
      <c r="QKE228" s="23"/>
      <c r="QKJ228" s="26"/>
      <c r="QKN228" s="23"/>
      <c r="QKS228" s="26"/>
      <c r="QKW228" s="23"/>
      <c r="QLB228" s="26"/>
      <c r="QLF228" s="23"/>
      <c r="QLK228" s="26"/>
      <c r="QLO228" s="23"/>
      <c r="QLT228" s="26"/>
      <c r="QLX228" s="23"/>
      <c r="QMC228" s="26"/>
      <c r="QMG228" s="23"/>
      <c r="QML228" s="26"/>
      <c r="QMP228" s="23"/>
      <c r="QMU228" s="26"/>
      <c r="QMY228" s="23"/>
      <c r="QND228" s="26"/>
      <c r="QNH228" s="23"/>
      <c r="QNM228" s="26"/>
      <c r="QNQ228" s="23"/>
      <c r="QNV228" s="26"/>
      <c r="QNZ228" s="23"/>
      <c r="QOE228" s="26"/>
      <c r="QOI228" s="23"/>
      <c r="QON228" s="26"/>
      <c r="QOR228" s="23"/>
      <c r="QOW228" s="26"/>
      <c r="QPA228" s="23"/>
      <c r="QPF228" s="26"/>
      <c r="QPJ228" s="23"/>
      <c r="QPO228" s="26"/>
      <c r="QPS228" s="23"/>
      <c r="QPX228" s="26"/>
      <c r="QQB228" s="23"/>
      <c r="QQG228" s="26"/>
      <c r="QQK228" s="23"/>
      <c r="QQP228" s="26"/>
      <c r="QQT228" s="23"/>
      <c r="QQY228" s="26"/>
      <c r="QRC228" s="23"/>
      <c r="QRH228" s="26"/>
      <c r="QRL228" s="23"/>
      <c r="QRQ228" s="26"/>
      <c r="QRU228" s="23"/>
      <c r="QRZ228" s="26"/>
      <c r="QSD228" s="23"/>
      <c r="QSI228" s="26"/>
      <c r="QSM228" s="23"/>
      <c r="QSR228" s="26"/>
      <c r="QSV228" s="23"/>
      <c r="QTA228" s="26"/>
      <c r="QTE228" s="23"/>
      <c r="QTJ228" s="26"/>
      <c r="QTN228" s="23"/>
      <c r="QTS228" s="26"/>
      <c r="QTW228" s="23"/>
      <c r="QUB228" s="26"/>
      <c r="QUF228" s="23"/>
      <c r="QUK228" s="26"/>
      <c r="QUO228" s="23"/>
      <c r="QUT228" s="26"/>
      <c r="QUX228" s="23"/>
      <c r="QVC228" s="26"/>
      <c r="QVG228" s="23"/>
      <c r="QVL228" s="26"/>
      <c r="QVP228" s="23"/>
      <c r="QVU228" s="26"/>
      <c r="QVY228" s="23"/>
      <c r="QWD228" s="26"/>
      <c r="QWH228" s="23"/>
      <c r="QWM228" s="26"/>
      <c r="QWQ228" s="23"/>
      <c r="QWV228" s="26"/>
      <c r="QWZ228" s="23"/>
      <c r="QXE228" s="26"/>
      <c r="QXI228" s="23"/>
      <c r="QXN228" s="26"/>
      <c r="QXR228" s="23"/>
      <c r="QXW228" s="26"/>
      <c r="QYA228" s="23"/>
      <c r="QYF228" s="26"/>
      <c r="QYJ228" s="23"/>
      <c r="QYO228" s="26"/>
      <c r="QYS228" s="23"/>
      <c r="QYX228" s="26"/>
      <c r="QZB228" s="23"/>
      <c r="QZG228" s="26"/>
      <c r="QZK228" s="23"/>
      <c r="QZP228" s="26"/>
      <c r="QZT228" s="23"/>
      <c r="QZY228" s="26"/>
      <c r="RAC228" s="23"/>
      <c r="RAH228" s="26"/>
      <c r="RAL228" s="23"/>
      <c r="RAQ228" s="26"/>
      <c r="RAU228" s="23"/>
      <c r="RAZ228" s="26"/>
      <c r="RBD228" s="23"/>
      <c r="RBI228" s="26"/>
      <c r="RBM228" s="23"/>
      <c r="RBR228" s="26"/>
      <c r="RBV228" s="23"/>
      <c r="RCA228" s="26"/>
      <c r="RCE228" s="23"/>
      <c r="RCJ228" s="26"/>
      <c r="RCN228" s="23"/>
      <c r="RCS228" s="26"/>
      <c r="RCW228" s="23"/>
      <c r="RDB228" s="26"/>
      <c r="RDF228" s="23"/>
      <c r="RDK228" s="26"/>
      <c r="RDO228" s="23"/>
      <c r="RDT228" s="26"/>
      <c r="RDX228" s="23"/>
      <c r="REC228" s="26"/>
      <c r="REG228" s="23"/>
      <c r="REL228" s="26"/>
      <c r="REP228" s="23"/>
      <c r="REU228" s="26"/>
      <c r="REY228" s="23"/>
      <c r="RFD228" s="26"/>
      <c r="RFH228" s="23"/>
      <c r="RFM228" s="26"/>
      <c r="RFQ228" s="23"/>
      <c r="RFV228" s="26"/>
      <c r="RFZ228" s="23"/>
      <c r="RGE228" s="26"/>
      <c r="RGI228" s="23"/>
      <c r="RGN228" s="26"/>
      <c r="RGR228" s="23"/>
      <c r="RGW228" s="26"/>
      <c r="RHA228" s="23"/>
      <c r="RHF228" s="26"/>
      <c r="RHJ228" s="23"/>
      <c r="RHO228" s="26"/>
      <c r="RHS228" s="23"/>
      <c r="RHX228" s="26"/>
      <c r="RIB228" s="23"/>
      <c r="RIG228" s="26"/>
      <c r="RIK228" s="23"/>
      <c r="RIP228" s="26"/>
      <c r="RIT228" s="23"/>
      <c r="RIY228" s="26"/>
      <c r="RJC228" s="23"/>
      <c r="RJH228" s="26"/>
      <c r="RJL228" s="23"/>
      <c r="RJQ228" s="26"/>
      <c r="RJU228" s="23"/>
      <c r="RJZ228" s="26"/>
      <c r="RKD228" s="23"/>
      <c r="RKI228" s="26"/>
      <c r="RKM228" s="23"/>
      <c r="RKR228" s="26"/>
      <c r="RKV228" s="23"/>
      <c r="RLA228" s="26"/>
      <c r="RLE228" s="23"/>
      <c r="RLJ228" s="26"/>
      <c r="RLN228" s="23"/>
      <c r="RLS228" s="26"/>
      <c r="RLW228" s="23"/>
      <c r="RMB228" s="26"/>
      <c r="RMF228" s="23"/>
      <c r="RMK228" s="26"/>
      <c r="RMO228" s="23"/>
      <c r="RMT228" s="26"/>
      <c r="RMX228" s="23"/>
      <c r="RNC228" s="26"/>
      <c r="RNG228" s="23"/>
      <c r="RNL228" s="26"/>
      <c r="RNP228" s="23"/>
      <c r="RNU228" s="26"/>
      <c r="RNY228" s="23"/>
      <c r="ROD228" s="26"/>
      <c r="ROH228" s="23"/>
      <c r="ROM228" s="26"/>
      <c r="ROQ228" s="23"/>
      <c r="ROV228" s="26"/>
      <c r="ROZ228" s="23"/>
      <c r="RPE228" s="26"/>
      <c r="RPI228" s="23"/>
      <c r="RPN228" s="26"/>
      <c r="RPR228" s="23"/>
      <c r="RPW228" s="26"/>
      <c r="RQA228" s="23"/>
      <c r="RQF228" s="26"/>
      <c r="RQJ228" s="23"/>
      <c r="RQO228" s="26"/>
      <c r="RQS228" s="23"/>
      <c r="RQX228" s="26"/>
      <c r="RRB228" s="23"/>
      <c r="RRG228" s="26"/>
      <c r="RRK228" s="23"/>
      <c r="RRP228" s="26"/>
      <c r="RRT228" s="23"/>
      <c r="RRY228" s="26"/>
      <c r="RSC228" s="23"/>
      <c r="RSH228" s="26"/>
      <c r="RSL228" s="23"/>
      <c r="RSQ228" s="26"/>
      <c r="RSU228" s="23"/>
      <c r="RSZ228" s="26"/>
      <c r="RTD228" s="23"/>
      <c r="RTI228" s="26"/>
      <c r="RTM228" s="23"/>
      <c r="RTR228" s="26"/>
      <c r="RTV228" s="23"/>
      <c r="RUA228" s="26"/>
      <c r="RUE228" s="23"/>
      <c r="RUJ228" s="26"/>
      <c r="RUN228" s="23"/>
      <c r="RUS228" s="26"/>
      <c r="RUW228" s="23"/>
      <c r="RVB228" s="26"/>
      <c r="RVF228" s="23"/>
      <c r="RVK228" s="26"/>
      <c r="RVO228" s="23"/>
      <c r="RVT228" s="26"/>
      <c r="RVX228" s="23"/>
      <c r="RWC228" s="26"/>
      <c r="RWG228" s="23"/>
      <c r="RWL228" s="26"/>
      <c r="RWP228" s="23"/>
      <c r="RWU228" s="26"/>
      <c r="RWY228" s="23"/>
      <c r="RXD228" s="26"/>
      <c r="RXH228" s="23"/>
      <c r="RXM228" s="26"/>
      <c r="RXQ228" s="23"/>
      <c r="RXV228" s="26"/>
      <c r="RXZ228" s="23"/>
      <c r="RYE228" s="26"/>
      <c r="RYI228" s="23"/>
      <c r="RYN228" s="26"/>
      <c r="RYR228" s="23"/>
      <c r="RYW228" s="26"/>
      <c r="RZA228" s="23"/>
      <c r="RZF228" s="26"/>
      <c r="RZJ228" s="23"/>
      <c r="RZO228" s="26"/>
      <c r="RZS228" s="23"/>
      <c r="RZX228" s="26"/>
      <c r="SAB228" s="23"/>
      <c r="SAG228" s="26"/>
      <c r="SAK228" s="23"/>
      <c r="SAP228" s="26"/>
      <c r="SAT228" s="23"/>
      <c r="SAY228" s="26"/>
      <c r="SBC228" s="23"/>
      <c r="SBH228" s="26"/>
      <c r="SBL228" s="23"/>
      <c r="SBQ228" s="26"/>
      <c r="SBU228" s="23"/>
      <c r="SBZ228" s="26"/>
      <c r="SCD228" s="23"/>
      <c r="SCI228" s="26"/>
      <c r="SCM228" s="23"/>
      <c r="SCR228" s="26"/>
      <c r="SCV228" s="23"/>
      <c r="SDA228" s="26"/>
      <c r="SDE228" s="23"/>
      <c r="SDJ228" s="26"/>
      <c r="SDN228" s="23"/>
      <c r="SDS228" s="26"/>
      <c r="SDW228" s="23"/>
      <c r="SEB228" s="26"/>
      <c r="SEF228" s="23"/>
      <c r="SEK228" s="26"/>
      <c r="SEO228" s="23"/>
      <c r="SET228" s="26"/>
      <c r="SEX228" s="23"/>
      <c r="SFC228" s="26"/>
      <c r="SFG228" s="23"/>
      <c r="SFL228" s="26"/>
      <c r="SFP228" s="23"/>
      <c r="SFU228" s="26"/>
      <c r="SFY228" s="23"/>
      <c r="SGD228" s="26"/>
      <c r="SGH228" s="23"/>
      <c r="SGM228" s="26"/>
      <c r="SGQ228" s="23"/>
      <c r="SGV228" s="26"/>
      <c r="SGZ228" s="23"/>
      <c r="SHE228" s="26"/>
      <c r="SHI228" s="23"/>
      <c r="SHN228" s="26"/>
      <c r="SHR228" s="23"/>
      <c r="SHW228" s="26"/>
      <c r="SIA228" s="23"/>
      <c r="SIF228" s="26"/>
      <c r="SIJ228" s="23"/>
      <c r="SIO228" s="26"/>
      <c r="SIS228" s="23"/>
      <c r="SIX228" s="26"/>
      <c r="SJB228" s="23"/>
      <c r="SJG228" s="26"/>
      <c r="SJK228" s="23"/>
      <c r="SJP228" s="26"/>
      <c r="SJT228" s="23"/>
      <c r="SJY228" s="26"/>
      <c r="SKC228" s="23"/>
      <c r="SKH228" s="26"/>
      <c r="SKL228" s="23"/>
      <c r="SKQ228" s="26"/>
      <c r="SKU228" s="23"/>
      <c r="SKZ228" s="26"/>
      <c r="SLD228" s="23"/>
      <c r="SLI228" s="26"/>
      <c r="SLM228" s="23"/>
      <c r="SLR228" s="26"/>
      <c r="SLV228" s="23"/>
      <c r="SMA228" s="26"/>
      <c r="SME228" s="23"/>
      <c r="SMJ228" s="26"/>
      <c r="SMN228" s="23"/>
      <c r="SMS228" s="26"/>
      <c r="SMW228" s="23"/>
      <c r="SNB228" s="26"/>
      <c r="SNF228" s="23"/>
      <c r="SNK228" s="26"/>
      <c r="SNO228" s="23"/>
      <c r="SNT228" s="26"/>
      <c r="SNX228" s="23"/>
      <c r="SOC228" s="26"/>
      <c r="SOG228" s="23"/>
      <c r="SOL228" s="26"/>
      <c r="SOP228" s="23"/>
      <c r="SOU228" s="26"/>
      <c r="SOY228" s="23"/>
      <c r="SPD228" s="26"/>
      <c r="SPH228" s="23"/>
      <c r="SPM228" s="26"/>
      <c r="SPQ228" s="23"/>
      <c r="SPV228" s="26"/>
      <c r="SPZ228" s="23"/>
      <c r="SQE228" s="26"/>
      <c r="SQI228" s="23"/>
      <c r="SQN228" s="26"/>
      <c r="SQR228" s="23"/>
      <c r="SQW228" s="26"/>
      <c r="SRA228" s="23"/>
      <c r="SRF228" s="26"/>
      <c r="SRJ228" s="23"/>
      <c r="SRO228" s="26"/>
      <c r="SRS228" s="23"/>
      <c r="SRX228" s="26"/>
      <c r="SSB228" s="23"/>
      <c r="SSG228" s="26"/>
      <c r="SSK228" s="23"/>
      <c r="SSP228" s="26"/>
      <c r="SST228" s="23"/>
      <c r="SSY228" s="26"/>
      <c r="STC228" s="23"/>
      <c r="STH228" s="26"/>
      <c r="STL228" s="23"/>
      <c r="STQ228" s="26"/>
      <c r="STU228" s="23"/>
      <c r="STZ228" s="26"/>
      <c r="SUD228" s="23"/>
      <c r="SUI228" s="26"/>
      <c r="SUM228" s="23"/>
      <c r="SUR228" s="26"/>
      <c r="SUV228" s="23"/>
      <c r="SVA228" s="26"/>
      <c r="SVE228" s="23"/>
      <c r="SVJ228" s="26"/>
      <c r="SVN228" s="23"/>
      <c r="SVS228" s="26"/>
      <c r="SVW228" s="23"/>
      <c r="SWB228" s="26"/>
      <c r="SWF228" s="23"/>
      <c r="SWK228" s="26"/>
      <c r="SWO228" s="23"/>
      <c r="SWT228" s="26"/>
      <c r="SWX228" s="23"/>
      <c r="SXC228" s="26"/>
      <c r="SXG228" s="23"/>
      <c r="SXL228" s="26"/>
      <c r="SXP228" s="23"/>
      <c r="SXU228" s="26"/>
      <c r="SXY228" s="23"/>
      <c r="SYD228" s="26"/>
      <c r="SYH228" s="23"/>
      <c r="SYM228" s="26"/>
      <c r="SYQ228" s="23"/>
      <c r="SYV228" s="26"/>
      <c r="SYZ228" s="23"/>
      <c r="SZE228" s="26"/>
      <c r="SZI228" s="23"/>
      <c r="SZN228" s="26"/>
      <c r="SZR228" s="23"/>
      <c r="SZW228" s="26"/>
      <c r="TAA228" s="23"/>
      <c r="TAF228" s="26"/>
      <c r="TAJ228" s="23"/>
      <c r="TAO228" s="26"/>
      <c r="TAS228" s="23"/>
      <c r="TAX228" s="26"/>
      <c r="TBB228" s="23"/>
      <c r="TBG228" s="26"/>
      <c r="TBK228" s="23"/>
      <c r="TBP228" s="26"/>
      <c r="TBT228" s="23"/>
      <c r="TBY228" s="26"/>
      <c r="TCC228" s="23"/>
      <c r="TCH228" s="26"/>
      <c r="TCL228" s="23"/>
      <c r="TCQ228" s="26"/>
      <c r="TCU228" s="23"/>
      <c r="TCZ228" s="26"/>
      <c r="TDD228" s="23"/>
      <c r="TDI228" s="26"/>
      <c r="TDM228" s="23"/>
      <c r="TDR228" s="26"/>
      <c r="TDV228" s="23"/>
      <c r="TEA228" s="26"/>
      <c r="TEE228" s="23"/>
      <c r="TEJ228" s="26"/>
      <c r="TEN228" s="23"/>
      <c r="TES228" s="26"/>
      <c r="TEW228" s="23"/>
      <c r="TFB228" s="26"/>
      <c r="TFF228" s="23"/>
      <c r="TFK228" s="26"/>
      <c r="TFO228" s="23"/>
      <c r="TFT228" s="26"/>
      <c r="TFX228" s="23"/>
      <c r="TGC228" s="26"/>
      <c r="TGG228" s="23"/>
      <c r="TGL228" s="26"/>
      <c r="TGP228" s="23"/>
      <c r="TGU228" s="26"/>
      <c r="TGY228" s="23"/>
      <c r="THD228" s="26"/>
      <c r="THH228" s="23"/>
      <c r="THM228" s="26"/>
      <c r="THQ228" s="23"/>
      <c r="THV228" s="26"/>
      <c r="THZ228" s="23"/>
      <c r="TIE228" s="26"/>
      <c r="TII228" s="23"/>
      <c r="TIN228" s="26"/>
      <c r="TIR228" s="23"/>
      <c r="TIW228" s="26"/>
      <c r="TJA228" s="23"/>
      <c r="TJF228" s="26"/>
      <c r="TJJ228" s="23"/>
      <c r="TJO228" s="26"/>
      <c r="TJS228" s="23"/>
      <c r="TJX228" s="26"/>
      <c r="TKB228" s="23"/>
      <c r="TKG228" s="26"/>
      <c r="TKK228" s="23"/>
      <c r="TKP228" s="26"/>
      <c r="TKT228" s="23"/>
      <c r="TKY228" s="26"/>
      <c r="TLC228" s="23"/>
      <c r="TLH228" s="26"/>
      <c r="TLL228" s="23"/>
      <c r="TLQ228" s="26"/>
      <c r="TLU228" s="23"/>
      <c r="TLZ228" s="26"/>
      <c r="TMD228" s="23"/>
      <c r="TMI228" s="26"/>
      <c r="TMM228" s="23"/>
      <c r="TMR228" s="26"/>
      <c r="TMV228" s="23"/>
      <c r="TNA228" s="26"/>
      <c r="TNE228" s="23"/>
      <c r="TNJ228" s="26"/>
      <c r="TNN228" s="23"/>
      <c r="TNS228" s="26"/>
      <c r="TNW228" s="23"/>
      <c r="TOB228" s="26"/>
      <c r="TOF228" s="23"/>
      <c r="TOK228" s="26"/>
      <c r="TOO228" s="23"/>
      <c r="TOT228" s="26"/>
      <c r="TOX228" s="23"/>
      <c r="TPC228" s="26"/>
      <c r="TPG228" s="23"/>
      <c r="TPL228" s="26"/>
      <c r="TPP228" s="23"/>
      <c r="TPU228" s="26"/>
      <c r="TPY228" s="23"/>
      <c r="TQD228" s="26"/>
      <c r="TQH228" s="23"/>
      <c r="TQM228" s="26"/>
      <c r="TQQ228" s="23"/>
      <c r="TQV228" s="26"/>
      <c r="TQZ228" s="23"/>
      <c r="TRE228" s="26"/>
      <c r="TRI228" s="23"/>
      <c r="TRN228" s="26"/>
      <c r="TRR228" s="23"/>
      <c r="TRW228" s="26"/>
      <c r="TSA228" s="23"/>
      <c r="TSF228" s="26"/>
      <c r="TSJ228" s="23"/>
      <c r="TSO228" s="26"/>
      <c r="TSS228" s="23"/>
      <c r="TSX228" s="26"/>
      <c r="TTB228" s="23"/>
      <c r="TTG228" s="26"/>
      <c r="TTK228" s="23"/>
      <c r="TTP228" s="26"/>
      <c r="TTT228" s="23"/>
      <c r="TTY228" s="26"/>
      <c r="TUC228" s="23"/>
      <c r="TUH228" s="26"/>
      <c r="TUL228" s="23"/>
      <c r="TUQ228" s="26"/>
      <c r="TUU228" s="23"/>
      <c r="TUZ228" s="26"/>
      <c r="TVD228" s="23"/>
      <c r="TVI228" s="26"/>
      <c r="TVM228" s="23"/>
      <c r="TVR228" s="26"/>
      <c r="TVV228" s="23"/>
      <c r="TWA228" s="26"/>
      <c r="TWE228" s="23"/>
      <c r="TWJ228" s="26"/>
      <c r="TWN228" s="23"/>
      <c r="TWS228" s="26"/>
      <c r="TWW228" s="23"/>
      <c r="TXB228" s="26"/>
      <c r="TXF228" s="23"/>
      <c r="TXK228" s="26"/>
      <c r="TXO228" s="23"/>
      <c r="TXT228" s="26"/>
      <c r="TXX228" s="23"/>
      <c r="TYC228" s="26"/>
      <c r="TYG228" s="23"/>
      <c r="TYL228" s="26"/>
      <c r="TYP228" s="23"/>
      <c r="TYU228" s="26"/>
      <c r="TYY228" s="23"/>
      <c r="TZD228" s="26"/>
      <c r="TZH228" s="23"/>
      <c r="TZM228" s="26"/>
      <c r="TZQ228" s="23"/>
      <c r="TZV228" s="26"/>
      <c r="TZZ228" s="23"/>
      <c r="UAE228" s="26"/>
      <c r="UAI228" s="23"/>
      <c r="UAN228" s="26"/>
      <c r="UAR228" s="23"/>
      <c r="UAW228" s="26"/>
      <c r="UBA228" s="23"/>
      <c r="UBF228" s="26"/>
      <c r="UBJ228" s="23"/>
      <c r="UBO228" s="26"/>
      <c r="UBS228" s="23"/>
      <c r="UBX228" s="26"/>
      <c r="UCB228" s="23"/>
      <c r="UCG228" s="26"/>
      <c r="UCK228" s="23"/>
      <c r="UCP228" s="26"/>
      <c r="UCT228" s="23"/>
      <c r="UCY228" s="26"/>
      <c r="UDC228" s="23"/>
      <c r="UDH228" s="26"/>
      <c r="UDL228" s="23"/>
      <c r="UDQ228" s="26"/>
      <c r="UDU228" s="23"/>
      <c r="UDZ228" s="26"/>
      <c r="UED228" s="23"/>
      <c r="UEI228" s="26"/>
      <c r="UEM228" s="23"/>
      <c r="UER228" s="26"/>
      <c r="UEV228" s="23"/>
      <c r="UFA228" s="26"/>
      <c r="UFE228" s="23"/>
      <c r="UFJ228" s="26"/>
      <c r="UFN228" s="23"/>
      <c r="UFS228" s="26"/>
      <c r="UFW228" s="23"/>
      <c r="UGB228" s="26"/>
      <c r="UGF228" s="23"/>
      <c r="UGK228" s="26"/>
      <c r="UGO228" s="23"/>
      <c r="UGT228" s="26"/>
      <c r="UGX228" s="23"/>
      <c r="UHC228" s="26"/>
      <c r="UHG228" s="23"/>
      <c r="UHL228" s="26"/>
      <c r="UHP228" s="23"/>
      <c r="UHU228" s="26"/>
      <c r="UHY228" s="23"/>
      <c r="UID228" s="26"/>
      <c r="UIH228" s="23"/>
      <c r="UIM228" s="26"/>
      <c r="UIQ228" s="23"/>
      <c r="UIV228" s="26"/>
      <c r="UIZ228" s="23"/>
      <c r="UJE228" s="26"/>
      <c r="UJI228" s="23"/>
      <c r="UJN228" s="26"/>
      <c r="UJR228" s="23"/>
      <c r="UJW228" s="26"/>
      <c r="UKA228" s="23"/>
      <c r="UKF228" s="26"/>
      <c r="UKJ228" s="23"/>
      <c r="UKO228" s="26"/>
      <c r="UKS228" s="23"/>
      <c r="UKX228" s="26"/>
      <c r="ULB228" s="23"/>
      <c r="ULG228" s="26"/>
      <c r="ULK228" s="23"/>
      <c r="ULP228" s="26"/>
      <c r="ULT228" s="23"/>
      <c r="ULY228" s="26"/>
      <c r="UMC228" s="23"/>
      <c r="UMH228" s="26"/>
      <c r="UML228" s="23"/>
      <c r="UMQ228" s="26"/>
      <c r="UMU228" s="23"/>
      <c r="UMZ228" s="26"/>
      <c r="UND228" s="23"/>
      <c r="UNI228" s="26"/>
      <c r="UNM228" s="23"/>
      <c r="UNR228" s="26"/>
      <c r="UNV228" s="23"/>
      <c r="UOA228" s="26"/>
      <c r="UOE228" s="23"/>
      <c r="UOJ228" s="26"/>
      <c r="UON228" s="23"/>
      <c r="UOS228" s="26"/>
      <c r="UOW228" s="23"/>
      <c r="UPB228" s="26"/>
      <c r="UPF228" s="23"/>
      <c r="UPK228" s="26"/>
      <c r="UPO228" s="23"/>
      <c r="UPT228" s="26"/>
      <c r="UPX228" s="23"/>
      <c r="UQC228" s="26"/>
      <c r="UQG228" s="23"/>
      <c r="UQL228" s="26"/>
      <c r="UQP228" s="23"/>
      <c r="UQU228" s="26"/>
      <c r="UQY228" s="23"/>
      <c r="URD228" s="26"/>
      <c r="URH228" s="23"/>
      <c r="URM228" s="26"/>
      <c r="URQ228" s="23"/>
      <c r="URV228" s="26"/>
      <c r="URZ228" s="23"/>
      <c r="USE228" s="26"/>
      <c r="USI228" s="23"/>
      <c r="USN228" s="26"/>
      <c r="USR228" s="23"/>
      <c r="USW228" s="26"/>
      <c r="UTA228" s="23"/>
      <c r="UTF228" s="26"/>
      <c r="UTJ228" s="23"/>
      <c r="UTO228" s="26"/>
      <c r="UTS228" s="23"/>
      <c r="UTX228" s="26"/>
      <c r="UUB228" s="23"/>
      <c r="UUG228" s="26"/>
      <c r="UUK228" s="23"/>
      <c r="UUP228" s="26"/>
      <c r="UUT228" s="23"/>
      <c r="UUY228" s="26"/>
      <c r="UVC228" s="23"/>
      <c r="UVH228" s="26"/>
      <c r="UVL228" s="23"/>
      <c r="UVQ228" s="26"/>
      <c r="UVU228" s="23"/>
      <c r="UVZ228" s="26"/>
      <c r="UWD228" s="23"/>
      <c r="UWI228" s="26"/>
      <c r="UWM228" s="23"/>
      <c r="UWR228" s="26"/>
      <c r="UWV228" s="23"/>
      <c r="UXA228" s="26"/>
      <c r="UXE228" s="23"/>
      <c r="UXJ228" s="26"/>
      <c r="UXN228" s="23"/>
      <c r="UXS228" s="26"/>
      <c r="UXW228" s="23"/>
      <c r="UYB228" s="26"/>
      <c r="UYF228" s="23"/>
      <c r="UYK228" s="26"/>
      <c r="UYO228" s="23"/>
      <c r="UYT228" s="26"/>
      <c r="UYX228" s="23"/>
      <c r="UZC228" s="26"/>
      <c r="UZG228" s="23"/>
      <c r="UZL228" s="26"/>
      <c r="UZP228" s="23"/>
      <c r="UZU228" s="26"/>
      <c r="UZY228" s="23"/>
      <c r="VAD228" s="26"/>
      <c r="VAH228" s="23"/>
      <c r="VAM228" s="26"/>
      <c r="VAQ228" s="23"/>
      <c r="VAV228" s="26"/>
      <c r="VAZ228" s="23"/>
      <c r="VBE228" s="26"/>
      <c r="VBI228" s="23"/>
      <c r="VBN228" s="26"/>
      <c r="VBR228" s="23"/>
      <c r="VBW228" s="26"/>
      <c r="VCA228" s="23"/>
      <c r="VCF228" s="26"/>
      <c r="VCJ228" s="23"/>
      <c r="VCO228" s="26"/>
      <c r="VCS228" s="23"/>
      <c r="VCX228" s="26"/>
      <c r="VDB228" s="23"/>
      <c r="VDG228" s="26"/>
      <c r="VDK228" s="23"/>
      <c r="VDP228" s="26"/>
      <c r="VDT228" s="23"/>
      <c r="VDY228" s="26"/>
      <c r="VEC228" s="23"/>
      <c r="VEH228" s="26"/>
      <c r="VEL228" s="23"/>
      <c r="VEQ228" s="26"/>
      <c r="VEU228" s="23"/>
      <c r="VEZ228" s="26"/>
      <c r="VFD228" s="23"/>
      <c r="VFI228" s="26"/>
      <c r="VFM228" s="23"/>
      <c r="VFR228" s="26"/>
      <c r="VFV228" s="23"/>
      <c r="VGA228" s="26"/>
      <c r="VGE228" s="23"/>
      <c r="VGJ228" s="26"/>
      <c r="VGN228" s="23"/>
      <c r="VGS228" s="26"/>
      <c r="VGW228" s="23"/>
      <c r="VHB228" s="26"/>
      <c r="VHF228" s="23"/>
      <c r="VHK228" s="26"/>
      <c r="VHO228" s="23"/>
      <c r="VHT228" s="26"/>
      <c r="VHX228" s="23"/>
      <c r="VIC228" s="26"/>
      <c r="VIG228" s="23"/>
      <c r="VIL228" s="26"/>
      <c r="VIP228" s="23"/>
      <c r="VIU228" s="26"/>
      <c r="VIY228" s="23"/>
      <c r="VJD228" s="26"/>
      <c r="VJH228" s="23"/>
      <c r="VJM228" s="26"/>
      <c r="VJQ228" s="23"/>
      <c r="VJV228" s="26"/>
      <c r="VJZ228" s="23"/>
      <c r="VKE228" s="26"/>
      <c r="VKI228" s="23"/>
      <c r="VKN228" s="26"/>
      <c r="VKR228" s="23"/>
      <c r="VKW228" s="26"/>
      <c r="VLA228" s="23"/>
      <c r="VLF228" s="26"/>
      <c r="VLJ228" s="23"/>
      <c r="VLO228" s="26"/>
      <c r="VLS228" s="23"/>
      <c r="VLX228" s="26"/>
      <c r="VMB228" s="23"/>
      <c r="VMG228" s="26"/>
      <c r="VMK228" s="23"/>
      <c r="VMP228" s="26"/>
      <c r="VMT228" s="23"/>
      <c r="VMY228" s="26"/>
      <c r="VNC228" s="23"/>
      <c r="VNH228" s="26"/>
      <c r="VNL228" s="23"/>
      <c r="VNQ228" s="26"/>
      <c r="VNU228" s="23"/>
      <c r="VNZ228" s="26"/>
      <c r="VOD228" s="23"/>
      <c r="VOI228" s="26"/>
      <c r="VOM228" s="23"/>
      <c r="VOR228" s="26"/>
      <c r="VOV228" s="23"/>
      <c r="VPA228" s="26"/>
      <c r="VPE228" s="23"/>
      <c r="VPJ228" s="26"/>
      <c r="VPN228" s="23"/>
      <c r="VPS228" s="26"/>
      <c r="VPW228" s="23"/>
      <c r="VQB228" s="26"/>
      <c r="VQF228" s="23"/>
      <c r="VQK228" s="26"/>
      <c r="VQO228" s="23"/>
      <c r="VQT228" s="26"/>
      <c r="VQX228" s="23"/>
      <c r="VRC228" s="26"/>
      <c r="VRG228" s="23"/>
      <c r="VRL228" s="26"/>
      <c r="VRP228" s="23"/>
      <c r="VRU228" s="26"/>
      <c r="VRY228" s="23"/>
      <c r="VSD228" s="26"/>
      <c r="VSH228" s="23"/>
      <c r="VSM228" s="26"/>
      <c r="VSQ228" s="23"/>
      <c r="VSV228" s="26"/>
      <c r="VSZ228" s="23"/>
      <c r="VTE228" s="26"/>
      <c r="VTI228" s="23"/>
      <c r="VTN228" s="26"/>
      <c r="VTR228" s="23"/>
      <c r="VTW228" s="26"/>
      <c r="VUA228" s="23"/>
      <c r="VUF228" s="26"/>
      <c r="VUJ228" s="23"/>
      <c r="VUO228" s="26"/>
      <c r="VUS228" s="23"/>
      <c r="VUX228" s="26"/>
      <c r="VVB228" s="23"/>
      <c r="VVG228" s="26"/>
      <c r="VVK228" s="23"/>
      <c r="VVP228" s="26"/>
      <c r="VVT228" s="23"/>
      <c r="VVY228" s="26"/>
      <c r="VWC228" s="23"/>
      <c r="VWH228" s="26"/>
      <c r="VWL228" s="23"/>
      <c r="VWQ228" s="26"/>
      <c r="VWU228" s="23"/>
      <c r="VWZ228" s="26"/>
      <c r="VXD228" s="23"/>
      <c r="VXI228" s="26"/>
      <c r="VXM228" s="23"/>
      <c r="VXR228" s="26"/>
      <c r="VXV228" s="23"/>
      <c r="VYA228" s="26"/>
      <c r="VYE228" s="23"/>
      <c r="VYJ228" s="26"/>
      <c r="VYN228" s="23"/>
      <c r="VYS228" s="26"/>
      <c r="VYW228" s="23"/>
      <c r="VZB228" s="26"/>
      <c r="VZF228" s="23"/>
      <c r="VZK228" s="26"/>
      <c r="VZO228" s="23"/>
      <c r="VZT228" s="26"/>
      <c r="VZX228" s="23"/>
      <c r="WAC228" s="26"/>
      <c r="WAG228" s="23"/>
      <c r="WAL228" s="26"/>
      <c r="WAP228" s="23"/>
      <c r="WAU228" s="26"/>
      <c r="WAY228" s="23"/>
      <c r="WBD228" s="26"/>
      <c r="WBH228" s="23"/>
      <c r="WBM228" s="26"/>
      <c r="WBQ228" s="23"/>
      <c r="WBV228" s="26"/>
      <c r="WBZ228" s="23"/>
      <c r="WCE228" s="26"/>
      <c r="WCI228" s="23"/>
      <c r="WCN228" s="26"/>
      <c r="WCR228" s="23"/>
      <c r="WCW228" s="26"/>
      <c r="WDA228" s="23"/>
      <c r="WDF228" s="26"/>
      <c r="WDJ228" s="23"/>
      <c r="WDO228" s="26"/>
      <c r="WDS228" s="23"/>
      <c r="WDX228" s="26"/>
      <c r="WEB228" s="23"/>
      <c r="WEG228" s="26"/>
      <c r="WEK228" s="23"/>
      <c r="WEP228" s="26"/>
      <c r="WET228" s="23"/>
      <c r="WEY228" s="26"/>
      <c r="WFC228" s="23"/>
      <c r="WFH228" s="26"/>
      <c r="WFL228" s="23"/>
      <c r="WFQ228" s="26"/>
      <c r="WFU228" s="23"/>
      <c r="WFZ228" s="26"/>
      <c r="WGD228" s="23"/>
      <c r="WGI228" s="26"/>
      <c r="WGM228" s="23"/>
      <c r="WGR228" s="26"/>
      <c r="WGV228" s="23"/>
      <c r="WHA228" s="26"/>
      <c r="WHE228" s="23"/>
      <c r="WHJ228" s="26"/>
      <c r="WHN228" s="23"/>
      <c r="WHS228" s="26"/>
      <c r="WHW228" s="23"/>
      <c r="WIB228" s="26"/>
      <c r="WIF228" s="23"/>
      <c r="WIK228" s="26"/>
      <c r="WIO228" s="23"/>
      <c r="WIT228" s="26"/>
      <c r="WIX228" s="23"/>
      <c r="WJC228" s="26"/>
      <c r="WJG228" s="23"/>
      <c r="WJL228" s="26"/>
      <c r="WJP228" s="23"/>
      <c r="WJU228" s="26"/>
      <c r="WJY228" s="23"/>
      <c r="WKD228" s="26"/>
      <c r="WKH228" s="23"/>
      <c r="WKM228" s="26"/>
      <c r="WKQ228" s="23"/>
      <c r="WKV228" s="26"/>
      <c r="WKZ228" s="23"/>
      <c r="WLE228" s="26"/>
      <c r="WLI228" s="23"/>
      <c r="WLN228" s="26"/>
      <c r="WLR228" s="23"/>
      <c r="WLW228" s="26"/>
      <c r="WMA228" s="23"/>
      <c r="WMF228" s="26"/>
      <c r="WMJ228" s="23"/>
      <c r="WMO228" s="26"/>
      <c r="WMS228" s="23"/>
      <c r="WMX228" s="26"/>
      <c r="WNB228" s="23"/>
      <c r="WNG228" s="26"/>
      <c r="WNK228" s="23"/>
      <c r="WNP228" s="26"/>
      <c r="WNT228" s="23"/>
      <c r="WNY228" s="26"/>
      <c r="WOC228" s="23"/>
      <c r="WOH228" s="26"/>
      <c r="WOL228" s="23"/>
      <c r="WOQ228" s="26"/>
      <c r="WOU228" s="23"/>
      <c r="WOZ228" s="26"/>
      <c r="WPD228" s="23"/>
      <c r="WPI228" s="26"/>
      <c r="WPM228" s="23"/>
      <c r="WPR228" s="26"/>
      <c r="WPV228" s="23"/>
      <c r="WQA228" s="26"/>
      <c r="WQE228" s="23"/>
      <c r="WQJ228" s="26"/>
      <c r="WQN228" s="23"/>
      <c r="WQS228" s="26"/>
      <c r="WQW228" s="23"/>
      <c r="WRB228" s="26"/>
      <c r="WRF228" s="23"/>
      <c r="WRK228" s="26"/>
      <c r="WRO228" s="23"/>
      <c r="WRT228" s="26"/>
      <c r="WRX228" s="23"/>
      <c r="WSC228" s="26"/>
      <c r="WSG228" s="23"/>
      <c r="WSL228" s="26"/>
      <c r="WSP228" s="23"/>
      <c r="WSU228" s="26"/>
      <c r="WSY228" s="23"/>
      <c r="WTD228" s="26"/>
      <c r="WTH228" s="23"/>
      <c r="WTM228" s="26"/>
      <c r="WTQ228" s="23"/>
      <c r="WTV228" s="26"/>
      <c r="WTZ228" s="23"/>
      <c r="WUE228" s="26"/>
      <c r="WUI228" s="23"/>
      <c r="WUN228" s="26"/>
      <c r="WUR228" s="23"/>
      <c r="WUW228" s="26"/>
      <c r="WVA228" s="23"/>
      <c r="WVF228" s="26"/>
      <c r="WVJ228" s="23"/>
      <c r="WVO228" s="26"/>
      <c r="WVS228" s="23"/>
      <c r="WVX228" s="26"/>
      <c r="WWB228" s="23"/>
      <c r="WWG228" s="26"/>
      <c r="WWK228" s="23"/>
      <c r="WWP228" s="26"/>
      <c r="WWT228" s="23"/>
      <c r="WWY228" s="26"/>
      <c r="WXC228" s="23"/>
      <c r="WXH228" s="26"/>
      <c r="WXL228" s="23"/>
      <c r="WXQ228" s="26"/>
      <c r="WXU228" s="23"/>
      <c r="WXZ228" s="26"/>
      <c r="WYD228" s="23"/>
      <c r="WYI228" s="26"/>
      <c r="WYM228" s="23"/>
      <c r="WYR228" s="26"/>
      <c r="WYV228" s="23"/>
      <c r="WZA228" s="26"/>
      <c r="WZE228" s="23"/>
      <c r="WZJ228" s="26"/>
      <c r="WZN228" s="23"/>
      <c r="WZS228" s="26"/>
      <c r="WZW228" s="23"/>
      <c r="XAB228" s="26"/>
      <c r="XAF228" s="23"/>
      <c r="XAK228" s="26"/>
      <c r="XAO228" s="23"/>
      <c r="XAT228" s="26"/>
      <c r="XAX228" s="23"/>
      <c r="XBC228" s="26"/>
      <c r="XBG228" s="23"/>
      <c r="XBL228" s="26"/>
      <c r="XBP228" s="23"/>
      <c r="XBU228" s="26"/>
      <c r="XBY228" s="23"/>
      <c r="XCD228" s="26"/>
      <c r="XCH228" s="23"/>
      <c r="XCM228" s="26"/>
      <c r="XCQ228" s="23"/>
      <c r="XCV228" s="26"/>
      <c r="XCZ228" s="23"/>
      <c r="XDE228" s="26"/>
      <c r="XDI228" s="23"/>
      <c r="XDN228" s="26"/>
      <c r="XDR228" s="23"/>
      <c r="XDW228" s="26"/>
      <c r="XEA228" s="23"/>
      <c r="XEF228" s="26"/>
      <c r="XEJ228" s="23"/>
      <c r="XEO228" s="26"/>
      <c r="XES228" s="23"/>
      <c r="XEX228" s="26"/>
      <c r="XFB228" s="23"/>
    </row>
    <row r="229" spans="2:1024 1028:2045 2050:3071 3076:4093 4097:5119 5123:6140 6145:7166 7171:8192 8197:9214 9218:10240 10244:11261 11266:12287 12292:13309 13313:14335 14339:15356 15361:16382" x14ac:dyDescent="0.3">
      <c r="B229" s="23"/>
      <c r="K229" s="23"/>
      <c r="P229" s="26"/>
      <c r="T229" s="23"/>
      <c r="Y229" s="26"/>
      <c r="AC229" s="23"/>
      <c r="AH229" s="26"/>
      <c r="AL229" s="23"/>
      <c r="AQ229" s="26"/>
      <c r="AU229" s="23"/>
      <c r="AZ229" s="26"/>
      <c r="BD229" s="23"/>
      <c r="BI229" s="26"/>
      <c r="BM229" s="23"/>
      <c r="BR229" s="26"/>
      <c r="BV229" s="23"/>
      <c r="CA229" s="26"/>
      <c r="CE229" s="23"/>
      <c r="CJ229" s="26"/>
      <c r="CN229" s="23"/>
      <c r="CS229" s="26"/>
      <c r="CW229" s="23"/>
      <c r="DB229" s="26"/>
      <c r="DF229" s="23"/>
      <c r="DK229" s="26"/>
      <c r="DO229" s="23"/>
      <c r="DT229" s="26"/>
      <c r="DX229" s="23"/>
      <c r="EC229" s="26"/>
      <c r="EG229" s="23"/>
      <c r="EL229" s="26"/>
      <c r="EP229" s="23"/>
      <c r="EU229" s="26"/>
      <c r="EY229" s="23"/>
      <c r="FD229" s="26"/>
      <c r="FH229" s="23"/>
      <c r="FM229" s="26"/>
      <c r="FQ229" s="23"/>
      <c r="FV229" s="26"/>
      <c r="FZ229" s="23"/>
      <c r="GE229" s="26"/>
      <c r="GI229" s="23"/>
      <c r="GN229" s="26"/>
      <c r="GR229" s="23"/>
      <c r="GW229" s="26"/>
      <c r="HA229" s="23"/>
      <c r="HF229" s="26"/>
      <c r="HJ229" s="23"/>
      <c r="HO229" s="26"/>
      <c r="HS229" s="23"/>
      <c r="HX229" s="26"/>
      <c r="IB229" s="23"/>
      <c r="IG229" s="26"/>
      <c r="IK229" s="23"/>
      <c r="IP229" s="26"/>
      <c r="IT229" s="23"/>
      <c r="IY229" s="26"/>
      <c r="JC229" s="23"/>
      <c r="JH229" s="26"/>
      <c r="JL229" s="23"/>
      <c r="JQ229" s="26"/>
      <c r="JU229" s="23"/>
      <c r="JZ229" s="26"/>
      <c r="KD229" s="23"/>
      <c r="KI229" s="26"/>
      <c r="KM229" s="23"/>
      <c r="KR229" s="26"/>
      <c r="KV229" s="23"/>
      <c r="LA229" s="26"/>
      <c r="LE229" s="23"/>
      <c r="LJ229" s="26"/>
      <c r="LN229" s="23"/>
      <c r="LS229" s="26"/>
      <c r="LW229" s="23"/>
      <c r="MB229" s="26"/>
      <c r="MF229" s="23"/>
      <c r="MK229" s="26"/>
      <c r="MO229" s="23"/>
      <c r="MT229" s="26"/>
      <c r="MX229" s="23"/>
      <c r="NC229" s="26"/>
      <c r="NG229" s="23"/>
      <c r="NL229" s="26"/>
      <c r="NP229" s="23"/>
      <c r="NU229" s="26"/>
      <c r="NY229" s="23"/>
      <c r="OD229" s="26"/>
      <c r="OH229" s="23"/>
      <c r="OM229" s="26"/>
      <c r="OQ229" s="23"/>
      <c r="OV229" s="26"/>
      <c r="OZ229" s="23"/>
      <c r="PE229" s="26"/>
      <c r="PI229" s="23"/>
      <c r="PN229" s="26"/>
      <c r="PR229" s="23"/>
      <c r="PW229" s="26"/>
      <c r="QA229" s="23"/>
      <c r="QF229" s="26"/>
      <c r="QJ229" s="23"/>
      <c r="QO229" s="26"/>
      <c r="QS229" s="23"/>
      <c r="QX229" s="26"/>
      <c r="RB229" s="23"/>
      <c r="RG229" s="26"/>
      <c r="RK229" s="23"/>
      <c r="RP229" s="26"/>
      <c r="RT229" s="23"/>
      <c r="RY229" s="26"/>
      <c r="SC229" s="23"/>
      <c r="SH229" s="26"/>
      <c r="SL229" s="23"/>
      <c r="SQ229" s="26"/>
      <c r="SU229" s="23"/>
      <c r="SZ229" s="26"/>
      <c r="TD229" s="23"/>
      <c r="TI229" s="26"/>
      <c r="TM229" s="23"/>
      <c r="TR229" s="26"/>
      <c r="TV229" s="23"/>
      <c r="UA229" s="26"/>
      <c r="UE229" s="23"/>
      <c r="UJ229" s="26"/>
      <c r="UN229" s="23"/>
      <c r="US229" s="26"/>
      <c r="UW229" s="23"/>
      <c r="VB229" s="26"/>
      <c r="VF229" s="23"/>
      <c r="VK229" s="26"/>
      <c r="VO229" s="23"/>
      <c r="VT229" s="26"/>
      <c r="VX229" s="23"/>
      <c r="WC229" s="26"/>
      <c r="WG229" s="23"/>
      <c r="WL229" s="26"/>
      <c r="WP229" s="23"/>
      <c r="WU229" s="26"/>
      <c r="WY229" s="23"/>
      <c r="XD229" s="26"/>
      <c r="XH229" s="23"/>
      <c r="XM229" s="26"/>
      <c r="XQ229" s="23"/>
      <c r="XV229" s="26"/>
      <c r="XZ229" s="23"/>
      <c r="YE229" s="26"/>
      <c r="YI229" s="23"/>
      <c r="YN229" s="26"/>
      <c r="YR229" s="23"/>
      <c r="YW229" s="26"/>
      <c r="ZA229" s="23"/>
      <c r="ZF229" s="26"/>
      <c r="ZJ229" s="23"/>
      <c r="ZO229" s="26"/>
      <c r="ZS229" s="23"/>
      <c r="ZX229" s="26"/>
      <c r="AAB229" s="23"/>
      <c r="AAG229" s="26"/>
      <c r="AAK229" s="23"/>
      <c r="AAP229" s="26"/>
      <c r="AAT229" s="23"/>
      <c r="AAY229" s="26"/>
      <c r="ABC229" s="23"/>
      <c r="ABH229" s="26"/>
      <c r="ABL229" s="23"/>
      <c r="ABQ229" s="26"/>
      <c r="ABU229" s="23"/>
      <c r="ABZ229" s="26"/>
      <c r="ACD229" s="23"/>
      <c r="ACI229" s="26"/>
      <c r="ACM229" s="23"/>
      <c r="ACR229" s="26"/>
      <c r="ACV229" s="23"/>
      <c r="ADA229" s="26"/>
      <c r="ADE229" s="23"/>
      <c r="ADJ229" s="26"/>
      <c r="ADN229" s="23"/>
      <c r="ADS229" s="26"/>
      <c r="ADW229" s="23"/>
      <c r="AEB229" s="26"/>
      <c r="AEF229" s="23"/>
      <c r="AEK229" s="26"/>
      <c r="AEO229" s="23"/>
      <c r="AET229" s="26"/>
      <c r="AEX229" s="23"/>
      <c r="AFC229" s="26"/>
      <c r="AFG229" s="23"/>
      <c r="AFL229" s="26"/>
      <c r="AFP229" s="23"/>
      <c r="AFU229" s="26"/>
      <c r="AFY229" s="23"/>
      <c r="AGD229" s="26"/>
      <c r="AGH229" s="23"/>
      <c r="AGM229" s="26"/>
      <c r="AGQ229" s="23"/>
      <c r="AGV229" s="26"/>
      <c r="AGZ229" s="23"/>
      <c r="AHE229" s="26"/>
      <c r="AHI229" s="23"/>
      <c r="AHN229" s="26"/>
      <c r="AHR229" s="23"/>
      <c r="AHW229" s="26"/>
      <c r="AIA229" s="23"/>
      <c r="AIF229" s="26"/>
      <c r="AIJ229" s="23"/>
      <c r="AIO229" s="26"/>
      <c r="AIS229" s="23"/>
      <c r="AIX229" s="26"/>
      <c r="AJB229" s="23"/>
      <c r="AJG229" s="26"/>
      <c r="AJK229" s="23"/>
      <c r="AJP229" s="26"/>
      <c r="AJT229" s="23"/>
      <c r="AJY229" s="26"/>
      <c r="AKC229" s="23"/>
      <c r="AKH229" s="26"/>
      <c r="AKL229" s="23"/>
      <c r="AKQ229" s="26"/>
      <c r="AKU229" s="23"/>
      <c r="AKZ229" s="26"/>
      <c r="ALD229" s="23"/>
      <c r="ALI229" s="26"/>
      <c r="ALM229" s="23"/>
      <c r="ALR229" s="26"/>
      <c r="ALV229" s="23"/>
      <c r="AMA229" s="26"/>
      <c r="AME229" s="23"/>
      <c r="AMJ229" s="26"/>
      <c r="AMN229" s="23"/>
      <c r="AMS229" s="26"/>
      <c r="AMW229" s="23"/>
      <c r="ANB229" s="26"/>
      <c r="ANF229" s="23"/>
      <c r="ANK229" s="26"/>
      <c r="ANO229" s="23"/>
      <c r="ANT229" s="26"/>
      <c r="ANX229" s="23"/>
      <c r="AOC229" s="26"/>
      <c r="AOG229" s="23"/>
      <c r="AOL229" s="26"/>
      <c r="AOP229" s="23"/>
      <c r="AOU229" s="26"/>
      <c r="AOY229" s="23"/>
      <c r="APD229" s="26"/>
      <c r="APH229" s="23"/>
      <c r="APM229" s="26"/>
      <c r="APQ229" s="23"/>
      <c r="APV229" s="26"/>
      <c r="APZ229" s="23"/>
      <c r="AQE229" s="26"/>
      <c r="AQI229" s="23"/>
      <c r="AQN229" s="26"/>
      <c r="AQR229" s="23"/>
      <c r="AQW229" s="26"/>
      <c r="ARA229" s="23"/>
      <c r="ARF229" s="26"/>
      <c r="ARJ229" s="23"/>
      <c r="ARO229" s="26"/>
      <c r="ARS229" s="23"/>
      <c r="ARX229" s="26"/>
      <c r="ASB229" s="23"/>
      <c r="ASG229" s="26"/>
      <c r="ASK229" s="23"/>
      <c r="ASP229" s="26"/>
      <c r="AST229" s="23"/>
      <c r="ASY229" s="26"/>
      <c r="ATC229" s="23"/>
      <c r="ATH229" s="26"/>
      <c r="ATL229" s="23"/>
      <c r="ATQ229" s="26"/>
      <c r="ATU229" s="23"/>
      <c r="ATZ229" s="26"/>
      <c r="AUD229" s="23"/>
      <c r="AUI229" s="26"/>
      <c r="AUM229" s="23"/>
      <c r="AUR229" s="26"/>
      <c r="AUV229" s="23"/>
      <c r="AVA229" s="26"/>
      <c r="AVE229" s="23"/>
      <c r="AVJ229" s="26"/>
      <c r="AVN229" s="23"/>
      <c r="AVS229" s="26"/>
      <c r="AVW229" s="23"/>
      <c r="AWB229" s="26"/>
      <c r="AWF229" s="23"/>
      <c r="AWK229" s="26"/>
      <c r="AWO229" s="23"/>
      <c r="AWT229" s="26"/>
      <c r="AWX229" s="23"/>
      <c r="AXC229" s="26"/>
      <c r="AXG229" s="23"/>
      <c r="AXL229" s="26"/>
      <c r="AXP229" s="23"/>
      <c r="AXU229" s="26"/>
      <c r="AXY229" s="23"/>
      <c r="AYD229" s="26"/>
      <c r="AYH229" s="23"/>
      <c r="AYM229" s="26"/>
      <c r="AYQ229" s="23"/>
      <c r="AYV229" s="26"/>
      <c r="AYZ229" s="23"/>
      <c r="AZE229" s="26"/>
      <c r="AZI229" s="23"/>
      <c r="AZN229" s="26"/>
      <c r="AZR229" s="23"/>
      <c r="AZW229" s="26"/>
      <c r="BAA229" s="23"/>
      <c r="BAF229" s="26"/>
      <c r="BAJ229" s="23"/>
      <c r="BAO229" s="26"/>
      <c r="BAS229" s="23"/>
      <c r="BAX229" s="26"/>
      <c r="BBB229" s="23"/>
      <c r="BBG229" s="26"/>
      <c r="BBK229" s="23"/>
      <c r="BBP229" s="26"/>
      <c r="BBT229" s="23"/>
      <c r="BBY229" s="26"/>
      <c r="BCC229" s="23"/>
      <c r="BCH229" s="26"/>
      <c r="BCL229" s="23"/>
      <c r="BCQ229" s="26"/>
      <c r="BCU229" s="23"/>
      <c r="BCZ229" s="26"/>
      <c r="BDD229" s="23"/>
      <c r="BDI229" s="26"/>
      <c r="BDM229" s="23"/>
      <c r="BDR229" s="26"/>
      <c r="BDV229" s="23"/>
      <c r="BEA229" s="26"/>
      <c r="BEE229" s="23"/>
      <c r="BEJ229" s="26"/>
      <c r="BEN229" s="23"/>
      <c r="BES229" s="26"/>
      <c r="BEW229" s="23"/>
      <c r="BFB229" s="26"/>
      <c r="BFF229" s="23"/>
      <c r="BFK229" s="26"/>
      <c r="BFO229" s="23"/>
      <c r="BFT229" s="26"/>
      <c r="BFX229" s="23"/>
      <c r="BGC229" s="26"/>
      <c r="BGG229" s="23"/>
      <c r="BGL229" s="26"/>
      <c r="BGP229" s="23"/>
      <c r="BGU229" s="26"/>
      <c r="BGY229" s="23"/>
      <c r="BHD229" s="26"/>
      <c r="BHH229" s="23"/>
      <c r="BHM229" s="26"/>
      <c r="BHQ229" s="23"/>
      <c r="BHV229" s="26"/>
      <c r="BHZ229" s="23"/>
      <c r="BIE229" s="26"/>
      <c r="BII229" s="23"/>
      <c r="BIN229" s="26"/>
      <c r="BIR229" s="23"/>
      <c r="BIW229" s="26"/>
      <c r="BJA229" s="23"/>
      <c r="BJF229" s="26"/>
      <c r="BJJ229" s="23"/>
      <c r="BJO229" s="26"/>
      <c r="BJS229" s="23"/>
      <c r="BJX229" s="26"/>
      <c r="BKB229" s="23"/>
      <c r="BKG229" s="26"/>
      <c r="BKK229" s="23"/>
      <c r="BKP229" s="26"/>
      <c r="BKT229" s="23"/>
      <c r="BKY229" s="26"/>
      <c r="BLC229" s="23"/>
      <c r="BLH229" s="26"/>
      <c r="BLL229" s="23"/>
      <c r="BLQ229" s="26"/>
      <c r="BLU229" s="23"/>
      <c r="BLZ229" s="26"/>
      <c r="BMD229" s="23"/>
      <c r="BMI229" s="26"/>
      <c r="BMM229" s="23"/>
      <c r="BMR229" s="26"/>
      <c r="BMV229" s="23"/>
      <c r="BNA229" s="26"/>
      <c r="BNE229" s="23"/>
      <c r="BNJ229" s="26"/>
      <c r="BNN229" s="23"/>
      <c r="BNS229" s="26"/>
      <c r="BNW229" s="23"/>
      <c r="BOB229" s="26"/>
      <c r="BOF229" s="23"/>
      <c r="BOK229" s="26"/>
      <c r="BOO229" s="23"/>
      <c r="BOT229" s="26"/>
      <c r="BOX229" s="23"/>
      <c r="BPC229" s="26"/>
      <c r="BPG229" s="23"/>
      <c r="BPL229" s="26"/>
      <c r="BPP229" s="23"/>
      <c r="BPU229" s="26"/>
      <c r="BPY229" s="23"/>
      <c r="BQD229" s="26"/>
      <c r="BQH229" s="23"/>
      <c r="BQM229" s="26"/>
      <c r="BQQ229" s="23"/>
      <c r="BQV229" s="26"/>
      <c r="BQZ229" s="23"/>
      <c r="BRE229" s="26"/>
      <c r="BRI229" s="23"/>
      <c r="BRN229" s="26"/>
      <c r="BRR229" s="23"/>
      <c r="BRW229" s="26"/>
      <c r="BSA229" s="23"/>
      <c r="BSF229" s="26"/>
      <c r="BSJ229" s="23"/>
      <c r="BSO229" s="26"/>
      <c r="BSS229" s="23"/>
      <c r="BSX229" s="26"/>
      <c r="BTB229" s="23"/>
      <c r="BTG229" s="26"/>
      <c r="BTK229" s="23"/>
      <c r="BTP229" s="26"/>
      <c r="BTT229" s="23"/>
      <c r="BTY229" s="26"/>
      <c r="BUC229" s="23"/>
      <c r="BUH229" s="26"/>
      <c r="BUL229" s="23"/>
      <c r="BUQ229" s="26"/>
      <c r="BUU229" s="23"/>
      <c r="BUZ229" s="26"/>
      <c r="BVD229" s="23"/>
      <c r="BVI229" s="26"/>
      <c r="BVM229" s="23"/>
      <c r="BVR229" s="26"/>
      <c r="BVV229" s="23"/>
      <c r="BWA229" s="26"/>
      <c r="BWE229" s="23"/>
      <c r="BWJ229" s="26"/>
      <c r="BWN229" s="23"/>
      <c r="BWS229" s="26"/>
      <c r="BWW229" s="23"/>
      <c r="BXB229" s="26"/>
      <c r="BXF229" s="23"/>
      <c r="BXK229" s="26"/>
      <c r="BXO229" s="23"/>
      <c r="BXT229" s="26"/>
      <c r="BXX229" s="23"/>
      <c r="BYC229" s="26"/>
      <c r="BYG229" s="23"/>
      <c r="BYL229" s="26"/>
      <c r="BYP229" s="23"/>
      <c r="BYU229" s="26"/>
      <c r="BYY229" s="23"/>
      <c r="BZD229" s="26"/>
      <c r="BZH229" s="23"/>
      <c r="BZM229" s="26"/>
      <c r="BZQ229" s="23"/>
      <c r="BZV229" s="26"/>
      <c r="BZZ229" s="23"/>
      <c r="CAE229" s="26"/>
      <c r="CAI229" s="23"/>
      <c r="CAN229" s="26"/>
      <c r="CAR229" s="23"/>
      <c r="CAW229" s="26"/>
      <c r="CBA229" s="23"/>
      <c r="CBF229" s="26"/>
      <c r="CBJ229" s="23"/>
      <c r="CBO229" s="26"/>
      <c r="CBS229" s="23"/>
      <c r="CBX229" s="26"/>
      <c r="CCB229" s="23"/>
      <c r="CCG229" s="26"/>
      <c r="CCK229" s="23"/>
      <c r="CCP229" s="26"/>
      <c r="CCT229" s="23"/>
      <c r="CCY229" s="26"/>
      <c r="CDC229" s="23"/>
      <c r="CDH229" s="26"/>
      <c r="CDL229" s="23"/>
      <c r="CDQ229" s="26"/>
      <c r="CDU229" s="23"/>
      <c r="CDZ229" s="26"/>
      <c r="CED229" s="23"/>
      <c r="CEI229" s="26"/>
      <c r="CEM229" s="23"/>
      <c r="CER229" s="26"/>
      <c r="CEV229" s="23"/>
      <c r="CFA229" s="26"/>
      <c r="CFE229" s="23"/>
      <c r="CFJ229" s="26"/>
      <c r="CFN229" s="23"/>
      <c r="CFS229" s="26"/>
      <c r="CFW229" s="23"/>
      <c r="CGB229" s="26"/>
      <c r="CGF229" s="23"/>
      <c r="CGK229" s="26"/>
      <c r="CGO229" s="23"/>
      <c r="CGT229" s="26"/>
      <c r="CGX229" s="23"/>
      <c r="CHC229" s="26"/>
      <c r="CHG229" s="23"/>
      <c r="CHL229" s="26"/>
      <c r="CHP229" s="23"/>
      <c r="CHU229" s="26"/>
      <c r="CHY229" s="23"/>
      <c r="CID229" s="26"/>
      <c r="CIH229" s="23"/>
      <c r="CIM229" s="26"/>
      <c r="CIQ229" s="23"/>
      <c r="CIV229" s="26"/>
      <c r="CIZ229" s="23"/>
      <c r="CJE229" s="26"/>
      <c r="CJI229" s="23"/>
      <c r="CJN229" s="26"/>
      <c r="CJR229" s="23"/>
      <c r="CJW229" s="26"/>
      <c r="CKA229" s="23"/>
      <c r="CKF229" s="26"/>
      <c r="CKJ229" s="23"/>
      <c r="CKO229" s="26"/>
      <c r="CKS229" s="23"/>
      <c r="CKX229" s="26"/>
      <c r="CLB229" s="23"/>
      <c r="CLG229" s="26"/>
      <c r="CLK229" s="23"/>
      <c r="CLP229" s="26"/>
      <c r="CLT229" s="23"/>
      <c r="CLY229" s="26"/>
      <c r="CMC229" s="23"/>
      <c r="CMH229" s="26"/>
      <c r="CML229" s="23"/>
      <c r="CMQ229" s="26"/>
      <c r="CMU229" s="23"/>
      <c r="CMZ229" s="26"/>
      <c r="CND229" s="23"/>
      <c r="CNI229" s="26"/>
      <c r="CNM229" s="23"/>
      <c r="CNR229" s="26"/>
      <c r="CNV229" s="23"/>
      <c r="COA229" s="26"/>
      <c r="COE229" s="23"/>
      <c r="COJ229" s="26"/>
      <c r="CON229" s="23"/>
      <c r="COS229" s="26"/>
      <c r="COW229" s="23"/>
      <c r="CPB229" s="26"/>
      <c r="CPF229" s="23"/>
      <c r="CPK229" s="26"/>
      <c r="CPO229" s="23"/>
      <c r="CPT229" s="26"/>
      <c r="CPX229" s="23"/>
      <c r="CQC229" s="26"/>
      <c r="CQG229" s="23"/>
      <c r="CQL229" s="26"/>
      <c r="CQP229" s="23"/>
      <c r="CQU229" s="26"/>
      <c r="CQY229" s="23"/>
      <c r="CRD229" s="26"/>
      <c r="CRH229" s="23"/>
      <c r="CRM229" s="26"/>
      <c r="CRQ229" s="23"/>
      <c r="CRV229" s="26"/>
      <c r="CRZ229" s="23"/>
      <c r="CSE229" s="26"/>
      <c r="CSI229" s="23"/>
      <c r="CSN229" s="26"/>
      <c r="CSR229" s="23"/>
      <c r="CSW229" s="26"/>
      <c r="CTA229" s="23"/>
      <c r="CTF229" s="26"/>
      <c r="CTJ229" s="23"/>
      <c r="CTO229" s="26"/>
      <c r="CTS229" s="23"/>
      <c r="CTX229" s="26"/>
      <c r="CUB229" s="23"/>
      <c r="CUG229" s="26"/>
      <c r="CUK229" s="23"/>
      <c r="CUP229" s="26"/>
      <c r="CUT229" s="23"/>
      <c r="CUY229" s="26"/>
      <c r="CVC229" s="23"/>
      <c r="CVH229" s="26"/>
      <c r="CVL229" s="23"/>
      <c r="CVQ229" s="26"/>
      <c r="CVU229" s="23"/>
      <c r="CVZ229" s="26"/>
      <c r="CWD229" s="23"/>
      <c r="CWI229" s="26"/>
      <c r="CWM229" s="23"/>
      <c r="CWR229" s="26"/>
      <c r="CWV229" s="23"/>
      <c r="CXA229" s="26"/>
      <c r="CXE229" s="23"/>
      <c r="CXJ229" s="26"/>
      <c r="CXN229" s="23"/>
      <c r="CXS229" s="26"/>
      <c r="CXW229" s="23"/>
      <c r="CYB229" s="26"/>
      <c r="CYF229" s="23"/>
      <c r="CYK229" s="26"/>
      <c r="CYO229" s="23"/>
      <c r="CYT229" s="26"/>
      <c r="CYX229" s="23"/>
      <c r="CZC229" s="26"/>
      <c r="CZG229" s="23"/>
      <c r="CZL229" s="26"/>
      <c r="CZP229" s="23"/>
      <c r="CZU229" s="26"/>
      <c r="CZY229" s="23"/>
      <c r="DAD229" s="26"/>
      <c r="DAH229" s="23"/>
      <c r="DAM229" s="26"/>
      <c r="DAQ229" s="23"/>
      <c r="DAV229" s="26"/>
      <c r="DAZ229" s="23"/>
      <c r="DBE229" s="26"/>
      <c r="DBI229" s="23"/>
      <c r="DBN229" s="26"/>
      <c r="DBR229" s="23"/>
      <c r="DBW229" s="26"/>
      <c r="DCA229" s="23"/>
      <c r="DCF229" s="26"/>
      <c r="DCJ229" s="23"/>
      <c r="DCO229" s="26"/>
      <c r="DCS229" s="23"/>
      <c r="DCX229" s="26"/>
      <c r="DDB229" s="23"/>
      <c r="DDG229" s="26"/>
      <c r="DDK229" s="23"/>
      <c r="DDP229" s="26"/>
      <c r="DDT229" s="23"/>
      <c r="DDY229" s="26"/>
      <c r="DEC229" s="23"/>
      <c r="DEH229" s="26"/>
      <c r="DEL229" s="23"/>
      <c r="DEQ229" s="26"/>
      <c r="DEU229" s="23"/>
      <c r="DEZ229" s="26"/>
      <c r="DFD229" s="23"/>
      <c r="DFI229" s="26"/>
      <c r="DFM229" s="23"/>
      <c r="DFR229" s="26"/>
      <c r="DFV229" s="23"/>
      <c r="DGA229" s="26"/>
      <c r="DGE229" s="23"/>
      <c r="DGJ229" s="26"/>
      <c r="DGN229" s="23"/>
      <c r="DGS229" s="26"/>
      <c r="DGW229" s="23"/>
      <c r="DHB229" s="26"/>
      <c r="DHF229" s="23"/>
      <c r="DHK229" s="26"/>
      <c r="DHO229" s="23"/>
      <c r="DHT229" s="26"/>
      <c r="DHX229" s="23"/>
      <c r="DIC229" s="26"/>
      <c r="DIG229" s="23"/>
      <c r="DIL229" s="26"/>
      <c r="DIP229" s="23"/>
      <c r="DIU229" s="26"/>
      <c r="DIY229" s="23"/>
      <c r="DJD229" s="26"/>
      <c r="DJH229" s="23"/>
      <c r="DJM229" s="26"/>
      <c r="DJQ229" s="23"/>
      <c r="DJV229" s="26"/>
      <c r="DJZ229" s="23"/>
      <c r="DKE229" s="26"/>
      <c r="DKI229" s="23"/>
      <c r="DKN229" s="26"/>
      <c r="DKR229" s="23"/>
      <c r="DKW229" s="26"/>
      <c r="DLA229" s="23"/>
      <c r="DLF229" s="26"/>
      <c r="DLJ229" s="23"/>
      <c r="DLO229" s="26"/>
      <c r="DLS229" s="23"/>
      <c r="DLX229" s="26"/>
      <c r="DMB229" s="23"/>
      <c r="DMG229" s="26"/>
      <c r="DMK229" s="23"/>
      <c r="DMP229" s="26"/>
      <c r="DMT229" s="23"/>
      <c r="DMY229" s="26"/>
      <c r="DNC229" s="23"/>
      <c r="DNH229" s="26"/>
      <c r="DNL229" s="23"/>
      <c r="DNQ229" s="26"/>
      <c r="DNU229" s="23"/>
      <c r="DNZ229" s="26"/>
      <c r="DOD229" s="23"/>
      <c r="DOI229" s="26"/>
      <c r="DOM229" s="23"/>
      <c r="DOR229" s="26"/>
      <c r="DOV229" s="23"/>
      <c r="DPA229" s="26"/>
      <c r="DPE229" s="23"/>
      <c r="DPJ229" s="26"/>
      <c r="DPN229" s="23"/>
      <c r="DPS229" s="26"/>
      <c r="DPW229" s="23"/>
      <c r="DQB229" s="26"/>
      <c r="DQF229" s="23"/>
      <c r="DQK229" s="26"/>
      <c r="DQO229" s="23"/>
      <c r="DQT229" s="26"/>
      <c r="DQX229" s="23"/>
      <c r="DRC229" s="26"/>
      <c r="DRG229" s="23"/>
      <c r="DRL229" s="26"/>
      <c r="DRP229" s="23"/>
      <c r="DRU229" s="26"/>
      <c r="DRY229" s="23"/>
      <c r="DSD229" s="26"/>
      <c r="DSH229" s="23"/>
      <c r="DSM229" s="26"/>
      <c r="DSQ229" s="23"/>
      <c r="DSV229" s="26"/>
      <c r="DSZ229" s="23"/>
      <c r="DTE229" s="26"/>
      <c r="DTI229" s="23"/>
      <c r="DTN229" s="26"/>
      <c r="DTR229" s="23"/>
      <c r="DTW229" s="26"/>
      <c r="DUA229" s="23"/>
      <c r="DUF229" s="26"/>
      <c r="DUJ229" s="23"/>
      <c r="DUO229" s="26"/>
      <c r="DUS229" s="23"/>
      <c r="DUX229" s="26"/>
      <c r="DVB229" s="23"/>
      <c r="DVG229" s="26"/>
      <c r="DVK229" s="23"/>
      <c r="DVP229" s="26"/>
      <c r="DVT229" s="23"/>
      <c r="DVY229" s="26"/>
      <c r="DWC229" s="23"/>
      <c r="DWH229" s="26"/>
      <c r="DWL229" s="23"/>
      <c r="DWQ229" s="26"/>
      <c r="DWU229" s="23"/>
      <c r="DWZ229" s="26"/>
      <c r="DXD229" s="23"/>
      <c r="DXI229" s="26"/>
      <c r="DXM229" s="23"/>
      <c r="DXR229" s="26"/>
      <c r="DXV229" s="23"/>
      <c r="DYA229" s="26"/>
      <c r="DYE229" s="23"/>
      <c r="DYJ229" s="26"/>
      <c r="DYN229" s="23"/>
      <c r="DYS229" s="26"/>
      <c r="DYW229" s="23"/>
      <c r="DZB229" s="26"/>
      <c r="DZF229" s="23"/>
      <c r="DZK229" s="26"/>
      <c r="DZO229" s="23"/>
      <c r="DZT229" s="26"/>
      <c r="DZX229" s="23"/>
      <c r="EAC229" s="26"/>
      <c r="EAG229" s="23"/>
      <c r="EAL229" s="26"/>
      <c r="EAP229" s="23"/>
      <c r="EAU229" s="26"/>
      <c r="EAY229" s="23"/>
      <c r="EBD229" s="26"/>
      <c r="EBH229" s="23"/>
      <c r="EBM229" s="26"/>
      <c r="EBQ229" s="23"/>
      <c r="EBV229" s="26"/>
      <c r="EBZ229" s="23"/>
      <c r="ECE229" s="26"/>
      <c r="ECI229" s="23"/>
      <c r="ECN229" s="26"/>
      <c r="ECR229" s="23"/>
      <c r="ECW229" s="26"/>
      <c r="EDA229" s="23"/>
      <c r="EDF229" s="26"/>
      <c r="EDJ229" s="23"/>
      <c r="EDO229" s="26"/>
      <c r="EDS229" s="23"/>
      <c r="EDX229" s="26"/>
      <c r="EEB229" s="23"/>
      <c r="EEG229" s="26"/>
      <c r="EEK229" s="23"/>
      <c r="EEP229" s="26"/>
      <c r="EET229" s="23"/>
      <c r="EEY229" s="26"/>
      <c r="EFC229" s="23"/>
      <c r="EFH229" s="26"/>
      <c r="EFL229" s="23"/>
      <c r="EFQ229" s="26"/>
      <c r="EFU229" s="23"/>
      <c r="EFZ229" s="26"/>
      <c r="EGD229" s="23"/>
      <c r="EGI229" s="26"/>
      <c r="EGM229" s="23"/>
      <c r="EGR229" s="26"/>
      <c r="EGV229" s="23"/>
      <c r="EHA229" s="26"/>
      <c r="EHE229" s="23"/>
      <c r="EHJ229" s="26"/>
      <c r="EHN229" s="23"/>
      <c r="EHS229" s="26"/>
      <c r="EHW229" s="23"/>
      <c r="EIB229" s="26"/>
      <c r="EIF229" s="23"/>
      <c r="EIK229" s="26"/>
      <c r="EIO229" s="23"/>
      <c r="EIT229" s="26"/>
      <c r="EIX229" s="23"/>
      <c r="EJC229" s="26"/>
      <c r="EJG229" s="23"/>
      <c r="EJL229" s="26"/>
      <c r="EJP229" s="23"/>
      <c r="EJU229" s="26"/>
      <c r="EJY229" s="23"/>
      <c r="EKD229" s="26"/>
      <c r="EKH229" s="23"/>
      <c r="EKM229" s="26"/>
      <c r="EKQ229" s="23"/>
      <c r="EKV229" s="26"/>
      <c r="EKZ229" s="23"/>
      <c r="ELE229" s="26"/>
      <c r="ELI229" s="23"/>
      <c r="ELN229" s="26"/>
      <c r="ELR229" s="23"/>
      <c r="ELW229" s="26"/>
      <c r="EMA229" s="23"/>
      <c r="EMF229" s="26"/>
      <c r="EMJ229" s="23"/>
      <c r="EMO229" s="26"/>
      <c r="EMS229" s="23"/>
      <c r="EMX229" s="26"/>
      <c r="ENB229" s="23"/>
      <c r="ENG229" s="26"/>
      <c r="ENK229" s="23"/>
      <c r="ENP229" s="26"/>
      <c r="ENT229" s="23"/>
      <c r="ENY229" s="26"/>
      <c r="EOC229" s="23"/>
      <c r="EOH229" s="26"/>
      <c r="EOL229" s="23"/>
      <c r="EOQ229" s="26"/>
      <c r="EOU229" s="23"/>
      <c r="EOZ229" s="26"/>
      <c r="EPD229" s="23"/>
      <c r="EPI229" s="26"/>
      <c r="EPM229" s="23"/>
      <c r="EPR229" s="26"/>
      <c r="EPV229" s="23"/>
      <c r="EQA229" s="26"/>
      <c r="EQE229" s="23"/>
      <c r="EQJ229" s="26"/>
      <c r="EQN229" s="23"/>
      <c r="EQS229" s="26"/>
      <c r="EQW229" s="23"/>
      <c r="ERB229" s="26"/>
      <c r="ERF229" s="23"/>
      <c r="ERK229" s="26"/>
      <c r="ERO229" s="23"/>
      <c r="ERT229" s="26"/>
      <c r="ERX229" s="23"/>
      <c r="ESC229" s="26"/>
      <c r="ESG229" s="23"/>
      <c r="ESL229" s="26"/>
      <c r="ESP229" s="23"/>
      <c r="ESU229" s="26"/>
      <c r="ESY229" s="23"/>
      <c r="ETD229" s="26"/>
      <c r="ETH229" s="23"/>
      <c r="ETM229" s="26"/>
      <c r="ETQ229" s="23"/>
      <c r="ETV229" s="26"/>
      <c r="ETZ229" s="23"/>
      <c r="EUE229" s="26"/>
      <c r="EUI229" s="23"/>
      <c r="EUN229" s="26"/>
      <c r="EUR229" s="23"/>
      <c r="EUW229" s="26"/>
      <c r="EVA229" s="23"/>
      <c r="EVF229" s="26"/>
      <c r="EVJ229" s="23"/>
      <c r="EVO229" s="26"/>
      <c r="EVS229" s="23"/>
      <c r="EVX229" s="26"/>
      <c r="EWB229" s="23"/>
      <c r="EWG229" s="26"/>
      <c r="EWK229" s="23"/>
      <c r="EWP229" s="26"/>
      <c r="EWT229" s="23"/>
      <c r="EWY229" s="26"/>
      <c r="EXC229" s="23"/>
      <c r="EXH229" s="26"/>
      <c r="EXL229" s="23"/>
      <c r="EXQ229" s="26"/>
      <c r="EXU229" s="23"/>
      <c r="EXZ229" s="26"/>
      <c r="EYD229" s="23"/>
      <c r="EYI229" s="26"/>
      <c r="EYM229" s="23"/>
      <c r="EYR229" s="26"/>
      <c r="EYV229" s="23"/>
      <c r="EZA229" s="26"/>
      <c r="EZE229" s="23"/>
      <c r="EZJ229" s="26"/>
      <c r="EZN229" s="23"/>
      <c r="EZS229" s="26"/>
      <c r="EZW229" s="23"/>
      <c r="FAB229" s="26"/>
      <c r="FAF229" s="23"/>
      <c r="FAK229" s="26"/>
      <c r="FAO229" s="23"/>
      <c r="FAT229" s="26"/>
      <c r="FAX229" s="23"/>
      <c r="FBC229" s="26"/>
      <c r="FBG229" s="23"/>
      <c r="FBL229" s="26"/>
      <c r="FBP229" s="23"/>
      <c r="FBU229" s="26"/>
      <c r="FBY229" s="23"/>
      <c r="FCD229" s="26"/>
      <c r="FCH229" s="23"/>
      <c r="FCM229" s="26"/>
      <c r="FCQ229" s="23"/>
      <c r="FCV229" s="26"/>
      <c r="FCZ229" s="23"/>
      <c r="FDE229" s="26"/>
      <c r="FDI229" s="23"/>
      <c r="FDN229" s="26"/>
      <c r="FDR229" s="23"/>
      <c r="FDW229" s="26"/>
      <c r="FEA229" s="23"/>
      <c r="FEF229" s="26"/>
      <c r="FEJ229" s="23"/>
      <c r="FEO229" s="26"/>
      <c r="FES229" s="23"/>
      <c r="FEX229" s="26"/>
      <c r="FFB229" s="23"/>
      <c r="FFG229" s="26"/>
      <c r="FFK229" s="23"/>
      <c r="FFP229" s="26"/>
      <c r="FFT229" s="23"/>
      <c r="FFY229" s="26"/>
      <c r="FGC229" s="23"/>
      <c r="FGH229" s="26"/>
      <c r="FGL229" s="23"/>
      <c r="FGQ229" s="26"/>
      <c r="FGU229" s="23"/>
      <c r="FGZ229" s="26"/>
      <c r="FHD229" s="23"/>
      <c r="FHI229" s="26"/>
      <c r="FHM229" s="23"/>
      <c r="FHR229" s="26"/>
      <c r="FHV229" s="23"/>
      <c r="FIA229" s="26"/>
      <c r="FIE229" s="23"/>
      <c r="FIJ229" s="26"/>
      <c r="FIN229" s="23"/>
      <c r="FIS229" s="26"/>
      <c r="FIW229" s="23"/>
      <c r="FJB229" s="26"/>
      <c r="FJF229" s="23"/>
      <c r="FJK229" s="26"/>
      <c r="FJO229" s="23"/>
      <c r="FJT229" s="26"/>
      <c r="FJX229" s="23"/>
      <c r="FKC229" s="26"/>
      <c r="FKG229" s="23"/>
      <c r="FKL229" s="26"/>
      <c r="FKP229" s="23"/>
      <c r="FKU229" s="26"/>
      <c r="FKY229" s="23"/>
      <c r="FLD229" s="26"/>
      <c r="FLH229" s="23"/>
      <c r="FLM229" s="26"/>
      <c r="FLQ229" s="23"/>
      <c r="FLV229" s="26"/>
      <c r="FLZ229" s="23"/>
      <c r="FME229" s="26"/>
      <c r="FMI229" s="23"/>
      <c r="FMN229" s="26"/>
      <c r="FMR229" s="23"/>
      <c r="FMW229" s="26"/>
      <c r="FNA229" s="23"/>
      <c r="FNF229" s="26"/>
      <c r="FNJ229" s="23"/>
      <c r="FNO229" s="26"/>
      <c r="FNS229" s="23"/>
      <c r="FNX229" s="26"/>
      <c r="FOB229" s="23"/>
      <c r="FOG229" s="26"/>
      <c r="FOK229" s="23"/>
      <c r="FOP229" s="26"/>
      <c r="FOT229" s="23"/>
      <c r="FOY229" s="26"/>
      <c r="FPC229" s="23"/>
      <c r="FPH229" s="26"/>
      <c r="FPL229" s="23"/>
      <c r="FPQ229" s="26"/>
      <c r="FPU229" s="23"/>
      <c r="FPZ229" s="26"/>
      <c r="FQD229" s="23"/>
      <c r="FQI229" s="26"/>
      <c r="FQM229" s="23"/>
      <c r="FQR229" s="26"/>
      <c r="FQV229" s="23"/>
      <c r="FRA229" s="26"/>
      <c r="FRE229" s="23"/>
      <c r="FRJ229" s="26"/>
      <c r="FRN229" s="23"/>
      <c r="FRS229" s="26"/>
      <c r="FRW229" s="23"/>
      <c r="FSB229" s="26"/>
      <c r="FSF229" s="23"/>
      <c r="FSK229" s="26"/>
      <c r="FSO229" s="23"/>
      <c r="FST229" s="26"/>
      <c r="FSX229" s="23"/>
      <c r="FTC229" s="26"/>
      <c r="FTG229" s="23"/>
      <c r="FTL229" s="26"/>
      <c r="FTP229" s="23"/>
      <c r="FTU229" s="26"/>
      <c r="FTY229" s="23"/>
      <c r="FUD229" s="26"/>
      <c r="FUH229" s="23"/>
      <c r="FUM229" s="26"/>
      <c r="FUQ229" s="23"/>
      <c r="FUV229" s="26"/>
      <c r="FUZ229" s="23"/>
      <c r="FVE229" s="26"/>
      <c r="FVI229" s="23"/>
      <c r="FVN229" s="26"/>
      <c r="FVR229" s="23"/>
      <c r="FVW229" s="26"/>
      <c r="FWA229" s="23"/>
      <c r="FWF229" s="26"/>
      <c r="FWJ229" s="23"/>
      <c r="FWO229" s="26"/>
      <c r="FWS229" s="23"/>
      <c r="FWX229" s="26"/>
      <c r="FXB229" s="23"/>
      <c r="FXG229" s="26"/>
      <c r="FXK229" s="23"/>
      <c r="FXP229" s="26"/>
      <c r="FXT229" s="23"/>
      <c r="FXY229" s="26"/>
      <c r="FYC229" s="23"/>
      <c r="FYH229" s="26"/>
      <c r="FYL229" s="23"/>
      <c r="FYQ229" s="26"/>
      <c r="FYU229" s="23"/>
      <c r="FYZ229" s="26"/>
      <c r="FZD229" s="23"/>
      <c r="FZI229" s="26"/>
      <c r="FZM229" s="23"/>
      <c r="FZR229" s="26"/>
      <c r="FZV229" s="23"/>
      <c r="GAA229" s="26"/>
      <c r="GAE229" s="23"/>
      <c r="GAJ229" s="26"/>
      <c r="GAN229" s="23"/>
      <c r="GAS229" s="26"/>
      <c r="GAW229" s="23"/>
      <c r="GBB229" s="26"/>
      <c r="GBF229" s="23"/>
      <c r="GBK229" s="26"/>
      <c r="GBO229" s="23"/>
      <c r="GBT229" s="26"/>
      <c r="GBX229" s="23"/>
      <c r="GCC229" s="26"/>
      <c r="GCG229" s="23"/>
      <c r="GCL229" s="26"/>
      <c r="GCP229" s="23"/>
      <c r="GCU229" s="26"/>
      <c r="GCY229" s="23"/>
      <c r="GDD229" s="26"/>
      <c r="GDH229" s="23"/>
      <c r="GDM229" s="26"/>
      <c r="GDQ229" s="23"/>
      <c r="GDV229" s="26"/>
      <c r="GDZ229" s="23"/>
      <c r="GEE229" s="26"/>
      <c r="GEI229" s="23"/>
      <c r="GEN229" s="26"/>
      <c r="GER229" s="23"/>
      <c r="GEW229" s="26"/>
      <c r="GFA229" s="23"/>
      <c r="GFF229" s="26"/>
      <c r="GFJ229" s="23"/>
      <c r="GFO229" s="26"/>
      <c r="GFS229" s="23"/>
      <c r="GFX229" s="26"/>
      <c r="GGB229" s="23"/>
      <c r="GGG229" s="26"/>
      <c r="GGK229" s="23"/>
      <c r="GGP229" s="26"/>
      <c r="GGT229" s="23"/>
      <c r="GGY229" s="26"/>
      <c r="GHC229" s="23"/>
      <c r="GHH229" s="26"/>
      <c r="GHL229" s="23"/>
      <c r="GHQ229" s="26"/>
      <c r="GHU229" s="23"/>
      <c r="GHZ229" s="26"/>
      <c r="GID229" s="23"/>
      <c r="GII229" s="26"/>
      <c r="GIM229" s="23"/>
      <c r="GIR229" s="26"/>
      <c r="GIV229" s="23"/>
      <c r="GJA229" s="26"/>
      <c r="GJE229" s="23"/>
      <c r="GJJ229" s="26"/>
      <c r="GJN229" s="23"/>
      <c r="GJS229" s="26"/>
      <c r="GJW229" s="23"/>
      <c r="GKB229" s="26"/>
      <c r="GKF229" s="23"/>
      <c r="GKK229" s="26"/>
      <c r="GKO229" s="23"/>
      <c r="GKT229" s="26"/>
      <c r="GKX229" s="23"/>
      <c r="GLC229" s="26"/>
      <c r="GLG229" s="23"/>
      <c r="GLL229" s="26"/>
      <c r="GLP229" s="23"/>
      <c r="GLU229" s="26"/>
      <c r="GLY229" s="23"/>
      <c r="GMD229" s="26"/>
      <c r="GMH229" s="23"/>
      <c r="GMM229" s="26"/>
      <c r="GMQ229" s="23"/>
      <c r="GMV229" s="26"/>
      <c r="GMZ229" s="23"/>
      <c r="GNE229" s="26"/>
      <c r="GNI229" s="23"/>
      <c r="GNN229" s="26"/>
      <c r="GNR229" s="23"/>
      <c r="GNW229" s="26"/>
      <c r="GOA229" s="23"/>
      <c r="GOF229" s="26"/>
      <c r="GOJ229" s="23"/>
      <c r="GOO229" s="26"/>
      <c r="GOS229" s="23"/>
      <c r="GOX229" s="26"/>
      <c r="GPB229" s="23"/>
      <c r="GPG229" s="26"/>
      <c r="GPK229" s="23"/>
      <c r="GPP229" s="26"/>
      <c r="GPT229" s="23"/>
      <c r="GPY229" s="26"/>
      <c r="GQC229" s="23"/>
      <c r="GQH229" s="26"/>
      <c r="GQL229" s="23"/>
      <c r="GQQ229" s="26"/>
      <c r="GQU229" s="23"/>
      <c r="GQZ229" s="26"/>
      <c r="GRD229" s="23"/>
      <c r="GRI229" s="26"/>
      <c r="GRM229" s="23"/>
      <c r="GRR229" s="26"/>
      <c r="GRV229" s="23"/>
      <c r="GSA229" s="26"/>
      <c r="GSE229" s="23"/>
      <c r="GSJ229" s="26"/>
      <c r="GSN229" s="23"/>
      <c r="GSS229" s="26"/>
      <c r="GSW229" s="23"/>
      <c r="GTB229" s="26"/>
      <c r="GTF229" s="23"/>
      <c r="GTK229" s="26"/>
      <c r="GTO229" s="23"/>
      <c r="GTT229" s="26"/>
      <c r="GTX229" s="23"/>
      <c r="GUC229" s="26"/>
      <c r="GUG229" s="23"/>
      <c r="GUL229" s="26"/>
      <c r="GUP229" s="23"/>
      <c r="GUU229" s="26"/>
      <c r="GUY229" s="23"/>
      <c r="GVD229" s="26"/>
      <c r="GVH229" s="23"/>
      <c r="GVM229" s="26"/>
      <c r="GVQ229" s="23"/>
      <c r="GVV229" s="26"/>
      <c r="GVZ229" s="23"/>
      <c r="GWE229" s="26"/>
      <c r="GWI229" s="23"/>
      <c r="GWN229" s="26"/>
      <c r="GWR229" s="23"/>
      <c r="GWW229" s="26"/>
      <c r="GXA229" s="23"/>
      <c r="GXF229" s="26"/>
      <c r="GXJ229" s="23"/>
      <c r="GXO229" s="26"/>
      <c r="GXS229" s="23"/>
      <c r="GXX229" s="26"/>
      <c r="GYB229" s="23"/>
      <c r="GYG229" s="26"/>
      <c r="GYK229" s="23"/>
      <c r="GYP229" s="26"/>
      <c r="GYT229" s="23"/>
      <c r="GYY229" s="26"/>
      <c r="GZC229" s="23"/>
      <c r="GZH229" s="26"/>
      <c r="GZL229" s="23"/>
      <c r="GZQ229" s="26"/>
      <c r="GZU229" s="23"/>
      <c r="GZZ229" s="26"/>
      <c r="HAD229" s="23"/>
      <c r="HAI229" s="26"/>
      <c r="HAM229" s="23"/>
      <c r="HAR229" s="26"/>
      <c r="HAV229" s="23"/>
      <c r="HBA229" s="26"/>
      <c r="HBE229" s="23"/>
      <c r="HBJ229" s="26"/>
      <c r="HBN229" s="23"/>
      <c r="HBS229" s="26"/>
      <c r="HBW229" s="23"/>
      <c r="HCB229" s="26"/>
      <c r="HCF229" s="23"/>
      <c r="HCK229" s="26"/>
      <c r="HCO229" s="23"/>
      <c r="HCT229" s="26"/>
      <c r="HCX229" s="23"/>
      <c r="HDC229" s="26"/>
      <c r="HDG229" s="23"/>
      <c r="HDL229" s="26"/>
      <c r="HDP229" s="23"/>
      <c r="HDU229" s="26"/>
      <c r="HDY229" s="23"/>
      <c r="HED229" s="26"/>
      <c r="HEH229" s="23"/>
      <c r="HEM229" s="26"/>
      <c r="HEQ229" s="23"/>
      <c r="HEV229" s="26"/>
      <c r="HEZ229" s="23"/>
      <c r="HFE229" s="26"/>
      <c r="HFI229" s="23"/>
      <c r="HFN229" s="26"/>
      <c r="HFR229" s="23"/>
      <c r="HFW229" s="26"/>
      <c r="HGA229" s="23"/>
      <c r="HGF229" s="26"/>
      <c r="HGJ229" s="23"/>
      <c r="HGO229" s="26"/>
      <c r="HGS229" s="23"/>
      <c r="HGX229" s="26"/>
      <c r="HHB229" s="23"/>
      <c r="HHG229" s="26"/>
      <c r="HHK229" s="23"/>
      <c r="HHP229" s="26"/>
      <c r="HHT229" s="23"/>
      <c r="HHY229" s="26"/>
      <c r="HIC229" s="23"/>
      <c r="HIH229" s="26"/>
      <c r="HIL229" s="23"/>
      <c r="HIQ229" s="26"/>
      <c r="HIU229" s="23"/>
      <c r="HIZ229" s="26"/>
      <c r="HJD229" s="23"/>
      <c r="HJI229" s="26"/>
      <c r="HJM229" s="23"/>
      <c r="HJR229" s="26"/>
      <c r="HJV229" s="23"/>
      <c r="HKA229" s="26"/>
      <c r="HKE229" s="23"/>
      <c r="HKJ229" s="26"/>
      <c r="HKN229" s="23"/>
      <c r="HKS229" s="26"/>
      <c r="HKW229" s="23"/>
      <c r="HLB229" s="26"/>
      <c r="HLF229" s="23"/>
      <c r="HLK229" s="26"/>
      <c r="HLO229" s="23"/>
      <c r="HLT229" s="26"/>
      <c r="HLX229" s="23"/>
      <c r="HMC229" s="26"/>
      <c r="HMG229" s="23"/>
      <c r="HML229" s="26"/>
      <c r="HMP229" s="23"/>
      <c r="HMU229" s="26"/>
      <c r="HMY229" s="23"/>
      <c r="HND229" s="26"/>
      <c r="HNH229" s="23"/>
      <c r="HNM229" s="26"/>
      <c r="HNQ229" s="23"/>
      <c r="HNV229" s="26"/>
      <c r="HNZ229" s="23"/>
      <c r="HOE229" s="26"/>
      <c r="HOI229" s="23"/>
      <c r="HON229" s="26"/>
      <c r="HOR229" s="23"/>
      <c r="HOW229" s="26"/>
      <c r="HPA229" s="23"/>
      <c r="HPF229" s="26"/>
      <c r="HPJ229" s="23"/>
      <c r="HPO229" s="26"/>
      <c r="HPS229" s="23"/>
      <c r="HPX229" s="26"/>
      <c r="HQB229" s="23"/>
      <c r="HQG229" s="26"/>
      <c r="HQK229" s="23"/>
      <c r="HQP229" s="26"/>
      <c r="HQT229" s="23"/>
      <c r="HQY229" s="26"/>
      <c r="HRC229" s="23"/>
      <c r="HRH229" s="26"/>
      <c r="HRL229" s="23"/>
      <c r="HRQ229" s="26"/>
      <c r="HRU229" s="23"/>
      <c r="HRZ229" s="26"/>
      <c r="HSD229" s="23"/>
      <c r="HSI229" s="26"/>
      <c r="HSM229" s="23"/>
      <c r="HSR229" s="26"/>
      <c r="HSV229" s="23"/>
      <c r="HTA229" s="26"/>
      <c r="HTE229" s="23"/>
      <c r="HTJ229" s="26"/>
      <c r="HTN229" s="23"/>
      <c r="HTS229" s="26"/>
      <c r="HTW229" s="23"/>
      <c r="HUB229" s="26"/>
      <c r="HUF229" s="23"/>
      <c r="HUK229" s="26"/>
      <c r="HUO229" s="23"/>
      <c r="HUT229" s="26"/>
      <c r="HUX229" s="23"/>
      <c r="HVC229" s="26"/>
      <c r="HVG229" s="23"/>
      <c r="HVL229" s="26"/>
      <c r="HVP229" s="23"/>
      <c r="HVU229" s="26"/>
      <c r="HVY229" s="23"/>
      <c r="HWD229" s="26"/>
      <c r="HWH229" s="23"/>
      <c r="HWM229" s="26"/>
      <c r="HWQ229" s="23"/>
      <c r="HWV229" s="26"/>
      <c r="HWZ229" s="23"/>
      <c r="HXE229" s="26"/>
      <c r="HXI229" s="23"/>
      <c r="HXN229" s="26"/>
      <c r="HXR229" s="23"/>
      <c r="HXW229" s="26"/>
      <c r="HYA229" s="23"/>
      <c r="HYF229" s="26"/>
      <c r="HYJ229" s="23"/>
      <c r="HYO229" s="26"/>
      <c r="HYS229" s="23"/>
      <c r="HYX229" s="26"/>
      <c r="HZB229" s="23"/>
      <c r="HZG229" s="26"/>
      <c r="HZK229" s="23"/>
      <c r="HZP229" s="26"/>
      <c r="HZT229" s="23"/>
      <c r="HZY229" s="26"/>
      <c r="IAC229" s="23"/>
      <c r="IAH229" s="26"/>
      <c r="IAL229" s="23"/>
      <c r="IAQ229" s="26"/>
      <c r="IAU229" s="23"/>
      <c r="IAZ229" s="26"/>
      <c r="IBD229" s="23"/>
      <c r="IBI229" s="26"/>
      <c r="IBM229" s="23"/>
      <c r="IBR229" s="26"/>
      <c r="IBV229" s="23"/>
      <c r="ICA229" s="26"/>
      <c r="ICE229" s="23"/>
      <c r="ICJ229" s="26"/>
      <c r="ICN229" s="23"/>
      <c r="ICS229" s="26"/>
      <c r="ICW229" s="23"/>
      <c r="IDB229" s="26"/>
      <c r="IDF229" s="23"/>
      <c r="IDK229" s="26"/>
      <c r="IDO229" s="23"/>
      <c r="IDT229" s="26"/>
      <c r="IDX229" s="23"/>
      <c r="IEC229" s="26"/>
      <c r="IEG229" s="23"/>
      <c r="IEL229" s="26"/>
      <c r="IEP229" s="23"/>
      <c r="IEU229" s="26"/>
      <c r="IEY229" s="23"/>
      <c r="IFD229" s="26"/>
      <c r="IFH229" s="23"/>
      <c r="IFM229" s="26"/>
      <c r="IFQ229" s="23"/>
      <c r="IFV229" s="26"/>
      <c r="IFZ229" s="23"/>
      <c r="IGE229" s="26"/>
      <c r="IGI229" s="23"/>
      <c r="IGN229" s="26"/>
      <c r="IGR229" s="23"/>
      <c r="IGW229" s="26"/>
      <c r="IHA229" s="23"/>
      <c r="IHF229" s="26"/>
      <c r="IHJ229" s="23"/>
      <c r="IHO229" s="26"/>
      <c r="IHS229" s="23"/>
      <c r="IHX229" s="26"/>
      <c r="IIB229" s="23"/>
      <c r="IIG229" s="26"/>
      <c r="IIK229" s="23"/>
      <c r="IIP229" s="26"/>
      <c r="IIT229" s="23"/>
      <c r="IIY229" s="26"/>
      <c r="IJC229" s="23"/>
      <c r="IJH229" s="26"/>
      <c r="IJL229" s="23"/>
      <c r="IJQ229" s="26"/>
      <c r="IJU229" s="23"/>
      <c r="IJZ229" s="26"/>
      <c r="IKD229" s="23"/>
      <c r="IKI229" s="26"/>
      <c r="IKM229" s="23"/>
      <c r="IKR229" s="26"/>
      <c r="IKV229" s="23"/>
      <c r="ILA229" s="26"/>
      <c r="ILE229" s="23"/>
      <c r="ILJ229" s="26"/>
      <c r="ILN229" s="23"/>
      <c r="ILS229" s="26"/>
      <c r="ILW229" s="23"/>
      <c r="IMB229" s="26"/>
      <c r="IMF229" s="23"/>
      <c r="IMK229" s="26"/>
      <c r="IMO229" s="23"/>
      <c r="IMT229" s="26"/>
      <c r="IMX229" s="23"/>
      <c r="INC229" s="26"/>
      <c r="ING229" s="23"/>
      <c r="INL229" s="26"/>
      <c r="INP229" s="23"/>
      <c r="INU229" s="26"/>
      <c r="INY229" s="23"/>
      <c r="IOD229" s="26"/>
      <c r="IOH229" s="23"/>
      <c r="IOM229" s="26"/>
      <c r="IOQ229" s="23"/>
      <c r="IOV229" s="26"/>
      <c r="IOZ229" s="23"/>
      <c r="IPE229" s="26"/>
      <c r="IPI229" s="23"/>
      <c r="IPN229" s="26"/>
      <c r="IPR229" s="23"/>
      <c r="IPW229" s="26"/>
      <c r="IQA229" s="23"/>
      <c r="IQF229" s="26"/>
      <c r="IQJ229" s="23"/>
      <c r="IQO229" s="26"/>
      <c r="IQS229" s="23"/>
      <c r="IQX229" s="26"/>
      <c r="IRB229" s="23"/>
      <c r="IRG229" s="26"/>
      <c r="IRK229" s="23"/>
      <c r="IRP229" s="26"/>
      <c r="IRT229" s="23"/>
      <c r="IRY229" s="26"/>
      <c r="ISC229" s="23"/>
      <c r="ISH229" s="26"/>
      <c r="ISL229" s="23"/>
      <c r="ISQ229" s="26"/>
      <c r="ISU229" s="23"/>
      <c r="ISZ229" s="26"/>
      <c r="ITD229" s="23"/>
      <c r="ITI229" s="26"/>
      <c r="ITM229" s="23"/>
      <c r="ITR229" s="26"/>
      <c r="ITV229" s="23"/>
      <c r="IUA229" s="26"/>
      <c r="IUE229" s="23"/>
      <c r="IUJ229" s="26"/>
      <c r="IUN229" s="23"/>
      <c r="IUS229" s="26"/>
      <c r="IUW229" s="23"/>
      <c r="IVB229" s="26"/>
      <c r="IVF229" s="23"/>
      <c r="IVK229" s="26"/>
      <c r="IVO229" s="23"/>
      <c r="IVT229" s="26"/>
      <c r="IVX229" s="23"/>
      <c r="IWC229" s="26"/>
      <c r="IWG229" s="23"/>
      <c r="IWL229" s="26"/>
      <c r="IWP229" s="23"/>
      <c r="IWU229" s="26"/>
      <c r="IWY229" s="23"/>
      <c r="IXD229" s="26"/>
      <c r="IXH229" s="23"/>
      <c r="IXM229" s="26"/>
      <c r="IXQ229" s="23"/>
      <c r="IXV229" s="26"/>
      <c r="IXZ229" s="23"/>
      <c r="IYE229" s="26"/>
      <c r="IYI229" s="23"/>
      <c r="IYN229" s="26"/>
      <c r="IYR229" s="23"/>
      <c r="IYW229" s="26"/>
      <c r="IZA229" s="23"/>
      <c r="IZF229" s="26"/>
      <c r="IZJ229" s="23"/>
      <c r="IZO229" s="26"/>
      <c r="IZS229" s="23"/>
      <c r="IZX229" s="26"/>
      <c r="JAB229" s="23"/>
      <c r="JAG229" s="26"/>
      <c r="JAK229" s="23"/>
      <c r="JAP229" s="26"/>
      <c r="JAT229" s="23"/>
      <c r="JAY229" s="26"/>
      <c r="JBC229" s="23"/>
      <c r="JBH229" s="26"/>
      <c r="JBL229" s="23"/>
      <c r="JBQ229" s="26"/>
      <c r="JBU229" s="23"/>
      <c r="JBZ229" s="26"/>
      <c r="JCD229" s="23"/>
      <c r="JCI229" s="26"/>
      <c r="JCM229" s="23"/>
      <c r="JCR229" s="26"/>
      <c r="JCV229" s="23"/>
      <c r="JDA229" s="26"/>
      <c r="JDE229" s="23"/>
      <c r="JDJ229" s="26"/>
      <c r="JDN229" s="23"/>
      <c r="JDS229" s="26"/>
      <c r="JDW229" s="23"/>
      <c r="JEB229" s="26"/>
      <c r="JEF229" s="23"/>
      <c r="JEK229" s="26"/>
      <c r="JEO229" s="23"/>
      <c r="JET229" s="26"/>
      <c r="JEX229" s="23"/>
      <c r="JFC229" s="26"/>
      <c r="JFG229" s="23"/>
      <c r="JFL229" s="26"/>
      <c r="JFP229" s="23"/>
      <c r="JFU229" s="26"/>
      <c r="JFY229" s="23"/>
      <c r="JGD229" s="26"/>
      <c r="JGH229" s="23"/>
      <c r="JGM229" s="26"/>
      <c r="JGQ229" s="23"/>
      <c r="JGV229" s="26"/>
      <c r="JGZ229" s="23"/>
      <c r="JHE229" s="26"/>
      <c r="JHI229" s="23"/>
      <c r="JHN229" s="26"/>
      <c r="JHR229" s="23"/>
      <c r="JHW229" s="26"/>
      <c r="JIA229" s="23"/>
      <c r="JIF229" s="26"/>
      <c r="JIJ229" s="23"/>
      <c r="JIO229" s="26"/>
      <c r="JIS229" s="23"/>
      <c r="JIX229" s="26"/>
      <c r="JJB229" s="23"/>
      <c r="JJG229" s="26"/>
      <c r="JJK229" s="23"/>
      <c r="JJP229" s="26"/>
      <c r="JJT229" s="23"/>
      <c r="JJY229" s="26"/>
      <c r="JKC229" s="23"/>
      <c r="JKH229" s="26"/>
      <c r="JKL229" s="23"/>
      <c r="JKQ229" s="26"/>
      <c r="JKU229" s="23"/>
      <c r="JKZ229" s="26"/>
      <c r="JLD229" s="23"/>
      <c r="JLI229" s="26"/>
      <c r="JLM229" s="23"/>
      <c r="JLR229" s="26"/>
      <c r="JLV229" s="23"/>
      <c r="JMA229" s="26"/>
      <c r="JME229" s="23"/>
      <c r="JMJ229" s="26"/>
      <c r="JMN229" s="23"/>
      <c r="JMS229" s="26"/>
      <c r="JMW229" s="23"/>
      <c r="JNB229" s="26"/>
      <c r="JNF229" s="23"/>
      <c r="JNK229" s="26"/>
      <c r="JNO229" s="23"/>
      <c r="JNT229" s="26"/>
      <c r="JNX229" s="23"/>
      <c r="JOC229" s="26"/>
      <c r="JOG229" s="23"/>
      <c r="JOL229" s="26"/>
      <c r="JOP229" s="23"/>
      <c r="JOU229" s="26"/>
      <c r="JOY229" s="23"/>
      <c r="JPD229" s="26"/>
      <c r="JPH229" s="23"/>
      <c r="JPM229" s="26"/>
      <c r="JPQ229" s="23"/>
      <c r="JPV229" s="26"/>
      <c r="JPZ229" s="23"/>
      <c r="JQE229" s="26"/>
      <c r="JQI229" s="23"/>
      <c r="JQN229" s="26"/>
      <c r="JQR229" s="23"/>
      <c r="JQW229" s="26"/>
      <c r="JRA229" s="23"/>
      <c r="JRF229" s="26"/>
      <c r="JRJ229" s="23"/>
      <c r="JRO229" s="26"/>
      <c r="JRS229" s="23"/>
      <c r="JRX229" s="26"/>
      <c r="JSB229" s="23"/>
      <c r="JSG229" s="26"/>
      <c r="JSK229" s="23"/>
      <c r="JSP229" s="26"/>
      <c r="JST229" s="23"/>
      <c r="JSY229" s="26"/>
      <c r="JTC229" s="23"/>
      <c r="JTH229" s="26"/>
      <c r="JTL229" s="23"/>
      <c r="JTQ229" s="26"/>
      <c r="JTU229" s="23"/>
      <c r="JTZ229" s="26"/>
      <c r="JUD229" s="23"/>
      <c r="JUI229" s="26"/>
      <c r="JUM229" s="23"/>
      <c r="JUR229" s="26"/>
      <c r="JUV229" s="23"/>
      <c r="JVA229" s="26"/>
      <c r="JVE229" s="23"/>
      <c r="JVJ229" s="26"/>
      <c r="JVN229" s="23"/>
      <c r="JVS229" s="26"/>
      <c r="JVW229" s="23"/>
      <c r="JWB229" s="26"/>
      <c r="JWF229" s="23"/>
      <c r="JWK229" s="26"/>
      <c r="JWO229" s="23"/>
      <c r="JWT229" s="26"/>
      <c r="JWX229" s="23"/>
      <c r="JXC229" s="26"/>
      <c r="JXG229" s="23"/>
      <c r="JXL229" s="26"/>
      <c r="JXP229" s="23"/>
      <c r="JXU229" s="26"/>
      <c r="JXY229" s="23"/>
      <c r="JYD229" s="26"/>
      <c r="JYH229" s="23"/>
      <c r="JYM229" s="26"/>
      <c r="JYQ229" s="23"/>
      <c r="JYV229" s="26"/>
      <c r="JYZ229" s="23"/>
      <c r="JZE229" s="26"/>
      <c r="JZI229" s="23"/>
      <c r="JZN229" s="26"/>
      <c r="JZR229" s="23"/>
      <c r="JZW229" s="26"/>
      <c r="KAA229" s="23"/>
      <c r="KAF229" s="26"/>
      <c r="KAJ229" s="23"/>
      <c r="KAO229" s="26"/>
      <c r="KAS229" s="23"/>
      <c r="KAX229" s="26"/>
      <c r="KBB229" s="23"/>
      <c r="KBG229" s="26"/>
      <c r="KBK229" s="23"/>
      <c r="KBP229" s="26"/>
      <c r="KBT229" s="23"/>
      <c r="KBY229" s="26"/>
      <c r="KCC229" s="23"/>
      <c r="KCH229" s="26"/>
      <c r="KCL229" s="23"/>
      <c r="KCQ229" s="26"/>
      <c r="KCU229" s="23"/>
      <c r="KCZ229" s="26"/>
      <c r="KDD229" s="23"/>
      <c r="KDI229" s="26"/>
      <c r="KDM229" s="23"/>
      <c r="KDR229" s="26"/>
      <c r="KDV229" s="23"/>
      <c r="KEA229" s="26"/>
      <c r="KEE229" s="23"/>
      <c r="KEJ229" s="26"/>
      <c r="KEN229" s="23"/>
      <c r="KES229" s="26"/>
      <c r="KEW229" s="23"/>
      <c r="KFB229" s="26"/>
      <c r="KFF229" s="23"/>
      <c r="KFK229" s="26"/>
      <c r="KFO229" s="23"/>
      <c r="KFT229" s="26"/>
      <c r="KFX229" s="23"/>
      <c r="KGC229" s="26"/>
      <c r="KGG229" s="23"/>
      <c r="KGL229" s="26"/>
      <c r="KGP229" s="23"/>
      <c r="KGU229" s="26"/>
      <c r="KGY229" s="23"/>
      <c r="KHD229" s="26"/>
      <c r="KHH229" s="23"/>
      <c r="KHM229" s="26"/>
      <c r="KHQ229" s="23"/>
      <c r="KHV229" s="26"/>
      <c r="KHZ229" s="23"/>
      <c r="KIE229" s="26"/>
      <c r="KII229" s="23"/>
      <c r="KIN229" s="26"/>
      <c r="KIR229" s="23"/>
      <c r="KIW229" s="26"/>
      <c r="KJA229" s="23"/>
      <c r="KJF229" s="26"/>
      <c r="KJJ229" s="23"/>
      <c r="KJO229" s="26"/>
      <c r="KJS229" s="23"/>
      <c r="KJX229" s="26"/>
      <c r="KKB229" s="23"/>
      <c r="KKG229" s="26"/>
      <c r="KKK229" s="23"/>
      <c r="KKP229" s="26"/>
      <c r="KKT229" s="23"/>
      <c r="KKY229" s="26"/>
      <c r="KLC229" s="23"/>
      <c r="KLH229" s="26"/>
      <c r="KLL229" s="23"/>
      <c r="KLQ229" s="26"/>
      <c r="KLU229" s="23"/>
      <c r="KLZ229" s="26"/>
      <c r="KMD229" s="23"/>
      <c r="KMI229" s="26"/>
      <c r="KMM229" s="23"/>
      <c r="KMR229" s="26"/>
      <c r="KMV229" s="23"/>
      <c r="KNA229" s="26"/>
      <c r="KNE229" s="23"/>
      <c r="KNJ229" s="26"/>
      <c r="KNN229" s="23"/>
      <c r="KNS229" s="26"/>
      <c r="KNW229" s="23"/>
      <c r="KOB229" s="26"/>
      <c r="KOF229" s="23"/>
      <c r="KOK229" s="26"/>
      <c r="KOO229" s="23"/>
      <c r="KOT229" s="26"/>
      <c r="KOX229" s="23"/>
      <c r="KPC229" s="26"/>
      <c r="KPG229" s="23"/>
      <c r="KPL229" s="26"/>
      <c r="KPP229" s="23"/>
      <c r="KPU229" s="26"/>
      <c r="KPY229" s="23"/>
      <c r="KQD229" s="26"/>
      <c r="KQH229" s="23"/>
      <c r="KQM229" s="26"/>
      <c r="KQQ229" s="23"/>
      <c r="KQV229" s="26"/>
      <c r="KQZ229" s="23"/>
      <c r="KRE229" s="26"/>
      <c r="KRI229" s="23"/>
      <c r="KRN229" s="26"/>
      <c r="KRR229" s="23"/>
      <c r="KRW229" s="26"/>
      <c r="KSA229" s="23"/>
      <c r="KSF229" s="26"/>
      <c r="KSJ229" s="23"/>
      <c r="KSO229" s="26"/>
      <c r="KSS229" s="23"/>
      <c r="KSX229" s="26"/>
      <c r="KTB229" s="23"/>
      <c r="KTG229" s="26"/>
      <c r="KTK229" s="23"/>
      <c r="KTP229" s="26"/>
      <c r="KTT229" s="23"/>
      <c r="KTY229" s="26"/>
      <c r="KUC229" s="23"/>
      <c r="KUH229" s="26"/>
      <c r="KUL229" s="23"/>
      <c r="KUQ229" s="26"/>
      <c r="KUU229" s="23"/>
      <c r="KUZ229" s="26"/>
      <c r="KVD229" s="23"/>
      <c r="KVI229" s="26"/>
      <c r="KVM229" s="23"/>
      <c r="KVR229" s="26"/>
      <c r="KVV229" s="23"/>
      <c r="KWA229" s="26"/>
      <c r="KWE229" s="23"/>
      <c r="KWJ229" s="26"/>
      <c r="KWN229" s="23"/>
      <c r="KWS229" s="26"/>
      <c r="KWW229" s="23"/>
      <c r="KXB229" s="26"/>
      <c r="KXF229" s="23"/>
      <c r="KXK229" s="26"/>
      <c r="KXO229" s="23"/>
      <c r="KXT229" s="26"/>
      <c r="KXX229" s="23"/>
      <c r="KYC229" s="26"/>
      <c r="KYG229" s="23"/>
      <c r="KYL229" s="26"/>
      <c r="KYP229" s="23"/>
      <c r="KYU229" s="26"/>
      <c r="KYY229" s="23"/>
      <c r="KZD229" s="26"/>
      <c r="KZH229" s="23"/>
      <c r="KZM229" s="26"/>
      <c r="KZQ229" s="23"/>
      <c r="KZV229" s="26"/>
      <c r="KZZ229" s="23"/>
      <c r="LAE229" s="26"/>
      <c r="LAI229" s="23"/>
      <c r="LAN229" s="26"/>
      <c r="LAR229" s="23"/>
      <c r="LAW229" s="26"/>
      <c r="LBA229" s="23"/>
      <c r="LBF229" s="26"/>
      <c r="LBJ229" s="23"/>
      <c r="LBO229" s="26"/>
      <c r="LBS229" s="23"/>
      <c r="LBX229" s="26"/>
      <c r="LCB229" s="23"/>
      <c r="LCG229" s="26"/>
      <c r="LCK229" s="23"/>
      <c r="LCP229" s="26"/>
      <c r="LCT229" s="23"/>
      <c r="LCY229" s="26"/>
      <c r="LDC229" s="23"/>
      <c r="LDH229" s="26"/>
      <c r="LDL229" s="23"/>
      <c r="LDQ229" s="26"/>
      <c r="LDU229" s="23"/>
      <c r="LDZ229" s="26"/>
      <c r="LED229" s="23"/>
      <c r="LEI229" s="26"/>
      <c r="LEM229" s="23"/>
      <c r="LER229" s="26"/>
      <c r="LEV229" s="23"/>
      <c r="LFA229" s="26"/>
      <c r="LFE229" s="23"/>
      <c r="LFJ229" s="26"/>
      <c r="LFN229" s="23"/>
      <c r="LFS229" s="26"/>
      <c r="LFW229" s="23"/>
      <c r="LGB229" s="26"/>
      <c r="LGF229" s="23"/>
      <c r="LGK229" s="26"/>
      <c r="LGO229" s="23"/>
      <c r="LGT229" s="26"/>
      <c r="LGX229" s="23"/>
      <c r="LHC229" s="26"/>
      <c r="LHG229" s="23"/>
      <c r="LHL229" s="26"/>
      <c r="LHP229" s="23"/>
      <c r="LHU229" s="26"/>
      <c r="LHY229" s="23"/>
      <c r="LID229" s="26"/>
      <c r="LIH229" s="23"/>
      <c r="LIM229" s="26"/>
      <c r="LIQ229" s="23"/>
      <c r="LIV229" s="26"/>
      <c r="LIZ229" s="23"/>
      <c r="LJE229" s="26"/>
      <c r="LJI229" s="23"/>
      <c r="LJN229" s="26"/>
      <c r="LJR229" s="23"/>
      <c r="LJW229" s="26"/>
      <c r="LKA229" s="23"/>
      <c r="LKF229" s="26"/>
      <c r="LKJ229" s="23"/>
      <c r="LKO229" s="26"/>
      <c r="LKS229" s="23"/>
      <c r="LKX229" s="26"/>
      <c r="LLB229" s="23"/>
      <c r="LLG229" s="26"/>
      <c r="LLK229" s="23"/>
      <c r="LLP229" s="26"/>
      <c r="LLT229" s="23"/>
      <c r="LLY229" s="26"/>
      <c r="LMC229" s="23"/>
      <c r="LMH229" s="26"/>
      <c r="LML229" s="23"/>
      <c r="LMQ229" s="26"/>
      <c r="LMU229" s="23"/>
      <c r="LMZ229" s="26"/>
      <c r="LND229" s="23"/>
      <c r="LNI229" s="26"/>
      <c r="LNM229" s="23"/>
      <c r="LNR229" s="26"/>
      <c r="LNV229" s="23"/>
      <c r="LOA229" s="26"/>
      <c r="LOE229" s="23"/>
      <c r="LOJ229" s="26"/>
      <c r="LON229" s="23"/>
      <c r="LOS229" s="26"/>
      <c r="LOW229" s="23"/>
      <c r="LPB229" s="26"/>
      <c r="LPF229" s="23"/>
      <c r="LPK229" s="26"/>
      <c r="LPO229" s="23"/>
      <c r="LPT229" s="26"/>
      <c r="LPX229" s="23"/>
      <c r="LQC229" s="26"/>
      <c r="LQG229" s="23"/>
      <c r="LQL229" s="26"/>
      <c r="LQP229" s="23"/>
      <c r="LQU229" s="26"/>
      <c r="LQY229" s="23"/>
      <c r="LRD229" s="26"/>
      <c r="LRH229" s="23"/>
      <c r="LRM229" s="26"/>
      <c r="LRQ229" s="23"/>
      <c r="LRV229" s="26"/>
      <c r="LRZ229" s="23"/>
      <c r="LSE229" s="26"/>
      <c r="LSI229" s="23"/>
      <c r="LSN229" s="26"/>
      <c r="LSR229" s="23"/>
      <c r="LSW229" s="26"/>
      <c r="LTA229" s="23"/>
      <c r="LTF229" s="26"/>
      <c r="LTJ229" s="23"/>
      <c r="LTO229" s="26"/>
      <c r="LTS229" s="23"/>
      <c r="LTX229" s="26"/>
      <c r="LUB229" s="23"/>
      <c r="LUG229" s="26"/>
      <c r="LUK229" s="23"/>
      <c r="LUP229" s="26"/>
      <c r="LUT229" s="23"/>
      <c r="LUY229" s="26"/>
      <c r="LVC229" s="23"/>
      <c r="LVH229" s="26"/>
      <c r="LVL229" s="23"/>
      <c r="LVQ229" s="26"/>
      <c r="LVU229" s="23"/>
      <c r="LVZ229" s="26"/>
      <c r="LWD229" s="23"/>
      <c r="LWI229" s="26"/>
      <c r="LWM229" s="23"/>
      <c r="LWR229" s="26"/>
      <c r="LWV229" s="23"/>
      <c r="LXA229" s="26"/>
      <c r="LXE229" s="23"/>
      <c r="LXJ229" s="26"/>
      <c r="LXN229" s="23"/>
      <c r="LXS229" s="26"/>
      <c r="LXW229" s="23"/>
      <c r="LYB229" s="26"/>
      <c r="LYF229" s="23"/>
      <c r="LYK229" s="26"/>
      <c r="LYO229" s="23"/>
      <c r="LYT229" s="26"/>
      <c r="LYX229" s="23"/>
      <c r="LZC229" s="26"/>
      <c r="LZG229" s="23"/>
      <c r="LZL229" s="26"/>
      <c r="LZP229" s="23"/>
      <c r="LZU229" s="26"/>
      <c r="LZY229" s="23"/>
      <c r="MAD229" s="26"/>
      <c r="MAH229" s="23"/>
      <c r="MAM229" s="26"/>
      <c r="MAQ229" s="23"/>
      <c r="MAV229" s="26"/>
      <c r="MAZ229" s="23"/>
      <c r="MBE229" s="26"/>
      <c r="MBI229" s="23"/>
      <c r="MBN229" s="26"/>
      <c r="MBR229" s="23"/>
      <c r="MBW229" s="26"/>
      <c r="MCA229" s="23"/>
      <c r="MCF229" s="26"/>
      <c r="MCJ229" s="23"/>
      <c r="MCO229" s="26"/>
      <c r="MCS229" s="23"/>
      <c r="MCX229" s="26"/>
      <c r="MDB229" s="23"/>
      <c r="MDG229" s="26"/>
      <c r="MDK229" s="23"/>
      <c r="MDP229" s="26"/>
      <c r="MDT229" s="23"/>
      <c r="MDY229" s="26"/>
      <c r="MEC229" s="23"/>
      <c r="MEH229" s="26"/>
      <c r="MEL229" s="23"/>
      <c r="MEQ229" s="26"/>
      <c r="MEU229" s="23"/>
      <c r="MEZ229" s="26"/>
      <c r="MFD229" s="23"/>
      <c r="MFI229" s="26"/>
      <c r="MFM229" s="23"/>
      <c r="MFR229" s="26"/>
      <c r="MFV229" s="23"/>
      <c r="MGA229" s="26"/>
      <c r="MGE229" s="23"/>
      <c r="MGJ229" s="26"/>
      <c r="MGN229" s="23"/>
      <c r="MGS229" s="26"/>
      <c r="MGW229" s="23"/>
      <c r="MHB229" s="26"/>
      <c r="MHF229" s="23"/>
      <c r="MHK229" s="26"/>
      <c r="MHO229" s="23"/>
      <c r="MHT229" s="26"/>
      <c r="MHX229" s="23"/>
      <c r="MIC229" s="26"/>
      <c r="MIG229" s="23"/>
      <c r="MIL229" s="26"/>
      <c r="MIP229" s="23"/>
      <c r="MIU229" s="26"/>
      <c r="MIY229" s="23"/>
      <c r="MJD229" s="26"/>
      <c r="MJH229" s="23"/>
      <c r="MJM229" s="26"/>
      <c r="MJQ229" s="23"/>
      <c r="MJV229" s="26"/>
      <c r="MJZ229" s="23"/>
      <c r="MKE229" s="26"/>
      <c r="MKI229" s="23"/>
      <c r="MKN229" s="26"/>
      <c r="MKR229" s="23"/>
      <c r="MKW229" s="26"/>
      <c r="MLA229" s="23"/>
      <c r="MLF229" s="26"/>
      <c r="MLJ229" s="23"/>
      <c r="MLO229" s="26"/>
      <c r="MLS229" s="23"/>
      <c r="MLX229" s="26"/>
      <c r="MMB229" s="23"/>
      <c r="MMG229" s="26"/>
      <c r="MMK229" s="23"/>
      <c r="MMP229" s="26"/>
      <c r="MMT229" s="23"/>
      <c r="MMY229" s="26"/>
      <c r="MNC229" s="23"/>
      <c r="MNH229" s="26"/>
      <c r="MNL229" s="23"/>
      <c r="MNQ229" s="26"/>
      <c r="MNU229" s="23"/>
      <c r="MNZ229" s="26"/>
      <c r="MOD229" s="23"/>
      <c r="MOI229" s="26"/>
      <c r="MOM229" s="23"/>
      <c r="MOR229" s="26"/>
      <c r="MOV229" s="23"/>
      <c r="MPA229" s="26"/>
      <c r="MPE229" s="23"/>
      <c r="MPJ229" s="26"/>
      <c r="MPN229" s="23"/>
      <c r="MPS229" s="26"/>
      <c r="MPW229" s="23"/>
      <c r="MQB229" s="26"/>
      <c r="MQF229" s="23"/>
      <c r="MQK229" s="26"/>
      <c r="MQO229" s="23"/>
      <c r="MQT229" s="26"/>
      <c r="MQX229" s="23"/>
      <c r="MRC229" s="26"/>
      <c r="MRG229" s="23"/>
      <c r="MRL229" s="26"/>
      <c r="MRP229" s="23"/>
      <c r="MRU229" s="26"/>
      <c r="MRY229" s="23"/>
      <c r="MSD229" s="26"/>
      <c r="MSH229" s="23"/>
      <c r="MSM229" s="26"/>
      <c r="MSQ229" s="23"/>
      <c r="MSV229" s="26"/>
      <c r="MSZ229" s="23"/>
      <c r="MTE229" s="26"/>
      <c r="MTI229" s="23"/>
      <c r="MTN229" s="26"/>
      <c r="MTR229" s="23"/>
      <c r="MTW229" s="26"/>
      <c r="MUA229" s="23"/>
      <c r="MUF229" s="26"/>
      <c r="MUJ229" s="23"/>
      <c r="MUO229" s="26"/>
      <c r="MUS229" s="23"/>
      <c r="MUX229" s="26"/>
      <c r="MVB229" s="23"/>
      <c r="MVG229" s="26"/>
      <c r="MVK229" s="23"/>
      <c r="MVP229" s="26"/>
      <c r="MVT229" s="23"/>
      <c r="MVY229" s="26"/>
      <c r="MWC229" s="23"/>
      <c r="MWH229" s="26"/>
      <c r="MWL229" s="23"/>
      <c r="MWQ229" s="26"/>
      <c r="MWU229" s="23"/>
      <c r="MWZ229" s="26"/>
      <c r="MXD229" s="23"/>
      <c r="MXI229" s="26"/>
      <c r="MXM229" s="23"/>
      <c r="MXR229" s="26"/>
      <c r="MXV229" s="23"/>
      <c r="MYA229" s="26"/>
      <c r="MYE229" s="23"/>
      <c r="MYJ229" s="26"/>
      <c r="MYN229" s="23"/>
      <c r="MYS229" s="26"/>
      <c r="MYW229" s="23"/>
      <c r="MZB229" s="26"/>
      <c r="MZF229" s="23"/>
      <c r="MZK229" s="26"/>
      <c r="MZO229" s="23"/>
      <c r="MZT229" s="26"/>
      <c r="MZX229" s="23"/>
      <c r="NAC229" s="26"/>
      <c r="NAG229" s="23"/>
      <c r="NAL229" s="26"/>
      <c r="NAP229" s="23"/>
      <c r="NAU229" s="26"/>
      <c r="NAY229" s="23"/>
      <c r="NBD229" s="26"/>
      <c r="NBH229" s="23"/>
      <c r="NBM229" s="26"/>
      <c r="NBQ229" s="23"/>
      <c r="NBV229" s="26"/>
      <c r="NBZ229" s="23"/>
      <c r="NCE229" s="26"/>
      <c r="NCI229" s="23"/>
      <c r="NCN229" s="26"/>
      <c r="NCR229" s="23"/>
      <c r="NCW229" s="26"/>
      <c r="NDA229" s="23"/>
      <c r="NDF229" s="26"/>
      <c r="NDJ229" s="23"/>
      <c r="NDO229" s="26"/>
      <c r="NDS229" s="23"/>
      <c r="NDX229" s="26"/>
      <c r="NEB229" s="23"/>
      <c r="NEG229" s="26"/>
      <c r="NEK229" s="23"/>
      <c r="NEP229" s="26"/>
      <c r="NET229" s="23"/>
      <c r="NEY229" s="26"/>
      <c r="NFC229" s="23"/>
      <c r="NFH229" s="26"/>
      <c r="NFL229" s="23"/>
      <c r="NFQ229" s="26"/>
      <c r="NFU229" s="23"/>
      <c r="NFZ229" s="26"/>
      <c r="NGD229" s="23"/>
      <c r="NGI229" s="26"/>
      <c r="NGM229" s="23"/>
      <c r="NGR229" s="26"/>
      <c r="NGV229" s="23"/>
      <c r="NHA229" s="26"/>
      <c r="NHE229" s="23"/>
      <c r="NHJ229" s="26"/>
      <c r="NHN229" s="23"/>
      <c r="NHS229" s="26"/>
      <c r="NHW229" s="23"/>
      <c r="NIB229" s="26"/>
      <c r="NIF229" s="23"/>
      <c r="NIK229" s="26"/>
      <c r="NIO229" s="23"/>
      <c r="NIT229" s="26"/>
      <c r="NIX229" s="23"/>
      <c r="NJC229" s="26"/>
      <c r="NJG229" s="23"/>
      <c r="NJL229" s="26"/>
      <c r="NJP229" s="23"/>
      <c r="NJU229" s="26"/>
      <c r="NJY229" s="23"/>
      <c r="NKD229" s="26"/>
      <c r="NKH229" s="23"/>
      <c r="NKM229" s="26"/>
      <c r="NKQ229" s="23"/>
      <c r="NKV229" s="26"/>
      <c r="NKZ229" s="23"/>
      <c r="NLE229" s="26"/>
      <c r="NLI229" s="23"/>
      <c r="NLN229" s="26"/>
      <c r="NLR229" s="23"/>
      <c r="NLW229" s="26"/>
      <c r="NMA229" s="23"/>
      <c r="NMF229" s="26"/>
      <c r="NMJ229" s="23"/>
      <c r="NMO229" s="26"/>
      <c r="NMS229" s="23"/>
      <c r="NMX229" s="26"/>
      <c r="NNB229" s="23"/>
      <c r="NNG229" s="26"/>
      <c r="NNK229" s="23"/>
      <c r="NNP229" s="26"/>
      <c r="NNT229" s="23"/>
      <c r="NNY229" s="26"/>
      <c r="NOC229" s="23"/>
      <c r="NOH229" s="26"/>
      <c r="NOL229" s="23"/>
      <c r="NOQ229" s="26"/>
      <c r="NOU229" s="23"/>
      <c r="NOZ229" s="26"/>
      <c r="NPD229" s="23"/>
      <c r="NPI229" s="26"/>
      <c r="NPM229" s="23"/>
      <c r="NPR229" s="26"/>
      <c r="NPV229" s="23"/>
      <c r="NQA229" s="26"/>
      <c r="NQE229" s="23"/>
      <c r="NQJ229" s="26"/>
      <c r="NQN229" s="23"/>
      <c r="NQS229" s="26"/>
      <c r="NQW229" s="23"/>
      <c r="NRB229" s="26"/>
      <c r="NRF229" s="23"/>
      <c r="NRK229" s="26"/>
      <c r="NRO229" s="23"/>
      <c r="NRT229" s="26"/>
      <c r="NRX229" s="23"/>
      <c r="NSC229" s="26"/>
      <c r="NSG229" s="23"/>
      <c r="NSL229" s="26"/>
      <c r="NSP229" s="23"/>
      <c r="NSU229" s="26"/>
      <c r="NSY229" s="23"/>
      <c r="NTD229" s="26"/>
      <c r="NTH229" s="23"/>
      <c r="NTM229" s="26"/>
      <c r="NTQ229" s="23"/>
      <c r="NTV229" s="26"/>
      <c r="NTZ229" s="23"/>
      <c r="NUE229" s="26"/>
      <c r="NUI229" s="23"/>
      <c r="NUN229" s="26"/>
      <c r="NUR229" s="23"/>
      <c r="NUW229" s="26"/>
      <c r="NVA229" s="23"/>
      <c r="NVF229" s="26"/>
      <c r="NVJ229" s="23"/>
      <c r="NVO229" s="26"/>
      <c r="NVS229" s="23"/>
      <c r="NVX229" s="26"/>
      <c r="NWB229" s="23"/>
      <c r="NWG229" s="26"/>
      <c r="NWK229" s="23"/>
      <c r="NWP229" s="26"/>
      <c r="NWT229" s="23"/>
      <c r="NWY229" s="26"/>
      <c r="NXC229" s="23"/>
      <c r="NXH229" s="26"/>
      <c r="NXL229" s="23"/>
      <c r="NXQ229" s="26"/>
      <c r="NXU229" s="23"/>
      <c r="NXZ229" s="26"/>
      <c r="NYD229" s="23"/>
      <c r="NYI229" s="26"/>
      <c r="NYM229" s="23"/>
      <c r="NYR229" s="26"/>
      <c r="NYV229" s="23"/>
      <c r="NZA229" s="26"/>
      <c r="NZE229" s="23"/>
      <c r="NZJ229" s="26"/>
      <c r="NZN229" s="23"/>
      <c r="NZS229" s="26"/>
      <c r="NZW229" s="23"/>
      <c r="OAB229" s="26"/>
      <c r="OAF229" s="23"/>
      <c r="OAK229" s="26"/>
      <c r="OAO229" s="23"/>
      <c r="OAT229" s="26"/>
      <c r="OAX229" s="23"/>
      <c r="OBC229" s="26"/>
      <c r="OBG229" s="23"/>
      <c r="OBL229" s="26"/>
      <c r="OBP229" s="23"/>
      <c r="OBU229" s="26"/>
      <c r="OBY229" s="23"/>
      <c r="OCD229" s="26"/>
      <c r="OCH229" s="23"/>
      <c r="OCM229" s="26"/>
      <c r="OCQ229" s="23"/>
      <c r="OCV229" s="26"/>
      <c r="OCZ229" s="23"/>
      <c r="ODE229" s="26"/>
      <c r="ODI229" s="23"/>
      <c r="ODN229" s="26"/>
      <c r="ODR229" s="23"/>
      <c r="ODW229" s="26"/>
      <c r="OEA229" s="23"/>
      <c r="OEF229" s="26"/>
      <c r="OEJ229" s="23"/>
      <c r="OEO229" s="26"/>
      <c r="OES229" s="23"/>
      <c r="OEX229" s="26"/>
      <c r="OFB229" s="23"/>
      <c r="OFG229" s="26"/>
      <c r="OFK229" s="23"/>
      <c r="OFP229" s="26"/>
      <c r="OFT229" s="23"/>
      <c r="OFY229" s="26"/>
      <c r="OGC229" s="23"/>
      <c r="OGH229" s="26"/>
      <c r="OGL229" s="23"/>
      <c r="OGQ229" s="26"/>
      <c r="OGU229" s="23"/>
      <c r="OGZ229" s="26"/>
      <c r="OHD229" s="23"/>
      <c r="OHI229" s="26"/>
      <c r="OHM229" s="23"/>
      <c r="OHR229" s="26"/>
      <c r="OHV229" s="23"/>
      <c r="OIA229" s="26"/>
      <c r="OIE229" s="23"/>
      <c r="OIJ229" s="26"/>
      <c r="OIN229" s="23"/>
      <c r="OIS229" s="26"/>
      <c r="OIW229" s="23"/>
      <c r="OJB229" s="26"/>
      <c r="OJF229" s="23"/>
      <c r="OJK229" s="26"/>
      <c r="OJO229" s="23"/>
      <c r="OJT229" s="26"/>
      <c r="OJX229" s="23"/>
      <c r="OKC229" s="26"/>
      <c r="OKG229" s="23"/>
      <c r="OKL229" s="26"/>
      <c r="OKP229" s="23"/>
      <c r="OKU229" s="26"/>
      <c r="OKY229" s="23"/>
      <c r="OLD229" s="26"/>
      <c r="OLH229" s="23"/>
      <c r="OLM229" s="26"/>
      <c r="OLQ229" s="23"/>
      <c r="OLV229" s="26"/>
      <c r="OLZ229" s="23"/>
      <c r="OME229" s="26"/>
      <c r="OMI229" s="23"/>
      <c r="OMN229" s="26"/>
      <c r="OMR229" s="23"/>
      <c r="OMW229" s="26"/>
      <c r="ONA229" s="23"/>
      <c r="ONF229" s="26"/>
      <c r="ONJ229" s="23"/>
      <c r="ONO229" s="26"/>
      <c r="ONS229" s="23"/>
      <c r="ONX229" s="26"/>
      <c r="OOB229" s="23"/>
      <c r="OOG229" s="26"/>
      <c r="OOK229" s="23"/>
      <c r="OOP229" s="26"/>
      <c r="OOT229" s="23"/>
      <c r="OOY229" s="26"/>
      <c r="OPC229" s="23"/>
      <c r="OPH229" s="26"/>
      <c r="OPL229" s="23"/>
      <c r="OPQ229" s="26"/>
      <c r="OPU229" s="23"/>
      <c r="OPZ229" s="26"/>
      <c r="OQD229" s="23"/>
      <c r="OQI229" s="26"/>
      <c r="OQM229" s="23"/>
      <c r="OQR229" s="26"/>
      <c r="OQV229" s="23"/>
      <c r="ORA229" s="26"/>
      <c r="ORE229" s="23"/>
      <c r="ORJ229" s="26"/>
      <c r="ORN229" s="23"/>
      <c r="ORS229" s="26"/>
      <c r="ORW229" s="23"/>
      <c r="OSB229" s="26"/>
      <c r="OSF229" s="23"/>
      <c r="OSK229" s="26"/>
      <c r="OSO229" s="23"/>
      <c r="OST229" s="26"/>
      <c r="OSX229" s="23"/>
      <c r="OTC229" s="26"/>
      <c r="OTG229" s="23"/>
      <c r="OTL229" s="26"/>
      <c r="OTP229" s="23"/>
      <c r="OTU229" s="26"/>
      <c r="OTY229" s="23"/>
      <c r="OUD229" s="26"/>
      <c r="OUH229" s="23"/>
      <c r="OUM229" s="26"/>
      <c r="OUQ229" s="23"/>
      <c r="OUV229" s="26"/>
      <c r="OUZ229" s="23"/>
      <c r="OVE229" s="26"/>
      <c r="OVI229" s="23"/>
      <c r="OVN229" s="26"/>
      <c r="OVR229" s="23"/>
      <c r="OVW229" s="26"/>
      <c r="OWA229" s="23"/>
      <c r="OWF229" s="26"/>
      <c r="OWJ229" s="23"/>
      <c r="OWO229" s="26"/>
      <c r="OWS229" s="23"/>
      <c r="OWX229" s="26"/>
      <c r="OXB229" s="23"/>
      <c r="OXG229" s="26"/>
      <c r="OXK229" s="23"/>
      <c r="OXP229" s="26"/>
      <c r="OXT229" s="23"/>
      <c r="OXY229" s="26"/>
      <c r="OYC229" s="23"/>
      <c r="OYH229" s="26"/>
      <c r="OYL229" s="23"/>
      <c r="OYQ229" s="26"/>
      <c r="OYU229" s="23"/>
      <c r="OYZ229" s="26"/>
      <c r="OZD229" s="23"/>
      <c r="OZI229" s="26"/>
      <c r="OZM229" s="23"/>
      <c r="OZR229" s="26"/>
      <c r="OZV229" s="23"/>
      <c r="PAA229" s="26"/>
      <c r="PAE229" s="23"/>
      <c r="PAJ229" s="26"/>
      <c r="PAN229" s="23"/>
      <c r="PAS229" s="26"/>
      <c r="PAW229" s="23"/>
      <c r="PBB229" s="26"/>
      <c r="PBF229" s="23"/>
      <c r="PBK229" s="26"/>
      <c r="PBO229" s="23"/>
      <c r="PBT229" s="26"/>
      <c r="PBX229" s="23"/>
      <c r="PCC229" s="26"/>
      <c r="PCG229" s="23"/>
      <c r="PCL229" s="26"/>
      <c r="PCP229" s="23"/>
      <c r="PCU229" s="26"/>
      <c r="PCY229" s="23"/>
      <c r="PDD229" s="26"/>
      <c r="PDH229" s="23"/>
      <c r="PDM229" s="26"/>
      <c r="PDQ229" s="23"/>
      <c r="PDV229" s="26"/>
      <c r="PDZ229" s="23"/>
      <c r="PEE229" s="26"/>
      <c r="PEI229" s="23"/>
      <c r="PEN229" s="26"/>
      <c r="PER229" s="23"/>
      <c r="PEW229" s="26"/>
      <c r="PFA229" s="23"/>
      <c r="PFF229" s="26"/>
      <c r="PFJ229" s="23"/>
      <c r="PFO229" s="26"/>
      <c r="PFS229" s="23"/>
      <c r="PFX229" s="26"/>
      <c r="PGB229" s="23"/>
      <c r="PGG229" s="26"/>
      <c r="PGK229" s="23"/>
      <c r="PGP229" s="26"/>
      <c r="PGT229" s="23"/>
      <c r="PGY229" s="26"/>
      <c r="PHC229" s="23"/>
      <c r="PHH229" s="26"/>
      <c r="PHL229" s="23"/>
      <c r="PHQ229" s="26"/>
      <c r="PHU229" s="23"/>
      <c r="PHZ229" s="26"/>
      <c r="PID229" s="23"/>
      <c r="PII229" s="26"/>
      <c r="PIM229" s="23"/>
      <c r="PIR229" s="26"/>
      <c r="PIV229" s="23"/>
      <c r="PJA229" s="26"/>
      <c r="PJE229" s="23"/>
      <c r="PJJ229" s="26"/>
      <c r="PJN229" s="23"/>
      <c r="PJS229" s="26"/>
      <c r="PJW229" s="23"/>
      <c r="PKB229" s="26"/>
      <c r="PKF229" s="23"/>
      <c r="PKK229" s="26"/>
      <c r="PKO229" s="23"/>
      <c r="PKT229" s="26"/>
      <c r="PKX229" s="23"/>
      <c r="PLC229" s="26"/>
      <c r="PLG229" s="23"/>
      <c r="PLL229" s="26"/>
      <c r="PLP229" s="23"/>
      <c r="PLU229" s="26"/>
      <c r="PLY229" s="23"/>
      <c r="PMD229" s="26"/>
      <c r="PMH229" s="23"/>
      <c r="PMM229" s="26"/>
      <c r="PMQ229" s="23"/>
      <c r="PMV229" s="26"/>
      <c r="PMZ229" s="23"/>
      <c r="PNE229" s="26"/>
      <c r="PNI229" s="23"/>
      <c r="PNN229" s="26"/>
      <c r="PNR229" s="23"/>
      <c r="PNW229" s="26"/>
      <c r="POA229" s="23"/>
      <c r="POF229" s="26"/>
      <c r="POJ229" s="23"/>
      <c r="POO229" s="26"/>
      <c r="POS229" s="23"/>
      <c r="POX229" s="26"/>
      <c r="PPB229" s="23"/>
      <c r="PPG229" s="26"/>
      <c r="PPK229" s="23"/>
      <c r="PPP229" s="26"/>
      <c r="PPT229" s="23"/>
      <c r="PPY229" s="26"/>
      <c r="PQC229" s="23"/>
      <c r="PQH229" s="26"/>
      <c r="PQL229" s="23"/>
      <c r="PQQ229" s="26"/>
      <c r="PQU229" s="23"/>
      <c r="PQZ229" s="26"/>
      <c r="PRD229" s="23"/>
      <c r="PRI229" s="26"/>
      <c r="PRM229" s="23"/>
      <c r="PRR229" s="26"/>
      <c r="PRV229" s="23"/>
      <c r="PSA229" s="26"/>
      <c r="PSE229" s="23"/>
      <c r="PSJ229" s="26"/>
      <c r="PSN229" s="23"/>
      <c r="PSS229" s="26"/>
      <c r="PSW229" s="23"/>
      <c r="PTB229" s="26"/>
      <c r="PTF229" s="23"/>
      <c r="PTK229" s="26"/>
      <c r="PTO229" s="23"/>
      <c r="PTT229" s="26"/>
      <c r="PTX229" s="23"/>
      <c r="PUC229" s="26"/>
      <c r="PUG229" s="23"/>
      <c r="PUL229" s="26"/>
      <c r="PUP229" s="23"/>
      <c r="PUU229" s="26"/>
      <c r="PUY229" s="23"/>
      <c r="PVD229" s="26"/>
      <c r="PVH229" s="23"/>
      <c r="PVM229" s="26"/>
      <c r="PVQ229" s="23"/>
      <c r="PVV229" s="26"/>
      <c r="PVZ229" s="23"/>
      <c r="PWE229" s="26"/>
      <c r="PWI229" s="23"/>
      <c r="PWN229" s="26"/>
      <c r="PWR229" s="23"/>
      <c r="PWW229" s="26"/>
      <c r="PXA229" s="23"/>
      <c r="PXF229" s="26"/>
      <c r="PXJ229" s="23"/>
      <c r="PXO229" s="26"/>
      <c r="PXS229" s="23"/>
      <c r="PXX229" s="26"/>
      <c r="PYB229" s="23"/>
      <c r="PYG229" s="26"/>
      <c r="PYK229" s="23"/>
      <c r="PYP229" s="26"/>
      <c r="PYT229" s="23"/>
      <c r="PYY229" s="26"/>
      <c r="PZC229" s="23"/>
      <c r="PZH229" s="26"/>
      <c r="PZL229" s="23"/>
      <c r="PZQ229" s="26"/>
      <c r="PZU229" s="23"/>
      <c r="PZZ229" s="26"/>
      <c r="QAD229" s="23"/>
      <c r="QAI229" s="26"/>
      <c r="QAM229" s="23"/>
      <c r="QAR229" s="26"/>
      <c r="QAV229" s="23"/>
      <c r="QBA229" s="26"/>
      <c r="QBE229" s="23"/>
      <c r="QBJ229" s="26"/>
      <c r="QBN229" s="23"/>
      <c r="QBS229" s="26"/>
      <c r="QBW229" s="23"/>
      <c r="QCB229" s="26"/>
      <c r="QCF229" s="23"/>
      <c r="QCK229" s="26"/>
      <c r="QCO229" s="23"/>
      <c r="QCT229" s="26"/>
      <c r="QCX229" s="23"/>
      <c r="QDC229" s="26"/>
      <c r="QDG229" s="23"/>
      <c r="QDL229" s="26"/>
      <c r="QDP229" s="23"/>
      <c r="QDU229" s="26"/>
      <c r="QDY229" s="23"/>
      <c r="QED229" s="26"/>
      <c r="QEH229" s="23"/>
      <c r="QEM229" s="26"/>
      <c r="QEQ229" s="23"/>
      <c r="QEV229" s="26"/>
      <c r="QEZ229" s="23"/>
      <c r="QFE229" s="26"/>
      <c r="QFI229" s="23"/>
      <c r="QFN229" s="26"/>
      <c r="QFR229" s="23"/>
      <c r="QFW229" s="26"/>
      <c r="QGA229" s="23"/>
      <c r="QGF229" s="26"/>
      <c r="QGJ229" s="23"/>
      <c r="QGO229" s="26"/>
      <c r="QGS229" s="23"/>
      <c r="QGX229" s="26"/>
      <c r="QHB229" s="23"/>
      <c r="QHG229" s="26"/>
      <c r="QHK229" s="23"/>
      <c r="QHP229" s="26"/>
      <c r="QHT229" s="23"/>
      <c r="QHY229" s="26"/>
      <c r="QIC229" s="23"/>
      <c r="QIH229" s="26"/>
      <c r="QIL229" s="23"/>
      <c r="QIQ229" s="26"/>
      <c r="QIU229" s="23"/>
      <c r="QIZ229" s="26"/>
      <c r="QJD229" s="23"/>
      <c r="QJI229" s="26"/>
      <c r="QJM229" s="23"/>
      <c r="QJR229" s="26"/>
      <c r="QJV229" s="23"/>
      <c r="QKA229" s="26"/>
      <c r="QKE229" s="23"/>
      <c r="QKJ229" s="26"/>
      <c r="QKN229" s="23"/>
      <c r="QKS229" s="26"/>
      <c r="QKW229" s="23"/>
      <c r="QLB229" s="26"/>
      <c r="QLF229" s="23"/>
      <c r="QLK229" s="26"/>
      <c r="QLO229" s="23"/>
      <c r="QLT229" s="26"/>
      <c r="QLX229" s="23"/>
      <c r="QMC229" s="26"/>
      <c r="QMG229" s="23"/>
      <c r="QML229" s="26"/>
      <c r="QMP229" s="23"/>
      <c r="QMU229" s="26"/>
      <c r="QMY229" s="23"/>
      <c r="QND229" s="26"/>
      <c r="QNH229" s="23"/>
      <c r="QNM229" s="26"/>
      <c r="QNQ229" s="23"/>
      <c r="QNV229" s="26"/>
      <c r="QNZ229" s="23"/>
      <c r="QOE229" s="26"/>
      <c r="QOI229" s="23"/>
      <c r="QON229" s="26"/>
      <c r="QOR229" s="23"/>
      <c r="QOW229" s="26"/>
      <c r="QPA229" s="23"/>
      <c r="QPF229" s="26"/>
      <c r="QPJ229" s="23"/>
      <c r="QPO229" s="26"/>
      <c r="QPS229" s="23"/>
      <c r="QPX229" s="26"/>
      <c r="QQB229" s="23"/>
      <c r="QQG229" s="26"/>
      <c r="QQK229" s="23"/>
      <c r="QQP229" s="26"/>
      <c r="QQT229" s="23"/>
      <c r="QQY229" s="26"/>
      <c r="QRC229" s="23"/>
      <c r="QRH229" s="26"/>
      <c r="QRL229" s="23"/>
      <c r="QRQ229" s="26"/>
      <c r="QRU229" s="23"/>
      <c r="QRZ229" s="26"/>
      <c r="QSD229" s="23"/>
      <c r="QSI229" s="26"/>
      <c r="QSM229" s="23"/>
      <c r="QSR229" s="26"/>
      <c r="QSV229" s="23"/>
      <c r="QTA229" s="26"/>
      <c r="QTE229" s="23"/>
      <c r="QTJ229" s="26"/>
      <c r="QTN229" s="23"/>
      <c r="QTS229" s="26"/>
      <c r="QTW229" s="23"/>
      <c r="QUB229" s="26"/>
      <c r="QUF229" s="23"/>
      <c r="QUK229" s="26"/>
      <c r="QUO229" s="23"/>
      <c r="QUT229" s="26"/>
      <c r="QUX229" s="23"/>
      <c r="QVC229" s="26"/>
      <c r="QVG229" s="23"/>
      <c r="QVL229" s="26"/>
      <c r="QVP229" s="23"/>
      <c r="QVU229" s="26"/>
      <c r="QVY229" s="23"/>
      <c r="QWD229" s="26"/>
      <c r="QWH229" s="23"/>
      <c r="QWM229" s="26"/>
      <c r="QWQ229" s="23"/>
      <c r="QWV229" s="26"/>
      <c r="QWZ229" s="23"/>
      <c r="QXE229" s="26"/>
      <c r="QXI229" s="23"/>
      <c r="QXN229" s="26"/>
      <c r="QXR229" s="23"/>
      <c r="QXW229" s="26"/>
      <c r="QYA229" s="23"/>
      <c r="QYF229" s="26"/>
      <c r="QYJ229" s="23"/>
      <c r="QYO229" s="26"/>
      <c r="QYS229" s="23"/>
      <c r="QYX229" s="26"/>
      <c r="QZB229" s="23"/>
      <c r="QZG229" s="26"/>
      <c r="QZK229" s="23"/>
      <c r="QZP229" s="26"/>
      <c r="QZT229" s="23"/>
      <c r="QZY229" s="26"/>
      <c r="RAC229" s="23"/>
      <c r="RAH229" s="26"/>
      <c r="RAL229" s="23"/>
      <c r="RAQ229" s="26"/>
      <c r="RAU229" s="23"/>
      <c r="RAZ229" s="26"/>
      <c r="RBD229" s="23"/>
      <c r="RBI229" s="26"/>
      <c r="RBM229" s="23"/>
      <c r="RBR229" s="26"/>
      <c r="RBV229" s="23"/>
      <c r="RCA229" s="26"/>
      <c r="RCE229" s="23"/>
      <c r="RCJ229" s="26"/>
      <c r="RCN229" s="23"/>
      <c r="RCS229" s="26"/>
      <c r="RCW229" s="23"/>
      <c r="RDB229" s="26"/>
      <c r="RDF229" s="23"/>
      <c r="RDK229" s="26"/>
      <c r="RDO229" s="23"/>
      <c r="RDT229" s="26"/>
      <c r="RDX229" s="23"/>
      <c r="REC229" s="26"/>
      <c r="REG229" s="23"/>
      <c r="REL229" s="26"/>
      <c r="REP229" s="23"/>
      <c r="REU229" s="26"/>
      <c r="REY229" s="23"/>
      <c r="RFD229" s="26"/>
      <c r="RFH229" s="23"/>
      <c r="RFM229" s="26"/>
      <c r="RFQ229" s="23"/>
      <c r="RFV229" s="26"/>
      <c r="RFZ229" s="23"/>
      <c r="RGE229" s="26"/>
      <c r="RGI229" s="23"/>
      <c r="RGN229" s="26"/>
      <c r="RGR229" s="23"/>
      <c r="RGW229" s="26"/>
      <c r="RHA229" s="23"/>
      <c r="RHF229" s="26"/>
      <c r="RHJ229" s="23"/>
      <c r="RHO229" s="26"/>
      <c r="RHS229" s="23"/>
      <c r="RHX229" s="26"/>
      <c r="RIB229" s="23"/>
      <c r="RIG229" s="26"/>
      <c r="RIK229" s="23"/>
      <c r="RIP229" s="26"/>
      <c r="RIT229" s="23"/>
      <c r="RIY229" s="26"/>
      <c r="RJC229" s="23"/>
      <c r="RJH229" s="26"/>
      <c r="RJL229" s="23"/>
      <c r="RJQ229" s="26"/>
      <c r="RJU229" s="23"/>
      <c r="RJZ229" s="26"/>
      <c r="RKD229" s="23"/>
      <c r="RKI229" s="26"/>
      <c r="RKM229" s="23"/>
      <c r="RKR229" s="26"/>
      <c r="RKV229" s="23"/>
      <c r="RLA229" s="26"/>
      <c r="RLE229" s="23"/>
      <c r="RLJ229" s="26"/>
      <c r="RLN229" s="23"/>
      <c r="RLS229" s="26"/>
      <c r="RLW229" s="23"/>
      <c r="RMB229" s="26"/>
      <c r="RMF229" s="23"/>
      <c r="RMK229" s="26"/>
      <c r="RMO229" s="23"/>
      <c r="RMT229" s="26"/>
      <c r="RMX229" s="23"/>
      <c r="RNC229" s="26"/>
      <c r="RNG229" s="23"/>
      <c r="RNL229" s="26"/>
      <c r="RNP229" s="23"/>
      <c r="RNU229" s="26"/>
      <c r="RNY229" s="23"/>
      <c r="ROD229" s="26"/>
      <c r="ROH229" s="23"/>
      <c r="ROM229" s="26"/>
      <c r="ROQ229" s="23"/>
      <c r="ROV229" s="26"/>
      <c r="ROZ229" s="23"/>
      <c r="RPE229" s="26"/>
      <c r="RPI229" s="23"/>
      <c r="RPN229" s="26"/>
      <c r="RPR229" s="23"/>
      <c r="RPW229" s="26"/>
      <c r="RQA229" s="23"/>
      <c r="RQF229" s="26"/>
      <c r="RQJ229" s="23"/>
      <c r="RQO229" s="26"/>
      <c r="RQS229" s="23"/>
      <c r="RQX229" s="26"/>
      <c r="RRB229" s="23"/>
      <c r="RRG229" s="26"/>
      <c r="RRK229" s="23"/>
      <c r="RRP229" s="26"/>
      <c r="RRT229" s="23"/>
      <c r="RRY229" s="26"/>
      <c r="RSC229" s="23"/>
      <c r="RSH229" s="26"/>
      <c r="RSL229" s="23"/>
      <c r="RSQ229" s="26"/>
      <c r="RSU229" s="23"/>
      <c r="RSZ229" s="26"/>
      <c r="RTD229" s="23"/>
      <c r="RTI229" s="26"/>
      <c r="RTM229" s="23"/>
      <c r="RTR229" s="26"/>
      <c r="RTV229" s="23"/>
      <c r="RUA229" s="26"/>
      <c r="RUE229" s="23"/>
      <c r="RUJ229" s="26"/>
      <c r="RUN229" s="23"/>
      <c r="RUS229" s="26"/>
      <c r="RUW229" s="23"/>
      <c r="RVB229" s="26"/>
      <c r="RVF229" s="23"/>
      <c r="RVK229" s="26"/>
      <c r="RVO229" s="23"/>
      <c r="RVT229" s="26"/>
      <c r="RVX229" s="23"/>
      <c r="RWC229" s="26"/>
      <c r="RWG229" s="23"/>
      <c r="RWL229" s="26"/>
      <c r="RWP229" s="23"/>
      <c r="RWU229" s="26"/>
      <c r="RWY229" s="23"/>
      <c r="RXD229" s="26"/>
      <c r="RXH229" s="23"/>
      <c r="RXM229" s="26"/>
      <c r="RXQ229" s="23"/>
      <c r="RXV229" s="26"/>
      <c r="RXZ229" s="23"/>
      <c r="RYE229" s="26"/>
      <c r="RYI229" s="23"/>
      <c r="RYN229" s="26"/>
      <c r="RYR229" s="23"/>
      <c r="RYW229" s="26"/>
      <c r="RZA229" s="23"/>
      <c r="RZF229" s="26"/>
      <c r="RZJ229" s="23"/>
      <c r="RZO229" s="26"/>
      <c r="RZS229" s="23"/>
      <c r="RZX229" s="26"/>
      <c r="SAB229" s="23"/>
      <c r="SAG229" s="26"/>
      <c r="SAK229" s="23"/>
      <c r="SAP229" s="26"/>
      <c r="SAT229" s="23"/>
      <c r="SAY229" s="26"/>
      <c r="SBC229" s="23"/>
      <c r="SBH229" s="26"/>
      <c r="SBL229" s="23"/>
      <c r="SBQ229" s="26"/>
      <c r="SBU229" s="23"/>
      <c r="SBZ229" s="26"/>
      <c r="SCD229" s="23"/>
      <c r="SCI229" s="26"/>
      <c r="SCM229" s="23"/>
      <c r="SCR229" s="26"/>
      <c r="SCV229" s="23"/>
      <c r="SDA229" s="26"/>
      <c r="SDE229" s="23"/>
      <c r="SDJ229" s="26"/>
      <c r="SDN229" s="23"/>
      <c r="SDS229" s="26"/>
      <c r="SDW229" s="23"/>
      <c r="SEB229" s="26"/>
      <c r="SEF229" s="23"/>
      <c r="SEK229" s="26"/>
      <c r="SEO229" s="23"/>
      <c r="SET229" s="26"/>
      <c r="SEX229" s="23"/>
      <c r="SFC229" s="26"/>
      <c r="SFG229" s="23"/>
      <c r="SFL229" s="26"/>
      <c r="SFP229" s="23"/>
      <c r="SFU229" s="26"/>
      <c r="SFY229" s="23"/>
      <c r="SGD229" s="26"/>
      <c r="SGH229" s="23"/>
      <c r="SGM229" s="26"/>
      <c r="SGQ229" s="23"/>
      <c r="SGV229" s="26"/>
      <c r="SGZ229" s="23"/>
      <c r="SHE229" s="26"/>
      <c r="SHI229" s="23"/>
      <c r="SHN229" s="26"/>
      <c r="SHR229" s="23"/>
      <c r="SHW229" s="26"/>
      <c r="SIA229" s="23"/>
      <c r="SIF229" s="26"/>
      <c r="SIJ229" s="23"/>
      <c r="SIO229" s="26"/>
      <c r="SIS229" s="23"/>
      <c r="SIX229" s="26"/>
      <c r="SJB229" s="23"/>
      <c r="SJG229" s="26"/>
      <c r="SJK229" s="23"/>
      <c r="SJP229" s="26"/>
      <c r="SJT229" s="23"/>
      <c r="SJY229" s="26"/>
      <c r="SKC229" s="23"/>
      <c r="SKH229" s="26"/>
      <c r="SKL229" s="23"/>
      <c r="SKQ229" s="26"/>
      <c r="SKU229" s="23"/>
      <c r="SKZ229" s="26"/>
      <c r="SLD229" s="23"/>
      <c r="SLI229" s="26"/>
      <c r="SLM229" s="23"/>
      <c r="SLR229" s="26"/>
      <c r="SLV229" s="23"/>
      <c r="SMA229" s="26"/>
      <c r="SME229" s="23"/>
      <c r="SMJ229" s="26"/>
      <c r="SMN229" s="23"/>
      <c r="SMS229" s="26"/>
      <c r="SMW229" s="23"/>
      <c r="SNB229" s="26"/>
      <c r="SNF229" s="23"/>
      <c r="SNK229" s="26"/>
      <c r="SNO229" s="23"/>
      <c r="SNT229" s="26"/>
      <c r="SNX229" s="23"/>
      <c r="SOC229" s="26"/>
      <c r="SOG229" s="23"/>
      <c r="SOL229" s="26"/>
      <c r="SOP229" s="23"/>
      <c r="SOU229" s="26"/>
      <c r="SOY229" s="23"/>
      <c r="SPD229" s="26"/>
      <c r="SPH229" s="23"/>
      <c r="SPM229" s="26"/>
      <c r="SPQ229" s="23"/>
      <c r="SPV229" s="26"/>
      <c r="SPZ229" s="23"/>
      <c r="SQE229" s="26"/>
      <c r="SQI229" s="23"/>
      <c r="SQN229" s="26"/>
      <c r="SQR229" s="23"/>
      <c r="SQW229" s="26"/>
      <c r="SRA229" s="23"/>
      <c r="SRF229" s="26"/>
      <c r="SRJ229" s="23"/>
      <c r="SRO229" s="26"/>
      <c r="SRS229" s="23"/>
      <c r="SRX229" s="26"/>
      <c r="SSB229" s="23"/>
      <c r="SSG229" s="26"/>
      <c r="SSK229" s="23"/>
      <c r="SSP229" s="26"/>
      <c r="SST229" s="23"/>
      <c r="SSY229" s="26"/>
      <c r="STC229" s="23"/>
      <c r="STH229" s="26"/>
      <c r="STL229" s="23"/>
      <c r="STQ229" s="26"/>
      <c r="STU229" s="23"/>
      <c r="STZ229" s="26"/>
      <c r="SUD229" s="23"/>
      <c r="SUI229" s="26"/>
      <c r="SUM229" s="23"/>
      <c r="SUR229" s="26"/>
      <c r="SUV229" s="23"/>
      <c r="SVA229" s="26"/>
      <c r="SVE229" s="23"/>
      <c r="SVJ229" s="26"/>
      <c r="SVN229" s="23"/>
      <c r="SVS229" s="26"/>
      <c r="SVW229" s="23"/>
      <c r="SWB229" s="26"/>
      <c r="SWF229" s="23"/>
      <c r="SWK229" s="26"/>
      <c r="SWO229" s="23"/>
      <c r="SWT229" s="26"/>
      <c r="SWX229" s="23"/>
      <c r="SXC229" s="26"/>
      <c r="SXG229" s="23"/>
      <c r="SXL229" s="26"/>
      <c r="SXP229" s="23"/>
      <c r="SXU229" s="26"/>
      <c r="SXY229" s="23"/>
      <c r="SYD229" s="26"/>
      <c r="SYH229" s="23"/>
      <c r="SYM229" s="26"/>
      <c r="SYQ229" s="23"/>
      <c r="SYV229" s="26"/>
      <c r="SYZ229" s="23"/>
      <c r="SZE229" s="26"/>
      <c r="SZI229" s="23"/>
      <c r="SZN229" s="26"/>
      <c r="SZR229" s="23"/>
      <c r="SZW229" s="26"/>
      <c r="TAA229" s="23"/>
      <c r="TAF229" s="26"/>
      <c r="TAJ229" s="23"/>
      <c r="TAO229" s="26"/>
      <c r="TAS229" s="23"/>
      <c r="TAX229" s="26"/>
      <c r="TBB229" s="23"/>
      <c r="TBG229" s="26"/>
      <c r="TBK229" s="23"/>
      <c r="TBP229" s="26"/>
      <c r="TBT229" s="23"/>
      <c r="TBY229" s="26"/>
      <c r="TCC229" s="23"/>
      <c r="TCH229" s="26"/>
      <c r="TCL229" s="23"/>
      <c r="TCQ229" s="26"/>
      <c r="TCU229" s="23"/>
      <c r="TCZ229" s="26"/>
      <c r="TDD229" s="23"/>
      <c r="TDI229" s="26"/>
      <c r="TDM229" s="23"/>
      <c r="TDR229" s="26"/>
      <c r="TDV229" s="23"/>
      <c r="TEA229" s="26"/>
      <c r="TEE229" s="23"/>
      <c r="TEJ229" s="26"/>
      <c r="TEN229" s="23"/>
      <c r="TES229" s="26"/>
      <c r="TEW229" s="23"/>
      <c r="TFB229" s="26"/>
      <c r="TFF229" s="23"/>
      <c r="TFK229" s="26"/>
      <c r="TFO229" s="23"/>
      <c r="TFT229" s="26"/>
      <c r="TFX229" s="23"/>
      <c r="TGC229" s="26"/>
      <c r="TGG229" s="23"/>
      <c r="TGL229" s="26"/>
      <c r="TGP229" s="23"/>
      <c r="TGU229" s="26"/>
      <c r="TGY229" s="23"/>
      <c r="THD229" s="26"/>
      <c r="THH229" s="23"/>
      <c r="THM229" s="26"/>
      <c r="THQ229" s="23"/>
      <c r="THV229" s="26"/>
      <c r="THZ229" s="23"/>
      <c r="TIE229" s="26"/>
      <c r="TII229" s="23"/>
      <c r="TIN229" s="26"/>
      <c r="TIR229" s="23"/>
      <c r="TIW229" s="26"/>
      <c r="TJA229" s="23"/>
      <c r="TJF229" s="26"/>
      <c r="TJJ229" s="23"/>
      <c r="TJO229" s="26"/>
      <c r="TJS229" s="23"/>
      <c r="TJX229" s="26"/>
      <c r="TKB229" s="23"/>
      <c r="TKG229" s="26"/>
      <c r="TKK229" s="23"/>
      <c r="TKP229" s="26"/>
      <c r="TKT229" s="23"/>
      <c r="TKY229" s="26"/>
      <c r="TLC229" s="23"/>
      <c r="TLH229" s="26"/>
      <c r="TLL229" s="23"/>
      <c r="TLQ229" s="26"/>
      <c r="TLU229" s="23"/>
      <c r="TLZ229" s="26"/>
      <c r="TMD229" s="23"/>
      <c r="TMI229" s="26"/>
      <c r="TMM229" s="23"/>
      <c r="TMR229" s="26"/>
      <c r="TMV229" s="23"/>
      <c r="TNA229" s="26"/>
      <c r="TNE229" s="23"/>
      <c r="TNJ229" s="26"/>
      <c r="TNN229" s="23"/>
      <c r="TNS229" s="26"/>
      <c r="TNW229" s="23"/>
      <c r="TOB229" s="26"/>
      <c r="TOF229" s="23"/>
      <c r="TOK229" s="26"/>
      <c r="TOO229" s="23"/>
      <c r="TOT229" s="26"/>
      <c r="TOX229" s="23"/>
      <c r="TPC229" s="26"/>
      <c r="TPG229" s="23"/>
      <c r="TPL229" s="26"/>
      <c r="TPP229" s="23"/>
      <c r="TPU229" s="26"/>
      <c r="TPY229" s="23"/>
      <c r="TQD229" s="26"/>
      <c r="TQH229" s="23"/>
      <c r="TQM229" s="26"/>
      <c r="TQQ229" s="23"/>
      <c r="TQV229" s="26"/>
      <c r="TQZ229" s="23"/>
      <c r="TRE229" s="26"/>
      <c r="TRI229" s="23"/>
      <c r="TRN229" s="26"/>
      <c r="TRR229" s="23"/>
      <c r="TRW229" s="26"/>
      <c r="TSA229" s="23"/>
      <c r="TSF229" s="26"/>
      <c r="TSJ229" s="23"/>
      <c r="TSO229" s="26"/>
      <c r="TSS229" s="23"/>
      <c r="TSX229" s="26"/>
      <c r="TTB229" s="23"/>
      <c r="TTG229" s="26"/>
      <c r="TTK229" s="23"/>
      <c r="TTP229" s="26"/>
      <c r="TTT229" s="23"/>
      <c r="TTY229" s="26"/>
      <c r="TUC229" s="23"/>
      <c r="TUH229" s="26"/>
      <c r="TUL229" s="23"/>
      <c r="TUQ229" s="26"/>
      <c r="TUU229" s="23"/>
      <c r="TUZ229" s="26"/>
      <c r="TVD229" s="23"/>
      <c r="TVI229" s="26"/>
      <c r="TVM229" s="23"/>
      <c r="TVR229" s="26"/>
      <c r="TVV229" s="23"/>
      <c r="TWA229" s="26"/>
      <c r="TWE229" s="23"/>
      <c r="TWJ229" s="26"/>
      <c r="TWN229" s="23"/>
      <c r="TWS229" s="26"/>
      <c r="TWW229" s="23"/>
      <c r="TXB229" s="26"/>
      <c r="TXF229" s="23"/>
      <c r="TXK229" s="26"/>
      <c r="TXO229" s="23"/>
      <c r="TXT229" s="26"/>
      <c r="TXX229" s="23"/>
      <c r="TYC229" s="26"/>
      <c r="TYG229" s="23"/>
      <c r="TYL229" s="26"/>
      <c r="TYP229" s="23"/>
      <c r="TYU229" s="26"/>
      <c r="TYY229" s="23"/>
      <c r="TZD229" s="26"/>
      <c r="TZH229" s="23"/>
      <c r="TZM229" s="26"/>
      <c r="TZQ229" s="23"/>
      <c r="TZV229" s="26"/>
      <c r="TZZ229" s="23"/>
      <c r="UAE229" s="26"/>
      <c r="UAI229" s="23"/>
      <c r="UAN229" s="26"/>
      <c r="UAR229" s="23"/>
      <c r="UAW229" s="26"/>
      <c r="UBA229" s="23"/>
      <c r="UBF229" s="26"/>
      <c r="UBJ229" s="23"/>
      <c r="UBO229" s="26"/>
      <c r="UBS229" s="23"/>
      <c r="UBX229" s="26"/>
      <c r="UCB229" s="23"/>
      <c r="UCG229" s="26"/>
      <c r="UCK229" s="23"/>
      <c r="UCP229" s="26"/>
      <c r="UCT229" s="23"/>
      <c r="UCY229" s="26"/>
      <c r="UDC229" s="23"/>
      <c r="UDH229" s="26"/>
      <c r="UDL229" s="23"/>
      <c r="UDQ229" s="26"/>
      <c r="UDU229" s="23"/>
      <c r="UDZ229" s="26"/>
      <c r="UED229" s="23"/>
      <c r="UEI229" s="26"/>
      <c r="UEM229" s="23"/>
      <c r="UER229" s="26"/>
      <c r="UEV229" s="23"/>
      <c r="UFA229" s="26"/>
      <c r="UFE229" s="23"/>
      <c r="UFJ229" s="26"/>
      <c r="UFN229" s="23"/>
      <c r="UFS229" s="26"/>
      <c r="UFW229" s="23"/>
      <c r="UGB229" s="26"/>
      <c r="UGF229" s="23"/>
      <c r="UGK229" s="26"/>
      <c r="UGO229" s="23"/>
      <c r="UGT229" s="26"/>
      <c r="UGX229" s="23"/>
      <c r="UHC229" s="26"/>
      <c r="UHG229" s="23"/>
      <c r="UHL229" s="26"/>
      <c r="UHP229" s="23"/>
      <c r="UHU229" s="26"/>
      <c r="UHY229" s="23"/>
      <c r="UID229" s="26"/>
      <c r="UIH229" s="23"/>
      <c r="UIM229" s="26"/>
      <c r="UIQ229" s="23"/>
      <c r="UIV229" s="26"/>
      <c r="UIZ229" s="23"/>
      <c r="UJE229" s="26"/>
      <c r="UJI229" s="23"/>
      <c r="UJN229" s="26"/>
      <c r="UJR229" s="23"/>
      <c r="UJW229" s="26"/>
      <c r="UKA229" s="23"/>
      <c r="UKF229" s="26"/>
      <c r="UKJ229" s="23"/>
      <c r="UKO229" s="26"/>
      <c r="UKS229" s="23"/>
      <c r="UKX229" s="26"/>
      <c r="ULB229" s="23"/>
      <c r="ULG229" s="26"/>
      <c r="ULK229" s="23"/>
      <c r="ULP229" s="26"/>
      <c r="ULT229" s="23"/>
      <c r="ULY229" s="26"/>
      <c r="UMC229" s="23"/>
      <c r="UMH229" s="26"/>
      <c r="UML229" s="23"/>
      <c r="UMQ229" s="26"/>
      <c r="UMU229" s="23"/>
      <c r="UMZ229" s="26"/>
      <c r="UND229" s="23"/>
      <c r="UNI229" s="26"/>
      <c r="UNM229" s="23"/>
      <c r="UNR229" s="26"/>
      <c r="UNV229" s="23"/>
      <c r="UOA229" s="26"/>
      <c r="UOE229" s="23"/>
      <c r="UOJ229" s="26"/>
      <c r="UON229" s="23"/>
      <c r="UOS229" s="26"/>
      <c r="UOW229" s="23"/>
      <c r="UPB229" s="26"/>
      <c r="UPF229" s="23"/>
      <c r="UPK229" s="26"/>
      <c r="UPO229" s="23"/>
      <c r="UPT229" s="26"/>
      <c r="UPX229" s="23"/>
      <c r="UQC229" s="26"/>
      <c r="UQG229" s="23"/>
      <c r="UQL229" s="26"/>
      <c r="UQP229" s="23"/>
      <c r="UQU229" s="26"/>
      <c r="UQY229" s="23"/>
      <c r="URD229" s="26"/>
      <c r="URH229" s="23"/>
      <c r="URM229" s="26"/>
      <c r="URQ229" s="23"/>
      <c r="URV229" s="26"/>
      <c r="URZ229" s="23"/>
      <c r="USE229" s="26"/>
      <c r="USI229" s="23"/>
      <c r="USN229" s="26"/>
      <c r="USR229" s="23"/>
      <c r="USW229" s="26"/>
      <c r="UTA229" s="23"/>
      <c r="UTF229" s="26"/>
      <c r="UTJ229" s="23"/>
      <c r="UTO229" s="26"/>
      <c r="UTS229" s="23"/>
      <c r="UTX229" s="26"/>
      <c r="UUB229" s="23"/>
      <c r="UUG229" s="26"/>
      <c r="UUK229" s="23"/>
      <c r="UUP229" s="26"/>
      <c r="UUT229" s="23"/>
      <c r="UUY229" s="26"/>
      <c r="UVC229" s="23"/>
      <c r="UVH229" s="26"/>
      <c r="UVL229" s="23"/>
      <c r="UVQ229" s="26"/>
      <c r="UVU229" s="23"/>
      <c r="UVZ229" s="26"/>
      <c r="UWD229" s="23"/>
      <c r="UWI229" s="26"/>
      <c r="UWM229" s="23"/>
      <c r="UWR229" s="26"/>
      <c r="UWV229" s="23"/>
      <c r="UXA229" s="26"/>
      <c r="UXE229" s="23"/>
      <c r="UXJ229" s="26"/>
      <c r="UXN229" s="23"/>
      <c r="UXS229" s="26"/>
      <c r="UXW229" s="23"/>
      <c r="UYB229" s="26"/>
      <c r="UYF229" s="23"/>
      <c r="UYK229" s="26"/>
      <c r="UYO229" s="23"/>
      <c r="UYT229" s="26"/>
      <c r="UYX229" s="23"/>
      <c r="UZC229" s="26"/>
      <c r="UZG229" s="23"/>
      <c r="UZL229" s="26"/>
      <c r="UZP229" s="23"/>
      <c r="UZU229" s="26"/>
      <c r="UZY229" s="23"/>
      <c r="VAD229" s="26"/>
      <c r="VAH229" s="23"/>
      <c r="VAM229" s="26"/>
      <c r="VAQ229" s="23"/>
      <c r="VAV229" s="26"/>
      <c r="VAZ229" s="23"/>
      <c r="VBE229" s="26"/>
      <c r="VBI229" s="23"/>
      <c r="VBN229" s="26"/>
      <c r="VBR229" s="23"/>
      <c r="VBW229" s="26"/>
      <c r="VCA229" s="23"/>
      <c r="VCF229" s="26"/>
      <c r="VCJ229" s="23"/>
      <c r="VCO229" s="26"/>
      <c r="VCS229" s="23"/>
      <c r="VCX229" s="26"/>
      <c r="VDB229" s="23"/>
      <c r="VDG229" s="26"/>
      <c r="VDK229" s="23"/>
      <c r="VDP229" s="26"/>
      <c r="VDT229" s="23"/>
      <c r="VDY229" s="26"/>
      <c r="VEC229" s="23"/>
      <c r="VEH229" s="26"/>
      <c r="VEL229" s="23"/>
      <c r="VEQ229" s="26"/>
      <c r="VEU229" s="23"/>
      <c r="VEZ229" s="26"/>
      <c r="VFD229" s="23"/>
      <c r="VFI229" s="26"/>
      <c r="VFM229" s="23"/>
      <c r="VFR229" s="26"/>
      <c r="VFV229" s="23"/>
      <c r="VGA229" s="26"/>
      <c r="VGE229" s="23"/>
      <c r="VGJ229" s="26"/>
      <c r="VGN229" s="23"/>
      <c r="VGS229" s="26"/>
      <c r="VGW229" s="23"/>
      <c r="VHB229" s="26"/>
      <c r="VHF229" s="23"/>
      <c r="VHK229" s="26"/>
      <c r="VHO229" s="23"/>
      <c r="VHT229" s="26"/>
      <c r="VHX229" s="23"/>
      <c r="VIC229" s="26"/>
      <c r="VIG229" s="23"/>
      <c r="VIL229" s="26"/>
      <c r="VIP229" s="23"/>
      <c r="VIU229" s="26"/>
      <c r="VIY229" s="23"/>
      <c r="VJD229" s="26"/>
      <c r="VJH229" s="23"/>
      <c r="VJM229" s="26"/>
      <c r="VJQ229" s="23"/>
      <c r="VJV229" s="26"/>
      <c r="VJZ229" s="23"/>
      <c r="VKE229" s="26"/>
      <c r="VKI229" s="23"/>
      <c r="VKN229" s="26"/>
      <c r="VKR229" s="23"/>
      <c r="VKW229" s="26"/>
      <c r="VLA229" s="23"/>
      <c r="VLF229" s="26"/>
      <c r="VLJ229" s="23"/>
      <c r="VLO229" s="26"/>
      <c r="VLS229" s="23"/>
      <c r="VLX229" s="26"/>
      <c r="VMB229" s="23"/>
      <c r="VMG229" s="26"/>
      <c r="VMK229" s="23"/>
      <c r="VMP229" s="26"/>
      <c r="VMT229" s="23"/>
      <c r="VMY229" s="26"/>
      <c r="VNC229" s="23"/>
      <c r="VNH229" s="26"/>
      <c r="VNL229" s="23"/>
      <c r="VNQ229" s="26"/>
      <c r="VNU229" s="23"/>
      <c r="VNZ229" s="26"/>
      <c r="VOD229" s="23"/>
      <c r="VOI229" s="26"/>
      <c r="VOM229" s="23"/>
      <c r="VOR229" s="26"/>
      <c r="VOV229" s="23"/>
      <c r="VPA229" s="26"/>
      <c r="VPE229" s="23"/>
      <c r="VPJ229" s="26"/>
      <c r="VPN229" s="23"/>
      <c r="VPS229" s="26"/>
      <c r="VPW229" s="23"/>
      <c r="VQB229" s="26"/>
      <c r="VQF229" s="23"/>
      <c r="VQK229" s="26"/>
      <c r="VQO229" s="23"/>
      <c r="VQT229" s="26"/>
      <c r="VQX229" s="23"/>
      <c r="VRC229" s="26"/>
      <c r="VRG229" s="23"/>
      <c r="VRL229" s="26"/>
      <c r="VRP229" s="23"/>
      <c r="VRU229" s="26"/>
      <c r="VRY229" s="23"/>
      <c r="VSD229" s="26"/>
      <c r="VSH229" s="23"/>
      <c r="VSM229" s="26"/>
      <c r="VSQ229" s="23"/>
      <c r="VSV229" s="26"/>
      <c r="VSZ229" s="23"/>
      <c r="VTE229" s="26"/>
      <c r="VTI229" s="23"/>
      <c r="VTN229" s="26"/>
      <c r="VTR229" s="23"/>
      <c r="VTW229" s="26"/>
      <c r="VUA229" s="23"/>
      <c r="VUF229" s="26"/>
      <c r="VUJ229" s="23"/>
      <c r="VUO229" s="26"/>
      <c r="VUS229" s="23"/>
      <c r="VUX229" s="26"/>
      <c r="VVB229" s="23"/>
      <c r="VVG229" s="26"/>
      <c r="VVK229" s="23"/>
      <c r="VVP229" s="26"/>
      <c r="VVT229" s="23"/>
      <c r="VVY229" s="26"/>
      <c r="VWC229" s="23"/>
      <c r="VWH229" s="26"/>
      <c r="VWL229" s="23"/>
      <c r="VWQ229" s="26"/>
      <c r="VWU229" s="23"/>
      <c r="VWZ229" s="26"/>
      <c r="VXD229" s="23"/>
      <c r="VXI229" s="26"/>
      <c r="VXM229" s="23"/>
      <c r="VXR229" s="26"/>
      <c r="VXV229" s="23"/>
      <c r="VYA229" s="26"/>
      <c r="VYE229" s="23"/>
      <c r="VYJ229" s="26"/>
      <c r="VYN229" s="23"/>
      <c r="VYS229" s="26"/>
      <c r="VYW229" s="23"/>
      <c r="VZB229" s="26"/>
      <c r="VZF229" s="23"/>
      <c r="VZK229" s="26"/>
      <c r="VZO229" s="23"/>
      <c r="VZT229" s="26"/>
      <c r="VZX229" s="23"/>
      <c r="WAC229" s="26"/>
      <c r="WAG229" s="23"/>
      <c r="WAL229" s="26"/>
      <c r="WAP229" s="23"/>
      <c r="WAU229" s="26"/>
      <c r="WAY229" s="23"/>
      <c r="WBD229" s="26"/>
      <c r="WBH229" s="23"/>
      <c r="WBM229" s="26"/>
      <c r="WBQ229" s="23"/>
      <c r="WBV229" s="26"/>
      <c r="WBZ229" s="23"/>
      <c r="WCE229" s="26"/>
      <c r="WCI229" s="23"/>
      <c r="WCN229" s="26"/>
      <c r="WCR229" s="23"/>
      <c r="WCW229" s="26"/>
      <c r="WDA229" s="23"/>
      <c r="WDF229" s="26"/>
      <c r="WDJ229" s="23"/>
      <c r="WDO229" s="26"/>
      <c r="WDS229" s="23"/>
      <c r="WDX229" s="26"/>
      <c r="WEB229" s="23"/>
      <c r="WEG229" s="26"/>
      <c r="WEK229" s="23"/>
      <c r="WEP229" s="26"/>
      <c r="WET229" s="23"/>
      <c r="WEY229" s="26"/>
      <c r="WFC229" s="23"/>
      <c r="WFH229" s="26"/>
      <c r="WFL229" s="23"/>
      <c r="WFQ229" s="26"/>
      <c r="WFU229" s="23"/>
      <c r="WFZ229" s="26"/>
      <c r="WGD229" s="23"/>
      <c r="WGI229" s="26"/>
      <c r="WGM229" s="23"/>
      <c r="WGR229" s="26"/>
      <c r="WGV229" s="23"/>
      <c r="WHA229" s="26"/>
      <c r="WHE229" s="23"/>
      <c r="WHJ229" s="26"/>
      <c r="WHN229" s="23"/>
      <c r="WHS229" s="26"/>
      <c r="WHW229" s="23"/>
      <c r="WIB229" s="26"/>
      <c r="WIF229" s="23"/>
      <c r="WIK229" s="26"/>
      <c r="WIO229" s="23"/>
      <c r="WIT229" s="26"/>
      <c r="WIX229" s="23"/>
      <c r="WJC229" s="26"/>
      <c r="WJG229" s="23"/>
      <c r="WJL229" s="26"/>
      <c r="WJP229" s="23"/>
      <c r="WJU229" s="26"/>
      <c r="WJY229" s="23"/>
      <c r="WKD229" s="26"/>
      <c r="WKH229" s="23"/>
      <c r="WKM229" s="26"/>
      <c r="WKQ229" s="23"/>
      <c r="WKV229" s="26"/>
      <c r="WKZ229" s="23"/>
      <c r="WLE229" s="26"/>
      <c r="WLI229" s="23"/>
      <c r="WLN229" s="26"/>
      <c r="WLR229" s="23"/>
      <c r="WLW229" s="26"/>
      <c r="WMA229" s="23"/>
      <c r="WMF229" s="26"/>
      <c r="WMJ229" s="23"/>
      <c r="WMO229" s="26"/>
      <c r="WMS229" s="23"/>
      <c r="WMX229" s="26"/>
      <c r="WNB229" s="23"/>
      <c r="WNG229" s="26"/>
      <c r="WNK229" s="23"/>
      <c r="WNP229" s="26"/>
      <c r="WNT229" s="23"/>
      <c r="WNY229" s="26"/>
      <c r="WOC229" s="23"/>
      <c r="WOH229" s="26"/>
      <c r="WOL229" s="23"/>
      <c r="WOQ229" s="26"/>
      <c r="WOU229" s="23"/>
      <c r="WOZ229" s="26"/>
      <c r="WPD229" s="23"/>
      <c r="WPI229" s="26"/>
      <c r="WPM229" s="23"/>
      <c r="WPR229" s="26"/>
      <c r="WPV229" s="23"/>
      <c r="WQA229" s="26"/>
      <c r="WQE229" s="23"/>
      <c r="WQJ229" s="26"/>
      <c r="WQN229" s="23"/>
      <c r="WQS229" s="26"/>
      <c r="WQW229" s="23"/>
      <c r="WRB229" s="26"/>
      <c r="WRF229" s="23"/>
      <c r="WRK229" s="26"/>
      <c r="WRO229" s="23"/>
      <c r="WRT229" s="26"/>
      <c r="WRX229" s="23"/>
      <c r="WSC229" s="26"/>
      <c r="WSG229" s="23"/>
      <c r="WSL229" s="26"/>
      <c r="WSP229" s="23"/>
      <c r="WSU229" s="26"/>
      <c r="WSY229" s="23"/>
      <c r="WTD229" s="26"/>
      <c r="WTH229" s="23"/>
      <c r="WTM229" s="26"/>
      <c r="WTQ229" s="23"/>
      <c r="WTV229" s="26"/>
      <c r="WTZ229" s="23"/>
      <c r="WUE229" s="26"/>
      <c r="WUI229" s="23"/>
      <c r="WUN229" s="26"/>
      <c r="WUR229" s="23"/>
      <c r="WUW229" s="26"/>
      <c r="WVA229" s="23"/>
      <c r="WVF229" s="26"/>
      <c r="WVJ229" s="23"/>
      <c r="WVO229" s="26"/>
      <c r="WVS229" s="23"/>
      <c r="WVX229" s="26"/>
      <c r="WWB229" s="23"/>
      <c r="WWG229" s="26"/>
      <c r="WWK229" s="23"/>
      <c r="WWP229" s="26"/>
      <c r="WWT229" s="23"/>
      <c r="WWY229" s="26"/>
      <c r="WXC229" s="23"/>
      <c r="WXH229" s="26"/>
      <c r="WXL229" s="23"/>
      <c r="WXQ229" s="26"/>
      <c r="WXU229" s="23"/>
      <c r="WXZ229" s="26"/>
      <c r="WYD229" s="23"/>
      <c r="WYI229" s="26"/>
      <c r="WYM229" s="23"/>
      <c r="WYR229" s="26"/>
      <c r="WYV229" s="23"/>
      <c r="WZA229" s="26"/>
      <c r="WZE229" s="23"/>
      <c r="WZJ229" s="26"/>
      <c r="WZN229" s="23"/>
      <c r="WZS229" s="26"/>
      <c r="WZW229" s="23"/>
      <c r="XAB229" s="26"/>
      <c r="XAF229" s="23"/>
      <c r="XAK229" s="26"/>
      <c r="XAO229" s="23"/>
      <c r="XAT229" s="26"/>
      <c r="XAX229" s="23"/>
      <c r="XBC229" s="26"/>
      <c r="XBG229" s="23"/>
      <c r="XBL229" s="26"/>
      <c r="XBP229" s="23"/>
      <c r="XBU229" s="26"/>
      <c r="XBY229" s="23"/>
      <c r="XCD229" s="26"/>
      <c r="XCH229" s="23"/>
      <c r="XCM229" s="26"/>
      <c r="XCQ229" s="23"/>
      <c r="XCV229" s="26"/>
      <c r="XCZ229" s="23"/>
      <c r="XDE229" s="26"/>
      <c r="XDI229" s="23"/>
      <c r="XDN229" s="26"/>
      <c r="XDR229" s="23"/>
      <c r="XDW229" s="26"/>
      <c r="XEA229" s="23"/>
      <c r="XEF229" s="26"/>
      <c r="XEJ229" s="23"/>
      <c r="XEO229" s="26"/>
      <c r="XES229" s="23"/>
      <c r="XEX229" s="26"/>
      <c r="XFB229" s="23"/>
    </row>
    <row r="230" spans="2:1024 1028:2045 2050:3071 3076:4093 4097:5119 5123:6140 6145:7166 7171:8192 8197:9214 9218:10240 10244:11261 11266:12287 12292:13309 13313:14335 14339:15356 15361:16382" x14ac:dyDescent="0.3">
      <c r="B230" s="23"/>
      <c r="K230" s="23"/>
      <c r="P230" s="26"/>
      <c r="T230" s="23"/>
      <c r="Y230" s="26"/>
      <c r="AC230" s="23"/>
      <c r="AH230" s="26"/>
      <c r="AL230" s="23"/>
      <c r="AQ230" s="26"/>
      <c r="AU230" s="23"/>
      <c r="AZ230" s="26"/>
      <c r="BD230" s="23"/>
      <c r="BI230" s="26"/>
      <c r="BM230" s="23"/>
      <c r="BR230" s="26"/>
      <c r="BV230" s="23"/>
      <c r="CA230" s="26"/>
      <c r="CE230" s="23"/>
      <c r="CJ230" s="26"/>
      <c r="CN230" s="23"/>
      <c r="CS230" s="26"/>
      <c r="CW230" s="23"/>
      <c r="DB230" s="26"/>
      <c r="DF230" s="23"/>
      <c r="DK230" s="26"/>
      <c r="DO230" s="23"/>
      <c r="DT230" s="26"/>
      <c r="DX230" s="23"/>
      <c r="EC230" s="26"/>
      <c r="EG230" s="23"/>
      <c r="EL230" s="26"/>
      <c r="EP230" s="23"/>
      <c r="EU230" s="26"/>
      <c r="EY230" s="23"/>
      <c r="FD230" s="26"/>
      <c r="FH230" s="23"/>
      <c r="FM230" s="26"/>
      <c r="FQ230" s="23"/>
      <c r="FV230" s="26"/>
      <c r="FZ230" s="23"/>
      <c r="GE230" s="26"/>
      <c r="GI230" s="23"/>
      <c r="GN230" s="26"/>
      <c r="GR230" s="23"/>
      <c r="GW230" s="26"/>
      <c r="HA230" s="23"/>
      <c r="HF230" s="26"/>
      <c r="HJ230" s="23"/>
      <c r="HO230" s="26"/>
      <c r="HS230" s="23"/>
      <c r="HX230" s="26"/>
      <c r="IB230" s="23"/>
      <c r="IG230" s="26"/>
      <c r="IK230" s="23"/>
      <c r="IP230" s="26"/>
      <c r="IT230" s="23"/>
      <c r="IY230" s="26"/>
      <c r="JC230" s="23"/>
      <c r="JH230" s="26"/>
      <c r="JL230" s="23"/>
      <c r="JQ230" s="26"/>
      <c r="JU230" s="23"/>
      <c r="JZ230" s="26"/>
      <c r="KD230" s="23"/>
      <c r="KI230" s="26"/>
      <c r="KM230" s="23"/>
      <c r="KR230" s="26"/>
      <c r="KV230" s="23"/>
      <c r="LA230" s="26"/>
      <c r="LE230" s="23"/>
      <c r="LJ230" s="26"/>
      <c r="LN230" s="23"/>
      <c r="LS230" s="26"/>
      <c r="LW230" s="23"/>
      <c r="MB230" s="26"/>
      <c r="MF230" s="23"/>
      <c r="MK230" s="26"/>
      <c r="MO230" s="23"/>
      <c r="MT230" s="26"/>
      <c r="MX230" s="23"/>
      <c r="NC230" s="26"/>
      <c r="NG230" s="23"/>
      <c r="NL230" s="26"/>
      <c r="NP230" s="23"/>
      <c r="NU230" s="26"/>
      <c r="NY230" s="23"/>
      <c r="OD230" s="26"/>
      <c r="OH230" s="23"/>
      <c r="OM230" s="26"/>
      <c r="OQ230" s="23"/>
      <c r="OV230" s="26"/>
      <c r="OZ230" s="23"/>
      <c r="PE230" s="26"/>
      <c r="PI230" s="23"/>
      <c r="PN230" s="26"/>
      <c r="PR230" s="23"/>
      <c r="PW230" s="26"/>
      <c r="QA230" s="23"/>
      <c r="QF230" s="26"/>
      <c r="QJ230" s="23"/>
      <c r="QO230" s="26"/>
      <c r="QS230" s="23"/>
      <c r="QX230" s="26"/>
      <c r="RB230" s="23"/>
      <c r="RG230" s="26"/>
      <c r="RK230" s="23"/>
      <c r="RP230" s="26"/>
      <c r="RT230" s="23"/>
      <c r="RY230" s="26"/>
      <c r="SC230" s="23"/>
      <c r="SH230" s="26"/>
      <c r="SL230" s="23"/>
      <c r="SQ230" s="26"/>
      <c r="SU230" s="23"/>
      <c r="SZ230" s="26"/>
      <c r="TD230" s="23"/>
      <c r="TI230" s="26"/>
      <c r="TM230" s="23"/>
      <c r="TR230" s="26"/>
      <c r="TV230" s="23"/>
      <c r="UA230" s="26"/>
      <c r="UE230" s="23"/>
      <c r="UJ230" s="26"/>
      <c r="UN230" s="23"/>
      <c r="US230" s="26"/>
      <c r="UW230" s="23"/>
      <c r="VB230" s="26"/>
      <c r="VF230" s="23"/>
      <c r="VK230" s="26"/>
      <c r="VO230" s="23"/>
      <c r="VT230" s="26"/>
      <c r="VX230" s="23"/>
      <c r="WC230" s="26"/>
      <c r="WG230" s="23"/>
      <c r="WL230" s="26"/>
      <c r="WP230" s="23"/>
      <c r="WU230" s="26"/>
      <c r="WY230" s="23"/>
      <c r="XD230" s="26"/>
      <c r="XH230" s="23"/>
      <c r="XM230" s="26"/>
      <c r="XQ230" s="23"/>
      <c r="XV230" s="26"/>
      <c r="XZ230" s="23"/>
      <c r="YE230" s="26"/>
      <c r="YI230" s="23"/>
      <c r="YN230" s="26"/>
      <c r="YR230" s="23"/>
      <c r="YW230" s="26"/>
      <c r="ZA230" s="23"/>
      <c r="ZF230" s="26"/>
      <c r="ZJ230" s="23"/>
      <c r="ZO230" s="26"/>
      <c r="ZS230" s="23"/>
      <c r="ZX230" s="26"/>
      <c r="AAB230" s="23"/>
      <c r="AAG230" s="26"/>
      <c r="AAK230" s="23"/>
      <c r="AAP230" s="26"/>
      <c r="AAT230" s="23"/>
      <c r="AAY230" s="26"/>
      <c r="ABC230" s="23"/>
      <c r="ABH230" s="26"/>
      <c r="ABL230" s="23"/>
      <c r="ABQ230" s="26"/>
      <c r="ABU230" s="23"/>
      <c r="ABZ230" s="26"/>
      <c r="ACD230" s="23"/>
      <c r="ACI230" s="26"/>
      <c r="ACM230" s="23"/>
      <c r="ACR230" s="26"/>
      <c r="ACV230" s="23"/>
      <c r="ADA230" s="26"/>
      <c r="ADE230" s="23"/>
      <c r="ADJ230" s="26"/>
      <c r="ADN230" s="23"/>
      <c r="ADS230" s="26"/>
      <c r="ADW230" s="23"/>
      <c r="AEB230" s="26"/>
      <c r="AEF230" s="23"/>
      <c r="AEK230" s="26"/>
      <c r="AEO230" s="23"/>
      <c r="AET230" s="26"/>
      <c r="AEX230" s="23"/>
      <c r="AFC230" s="26"/>
      <c r="AFG230" s="23"/>
      <c r="AFL230" s="26"/>
      <c r="AFP230" s="23"/>
      <c r="AFU230" s="26"/>
      <c r="AFY230" s="23"/>
      <c r="AGD230" s="26"/>
      <c r="AGH230" s="23"/>
      <c r="AGM230" s="26"/>
      <c r="AGQ230" s="23"/>
      <c r="AGV230" s="26"/>
      <c r="AGZ230" s="23"/>
      <c r="AHE230" s="26"/>
      <c r="AHI230" s="23"/>
      <c r="AHN230" s="26"/>
      <c r="AHR230" s="23"/>
      <c r="AHW230" s="26"/>
      <c r="AIA230" s="23"/>
      <c r="AIF230" s="26"/>
      <c r="AIJ230" s="23"/>
      <c r="AIO230" s="26"/>
      <c r="AIS230" s="23"/>
      <c r="AIX230" s="26"/>
      <c r="AJB230" s="23"/>
      <c r="AJG230" s="26"/>
      <c r="AJK230" s="23"/>
      <c r="AJP230" s="26"/>
      <c r="AJT230" s="23"/>
      <c r="AJY230" s="26"/>
      <c r="AKC230" s="23"/>
      <c r="AKH230" s="26"/>
      <c r="AKL230" s="23"/>
      <c r="AKQ230" s="26"/>
      <c r="AKU230" s="23"/>
      <c r="AKZ230" s="26"/>
      <c r="ALD230" s="23"/>
      <c r="ALI230" s="26"/>
      <c r="ALM230" s="23"/>
      <c r="ALR230" s="26"/>
      <c r="ALV230" s="23"/>
      <c r="AMA230" s="26"/>
      <c r="AME230" s="23"/>
      <c r="AMJ230" s="26"/>
      <c r="AMN230" s="23"/>
      <c r="AMS230" s="26"/>
      <c r="AMW230" s="23"/>
      <c r="ANB230" s="26"/>
      <c r="ANF230" s="23"/>
      <c r="ANK230" s="26"/>
      <c r="ANO230" s="23"/>
      <c r="ANT230" s="26"/>
      <c r="ANX230" s="23"/>
      <c r="AOC230" s="26"/>
      <c r="AOG230" s="23"/>
      <c r="AOL230" s="26"/>
      <c r="AOP230" s="23"/>
      <c r="AOU230" s="26"/>
      <c r="AOY230" s="23"/>
      <c r="APD230" s="26"/>
      <c r="APH230" s="23"/>
      <c r="APM230" s="26"/>
      <c r="APQ230" s="23"/>
      <c r="APV230" s="26"/>
      <c r="APZ230" s="23"/>
      <c r="AQE230" s="26"/>
      <c r="AQI230" s="23"/>
      <c r="AQN230" s="26"/>
      <c r="AQR230" s="23"/>
      <c r="AQW230" s="26"/>
      <c r="ARA230" s="23"/>
      <c r="ARF230" s="26"/>
      <c r="ARJ230" s="23"/>
      <c r="ARO230" s="26"/>
      <c r="ARS230" s="23"/>
      <c r="ARX230" s="26"/>
      <c r="ASB230" s="23"/>
      <c r="ASG230" s="26"/>
      <c r="ASK230" s="23"/>
      <c r="ASP230" s="26"/>
      <c r="AST230" s="23"/>
      <c r="ASY230" s="26"/>
      <c r="ATC230" s="23"/>
      <c r="ATH230" s="26"/>
      <c r="ATL230" s="23"/>
      <c r="ATQ230" s="26"/>
      <c r="ATU230" s="23"/>
      <c r="ATZ230" s="26"/>
      <c r="AUD230" s="23"/>
      <c r="AUI230" s="26"/>
      <c r="AUM230" s="23"/>
      <c r="AUR230" s="26"/>
      <c r="AUV230" s="23"/>
      <c r="AVA230" s="26"/>
      <c r="AVE230" s="23"/>
      <c r="AVJ230" s="26"/>
      <c r="AVN230" s="23"/>
      <c r="AVS230" s="26"/>
      <c r="AVW230" s="23"/>
      <c r="AWB230" s="26"/>
      <c r="AWF230" s="23"/>
      <c r="AWK230" s="26"/>
      <c r="AWO230" s="23"/>
      <c r="AWT230" s="26"/>
      <c r="AWX230" s="23"/>
      <c r="AXC230" s="26"/>
      <c r="AXG230" s="23"/>
      <c r="AXL230" s="26"/>
      <c r="AXP230" s="23"/>
      <c r="AXU230" s="26"/>
      <c r="AXY230" s="23"/>
      <c r="AYD230" s="26"/>
      <c r="AYH230" s="23"/>
      <c r="AYM230" s="26"/>
      <c r="AYQ230" s="23"/>
      <c r="AYV230" s="26"/>
      <c r="AYZ230" s="23"/>
      <c r="AZE230" s="26"/>
      <c r="AZI230" s="23"/>
      <c r="AZN230" s="26"/>
      <c r="AZR230" s="23"/>
      <c r="AZW230" s="26"/>
      <c r="BAA230" s="23"/>
      <c r="BAF230" s="26"/>
      <c r="BAJ230" s="23"/>
      <c r="BAO230" s="26"/>
      <c r="BAS230" s="23"/>
      <c r="BAX230" s="26"/>
      <c r="BBB230" s="23"/>
      <c r="BBG230" s="26"/>
      <c r="BBK230" s="23"/>
      <c r="BBP230" s="26"/>
      <c r="BBT230" s="23"/>
      <c r="BBY230" s="26"/>
      <c r="BCC230" s="23"/>
      <c r="BCH230" s="26"/>
      <c r="BCL230" s="23"/>
      <c r="BCQ230" s="26"/>
      <c r="BCU230" s="23"/>
      <c r="BCZ230" s="26"/>
      <c r="BDD230" s="23"/>
      <c r="BDI230" s="26"/>
      <c r="BDM230" s="23"/>
      <c r="BDR230" s="26"/>
      <c r="BDV230" s="23"/>
      <c r="BEA230" s="26"/>
      <c r="BEE230" s="23"/>
      <c r="BEJ230" s="26"/>
      <c r="BEN230" s="23"/>
      <c r="BES230" s="26"/>
      <c r="BEW230" s="23"/>
      <c r="BFB230" s="26"/>
      <c r="BFF230" s="23"/>
      <c r="BFK230" s="26"/>
      <c r="BFO230" s="23"/>
      <c r="BFT230" s="26"/>
      <c r="BFX230" s="23"/>
      <c r="BGC230" s="26"/>
      <c r="BGG230" s="23"/>
      <c r="BGL230" s="26"/>
      <c r="BGP230" s="23"/>
      <c r="BGU230" s="26"/>
      <c r="BGY230" s="23"/>
      <c r="BHD230" s="26"/>
      <c r="BHH230" s="23"/>
      <c r="BHM230" s="26"/>
      <c r="BHQ230" s="23"/>
      <c r="BHV230" s="26"/>
      <c r="BHZ230" s="23"/>
      <c r="BIE230" s="26"/>
      <c r="BII230" s="23"/>
      <c r="BIN230" s="26"/>
      <c r="BIR230" s="23"/>
      <c r="BIW230" s="26"/>
      <c r="BJA230" s="23"/>
      <c r="BJF230" s="26"/>
      <c r="BJJ230" s="23"/>
      <c r="BJO230" s="26"/>
      <c r="BJS230" s="23"/>
      <c r="BJX230" s="26"/>
      <c r="BKB230" s="23"/>
      <c r="BKG230" s="26"/>
      <c r="BKK230" s="23"/>
      <c r="BKP230" s="26"/>
      <c r="BKT230" s="23"/>
      <c r="BKY230" s="26"/>
      <c r="BLC230" s="23"/>
      <c r="BLH230" s="26"/>
      <c r="BLL230" s="23"/>
      <c r="BLQ230" s="26"/>
      <c r="BLU230" s="23"/>
      <c r="BLZ230" s="26"/>
      <c r="BMD230" s="23"/>
      <c r="BMI230" s="26"/>
      <c r="BMM230" s="23"/>
      <c r="BMR230" s="26"/>
      <c r="BMV230" s="23"/>
      <c r="BNA230" s="26"/>
      <c r="BNE230" s="23"/>
      <c r="BNJ230" s="26"/>
      <c r="BNN230" s="23"/>
      <c r="BNS230" s="26"/>
      <c r="BNW230" s="23"/>
      <c r="BOB230" s="26"/>
      <c r="BOF230" s="23"/>
      <c r="BOK230" s="26"/>
      <c r="BOO230" s="23"/>
      <c r="BOT230" s="26"/>
      <c r="BOX230" s="23"/>
      <c r="BPC230" s="26"/>
      <c r="BPG230" s="23"/>
      <c r="BPL230" s="26"/>
      <c r="BPP230" s="23"/>
      <c r="BPU230" s="26"/>
      <c r="BPY230" s="23"/>
      <c r="BQD230" s="26"/>
      <c r="BQH230" s="23"/>
      <c r="BQM230" s="26"/>
      <c r="BQQ230" s="23"/>
      <c r="BQV230" s="26"/>
      <c r="BQZ230" s="23"/>
      <c r="BRE230" s="26"/>
      <c r="BRI230" s="23"/>
      <c r="BRN230" s="26"/>
      <c r="BRR230" s="23"/>
      <c r="BRW230" s="26"/>
      <c r="BSA230" s="23"/>
      <c r="BSF230" s="26"/>
      <c r="BSJ230" s="23"/>
      <c r="BSO230" s="26"/>
      <c r="BSS230" s="23"/>
      <c r="BSX230" s="26"/>
      <c r="BTB230" s="23"/>
      <c r="BTG230" s="26"/>
      <c r="BTK230" s="23"/>
      <c r="BTP230" s="26"/>
      <c r="BTT230" s="23"/>
      <c r="BTY230" s="26"/>
      <c r="BUC230" s="23"/>
      <c r="BUH230" s="26"/>
      <c r="BUL230" s="23"/>
      <c r="BUQ230" s="26"/>
      <c r="BUU230" s="23"/>
      <c r="BUZ230" s="26"/>
      <c r="BVD230" s="23"/>
      <c r="BVI230" s="26"/>
      <c r="BVM230" s="23"/>
      <c r="BVR230" s="26"/>
      <c r="BVV230" s="23"/>
      <c r="BWA230" s="26"/>
      <c r="BWE230" s="23"/>
      <c r="BWJ230" s="26"/>
      <c r="BWN230" s="23"/>
      <c r="BWS230" s="26"/>
      <c r="BWW230" s="23"/>
      <c r="BXB230" s="26"/>
      <c r="BXF230" s="23"/>
      <c r="BXK230" s="26"/>
      <c r="BXO230" s="23"/>
      <c r="BXT230" s="26"/>
      <c r="BXX230" s="23"/>
      <c r="BYC230" s="26"/>
      <c r="BYG230" s="23"/>
      <c r="BYL230" s="26"/>
      <c r="BYP230" s="23"/>
      <c r="BYU230" s="26"/>
      <c r="BYY230" s="23"/>
      <c r="BZD230" s="26"/>
      <c r="BZH230" s="23"/>
      <c r="BZM230" s="26"/>
      <c r="BZQ230" s="23"/>
      <c r="BZV230" s="26"/>
      <c r="BZZ230" s="23"/>
      <c r="CAE230" s="26"/>
      <c r="CAI230" s="23"/>
      <c r="CAN230" s="26"/>
      <c r="CAR230" s="23"/>
      <c r="CAW230" s="26"/>
      <c r="CBA230" s="23"/>
      <c r="CBF230" s="26"/>
      <c r="CBJ230" s="23"/>
      <c r="CBO230" s="26"/>
      <c r="CBS230" s="23"/>
      <c r="CBX230" s="26"/>
      <c r="CCB230" s="23"/>
      <c r="CCG230" s="26"/>
      <c r="CCK230" s="23"/>
      <c r="CCP230" s="26"/>
      <c r="CCT230" s="23"/>
      <c r="CCY230" s="26"/>
      <c r="CDC230" s="23"/>
      <c r="CDH230" s="26"/>
      <c r="CDL230" s="23"/>
      <c r="CDQ230" s="26"/>
      <c r="CDU230" s="23"/>
      <c r="CDZ230" s="26"/>
      <c r="CED230" s="23"/>
      <c r="CEI230" s="26"/>
      <c r="CEM230" s="23"/>
      <c r="CER230" s="26"/>
      <c r="CEV230" s="23"/>
      <c r="CFA230" s="26"/>
      <c r="CFE230" s="23"/>
      <c r="CFJ230" s="26"/>
      <c r="CFN230" s="23"/>
      <c r="CFS230" s="26"/>
      <c r="CFW230" s="23"/>
      <c r="CGB230" s="26"/>
      <c r="CGF230" s="23"/>
      <c r="CGK230" s="26"/>
      <c r="CGO230" s="23"/>
      <c r="CGT230" s="26"/>
      <c r="CGX230" s="23"/>
      <c r="CHC230" s="26"/>
      <c r="CHG230" s="23"/>
      <c r="CHL230" s="26"/>
      <c r="CHP230" s="23"/>
      <c r="CHU230" s="26"/>
      <c r="CHY230" s="23"/>
      <c r="CID230" s="26"/>
      <c r="CIH230" s="23"/>
      <c r="CIM230" s="26"/>
      <c r="CIQ230" s="23"/>
      <c r="CIV230" s="26"/>
      <c r="CIZ230" s="23"/>
      <c r="CJE230" s="26"/>
      <c r="CJI230" s="23"/>
      <c r="CJN230" s="26"/>
      <c r="CJR230" s="23"/>
      <c r="CJW230" s="26"/>
      <c r="CKA230" s="23"/>
      <c r="CKF230" s="26"/>
      <c r="CKJ230" s="23"/>
      <c r="CKO230" s="26"/>
      <c r="CKS230" s="23"/>
      <c r="CKX230" s="26"/>
      <c r="CLB230" s="23"/>
      <c r="CLG230" s="26"/>
      <c r="CLK230" s="23"/>
      <c r="CLP230" s="26"/>
      <c r="CLT230" s="23"/>
      <c r="CLY230" s="26"/>
      <c r="CMC230" s="23"/>
      <c r="CMH230" s="26"/>
      <c r="CML230" s="23"/>
      <c r="CMQ230" s="26"/>
      <c r="CMU230" s="23"/>
      <c r="CMZ230" s="26"/>
      <c r="CND230" s="23"/>
      <c r="CNI230" s="26"/>
      <c r="CNM230" s="23"/>
      <c r="CNR230" s="26"/>
      <c r="CNV230" s="23"/>
      <c r="COA230" s="26"/>
      <c r="COE230" s="23"/>
      <c r="COJ230" s="26"/>
      <c r="CON230" s="23"/>
      <c r="COS230" s="26"/>
      <c r="COW230" s="23"/>
      <c r="CPB230" s="26"/>
      <c r="CPF230" s="23"/>
      <c r="CPK230" s="26"/>
      <c r="CPO230" s="23"/>
      <c r="CPT230" s="26"/>
      <c r="CPX230" s="23"/>
      <c r="CQC230" s="26"/>
      <c r="CQG230" s="23"/>
      <c r="CQL230" s="26"/>
      <c r="CQP230" s="23"/>
      <c r="CQU230" s="26"/>
      <c r="CQY230" s="23"/>
      <c r="CRD230" s="26"/>
      <c r="CRH230" s="23"/>
      <c r="CRM230" s="26"/>
      <c r="CRQ230" s="23"/>
      <c r="CRV230" s="26"/>
      <c r="CRZ230" s="23"/>
      <c r="CSE230" s="26"/>
      <c r="CSI230" s="23"/>
      <c r="CSN230" s="26"/>
      <c r="CSR230" s="23"/>
      <c r="CSW230" s="26"/>
      <c r="CTA230" s="23"/>
      <c r="CTF230" s="26"/>
      <c r="CTJ230" s="23"/>
      <c r="CTO230" s="26"/>
      <c r="CTS230" s="23"/>
      <c r="CTX230" s="26"/>
      <c r="CUB230" s="23"/>
      <c r="CUG230" s="26"/>
      <c r="CUK230" s="23"/>
      <c r="CUP230" s="26"/>
      <c r="CUT230" s="23"/>
      <c r="CUY230" s="26"/>
      <c r="CVC230" s="23"/>
      <c r="CVH230" s="26"/>
      <c r="CVL230" s="23"/>
      <c r="CVQ230" s="26"/>
      <c r="CVU230" s="23"/>
      <c r="CVZ230" s="26"/>
      <c r="CWD230" s="23"/>
      <c r="CWI230" s="26"/>
      <c r="CWM230" s="23"/>
      <c r="CWR230" s="26"/>
      <c r="CWV230" s="23"/>
      <c r="CXA230" s="26"/>
      <c r="CXE230" s="23"/>
      <c r="CXJ230" s="26"/>
      <c r="CXN230" s="23"/>
      <c r="CXS230" s="26"/>
      <c r="CXW230" s="23"/>
      <c r="CYB230" s="26"/>
      <c r="CYF230" s="23"/>
      <c r="CYK230" s="26"/>
      <c r="CYO230" s="23"/>
      <c r="CYT230" s="26"/>
      <c r="CYX230" s="23"/>
      <c r="CZC230" s="26"/>
      <c r="CZG230" s="23"/>
      <c r="CZL230" s="26"/>
      <c r="CZP230" s="23"/>
      <c r="CZU230" s="26"/>
      <c r="CZY230" s="23"/>
      <c r="DAD230" s="26"/>
      <c r="DAH230" s="23"/>
      <c r="DAM230" s="26"/>
      <c r="DAQ230" s="23"/>
      <c r="DAV230" s="26"/>
      <c r="DAZ230" s="23"/>
      <c r="DBE230" s="26"/>
      <c r="DBI230" s="23"/>
      <c r="DBN230" s="26"/>
      <c r="DBR230" s="23"/>
      <c r="DBW230" s="26"/>
      <c r="DCA230" s="23"/>
      <c r="DCF230" s="26"/>
      <c r="DCJ230" s="23"/>
      <c r="DCO230" s="26"/>
      <c r="DCS230" s="23"/>
      <c r="DCX230" s="26"/>
      <c r="DDB230" s="23"/>
      <c r="DDG230" s="26"/>
      <c r="DDK230" s="23"/>
      <c r="DDP230" s="26"/>
      <c r="DDT230" s="23"/>
      <c r="DDY230" s="26"/>
      <c r="DEC230" s="23"/>
      <c r="DEH230" s="26"/>
      <c r="DEL230" s="23"/>
      <c r="DEQ230" s="26"/>
      <c r="DEU230" s="23"/>
      <c r="DEZ230" s="26"/>
      <c r="DFD230" s="23"/>
      <c r="DFI230" s="26"/>
      <c r="DFM230" s="23"/>
      <c r="DFR230" s="26"/>
      <c r="DFV230" s="23"/>
      <c r="DGA230" s="26"/>
      <c r="DGE230" s="23"/>
      <c r="DGJ230" s="26"/>
      <c r="DGN230" s="23"/>
      <c r="DGS230" s="26"/>
      <c r="DGW230" s="23"/>
      <c r="DHB230" s="26"/>
      <c r="DHF230" s="23"/>
      <c r="DHK230" s="26"/>
      <c r="DHO230" s="23"/>
      <c r="DHT230" s="26"/>
      <c r="DHX230" s="23"/>
      <c r="DIC230" s="26"/>
      <c r="DIG230" s="23"/>
      <c r="DIL230" s="26"/>
      <c r="DIP230" s="23"/>
      <c r="DIU230" s="26"/>
      <c r="DIY230" s="23"/>
      <c r="DJD230" s="26"/>
      <c r="DJH230" s="23"/>
      <c r="DJM230" s="26"/>
      <c r="DJQ230" s="23"/>
      <c r="DJV230" s="26"/>
      <c r="DJZ230" s="23"/>
      <c r="DKE230" s="26"/>
      <c r="DKI230" s="23"/>
      <c r="DKN230" s="26"/>
      <c r="DKR230" s="23"/>
      <c r="DKW230" s="26"/>
      <c r="DLA230" s="23"/>
      <c r="DLF230" s="26"/>
      <c r="DLJ230" s="23"/>
      <c r="DLO230" s="26"/>
      <c r="DLS230" s="23"/>
      <c r="DLX230" s="26"/>
      <c r="DMB230" s="23"/>
      <c r="DMG230" s="26"/>
      <c r="DMK230" s="23"/>
      <c r="DMP230" s="26"/>
      <c r="DMT230" s="23"/>
      <c r="DMY230" s="26"/>
      <c r="DNC230" s="23"/>
      <c r="DNH230" s="26"/>
      <c r="DNL230" s="23"/>
      <c r="DNQ230" s="26"/>
      <c r="DNU230" s="23"/>
      <c r="DNZ230" s="26"/>
      <c r="DOD230" s="23"/>
      <c r="DOI230" s="26"/>
      <c r="DOM230" s="23"/>
      <c r="DOR230" s="26"/>
      <c r="DOV230" s="23"/>
      <c r="DPA230" s="26"/>
      <c r="DPE230" s="23"/>
      <c r="DPJ230" s="26"/>
      <c r="DPN230" s="23"/>
      <c r="DPS230" s="26"/>
      <c r="DPW230" s="23"/>
      <c r="DQB230" s="26"/>
      <c r="DQF230" s="23"/>
      <c r="DQK230" s="26"/>
      <c r="DQO230" s="23"/>
      <c r="DQT230" s="26"/>
      <c r="DQX230" s="23"/>
      <c r="DRC230" s="26"/>
      <c r="DRG230" s="23"/>
      <c r="DRL230" s="26"/>
      <c r="DRP230" s="23"/>
      <c r="DRU230" s="26"/>
      <c r="DRY230" s="23"/>
      <c r="DSD230" s="26"/>
      <c r="DSH230" s="23"/>
      <c r="DSM230" s="26"/>
      <c r="DSQ230" s="23"/>
      <c r="DSV230" s="26"/>
      <c r="DSZ230" s="23"/>
      <c r="DTE230" s="26"/>
      <c r="DTI230" s="23"/>
      <c r="DTN230" s="26"/>
      <c r="DTR230" s="23"/>
      <c r="DTW230" s="26"/>
      <c r="DUA230" s="23"/>
      <c r="DUF230" s="26"/>
      <c r="DUJ230" s="23"/>
      <c r="DUO230" s="26"/>
      <c r="DUS230" s="23"/>
      <c r="DUX230" s="26"/>
      <c r="DVB230" s="23"/>
      <c r="DVG230" s="26"/>
      <c r="DVK230" s="23"/>
      <c r="DVP230" s="26"/>
      <c r="DVT230" s="23"/>
      <c r="DVY230" s="26"/>
      <c r="DWC230" s="23"/>
      <c r="DWH230" s="26"/>
      <c r="DWL230" s="23"/>
      <c r="DWQ230" s="26"/>
      <c r="DWU230" s="23"/>
      <c r="DWZ230" s="26"/>
      <c r="DXD230" s="23"/>
      <c r="DXI230" s="26"/>
      <c r="DXM230" s="23"/>
      <c r="DXR230" s="26"/>
      <c r="DXV230" s="23"/>
      <c r="DYA230" s="26"/>
      <c r="DYE230" s="23"/>
      <c r="DYJ230" s="26"/>
      <c r="DYN230" s="23"/>
      <c r="DYS230" s="26"/>
      <c r="DYW230" s="23"/>
      <c r="DZB230" s="26"/>
      <c r="DZF230" s="23"/>
      <c r="DZK230" s="26"/>
      <c r="DZO230" s="23"/>
      <c r="DZT230" s="26"/>
      <c r="DZX230" s="23"/>
      <c r="EAC230" s="26"/>
      <c r="EAG230" s="23"/>
      <c r="EAL230" s="26"/>
      <c r="EAP230" s="23"/>
      <c r="EAU230" s="26"/>
      <c r="EAY230" s="23"/>
      <c r="EBD230" s="26"/>
      <c r="EBH230" s="23"/>
      <c r="EBM230" s="26"/>
      <c r="EBQ230" s="23"/>
      <c r="EBV230" s="26"/>
      <c r="EBZ230" s="23"/>
      <c r="ECE230" s="26"/>
      <c r="ECI230" s="23"/>
      <c r="ECN230" s="26"/>
      <c r="ECR230" s="23"/>
      <c r="ECW230" s="26"/>
      <c r="EDA230" s="23"/>
      <c r="EDF230" s="26"/>
      <c r="EDJ230" s="23"/>
      <c r="EDO230" s="26"/>
      <c r="EDS230" s="23"/>
      <c r="EDX230" s="26"/>
      <c r="EEB230" s="23"/>
      <c r="EEG230" s="26"/>
      <c r="EEK230" s="23"/>
      <c r="EEP230" s="26"/>
      <c r="EET230" s="23"/>
      <c r="EEY230" s="26"/>
      <c r="EFC230" s="23"/>
      <c r="EFH230" s="26"/>
      <c r="EFL230" s="23"/>
      <c r="EFQ230" s="26"/>
      <c r="EFU230" s="23"/>
      <c r="EFZ230" s="26"/>
      <c r="EGD230" s="23"/>
      <c r="EGI230" s="26"/>
      <c r="EGM230" s="23"/>
      <c r="EGR230" s="26"/>
      <c r="EGV230" s="23"/>
      <c r="EHA230" s="26"/>
      <c r="EHE230" s="23"/>
      <c r="EHJ230" s="26"/>
      <c r="EHN230" s="23"/>
      <c r="EHS230" s="26"/>
      <c r="EHW230" s="23"/>
      <c r="EIB230" s="26"/>
      <c r="EIF230" s="23"/>
      <c r="EIK230" s="26"/>
      <c r="EIO230" s="23"/>
      <c r="EIT230" s="26"/>
      <c r="EIX230" s="23"/>
      <c r="EJC230" s="26"/>
      <c r="EJG230" s="23"/>
      <c r="EJL230" s="26"/>
      <c r="EJP230" s="23"/>
      <c r="EJU230" s="26"/>
      <c r="EJY230" s="23"/>
      <c r="EKD230" s="26"/>
      <c r="EKH230" s="23"/>
      <c r="EKM230" s="26"/>
      <c r="EKQ230" s="23"/>
      <c r="EKV230" s="26"/>
      <c r="EKZ230" s="23"/>
      <c r="ELE230" s="26"/>
      <c r="ELI230" s="23"/>
      <c r="ELN230" s="26"/>
      <c r="ELR230" s="23"/>
      <c r="ELW230" s="26"/>
      <c r="EMA230" s="23"/>
      <c r="EMF230" s="26"/>
      <c r="EMJ230" s="23"/>
      <c r="EMO230" s="26"/>
      <c r="EMS230" s="23"/>
      <c r="EMX230" s="26"/>
      <c r="ENB230" s="23"/>
      <c r="ENG230" s="26"/>
      <c r="ENK230" s="23"/>
      <c r="ENP230" s="26"/>
      <c r="ENT230" s="23"/>
      <c r="ENY230" s="26"/>
      <c r="EOC230" s="23"/>
      <c r="EOH230" s="26"/>
      <c r="EOL230" s="23"/>
      <c r="EOQ230" s="26"/>
      <c r="EOU230" s="23"/>
      <c r="EOZ230" s="26"/>
      <c r="EPD230" s="23"/>
      <c r="EPI230" s="26"/>
      <c r="EPM230" s="23"/>
      <c r="EPR230" s="26"/>
      <c r="EPV230" s="23"/>
      <c r="EQA230" s="26"/>
      <c r="EQE230" s="23"/>
      <c r="EQJ230" s="26"/>
      <c r="EQN230" s="23"/>
      <c r="EQS230" s="26"/>
      <c r="EQW230" s="23"/>
      <c r="ERB230" s="26"/>
      <c r="ERF230" s="23"/>
      <c r="ERK230" s="26"/>
      <c r="ERO230" s="23"/>
      <c r="ERT230" s="26"/>
      <c r="ERX230" s="23"/>
      <c r="ESC230" s="26"/>
      <c r="ESG230" s="23"/>
      <c r="ESL230" s="26"/>
      <c r="ESP230" s="23"/>
      <c r="ESU230" s="26"/>
      <c r="ESY230" s="23"/>
      <c r="ETD230" s="26"/>
      <c r="ETH230" s="23"/>
      <c r="ETM230" s="26"/>
      <c r="ETQ230" s="23"/>
      <c r="ETV230" s="26"/>
      <c r="ETZ230" s="23"/>
      <c r="EUE230" s="26"/>
      <c r="EUI230" s="23"/>
      <c r="EUN230" s="26"/>
      <c r="EUR230" s="23"/>
      <c r="EUW230" s="26"/>
      <c r="EVA230" s="23"/>
      <c r="EVF230" s="26"/>
      <c r="EVJ230" s="23"/>
      <c r="EVO230" s="26"/>
      <c r="EVS230" s="23"/>
      <c r="EVX230" s="26"/>
      <c r="EWB230" s="23"/>
      <c r="EWG230" s="26"/>
      <c r="EWK230" s="23"/>
      <c r="EWP230" s="26"/>
      <c r="EWT230" s="23"/>
      <c r="EWY230" s="26"/>
      <c r="EXC230" s="23"/>
      <c r="EXH230" s="26"/>
      <c r="EXL230" s="23"/>
      <c r="EXQ230" s="26"/>
      <c r="EXU230" s="23"/>
      <c r="EXZ230" s="26"/>
      <c r="EYD230" s="23"/>
      <c r="EYI230" s="26"/>
      <c r="EYM230" s="23"/>
      <c r="EYR230" s="26"/>
      <c r="EYV230" s="23"/>
      <c r="EZA230" s="26"/>
      <c r="EZE230" s="23"/>
      <c r="EZJ230" s="26"/>
      <c r="EZN230" s="23"/>
      <c r="EZS230" s="26"/>
      <c r="EZW230" s="23"/>
      <c r="FAB230" s="26"/>
      <c r="FAF230" s="23"/>
      <c r="FAK230" s="26"/>
      <c r="FAO230" s="23"/>
      <c r="FAT230" s="26"/>
      <c r="FAX230" s="23"/>
      <c r="FBC230" s="26"/>
      <c r="FBG230" s="23"/>
      <c r="FBL230" s="26"/>
      <c r="FBP230" s="23"/>
      <c r="FBU230" s="26"/>
      <c r="FBY230" s="23"/>
      <c r="FCD230" s="26"/>
      <c r="FCH230" s="23"/>
      <c r="FCM230" s="26"/>
      <c r="FCQ230" s="23"/>
      <c r="FCV230" s="26"/>
      <c r="FCZ230" s="23"/>
      <c r="FDE230" s="26"/>
      <c r="FDI230" s="23"/>
      <c r="FDN230" s="26"/>
      <c r="FDR230" s="23"/>
      <c r="FDW230" s="26"/>
      <c r="FEA230" s="23"/>
      <c r="FEF230" s="26"/>
      <c r="FEJ230" s="23"/>
      <c r="FEO230" s="26"/>
      <c r="FES230" s="23"/>
      <c r="FEX230" s="26"/>
      <c r="FFB230" s="23"/>
      <c r="FFG230" s="26"/>
      <c r="FFK230" s="23"/>
      <c r="FFP230" s="26"/>
      <c r="FFT230" s="23"/>
      <c r="FFY230" s="26"/>
      <c r="FGC230" s="23"/>
      <c r="FGH230" s="26"/>
      <c r="FGL230" s="23"/>
      <c r="FGQ230" s="26"/>
      <c r="FGU230" s="23"/>
      <c r="FGZ230" s="26"/>
      <c r="FHD230" s="23"/>
      <c r="FHI230" s="26"/>
      <c r="FHM230" s="23"/>
      <c r="FHR230" s="26"/>
      <c r="FHV230" s="23"/>
      <c r="FIA230" s="26"/>
      <c r="FIE230" s="23"/>
      <c r="FIJ230" s="26"/>
      <c r="FIN230" s="23"/>
      <c r="FIS230" s="26"/>
      <c r="FIW230" s="23"/>
      <c r="FJB230" s="26"/>
      <c r="FJF230" s="23"/>
      <c r="FJK230" s="26"/>
      <c r="FJO230" s="23"/>
      <c r="FJT230" s="26"/>
      <c r="FJX230" s="23"/>
      <c r="FKC230" s="26"/>
      <c r="FKG230" s="23"/>
      <c r="FKL230" s="26"/>
      <c r="FKP230" s="23"/>
      <c r="FKU230" s="26"/>
      <c r="FKY230" s="23"/>
      <c r="FLD230" s="26"/>
      <c r="FLH230" s="23"/>
      <c r="FLM230" s="26"/>
      <c r="FLQ230" s="23"/>
      <c r="FLV230" s="26"/>
      <c r="FLZ230" s="23"/>
      <c r="FME230" s="26"/>
      <c r="FMI230" s="23"/>
      <c r="FMN230" s="26"/>
      <c r="FMR230" s="23"/>
      <c r="FMW230" s="26"/>
      <c r="FNA230" s="23"/>
      <c r="FNF230" s="26"/>
      <c r="FNJ230" s="23"/>
      <c r="FNO230" s="26"/>
      <c r="FNS230" s="23"/>
      <c r="FNX230" s="26"/>
      <c r="FOB230" s="23"/>
      <c r="FOG230" s="26"/>
      <c r="FOK230" s="23"/>
      <c r="FOP230" s="26"/>
      <c r="FOT230" s="23"/>
      <c r="FOY230" s="26"/>
      <c r="FPC230" s="23"/>
      <c r="FPH230" s="26"/>
      <c r="FPL230" s="23"/>
      <c r="FPQ230" s="26"/>
      <c r="FPU230" s="23"/>
      <c r="FPZ230" s="26"/>
      <c r="FQD230" s="23"/>
      <c r="FQI230" s="26"/>
      <c r="FQM230" s="23"/>
      <c r="FQR230" s="26"/>
      <c r="FQV230" s="23"/>
      <c r="FRA230" s="26"/>
      <c r="FRE230" s="23"/>
      <c r="FRJ230" s="26"/>
      <c r="FRN230" s="23"/>
      <c r="FRS230" s="26"/>
      <c r="FRW230" s="23"/>
      <c r="FSB230" s="26"/>
      <c r="FSF230" s="23"/>
      <c r="FSK230" s="26"/>
      <c r="FSO230" s="23"/>
      <c r="FST230" s="26"/>
      <c r="FSX230" s="23"/>
      <c r="FTC230" s="26"/>
      <c r="FTG230" s="23"/>
      <c r="FTL230" s="26"/>
      <c r="FTP230" s="23"/>
      <c r="FTU230" s="26"/>
      <c r="FTY230" s="23"/>
      <c r="FUD230" s="26"/>
      <c r="FUH230" s="23"/>
      <c r="FUM230" s="26"/>
      <c r="FUQ230" s="23"/>
      <c r="FUV230" s="26"/>
      <c r="FUZ230" s="23"/>
      <c r="FVE230" s="26"/>
      <c r="FVI230" s="23"/>
      <c r="FVN230" s="26"/>
      <c r="FVR230" s="23"/>
      <c r="FVW230" s="26"/>
      <c r="FWA230" s="23"/>
      <c r="FWF230" s="26"/>
      <c r="FWJ230" s="23"/>
      <c r="FWO230" s="26"/>
      <c r="FWS230" s="23"/>
      <c r="FWX230" s="26"/>
      <c r="FXB230" s="23"/>
      <c r="FXG230" s="26"/>
      <c r="FXK230" s="23"/>
      <c r="FXP230" s="26"/>
      <c r="FXT230" s="23"/>
      <c r="FXY230" s="26"/>
      <c r="FYC230" s="23"/>
      <c r="FYH230" s="26"/>
      <c r="FYL230" s="23"/>
      <c r="FYQ230" s="26"/>
      <c r="FYU230" s="23"/>
      <c r="FYZ230" s="26"/>
      <c r="FZD230" s="23"/>
      <c r="FZI230" s="26"/>
      <c r="FZM230" s="23"/>
      <c r="FZR230" s="26"/>
      <c r="FZV230" s="23"/>
      <c r="GAA230" s="26"/>
      <c r="GAE230" s="23"/>
      <c r="GAJ230" s="26"/>
      <c r="GAN230" s="23"/>
      <c r="GAS230" s="26"/>
      <c r="GAW230" s="23"/>
      <c r="GBB230" s="26"/>
      <c r="GBF230" s="23"/>
      <c r="GBK230" s="26"/>
      <c r="GBO230" s="23"/>
      <c r="GBT230" s="26"/>
      <c r="GBX230" s="23"/>
      <c r="GCC230" s="26"/>
      <c r="GCG230" s="23"/>
      <c r="GCL230" s="26"/>
      <c r="GCP230" s="23"/>
      <c r="GCU230" s="26"/>
      <c r="GCY230" s="23"/>
      <c r="GDD230" s="26"/>
      <c r="GDH230" s="23"/>
      <c r="GDM230" s="26"/>
      <c r="GDQ230" s="23"/>
      <c r="GDV230" s="26"/>
      <c r="GDZ230" s="23"/>
      <c r="GEE230" s="26"/>
      <c r="GEI230" s="23"/>
      <c r="GEN230" s="26"/>
      <c r="GER230" s="23"/>
      <c r="GEW230" s="26"/>
      <c r="GFA230" s="23"/>
      <c r="GFF230" s="26"/>
      <c r="GFJ230" s="23"/>
      <c r="GFO230" s="26"/>
      <c r="GFS230" s="23"/>
      <c r="GFX230" s="26"/>
      <c r="GGB230" s="23"/>
      <c r="GGG230" s="26"/>
      <c r="GGK230" s="23"/>
      <c r="GGP230" s="26"/>
      <c r="GGT230" s="23"/>
      <c r="GGY230" s="26"/>
      <c r="GHC230" s="23"/>
      <c r="GHH230" s="26"/>
      <c r="GHL230" s="23"/>
      <c r="GHQ230" s="26"/>
      <c r="GHU230" s="23"/>
      <c r="GHZ230" s="26"/>
      <c r="GID230" s="23"/>
      <c r="GII230" s="26"/>
      <c r="GIM230" s="23"/>
      <c r="GIR230" s="26"/>
      <c r="GIV230" s="23"/>
      <c r="GJA230" s="26"/>
      <c r="GJE230" s="23"/>
      <c r="GJJ230" s="26"/>
      <c r="GJN230" s="23"/>
      <c r="GJS230" s="26"/>
      <c r="GJW230" s="23"/>
      <c r="GKB230" s="26"/>
      <c r="GKF230" s="23"/>
      <c r="GKK230" s="26"/>
      <c r="GKO230" s="23"/>
      <c r="GKT230" s="26"/>
      <c r="GKX230" s="23"/>
      <c r="GLC230" s="26"/>
      <c r="GLG230" s="23"/>
      <c r="GLL230" s="26"/>
      <c r="GLP230" s="23"/>
      <c r="GLU230" s="26"/>
      <c r="GLY230" s="23"/>
      <c r="GMD230" s="26"/>
      <c r="GMH230" s="23"/>
      <c r="GMM230" s="26"/>
      <c r="GMQ230" s="23"/>
      <c r="GMV230" s="26"/>
      <c r="GMZ230" s="23"/>
      <c r="GNE230" s="26"/>
      <c r="GNI230" s="23"/>
      <c r="GNN230" s="26"/>
      <c r="GNR230" s="23"/>
      <c r="GNW230" s="26"/>
      <c r="GOA230" s="23"/>
      <c r="GOF230" s="26"/>
      <c r="GOJ230" s="23"/>
      <c r="GOO230" s="26"/>
      <c r="GOS230" s="23"/>
      <c r="GOX230" s="26"/>
      <c r="GPB230" s="23"/>
      <c r="GPG230" s="26"/>
      <c r="GPK230" s="23"/>
      <c r="GPP230" s="26"/>
      <c r="GPT230" s="23"/>
      <c r="GPY230" s="26"/>
      <c r="GQC230" s="23"/>
      <c r="GQH230" s="26"/>
      <c r="GQL230" s="23"/>
      <c r="GQQ230" s="26"/>
      <c r="GQU230" s="23"/>
      <c r="GQZ230" s="26"/>
      <c r="GRD230" s="23"/>
      <c r="GRI230" s="26"/>
      <c r="GRM230" s="23"/>
      <c r="GRR230" s="26"/>
      <c r="GRV230" s="23"/>
      <c r="GSA230" s="26"/>
      <c r="GSE230" s="23"/>
      <c r="GSJ230" s="26"/>
      <c r="GSN230" s="23"/>
      <c r="GSS230" s="26"/>
      <c r="GSW230" s="23"/>
      <c r="GTB230" s="26"/>
      <c r="GTF230" s="23"/>
      <c r="GTK230" s="26"/>
      <c r="GTO230" s="23"/>
      <c r="GTT230" s="26"/>
      <c r="GTX230" s="23"/>
      <c r="GUC230" s="26"/>
      <c r="GUG230" s="23"/>
      <c r="GUL230" s="26"/>
      <c r="GUP230" s="23"/>
      <c r="GUU230" s="26"/>
      <c r="GUY230" s="23"/>
      <c r="GVD230" s="26"/>
      <c r="GVH230" s="23"/>
      <c r="GVM230" s="26"/>
      <c r="GVQ230" s="23"/>
      <c r="GVV230" s="26"/>
      <c r="GVZ230" s="23"/>
      <c r="GWE230" s="26"/>
      <c r="GWI230" s="23"/>
      <c r="GWN230" s="26"/>
      <c r="GWR230" s="23"/>
      <c r="GWW230" s="26"/>
      <c r="GXA230" s="23"/>
      <c r="GXF230" s="26"/>
      <c r="GXJ230" s="23"/>
      <c r="GXO230" s="26"/>
      <c r="GXS230" s="23"/>
      <c r="GXX230" s="26"/>
      <c r="GYB230" s="23"/>
      <c r="GYG230" s="26"/>
      <c r="GYK230" s="23"/>
      <c r="GYP230" s="26"/>
      <c r="GYT230" s="23"/>
      <c r="GYY230" s="26"/>
      <c r="GZC230" s="23"/>
      <c r="GZH230" s="26"/>
      <c r="GZL230" s="23"/>
      <c r="GZQ230" s="26"/>
      <c r="GZU230" s="23"/>
      <c r="GZZ230" s="26"/>
      <c r="HAD230" s="23"/>
      <c r="HAI230" s="26"/>
      <c r="HAM230" s="23"/>
      <c r="HAR230" s="26"/>
      <c r="HAV230" s="23"/>
      <c r="HBA230" s="26"/>
      <c r="HBE230" s="23"/>
      <c r="HBJ230" s="26"/>
      <c r="HBN230" s="23"/>
      <c r="HBS230" s="26"/>
      <c r="HBW230" s="23"/>
      <c r="HCB230" s="26"/>
      <c r="HCF230" s="23"/>
      <c r="HCK230" s="26"/>
      <c r="HCO230" s="23"/>
      <c r="HCT230" s="26"/>
      <c r="HCX230" s="23"/>
      <c r="HDC230" s="26"/>
      <c r="HDG230" s="23"/>
      <c r="HDL230" s="26"/>
      <c r="HDP230" s="23"/>
      <c r="HDU230" s="26"/>
      <c r="HDY230" s="23"/>
      <c r="HED230" s="26"/>
      <c r="HEH230" s="23"/>
      <c r="HEM230" s="26"/>
      <c r="HEQ230" s="23"/>
      <c r="HEV230" s="26"/>
      <c r="HEZ230" s="23"/>
      <c r="HFE230" s="26"/>
      <c r="HFI230" s="23"/>
      <c r="HFN230" s="26"/>
      <c r="HFR230" s="23"/>
      <c r="HFW230" s="26"/>
      <c r="HGA230" s="23"/>
      <c r="HGF230" s="26"/>
      <c r="HGJ230" s="23"/>
      <c r="HGO230" s="26"/>
      <c r="HGS230" s="23"/>
      <c r="HGX230" s="26"/>
      <c r="HHB230" s="23"/>
      <c r="HHG230" s="26"/>
      <c r="HHK230" s="23"/>
      <c r="HHP230" s="26"/>
      <c r="HHT230" s="23"/>
      <c r="HHY230" s="26"/>
      <c r="HIC230" s="23"/>
      <c r="HIH230" s="26"/>
      <c r="HIL230" s="23"/>
      <c r="HIQ230" s="26"/>
      <c r="HIU230" s="23"/>
      <c r="HIZ230" s="26"/>
      <c r="HJD230" s="23"/>
      <c r="HJI230" s="26"/>
      <c r="HJM230" s="23"/>
      <c r="HJR230" s="26"/>
      <c r="HJV230" s="23"/>
      <c r="HKA230" s="26"/>
      <c r="HKE230" s="23"/>
      <c r="HKJ230" s="26"/>
      <c r="HKN230" s="23"/>
      <c r="HKS230" s="26"/>
      <c r="HKW230" s="23"/>
      <c r="HLB230" s="26"/>
      <c r="HLF230" s="23"/>
      <c r="HLK230" s="26"/>
      <c r="HLO230" s="23"/>
      <c r="HLT230" s="26"/>
      <c r="HLX230" s="23"/>
      <c r="HMC230" s="26"/>
      <c r="HMG230" s="23"/>
      <c r="HML230" s="26"/>
      <c r="HMP230" s="23"/>
      <c r="HMU230" s="26"/>
      <c r="HMY230" s="23"/>
      <c r="HND230" s="26"/>
      <c r="HNH230" s="23"/>
      <c r="HNM230" s="26"/>
      <c r="HNQ230" s="23"/>
      <c r="HNV230" s="26"/>
      <c r="HNZ230" s="23"/>
      <c r="HOE230" s="26"/>
      <c r="HOI230" s="23"/>
      <c r="HON230" s="26"/>
      <c r="HOR230" s="23"/>
      <c r="HOW230" s="26"/>
      <c r="HPA230" s="23"/>
      <c r="HPF230" s="26"/>
      <c r="HPJ230" s="23"/>
      <c r="HPO230" s="26"/>
      <c r="HPS230" s="23"/>
      <c r="HPX230" s="26"/>
      <c r="HQB230" s="23"/>
      <c r="HQG230" s="26"/>
      <c r="HQK230" s="23"/>
      <c r="HQP230" s="26"/>
      <c r="HQT230" s="23"/>
      <c r="HQY230" s="26"/>
      <c r="HRC230" s="23"/>
      <c r="HRH230" s="26"/>
      <c r="HRL230" s="23"/>
      <c r="HRQ230" s="26"/>
      <c r="HRU230" s="23"/>
      <c r="HRZ230" s="26"/>
      <c r="HSD230" s="23"/>
      <c r="HSI230" s="26"/>
      <c r="HSM230" s="23"/>
      <c r="HSR230" s="26"/>
      <c r="HSV230" s="23"/>
      <c r="HTA230" s="26"/>
      <c r="HTE230" s="23"/>
      <c r="HTJ230" s="26"/>
      <c r="HTN230" s="23"/>
      <c r="HTS230" s="26"/>
      <c r="HTW230" s="23"/>
      <c r="HUB230" s="26"/>
      <c r="HUF230" s="23"/>
      <c r="HUK230" s="26"/>
      <c r="HUO230" s="23"/>
      <c r="HUT230" s="26"/>
      <c r="HUX230" s="23"/>
      <c r="HVC230" s="26"/>
      <c r="HVG230" s="23"/>
      <c r="HVL230" s="26"/>
      <c r="HVP230" s="23"/>
      <c r="HVU230" s="26"/>
      <c r="HVY230" s="23"/>
      <c r="HWD230" s="26"/>
      <c r="HWH230" s="23"/>
      <c r="HWM230" s="26"/>
      <c r="HWQ230" s="23"/>
      <c r="HWV230" s="26"/>
      <c r="HWZ230" s="23"/>
      <c r="HXE230" s="26"/>
      <c r="HXI230" s="23"/>
      <c r="HXN230" s="26"/>
      <c r="HXR230" s="23"/>
      <c r="HXW230" s="26"/>
      <c r="HYA230" s="23"/>
      <c r="HYF230" s="26"/>
      <c r="HYJ230" s="23"/>
      <c r="HYO230" s="26"/>
      <c r="HYS230" s="23"/>
      <c r="HYX230" s="26"/>
      <c r="HZB230" s="23"/>
      <c r="HZG230" s="26"/>
      <c r="HZK230" s="23"/>
      <c r="HZP230" s="26"/>
      <c r="HZT230" s="23"/>
      <c r="HZY230" s="26"/>
      <c r="IAC230" s="23"/>
      <c r="IAH230" s="26"/>
      <c r="IAL230" s="23"/>
      <c r="IAQ230" s="26"/>
      <c r="IAU230" s="23"/>
      <c r="IAZ230" s="26"/>
      <c r="IBD230" s="23"/>
      <c r="IBI230" s="26"/>
      <c r="IBM230" s="23"/>
      <c r="IBR230" s="26"/>
      <c r="IBV230" s="23"/>
      <c r="ICA230" s="26"/>
      <c r="ICE230" s="23"/>
      <c r="ICJ230" s="26"/>
      <c r="ICN230" s="23"/>
      <c r="ICS230" s="26"/>
      <c r="ICW230" s="23"/>
      <c r="IDB230" s="26"/>
      <c r="IDF230" s="23"/>
      <c r="IDK230" s="26"/>
      <c r="IDO230" s="23"/>
      <c r="IDT230" s="26"/>
      <c r="IDX230" s="23"/>
      <c r="IEC230" s="26"/>
      <c r="IEG230" s="23"/>
      <c r="IEL230" s="26"/>
      <c r="IEP230" s="23"/>
      <c r="IEU230" s="26"/>
      <c r="IEY230" s="23"/>
      <c r="IFD230" s="26"/>
      <c r="IFH230" s="23"/>
      <c r="IFM230" s="26"/>
      <c r="IFQ230" s="23"/>
      <c r="IFV230" s="26"/>
      <c r="IFZ230" s="23"/>
      <c r="IGE230" s="26"/>
      <c r="IGI230" s="23"/>
      <c r="IGN230" s="26"/>
      <c r="IGR230" s="23"/>
      <c r="IGW230" s="26"/>
      <c r="IHA230" s="23"/>
      <c r="IHF230" s="26"/>
      <c r="IHJ230" s="23"/>
      <c r="IHO230" s="26"/>
      <c r="IHS230" s="23"/>
      <c r="IHX230" s="26"/>
      <c r="IIB230" s="23"/>
      <c r="IIG230" s="26"/>
      <c r="IIK230" s="23"/>
      <c r="IIP230" s="26"/>
      <c r="IIT230" s="23"/>
      <c r="IIY230" s="26"/>
      <c r="IJC230" s="23"/>
      <c r="IJH230" s="26"/>
      <c r="IJL230" s="23"/>
      <c r="IJQ230" s="26"/>
      <c r="IJU230" s="23"/>
      <c r="IJZ230" s="26"/>
      <c r="IKD230" s="23"/>
      <c r="IKI230" s="26"/>
      <c r="IKM230" s="23"/>
      <c r="IKR230" s="26"/>
      <c r="IKV230" s="23"/>
      <c r="ILA230" s="26"/>
      <c r="ILE230" s="23"/>
      <c r="ILJ230" s="26"/>
      <c r="ILN230" s="23"/>
      <c r="ILS230" s="26"/>
      <c r="ILW230" s="23"/>
      <c r="IMB230" s="26"/>
      <c r="IMF230" s="23"/>
      <c r="IMK230" s="26"/>
      <c r="IMO230" s="23"/>
      <c r="IMT230" s="26"/>
      <c r="IMX230" s="23"/>
      <c r="INC230" s="26"/>
      <c r="ING230" s="23"/>
      <c r="INL230" s="26"/>
      <c r="INP230" s="23"/>
      <c r="INU230" s="26"/>
      <c r="INY230" s="23"/>
      <c r="IOD230" s="26"/>
      <c r="IOH230" s="23"/>
      <c r="IOM230" s="26"/>
      <c r="IOQ230" s="23"/>
      <c r="IOV230" s="26"/>
      <c r="IOZ230" s="23"/>
      <c r="IPE230" s="26"/>
      <c r="IPI230" s="23"/>
      <c r="IPN230" s="26"/>
      <c r="IPR230" s="23"/>
      <c r="IPW230" s="26"/>
      <c r="IQA230" s="23"/>
      <c r="IQF230" s="26"/>
      <c r="IQJ230" s="23"/>
      <c r="IQO230" s="26"/>
      <c r="IQS230" s="23"/>
      <c r="IQX230" s="26"/>
      <c r="IRB230" s="23"/>
      <c r="IRG230" s="26"/>
      <c r="IRK230" s="23"/>
      <c r="IRP230" s="26"/>
      <c r="IRT230" s="23"/>
      <c r="IRY230" s="26"/>
      <c r="ISC230" s="23"/>
      <c r="ISH230" s="26"/>
      <c r="ISL230" s="23"/>
      <c r="ISQ230" s="26"/>
      <c r="ISU230" s="23"/>
      <c r="ISZ230" s="26"/>
      <c r="ITD230" s="23"/>
      <c r="ITI230" s="26"/>
      <c r="ITM230" s="23"/>
      <c r="ITR230" s="26"/>
      <c r="ITV230" s="23"/>
      <c r="IUA230" s="26"/>
      <c r="IUE230" s="23"/>
      <c r="IUJ230" s="26"/>
      <c r="IUN230" s="23"/>
      <c r="IUS230" s="26"/>
      <c r="IUW230" s="23"/>
      <c r="IVB230" s="26"/>
      <c r="IVF230" s="23"/>
      <c r="IVK230" s="26"/>
      <c r="IVO230" s="23"/>
      <c r="IVT230" s="26"/>
      <c r="IVX230" s="23"/>
      <c r="IWC230" s="26"/>
      <c r="IWG230" s="23"/>
      <c r="IWL230" s="26"/>
      <c r="IWP230" s="23"/>
      <c r="IWU230" s="26"/>
      <c r="IWY230" s="23"/>
      <c r="IXD230" s="26"/>
      <c r="IXH230" s="23"/>
      <c r="IXM230" s="26"/>
      <c r="IXQ230" s="23"/>
      <c r="IXV230" s="26"/>
      <c r="IXZ230" s="23"/>
      <c r="IYE230" s="26"/>
      <c r="IYI230" s="23"/>
      <c r="IYN230" s="26"/>
      <c r="IYR230" s="23"/>
      <c r="IYW230" s="26"/>
      <c r="IZA230" s="23"/>
      <c r="IZF230" s="26"/>
      <c r="IZJ230" s="23"/>
      <c r="IZO230" s="26"/>
      <c r="IZS230" s="23"/>
      <c r="IZX230" s="26"/>
      <c r="JAB230" s="23"/>
      <c r="JAG230" s="26"/>
      <c r="JAK230" s="23"/>
      <c r="JAP230" s="26"/>
      <c r="JAT230" s="23"/>
      <c r="JAY230" s="26"/>
      <c r="JBC230" s="23"/>
      <c r="JBH230" s="26"/>
      <c r="JBL230" s="23"/>
      <c r="JBQ230" s="26"/>
      <c r="JBU230" s="23"/>
      <c r="JBZ230" s="26"/>
      <c r="JCD230" s="23"/>
      <c r="JCI230" s="26"/>
      <c r="JCM230" s="23"/>
      <c r="JCR230" s="26"/>
      <c r="JCV230" s="23"/>
      <c r="JDA230" s="26"/>
      <c r="JDE230" s="23"/>
      <c r="JDJ230" s="26"/>
      <c r="JDN230" s="23"/>
      <c r="JDS230" s="26"/>
      <c r="JDW230" s="23"/>
      <c r="JEB230" s="26"/>
      <c r="JEF230" s="23"/>
      <c r="JEK230" s="26"/>
      <c r="JEO230" s="23"/>
      <c r="JET230" s="26"/>
      <c r="JEX230" s="23"/>
      <c r="JFC230" s="26"/>
      <c r="JFG230" s="23"/>
      <c r="JFL230" s="26"/>
      <c r="JFP230" s="23"/>
      <c r="JFU230" s="26"/>
      <c r="JFY230" s="23"/>
      <c r="JGD230" s="26"/>
      <c r="JGH230" s="23"/>
      <c r="JGM230" s="26"/>
      <c r="JGQ230" s="23"/>
      <c r="JGV230" s="26"/>
      <c r="JGZ230" s="23"/>
      <c r="JHE230" s="26"/>
      <c r="JHI230" s="23"/>
      <c r="JHN230" s="26"/>
      <c r="JHR230" s="23"/>
      <c r="JHW230" s="26"/>
      <c r="JIA230" s="23"/>
      <c r="JIF230" s="26"/>
      <c r="JIJ230" s="23"/>
      <c r="JIO230" s="26"/>
      <c r="JIS230" s="23"/>
      <c r="JIX230" s="26"/>
      <c r="JJB230" s="23"/>
      <c r="JJG230" s="26"/>
      <c r="JJK230" s="23"/>
      <c r="JJP230" s="26"/>
      <c r="JJT230" s="23"/>
      <c r="JJY230" s="26"/>
      <c r="JKC230" s="23"/>
      <c r="JKH230" s="26"/>
      <c r="JKL230" s="23"/>
      <c r="JKQ230" s="26"/>
      <c r="JKU230" s="23"/>
      <c r="JKZ230" s="26"/>
      <c r="JLD230" s="23"/>
      <c r="JLI230" s="26"/>
      <c r="JLM230" s="23"/>
      <c r="JLR230" s="26"/>
      <c r="JLV230" s="23"/>
      <c r="JMA230" s="26"/>
      <c r="JME230" s="23"/>
      <c r="JMJ230" s="26"/>
      <c r="JMN230" s="23"/>
      <c r="JMS230" s="26"/>
      <c r="JMW230" s="23"/>
      <c r="JNB230" s="26"/>
      <c r="JNF230" s="23"/>
      <c r="JNK230" s="26"/>
      <c r="JNO230" s="23"/>
      <c r="JNT230" s="26"/>
      <c r="JNX230" s="23"/>
      <c r="JOC230" s="26"/>
      <c r="JOG230" s="23"/>
      <c r="JOL230" s="26"/>
      <c r="JOP230" s="23"/>
      <c r="JOU230" s="26"/>
      <c r="JOY230" s="23"/>
      <c r="JPD230" s="26"/>
      <c r="JPH230" s="23"/>
      <c r="JPM230" s="26"/>
      <c r="JPQ230" s="23"/>
      <c r="JPV230" s="26"/>
      <c r="JPZ230" s="23"/>
      <c r="JQE230" s="26"/>
      <c r="JQI230" s="23"/>
      <c r="JQN230" s="26"/>
      <c r="JQR230" s="23"/>
      <c r="JQW230" s="26"/>
      <c r="JRA230" s="23"/>
      <c r="JRF230" s="26"/>
      <c r="JRJ230" s="23"/>
      <c r="JRO230" s="26"/>
      <c r="JRS230" s="23"/>
      <c r="JRX230" s="26"/>
      <c r="JSB230" s="23"/>
      <c r="JSG230" s="26"/>
      <c r="JSK230" s="23"/>
      <c r="JSP230" s="26"/>
      <c r="JST230" s="23"/>
      <c r="JSY230" s="26"/>
      <c r="JTC230" s="23"/>
      <c r="JTH230" s="26"/>
      <c r="JTL230" s="23"/>
      <c r="JTQ230" s="26"/>
      <c r="JTU230" s="23"/>
      <c r="JTZ230" s="26"/>
      <c r="JUD230" s="23"/>
      <c r="JUI230" s="26"/>
      <c r="JUM230" s="23"/>
      <c r="JUR230" s="26"/>
      <c r="JUV230" s="23"/>
      <c r="JVA230" s="26"/>
      <c r="JVE230" s="23"/>
      <c r="JVJ230" s="26"/>
      <c r="JVN230" s="23"/>
      <c r="JVS230" s="26"/>
      <c r="JVW230" s="23"/>
      <c r="JWB230" s="26"/>
      <c r="JWF230" s="23"/>
      <c r="JWK230" s="26"/>
      <c r="JWO230" s="23"/>
      <c r="JWT230" s="26"/>
      <c r="JWX230" s="23"/>
      <c r="JXC230" s="26"/>
      <c r="JXG230" s="23"/>
      <c r="JXL230" s="26"/>
      <c r="JXP230" s="23"/>
      <c r="JXU230" s="26"/>
      <c r="JXY230" s="23"/>
      <c r="JYD230" s="26"/>
      <c r="JYH230" s="23"/>
      <c r="JYM230" s="26"/>
      <c r="JYQ230" s="23"/>
      <c r="JYV230" s="26"/>
      <c r="JYZ230" s="23"/>
      <c r="JZE230" s="26"/>
      <c r="JZI230" s="23"/>
      <c r="JZN230" s="26"/>
      <c r="JZR230" s="23"/>
      <c r="JZW230" s="26"/>
      <c r="KAA230" s="23"/>
      <c r="KAF230" s="26"/>
      <c r="KAJ230" s="23"/>
      <c r="KAO230" s="26"/>
      <c r="KAS230" s="23"/>
      <c r="KAX230" s="26"/>
      <c r="KBB230" s="23"/>
      <c r="KBG230" s="26"/>
      <c r="KBK230" s="23"/>
      <c r="KBP230" s="26"/>
      <c r="KBT230" s="23"/>
      <c r="KBY230" s="26"/>
      <c r="KCC230" s="23"/>
      <c r="KCH230" s="26"/>
      <c r="KCL230" s="23"/>
      <c r="KCQ230" s="26"/>
      <c r="KCU230" s="23"/>
      <c r="KCZ230" s="26"/>
      <c r="KDD230" s="23"/>
      <c r="KDI230" s="26"/>
      <c r="KDM230" s="23"/>
      <c r="KDR230" s="26"/>
      <c r="KDV230" s="23"/>
      <c r="KEA230" s="26"/>
      <c r="KEE230" s="23"/>
      <c r="KEJ230" s="26"/>
      <c r="KEN230" s="23"/>
      <c r="KES230" s="26"/>
      <c r="KEW230" s="23"/>
      <c r="KFB230" s="26"/>
      <c r="KFF230" s="23"/>
      <c r="KFK230" s="26"/>
      <c r="KFO230" s="23"/>
      <c r="KFT230" s="26"/>
      <c r="KFX230" s="23"/>
      <c r="KGC230" s="26"/>
      <c r="KGG230" s="23"/>
      <c r="KGL230" s="26"/>
      <c r="KGP230" s="23"/>
      <c r="KGU230" s="26"/>
      <c r="KGY230" s="23"/>
      <c r="KHD230" s="26"/>
      <c r="KHH230" s="23"/>
      <c r="KHM230" s="26"/>
      <c r="KHQ230" s="23"/>
      <c r="KHV230" s="26"/>
      <c r="KHZ230" s="23"/>
      <c r="KIE230" s="26"/>
      <c r="KII230" s="23"/>
      <c r="KIN230" s="26"/>
      <c r="KIR230" s="23"/>
      <c r="KIW230" s="26"/>
      <c r="KJA230" s="23"/>
      <c r="KJF230" s="26"/>
      <c r="KJJ230" s="23"/>
      <c r="KJO230" s="26"/>
      <c r="KJS230" s="23"/>
      <c r="KJX230" s="26"/>
      <c r="KKB230" s="23"/>
      <c r="KKG230" s="26"/>
      <c r="KKK230" s="23"/>
      <c r="KKP230" s="26"/>
      <c r="KKT230" s="23"/>
      <c r="KKY230" s="26"/>
      <c r="KLC230" s="23"/>
      <c r="KLH230" s="26"/>
      <c r="KLL230" s="23"/>
      <c r="KLQ230" s="26"/>
      <c r="KLU230" s="23"/>
      <c r="KLZ230" s="26"/>
      <c r="KMD230" s="23"/>
      <c r="KMI230" s="26"/>
      <c r="KMM230" s="23"/>
      <c r="KMR230" s="26"/>
      <c r="KMV230" s="23"/>
      <c r="KNA230" s="26"/>
      <c r="KNE230" s="23"/>
      <c r="KNJ230" s="26"/>
      <c r="KNN230" s="23"/>
      <c r="KNS230" s="26"/>
      <c r="KNW230" s="23"/>
      <c r="KOB230" s="26"/>
      <c r="KOF230" s="23"/>
      <c r="KOK230" s="26"/>
      <c r="KOO230" s="23"/>
      <c r="KOT230" s="26"/>
      <c r="KOX230" s="23"/>
      <c r="KPC230" s="26"/>
      <c r="KPG230" s="23"/>
      <c r="KPL230" s="26"/>
      <c r="KPP230" s="23"/>
      <c r="KPU230" s="26"/>
      <c r="KPY230" s="23"/>
      <c r="KQD230" s="26"/>
      <c r="KQH230" s="23"/>
      <c r="KQM230" s="26"/>
      <c r="KQQ230" s="23"/>
      <c r="KQV230" s="26"/>
      <c r="KQZ230" s="23"/>
      <c r="KRE230" s="26"/>
      <c r="KRI230" s="23"/>
      <c r="KRN230" s="26"/>
      <c r="KRR230" s="23"/>
      <c r="KRW230" s="26"/>
      <c r="KSA230" s="23"/>
      <c r="KSF230" s="26"/>
      <c r="KSJ230" s="23"/>
      <c r="KSO230" s="26"/>
      <c r="KSS230" s="23"/>
      <c r="KSX230" s="26"/>
      <c r="KTB230" s="23"/>
      <c r="KTG230" s="26"/>
      <c r="KTK230" s="23"/>
      <c r="KTP230" s="26"/>
      <c r="KTT230" s="23"/>
      <c r="KTY230" s="26"/>
      <c r="KUC230" s="23"/>
      <c r="KUH230" s="26"/>
      <c r="KUL230" s="23"/>
      <c r="KUQ230" s="26"/>
      <c r="KUU230" s="23"/>
      <c r="KUZ230" s="26"/>
      <c r="KVD230" s="23"/>
      <c r="KVI230" s="26"/>
      <c r="KVM230" s="23"/>
      <c r="KVR230" s="26"/>
      <c r="KVV230" s="23"/>
      <c r="KWA230" s="26"/>
      <c r="KWE230" s="23"/>
      <c r="KWJ230" s="26"/>
      <c r="KWN230" s="23"/>
      <c r="KWS230" s="26"/>
      <c r="KWW230" s="23"/>
      <c r="KXB230" s="26"/>
      <c r="KXF230" s="23"/>
      <c r="KXK230" s="26"/>
      <c r="KXO230" s="23"/>
      <c r="KXT230" s="26"/>
      <c r="KXX230" s="23"/>
      <c r="KYC230" s="26"/>
      <c r="KYG230" s="23"/>
      <c r="KYL230" s="26"/>
      <c r="KYP230" s="23"/>
      <c r="KYU230" s="26"/>
      <c r="KYY230" s="23"/>
      <c r="KZD230" s="26"/>
      <c r="KZH230" s="23"/>
      <c r="KZM230" s="26"/>
      <c r="KZQ230" s="23"/>
      <c r="KZV230" s="26"/>
      <c r="KZZ230" s="23"/>
      <c r="LAE230" s="26"/>
      <c r="LAI230" s="23"/>
      <c r="LAN230" s="26"/>
      <c r="LAR230" s="23"/>
      <c r="LAW230" s="26"/>
      <c r="LBA230" s="23"/>
      <c r="LBF230" s="26"/>
      <c r="LBJ230" s="23"/>
      <c r="LBO230" s="26"/>
      <c r="LBS230" s="23"/>
      <c r="LBX230" s="26"/>
      <c r="LCB230" s="23"/>
      <c r="LCG230" s="26"/>
      <c r="LCK230" s="23"/>
      <c r="LCP230" s="26"/>
      <c r="LCT230" s="23"/>
      <c r="LCY230" s="26"/>
      <c r="LDC230" s="23"/>
      <c r="LDH230" s="26"/>
      <c r="LDL230" s="23"/>
      <c r="LDQ230" s="26"/>
      <c r="LDU230" s="23"/>
      <c r="LDZ230" s="26"/>
      <c r="LED230" s="23"/>
      <c r="LEI230" s="26"/>
      <c r="LEM230" s="23"/>
      <c r="LER230" s="26"/>
      <c r="LEV230" s="23"/>
      <c r="LFA230" s="26"/>
      <c r="LFE230" s="23"/>
      <c r="LFJ230" s="26"/>
      <c r="LFN230" s="23"/>
      <c r="LFS230" s="26"/>
      <c r="LFW230" s="23"/>
      <c r="LGB230" s="26"/>
      <c r="LGF230" s="23"/>
      <c r="LGK230" s="26"/>
      <c r="LGO230" s="23"/>
      <c r="LGT230" s="26"/>
      <c r="LGX230" s="23"/>
      <c r="LHC230" s="26"/>
      <c r="LHG230" s="23"/>
      <c r="LHL230" s="26"/>
      <c r="LHP230" s="23"/>
      <c r="LHU230" s="26"/>
      <c r="LHY230" s="23"/>
      <c r="LID230" s="26"/>
      <c r="LIH230" s="23"/>
      <c r="LIM230" s="26"/>
      <c r="LIQ230" s="23"/>
      <c r="LIV230" s="26"/>
      <c r="LIZ230" s="23"/>
      <c r="LJE230" s="26"/>
      <c r="LJI230" s="23"/>
      <c r="LJN230" s="26"/>
      <c r="LJR230" s="23"/>
      <c r="LJW230" s="26"/>
      <c r="LKA230" s="23"/>
      <c r="LKF230" s="26"/>
      <c r="LKJ230" s="23"/>
      <c r="LKO230" s="26"/>
      <c r="LKS230" s="23"/>
      <c r="LKX230" s="26"/>
      <c r="LLB230" s="23"/>
      <c r="LLG230" s="26"/>
      <c r="LLK230" s="23"/>
      <c r="LLP230" s="26"/>
      <c r="LLT230" s="23"/>
      <c r="LLY230" s="26"/>
      <c r="LMC230" s="23"/>
      <c r="LMH230" s="26"/>
      <c r="LML230" s="23"/>
      <c r="LMQ230" s="26"/>
      <c r="LMU230" s="23"/>
      <c r="LMZ230" s="26"/>
      <c r="LND230" s="23"/>
      <c r="LNI230" s="26"/>
      <c r="LNM230" s="23"/>
      <c r="LNR230" s="26"/>
      <c r="LNV230" s="23"/>
      <c r="LOA230" s="26"/>
      <c r="LOE230" s="23"/>
      <c r="LOJ230" s="26"/>
      <c r="LON230" s="23"/>
      <c r="LOS230" s="26"/>
      <c r="LOW230" s="23"/>
      <c r="LPB230" s="26"/>
      <c r="LPF230" s="23"/>
      <c r="LPK230" s="26"/>
      <c r="LPO230" s="23"/>
      <c r="LPT230" s="26"/>
      <c r="LPX230" s="23"/>
      <c r="LQC230" s="26"/>
      <c r="LQG230" s="23"/>
      <c r="LQL230" s="26"/>
      <c r="LQP230" s="23"/>
      <c r="LQU230" s="26"/>
      <c r="LQY230" s="23"/>
      <c r="LRD230" s="26"/>
      <c r="LRH230" s="23"/>
      <c r="LRM230" s="26"/>
      <c r="LRQ230" s="23"/>
      <c r="LRV230" s="26"/>
      <c r="LRZ230" s="23"/>
      <c r="LSE230" s="26"/>
      <c r="LSI230" s="23"/>
      <c r="LSN230" s="26"/>
      <c r="LSR230" s="23"/>
      <c r="LSW230" s="26"/>
      <c r="LTA230" s="23"/>
      <c r="LTF230" s="26"/>
      <c r="LTJ230" s="23"/>
      <c r="LTO230" s="26"/>
      <c r="LTS230" s="23"/>
      <c r="LTX230" s="26"/>
      <c r="LUB230" s="23"/>
      <c r="LUG230" s="26"/>
      <c r="LUK230" s="23"/>
      <c r="LUP230" s="26"/>
      <c r="LUT230" s="23"/>
      <c r="LUY230" s="26"/>
      <c r="LVC230" s="23"/>
      <c r="LVH230" s="26"/>
      <c r="LVL230" s="23"/>
      <c r="LVQ230" s="26"/>
      <c r="LVU230" s="23"/>
      <c r="LVZ230" s="26"/>
      <c r="LWD230" s="23"/>
      <c r="LWI230" s="26"/>
      <c r="LWM230" s="23"/>
      <c r="LWR230" s="26"/>
      <c r="LWV230" s="23"/>
      <c r="LXA230" s="26"/>
      <c r="LXE230" s="23"/>
      <c r="LXJ230" s="26"/>
      <c r="LXN230" s="23"/>
      <c r="LXS230" s="26"/>
      <c r="LXW230" s="23"/>
      <c r="LYB230" s="26"/>
      <c r="LYF230" s="23"/>
      <c r="LYK230" s="26"/>
      <c r="LYO230" s="23"/>
      <c r="LYT230" s="26"/>
      <c r="LYX230" s="23"/>
      <c r="LZC230" s="26"/>
      <c r="LZG230" s="23"/>
      <c r="LZL230" s="26"/>
      <c r="LZP230" s="23"/>
      <c r="LZU230" s="26"/>
      <c r="LZY230" s="23"/>
      <c r="MAD230" s="26"/>
      <c r="MAH230" s="23"/>
      <c r="MAM230" s="26"/>
      <c r="MAQ230" s="23"/>
      <c r="MAV230" s="26"/>
      <c r="MAZ230" s="23"/>
      <c r="MBE230" s="26"/>
      <c r="MBI230" s="23"/>
      <c r="MBN230" s="26"/>
      <c r="MBR230" s="23"/>
      <c r="MBW230" s="26"/>
      <c r="MCA230" s="23"/>
      <c r="MCF230" s="26"/>
      <c r="MCJ230" s="23"/>
      <c r="MCO230" s="26"/>
      <c r="MCS230" s="23"/>
      <c r="MCX230" s="26"/>
      <c r="MDB230" s="23"/>
      <c r="MDG230" s="26"/>
      <c r="MDK230" s="23"/>
      <c r="MDP230" s="26"/>
      <c r="MDT230" s="23"/>
      <c r="MDY230" s="26"/>
      <c r="MEC230" s="23"/>
      <c r="MEH230" s="26"/>
      <c r="MEL230" s="23"/>
      <c r="MEQ230" s="26"/>
      <c r="MEU230" s="23"/>
      <c r="MEZ230" s="26"/>
      <c r="MFD230" s="23"/>
      <c r="MFI230" s="26"/>
      <c r="MFM230" s="23"/>
      <c r="MFR230" s="26"/>
      <c r="MFV230" s="23"/>
      <c r="MGA230" s="26"/>
      <c r="MGE230" s="23"/>
      <c r="MGJ230" s="26"/>
      <c r="MGN230" s="23"/>
      <c r="MGS230" s="26"/>
      <c r="MGW230" s="23"/>
      <c r="MHB230" s="26"/>
      <c r="MHF230" s="23"/>
      <c r="MHK230" s="26"/>
      <c r="MHO230" s="23"/>
      <c r="MHT230" s="26"/>
      <c r="MHX230" s="23"/>
      <c r="MIC230" s="26"/>
      <c r="MIG230" s="23"/>
      <c r="MIL230" s="26"/>
      <c r="MIP230" s="23"/>
      <c r="MIU230" s="26"/>
      <c r="MIY230" s="23"/>
      <c r="MJD230" s="26"/>
      <c r="MJH230" s="23"/>
      <c r="MJM230" s="26"/>
      <c r="MJQ230" s="23"/>
      <c r="MJV230" s="26"/>
      <c r="MJZ230" s="23"/>
      <c r="MKE230" s="26"/>
      <c r="MKI230" s="23"/>
      <c r="MKN230" s="26"/>
      <c r="MKR230" s="23"/>
      <c r="MKW230" s="26"/>
      <c r="MLA230" s="23"/>
      <c r="MLF230" s="26"/>
      <c r="MLJ230" s="23"/>
      <c r="MLO230" s="26"/>
      <c r="MLS230" s="23"/>
      <c r="MLX230" s="26"/>
      <c r="MMB230" s="23"/>
      <c r="MMG230" s="26"/>
      <c r="MMK230" s="23"/>
      <c r="MMP230" s="26"/>
      <c r="MMT230" s="23"/>
      <c r="MMY230" s="26"/>
      <c r="MNC230" s="23"/>
      <c r="MNH230" s="26"/>
      <c r="MNL230" s="23"/>
      <c r="MNQ230" s="26"/>
      <c r="MNU230" s="23"/>
      <c r="MNZ230" s="26"/>
      <c r="MOD230" s="23"/>
      <c r="MOI230" s="26"/>
      <c r="MOM230" s="23"/>
      <c r="MOR230" s="26"/>
      <c r="MOV230" s="23"/>
      <c r="MPA230" s="26"/>
      <c r="MPE230" s="23"/>
      <c r="MPJ230" s="26"/>
      <c r="MPN230" s="23"/>
      <c r="MPS230" s="26"/>
      <c r="MPW230" s="23"/>
      <c r="MQB230" s="26"/>
      <c r="MQF230" s="23"/>
      <c r="MQK230" s="26"/>
      <c r="MQO230" s="23"/>
      <c r="MQT230" s="26"/>
      <c r="MQX230" s="23"/>
      <c r="MRC230" s="26"/>
      <c r="MRG230" s="23"/>
      <c r="MRL230" s="26"/>
      <c r="MRP230" s="23"/>
      <c r="MRU230" s="26"/>
      <c r="MRY230" s="23"/>
      <c r="MSD230" s="26"/>
      <c r="MSH230" s="23"/>
      <c r="MSM230" s="26"/>
      <c r="MSQ230" s="23"/>
      <c r="MSV230" s="26"/>
      <c r="MSZ230" s="23"/>
      <c r="MTE230" s="26"/>
      <c r="MTI230" s="23"/>
      <c r="MTN230" s="26"/>
      <c r="MTR230" s="23"/>
      <c r="MTW230" s="26"/>
      <c r="MUA230" s="23"/>
      <c r="MUF230" s="26"/>
      <c r="MUJ230" s="23"/>
      <c r="MUO230" s="26"/>
      <c r="MUS230" s="23"/>
      <c r="MUX230" s="26"/>
      <c r="MVB230" s="23"/>
      <c r="MVG230" s="26"/>
      <c r="MVK230" s="23"/>
      <c r="MVP230" s="26"/>
      <c r="MVT230" s="23"/>
      <c r="MVY230" s="26"/>
      <c r="MWC230" s="23"/>
      <c r="MWH230" s="26"/>
      <c r="MWL230" s="23"/>
      <c r="MWQ230" s="26"/>
      <c r="MWU230" s="23"/>
      <c r="MWZ230" s="26"/>
      <c r="MXD230" s="23"/>
      <c r="MXI230" s="26"/>
      <c r="MXM230" s="23"/>
      <c r="MXR230" s="26"/>
      <c r="MXV230" s="23"/>
      <c r="MYA230" s="26"/>
      <c r="MYE230" s="23"/>
      <c r="MYJ230" s="26"/>
      <c r="MYN230" s="23"/>
      <c r="MYS230" s="26"/>
      <c r="MYW230" s="23"/>
      <c r="MZB230" s="26"/>
      <c r="MZF230" s="23"/>
      <c r="MZK230" s="26"/>
      <c r="MZO230" s="23"/>
      <c r="MZT230" s="26"/>
      <c r="MZX230" s="23"/>
      <c r="NAC230" s="26"/>
      <c r="NAG230" s="23"/>
      <c r="NAL230" s="26"/>
      <c r="NAP230" s="23"/>
      <c r="NAU230" s="26"/>
      <c r="NAY230" s="23"/>
      <c r="NBD230" s="26"/>
      <c r="NBH230" s="23"/>
      <c r="NBM230" s="26"/>
      <c r="NBQ230" s="23"/>
      <c r="NBV230" s="26"/>
      <c r="NBZ230" s="23"/>
      <c r="NCE230" s="26"/>
      <c r="NCI230" s="23"/>
      <c r="NCN230" s="26"/>
      <c r="NCR230" s="23"/>
      <c r="NCW230" s="26"/>
      <c r="NDA230" s="23"/>
      <c r="NDF230" s="26"/>
      <c r="NDJ230" s="23"/>
      <c r="NDO230" s="26"/>
      <c r="NDS230" s="23"/>
      <c r="NDX230" s="26"/>
      <c r="NEB230" s="23"/>
      <c r="NEG230" s="26"/>
      <c r="NEK230" s="23"/>
      <c r="NEP230" s="26"/>
      <c r="NET230" s="23"/>
      <c r="NEY230" s="26"/>
      <c r="NFC230" s="23"/>
      <c r="NFH230" s="26"/>
      <c r="NFL230" s="23"/>
      <c r="NFQ230" s="26"/>
      <c r="NFU230" s="23"/>
      <c r="NFZ230" s="26"/>
      <c r="NGD230" s="23"/>
      <c r="NGI230" s="26"/>
      <c r="NGM230" s="23"/>
      <c r="NGR230" s="26"/>
      <c r="NGV230" s="23"/>
      <c r="NHA230" s="26"/>
      <c r="NHE230" s="23"/>
      <c r="NHJ230" s="26"/>
      <c r="NHN230" s="23"/>
      <c r="NHS230" s="26"/>
      <c r="NHW230" s="23"/>
      <c r="NIB230" s="26"/>
      <c r="NIF230" s="23"/>
      <c r="NIK230" s="26"/>
      <c r="NIO230" s="23"/>
      <c r="NIT230" s="26"/>
      <c r="NIX230" s="23"/>
      <c r="NJC230" s="26"/>
      <c r="NJG230" s="23"/>
      <c r="NJL230" s="26"/>
      <c r="NJP230" s="23"/>
      <c r="NJU230" s="26"/>
      <c r="NJY230" s="23"/>
      <c r="NKD230" s="26"/>
      <c r="NKH230" s="23"/>
      <c r="NKM230" s="26"/>
      <c r="NKQ230" s="23"/>
      <c r="NKV230" s="26"/>
      <c r="NKZ230" s="23"/>
      <c r="NLE230" s="26"/>
      <c r="NLI230" s="23"/>
      <c r="NLN230" s="26"/>
      <c r="NLR230" s="23"/>
      <c r="NLW230" s="26"/>
      <c r="NMA230" s="23"/>
      <c r="NMF230" s="26"/>
      <c r="NMJ230" s="23"/>
      <c r="NMO230" s="26"/>
      <c r="NMS230" s="23"/>
      <c r="NMX230" s="26"/>
      <c r="NNB230" s="23"/>
      <c r="NNG230" s="26"/>
      <c r="NNK230" s="23"/>
      <c r="NNP230" s="26"/>
      <c r="NNT230" s="23"/>
      <c r="NNY230" s="26"/>
      <c r="NOC230" s="23"/>
      <c r="NOH230" s="26"/>
      <c r="NOL230" s="23"/>
      <c r="NOQ230" s="26"/>
      <c r="NOU230" s="23"/>
      <c r="NOZ230" s="26"/>
      <c r="NPD230" s="23"/>
      <c r="NPI230" s="26"/>
      <c r="NPM230" s="23"/>
      <c r="NPR230" s="26"/>
      <c r="NPV230" s="23"/>
      <c r="NQA230" s="26"/>
      <c r="NQE230" s="23"/>
      <c r="NQJ230" s="26"/>
      <c r="NQN230" s="23"/>
      <c r="NQS230" s="26"/>
      <c r="NQW230" s="23"/>
      <c r="NRB230" s="26"/>
      <c r="NRF230" s="23"/>
      <c r="NRK230" s="26"/>
      <c r="NRO230" s="23"/>
      <c r="NRT230" s="26"/>
      <c r="NRX230" s="23"/>
      <c r="NSC230" s="26"/>
      <c r="NSG230" s="23"/>
      <c r="NSL230" s="26"/>
      <c r="NSP230" s="23"/>
      <c r="NSU230" s="26"/>
      <c r="NSY230" s="23"/>
      <c r="NTD230" s="26"/>
      <c r="NTH230" s="23"/>
      <c r="NTM230" s="26"/>
      <c r="NTQ230" s="23"/>
      <c r="NTV230" s="26"/>
      <c r="NTZ230" s="23"/>
      <c r="NUE230" s="26"/>
      <c r="NUI230" s="23"/>
      <c r="NUN230" s="26"/>
      <c r="NUR230" s="23"/>
      <c r="NUW230" s="26"/>
      <c r="NVA230" s="23"/>
      <c r="NVF230" s="26"/>
      <c r="NVJ230" s="23"/>
      <c r="NVO230" s="26"/>
      <c r="NVS230" s="23"/>
      <c r="NVX230" s="26"/>
      <c r="NWB230" s="23"/>
      <c r="NWG230" s="26"/>
      <c r="NWK230" s="23"/>
      <c r="NWP230" s="26"/>
      <c r="NWT230" s="23"/>
      <c r="NWY230" s="26"/>
      <c r="NXC230" s="23"/>
      <c r="NXH230" s="26"/>
      <c r="NXL230" s="23"/>
      <c r="NXQ230" s="26"/>
      <c r="NXU230" s="23"/>
      <c r="NXZ230" s="26"/>
      <c r="NYD230" s="23"/>
      <c r="NYI230" s="26"/>
      <c r="NYM230" s="23"/>
      <c r="NYR230" s="26"/>
      <c r="NYV230" s="23"/>
      <c r="NZA230" s="26"/>
      <c r="NZE230" s="23"/>
      <c r="NZJ230" s="26"/>
      <c r="NZN230" s="23"/>
      <c r="NZS230" s="26"/>
      <c r="NZW230" s="23"/>
      <c r="OAB230" s="26"/>
      <c r="OAF230" s="23"/>
      <c r="OAK230" s="26"/>
      <c r="OAO230" s="23"/>
      <c r="OAT230" s="26"/>
      <c r="OAX230" s="23"/>
      <c r="OBC230" s="26"/>
      <c r="OBG230" s="23"/>
      <c r="OBL230" s="26"/>
      <c r="OBP230" s="23"/>
      <c r="OBU230" s="26"/>
      <c r="OBY230" s="23"/>
      <c r="OCD230" s="26"/>
      <c r="OCH230" s="23"/>
      <c r="OCM230" s="26"/>
      <c r="OCQ230" s="23"/>
      <c r="OCV230" s="26"/>
      <c r="OCZ230" s="23"/>
      <c r="ODE230" s="26"/>
      <c r="ODI230" s="23"/>
      <c r="ODN230" s="26"/>
      <c r="ODR230" s="23"/>
      <c r="ODW230" s="26"/>
      <c r="OEA230" s="23"/>
      <c r="OEF230" s="26"/>
      <c r="OEJ230" s="23"/>
      <c r="OEO230" s="26"/>
      <c r="OES230" s="23"/>
      <c r="OEX230" s="26"/>
      <c r="OFB230" s="23"/>
      <c r="OFG230" s="26"/>
      <c r="OFK230" s="23"/>
      <c r="OFP230" s="26"/>
      <c r="OFT230" s="23"/>
      <c r="OFY230" s="26"/>
      <c r="OGC230" s="23"/>
      <c r="OGH230" s="26"/>
      <c r="OGL230" s="23"/>
      <c r="OGQ230" s="26"/>
      <c r="OGU230" s="23"/>
      <c r="OGZ230" s="26"/>
      <c r="OHD230" s="23"/>
      <c r="OHI230" s="26"/>
      <c r="OHM230" s="23"/>
      <c r="OHR230" s="26"/>
      <c r="OHV230" s="23"/>
      <c r="OIA230" s="26"/>
      <c r="OIE230" s="23"/>
      <c r="OIJ230" s="26"/>
      <c r="OIN230" s="23"/>
      <c r="OIS230" s="26"/>
      <c r="OIW230" s="23"/>
      <c r="OJB230" s="26"/>
      <c r="OJF230" s="23"/>
      <c r="OJK230" s="26"/>
      <c r="OJO230" s="23"/>
      <c r="OJT230" s="26"/>
      <c r="OJX230" s="23"/>
      <c r="OKC230" s="26"/>
      <c r="OKG230" s="23"/>
      <c r="OKL230" s="26"/>
      <c r="OKP230" s="23"/>
      <c r="OKU230" s="26"/>
      <c r="OKY230" s="23"/>
      <c r="OLD230" s="26"/>
      <c r="OLH230" s="23"/>
      <c r="OLM230" s="26"/>
      <c r="OLQ230" s="23"/>
      <c r="OLV230" s="26"/>
      <c r="OLZ230" s="23"/>
      <c r="OME230" s="26"/>
      <c r="OMI230" s="23"/>
      <c r="OMN230" s="26"/>
      <c r="OMR230" s="23"/>
      <c r="OMW230" s="26"/>
      <c r="ONA230" s="23"/>
      <c r="ONF230" s="26"/>
      <c r="ONJ230" s="23"/>
      <c r="ONO230" s="26"/>
      <c r="ONS230" s="23"/>
      <c r="ONX230" s="26"/>
      <c r="OOB230" s="23"/>
      <c r="OOG230" s="26"/>
      <c r="OOK230" s="23"/>
      <c r="OOP230" s="26"/>
      <c r="OOT230" s="23"/>
      <c r="OOY230" s="26"/>
      <c r="OPC230" s="23"/>
      <c r="OPH230" s="26"/>
      <c r="OPL230" s="23"/>
      <c r="OPQ230" s="26"/>
      <c r="OPU230" s="23"/>
      <c r="OPZ230" s="26"/>
      <c r="OQD230" s="23"/>
      <c r="OQI230" s="26"/>
      <c r="OQM230" s="23"/>
      <c r="OQR230" s="26"/>
      <c r="OQV230" s="23"/>
      <c r="ORA230" s="26"/>
      <c r="ORE230" s="23"/>
      <c r="ORJ230" s="26"/>
      <c r="ORN230" s="23"/>
      <c r="ORS230" s="26"/>
      <c r="ORW230" s="23"/>
      <c r="OSB230" s="26"/>
      <c r="OSF230" s="23"/>
      <c r="OSK230" s="26"/>
      <c r="OSO230" s="23"/>
      <c r="OST230" s="26"/>
      <c r="OSX230" s="23"/>
      <c r="OTC230" s="26"/>
      <c r="OTG230" s="23"/>
      <c r="OTL230" s="26"/>
      <c r="OTP230" s="23"/>
      <c r="OTU230" s="26"/>
      <c r="OTY230" s="23"/>
      <c r="OUD230" s="26"/>
      <c r="OUH230" s="23"/>
      <c r="OUM230" s="26"/>
      <c r="OUQ230" s="23"/>
      <c r="OUV230" s="26"/>
      <c r="OUZ230" s="23"/>
      <c r="OVE230" s="26"/>
      <c r="OVI230" s="23"/>
      <c r="OVN230" s="26"/>
      <c r="OVR230" s="23"/>
      <c r="OVW230" s="26"/>
      <c r="OWA230" s="23"/>
      <c r="OWF230" s="26"/>
      <c r="OWJ230" s="23"/>
      <c r="OWO230" s="26"/>
      <c r="OWS230" s="23"/>
      <c r="OWX230" s="26"/>
      <c r="OXB230" s="23"/>
      <c r="OXG230" s="26"/>
      <c r="OXK230" s="23"/>
      <c r="OXP230" s="26"/>
      <c r="OXT230" s="23"/>
      <c r="OXY230" s="26"/>
      <c r="OYC230" s="23"/>
      <c r="OYH230" s="26"/>
      <c r="OYL230" s="23"/>
      <c r="OYQ230" s="26"/>
      <c r="OYU230" s="23"/>
      <c r="OYZ230" s="26"/>
      <c r="OZD230" s="23"/>
      <c r="OZI230" s="26"/>
      <c r="OZM230" s="23"/>
      <c r="OZR230" s="26"/>
      <c r="OZV230" s="23"/>
      <c r="PAA230" s="26"/>
      <c r="PAE230" s="23"/>
      <c r="PAJ230" s="26"/>
      <c r="PAN230" s="23"/>
      <c r="PAS230" s="26"/>
      <c r="PAW230" s="23"/>
      <c r="PBB230" s="26"/>
      <c r="PBF230" s="23"/>
      <c r="PBK230" s="26"/>
      <c r="PBO230" s="23"/>
      <c r="PBT230" s="26"/>
      <c r="PBX230" s="23"/>
      <c r="PCC230" s="26"/>
      <c r="PCG230" s="23"/>
      <c r="PCL230" s="26"/>
      <c r="PCP230" s="23"/>
      <c r="PCU230" s="26"/>
      <c r="PCY230" s="23"/>
      <c r="PDD230" s="26"/>
      <c r="PDH230" s="23"/>
      <c r="PDM230" s="26"/>
      <c r="PDQ230" s="23"/>
      <c r="PDV230" s="26"/>
      <c r="PDZ230" s="23"/>
      <c r="PEE230" s="26"/>
      <c r="PEI230" s="23"/>
      <c r="PEN230" s="26"/>
      <c r="PER230" s="23"/>
      <c r="PEW230" s="26"/>
      <c r="PFA230" s="23"/>
      <c r="PFF230" s="26"/>
      <c r="PFJ230" s="23"/>
      <c r="PFO230" s="26"/>
      <c r="PFS230" s="23"/>
      <c r="PFX230" s="26"/>
      <c r="PGB230" s="23"/>
      <c r="PGG230" s="26"/>
      <c r="PGK230" s="23"/>
      <c r="PGP230" s="26"/>
      <c r="PGT230" s="23"/>
      <c r="PGY230" s="26"/>
      <c r="PHC230" s="23"/>
      <c r="PHH230" s="26"/>
      <c r="PHL230" s="23"/>
      <c r="PHQ230" s="26"/>
      <c r="PHU230" s="23"/>
      <c r="PHZ230" s="26"/>
      <c r="PID230" s="23"/>
      <c r="PII230" s="26"/>
      <c r="PIM230" s="23"/>
      <c r="PIR230" s="26"/>
      <c r="PIV230" s="23"/>
      <c r="PJA230" s="26"/>
      <c r="PJE230" s="23"/>
      <c r="PJJ230" s="26"/>
      <c r="PJN230" s="23"/>
      <c r="PJS230" s="26"/>
      <c r="PJW230" s="23"/>
      <c r="PKB230" s="26"/>
      <c r="PKF230" s="23"/>
      <c r="PKK230" s="26"/>
      <c r="PKO230" s="23"/>
      <c r="PKT230" s="26"/>
      <c r="PKX230" s="23"/>
      <c r="PLC230" s="26"/>
      <c r="PLG230" s="23"/>
      <c r="PLL230" s="26"/>
      <c r="PLP230" s="23"/>
      <c r="PLU230" s="26"/>
      <c r="PLY230" s="23"/>
      <c r="PMD230" s="26"/>
      <c r="PMH230" s="23"/>
      <c r="PMM230" s="26"/>
      <c r="PMQ230" s="23"/>
      <c r="PMV230" s="26"/>
      <c r="PMZ230" s="23"/>
      <c r="PNE230" s="26"/>
      <c r="PNI230" s="23"/>
      <c r="PNN230" s="26"/>
      <c r="PNR230" s="23"/>
      <c r="PNW230" s="26"/>
      <c r="POA230" s="23"/>
      <c r="POF230" s="26"/>
      <c r="POJ230" s="23"/>
      <c r="POO230" s="26"/>
      <c r="POS230" s="23"/>
      <c r="POX230" s="26"/>
      <c r="PPB230" s="23"/>
      <c r="PPG230" s="26"/>
      <c r="PPK230" s="23"/>
      <c r="PPP230" s="26"/>
      <c r="PPT230" s="23"/>
      <c r="PPY230" s="26"/>
      <c r="PQC230" s="23"/>
      <c r="PQH230" s="26"/>
      <c r="PQL230" s="23"/>
      <c r="PQQ230" s="26"/>
      <c r="PQU230" s="23"/>
      <c r="PQZ230" s="26"/>
      <c r="PRD230" s="23"/>
      <c r="PRI230" s="26"/>
      <c r="PRM230" s="23"/>
      <c r="PRR230" s="26"/>
      <c r="PRV230" s="23"/>
      <c r="PSA230" s="26"/>
      <c r="PSE230" s="23"/>
      <c r="PSJ230" s="26"/>
      <c r="PSN230" s="23"/>
      <c r="PSS230" s="26"/>
      <c r="PSW230" s="23"/>
      <c r="PTB230" s="26"/>
      <c r="PTF230" s="23"/>
      <c r="PTK230" s="26"/>
      <c r="PTO230" s="23"/>
      <c r="PTT230" s="26"/>
      <c r="PTX230" s="23"/>
      <c r="PUC230" s="26"/>
      <c r="PUG230" s="23"/>
      <c r="PUL230" s="26"/>
      <c r="PUP230" s="23"/>
      <c r="PUU230" s="26"/>
      <c r="PUY230" s="23"/>
      <c r="PVD230" s="26"/>
      <c r="PVH230" s="23"/>
      <c r="PVM230" s="26"/>
      <c r="PVQ230" s="23"/>
      <c r="PVV230" s="26"/>
      <c r="PVZ230" s="23"/>
      <c r="PWE230" s="26"/>
      <c r="PWI230" s="23"/>
      <c r="PWN230" s="26"/>
      <c r="PWR230" s="23"/>
      <c r="PWW230" s="26"/>
      <c r="PXA230" s="23"/>
      <c r="PXF230" s="26"/>
      <c r="PXJ230" s="23"/>
      <c r="PXO230" s="26"/>
      <c r="PXS230" s="23"/>
      <c r="PXX230" s="26"/>
      <c r="PYB230" s="23"/>
      <c r="PYG230" s="26"/>
      <c r="PYK230" s="23"/>
      <c r="PYP230" s="26"/>
      <c r="PYT230" s="23"/>
      <c r="PYY230" s="26"/>
      <c r="PZC230" s="23"/>
      <c r="PZH230" s="26"/>
      <c r="PZL230" s="23"/>
      <c r="PZQ230" s="26"/>
      <c r="PZU230" s="23"/>
      <c r="PZZ230" s="26"/>
      <c r="QAD230" s="23"/>
      <c r="QAI230" s="26"/>
      <c r="QAM230" s="23"/>
      <c r="QAR230" s="26"/>
      <c r="QAV230" s="23"/>
      <c r="QBA230" s="26"/>
      <c r="QBE230" s="23"/>
      <c r="QBJ230" s="26"/>
      <c r="QBN230" s="23"/>
      <c r="QBS230" s="26"/>
      <c r="QBW230" s="23"/>
      <c r="QCB230" s="26"/>
      <c r="QCF230" s="23"/>
      <c r="QCK230" s="26"/>
      <c r="QCO230" s="23"/>
      <c r="QCT230" s="26"/>
      <c r="QCX230" s="23"/>
      <c r="QDC230" s="26"/>
      <c r="QDG230" s="23"/>
      <c r="QDL230" s="26"/>
      <c r="QDP230" s="23"/>
      <c r="QDU230" s="26"/>
      <c r="QDY230" s="23"/>
      <c r="QED230" s="26"/>
      <c r="QEH230" s="23"/>
      <c r="QEM230" s="26"/>
      <c r="QEQ230" s="23"/>
      <c r="QEV230" s="26"/>
      <c r="QEZ230" s="23"/>
      <c r="QFE230" s="26"/>
      <c r="QFI230" s="23"/>
      <c r="QFN230" s="26"/>
      <c r="QFR230" s="23"/>
      <c r="QFW230" s="26"/>
      <c r="QGA230" s="23"/>
      <c r="QGF230" s="26"/>
      <c r="QGJ230" s="23"/>
      <c r="QGO230" s="26"/>
      <c r="QGS230" s="23"/>
      <c r="QGX230" s="26"/>
      <c r="QHB230" s="23"/>
      <c r="QHG230" s="26"/>
      <c r="QHK230" s="23"/>
      <c r="QHP230" s="26"/>
      <c r="QHT230" s="23"/>
      <c r="QHY230" s="26"/>
      <c r="QIC230" s="23"/>
      <c r="QIH230" s="26"/>
      <c r="QIL230" s="23"/>
      <c r="QIQ230" s="26"/>
      <c r="QIU230" s="23"/>
      <c r="QIZ230" s="26"/>
      <c r="QJD230" s="23"/>
      <c r="QJI230" s="26"/>
      <c r="QJM230" s="23"/>
      <c r="QJR230" s="26"/>
      <c r="QJV230" s="23"/>
      <c r="QKA230" s="26"/>
      <c r="QKE230" s="23"/>
      <c r="QKJ230" s="26"/>
      <c r="QKN230" s="23"/>
      <c r="QKS230" s="26"/>
      <c r="QKW230" s="23"/>
      <c r="QLB230" s="26"/>
      <c r="QLF230" s="23"/>
      <c r="QLK230" s="26"/>
      <c r="QLO230" s="23"/>
      <c r="QLT230" s="26"/>
      <c r="QLX230" s="23"/>
      <c r="QMC230" s="26"/>
      <c r="QMG230" s="23"/>
      <c r="QML230" s="26"/>
      <c r="QMP230" s="23"/>
      <c r="QMU230" s="26"/>
      <c r="QMY230" s="23"/>
      <c r="QND230" s="26"/>
      <c r="QNH230" s="23"/>
      <c r="QNM230" s="26"/>
      <c r="QNQ230" s="23"/>
      <c r="QNV230" s="26"/>
      <c r="QNZ230" s="23"/>
      <c r="QOE230" s="26"/>
      <c r="QOI230" s="23"/>
      <c r="QON230" s="26"/>
      <c r="QOR230" s="23"/>
      <c r="QOW230" s="26"/>
      <c r="QPA230" s="23"/>
      <c r="QPF230" s="26"/>
      <c r="QPJ230" s="23"/>
      <c r="QPO230" s="26"/>
      <c r="QPS230" s="23"/>
      <c r="QPX230" s="26"/>
      <c r="QQB230" s="23"/>
      <c r="QQG230" s="26"/>
      <c r="QQK230" s="23"/>
      <c r="QQP230" s="26"/>
      <c r="QQT230" s="23"/>
      <c r="QQY230" s="26"/>
      <c r="QRC230" s="23"/>
      <c r="QRH230" s="26"/>
      <c r="QRL230" s="23"/>
      <c r="QRQ230" s="26"/>
      <c r="QRU230" s="23"/>
      <c r="QRZ230" s="26"/>
      <c r="QSD230" s="23"/>
      <c r="QSI230" s="26"/>
      <c r="QSM230" s="23"/>
      <c r="QSR230" s="26"/>
      <c r="QSV230" s="23"/>
      <c r="QTA230" s="26"/>
      <c r="QTE230" s="23"/>
      <c r="QTJ230" s="26"/>
      <c r="QTN230" s="23"/>
      <c r="QTS230" s="26"/>
      <c r="QTW230" s="23"/>
      <c r="QUB230" s="26"/>
      <c r="QUF230" s="23"/>
      <c r="QUK230" s="26"/>
      <c r="QUO230" s="23"/>
      <c r="QUT230" s="26"/>
      <c r="QUX230" s="23"/>
      <c r="QVC230" s="26"/>
      <c r="QVG230" s="23"/>
      <c r="QVL230" s="26"/>
      <c r="QVP230" s="23"/>
      <c r="QVU230" s="26"/>
      <c r="QVY230" s="23"/>
      <c r="QWD230" s="26"/>
      <c r="QWH230" s="23"/>
      <c r="QWM230" s="26"/>
      <c r="QWQ230" s="23"/>
      <c r="QWV230" s="26"/>
      <c r="QWZ230" s="23"/>
      <c r="QXE230" s="26"/>
      <c r="QXI230" s="23"/>
      <c r="QXN230" s="26"/>
      <c r="QXR230" s="23"/>
      <c r="QXW230" s="26"/>
      <c r="QYA230" s="23"/>
      <c r="QYF230" s="26"/>
      <c r="QYJ230" s="23"/>
      <c r="QYO230" s="26"/>
      <c r="QYS230" s="23"/>
      <c r="QYX230" s="26"/>
      <c r="QZB230" s="23"/>
      <c r="QZG230" s="26"/>
      <c r="QZK230" s="23"/>
      <c r="QZP230" s="26"/>
      <c r="QZT230" s="23"/>
      <c r="QZY230" s="26"/>
      <c r="RAC230" s="23"/>
      <c r="RAH230" s="26"/>
      <c r="RAL230" s="23"/>
      <c r="RAQ230" s="26"/>
      <c r="RAU230" s="23"/>
      <c r="RAZ230" s="26"/>
      <c r="RBD230" s="23"/>
      <c r="RBI230" s="26"/>
      <c r="RBM230" s="23"/>
      <c r="RBR230" s="26"/>
      <c r="RBV230" s="23"/>
      <c r="RCA230" s="26"/>
      <c r="RCE230" s="23"/>
      <c r="RCJ230" s="26"/>
      <c r="RCN230" s="23"/>
      <c r="RCS230" s="26"/>
      <c r="RCW230" s="23"/>
      <c r="RDB230" s="26"/>
      <c r="RDF230" s="23"/>
      <c r="RDK230" s="26"/>
      <c r="RDO230" s="23"/>
      <c r="RDT230" s="26"/>
      <c r="RDX230" s="23"/>
      <c r="REC230" s="26"/>
      <c r="REG230" s="23"/>
      <c r="REL230" s="26"/>
      <c r="REP230" s="23"/>
      <c r="REU230" s="26"/>
      <c r="REY230" s="23"/>
      <c r="RFD230" s="26"/>
      <c r="RFH230" s="23"/>
      <c r="RFM230" s="26"/>
      <c r="RFQ230" s="23"/>
      <c r="RFV230" s="26"/>
      <c r="RFZ230" s="23"/>
      <c r="RGE230" s="26"/>
      <c r="RGI230" s="23"/>
      <c r="RGN230" s="26"/>
      <c r="RGR230" s="23"/>
      <c r="RGW230" s="26"/>
      <c r="RHA230" s="23"/>
      <c r="RHF230" s="26"/>
      <c r="RHJ230" s="23"/>
      <c r="RHO230" s="26"/>
      <c r="RHS230" s="23"/>
      <c r="RHX230" s="26"/>
      <c r="RIB230" s="23"/>
      <c r="RIG230" s="26"/>
      <c r="RIK230" s="23"/>
      <c r="RIP230" s="26"/>
      <c r="RIT230" s="23"/>
      <c r="RIY230" s="26"/>
      <c r="RJC230" s="23"/>
      <c r="RJH230" s="26"/>
      <c r="RJL230" s="23"/>
      <c r="RJQ230" s="26"/>
      <c r="RJU230" s="23"/>
      <c r="RJZ230" s="26"/>
      <c r="RKD230" s="23"/>
      <c r="RKI230" s="26"/>
      <c r="RKM230" s="23"/>
      <c r="RKR230" s="26"/>
      <c r="RKV230" s="23"/>
      <c r="RLA230" s="26"/>
      <c r="RLE230" s="23"/>
      <c r="RLJ230" s="26"/>
      <c r="RLN230" s="23"/>
      <c r="RLS230" s="26"/>
      <c r="RLW230" s="23"/>
      <c r="RMB230" s="26"/>
      <c r="RMF230" s="23"/>
      <c r="RMK230" s="26"/>
      <c r="RMO230" s="23"/>
      <c r="RMT230" s="26"/>
      <c r="RMX230" s="23"/>
      <c r="RNC230" s="26"/>
      <c r="RNG230" s="23"/>
      <c r="RNL230" s="26"/>
      <c r="RNP230" s="23"/>
      <c r="RNU230" s="26"/>
      <c r="RNY230" s="23"/>
      <c r="ROD230" s="26"/>
      <c r="ROH230" s="23"/>
      <c r="ROM230" s="26"/>
      <c r="ROQ230" s="23"/>
      <c r="ROV230" s="26"/>
      <c r="ROZ230" s="23"/>
      <c r="RPE230" s="26"/>
      <c r="RPI230" s="23"/>
      <c r="RPN230" s="26"/>
      <c r="RPR230" s="23"/>
      <c r="RPW230" s="26"/>
      <c r="RQA230" s="23"/>
      <c r="RQF230" s="26"/>
      <c r="RQJ230" s="23"/>
      <c r="RQO230" s="26"/>
      <c r="RQS230" s="23"/>
      <c r="RQX230" s="26"/>
      <c r="RRB230" s="23"/>
      <c r="RRG230" s="26"/>
      <c r="RRK230" s="23"/>
      <c r="RRP230" s="26"/>
      <c r="RRT230" s="23"/>
      <c r="RRY230" s="26"/>
      <c r="RSC230" s="23"/>
      <c r="RSH230" s="26"/>
      <c r="RSL230" s="23"/>
      <c r="RSQ230" s="26"/>
      <c r="RSU230" s="23"/>
      <c r="RSZ230" s="26"/>
      <c r="RTD230" s="23"/>
      <c r="RTI230" s="26"/>
      <c r="RTM230" s="23"/>
      <c r="RTR230" s="26"/>
      <c r="RTV230" s="23"/>
      <c r="RUA230" s="26"/>
      <c r="RUE230" s="23"/>
      <c r="RUJ230" s="26"/>
      <c r="RUN230" s="23"/>
      <c r="RUS230" s="26"/>
      <c r="RUW230" s="23"/>
      <c r="RVB230" s="26"/>
      <c r="RVF230" s="23"/>
      <c r="RVK230" s="26"/>
      <c r="RVO230" s="23"/>
      <c r="RVT230" s="26"/>
      <c r="RVX230" s="23"/>
      <c r="RWC230" s="26"/>
      <c r="RWG230" s="23"/>
      <c r="RWL230" s="26"/>
      <c r="RWP230" s="23"/>
      <c r="RWU230" s="26"/>
      <c r="RWY230" s="23"/>
      <c r="RXD230" s="26"/>
      <c r="RXH230" s="23"/>
      <c r="RXM230" s="26"/>
      <c r="RXQ230" s="23"/>
      <c r="RXV230" s="26"/>
      <c r="RXZ230" s="23"/>
      <c r="RYE230" s="26"/>
      <c r="RYI230" s="23"/>
      <c r="RYN230" s="26"/>
      <c r="RYR230" s="23"/>
      <c r="RYW230" s="26"/>
      <c r="RZA230" s="23"/>
      <c r="RZF230" s="26"/>
      <c r="RZJ230" s="23"/>
      <c r="RZO230" s="26"/>
      <c r="RZS230" s="23"/>
      <c r="RZX230" s="26"/>
      <c r="SAB230" s="23"/>
      <c r="SAG230" s="26"/>
      <c r="SAK230" s="23"/>
      <c r="SAP230" s="26"/>
      <c r="SAT230" s="23"/>
      <c r="SAY230" s="26"/>
      <c r="SBC230" s="23"/>
      <c r="SBH230" s="26"/>
      <c r="SBL230" s="23"/>
      <c r="SBQ230" s="26"/>
      <c r="SBU230" s="23"/>
      <c r="SBZ230" s="26"/>
      <c r="SCD230" s="23"/>
      <c r="SCI230" s="26"/>
      <c r="SCM230" s="23"/>
      <c r="SCR230" s="26"/>
      <c r="SCV230" s="23"/>
      <c r="SDA230" s="26"/>
      <c r="SDE230" s="23"/>
      <c r="SDJ230" s="26"/>
      <c r="SDN230" s="23"/>
      <c r="SDS230" s="26"/>
      <c r="SDW230" s="23"/>
      <c r="SEB230" s="26"/>
      <c r="SEF230" s="23"/>
      <c r="SEK230" s="26"/>
      <c r="SEO230" s="23"/>
      <c r="SET230" s="26"/>
      <c r="SEX230" s="23"/>
      <c r="SFC230" s="26"/>
      <c r="SFG230" s="23"/>
      <c r="SFL230" s="26"/>
      <c r="SFP230" s="23"/>
      <c r="SFU230" s="26"/>
      <c r="SFY230" s="23"/>
      <c r="SGD230" s="26"/>
      <c r="SGH230" s="23"/>
      <c r="SGM230" s="26"/>
      <c r="SGQ230" s="23"/>
      <c r="SGV230" s="26"/>
      <c r="SGZ230" s="23"/>
      <c r="SHE230" s="26"/>
      <c r="SHI230" s="23"/>
      <c r="SHN230" s="26"/>
      <c r="SHR230" s="23"/>
      <c r="SHW230" s="26"/>
      <c r="SIA230" s="23"/>
      <c r="SIF230" s="26"/>
      <c r="SIJ230" s="23"/>
      <c r="SIO230" s="26"/>
      <c r="SIS230" s="23"/>
      <c r="SIX230" s="26"/>
      <c r="SJB230" s="23"/>
      <c r="SJG230" s="26"/>
      <c r="SJK230" s="23"/>
      <c r="SJP230" s="26"/>
      <c r="SJT230" s="23"/>
      <c r="SJY230" s="26"/>
      <c r="SKC230" s="23"/>
      <c r="SKH230" s="26"/>
      <c r="SKL230" s="23"/>
      <c r="SKQ230" s="26"/>
      <c r="SKU230" s="23"/>
      <c r="SKZ230" s="26"/>
      <c r="SLD230" s="23"/>
      <c r="SLI230" s="26"/>
      <c r="SLM230" s="23"/>
      <c r="SLR230" s="26"/>
      <c r="SLV230" s="23"/>
      <c r="SMA230" s="26"/>
      <c r="SME230" s="23"/>
      <c r="SMJ230" s="26"/>
      <c r="SMN230" s="23"/>
      <c r="SMS230" s="26"/>
      <c r="SMW230" s="23"/>
      <c r="SNB230" s="26"/>
      <c r="SNF230" s="23"/>
      <c r="SNK230" s="26"/>
      <c r="SNO230" s="23"/>
      <c r="SNT230" s="26"/>
      <c r="SNX230" s="23"/>
      <c r="SOC230" s="26"/>
      <c r="SOG230" s="23"/>
      <c r="SOL230" s="26"/>
      <c r="SOP230" s="23"/>
      <c r="SOU230" s="26"/>
      <c r="SOY230" s="23"/>
      <c r="SPD230" s="26"/>
      <c r="SPH230" s="23"/>
      <c r="SPM230" s="26"/>
      <c r="SPQ230" s="23"/>
      <c r="SPV230" s="26"/>
      <c r="SPZ230" s="23"/>
      <c r="SQE230" s="26"/>
      <c r="SQI230" s="23"/>
      <c r="SQN230" s="26"/>
      <c r="SQR230" s="23"/>
      <c r="SQW230" s="26"/>
      <c r="SRA230" s="23"/>
      <c r="SRF230" s="26"/>
      <c r="SRJ230" s="23"/>
      <c r="SRO230" s="26"/>
      <c r="SRS230" s="23"/>
      <c r="SRX230" s="26"/>
      <c r="SSB230" s="23"/>
      <c r="SSG230" s="26"/>
      <c r="SSK230" s="23"/>
      <c r="SSP230" s="26"/>
      <c r="SST230" s="23"/>
      <c r="SSY230" s="26"/>
      <c r="STC230" s="23"/>
      <c r="STH230" s="26"/>
      <c r="STL230" s="23"/>
      <c r="STQ230" s="26"/>
      <c r="STU230" s="23"/>
      <c r="STZ230" s="26"/>
      <c r="SUD230" s="23"/>
      <c r="SUI230" s="26"/>
      <c r="SUM230" s="23"/>
      <c r="SUR230" s="26"/>
      <c r="SUV230" s="23"/>
      <c r="SVA230" s="26"/>
      <c r="SVE230" s="23"/>
      <c r="SVJ230" s="26"/>
      <c r="SVN230" s="23"/>
      <c r="SVS230" s="26"/>
      <c r="SVW230" s="23"/>
      <c r="SWB230" s="26"/>
      <c r="SWF230" s="23"/>
      <c r="SWK230" s="26"/>
      <c r="SWO230" s="23"/>
      <c r="SWT230" s="26"/>
      <c r="SWX230" s="23"/>
      <c r="SXC230" s="26"/>
      <c r="SXG230" s="23"/>
      <c r="SXL230" s="26"/>
      <c r="SXP230" s="23"/>
      <c r="SXU230" s="26"/>
      <c r="SXY230" s="23"/>
      <c r="SYD230" s="26"/>
      <c r="SYH230" s="23"/>
      <c r="SYM230" s="26"/>
      <c r="SYQ230" s="23"/>
      <c r="SYV230" s="26"/>
      <c r="SYZ230" s="23"/>
      <c r="SZE230" s="26"/>
      <c r="SZI230" s="23"/>
      <c r="SZN230" s="26"/>
      <c r="SZR230" s="23"/>
      <c r="SZW230" s="26"/>
      <c r="TAA230" s="23"/>
      <c r="TAF230" s="26"/>
      <c r="TAJ230" s="23"/>
      <c r="TAO230" s="26"/>
      <c r="TAS230" s="23"/>
      <c r="TAX230" s="26"/>
      <c r="TBB230" s="23"/>
      <c r="TBG230" s="26"/>
      <c r="TBK230" s="23"/>
      <c r="TBP230" s="26"/>
      <c r="TBT230" s="23"/>
      <c r="TBY230" s="26"/>
      <c r="TCC230" s="23"/>
      <c r="TCH230" s="26"/>
      <c r="TCL230" s="23"/>
      <c r="TCQ230" s="26"/>
      <c r="TCU230" s="23"/>
      <c r="TCZ230" s="26"/>
      <c r="TDD230" s="23"/>
      <c r="TDI230" s="26"/>
      <c r="TDM230" s="23"/>
      <c r="TDR230" s="26"/>
      <c r="TDV230" s="23"/>
      <c r="TEA230" s="26"/>
      <c r="TEE230" s="23"/>
      <c r="TEJ230" s="26"/>
      <c r="TEN230" s="23"/>
      <c r="TES230" s="26"/>
      <c r="TEW230" s="23"/>
      <c r="TFB230" s="26"/>
      <c r="TFF230" s="23"/>
      <c r="TFK230" s="26"/>
      <c r="TFO230" s="23"/>
      <c r="TFT230" s="26"/>
      <c r="TFX230" s="23"/>
      <c r="TGC230" s="26"/>
      <c r="TGG230" s="23"/>
      <c r="TGL230" s="26"/>
      <c r="TGP230" s="23"/>
      <c r="TGU230" s="26"/>
      <c r="TGY230" s="23"/>
      <c r="THD230" s="26"/>
      <c r="THH230" s="23"/>
      <c r="THM230" s="26"/>
      <c r="THQ230" s="23"/>
      <c r="THV230" s="26"/>
      <c r="THZ230" s="23"/>
      <c r="TIE230" s="26"/>
      <c r="TII230" s="23"/>
      <c r="TIN230" s="26"/>
      <c r="TIR230" s="23"/>
      <c r="TIW230" s="26"/>
      <c r="TJA230" s="23"/>
      <c r="TJF230" s="26"/>
      <c r="TJJ230" s="23"/>
      <c r="TJO230" s="26"/>
      <c r="TJS230" s="23"/>
      <c r="TJX230" s="26"/>
      <c r="TKB230" s="23"/>
      <c r="TKG230" s="26"/>
      <c r="TKK230" s="23"/>
      <c r="TKP230" s="26"/>
      <c r="TKT230" s="23"/>
      <c r="TKY230" s="26"/>
      <c r="TLC230" s="23"/>
      <c r="TLH230" s="26"/>
      <c r="TLL230" s="23"/>
      <c r="TLQ230" s="26"/>
      <c r="TLU230" s="23"/>
      <c r="TLZ230" s="26"/>
      <c r="TMD230" s="23"/>
      <c r="TMI230" s="26"/>
      <c r="TMM230" s="23"/>
      <c r="TMR230" s="26"/>
      <c r="TMV230" s="23"/>
      <c r="TNA230" s="26"/>
      <c r="TNE230" s="23"/>
      <c r="TNJ230" s="26"/>
      <c r="TNN230" s="23"/>
      <c r="TNS230" s="26"/>
      <c r="TNW230" s="23"/>
      <c r="TOB230" s="26"/>
      <c r="TOF230" s="23"/>
      <c r="TOK230" s="26"/>
      <c r="TOO230" s="23"/>
      <c r="TOT230" s="26"/>
      <c r="TOX230" s="23"/>
      <c r="TPC230" s="26"/>
      <c r="TPG230" s="23"/>
      <c r="TPL230" s="26"/>
      <c r="TPP230" s="23"/>
      <c r="TPU230" s="26"/>
      <c r="TPY230" s="23"/>
      <c r="TQD230" s="26"/>
      <c r="TQH230" s="23"/>
      <c r="TQM230" s="26"/>
      <c r="TQQ230" s="23"/>
      <c r="TQV230" s="26"/>
      <c r="TQZ230" s="23"/>
      <c r="TRE230" s="26"/>
      <c r="TRI230" s="23"/>
      <c r="TRN230" s="26"/>
      <c r="TRR230" s="23"/>
      <c r="TRW230" s="26"/>
      <c r="TSA230" s="23"/>
      <c r="TSF230" s="26"/>
      <c r="TSJ230" s="23"/>
      <c r="TSO230" s="26"/>
      <c r="TSS230" s="23"/>
      <c r="TSX230" s="26"/>
      <c r="TTB230" s="23"/>
      <c r="TTG230" s="26"/>
      <c r="TTK230" s="23"/>
      <c r="TTP230" s="26"/>
      <c r="TTT230" s="23"/>
      <c r="TTY230" s="26"/>
      <c r="TUC230" s="23"/>
      <c r="TUH230" s="26"/>
      <c r="TUL230" s="23"/>
      <c r="TUQ230" s="26"/>
      <c r="TUU230" s="23"/>
      <c r="TUZ230" s="26"/>
      <c r="TVD230" s="23"/>
      <c r="TVI230" s="26"/>
      <c r="TVM230" s="23"/>
      <c r="TVR230" s="26"/>
      <c r="TVV230" s="23"/>
      <c r="TWA230" s="26"/>
      <c r="TWE230" s="23"/>
      <c r="TWJ230" s="26"/>
      <c r="TWN230" s="23"/>
      <c r="TWS230" s="26"/>
      <c r="TWW230" s="23"/>
      <c r="TXB230" s="26"/>
      <c r="TXF230" s="23"/>
      <c r="TXK230" s="26"/>
      <c r="TXO230" s="23"/>
      <c r="TXT230" s="26"/>
      <c r="TXX230" s="23"/>
      <c r="TYC230" s="26"/>
      <c r="TYG230" s="23"/>
      <c r="TYL230" s="26"/>
      <c r="TYP230" s="23"/>
      <c r="TYU230" s="26"/>
      <c r="TYY230" s="23"/>
      <c r="TZD230" s="26"/>
      <c r="TZH230" s="23"/>
      <c r="TZM230" s="26"/>
      <c r="TZQ230" s="23"/>
      <c r="TZV230" s="26"/>
      <c r="TZZ230" s="23"/>
      <c r="UAE230" s="26"/>
      <c r="UAI230" s="23"/>
      <c r="UAN230" s="26"/>
      <c r="UAR230" s="23"/>
      <c r="UAW230" s="26"/>
      <c r="UBA230" s="23"/>
      <c r="UBF230" s="26"/>
      <c r="UBJ230" s="23"/>
      <c r="UBO230" s="26"/>
      <c r="UBS230" s="23"/>
      <c r="UBX230" s="26"/>
      <c r="UCB230" s="23"/>
      <c r="UCG230" s="26"/>
      <c r="UCK230" s="23"/>
      <c r="UCP230" s="26"/>
      <c r="UCT230" s="23"/>
      <c r="UCY230" s="26"/>
      <c r="UDC230" s="23"/>
      <c r="UDH230" s="26"/>
      <c r="UDL230" s="23"/>
      <c r="UDQ230" s="26"/>
      <c r="UDU230" s="23"/>
      <c r="UDZ230" s="26"/>
      <c r="UED230" s="23"/>
      <c r="UEI230" s="26"/>
      <c r="UEM230" s="23"/>
      <c r="UER230" s="26"/>
      <c r="UEV230" s="23"/>
      <c r="UFA230" s="26"/>
      <c r="UFE230" s="23"/>
      <c r="UFJ230" s="26"/>
      <c r="UFN230" s="23"/>
      <c r="UFS230" s="26"/>
      <c r="UFW230" s="23"/>
      <c r="UGB230" s="26"/>
      <c r="UGF230" s="23"/>
      <c r="UGK230" s="26"/>
      <c r="UGO230" s="23"/>
      <c r="UGT230" s="26"/>
      <c r="UGX230" s="23"/>
      <c r="UHC230" s="26"/>
      <c r="UHG230" s="23"/>
      <c r="UHL230" s="26"/>
      <c r="UHP230" s="23"/>
      <c r="UHU230" s="26"/>
      <c r="UHY230" s="23"/>
      <c r="UID230" s="26"/>
      <c r="UIH230" s="23"/>
      <c r="UIM230" s="26"/>
      <c r="UIQ230" s="23"/>
      <c r="UIV230" s="26"/>
      <c r="UIZ230" s="23"/>
      <c r="UJE230" s="26"/>
      <c r="UJI230" s="23"/>
      <c r="UJN230" s="26"/>
      <c r="UJR230" s="23"/>
      <c r="UJW230" s="26"/>
      <c r="UKA230" s="23"/>
      <c r="UKF230" s="26"/>
      <c r="UKJ230" s="23"/>
      <c r="UKO230" s="26"/>
      <c r="UKS230" s="23"/>
      <c r="UKX230" s="26"/>
      <c r="ULB230" s="23"/>
      <c r="ULG230" s="26"/>
      <c r="ULK230" s="23"/>
      <c r="ULP230" s="26"/>
      <c r="ULT230" s="23"/>
      <c r="ULY230" s="26"/>
      <c r="UMC230" s="23"/>
      <c r="UMH230" s="26"/>
      <c r="UML230" s="23"/>
      <c r="UMQ230" s="26"/>
      <c r="UMU230" s="23"/>
      <c r="UMZ230" s="26"/>
      <c r="UND230" s="23"/>
      <c r="UNI230" s="26"/>
      <c r="UNM230" s="23"/>
      <c r="UNR230" s="26"/>
      <c r="UNV230" s="23"/>
      <c r="UOA230" s="26"/>
      <c r="UOE230" s="23"/>
      <c r="UOJ230" s="26"/>
      <c r="UON230" s="23"/>
      <c r="UOS230" s="26"/>
      <c r="UOW230" s="23"/>
      <c r="UPB230" s="26"/>
      <c r="UPF230" s="23"/>
      <c r="UPK230" s="26"/>
      <c r="UPO230" s="23"/>
      <c r="UPT230" s="26"/>
      <c r="UPX230" s="23"/>
      <c r="UQC230" s="26"/>
      <c r="UQG230" s="23"/>
      <c r="UQL230" s="26"/>
      <c r="UQP230" s="23"/>
      <c r="UQU230" s="26"/>
      <c r="UQY230" s="23"/>
      <c r="URD230" s="26"/>
      <c r="URH230" s="23"/>
      <c r="URM230" s="26"/>
      <c r="URQ230" s="23"/>
      <c r="URV230" s="26"/>
      <c r="URZ230" s="23"/>
      <c r="USE230" s="26"/>
      <c r="USI230" s="23"/>
      <c r="USN230" s="26"/>
      <c r="USR230" s="23"/>
      <c r="USW230" s="26"/>
      <c r="UTA230" s="23"/>
      <c r="UTF230" s="26"/>
      <c r="UTJ230" s="23"/>
      <c r="UTO230" s="26"/>
      <c r="UTS230" s="23"/>
      <c r="UTX230" s="26"/>
      <c r="UUB230" s="23"/>
      <c r="UUG230" s="26"/>
      <c r="UUK230" s="23"/>
      <c r="UUP230" s="26"/>
      <c r="UUT230" s="23"/>
      <c r="UUY230" s="26"/>
      <c r="UVC230" s="23"/>
      <c r="UVH230" s="26"/>
      <c r="UVL230" s="23"/>
      <c r="UVQ230" s="26"/>
      <c r="UVU230" s="23"/>
      <c r="UVZ230" s="26"/>
      <c r="UWD230" s="23"/>
      <c r="UWI230" s="26"/>
      <c r="UWM230" s="23"/>
      <c r="UWR230" s="26"/>
      <c r="UWV230" s="23"/>
      <c r="UXA230" s="26"/>
      <c r="UXE230" s="23"/>
      <c r="UXJ230" s="26"/>
      <c r="UXN230" s="23"/>
      <c r="UXS230" s="26"/>
      <c r="UXW230" s="23"/>
      <c r="UYB230" s="26"/>
      <c r="UYF230" s="23"/>
      <c r="UYK230" s="26"/>
      <c r="UYO230" s="23"/>
      <c r="UYT230" s="26"/>
      <c r="UYX230" s="23"/>
      <c r="UZC230" s="26"/>
      <c r="UZG230" s="23"/>
      <c r="UZL230" s="26"/>
      <c r="UZP230" s="23"/>
      <c r="UZU230" s="26"/>
      <c r="UZY230" s="23"/>
      <c r="VAD230" s="26"/>
      <c r="VAH230" s="23"/>
      <c r="VAM230" s="26"/>
      <c r="VAQ230" s="23"/>
      <c r="VAV230" s="26"/>
      <c r="VAZ230" s="23"/>
      <c r="VBE230" s="26"/>
      <c r="VBI230" s="23"/>
      <c r="VBN230" s="26"/>
      <c r="VBR230" s="23"/>
      <c r="VBW230" s="26"/>
      <c r="VCA230" s="23"/>
      <c r="VCF230" s="26"/>
      <c r="VCJ230" s="23"/>
      <c r="VCO230" s="26"/>
      <c r="VCS230" s="23"/>
      <c r="VCX230" s="26"/>
      <c r="VDB230" s="23"/>
      <c r="VDG230" s="26"/>
      <c r="VDK230" s="23"/>
      <c r="VDP230" s="26"/>
      <c r="VDT230" s="23"/>
      <c r="VDY230" s="26"/>
      <c r="VEC230" s="23"/>
      <c r="VEH230" s="26"/>
      <c r="VEL230" s="23"/>
      <c r="VEQ230" s="26"/>
      <c r="VEU230" s="23"/>
      <c r="VEZ230" s="26"/>
      <c r="VFD230" s="23"/>
      <c r="VFI230" s="26"/>
      <c r="VFM230" s="23"/>
      <c r="VFR230" s="26"/>
      <c r="VFV230" s="23"/>
      <c r="VGA230" s="26"/>
      <c r="VGE230" s="23"/>
      <c r="VGJ230" s="26"/>
      <c r="VGN230" s="23"/>
      <c r="VGS230" s="26"/>
      <c r="VGW230" s="23"/>
      <c r="VHB230" s="26"/>
      <c r="VHF230" s="23"/>
      <c r="VHK230" s="26"/>
      <c r="VHO230" s="23"/>
      <c r="VHT230" s="26"/>
      <c r="VHX230" s="23"/>
      <c r="VIC230" s="26"/>
      <c r="VIG230" s="23"/>
      <c r="VIL230" s="26"/>
      <c r="VIP230" s="23"/>
      <c r="VIU230" s="26"/>
      <c r="VIY230" s="23"/>
      <c r="VJD230" s="26"/>
      <c r="VJH230" s="23"/>
      <c r="VJM230" s="26"/>
      <c r="VJQ230" s="23"/>
      <c r="VJV230" s="26"/>
      <c r="VJZ230" s="23"/>
      <c r="VKE230" s="26"/>
      <c r="VKI230" s="23"/>
      <c r="VKN230" s="26"/>
      <c r="VKR230" s="23"/>
      <c r="VKW230" s="26"/>
      <c r="VLA230" s="23"/>
      <c r="VLF230" s="26"/>
      <c r="VLJ230" s="23"/>
      <c r="VLO230" s="26"/>
      <c r="VLS230" s="23"/>
      <c r="VLX230" s="26"/>
      <c r="VMB230" s="23"/>
      <c r="VMG230" s="26"/>
      <c r="VMK230" s="23"/>
      <c r="VMP230" s="26"/>
      <c r="VMT230" s="23"/>
      <c r="VMY230" s="26"/>
      <c r="VNC230" s="23"/>
      <c r="VNH230" s="26"/>
      <c r="VNL230" s="23"/>
      <c r="VNQ230" s="26"/>
      <c r="VNU230" s="23"/>
      <c r="VNZ230" s="26"/>
      <c r="VOD230" s="23"/>
      <c r="VOI230" s="26"/>
      <c r="VOM230" s="23"/>
      <c r="VOR230" s="26"/>
      <c r="VOV230" s="23"/>
      <c r="VPA230" s="26"/>
      <c r="VPE230" s="23"/>
      <c r="VPJ230" s="26"/>
      <c r="VPN230" s="23"/>
      <c r="VPS230" s="26"/>
      <c r="VPW230" s="23"/>
      <c r="VQB230" s="26"/>
      <c r="VQF230" s="23"/>
      <c r="VQK230" s="26"/>
      <c r="VQO230" s="23"/>
      <c r="VQT230" s="26"/>
      <c r="VQX230" s="23"/>
      <c r="VRC230" s="26"/>
      <c r="VRG230" s="23"/>
      <c r="VRL230" s="26"/>
      <c r="VRP230" s="23"/>
      <c r="VRU230" s="26"/>
      <c r="VRY230" s="23"/>
      <c r="VSD230" s="26"/>
      <c r="VSH230" s="23"/>
      <c r="VSM230" s="26"/>
      <c r="VSQ230" s="23"/>
      <c r="VSV230" s="26"/>
      <c r="VSZ230" s="23"/>
      <c r="VTE230" s="26"/>
      <c r="VTI230" s="23"/>
      <c r="VTN230" s="26"/>
      <c r="VTR230" s="23"/>
      <c r="VTW230" s="26"/>
      <c r="VUA230" s="23"/>
      <c r="VUF230" s="26"/>
      <c r="VUJ230" s="23"/>
      <c r="VUO230" s="26"/>
      <c r="VUS230" s="23"/>
      <c r="VUX230" s="26"/>
      <c r="VVB230" s="23"/>
      <c r="VVG230" s="26"/>
      <c r="VVK230" s="23"/>
      <c r="VVP230" s="26"/>
      <c r="VVT230" s="23"/>
      <c r="VVY230" s="26"/>
      <c r="VWC230" s="23"/>
      <c r="VWH230" s="26"/>
      <c r="VWL230" s="23"/>
      <c r="VWQ230" s="26"/>
      <c r="VWU230" s="23"/>
      <c r="VWZ230" s="26"/>
      <c r="VXD230" s="23"/>
      <c r="VXI230" s="26"/>
      <c r="VXM230" s="23"/>
      <c r="VXR230" s="26"/>
      <c r="VXV230" s="23"/>
      <c r="VYA230" s="26"/>
      <c r="VYE230" s="23"/>
      <c r="VYJ230" s="26"/>
      <c r="VYN230" s="23"/>
      <c r="VYS230" s="26"/>
      <c r="VYW230" s="23"/>
      <c r="VZB230" s="26"/>
      <c r="VZF230" s="23"/>
      <c r="VZK230" s="26"/>
      <c r="VZO230" s="23"/>
      <c r="VZT230" s="26"/>
      <c r="VZX230" s="23"/>
      <c r="WAC230" s="26"/>
      <c r="WAG230" s="23"/>
      <c r="WAL230" s="26"/>
      <c r="WAP230" s="23"/>
      <c r="WAU230" s="26"/>
      <c r="WAY230" s="23"/>
      <c r="WBD230" s="26"/>
      <c r="WBH230" s="23"/>
      <c r="WBM230" s="26"/>
      <c r="WBQ230" s="23"/>
      <c r="WBV230" s="26"/>
      <c r="WBZ230" s="23"/>
      <c r="WCE230" s="26"/>
      <c r="WCI230" s="23"/>
      <c r="WCN230" s="26"/>
      <c r="WCR230" s="23"/>
      <c r="WCW230" s="26"/>
      <c r="WDA230" s="23"/>
      <c r="WDF230" s="26"/>
      <c r="WDJ230" s="23"/>
      <c r="WDO230" s="26"/>
      <c r="WDS230" s="23"/>
      <c r="WDX230" s="26"/>
      <c r="WEB230" s="23"/>
      <c r="WEG230" s="26"/>
      <c r="WEK230" s="23"/>
      <c r="WEP230" s="26"/>
      <c r="WET230" s="23"/>
      <c r="WEY230" s="26"/>
      <c r="WFC230" s="23"/>
      <c r="WFH230" s="26"/>
      <c r="WFL230" s="23"/>
      <c r="WFQ230" s="26"/>
      <c r="WFU230" s="23"/>
      <c r="WFZ230" s="26"/>
      <c r="WGD230" s="23"/>
      <c r="WGI230" s="26"/>
      <c r="WGM230" s="23"/>
      <c r="WGR230" s="26"/>
      <c r="WGV230" s="23"/>
      <c r="WHA230" s="26"/>
      <c r="WHE230" s="23"/>
      <c r="WHJ230" s="26"/>
      <c r="WHN230" s="23"/>
      <c r="WHS230" s="26"/>
      <c r="WHW230" s="23"/>
      <c r="WIB230" s="26"/>
      <c r="WIF230" s="23"/>
      <c r="WIK230" s="26"/>
      <c r="WIO230" s="23"/>
      <c r="WIT230" s="26"/>
      <c r="WIX230" s="23"/>
      <c r="WJC230" s="26"/>
      <c r="WJG230" s="23"/>
      <c r="WJL230" s="26"/>
      <c r="WJP230" s="23"/>
      <c r="WJU230" s="26"/>
      <c r="WJY230" s="23"/>
      <c r="WKD230" s="26"/>
      <c r="WKH230" s="23"/>
      <c r="WKM230" s="26"/>
      <c r="WKQ230" s="23"/>
      <c r="WKV230" s="26"/>
      <c r="WKZ230" s="23"/>
      <c r="WLE230" s="26"/>
      <c r="WLI230" s="23"/>
      <c r="WLN230" s="26"/>
      <c r="WLR230" s="23"/>
      <c r="WLW230" s="26"/>
      <c r="WMA230" s="23"/>
      <c r="WMF230" s="26"/>
      <c r="WMJ230" s="23"/>
      <c r="WMO230" s="26"/>
      <c r="WMS230" s="23"/>
      <c r="WMX230" s="26"/>
      <c r="WNB230" s="23"/>
      <c r="WNG230" s="26"/>
      <c r="WNK230" s="23"/>
      <c r="WNP230" s="26"/>
      <c r="WNT230" s="23"/>
      <c r="WNY230" s="26"/>
      <c r="WOC230" s="23"/>
      <c r="WOH230" s="26"/>
      <c r="WOL230" s="23"/>
      <c r="WOQ230" s="26"/>
      <c r="WOU230" s="23"/>
      <c r="WOZ230" s="26"/>
      <c r="WPD230" s="23"/>
      <c r="WPI230" s="26"/>
      <c r="WPM230" s="23"/>
      <c r="WPR230" s="26"/>
      <c r="WPV230" s="23"/>
      <c r="WQA230" s="26"/>
      <c r="WQE230" s="23"/>
      <c r="WQJ230" s="26"/>
      <c r="WQN230" s="23"/>
      <c r="WQS230" s="26"/>
      <c r="WQW230" s="23"/>
      <c r="WRB230" s="26"/>
      <c r="WRF230" s="23"/>
      <c r="WRK230" s="26"/>
      <c r="WRO230" s="23"/>
      <c r="WRT230" s="26"/>
      <c r="WRX230" s="23"/>
      <c r="WSC230" s="26"/>
      <c r="WSG230" s="23"/>
      <c r="WSL230" s="26"/>
      <c r="WSP230" s="23"/>
      <c r="WSU230" s="26"/>
      <c r="WSY230" s="23"/>
      <c r="WTD230" s="26"/>
      <c r="WTH230" s="23"/>
      <c r="WTM230" s="26"/>
      <c r="WTQ230" s="23"/>
      <c r="WTV230" s="26"/>
      <c r="WTZ230" s="23"/>
      <c r="WUE230" s="26"/>
      <c r="WUI230" s="23"/>
      <c r="WUN230" s="26"/>
      <c r="WUR230" s="23"/>
      <c r="WUW230" s="26"/>
      <c r="WVA230" s="23"/>
      <c r="WVF230" s="26"/>
      <c r="WVJ230" s="23"/>
      <c r="WVO230" s="26"/>
      <c r="WVS230" s="23"/>
      <c r="WVX230" s="26"/>
      <c r="WWB230" s="23"/>
      <c r="WWG230" s="26"/>
      <c r="WWK230" s="23"/>
      <c r="WWP230" s="26"/>
      <c r="WWT230" s="23"/>
      <c r="WWY230" s="26"/>
      <c r="WXC230" s="23"/>
      <c r="WXH230" s="26"/>
      <c r="WXL230" s="23"/>
      <c r="WXQ230" s="26"/>
      <c r="WXU230" s="23"/>
      <c r="WXZ230" s="26"/>
      <c r="WYD230" s="23"/>
      <c r="WYI230" s="26"/>
      <c r="WYM230" s="23"/>
      <c r="WYR230" s="26"/>
      <c r="WYV230" s="23"/>
      <c r="WZA230" s="26"/>
      <c r="WZE230" s="23"/>
      <c r="WZJ230" s="26"/>
      <c r="WZN230" s="23"/>
      <c r="WZS230" s="26"/>
      <c r="WZW230" s="23"/>
      <c r="XAB230" s="26"/>
      <c r="XAF230" s="23"/>
      <c r="XAK230" s="26"/>
      <c r="XAO230" s="23"/>
      <c r="XAT230" s="26"/>
      <c r="XAX230" s="23"/>
      <c r="XBC230" s="26"/>
      <c r="XBG230" s="23"/>
      <c r="XBL230" s="26"/>
      <c r="XBP230" s="23"/>
      <c r="XBU230" s="26"/>
      <c r="XBY230" s="23"/>
      <c r="XCD230" s="26"/>
      <c r="XCH230" s="23"/>
      <c r="XCM230" s="26"/>
      <c r="XCQ230" s="23"/>
      <c r="XCV230" s="26"/>
      <c r="XCZ230" s="23"/>
      <c r="XDE230" s="26"/>
      <c r="XDI230" s="23"/>
      <c r="XDN230" s="26"/>
      <c r="XDR230" s="23"/>
      <c r="XDW230" s="26"/>
      <c r="XEA230" s="23"/>
      <c r="XEF230" s="26"/>
      <c r="XEJ230" s="23"/>
      <c r="XEO230" s="26"/>
      <c r="XES230" s="23"/>
      <c r="XEX230" s="26"/>
      <c r="XFB230" s="23"/>
    </row>
    <row r="231" spans="2:1024 1028:2045 2050:3071 3076:4093 4097:5119 5123:6140 6145:7166 7171:8192 8197:9214 9218:10240 10244:11261 11266:12287 12292:13309 13313:14335 14339:15356 15361:16382" x14ac:dyDescent="0.3">
      <c r="B231" s="23"/>
      <c r="K231" s="23"/>
      <c r="P231" s="26"/>
      <c r="T231" s="23"/>
      <c r="Y231" s="26"/>
      <c r="AC231" s="23"/>
      <c r="AH231" s="26"/>
      <c r="AL231" s="23"/>
      <c r="AQ231" s="26"/>
      <c r="AU231" s="23"/>
      <c r="AZ231" s="26"/>
      <c r="BD231" s="23"/>
      <c r="BI231" s="26"/>
      <c r="BM231" s="23"/>
      <c r="BR231" s="26"/>
      <c r="BV231" s="23"/>
      <c r="CA231" s="26"/>
      <c r="CE231" s="23"/>
      <c r="CJ231" s="26"/>
      <c r="CN231" s="23"/>
      <c r="CS231" s="26"/>
      <c r="CW231" s="23"/>
      <c r="DB231" s="26"/>
      <c r="DF231" s="23"/>
      <c r="DK231" s="26"/>
      <c r="DO231" s="23"/>
      <c r="DT231" s="26"/>
      <c r="DX231" s="23"/>
      <c r="EC231" s="26"/>
      <c r="EG231" s="23"/>
      <c r="EL231" s="26"/>
      <c r="EP231" s="23"/>
      <c r="EU231" s="26"/>
      <c r="EY231" s="23"/>
      <c r="FD231" s="26"/>
      <c r="FH231" s="23"/>
      <c r="FM231" s="26"/>
      <c r="FQ231" s="23"/>
      <c r="FV231" s="26"/>
      <c r="FZ231" s="23"/>
      <c r="GE231" s="26"/>
      <c r="GI231" s="23"/>
      <c r="GN231" s="26"/>
      <c r="GR231" s="23"/>
      <c r="GW231" s="26"/>
      <c r="HA231" s="23"/>
      <c r="HF231" s="26"/>
      <c r="HJ231" s="23"/>
      <c r="HO231" s="26"/>
      <c r="HS231" s="23"/>
      <c r="HX231" s="26"/>
      <c r="IB231" s="23"/>
      <c r="IG231" s="26"/>
      <c r="IK231" s="23"/>
      <c r="IP231" s="26"/>
      <c r="IT231" s="23"/>
      <c r="IY231" s="26"/>
      <c r="JC231" s="23"/>
      <c r="JH231" s="26"/>
      <c r="JL231" s="23"/>
      <c r="JQ231" s="26"/>
      <c r="JU231" s="23"/>
      <c r="JZ231" s="26"/>
      <c r="KD231" s="23"/>
      <c r="KI231" s="26"/>
      <c r="KM231" s="23"/>
      <c r="KR231" s="26"/>
      <c r="KV231" s="23"/>
      <c r="LA231" s="26"/>
      <c r="LE231" s="23"/>
      <c r="LJ231" s="26"/>
      <c r="LN231" s="23"/>
      <c r="LS231" s="26"/>
      <c r="LW231" s="23"/>
      <c r="MB231" s="26"/>
      <c r="MF231" s="23"/>
      <c r="MK231" s="26"/>
      <c r="MO231" s="23"/>
      <c r="MT231" s="26"/>
      <c r="MX231" s="23"/>
      <c r="NC231" s="26"/>
      <c r="NG231" s="23"/>
      <c r="NL231" s="26"/>
      <c r="NP231" s="23"/>
      <c r="NU231" s="26"/>
      <c r="NY231" s="23"/>
      <c r="OD231" s="26"/>
      <c r="OH231" s="23"/>
      <c r="OM231" s="26"/>
      <c r="OQ231" s="23"/>
      <c r="OV231" s="26"/>
      <c r="OZ231" s="23"/>
      <c r="PE231" s="26"/>
      <c r="PI231" s="23"/>
      <c r="PN231" s="26"/>
      <c r="PR231" s="23"/>
      <c r="PW231" s="26"/>
      <c r="QA231" s="23"/>
      <c r="QF231" s="26"/>
      <c r="QJ231" s="23"/>
      <c r="QO231" s="26"/>
      <c r="QS231" s="23"/>
      <c r="QX231" s="26"/>
      <c r="RB231" s="23"/>
      <c r="RG231" s="26"/>
      <c r="RK231" s="23"/>
      <c r="RP231" s="26"/>
      <c r="RT231" s="23"/>
      <c r="RY231" s="26"/>
      <c r="SC231" s="23"/>
      <c r="SH231" s="26"/>
      <c r="SL231" s="23"/>
      <c r="SQ231" s="26"/>
      <c r="SU231" s="23"/>
      <c r="SZ231" s="26"/>
      <c r="TD231" s="23"/>
      <c r="TI231" s="26"/>
      <c r="TM231" s="23"/>
      <c r="TR231" s="26"/>
      <c r="TV231" s="23"/>
      <c r="UA231" s="26"/>
      <c r="UE231" s="23"/>
      <c r="UJ231" s="26"/>
      <c r="UN231" s="23"/>
      <c r="US231" s="26"/>
      <c r="UW231" s="23"/>
      <c r="VB231" s="26"/>
      <c r="VF231" s="23"/>
      <c r="VK231" s="26"/>
      <c r="VO231" s="23"/>
      <c r="VT231" s="26"/>
      <c r="VX231" s="23"/>
      <c r="WC231" s="26"/>
      <c r="WG231" s="23"/>
      <c r="WL231" s="26"/>
      <c r="WP231" s="23"/>
      <c r="WU231" s="26"/>
      <c r="WY231" s="23"/>
      <c r="XD231" s="26"/>
      <c r="XH231" s="23"/>
      <c r="XM231" s="26"/>
      <c r="XQ231" s="23"/>
      <c r="XV231" s="26"/>
      <c r="XZ231" s="23"/>
      <c r="YE231" s="26"/>
      <c r="YI231" s="23"/>
      <c r="YN231" s="26"/>
      <c r="YR231" s="23"/>
      <c r="YW231" s="26"/>
      <c r="ZA231" s="23"/>
      <c r="ZF231" s="26"/>
      <c r="ZJ231" s="23"/>
      <c r="ZO231" s="26"/>
      <c r="ZS231" s="23"/>
      <c r="ZX231" s="26"/>
      <c r="AAB231" s="23"/>
      <c r="AAG231" s="26"/>
      <c r="AAK231" s="23"/>
      <c r="AAP231" s="26"/>
      <c r="AAT231" s="23"/>
      <c r="AAY231" s="26"/>
      <c r="ABC231" s="23"/>
      <c r="ABH231" s="26"/>
      <c r="ABL231" s="23"/>
      <c r="ABQ231" s="26"/>
      <c r="ABU231" s="23"/>
      <c r="ABZ231" s="26"/>
      <c r="ACD231" s="23"/>
      <c r="ACI231" s="26"/>
      <c r="ACM231" s="23"/>
      <c r="ACR231" s="26"/>
      <c r="ACV231" s="23"/>
      <c r="ADA231" s="26"/>
      <c r="ADE231" s="23"/>
      <c r="ADJ231" s="26"/>
      <c r="ADN231" s="23"/>
      <c r="ADS231" s="26"/>
      <c r="ADW231" s="23"/>
      <c r="AEB231" s="26"/>
      <c r="AEF231" s="23"/>
      <c r="AEK231" s="26"/>
      <c r="AEO231" s="23"/>
      <c r="AET231" s="26"/>
      <c r="AEX231" s="23"/>
      <c r="AFC231" s="26"/>
      <c r="AFG231" s="23"/>
      <c r="AFL231" s="26"/>
      <c r="AFP231" s="23"/>
      <c r="AFU231" s="26"/>
      <c r="AFY231" s="23"/>
      <c r="AGD231" s="26"/>
      <c r="AGH231" s="23"/>
      <c r="AGM231" s="26"/>
      <c r="AGQ231" s="23"/>
      <c r="AGV231" s="26"/>
      <c r="AGZ231" s="23"/>
      <c r="AHE231" s="26"/>
      <c r="AHI231" s="23"/>
      <c r="AHN231" s="26"/>
      <c r="AHR231" s="23"/>
      <c r="AHW231" s="26"/>
      <c r="AIA231" s="23"/>
      <c r="AIF231" s="26"/>
      <c r="AIJ231" s="23"/>
      <c r="AIO231" s="26"/>
      <c r="AIS231" s="23"/>
      <c r="AIX231" s="26"/>
      <c r="AJB231" s="23"/>
      <c r="AJG231" s="26"/>
      <c r="AJK231" s="23"/>
      <c r="AJP231" s="26"/>
      <c r="AJT231" s="23"/>
      <c r="AJY231" s="26"/>
      <c r="AKC231" s="23"/>
      <c r="AKH231" s="26"/>
      <c r="AKL231" s="23"/>
      <c r="AKQ231" s="26"/>
      <c r="AKU231" s="23"/>
      <c r="AKZ231" s="26"/>
      <c r="ALD231" s="23"/>
      <c r="ALI231" s="26"/>
      <c r="ALM231" s="23"/>
      <c r="ALR231" s="26"/>
      <c r="ALV231" s="23"/>
      <c r="AMA231" s="26"/>
      <c r="AME231" s="23"/>
      <c r="AMJ231" s="26"/>
      <c r="AMN231" s="23"/>
      <c r="AMS231" s="26"/>
      <c r="AMW231" s="23"/>
      <c r="ANB231" s="26"/>
      <c r="ANF231" s="23"/>
      <c r="ANK231" s="26"/>
      <c r="ANO231" s="23"/>
      <c r="ANT231" s="26"/>
      <c r="ANX231" s="23"/>
      <c r="AOC231" s="26"/>
      <c r="AOG231" s="23"/>
      <c r="AOL231" s="26"/>
      <c r="AOP231" s="23"/>
      <c r="AOU231" s="26"/>
      <c r="AOY231" s="23"/>
      <c r="APD231" s="26"/>
      <c r="APH231" s="23"/>
      <c r="APM231" s="26"/>
      <c r="APQ231" s="23"/>
      <c r="APV231" s="26"/>
      <c r="APZ231" s="23"/>
      <c r="AQE231" s="26"/>
      <c r="AQI231" s="23"/>
      <c r="AQN231" s="26"/>
      <c r="AQR231" s="23"/>
      <c r="AQW231" s="26"/>
      <c r="ARA231" s="23"/>
      <c r="ARF231" s="26"/>
      <c r="ARJ231" s="23"/>
      <c r="ARO231" s="26"/>
      <c r="ARS231" s="23"/>
      <c r="ARX231" s="26"/>
      <c r="ASB231" s="23"/>
      <c r="ASG231" s="26"/>
      <c r="ASK231" s="23"/>
      <c r="ASP231" s="26"/>
      <c r="AST231" s="23"/>
      <c r="ASY231" s="26"/>
      <c r="ATC231" s="23"/>
      <c r="ATH231" s="26"/>
      <c r="ATL231" s="23"/>
      <c r="ATQ231" s="26"/>
      <c r="ATU231" s="23"/>
      <c r="ATZ231" s="26"/>
      <c r="AUD231" s="23"/>
      <c r="AUI231" s="26"/>
      <c r="AUM231" s="23"/>
      <c r="AUR231" s="26"/>
      <c r="AUV231" s="23"/>
      <c r="AVA231" s="26"/>
      <c r="AVE231" s="23"/>
      <c r="AVJ231" s="26"/>
      <c r="AVN231" s="23"/>
      <c r="AVS231" s="26"/>
      <c r="AVW231" s="23"/>
      <c r="AWB231" s="26"/>
      <c r="AWF231" s="23"/>
      <c r="AWK231" s="26"/>
      <c r="AWO231" s="23"/>
      <c r="AWT231" s="26"/>
      <c r="AWX231" s="23"/>
      <c r="AXC231" s="26"/>
      <c r="AXG231" s="23"/>
      <c r="AXL231" s="26"/>
      <c r="AXP231" s="23"/>
      <c r="AXU231" s="26"/>
      <c r="AXY231" s="23"/>
      <c r="AYD231" s="26"/>
      <c r="AYH231" s="23"/>
      <c r="AYM231" s="26"/>
      <c r="AYQ231" s="23"/>
      <c r="AYV231" s="26"/>
      <c r="AYZ231" s="23"/>
      <c r="AZE231" s="26"/>
      <c r="AZI231" s="23"/>
      <c r="AZN231" s="26"/>
      <c r="AZR231" s="23"/>
      <c r="AZW231" s="26"/>
      <c r="BAA231" s="23"/>
      <c r="BAF231" s="26"/>
      <c r="BAJ231" s="23"/>
      <c r="BAO231" s="26"/>
      <c r="BAS231" s="23"/>
      <c r="BAX231" s="26"/>
      <c r="BBB231" s="23"/>
      <c r="BBG231" s="26"/>
      <c r="BBK231" s="23"/>
      <c r="BBP231" s="26"/>
      <c r="BBT231" s="23"/>
      <c r="BBY231" s="26"/>
      <c r="BCC231" s="23"/>
      <c r="BCH231" s="26"/>
      <c r="BCL231" s="23"/>
      <c r="BCQ231" s="26"/>
      <c r="BCU231" s="23"/>
      <c r="BCZ231" s="26"/>
      <c r="BDD231" s="23"/>
      <c r="BDI231" s="26"/>
      <c r="BDM231" s="23"/>
      <c r="BDR231" s="26"/>
      <c r="BDV231" s="23"/>
      <c r="BEA231" s="26"/>
      <c r="BEE231" s="23"/>
      <c r="BEJ231" s="26"/>
      <c r="BEN231" s="23"/>
      <c r="BES231" s="26"/>
      <c r="BEW231" s="23"/>
      <c r="BFB231" s="26"/>
      <c r="BFF231" s="23"/>
      <c r="BFK231" s="26"/>
      <c r="BFO231" s="23"/>
      <c r="BFT231" s="26"/>
      <c r="BFX231" s="23"/>
      <c r="BGC231" s="26"/>
      <c r="BGG231" s="23"/>
      <c r="BGL231" s="26"/>
      <c r="BGP231" s="23"/>
      <c r="BGU231" s="26"/>
      <c r="BGY231" s="23"/>
      <c r="BHD231" s="26"/>
      <c r="BHH231" s="23"/>
      <c r="BHM231" s="26"/>
      <c r="BHQ231" s="23"/>
      <c r="BHV231" s="26"/>
      <c r="BHZ231" s="23"/>
      <c r="BIE231" s="26"/>
      <c r="BII231" s="23"/>
      <c r="BIN231" s="26"/>
      <c r="BIR231" s="23"/>
      <c r="BIW231" s="26"/>
      <c r="BJA231" s="23"/>
      <c r="BJF231" s="26"/>
      <c r="BJJ231" s="23"/>
      <c r="BJO231" s="26"/>
      <c r="BJS231" s="23"/>
      <c r="BJX231" s="26"/>
      <c r="BKB231" s="23"/>
      <c r="BKG231" s="26"/>
      <c r="BKK231" s="23"/>
      <c r="BKP231" s="26"/>
      <c r="BKT231" s="23"/>
      <c r="BKY231" s="26"/>
      <c r="BLC231" s="23"/>
      <c r="BLH231" s="26"/>
      <c r="BLL231" s="23"/>
      <c r="BLQ231" s="26"/>
      <c r="BLU231" s="23"/>
      <c r="BLZ231" s="26"/>
      <c r="BMD231" s="23"/>
      <c r="BMI231" s="26"/>
      <c r="BMM231" s="23"/>
      <c r="BMR231" s="26"/>
      <c r="BMV231" s="23"/>
      <c r="BNA231" s="26"/>
      <c r="BNE231" s="23"/>
      <c r="BNJ231" s="26"/>
      <c r="BNN231" s="23"/>
      <c r="BNS231" s="26"/>
      <c r="BNW231" s="23"/>
      <c r="BOB231" s="26"/>
      <c r="BOF231" s="23"/>
      <c r="BOK231" s="26"/>
      <c r="BOO231" s="23"/>
      <c r="BOT231" s="26"/>
      <c r="BOX231" s="23"/>
      <c r="BPC231" s="26"/>
      <c r="BPG231" s="23"/>
      <c r="BPL231" s="26"/>
      <c r="BPP231" s="23"/>
      <c r="BPU231" s="26"/>
      <c r="BPY231" s="23"/>
      <c r="BQD231" s="26"/>
      <c r="BQH231" s="23"/>
      <c r="BQM231" s="26"/>
      <c r="BQQ231" s="23"/>
      <c r="BQV231" s="26"/>
      <c r="BQZ231" s="23"/>
      <c r="BRE231" s="26"/>
      <c r="BRI231" s="23"/>
      <c r="BRN231" s="26"/>
      <c r="BRR231" s="23"/>
      <c r="BRW231" s="26"/>
      <c r="BSA231" s="23"/>
      <c r="BSF231" s="26"/>
      <c r="BSJ231" s="23"/>
      <c r="BSO231" s="26"/>
      <c r="BSS231" s="23"/>
      <c r="BSX231" s="26"/>
      <c r="BTB231" s="23"/>
      <c r="BTG231" s="26"/>
      <c r="BTK231" s="23"/>
      <c r="BTP231" s="26"/>
      <c r="BTT231" s="23"/>
      <c r="BTY231" s="26"/>
      <c r="BUC231" s="23"/>
      <c r="BUH231" s="26"/>
      <c r="BUL231" s="23"/>
      <c r="BUQ231" s="26"/>
      <c r="BUU231" s="23"/>
      <c r="BUZ231" s="26"/>
      <c r="BVD231" s="23"/>
      <c r="BVI231" s="26"/>
      <c r="BVM231" s="23"/>
      <c r="BVR231" s="26"/>
      <c r="BVV231" s="23"/>
      <c r="BWA231" s="26"/>
      <c r="BWE231" s="23"/>
      <c r="BWJ231" s="26"/>
      <c r="BWN231" s="23"/>
      <c r="BWS231" s="26"/>
      <c r="BWW231" s="23"/>
      <c r="BXB231" s="26"/>
      <c r="BXF231" s="23"/>
      <c r="BXK231" s="26"/>
      <c r="BXO231" s="23"/>
      <c r="BXT231" s="26"/>
      <c r="BXX231" s="23"/>
      <c r="BYC231" s="26"/>
      <c r="BYG231" s="23"/>
      <c r="BYL231" s="26"/>
      <c r="BYP231" s="23"/>
      <c r="BYU231" s="26"/>
      <c r="BYY231" s="23"/>
      <c r="BZD231" s="26"/>
      <c r="BZH231" s="23"/>
      <c r="BZM231" s="26"/>
      <c r="BZQ231" s="23"/>
      <c r="BZV231" s="26"/>
      <c r="BZZ231" s="23"/>
      <c r="CAE231" s="26"/>
      <c r="CAI231" s="23"/>
      <c r="CAN231" s="26"/>
      <c r="CAR231" s="23"/>
      <c r="CAW231" s="26"/>
      <c r="CBA231" s="23"/>
      <c r="CBF231" s="26"/>
      <c r="CBJ231" s="23"/>
      <c r="CBO231" s="26"/>
      <c r="CBS231" s="23"/>
      <c r="CBX231" s="26"/>
      <c r="CCB231" s="23"/>
      <c r="CCG231" s="26"/>
      <c r="CCK231" s="23"/>
      <c r="CCP231" s="26"/>
      <c r="CCT231" s="23"/>
      <c r="CCY231" s="26"/>
      <c r="CDC231" s="23"/>
      <c r="CDH231" s="26"/>
      <c r="CDL231" s="23"/>
      <c r="CDQ231" s="26"/>
      <c r="CDU231" s="23"/>
      <c r="CDZ231" s="26"/>
      <c r="CED231" s="23"/>
      <c r="CEI231" s="26"/>
      <c r="CEM231" s="23"/>
      <c r="CER231" s="26"/>
      <c r="CEV231" s="23"/>
      <c r="CFA231" s="26"/>
      <c r="CFE231" s="23"/>
      <c r="CFJ231" s="26"/>
      <c r="CFN231" s="23"/>
      <c r="CFS231" s="26"/>
      <c r="CFW231" s="23"/>
      <c r="CGB231" s="26"/>
      <c r="CGF231" s="23"/>
      <c r="CGK231" s="26"/>
      <c r="CGO231" s="23"/>
      <c r="CGT231" s="26"/>
      <c r="CGX231" s="23"/>
      <c r="CHC231" s="26"/>
      <c r="CHG231" s="23"/>
      <c r="CHL231" s="26"/>
      <c r="CHP231" s="23"/>
      <c r="CHU231" s="26"/>
      <c r="CHY231" s="23"/>
      <c r="CID231" s="26"/>
      <c r="CIH231" s="23"/>
      <c r="CIM231" s="26"/>
      <c r="CIQ231" s="23"/>
      <c r="CIV231" s="26"/>
      <c r="CIZ231" s="23"/>
      <c r="CJE231" s="26"/>
      <c r="CJI231" s="23"/>
      <c r="CJN231" s="26"/>
      <c r="CJR231" s="23"/>
      <c r="CJW231" s="26"/>
      <c r="CKA231" s="23"/>
      <c r="CKF231" s="26"/>
      <c r="CKJ231" s="23"/>
      <c r="CKO231" s="26"/>
      <c r="CKS231" s="23"/>
      <c r="CKX231" s="26"/>
      <c r="CLB231" s="23"/>
      <c r="CLG231" s="26"/>
      <c r="CLK231" s="23"/>
      <c r="CLP231" s="26"/>
      <c r="CLT231" s="23"/>
      <c r="CLY231" s="26"/>
      <c r="CMC231" s="23"/>
      <c r="CMH231" s="26"/>
      <c r="CML231" s="23"/>
      <c r="CMQ231" s="26"/>
      <c r="CMU231" s="23"/>
      <c r="CMZ231" s="26"/>
      <c r="CND231" s="23"/>
      <c r="CNI231" s="26"/>
      <c r="CNM231" s="23"/>
      <c r="CNR231" s="26"/>
      <c r="CNV231" s="23"/>
      <c r="COA231" s="26"/>
      <c r="COE231" s="23"/>
      <c r="COJ231" s="26"/>
      <c r="CON231" s="23"/>
      <c r="COS231" s="26"/>
      <c r="COW231" s="23"/>
      <c r="CPB231" s="26"/>
      <c r="CPF231" s="23"/>
      <c r="CPK231" s="26"/>
      <c r="CPO231" s="23"/>
      <c r="CPT231" s="26"/>
      <c r="CPX231" s="23"/>
      <c r="CQC231" s="26"/>
      <c r="CQG231" s="23"/>
      <c r="CQL231" s="26"/>
      <c r="CQP231" s="23"/>
      <c r="CQU231" s="26"/>
      <c r="CQY231" s="23"/>
      <c r="CRD231" s="26"/>
      <c r="CRH231" s="23"/>
      <c r="CRM231" s="26"/>
      <c r="CRQ231" s="23"/>
      <c r="CRV231" s="26"/>
      <c r="CRZ231" s="23"/>
      <c r="CSE231" s="26"/>
      <c r="CSI231" s="23"/>
      <c r="CSN231" s="26"/>
      <c r="CSR231" s="23"/>
      <c r="CSW231" s="26"/>
      <c r="CTA231" s="23"/>
      <c r="CTF231" s="26"/>
      <c r="CTJ231" s="23"/>
      <c r="CTO231" s="26"/>
      <c r="CTS231" s="23"/>
      <c r="CTX231" s="26"/>
      <c r="CUB231" s="23"/>
      <c r="CUG231" s="26"/>
      <c r="CUK231" s="23"/>
      <c r="CUP231" s="26"/>
      <c r="CUT231" s="23"/>
      <c r="CUY231" s="26"/>
      <c r="CVC231" s="23"/>
      <c r="CVH231" s="26"/>
      <c r="CVL231" s="23"/>
      <c r="CVQ231" s="26"/>
      <c r="CVU231" s="23"/>
      <c r="CVZ231" s="26"/>
      <c r="CWD231" s="23"/>
      <c r="CWI231" s="26"/>
      <c r="CWM231" s="23"/>
      <c r="CWR231" s="26"/>
      <c r="CWV231" s="23"/>
      <c r="CXA231" s="26"/>
      <c r="CXE231" s="23"/>
      <c r="CXJ231" s="26"/>
      <c r="CXN231" s="23"/>
      <c r="CXS231" s="26"/>
      <c r="CXW231" s="23"/>
      <c r="CYB231" s="26"/>
      <c r="CYF231" s="23"/>
      <c r="CYK231" s="26"/>
      <c r="CYO231" s="23"/>
      <c r="CYT231" s="26"/>
      <c r="CYX231" s="23"/>
      <c r="CZC231" s="26"/>
      <c r="CZG231" s="23"/>
      <c r="CZL231" s="26"/>
      <c r="CZP231" s="23"/>
      <c r="CZU231" s="26"/>
      <c r="CZY231" s="23"/>
      <c r="DAD231" s="26"/>
      <c r="DAH231" s="23"/>
      <c r="DAM231" s="26"/>
      <c r="DAQ231" s="23"/>
      <c r="DAV231" s="26"/>
      <c r="DAZ231" s="23"/>
      <c r="DBE231" s="26"/>
      <c r="DBI231" s="23"/>
      <c r="DBN231" s="26"/>
      <c r="DBR231" s="23"/>
      <c r="DBW231" s="26"/>
      <c r="DCA231" s="23"/>
      <c r="DCF231" s="26"/>
      <c r="DCJ231" s="23"/>
      <c r="DCO231" s="26"/>
      <c r="DCS231" s="23"/>
      <c r="DCX231" s="26"/>
      <c r="DDB231" s="23"/>
      <c r="DDG231" s="26"/>
      <c r="DDK231" s="23"/>
      <c r="DDP231" s="26"/>
      <c r="DDT231" s="23"/>
      <c r="DDY231" s="26"/>
      <c r="DEC231" s="23"/>
      <c r="DEH231" s="26"/>
      <c r="DEL231" s="23"/>
      <c r="DEQ231" s="26"/>
      <c r="DEU231" s="23"/>
      <c r="DEZ231" s="26"/>
      <c r="DFD231" s="23"/>
      <c r="DFI231" s="26"/>
      <c r="DFM231" s="23"/>
      <c r="DFR231" s="26"/>
      <c r="DFV231" s="23"/>
      <c r="DGA231" s="26"/>
      <c r="DGE231" s="23"/>
      <c r="DGJ231" s="26"/>
      <c r="DGN231" s="23"/>
      <c r="DGS231" s="26"/>
      <c r="DGW231" s="23"/>
      <c r="DHB231" s="26"/>
      <c r="DHF231" s="23"/>
      <c r="DHK231" s="26"/>
      <c r="DHO231" s="23"/>
      <c r="DHT231" s="26"/>
      <c r="DHX231" s="23"/>
      <c r="DIC231" s="26"/>
      <c r="DIG231" s="23"/>
      <c r="DIL231" s="26"/>
      <c r="DIP231" s="23"/>
      <c r="DIU231" s="26"/>
      <c r="DIY231" s="23"/>
      <c r="DJD231" s="26"/>
      <c r="DJH231" s="23"/>
      <c r="DJM231" s="26"/>
      <c r="DJQ231" s="23"/>
      <c r="DJV231" s="26"/>
      <c r="DJZ231" s="23"/>
      <c r="DKE231" s="26"/>
      <c r="DKI231" s="23"/>
      <c r="DKN231" s="26"/>
      <c r="DKR231" s="23"/>
      <c r="DKW231" s="26"/>
      <c r="DLA231" s="23"/>
      <c r="DLF231" s="26"/>
      <c r="DLJ231" s="23"/>
      <c r="DLO231" s="26"/>
      <c r="DLS231" s="23"/>
      <c r="DLX231" s="26"/>
      <c r="DMB231" s="23"/>
      <c r="DMG231" s="26"/>
      <c r="DMK231" s="23"/>
      <c r="DMP231" s="26"/>
      <c r="DMT231" s="23"/>
      <c r="DMY231" s="26"/>
      <c r="DNC231" s="23"/>
      <c r="DNH231" s="26"/>
      <c r="DNL231" s="23"/>
      <c r="DNQ231" s="26"/>
      <c r="DNU231" s="23"/>
      <c r="DNZ231" s="26"/>
      <c r="DOD231" s="23"/>
      <c r="DOI231" s="26"/>
      <c r="DOM231" s="23"/>
      <c r="DOR231" s="26"/>
      <c r="DOV231" s="23"/>
      <c r="DPA231" s="26"/>
      <c r="DPE231" s="23"/>
      <c r="DPJ231" s="26"/>
      <c r="DPN231" s="23"/>
      <c r="DPS231" s="26"/>
      <c r="DPW231" s="23"/>
      <c r="DQB231" s="26"/>
      <c r="DQF231" s="23"/>
      <c r="DQK231" s="26"/>
      <c r="DQO231" s="23"/>
      <c r="DQT231" s="26"/>
      <c r="DQX231" s="23"/>
      <c r="DRC231" s="26"/>
      <c r="DRG231" s="23"/>
      <c r="DRL231" s="26"/>
      <c r="DRP231" s="23"/>
      <c r="DRU231" s="26"/>
      <c r="DRY231" s="23"/>
      <c r="DSD231" s="26"/>
      <c r="DSH231" s="23"/>
      <c r="DSM231" s="26"/>
      <c r="DSQ231" s="23"/>
      <c r="DSV231" s="26"/>
      <c r="DSZ231" s="23"/>
      <c r="DTE231" s="26"/>
      <c r="DTI231" s="23"/>
      <c r="DTN231" s="26"/>
      <c r="DTR231" s="23"/>
      <c r="DTW231" s="26"/>
      <c r="DUA231" s="23"/>
      <c r="DUF231" s="26"/>
      <c r="DUJ231" s="23"/>
      <c r="DUO231" s="26"/>
      <c r="DUS231" s="23"/>
      <c r="DUX231" s="26"/>
      <c r="DVB231" s="23"/>
      <c r="DVG231" s="26"/>
      <c r="DVK231" s="23"/>
      <c r="DVP231" s="26"/>
      <c r="DVT231" s="23"/>
      <c r="DVY231" s="26"/>
      <c r="DWC231" s="23"/>
      <c r="DWH231" s="26"/>
      <c r="DWL231" s="23"/>
      <c r="DWQ231" s="26"/>
      <c r="DWU231" s="23"/>
      <c r="DWZ231" s="26"/>
      <c r="DXD231" s="23"/>
      <c r="DXI231" s="26"/>
      <c r="DXM231" s="23"/>
      <c r="DXR231" s="26"/>
      <c r="DXV231" s="23"/>
      <c r="DYA231" s="26"/>
      <c r="DYE231" s="23"/>
      <c r="DYJ231" s="26"/>
      <c r="DYN231" s="23"/>
      <c r="DYS231" s="26"/>
      <c r="DYW231" s="23"/>
      <c r="DZB231" s="26"/>
      <c r="DZF231" s="23"/>
      <c r="DZK231" s="26"/>
      <c r="DZO231" s="23"/>
      <c r="DZT231" s="26"/>
      <c r="DZX231" s="23"/>
      <c r="EAC231" s="26"/>
      <c r="EAG231" s="23"/>
      <c r="EAL231" s="26"/>
      <c r="EAP231" s="23"/>
      <c r="EAU231" s="26"/>
      <c r="EAY231" s="23"/>
      <c r="EBD231" s="26"/>
      <c r="EBH231" s="23"/>
      <c r="EBM231" s="26"/>
      <c r="EBQ231" s="23"/>
      <c r="EBV231" s="26"/>
      <c r="EBZ231" s="23"/>
      <c r="ECE231" s="26"/>
      <c r="ECI231" s="23"/>
      <c r="ECN231" s="26"/>
      <c r="ECR231" s="23"/>
      <c r="ECW231" s="26"/>
      <c r="EDA231" s="23"/>
      <c r="EDF231" s="26"/>
      <c r="EDJ231" s="23"/>
      <c r="EDO231" s="26"/>
      <c r="EDS231" s="23"/>
      <c r="EDX231" s="26"/>
      <c r="EEB231" s="23"/>
      <c r="EEG231" s="26"/>
      <c r="EEK231" s="23"/>
      <c r="EEP231" s="26"/>
      <c r="EET231" s="23"/>
      <c r="EEY231" s="26"/>
      <c r="EFC231" s="23"/>
      <c r="EFH231" s="26"/>
      <c r="EFL231" s="23"/>
      <c r="EFQ231" s="26"/>
      <c r="EFU231" s="23"/>
      <c r="EFZ231" s="26"/>
      <c r="EGD231" s="23"/>
      <c r="EGI231" s="26"/>
      <c r="EGM231" s="23"/>
      <c r="EGR231" s="26"/>
      <c r="EGV231" s="23"/>
      <c r="EHA231" s="26"/>
      <c r="EHE231" s="23"/>
      <c r="EHJ231" s="26"/>
      <c r="EHN231" s="23"/>
      <c r="EHS231" s="26"/>
      <c r="EHW231" s="23"/>
      <c r="EIB231" s="26"/>
      <c r="EIF231" s="23"/>
      <c r="EIK231" s="26"/>
      <c r="EIO231" s="23"/>
      <c r="EIT231" s="26"/>
      <c r="EIX231" s="23"/>
      <c r="EJC231" s="26"/>
      <c r="EJG231" s="23"/>
      <c r="EJL231" s="26"/>
      <c r="EJP231" s="23"/>
      <c r="EJU231" s="26"/>
      <c r="EJY231" s="23"/>
      <c r="EKD231" s="26"/>
      <c r="EKH231" s="23"/>
      <c r="EKM231" s="26"/>
      <c r="EKQ231" s="23"/>
      <c r="EKV231" s="26"/>
      <c r="EKZ231" s="23"/>
      <c r="ELE231" s="26"/>
      <c r="ELI231" s="23"/>
      <c r="ELN231" s="26"/>
      <c r="ELR231" s="23"/>
      <c r="ELW231" s="26"/>
      <c r="EMA231" s="23"/>
      <c r="EMF231" s="26"/>
      <c r="EMJ231" s="23"/>
      <c r="EMO231" s="26"/>
      <c r="EMS231" s="23"/>
      <c r="EMX231" s="26"/>
      <c r="ENB231" s="23"/>
      <c r="ENG231" s="26"/>
      <c r="ENK231" s="23"/>
      <c r="ENP231" s="26"/>
      <c r="ENT231" s="23"/>
      <c r="ENY231" s="26"/>
      <c r="EOC231" s="23"/>
      <c r="EOH231" s="26"/>
      <c r="EOL231" s="23"/>
      <c r="EOQ231" s="26"/>
      <c r="EOU231" s="23"/>
      <c r="EOZ231" s="26"/>
      <c r="EPD231" s="23"/>
      <c r="EPI231" s="26"/>
      <c r="EPM231" s="23"/>
      <c r="EPR231" s="26"/>
      <c r="EPV231" s="23"/>
      <c r="EQA231" s="26"/>
      <c r="EQE231" s="23"/>
      <c r="EQJ231" s="26"/>
      <c r="EQN231" s="23"/>
      <c r="EQS231" s="26"/>
      <c r="EQW231" s="23"/>
      <c r="ERB231" s="26"/>
      <c r="ERF231" s="23"/>
      <c r="ERK231" s="26"/>
      <c r="ERO231" s="23"/>
      <c r="ERT231" s="26"/>
      <c r="ERX231" s="23"/>
      <c r="ESC231" s="26"/>
      <c r="ESG231" s="23"/>
      <c r="ESL231" s="26"/>
      <c r="ESP231" s="23"/>
      <c r="ESU231" s="26"/>
      <c r="ESY231" s="23"/>
      <c r="ETD231" s="26"/>
      <c r="ETH231" s="23"/>
      <c r="ETM231" s="26"/>
      <c r="ETQ231" s="23"/>
      <c r="ETV231" s="26"/>
      <c r="ETZ231" s="23"/>
      <c r="EUE231" s="26"/>
      <c r="EUI231" s="23"/>
      <c r="EUN231" s="26"/>
      <c r="EUR231" s="23"/>
      <c r="EUW231" s="26"/>
      <c r="EVA231" s="23"/>
      <c r="EVF231" s="26"/>
      <c r="EVJ231" s="23"/>
      <c r="EVO231" s="26"/>
      <c r="EVS231" s="23"/>
      <c r="EVX231" s="26"/>
      <c r="EWB231" s="23"/>
      <c r="EWG231" s="26"/>
      <c r="EWK231" s="23"/>
      <c r="EWP231" s="26"/>
      <c r="EWT231" s="23"/>
      <c r="EWY231" s="26"/>
      <c r="EXC231" s="23"/>
      <c r="EXH231" s="26"/>
      <c r="EXL231" s="23"/>
      <c r="EXQ231" s="26"/>
      <c r="EXU231" s="23"/>
      <c r="EXZ231" s="26"/>
      <c r="EYD231" s="23"/>
      <c r="EYI231" s="26"/>
      <c r="EYM231" s="23"/>
      <c r="EYR231" s="26"/>
      <c r="EYV231" s="23"/>
      <c r="EZA231" s="26"/>
      <c r="EZE231" s="23"/>
      <c r="EZJ231" s="26"/>
      <c r="EZN231" s="23"/>
      <c r="EZS231" s="26"/>
      <c r="EZW231" s="23"/>
      <c r="FAB231" s="26"/>
      <c r="FAF231" s="23"/>
      <c r="FAK231" s="26"/>
      <c r="FAO231" s="23"/>
      <c r="FAT231" s="26"/>
      <c r="FAX231" s="23"/>
      <c r="FBC231" s="26"/>
      <c r="FBG231" s="23"/>
      <c r="FBL231" s="26"/>
      <c r="FBP231" s="23"/>
      <c r="FBU231" s="26"/>
      <c r="FBY231" s="23"/>
      <c r="FCD231" s="26"/>
      <c r="FCH231" s="23"/>
      <c r="FCM231" s="26"/>
      <c r="FCQ231" s="23"/>
      <c r="FCV231" s="26"/>
      <c r="FCZ231" s="23"/>
      <c r="FDE231" s="26"/>
      <c r="FDI231" s="23"/>
      <c r="FDN231" s="26"/>
      <c r="FDR231" s="23"/>
      <c r="FDW231" s="26"/>
      <c r="FEA231" s="23"/>
      <c r="FEF231" s="26"/>
      <c r="FEJ231" s="23"/>
      <c r="FEO231" s="26"/>
      <c r="FES231" s="23"/>
      <c r="FEX231" s="26"/>
      <c r="FFB231" s="23"/>
      <c r="FFG231" s="26"/>
      <c r="FFK231" s="23"/>
      <c r="FFP231" s="26"/>
      <c r="FFT231" s="23"/>
      <c r="FFY231" s="26"/>
      <c r="FGC231" s="23"/>
      <c r="FGH231" s="26"/>
      <c r="FGL231" s="23"/>
      <c r="FGQ231" s="26"/>
      <c r="FGU231" s="23"/>
      <c r="FGZ231" s="26"/>
      <c r="FHD231" s="23"/>
      <c r="FHI231" s="26"/>
      <c r="FHM231" s="23"/>
      <c r="FHR231" s="26"/>
      <c r="FHV231" s="23"/>
      <c r="FIA231" s="26"/>
      <c r="FIE231" s="23"/>
      <c r="FIJ231" s="26"/>
      <c r="FIN231" s="23"/>
      <c r="FIS231" s="26"/>
      <c r="FIW231" s="23"/>
      <c r="FJB231" s="26"/>
      <c r="FJF231" s="23"/>
      <c r="FJK231" s="26"/>
      <c r="FJO231" s="23"/>
      <c r="FJT231" s="26"/>
      <c r="FJX231" s="23"/>
      <c r="FKC231" s="26"/>
      <c r="FKG231" s="23"/>
      <c r="FKL231" s="26"/>
      <c r="FKP231" s="23"/>
      <c r="FKU231" s="26"/>
      <c r="FKY231" s="23"/>
      <c r="FLD231" s="26"/>
      <c r="FLH231" s="23"/>
      <c r="FLM231" s="26"/>
      <c r="FLQ231" s="23"/>
      <c r="FLV231" s="26"/>
      <c r="FLZ231" s="23"/>
      <c r="FME231" s="26"/>
      <c r="FMI231" s="23"/>
      <c r="FMN231" s="26"/>
      <c r="FMR231" s="23"/>
      <c r="FMW231" s="26"/>
      <c r="FNA231" s="23"/>
      <c r="FNF231" s="26"/>
      <c r="FNJ231" s="23"/>
      <c r="FNO231" s="26"/>
      <c r="FNS231" s="23"/>
      <c r="FNX231" s="26"/>
      <c r="FOB231" s="23"/>
      <c r="FOG231" s="26"/>
      <c r="FOK231" s="23"/>
      <c r="FOP231" s="26"/>
      <c r="FOT231" s="23"/>
      <c r="FOY231" s="26"/>
      <c r="FPC231" s="23"/>
      <c r="FPH231" s="26"/>
      <c r="FPL231" s="23"/>
      <c r="FPQ231" s="26"/>
      <c r="FPU231" s="23"/>
      <c r="FPZ231" s="26"/>
      <c r="FQD231" s="23"/>
      <c r="FQI231" s="26"/>
      <c r="FQM231" s="23"/>
      <c r="FQR231" s="26"/>
      <c r="FQV231" s="23"/>
      <c r="FRA231" s="26"/>
      <c r="FRE231" s="23"/>
      <c r="FRJ231" s="26"/>
      <c r="FRN231" s="23"/>
      <c r="FRS231" s="26"/>
      <c r="FRW231" s="23"/>
      <c r="FSB231" s="26"/>
      <c r="FSF231" s="23"/>
      <c r="FSK231" s="26"/>
      <c r="FSO231" s="23"/>
      <c r="FST231" s="26"/>
      <c r="FSX231" s="23"/>
      <c r="FTC231" s="26"/>
      <c r="FTG231" s="23"/>
      <c r="FTL231" s="26"/>
      <c r="FTP231" s="23"/>
      <c r="FTU231" s="26"/>
      <c r="FTY231" s="23"/>
      <c r="FUD231" s="26"/>
      <c r="FUH231" s="23"/>
      <c r="FUM231" s="26"/>
      <c r="FUQ231" s="23"/>
      <c r="FUV231" s="26"/>
      <c r="FUZ231" s="23"/>
      <c r="FVE231" s="26"/>
      <c r="FVI231" s="23"/>
      <c r="FVN231" s="26"/>
      <c r="FVR231" s="23"/>
      <c r="FVW231" s="26"/>
      <c r="FWA231" s="23"/>
      <c r="FWF231" s="26"/>
      <c r="FWJ231" s="23"/>
      <c r="FWO231" s="26"/>
      <c r="FWS231" s="23"/>
      <c r="FWX231" s="26"/>
      <c r="FXB231" s="23"/>
      <c r="FXG231" s="26"/>
      <c r="FXK231" s="23"/>
      <c r="FXP231" s="26"/>
      <c r="FXT231" s="23"/>
      <c r="FXY231" s="26"/>
      <c r="FYC231" s="23"/>
      <c r="FYH231" s="26"/>
      <c r="FYL231" s="23"/>
      <c r="FYQ231" s="26"/>
      <c r="FYU231" s="23"/>
      <c r="FYZ231" s="26"/>
      <c r="FZD231" s="23"/>
      <c r="FZI231" s="26"/>
      <c r="FZM231" s="23"/>
      <c r="FZR231" s="26"/>
      <c r="FZV231" s="23"/>
      <c r="GAA231" s="26"/>
      <c r="GAE231" s="23"/>
      <c r="GAJ231" s="26"/>
      <c r="GAN231" s="23"/>
      <c r="GAS231" s="26"/>
      <c r="GAW231" s="23"/>
      <c r="GBB231" s="26"/>
      <c r="GBF231" s="23"/>
      <c r="GBK231" s="26"/>
      <c r="GBO231" s="23"/>
      <c r="GBT231" s="26"/>
      <c r="GBX231" s="23"/>
      <c r="GCC231" s="26"/>
      <c r="GCG231" s="23"/>
      <c r="GCL231" s="26"/>
      <c r="GCP231" s="23"/>
      <c r="GCU231" s="26"/>
      <c r="GCY231" s="23"/>
      <c r="GDD231" s="26"/>
      <c r="GDH231" s="23"/>
      <c r="GDM231" s="26"/>
      <c r="GDQ231" s="23"/>
      <c r="GDV231" s="26"/>
      <c r="GDZ231" s="23"/>
      <c r="GEE231" s="26"/>
      <c r="GEI231" s="23"/>
      <c r="GEN231" s="26"/>
      <c r="GER231" s="23"/>
      <c r="GEW231" s="26"/>
      <c r="GFA231" s="23"/>
      <c r="GFF231" s="26"/>
      <c r="GFJ231" s="23"/>
      <c r="GFO231" s="26"/>
      <c r="GFS231" s="23"/>
      <c r="GFX231" s="26"/>
      <c r="GGB231" s="23"/>
      <c r="GGG231" s="26"/>
      <c r="GGK231" s="23"/>
      <c r="GGP231" s="26"/>
      <c r="GGT231" s="23"/>
      <c r="GGY231" s="26"/>
      <c r="GHC231" s="23"/>
      <c r="GHH231" s="26"/>
      <c r="GHL231" s="23"/>
      <c r="GHQ231" s="26"/>
      <c r="GHU231" s="23"/>
      <c r="GHZ231" s="26"/>
      <c r="GID231" s="23"/>
      <c r="GII231" s="26"/>
      <c r="GIM231" s="23"/>
      <c r="GIR231" s="26"/>
      <c r="GIV231" s="23"/>
      <c r="GJA231" s="26"/>
      <c r="GJE231" s="23"/>
      <c r="GJJ231" s="26"/>
      <c r="GJN231" s="23"/>
      <c r="GJS231" s="26"/>
      <c r="GJW231" s="23"/>
      <c r="GKB231" s="26"/>
      <c r="GKF231" s="23"/>
      <c r="GKK231" s="26"/>
      <c r="GKO231" s="23"/>
      <c r="GKT231" s="26"/>
      <c r="GKX231" s="23"/>
      <c r="GLC231" s="26"/>
      <c r="GLG231" s="23"/>
      <c r="GLL231" s="26"/>
      <c r="GLP231" s="23"/>
      <c r="GLU231" s="26"/>
      <c r="GLY231" s="23"/>
      <c r="GMD231" s="26"/>
      <c r="GMH231" s="23"/>
      <c r="GMM231" s="26"/>
      <c r="GMQ231" s="23"/>
      <c r="GMV231" s="26"/>
      <c r="GMZ231" s="23"/>
      <c r="GNE231" s="26"/>
      <c r="GNI231" s="23"/>
      <c r="GNN231" s="26"/>
      <c r="GNR231" s="23"/>
      <c r="GNW231" s="26"/>
      <c r="GOA231" s="23"/>
      <c r="GOF231" s="26"/>
      <c r="GOJ231" s="23"/>
      <c r="GOO231" s="26"/>
      <c r="GOS231" s="23"/>
      <c r="GOX231" s="26"/>
      <c r="GPB231" s="23"/>
      <c r="GPG231" s="26"/>
      <c r="GPK231" s="23"/>
      <c r="GPP231" s="26"/>
      <c r="GPT231" s="23"/>
      <c r="GPY231" s="26"/>
      <c r="GQC231" s="23"/>
      <c r="GQH231" s="26"/>
      <c r="GQL231" s="23"/>
      <c r="GQQ231" s="26"/>
      <c r="GQU231" s="23"/>
      <c r="GQZ231" s="26"/>
      <c r="GRD231" s="23"/>
      <c r="GRI231" s="26"/>
      <c r="GRM231" s="23"/>
      <c r="GRR231" s="26"/>
      <c r="GRV231" s="23"/>
      <c r="GSA231" s="26"/>
      <c r="GSE231" s="23"/>
      <c r="GSJ231" s="26"/>
      <c r="GSN231" s="23"/>
      <c r="GSS231" s="26"/>
      <c r="GSW231" s="23"/>
      <c r="GTB231" s="26"/>
      <c r="GTF231" s="23"/>
      <c r="GTK231" s="26"/>
      <c r="GTO231" s="23"/>
      <c r="GTT231" s="26"/>
      <c r="GTX231" s="23"/>
      <c r="GUC231" s="26"/>
      <c r="GUG231" s="23"/>
      <c r="GUL231" s="26"/>
      <c r="GUP231" s="23"/>
      <c r="GUU231" s="26"/>
      <c r="GUY231" s="23"/>
      <c r="GVD231" s="26"/>
      <c r="GVH231" s="23"/>
      <c r="GVM231" s="26"/>
      <c r="GVQ231" s="23"/>
      <c r="GVV231" s="26"/>
      <c r="GVZ231" s="23"/>
      <c r="GWE231" s="26"/>
      <c r="GWI231" s="23"/>
      <c r="GWN231" s="26"/>
      <c r="GWR231" s="23"/>
      <c r="GWW231" s="26"/>
      <c r="GXA231" s="23"/>
      <c r="GXF231" s="26"/>
      <c r="GXJ231" s="23"/>
      <c r="GXO231" s="26"/>
      <c r="GXS231" s="23"/>
      <c r="GXX231" s="26"/>
      <c r="GYB231" s="23"/>
      <c r="GYG231" s="26"/>
      <c r="GYK231" s="23"/>
      <c r="GYP231" s="26"/>
      <c r="GYT231" s="23"/>
      <c r="GYY231" s="26"/>
      <c r="GZC231" s="23"/>
      <c r="GZH231" s="26"/>
      <c r="GZL231" s="23"/>
      <c r="GZQ231" s="26"/>
      <c r="GZU231" s="23"/>
      <c r="GZZ231" s="26"/>
      <c r="HAD231" s="23"/>
      <c r="HAI231" s="26"/>
      <c r="HAM231" s="23"/>
      <c r="HAR231" s="26"/>
      <c r="HAV231" s="23"/>
      <c r="HBA231" s="26"/>
      <c r="HBE231" s="23"/>
      <c r="HBJ231" s="26"/>
      <c r="HBN231" s="23"/>
      <c r="HBS231" s="26"/>
      <c r="HBW231" s="23"/>
      <c r="HCB231" s="26"/>
      <c r="HCF231" s="23"/>
      <c r="HCK231" s="26"/>
      <c r="HCO231" s="23"/>
      <c r="HCT231" s="26"/>
      <c r="HCX231" s="23"/>
      <c r="HDC231" s="26"/>
      <c r="HDG231" s="23"/>
      <c r="HDL231" s="26"/>
      <c r="HDP231" s="23"/>
      <c r="HDU231" s="26"/>
      <c r="HDY231" s="23"/>
      <c r="HED231" s="26"/>
      <c r="HEH231" s="23"/>
      <c r="HEM231" s="26"/>
      <c r="HEQ231" s="23"/>
      <c r="HEV231" s="26"/>
      <c r="HEZ231" s="23"/>
      <c r="HFE231" s="26"/>
      <c r="HFI231" s="23"/>
      <c r="HFN231" s="26"/>
      <c r="HFR231" s="23"/>
      <c r="HFW231" s="26"/>
      <c r="HGA231" s="23"/>
      <c r="HGF231" s="26"/>
      <c r="HGJ231" s="23"/>
      <c r="HGO231" s="26"/>
      <c r="HGS231" s="23"/>
      <c r="HGX231" s="26"/>
      <c r="HHB231" s="23"/>
      <c r="HHG231" s="26"/>
      <c r="HHK231" s="23"/>
      <c r="HHP231" s="26"/>
      <c r="HHT231" s="23"/>
      <c r="HHY231" s="26"/>
      <c r="HIC231" s="23"/>
      <c r="HIH231" s="26"/>
      <c r="HIL231" s="23"/>
      <c r="HIQ231" s="26"/>
      <c r="HIU231" s="23"/>
      <c r="HIZ231" s="26"/>
      <c r="HJD231" s="23"/>
      <c r="HJI231" s="26"/>
      <c r="HJM231" s="23"/>
      <c r="HJR231" s="26"/>
      <c r="HJV231" s="23"/>
      <c r="HKA231" s="26"/>
      <c r="HKE231" s="23"/>
      <c r="HKJ231" s="26"/>
      <c r="HKN231" s="23"/>
      <c r="HKS231" s="26"/>
      <c r="HKW231" s="23"/>
      <c r="HLB231" s="26"/>
      <c r="HLF231" s="23"/>
      <c r="HLK231" s="26"/>
      <c r="HLO231" s="23"/>
      <c r="HLT231" s="26"/>
      <c r="HLX231" s="23"/>
      <c r="HMC231" s="26"/>
      <c r="HMG231" s="23"/>
      <c r="HML231" s="26"/>
      <c r="HMP231" s="23"/>
      <c r="HMU231" s="26"/>
      <c r="HMY231" s="23"/>
      <c r="HND231" s="26"/>
      <c r="HNH231" s="23"/>
      <c r="HNM231" s="26"/>
      <c r="HNQ231" s="23"/>
      <c r="HNV231" s="26"/>
      <c r="HNZ231" s="23"/>
      <c r="HOE231" s="26"/>
      <c r="HOI231" s="23"/>
      <c r="HON231" s="26"/>
      <c r="HOR231" s="23"/>
      <c r="HOW231" s="26"/>
      <c r="HPA231" s="23"/>
      <c r="HPF231" s="26"/>
      <c r="HPJ231" s="23"/>
      <c r="HPO231" s="26"/>
      <c r="HPS231" s="23"/>
      <c r="HPX231" s="26"/>
      <c r="HQB231" s="23"/>
      <c r="HQG231" s="26"/>
      <c r="HQK231" s="23"/>
      <c r="HQP231" s="26"/>
      <c r="HQT231" s="23"/>
      <c r="HQY231" s="26"/>
      <c r="HRC231" s="23"/>
      <c r="HRH231" s="26"/>
      <c r="HRL231" s="23"/>
      <c r="HRQ231" s="26"/>
      <c r="HRU231" s="23"/>
      <c r="HRZ231" s="26"/>
      <c r="HSD231" s="23"/>
      <c r="HSI231" s="26"/>
      <c r="HSM231" s="23"/>
      <c r="HSR231" s="26"/>
      <c r="HSV231" s="23"/>
      <c r="HTA231" s="26"/>
      <c r="HTE231" s="23"/>
      <c r="HTJ231" s="26"/>
      <c r="HTN231" s="23"/>
      <c r="HTS231" s="26"/>
      <c r="HTW231" s="23"/>
      <c r="HUB231" s="26"/>
      <c r="HUF231" s="23"/>
      <c r="HUK231" s="26"/>
      <c r="HUO231" s="23"/>
      <c r="HUT231" s="26"/>
      <c r="HUX231" s="23"/>
      <c r="HVC231" s="26"/>
      <c r="HVG231" s="23"/>
      <c r="HVL231" s="26"/>
      <c r="HVP231" s="23"/>
      <c r="HVU231" s="26"/>
      <c r="HVY231" s="23"/>
      <c r="HWD231" s="26"/>
      <c r="HWH231" s="23"/>
      <c r="HWM231" s="26"/>
      <c r="HWQ231" s="23"/>
      <c r="HWV231" s="26"/>
      <c r="HWZ231" s="23"/>
      <c r="HXE231" s="26"/>
      <c r="HXI231" s="23"/>
      <c r="HXN231" s="26"/>
      <c r="HXR231" s="23"/>
      <c r="HXW231" s="26"/>
      <c r="HYA231" s="23"/>
      <c r="HYF231" s="26"/>
      <c r="HYJ231" s="23"/>
      <c r="HYO231" s="26"/>
      <c r="HYS231" s="23"/>
      <c r="HYX231" s="26"/>
      <c r="HZB231" s="23"/>
      <c r="HZG231" s="26"/>
      <c r="HZK231" s="23"/>
      <c r="HZP231" s="26"/>
      <c r="HZT231" s="23"/>
      <c r="HZY231" s="26"/>
      <c r="IAC231" s="23"/>
      <c r="IAH231" s="26"/>
      <c r="IAL231" s="23"/>
      <c r="IAQ231" s="26"/>
      <c r="IAU231" s="23"/>
      <c r="IAZ231" s="26"/>
      <c r="IBD231" s="23"/>
      <c r="IBI231" s="26"/>
      <c r="IBM231" s="23"/>
      <c r="IBR231" s="26"/>
      <c r="IBV231" s="23"/>
      <c r="ICA231" s="26"/>
      <c r="ICE231" s="23"/>
      <c r="ICJ231" s="26"/>
      <c r="ICN231" s="23"/>
      <c r="ICS231" s="26"/>
      <c r="ICW231" s="23"/>
      <c r="IDB231" s="26"/>
      <c r="IDF231" s="23"/>
      <c r="IDK231" s="26"/>
      <c r="IDO231" s="23"/>
      <c r="IDT231" s="26"/>
      <c r="IDX231" s="23"/>
      <c r="IEC231" s="26"/>
      <c r="IEG231" s="23"/>
      <c r="IEL231" s="26"/>
      <c r="IEP231" s="23"/>
      <c r="IEU231" s="26"/>
      <c r="IEY231" s="23"/>
      <c r="IFD231" s="26"/>
      <c r="IFH231" s="23"/>
      <c r="IFM231" s="26"/>
      <c r="IFQ231" s="23"/>
      <c r="IFV231" s="26"/>
      <c r="IFZ231" s="23"/>
      <c r="IGE231" s="26"/>
      <c r="IGI231" s="23"/>
      <c r="IGN231" s="26"/>
      <c r="IGR231" s="23"/>
      <c r="IGW231" s="26"/>
      <c r="IHA231" s="23"/>
      <c r="IHF231" s="26"/>
      <c r="IHJ231" s="23"/>
      <c r="IHO231" s="26"/>
      <c r="IHS231" s="23"/>
      <c r="IHX231" s="26"/>
      <c r="IIB231" s="23"/>
      <c r="IIG231" s="26"/>
      <c r="IIK231" s="23"/>
      <c r="IIP231" s="26"/>
      <c r="IIT231" s="23"/>
      <c r="IIY231" s="26"/>
      <c r="IJC231" s="23"/>
      <c r="IJH231" s="26"/>
      <c r="IJL231" s="23"/>
      <c r="IJQ231" s="26"/>
      <c r="IJU231" s="23"/>
      <c r="IJZ231" s="26"/>
      <c r="IKD231" s="23"/>
      <c r="IKI231" s="26"/>
      <c r="IKM231" s="23"/>
      <c r="IKR231" s="26"/>
      <c r="IKV231" s="23"/>
      <c r="ILA231" s="26"/>
      <c r="ILE231" s="23"/>
      <c r="ILJ231" s="26"/>
      <c r="ILN231" s="23"/>
      <c r="ILS231" s="26"/>
      <c r="ILW231" s="23"/>
      <c r="IMB231" s="26"/>
      <c r="IMF231" s="23"/>
      <c r="IMK231" s="26"/>
      <c r="IMO231" s="23"/>
      <c r="IMT231" s="26"/>
      <c r="IMX231" s="23"/>
      <c r="INC231" s="26"/>
      <c r="ING231" s="23"/>
      <c r="INL231" s="26"/>
      <c r="INP231" s="23"/>
      <c r="INU231" s="26"/>
      <c r="INY231" s="23"/>
      <c r="IOD231" s="26"/>
      <c r="IOH231" s="23"/>
      <c r="IOM231" s="26"/>
      <c r="IOQ231" s="23"/>
      <c r="IOV231" s="26"/>
      <c r="IOZ231" s="23"/>
      <c r="IPE231" s="26"/>
      <c r="IPI231" s="23"/>
      <c r="IPN231" s="26"/>
      <c r="IPR231" s="23"/>
      <c r="IPW231" s="26"/>
      <c r="IQA231" s="23"/>
      <c r="IQF231" s="26"/>
      <c r="IQJ231" s="23"/>
      <c r="IQO231" s="26"/>
      <c r="IQS231" s="23"/>
      <c r="IQX231" s="26"/>
      <c r="IRB231" s="23"/>
      <c r="IRG231" s="26"/>
      <c r="IRK231" s="23"/>
      <c r="IRP231" s="26"/>
      <c r="IRT231" s="23"/>
      <c r="IRY231" s="26"/>
      <c r="ISC231" s="23"/>
      <c r="ISH231" s="26"/>
      <c r="ISL231" s="23"/>
      <c r="ISQ231" s="26"/>
      <c r="ISU231" s="23"/>
      <c r="ISZ231" s="26"/>
      <c r="ITD231" s="23"/>
      <c r="ITI231" s="26"/>
      <c r="ITM231" s="23"/>
      <c r="ITR231" s="26"/>
      <c r="ITV231" s="23"/>
      <c r="IUA231" s="26"/>
      <c r="IUE231" s="23"/>
      <c r="IUJ231" s="26"/>
      <c r="IUN231" s="23"/>
      <c r="IUS231" s="26"/>
      <c r="IUW231" s="23"/>
      <c r="IVB231" s="26"/>
      <c r="IVF231" s="23"/>
      <c r="IVK231" s="26"/>
      <c r="IVO231" s="23"/>
      <c r="IVT231" s="26"/>
      <c r="IVX231" s="23"/>
      <c r="IWC231" s="26"/>
      <c r="IWG231" s="23"/>
      <c r="IWL231" s="26"/>
      <c r="IWP231" s="23"/>
      <c r="IWU231" s="26"/>
      <c r="IWY231" s="23"/>
      <c r="IXD231" s="26"/>
      <c r="IXH231" s="23"/>
      <c r="IXM231" s="26"/>
      <c r="IXQ231" s="23"/>
      <c r="IXV231" s="26"/>
      <c r="IXZ231" s="23"/>
      <c r="IYE231" s="26"/>
      <c r="IYI231" s="23"/>
      <c r="IYN231" s="26"/>
      <c r="IYR231" s="23"/>
      <c r="IYW231" s="26"/>
      <c r="IZA231" s="23"/>
      <c r="IZF231" s="26"/>
      <c r="IZJ231" s="23"/>
      <c r="IZO231" s="26"/>
      <c r="IZS231" s="23"/>
      <c r="IZX231" s="26"/>
      <c r="JAB231" s="23"/>
      <c r="JAG231" s="26"/>
      <c r="JAK231" s="23"/>
      <c r="JAP231" s="26"/>
      <c r="JAT231" s="23"/>
      <c r="JAY231" s="26"/>
      <c r="JBC231" s="23"/>
      <c r="JBH231" s="26"/>
      <c r="JBL231" s="23"/>
      <c r="JBQ231" s="26"/>
      <c r="JBU231" s="23"/>
      <c r="JBZ231" s="26"/>
      <c r="JCD231" s="23"/>
      <c r="JCI231" s="26"/>
      <c r="JCM231" s="23"/>
      <c r="JCR231" s="26"/>
      <c r="JCV231" s="23"/>
      <c r="JDA231" s="26"/>
      <c r="JDE231" s="23"/>
      <c r="JDJ231" s="26"/>
      <c r="JDN231" s="23"/>
      <c r="JDS231" s="26"/>
      <c r="JDW231" s="23"/>
      <c r="JEB231" s="26"/>
      <c r="JEF231" s="23"/>
      <c r="JEK231" s="26"/>
      <c r="JEO231" s="23"/>
      <c r="JET231" s="26"/>
      <c r="JEX231" s="23"/>
      <c r="JFC231" s="26"/>
      <c r="JFG231" s="23"/>
      <c r="JFL231" s="26"/>
      <c r="JFP231" s="23"/>
      <c r="JFU231" s="26"/>
      <c r="JFY231" s="23"/>
      <c r="JGD231" s="26"/>
      <c r="JGH231" s="23"/>
      <c r="JGM231" s="26"/>
      <c r="JGQ231" s="23"/>
      <c r="JGV231" s="26"/>
      <c r="JGZ231" s="23"/>
      <c r="JHE231" s="26"/>
      <c r="JHI231" s="23"/>
      <c r="JHN231" s="26"/>
      <c r="JHR231" s="23"/>
      <c r="JHW231" s="26"/>
      <c r="JIA231" s="23"/>
      <c r="JIF231" s="26"/>
      <c r="JIJ231" s="23"/>
      <c r="JIO231" s="26"/>
      <c r="JIS231" s="23"/>
      <c r="JIX231" s="26"/>
      <c r="JJB231" s="23"/>
      <c r="JJG231" s="26"/>
      <c r="JJK231" s="23"/>
      <c r="JJP231" s="26"/>
      <c r="JJT231" s="23"/>
      <c r="JJY231" s="26"/>
      <c r="JKC231" s="23"/>
      <c r="JKH231" s="26"/>
      <c r="JKL231" s="23"/>
      <c r="JKQ231" s="26"/>
      <c r="JKU231" s="23"/>
      <c r="JKZ231" s="26"/>
      <c r="JLD231" s="23"/>
      <c r="JLI231" s="26"/>
      <c r="JLM231" s="23"/>
      <c r="JLR231" s="26"/>
      <c r="JLV231" s="23"/>
      <c r="JMA231" s="26"/>
      <c r="JME231" s="23"/>
      <c r="JMJ231" s="26"/>
      <c r="JMN231" s="23"/>
      <c r="JMS231" s="26"/>
      <c r="JMW231" s="23"/>
      <c r="JNB231" s="26"/>
      <c r="JNF231" s="23"/>
      <c r="JNK231" s="26"/>
      <c r="JNO231" s="23"/>
      <c r="JNT231" s="26"/>
      <c r="JNX231" s="23"/>
      <c r="JOC231" s="26"/>
      <c r="JOG231" s="23"/>
      <c r="JOL231" s="26"/>
      <c r="JOP231" s="23"/>
      <c r="JOU231" s="26"/>
      <c r="JOY231" s="23"/>
      <c r="JPD231" s="26"/>
      <c r="JPH231" s="23"/>
      <c r="JPM231" s="26"/>
      <c r="JPQ231" s="23"/>
      <c r="JPV231" s="26"/>
      <c r="JPZ231" s="23"/>
      <c r="JQE231" s="26"/>
      <c r="JQI231" s="23"/>
      <c r="JQN231" s="26"/>
      <c r="JQR231" s="23"/>
      <c r="JQW231" s="26"/>
      <c r="JRA231" s="23"/>
      <c r="JRF231" s="26"/>
      <c r="JRJ231" s="23"/>
      <c r="JRO231" s="26"/>
      <c r="JRS231" s="23"/>
      <c r="JRX231" s="26"/>
      <c r="JSB231" s="23"/>
      <c r="JSG231" s="26"/>
      <c r="JSK231" s="23"/>
      <c r="JSP231" s="26"/>
      <c r="JST231" s="23"/>
      <c r="JSY231" s="26"/>
      <c r="JTC231" s="23"/>
      <c r="JTH231" s="26"/>
      <c r="JTL231" s="23"/>
      <c r="JTQ231" s="26"/>
      <c r="JTU231" s="23"/>
      <c r="JTZ231" s="26"/>
      <c r="JUD231" s="23"/>
      <c r="JUI231" s="26"/>
      <c r="JUM231" s="23"/>
      <c r="JUR231" s="26"/>
      <c r="JUV231" s="23"/>
      <c r="JVA231" s="26"/>
      <c r="JVE231" s="23"/>
      <c r="JVJ231" s="26"/>
      <c r="JVN231" s="23"/>
      <c r="JVS231" s="26"/>
      <c r="JVW231" s="23"/>
      <c r="JWB231" s="26"/>
      <c r="JWF231" s="23"/>
      <c r="JWK231" s="26"/>
      <c r="JWO231" s="23"/>
      <c r="JWT231" s="26"/>
      <c r="JWX231" s="23"/>
      <c r="JXC231" s="26"/>
      <c r="JXG231" s="23"/>
      <c r="JXL231" s="26"/>
      <c r="JXP231" s="23"/>
      <c r="JXU231" s="26"/>
      <c r="JXY231" s="23"/>
      <c r="JYD231" s="26"/>
      <c r="JYH231" s="23"/>
      <c r="JYM231" s="26"/>
      <c r="JYQ231" s="23"/>
      <c r="JYV231" s="26"/>
      <c r="JYZ231" s="23"/>
      <c r="JZE231" s="26"/>
      <c r="JZI231" s="23"/>
      <c r="JZN231" s="26"/>
      <c r="JZR231" s="23"/>
      <c r="JZW231" s="26"/>
      <c r="KAA231" s="23"/>
      <c r="KAF231" s="26"/>
      <c r="KAJ231" s="23"/>
      <c r="KAO231" s="26"/>
      <c r="KAS231" s="23"/>
      <c r="KAX231" s="26"/>
      <c r="KBB231" s="23"/>
      <c r="KBG231" s="26"/>
      <c r="KBK231" s="23"/>
      <c r="KBP231" s="26"/>
      <c r="KBT231" s="23"/>
      <c r="KBY231" s="26"/>
      <c r="KCC231" s="23"/>
      <c r="KCH231" s="26"/>
      <c r="KCL231" s="23"/>
      <c r="KCQ231" s="26"/>
      <c r="KCU231" s="23"/>
      <c r="KCZ231" s="26"/>
      <c r="KDD231" s="23"/>
      <c r="KDI231" s="26"/>
      <c r="KDM231" s="23"/>
      <c r="KDR231" s="26"/>
      <c r="KDV231" s="23"/>
      <c r="KEA231" s="26"/>
      <c r="KEE231" s="23"/>
      <c r="KEJ231" s="26"/>
      <c r="KEN231" s="23"/>
      <c r="KES231" s="26"/>
      <c r="KEW231" s="23"/>
      <c r="KFB231" s="26"/>
      <c r="KFF231" s="23"/>
      <c r="KFK231" s="26"/>
      <c r="KFO231" s="23"/>
      <c r="KFT231" s="26"/>
      <c r="KFX231" s="23"/>
      <c r="KGC231" s="26"/>
      <c r="KGG231" s="23"/>
      <c r="KGL231" s="26"/>
      <c r="KGP231" s="23"/>
      <c r="KGU231" s="26"/>
      <c r="KGY231" s="23"/>
      <c r="KHD231" s="26"/>
      <c r="KHH231" s="23"/>
      <c r="KHM231" s="26"/>
      <c r="KHQ231" s="23"/>
      <c r="KHV231" s="26"/>
      <c r="KHZ231" s="23"/>
      <c r="KIE231" s="26"/>
      <c r="KII231" s="23"/>
      <c r="KIN231" s="26"/>
      <c r="KIR231" s="23"/>
      <c r="KIW231" s="26"/>
      <c r="KJA231" s="23"/>
      <c r="KJF231" s="26"/>
      <c r="KJJ231" s="23"/>
      <c r="KJO231" s="26"/>
      <c r="KJS231" s="23"/>
      <c r="KJX231" s="26"/>
      <c r="KKB231" s="23"/>
      <c r="KKG231" s="26"/>
      <c r="KKK231" s="23"/>
      <c r="KKP231" s="26"/>
      <c r="KKT231" s="23"/>
      <c r="KKY231" s="26"/>
      <c r="KLC231" s="23"/>
      <c r="KLH231" s="26"/>
      <c r="KLL231" s="23"/>
      <c r="KLQ231" s="26"/>
      <c r="KLU231" s="23"/>
      <c r="KLZ231" s="26"/>
      <c r="KMD231" s="23"/>
      <c r="KMI231" s="26"/>
      <c r="KMM231" s="23"/>
      <c r="KMR231" s="26"/>
      <c r="KMV231" s="23"/>
      <c r="KNA231" s="26"/>
      <c r="KNE231" s="23"/>
      <c r="KNJ231" s="26"/>
      <c r="KNN231" s="23"/>
      <c r="KNS231" s="26"/>
      <c r="KNW231" s="23"/>
      <c r="KOB231" s="26"/>
      <c r="KOF231" s="23"/>
      <c r="KOK231" s="26"/>
      <c r="KOO231" s="23"/>
      <c r="KOT231" s="26"/>
      <c r="KOX231" s="23"/>
      <c r="KPC231" s="26"/>
      <c r="KPG231" s="23"/>
      <c r="KPL231" s="26"/>
      <c r="KPP231" s="23"/>
      <c r="KPU231" s="26"/>
      <c r="KPY231" s="23"/>
      <c r="KQD231" s="26"/>
      <c r="KQH231" s="23"/>
      <c r="KQM231" s="26"/>
      <c r="KQQ231" s="23"/>
      <c r="KQV231" s="26"/>
      <c r="KQZ231" s="23"/>
      <c r="KRE231" s="26"/>
      <c r="KRI231" s="23"/>
      <c r="KRN231" s="26"/>
      <c r="KRR231" s="23"/>
      <c r="KRW231" s="26"/>
      <c r="KSA231" s="23"/>
      <c r="KSF231" s="26"/>
      <c r="KSJ231" s="23"/>
      <c r="KSO231" s="26"/>
      <c r="KSS231" s="23"/>
      <c r="KSX231" s="26"/>
      <c r="KTB231" s="23"/>
      <c r="KTG231" s="26"/>
      <c r="KTK231" s="23"/>
      <c r="KTP231" s="26"/>
      <c r="KTT231" s="23"/>
      <c r="KTY231" s="26"/>
      <c r="KUC231" s="23"/>
      <c r="KUH231" s="26"/>
      <c r="KUL231" s="23"/>
      <c r="KUQ231" s="26"/>
      <c r="KUU231" s="23"/>
      <c r="KUZ231" s="26"/>
      <c r="KVD231" s="23"/>
      <c r="KVI231" s="26"/>
      <c r="KVM231" s="23"/>
      <c r="KVR231" s="26"/>
      <c r="KVV231" s="23"/>
      <c r="KWA231" s="26"/>
      <c r="KWE231" s="23"/>
      <c r="KWJ231" s="26"/>
      <c r="KWN231" s="23"/>
      <c r="KWS231" s="26"/>
      <c r="KWW231" s="23"/>
      <c r="KXB231" s="26"/>
      <c r="KXF231" s="23"/>
      <c r="KXK231" s="26"/>
      <c r="KXO231" s="23"/>
      <c r="KXT231" s="26"/>
      <c r="KXX231" s="23"/>
      <c r="KYC231" s="26"/>
      <c r="KYG231" s="23"/>
      <c r="KYL231" s="26"/>
      <c r="KYP231" s="23"/>
      <c r="KYU231" s="26"/>
      <c r="KYY231" s="23"/>
      <c r="KZD231" s="26"/>
      <c r="KZH231" s="23"/>
      <c r="KZM231" s="26"/>
      <c r="KZQ231" s="23"/>
      <c r="KZV231" s="26"/>
      <c r="KZZ231" s="23"/>
      <c r="LAE231" s="26"/>
      <c r="LAI231" s="23"/>
      <c r="LAN231" s="26"/>
      <c r="LAR231" s="23"/>
      <c r="LAW231" s="26"/>
      <c r="LBA231" s="23"/>
      <c r="LBF231" s="26"/>
      <c r="LBJ231" s="23"/>
      <c r="LBO231" s="26"/>
      <c r="LBS231" s="23"/>
      <c r="LBX231" s="26"/>
      <c r="LCB231" s="23"/>
      <c r="LCG231" s="26"/>
      <c r="LCK231" s="23"/>
      <c r="LCP231" s="26"/>
      <c r="LCT231" s="23"/>
      <c r="LCY231" s="26"/>
      <c r="LDC231" s="23"/>
      <c r="LDH231" s="26"/>
      <c r="LDL231" s="23"/>
      <c r="LDQ231" s="26"/>
      <c r="LDU231" s="23"/>
      <c r="LDZ231" s="26"/>
      <c r="LED231" s="23"/>
      <c r="LEI231" s="26"/>
      <c r="LEM231" s="23"/>
      <c r="LER231" s="26"/>
      <c r="LEV231" s="23"/>
      <c r="LFA231" s="26"/>
      <c r="LFE231" s="23"/>
      <c r="LFJ231" s="26"/>
      <c r="LFN231" s="23"/>
      <c r="LFS231" s="26"/>
      <c r="LFW231" s="23"/>
      <c r="LGB231" s="26"/>
      <c r="LGF231" s="23"/>
      <c r="LGK231" s="26"/>
      <c r="LGO231" s="23"/>
      <c r="LGT231" s="26"/>
      <c r="LGX231" s="23"/>
      <c r="LHC231" s="26"/>
      <c r="LHG231" s="23"/>
      <c r="LHL231" s="26"/>
      <c r="LHP231" s="23"/>
      <c r="LHU231" s="26"/>
      <c r="LHY231" s="23"/>
      <c r="LID231" s="26"/>
      <c r="LIH231" s="23"/>
      <c r="LIM231" s="26"/>
      <c r="LIQ231" s="23"/>
      <c r="LIV231" s="26"/>
      <c r="LIZ231" s="23"/>
      <c r="LJE231" s="26"/>
      <c r="LJI231" s="23"/>
      <c r="LJN231" s="26"/>
      <c r="LJR231" s="23"/>
      <c r="LJW231" s="26"/>
      <c r="LKA231" s="23"/>
      <c r="LKF231" s="26"/>
      <c r="LKJ231" s="23"/>
      <c r="LKO231" s="26"/>
      <c r="LKS231" s="23"/>
      <c r="LKX231" s="26"/>
      <c r="LLB231" s="23"/>
      <c r="LLG231" s="26"/>
      <c r="LLK231" s="23"/>
      <c r="LLP231" s="26"/>
      <c r="LLT231" s="23"/>
      <c r="LLY231" s="26"/>
      <c r="LMC231" s="23"/>
      <c r="LMH231" s="26"/>
      <c r="LML231" s="23"/>
      <c r="LMQ231" s="26"/>
      <c r="LMU231" s="23"/>
      <c r="LMZ231" s="26"/>
      <c r="LND231" s="23"/>
      <c r="LNI231" s="26"/>
      <c r="LNM231" s="23"/>
      <c r="LNR231" s="26"/>
      <c r="LNV231" s="23"/>
      <c r="LOA231" s="26"/>
      <c r="LOE231" s="23"/>
      <c r="LOJ231" s="26"/>
      <c r="LON231" s="23"/>
      <c r="LOS231" s="26"/>
      <c r="LOW231" s="23"/>
      <c r="LPB231" s="26"/>
      <c r="LPF231" s="23"/>
      <c r="LPK231" s="26"/>
      <c r="LPO231" s="23"/>
      <c r="LPT231" s="26"/>
      <c r="LPX231" s="23"/>
      <c r="LQC231" s="26"/>
      <c r="LQG231" s="23"/>
      <c r="LQL231" s="26"/>
      <c r="LQP231" s="23"/>
      <c r="LQU231" s="26"/>
      <c r="LQY231" s="23"/>
      <c r="LRD231" s="26"/>
      <c r="LRH231" s="23"/>
      <c r="LRM231" s="26"/>
      <c r="LRQ231" s="23"/>
      <c r="LRV231" s="26"/>
      <c r="LRZ231" s="23"/>
      <c r="LSE231" s="26"/>
      <c r="LSI231" s="23"/>
      <c r="LSN231" s="26"/>
      <c r="LSR231" s="23"/>
      <c r="LSW231" s="26"/>
      <c r="LTA231" s="23"/>
      <c r="LTF231" s="26"/>
      <c r="LTJ231" s="23"/>
      <c r="LTO231" s="26"/>
      <c r="LTS231" s="23"/>
      <c r="LTX231" s="26"/>
      <c r="LUB231" s="23"/>
      <c r="LUG231" s="26"/>
      <c r="LUK231" s="23"/>
      <c r="LUP231" s="26"/>
      <c r="LUT231" s="23"/>
      <c r="LUY231" s="26"/>
      <c r="LVC231" s="23"/>
      <c r="LVH231" s="26"/>
      <c r="LVL231" s="23"/>
      <c r="LVQ231" s="26"/>
      <c r="LVU231" s="23"/>
      <c r="LVZ231" s="26"/>
      <c r="LWD231" s="23"/>
      <c r="LWI231" s="26"/>
      <c r="LWM231" s="23"/>
      <c r="LWR231" s="26"/>
      <c r="LWV231" s="23"/>
      <c r="LXA231" s="26"/>
      <c r="LXE231" s="23"/>
      <c r="LXJ231" s="26"/>
      <c r="LXN231" s="23"/>
      <c r="LXS231" s="26"/>
      <c r="LXW231" s="23"/>
      <c r="LYB231" s="26"/>
      <c r="LYF231" s="23"/>
      <c r="LYK231" s="26"/>
      <c r="LYO231" s="23"/>
      <c r="LYT231" s="26"/>
      <c r="LYX231" s="23"/>
      <c r="LZC231" s="26"/>
      <c r="LZG231" s="23"/>
      <c r="LZL231" s="26"/>
      <c r="LZP231" s="23"/>
      <c r="LZU231" s="26"/>
      <c r="LZY231" s="23"/>
      <c r="MAD231" s="26"/>
      <c r="MAH231" s="23"/>
      <c r="MAM231" s="26"/>
      <c r="MAQ231" s="23"/>
      <c r="MAV231" s="26"/>
      <c r="MAZ231" s="23"/>
      <c r="MBE231" s="26"/>
      <c r="MBI231" s="23"/>
      <c r="MBN231" s="26"/>
      <c r="MBR231" s="23"/>
      <c r="MBW231" s="26"/>
      <c r="MCA231" s="23"/>
      <c r="MCF231" s="26"/>
      <c r="MCJ231" s="23"/>
      <c r="MCO231" s="26"/>
      <c r="MCS231" s="23"/>
      <c r="MCX231" s="26"/>
      <c r="MDB231" s="23"/>
      <c r="MDG231" s="26"/>
      <c r="MDK231" s="23"/>
      <c r="MDP231" s="26"/>
      <c r="MDT231" s="23"/>
      <c r="MDY231" s="26"/>
      <c r="MEC231" s="23"/>
      <c r="MEH231" s="26"/>
      <c r="MEL231" s="23"/>
      <c r="MEQ231" s="26"/>
      <c r="MEU231" s="23"/>
      <c r="MEZ231" s="26"/>
      <c r="MFD231" s="23"/>
      <c r="MFI231" s="26"/>
      <c r="MFM231" s="23"/>
      <c r="MFR231" s="26"/>
      <c r="MFV231" s="23"/>
      <c r="MGA231" s="26"/>
      <c r="MGE231" s="23"/>
      <c r="MGJ231" s="26"/>
      <c r="MGN231" s="23"/>
      <c r="MGS231" s="26"/>
      <c r="MGW231" s="23"/>
      <c r="MHB231" s="26"/>
      <c r="MHF231" s="23"/>
      <c r="MHK231" s="26"/>
      <c r="MHO231" s="23"/>
      <c r="MHT231" s="26"/>
      <c r="MHX231" s="23"/>
      <c r="MIC231" s="26"/>
      <c r="MIG231" s="23"/>
      <c r="MIL231" s="26"/>
      <c r="MIP231" s="23"/>
      <c r="MIU231" s="26"/>
      <c r="MIY231" s="23"/>
      <c r="MJD231" s="26"/>
      <c r="MJH231" s="23"/>
      <c r="MJM231" s="26"/>
      <c r="MJQ231" s="23"/>
      <c r="MJV231" s="26"/>
      <c r="MJZ231" s="23"/>
      <c r="MKE231" s="26"/>
      <c r="MKI231" s="23"/>
      <c r="MKN231" s="26"/>
      <c r="MKR231" s="23"/>
      <c r="MKW231" s="26"/>
      <c r="MLA231" s="23"/>
      <c r="MLF231" s="26"/>
      <c r="MLJ231" s="23"/>
      <c r="MLO231" s="26"/>
      <c r="MLS231" s="23"/>
      <c r="MLX231" s="26"/>
      <c r="MMB231" s="23"/>
      <c r="MMG231" s="26"/>
      <c r="MMK231" s="23"/>
      <c r="MMP231" s="26"/>
      <c r="MMT231" s="23"/>
      <c r="MMY231" s="26"/>
      <c r="MNC231" s="23"/>
      <c r="MNH231" s="26"/>
      <c r="MNL231" s="23"/>
      <c r="MNQ231" s="26"/>
      <c r="MNU231" s="23"/>
      <c r="MNZ231" s="26"/>
      <c r="MOD231" s="23"/>
      <c r="MOI231" s="26"/>
      <c r="MOM231" s="23"/>
      <c r="MOR231" s="26"/>
      <c r="MOV231" s="23"/>
      <c r="MPA231" s="26"/>
      <c r="MPE231" s="23"/>
      <c r="MPJ231" s="26"/>
      <c r="MPN231" s="23"/>
      <c r="MPS231" s="26"/>
      <c r="MPW231" s="23"/>
      <c r="MQB231" s="26"/>
      <c r="MQF231" s="23"/>
      <c r="MQK231" s="26"/>
      <c r="MQO231" s="23"/>
      <c r="MQT231" s="26"/>
      <c r="MQX231" s="23"/>
      <c r="MRC231" s="26"/>
      <c r="MRG231" s="23"/>
      <c r="MRL231" s="26"/>
      <c r="MRP231" s="23"/>
      <c r="MRU231" s="26"/>
      <c r="MRY231" s="23"/>
      <c r="MSD231" s="26"/>
      <c r="MSH231" s="23"/>
      <c r="MSM231" s="26"/>
      <c r="MSQ231" s="23"/>
      <c r="MSV231" s="26"/>
      <c r="MSZ231" s="23"/>
      <c r="MTE231" s="26"/>
      <c r="MTI231" s="23"/>
      <c r="MTN231" s="26"/>
      <c r="MTR231" s="23"/>
      <c r="MTW231" s="26"/>
      <c r="MUA231" s="23"/>
      <c r="MUF231" s="26"/>
      <c r="MUJ231" s="23"/>
      <c r="MUO231" s="26"/>
      <c r="MUS231" s="23"/>
      <c r="MUX231" s="26"/>
      <c r="MVB231" s="23"/>
      <c r="MVG231" s="26"/>
      <c r="MVK231" s="23"/>
      <c r="MVP231" s="26"/>
      <c r="MVT231" s="23"/>
      <c r="MVY231" s="26"/>
      <c r="MWC231" s="23"/>
      <c r="MWH231" s="26"/>
      <c r="MWL231" s="23"/>
      <c r="MWQ231" s="26"/>
      <c r="MWU231" s="23"/>
      <c r="MWZ231" s="26"/>
      <c r="MXD231" s="23"/>
      <c r="MXI231" s="26"/>
      <c r="MXM231" s="23"/>
      <c r="MXR231" s="26"/>
      <c r="MXV231" s="23"/>
      <c r="MYA231" s="26"/>
      <c r="MYE231" s="23"/>
      <c r="MYJ231" s="26"/>
      <c r="MYN231" s="23"/>
      <c r="MYS231" s="26"/>
      <c r="MYW231" s="23"/>
      <c r="MZB231" s="26"/>
      <c r="MZF231" s="23"/>
      <c r="MZK231" s="26"/>
      <c r="MZO231" s="23"/>
      <c r="MZT231" s="26"/>
      <c r="MZX231" s="23"/>
      <c r="NAC231" s="26"/>
      <c r="NAG231" s="23"/>
      <c r="NAL231" s="26"/>
      <c r="NAP231" s="23"/>
      <c r="NAU231" s="26"/>
      <c r="NAY231" s="23"/>
      <c r="NBD231" s="26"/>
      <c r="NBH231" s="23"/>
      <c r="NBM231" s="26"/>
      <c r="NBQ231" s="23"/>
      <c r="NBV231" s="26"/>
      <c r="NBZ231" s="23"/>
      <c r="NCE231" s="26"/>
      <c r="NCI231" s="23"/>
      <c r="NCN231" s="26"/>
      <c r="NCR231" s="23"/>
      <c r="NCW231" s="26"/>
      <c r="NDA231" s="23"/>
      <c r="NDF231" s="26"/>
      <c r="NDJ231" s="23"/>
      <c r="NDO231" s="26"/>
      <c r="NDS231" s="23"/>
      <c r="NDX231" s="26"/>
      <c r="NEB231" s="23"/>
      <c r="NEG231" s="26"/>
      <c r="NEK231" s="23"/>
      <c r="NEP231" s="26"/>
      <c r="NET231" s="23"/>
      <c r="NEY231" s="26"/>
      <c r="NFC231" s="23"/>
      <c r="NFH231" s="26"/>
      <c r="NFL231" s="23"/>
      <c r="NFQ231" s="26"/>
      <c r="NFU231" s="23"/>
      <c r="NFZ231" s="26"/>
      <c r="NGD231" s="23"/>
      <c r="NGI231" s="26"/>
      <c r="NGM231" s="23"/>
      <c r="NGR231" s="26"/>
      <c r="NGV231" s="23"/>
      <c r="NHA231" s="26"/>
      <c r="NHE231" s="23"/>
      <c r="NHJ231" s="26"/>
      <c r="NHN231" s="23"/>
      <c r="NHS231" s="26"/>
      <c r="NHW231" s="23"/>
      <c r="NIB231" s="26"/>
      <c r="NIF231" s="23"/>
      <c r="NIK231" s="26"/>
      <c r="NIO231" s="23"/>
      <c r="NIT231" s="26"/>
      <c r="NIX231" s="23"/>
      <c r="NJC231" s="26"/>
      <c r="NJG231" s="23"/>
      <c r="NJL231" s="26"/>
      <c r="NJP231" s="23"/>
      <c r="NJU231" s="26"/>
      <c r="NJY231" s="23"/>
      <c r="NKD231" s="26"/>
      <c r="NKH231" s="23"/>
      <c r="NKM231" s="26"/>
      <c r="NKQ231" s="23"/>
      <c r="NKV231" s="26"/>
      <c r="NKZ231" s="23"/>
      <c r="NLE231" s="26"/>
      <c r="NLI231" s="23"/>
      <c r="NLN231" s="26"/>
      <c r="NLR231" s="23"/>
      <c r="NLW231" s="26"/>
      <c r="NMA231" s="23"/>
      <c r="NMF231" s="26"/>
      <c r="NMJ231" s="23"/>
      <c r="NMO231" s="26"/>
      <c r="NMS231" s="23"/>
      <c r="NMX231" s="26"/>
      <c r="NNB231" s="23"/>
      <c r="NNG231" s="26"/>
      <c r="NNK231" s="23"/>
      <c r="NNP231" s="26"/>
      <c r="NNT231" s="23"/>
      <c r="NNY231" s="26"/>
      <c r="NOC231" s="23"/>
      <c r="NOH231" s="26"/>
      <c r="NOL231" s="23"/>
      <c r="NOQ231" s="26"/>
      <c r="NOU231" s="23"/>
      <c r="NOZ231" s="26"/>
      <c r="NPD231" s="23"/>
      <c r="NPI231" s="26"/>
      <c r="NPM231" s="23"/>
      <c r="NPR231" s="26"/>
      <c r="NPV231" s="23"/>
      <c r="NQA231" s="26"/>
      <c r="NQE231" s="23"/>
      <c r="NQJ231" s="26"/>
      <c r="NQN231" s="23"/>
      <c r="NQS231" s="26"/>
      <c r="NQW231" s="23"/>
      <c r="NRB231" s="26"/>
      <c r="NRF231" s="23"/>
      <c r="NRK231" s="26"/>
      <c r="NRO231" s="23"/>
      <c r="NRT231" s="26"/>
      <c r="NRX231" s="23"/>
      <c r="NSC231" s="26"/>
      <c r="NSG231" s="23"/>
      <c r="NSL231" s="26"/>
      <c r="NSP231" s="23"/>
      <c r="NSU231" s="26"/>
      <c r="NSY231" s="23"/>
      <c r="NTD231" s="26"/>
      <c r="NTH231" s="23"/>
      <c r="NTM231" s="26"/>
      <c r="NTQ231" s="23"/>
      <c r="NTV231" s="26"/>
      <c r="NTZ231" s="23"/>
      <c r="NUE231" s="26"/>
      <c r="NUI231" s="23"/>
      <c r="NUN231" s="26"/>
      <c r="NUR231" s="23"/>
      <c r="NUW231" s="26"/>
      <c r="NVA231" s="23"/>
      <c r="NVF231" s="26"/>
      <c r="NVJ231" s="23"/>
      <c r="NVO231" s="26"/>
      <c r="NVS231" s="23"/>
      <c r="NVX231" s="26"/>
      <c r="NWB231" s="23"/>
      <c r="NWG231" s="26"/>
      <c r="NWK231" s="23"/>
      <c r="NWP231" s="26"/>
      <c r="NWT231" s="23"/>
      <c r="NWY231" s="26"/>
      <c r="NXC231" s="23"/>
      <c r="NXH231" s="26"/>
      <c r="NXL231" s="23"/>
      <c r="NXQ231" s="26"/>
      <c r="NXU231" s="23"/>
      <c r="NXZ231" s="26"/>
      <c r="NYD231" s="23"/>
      <c r="NYI231" s="26"/>
      <c r="NYM231" s="23"/>
      <c r="NYR231" s="26"/>
      <c r="NYV231" s="23"/>
      <c r="NZA231" s="26"/>
      <c r="NZE231" s="23"/>
      <c r="NZJ231" s="26"/>
      <c r="NZN231" s="23"/>
      <c r="NZS231" s="26"/>
      <c r="NZW231" s="23"/>
      <c r="OAB231" s="26"/>
      <c r="OAF231" s="23"/>
      <c r="OAK231" s="26"/>
      <c r="OAO231" s="23"/>
      <c r="OAT231" s="26"/>
      <c r="OAX231" s="23"/>
      <c r="OBC231" s="26"/>
      <c r="OBG231" s="23"/>
      <c r="OBL231" s="26"/>
      <c r="OBP231" s="23"/>
      <c r="OBU231" s="26"/>
      <c r="OBY231" s="23"/>
      <c r="OCD231" s="26"/>
      <c r="OCH231" s="23"/>
      <c r="OCM231" s="26"/>
      <c r="OCQ231" s="23"/>
      <c r="OCV231" s="26"/>
      <c r="OCZ231" s="23"/>
      <c r="ODE231" s="26"/>
      <c r="ODI231" s="23"/>
      <c r="ODN231" s="26"/>
      <c r="ODR231" s="23"/>
      <c r="ODW231" s="26"/>
      <c r="OEA231" s="23"/>
      <c r="OEF231" s="26"/>
      <c r="OEJ231" s="23"/>
      <c r="OEO231" s="26"/>
      <c r="OES231" s="23"/>
      <c r="OEX231" s="26"/>
      <c r="OFB231" s="23"/>
      <c r="OFG231" s="26"/>
      <c r="OFK231" s="23"/>
      <c r="OFP231" s="26"/>
      <c r="OFT231" s="23"/>
      <c r="OFY231" s="26"/>
      <c r="OGC231" s="23"/>
      <c r="OGH231" s="26"/>
      <c r="OGL231" s="23"/>
      <c r="OGQ231" s="26"/>
      <c r="OGU231" s="23"/>
      <c r="OGZ231" s="26"/>
      <c r="OHD231" s="23"/>
      <c r="OHI231" s="26"/>
      <c r="OHM231" s="23"/>
      <c r="OHR231" s="26"/>
      <c r="OHV231" s="23"/>
      <c r="OIA231" s="26"/>
      <c r="OIE231" s="23"/>
      <c r="OIJ231" s="26"/>
      <c r="OIN231" s="23"/>
      <c r="OIS231" s="26"/>
      <c r="OIW231" s="23"/>
      <c r="OJB231" s="26"/>
      <c r="OJF231" s="23"/>
      <c r="OJK231" s="26"/>
      <c r="OJO231" s="23"/>
      <c r="OJT231" s="26"/>
      <c r="OJX231" s="23"/>
      <c r="OKC231" s="26"/>
      <c r="OKG231" s="23"/>
      <c r="OKL231" s="26"/>
      <c r="OKP231" s="23"/>
      <c r="OKU231" s="26"/>
      <c r="OKY231" s="23"/>
      <c r="OLD231" s="26"/>
      <c r="OLH231" s="23"/>
      <c r="OLM231" s="26"/>
      <c r="OLQ231" s="23"/>
      <c r="OLV231" s="26"/>
      <c r="OLZ231" s="23"/>
      <c r="OME231" s="26"/>
      <c r="OMI231" s="23"/>
      <c r="OMN231" s="26"/>
      <c r="OMR231" s="23"/>
      <c r="OMW231" s="26"/>
      <c r="ONA231" s="23"/>
      <c r="ONF231" s="26"/>
      <c r="ONJ231" s="23"/>
      <c r="ONO231" s="26"/>
      <c r="ONS231" s="23"/>
      <c r="ONX231" s="26"/>
      <c r="OOB231" s="23"/>
      <c r="OOG231" s="26"/>
      <c r="OOK231" s="23"/>
      <c r="OOP231" s="26"/>
      <c r="OOT231" s="23"/>
      <c r="OOY231" s="26"/>
      <c r="OPC231" s="23"/>
      <c r="OPH231" s="26"/>
      <c r="OPL231" s="23"/>
      <c r="OPQ231" s="26"/>
      <c r="OPU231" s="23"/>
      <c r="OPZ231" s="26"/>
      <c r="OQD231" s="23"/>
      <c r="OQI231" s="26"/>
      <c r="OQM231" s="23"/>
      <c r="OQR231" s="26"/>
      <c r="OQV231" s="23"/>
      <c r="ORA231" s="26"/>
      <c r="ORE231" s="23"/>
      <c r="ORJ231" s="26"/>
      <c r="ORN231" s="23"/>
      <c r="ORS231" s="26"/>
      <c r="ORW231" s="23"/>
      <c r="OSB231" s="26"/>
      <c r="OSF231" s="23"/>
      <c r="OSK231" s="26"/>
      <c r="OSO231" s="23"/>
      <c r="OST231" s="26"/>
      <c r="OSX231" s="23"/>
      <c r="OTC231" s="26"/>
      <c r="OTG231" s="23"/>
      <c r="OTL231" s="26"/>
      <c r="OTP231" s="23"/>
      <c r="OTU231" s="26"/>
      <c r="OTY231" s="23"/>
      <c r="OUD231" s="26"/>
      <c r="OUH231" s="23"/>
      <c r="OUM231" s="26"/>
      <c r="OUQ231" s="23"/>
      <c r="OUV231" s="26"/>
      <c r="OUZ231" s="23"/>
      <c r="OVE231" s="26"/>
      <c r="OVI231" s="23"/>
      <c r="OVN231" s="26"/>
      <c r="OVR231" s="23"/>
      <c r="OVW231" s="26"/>
      <c r="OWA231" s="23"/>
      <c r="OWF231" s="26"/>
      <c r="OWJ231" s="23"/>
      <c r="OWO231" s="26"/>
      <c r="OWS231" s="23"/>
      <c r="OWX231" s="26"/>
      <c r="OXB231" s="23"/>
      <c r="OXG231" s="26"/>
      <c r="OXK231" s="23"/>
      <c r="OXP231" s="26"/>
      <c r="OXT231" s="23"/>
      <c r="OXY231" s="26"/>
      <c r="OYC231" s="23"/>
      <c r="OYH231" s="26"/>
      <c r="OYL231" s="23"/>
      <c r="OYQ231" s="26"/>
      <c r="OYU231" s="23"/>
      <c r="OYZ231" s="26"/>
      <c r="OZD231" s="23"/>
      <c r="OZI231" s="26"/>
      <c r="OZM231" s="23"/>
      <c r="OZR231" s="26"/>
      <c r="OZV231" s="23"/>
      <c r="PAA231" s="26"/>
      <c r="PAE231" s="23"/>
      <c r="PAJ231" s="26"/>
      <c r="PAN231" s="23"/>
      <c r="PAS231" s="26"/>
      <c r="PAW231" s="23"/>
      <c r="PBB231" s="26"/>
      <c r="PBF231" s="23"/>
      <c r="PBK231" s="26"/>
      <c r="PBO231" s="23"/>
      <c r="PBT231" s="26"/>
      <c r="PBX231" s="23"/>
      <c r="PCC231" s="26"/>
      <c r="PCG231" s="23"/>
      <c r="PCL231" s="26"/>
      <c r="PCP231" s="23"/>
      <c r="PCU231" s="26"/>
      <c r="PCY231" s="23"/>
      <c r="PDD231" s="26"/>
      <c r="PDH231" s="23"/>
      <c r="PDM231" s="26"/>
      <c r="PDQ231" s="23"/>
      <c r="PDV231" s="26"/>
      <c r="PDZ231" s="23"/>
      <c r="PEE231" s="26"/>
      <c r="PEI231" s="23"/>
      <c r="PEN231" s="26"/>
      <c r="PER231" s="23"/>
      <c r="PEW231" s="26"/>
      <c r="PFA231" s="23"/>
      <c r="PFF231" s="26"/>
      <c r="PFJ231" s="23"/>
      <c r="PFO231" s="26"/>
      <c r="PFS231" s="23"/>
      <c r="PFX231" s="26"/>
      <c r="PGB231" s="23"/>
      <c r="PGG231" s="26"/>
      <c r="PGK231" s="23"/>
      <c r="PGP231" s="26"/>
      <c r="PGT231" s="23"/>
      <c r="PGY231" s="26"/>
      <c r="PHC231" s="23"/>
      <c r="PHH231" s="26"/>
      <c r="PHL231" s="23"/>
      <c r="PHQ231" s="26"/>
      <c r="PHU231" s="23"/>
      <c r="PHZ231" s="26"/>
      <c r="PID231" s="23"/>
      <c r="PII231" s="26"/>
      <c r="PIM231" s="23"/>
      <c r="PIR231" s="26"/>
      <c r="PIV231" s="23"/>
      <c r="PJA231" s="26"/>
      <c r="PJE231" s="23"/>
      <c r="PJJ231" s="26"/>
      <c r="PJN231" s="23"/>
      <c r="PJS231" s="26"/>
      <c r="PJW231" s="23"/>
      <c r="PKB231" s="26"/>
      <c r="PKF231" s="23"/>
      <c r="PKK231" s="26"/>
      <c r="PKO231" s="23"/>
      <c r="PKT231" s="26"/>
      <c r="PKX231" s="23"/>
      <c r="PLC231" s="26"/>
      <c r="PLG231" s="23"/>
      <c r="PLL231" s="26"/>
      <c r="PLP231" s="23"/>
      <c r="PLU231" s="26"/>
      <c r="PLY231" s="23"/>
      <c r="PMD231" s="26"/>
      <c r="PMH231" s="23"/>
      <c r="PMM231" s="26"/>
      <c r="PMQ231" s="23"/>
      <c r="PMV231" s="26"/>
      <c r="PMZ231" s="23"/>
      <c r="PNE231" s="26"/>
      <c r="PNI231" s="23"/>
      <c r="PNN231" s="26"/>
      <c r="PNR231" s="23"/>
      <c r="PNW231" s="26"/>
      <c r="POA231" s="23"/>
      <c r="POF231" s="26"/>
      <c r="POJ231" s="23"/>
      <c r="POO231" s="26"/>
      <c r="POS231" s="23"/>
      <c r="POX231" s="26"/>
      <c r="PPB231" s="23"/>
      <c r="PPG231" s="26"/>
      <c r="PPK231" s="23"/>
      <c r="PPP231" s="26"/>
      <c r="PPT231" s="23"/>
      <c r="PPY231" s="26"/>
      <c r="PQC231" s="23"/>
      <c r="PQH231" s="26"/>
      <c r="PQL231" s="23"/>
      <c r="PQQ231" s="26"/>
      <c r="PQU231" s="23"/>
      <c r="PQZ231" s="26"/>
      <c r="PRD231" s="23"/>
      <c r="PRI231" s="26"/>
      <c r="PRM231" s="23"/>
      <c r="PRR231" s="26"/>
      <c r="PRV231" s="23"/>
      <c r="PSA231" s="26"/>
      <c r="PSE231" s="23"/>
      <c r="PSJ231" s="26"/>
      <c r="PSN231" s="23"/>
      <c r="PSS231" s="26"/>
      <c r="PSW231" s="23"/>
      <c r="PTB231" s="26"/>
      <c r="PTF231" s="23"/>
      <c r="PTK231" s="26"/>
      <c r="PTO231" s="23"/>
      <c r="PTT231" s="26"/>
      <c r="PTX231" s="23"/>
      <c r="PUC231" s="26"/>
      <c r="PUG231" s="23"/>
      <c r="PUL231" s="26"/>
      <c r="PUP231" s="23"/>
      <c r="PUU231" s="26"/>
      <c r="PUY231" s="23"/>
      <c r="PVD231" s="26"/>
      <c r="PVH231" s="23"/>
      <c r="PVM231" s="26"/>
      <c r="PVQ231" s="23"/>
      <c r="PVV231" s="26"/>
      <c r="PVZ231" s="23"/>
      <c r="PWE231" s="26"/>
      <c r="PWI231" s="23"/>
      <c r="PWN231" s="26"/>
      <c r="PWR231" s="23"/>
      <c r="PWW231" s="26"/>
      <c r="PXA231" s="23"/>
      <c r="PXF231" s="26"/>
      <c r="PXJ231" s="23"/>
      <c r="PXO231" s="26"/>
      <c r="PXS231" s="23"/>
      <c r="PXX231" s="26"/>
      <c r="PYB231" s="23"/>
      <c r="PYG231" s="26"/>
      <c r="PYK231" s="23"/>
      <c r="PYP231" s="26"/>
      <c r="PYT231" s="23"/>
      <c r="PYY231" s="26"/>
      <c r="PZC231" s="23"/>
      <c r="PZH231" s="26"/>
      <c r="PZL231" s="23"/>
      <c r="PZQ231" s="26"/>
      <c r="PZU231" s="23"/>
      <c r="PZZ231" s="26"/>
      <c r="QAD231" s="23"/>
      <c r="QAI231" s="26"/>
      <c r="QAM231" s="23"/>
      <c r="QAR231" s="26"/>
      <c r="QAV231" s="23"/>
      <c r="QBA231" s="26"/>
      <c r="QBE231" s="23"/>
      <c r="QBJ231" s="26"/>
      <c r="QBN231" s="23"/>
      <c r="QBS231" s="26"/>
      <c r="QBW231" s="23"/>
      <c r="QCB231" s="26"/>
      <c r="QCF231" s="23"/>
      <c r="QCK231" s="26"/>
      <c r="QCO231" s="23"/>
      <c r="QCT231" s="26"/>
      <c r="QCX231" s="23"/>
      <c r="QDC231" s="26"/>
      <c r="QDG231" s="23"/>
      <c r="QDL231" s="26"/>
      <c r="QDP231" s="23"/>
      <c r="QDU231" s="26"/>
      <c r="QDY231" s="23"/>
      <c r="QED231" s="26"/>
      <c r="QEH231" s="23"/>
      <c r="QEM231" s="26"/>
      <c r="QEQ231" s="23"/>
      <c r="QEV231" s="26"/>
      <c r="QEZ231" s="23"/>
      <c r="QFE231" s="26"/>
      <c r="QFI231" s="23"/>
      <c r="QFN231" s="26"/>
      <c r="QFR231" s="23"/>
      <c r="QFW231" s="26"/>
      <c r="QGA231" s="23"/>
      <c r="QGF231" s="26"/>
      <c r="QGJ231" s="23"/>
      <c r="QGO231" s="26"/>
      <c r="QGS231" s="23"/>
      <c r="QGX231" s="26"/>
      <c r="QHB231" s="23"/>
      <c r="QHG231" s="26"/>
      <c r="QHK231" s="23"/>
      <c r="QHP231" s="26"/>
      <c r="QHT231" s="23"/>
      <c r="QHY231" s="26"/>
      <c r="QIC231" s="23"/>
      <c r="QIH231" s="26"/>
      <c r="QIL231" s="23"/>
      <c r="QIQ231" s="26"/>
      <c r="QIU231" s="23"/>
      <c r="QIZ231" s="26"/>
      <c r="QJD231" s="23"/>
      <c r="QJI231" s="26"/>
      <c r="QJM231" s="23"/>
      <c r="QJR231" s="26"/>
      <c r="QJV231" s="23"/>
      <c r="QKA231" s="26"/>
      <c r="QKE231" s="23"/>
      <c r="QKJ231" s="26"/>
      <c r="QKN231" s="23"/>
      <c r="QKS231" s="26"/>
      <c r="QKW231" s="23"/>
      <c r="QLB231" s="26"/>
      <c r="QLF231" s="23"/>
      <c r="QLK231" s="26"/>
      <c r="QLO231" s="23"/>
      <c r="QLT231" s="26"/>
      <c r="QLX231" s="23"/>
      <c r="QMC231" s="26"/>
      <c r="QMG231" s="23"/>
      <c r="QML231" s="26"/>
      <c r="QMP231" s="23"/>
      <c r="QMU231" s="26"/>
      <c r="QMY231" s="23"/>
      <c r="QND231" s="26"/>
      <c r="QNH231" s="23"/>
      <c r="QNM231" s="26"/>
      <c r="QNQ231" s="23"/>
      <c r="QNV231" s="26"/>
      <c r="QNZ231" s="23"/>
      <c r="QOE231" s="26"/>
      <c r="QOI231" s="23"/>
      <c r="QON231" s="26"/>
      <c r="QOR231" s="23"/>
      <c r="QOW231" s="26"/>
      <c r="QPA231" s="23"/>
      <c r="QPF231" s="26"/>
      <c r="QPJ231" s="23"/>
      <c r="QPO231" s="26"/>
      <c r="QPS231" s="23"/>
      <c r="QPX231" s="26"/>
      <c r="QQB231" s="23"/>
      <c r="QQG231" s="26"/>
      <c r="QQK231" s="23"/>
      <c r="QQP231" s="26"/>
      <c r="QQT231" s="23"/>
      <c r="QQY231" s="26"/>
      <c r="QRC231" s="23"/>
      <c r="QRH231" s="26"/>
      <c r="QRL231" s="23"/>
      <c r="QRQ231" s="26"/>
      <c r="QRU231" s="23"/>
      <c r="QRZ231" s="26"/>
      <c r="QSD231" s="23"/>
      <c r="QSI231" s="26"/>
      <c r="QSM231" s="23"/>
      <c r="QSR231" s="26"/>
      <c r="QSV231" s="23"/>
      <c r="QTA231" s="26"/>
      <c r="QTE231" s="23"/>
      <c r="QTJ231" s="26"/>
      <c r="QTN231" s="23"/>
      <c r="QTS231" s="26"/>
      <c r="QTW231" s="23"/>
      <c r="QUB231" s="26"/>
      <c r="QUF231" s="23"/>
      <c r="QUK231" s="26"/>
      <c r="QUO231" s="23"/>
      <c r="QUT231" s="26"/>
      <c r="QUX231" s="23"/>
      <c r="QVC231" s="26"/>
      <c r="QVG231" s="23"/>
      <c r="QVL231" s="26"/>
      <c r="QVP231" s="23"/>
      <c r="QVU231" s="26"/>
      <c r="QVY231" s="23"/>
      <c r="QWD231" s="26"/>
      <c r="QWH231" s="23"/>
      <c r="QWM231" s="26"/>
      <c r="QWQ231" s="23"/>
      <c r="QWV231" s="26"/>
      <c r="QWZ231" s="23"/>
      <c r="QXE231" s="26"/>
      <c r="QXI231" s="23"/>
      <c r="QXN231" s="26"/>
      <c r="QXR231" s="23"/>
      <c r="QXW231" s="26"/>
      <c r="QYA231" s="23"/>
      <c r="QYF231" s="26"/>
      <c r="QYJ231" s="23"/>
      <c r="QYO231" s="26"/>
      <c r="QYS231" s="23"/>
      <c r="QYX231" s="26"/>
      <c r="QZB231" s="23"/>
      <c r="QZG231" s="26"/>
      <c r="QZK231" s="23"/>
      <c r="QZP231" s="26"/>
      <c r="QZT231" s="23"/>
      <c r="QZY231" s="26"/>
      <c r="RAC231" s="23"/>
      <c r="RAH231" s="26"/>
      <c r="RAL231" s="23"/>
      <c r="RAQ231" s="26"/>
      <c r="RAU231" s="23"/>
      <c r="RAZ231" s="26"/>
      <c r="RBD231" s="23"/>
      <c r="RBI231" s="26"/>
      <c r="RBM231" s="23"/>
      <c r="RBR231" s="26"/>
      <c r="RBV231" s="23"/>
      <c r="RCA231" s="26"/>
      <c r="RCE231" s="23"/>
      <c r="RCJ231" s="26"/>
      <c r="RCN231" s="23"/>
      <c r="RCS231" s="26"/>
      <c r="RCW231" s="23"/>
      <c r="RDB231" s="26"/>
      <c r="RDF231" s="23"/>
      <c r="RDK231" s="26"/>
      <c r="RDO231" s="23"/>
      <c r="RDT231" s="26"/>
      <c r="RDX231" s="23"/>
      <c r="REC231" s="26"/>
      <c r="REG231" s="23"/>
      <c r="REL231" s="26"/>
      <c r="REP231" s="23"/>
      <c r="REU231" s="26"/>
      <c r="REY231" s="23"/>
      <c r="RFD231" s="26"/>
      <c r="RFH231" s="23"/>
      <c r="RFM231" s="26"/>
      <c r="RFQ231" s="23"/>
      <c r="RFV231" s="26"/>
      <c r="RFZ231" s="23"/>
      <c r="RGE231" s="26"/>
      <c r="RGI231" s="23"/>
      <c r="RGN231" s="26"/>
      <c r="RGR231" s="23"/>
      <c r="RGW231" s="26"/>
      <c r="RHA231" s="23"/>
      <c r="RHF231" s="26"/>
      <c r="RHJ231" s="23"/>
      <c r="RHO231" s="26"/>
      <c r="RHS231" s="23"/>
      <c r="RHX231" s="26"/>
      <c r="RIB231" s="23"/>
      <c r="RIG231" s="26"/>
      <c r="RIK231" s="23"/>
      <c r="RIP231" s="26"/>
      <c r="RIT231" s="23"/>
      <c r="RIY231" s="26"/>
      <c r="RJC231" s="23"/>
      <c r="RJH231" s="26"/>
      <c r="RJL231" s="23"/>
      <c r="RJQ231" s="26"/>
      <c r="RJU231" s="23"/>
      <c r="RJZ231" s="26"/>
      <c r="RKD231" s="23"/>
      <c r="RKI231" s="26"/>
      <c r="RKM231" s="23"/>
      <c r="RKR231" s="26"/>
      <c r="RKV231" s="23"/>
      <c r="RLA231" s="26"/>
      <c r="RLE231" s="23"/>
      <c r="RLJ231" s="26"/>
      <c r="RLN231" s="23"/>
      <c r="RLS231" s="26"/>
      <c r="RLW231" s="23"/>
      <c r="RMB231" s="26"/>
      <c r="RMF231" s="23"/>
      <c r="RMK231" s="26"/>
      <c r="RMO231" s="23"/>
      <c r="RMT231" s="26"/>
      <c r="RMX231" s="23"/>
      <c r="RNC231" s="26"/>
      <c r="RNG231" s="23"/>
      <c r="RNL231" s="26"/>
      <c r="RNP231" s="23"/>
      <c r="RNU231" s="26"/>
      <c r="RNY231" s="23"/>
      <c r="ROD231" s="26"/>
      <c r="ROH231" s="23"/>
      <c r="ROM231" s="26"/>
      <c r="ROQ231" s="23"/>
      <c r="ROV231" s="26"/>
      <c r="ROZ231" s="23"/>
      <c r="RPE231" s="26"/>
      <c r="RPI231" s="23"/>
      <c r="RPN231" s="26"/>
      <c r="RPR231" s="23"/>
      <c r="RPW231" s="26"/>
      <c r="RQA231" s="23"/>
      <c r="RQF231" s="26"/>
      <c r="RQJ231" s="23"/>
      <c r="RQO231" s="26"/>
      <c r="RQS231" s="23"/>
      <c r="RQX231" s="26"/>
      <c r="RRB231" s="23"/>
      <c r="RRG231" s="26"/>
      <c r="RRK231" s="23"/>
      <c r="RRP231" s="26"/>
      <c r="RRT231" s="23"/>
      <c r="RRY231" s="26"/>
      <c r="RSC231" s="23"/>
      <c r="RSH231" s="26"/>
      <c r="RSL231" s="23"/>
      <c r="RSQ231" s="26"/>
      <c r="RSU231" s="23"/>
      <c r="RSZ231" s="26"/>
      <c r="RTD231" s="23"/>
      <c r="RTI231" s="26"/>
      <c r="RTM231" s="23"/>
      <c r="RTR231" s="26"/>
      <c r="RTV231" s="23"/>
      <c r="RUA231" s="26"/>
      <c r="RUE231" s="23"/>
      <c r="RUJ231" s="26"/>
      <c r="RUN231" s="23"/>
      <c r="RUS231" s="26"/>
      <c r="RUW231" s="23"/>
      <c r="RVB231" s="26"/>
      <c r="RVF231" s="23"/>
      <c r="RVK231" s="26"/>
      <c r="RVO231" s="23"/>
      <c r="RVT231" s="26"/>
      <c r="RVX231" s="23"/>
      <c r="RWC231" s="26"/>
      <c r="RWG231" s="23"/>
      <c r="RWL231" s="26"/>
      <c r="RWP231" s="23"/>
      <c r="RWU231" s="26"/>
      <c r="RWY231" s="23"/>
      <c r="RXD231" s="26"/>
      <c r="RXH231" s="23"/>
      <c r="RXM231" s="26"/>
      <c r="RXQ231" s="23"/>
      <c r="RXV231" s="26"/>
      <c r="RXZ231" s="23"/>
      <c r="RYE231" s="26"/>
      <c r="RYI231" s="23"/>
      <c r="RYN231" s="26"/>
      <c r="RYR231" s="23"/>
      <c r="RYW231" s="26"/>
      <c r="RZA231" s="23"/>
      <c r="RZF231" s="26"/>
      <c r="RZJ231" s="23"/>
      <c r="RZO231" s="26"/>
      <c r="RZS231" s="23"/>
      <c r="RZX231" s="26"/>
      <c r="SAB231" s="23"/>
      <c r="SAG231" s="26"/>
      <c r="SAK231" s="23"/>
      <c r="SAP231" s="26"/>
      <c r="SAT231" s="23"/>
      <c r="SAY231" s="26"/>
      <c r="SBC231" s="23"/>
      <c r="SBH231" s="26"/>
      <c r="SBL231" s="23"/>
      <c r="SBQ231" s="26"/>
      <c r="SBU231" s="23"/>
      <c r="SBZ231" s="26"/>
      <c r="SCD231" s="23"/>
      <c r="SCI231" s="26"/>
      <c r="SCM231" s="23"/>
      <c r="SCR231" s="26"/>
      <c r="SCV231" s="23"/>
      <c r="SDA231" s="26"/>
      <c r="SDE231" s="23"/>
      <c r="SDJ231" s="26"/>
      <c r="SDN231" s="23"/>
      <c r="SDS231" s="26"/>
      <c r="SDW231" s="23"/>
      <c r="SEB231" s="26"/>
      <c r="SEF231" s="23"/>
      <c r="SEK231" s="26"/>
      <c r="SEO231" s="23"/>
      <c r="SET231" s="26"/>
      <c r="SEX231" s="23"/>
      <c r="SFC231" s="26"/>
      <c r="SFG231" s="23"/>
      <c r="SFL231" s="26"/>
      <c r="SFP231" s="23"/>
      <c r="SFU231" s="26"/>
      <c r="SFY231" s="23"/>
      <c r="SGD231" s="26"/>
      <c r="SGH231" s="23"/>
      <c r="SGM231" s="26"/>
      <c r="SGQ231" s="23"/>
      <c r="SGV231" s="26"/>
      <c r="SGZ231" s="23"/>
      <c r="SHE231" s="26"/>
      <c r="SHI231" s="23"/>
      <c r="SHN231" s="26"/>
      <c r="SHR231" s="23"/>
      <c r="SHW231" s="26"/>
      <c r="SIA231" s="23"/>
      <c r="SIF231" s="26"/>
      <c r="SIJ231" s="23"/>
      <c r="SIO231" s="26"/>
      <c r="SIS231" s="23"/>
      <c r="SIX231" s="26"/>
      <c r="SJB231" s="23"/>
      <c r="SJG231" s="26"/>
      <c r="SJK231" s="23"/>
      <c r="SJP231" s="26"/>
      <c r="SJT231" s="23"/>
      <c r="SJY231" s="26"/>
      <c r="SKC231" s="23"/>
      <c r="SKH231" s="26"/>
      <c r="SKL231" s="23"/>
      <c r="SKQ231" s="26"/>
      <c r="SKU231" s="23"/>
      <c r="SKZ231" s="26"/>
      <c r="SLD231" s="23"/>
      <c r="SLI231" s="26"/>
      <c r="SLM231" s="23"/>
      <c r="SLR231" s="26"/>
      <c r="SLV231" s="23"/>
      <c r="SMA231" s="26"/>
      <c r="SME231" s="23"/>
      <c r="SMJ231" s="26"/>
      <c r="SMN231" s="23"/>
      <c r="SMS231" s="26"/>
      <c r="SMW231" s="23"/>
      <c r="SNB231" s="26"/>
      <c r="SNF231" s="23"/>
      <c r="SNK231" s="26"/>
      <c r="SNO231" s="23"/>
      <c r="SNT231" s="26"/>
      <c r="SNX231" s="23"/>
      <c r="SOC231" s="26"/>
      <c r="SOG231" s="23"/>
      <c r="SOL231" s="26"/>
      <c r="SOP231" s="23"/>
      <c r="SOU231" s="26"/>
      <c r="SOY231" s="23"/>
      <c r="SPD231" s="26"/>
      <c r="SPH231" s="23"/>
      <c r="SPM231" s="26"/>
      <c r="SPQ231" s="23"/>
      <c r="SPV231" s="26"/>
      <c r="SPZ231" s="23"/>
      <c r="SQE231" s="26"/>
      <c r="SQI231" s="23"/>
      <c r="SQN231" s="26"/>
      <c r="SQR231" s="23"/>
      <c r="SQW231" s="26"/>
      <c r="SRA231" s="23"/>
      <c r="SRF231" s="26"/>
      <c r="SRJ231" s="23"/>
      <c r="SRO231" s="26"/>
      <c r="SRS231" s="23"/>
      <c r="SRX231" s="26"/>
      <c r="SSB231" s="23"/>
      <c r="SSG231" s="26"/>
      <c r="SSK231" s="23"/>
      <c r="SSP231" s="26"/>
      <c r="SST231" s="23"/>
      <c r="SSY231" s="26"/>
      <c r="STC231" s="23"/>
      <c r="STH231" s="26"/>
      <c r="STL231" s="23"/>
      <c r="STQ231" s="26"/>
      <c r="STU231" s="23"/>
      <c r="STZ231" s="26"/>
      <c r="SUD231" s="23"/>
      <c r="SUI231" s="26"/>
      <c r="SUM231" s="23"/>
      <c r="SUR231" s="26"/>
      <c r="SUV231" s="23"/>
      <c r="SVA231" s="26"/>
      <c r="SVE231" s="23"/>
      <c r="SVJ231" s="26"/>
      <c r="SVN231" s="23"/>
      <c r="SVS231" s="26"/>
      <c r="SVW231" s="23"/>
      <c r="SWB231" s="26"/>
      <c r="SWF231" s="23"/>
      <c r="SWK231" s="26"/>
      <c r="SWO231" s="23"/>
      <c r="SWT231" s="26"/>
      <c r="SWX231" s="23"/>
      <c r="SXC231" s="26"/>
      <c r="SXG231" s="23"/>
      <c r="SXL231" s="26"/>
      <c r="SXP231" s="23"/>
      <c r="SXU231" s="26"/>
      <c r="SXY231" s="23"/>
      <c r="SYD231" s="26"/>
      <c r="SYH231" s="23"/>
      <c r="SYM231" s="26"/>
      <c r="SYQ231" s="23"/>
      <c r="SYV231" s="26"/>
      <c r="SYZ231" s="23"/>
      <c r="SZE231" s="26"/>
      <c r="SZI231" s="23"/>
      <c r="SZN231" s="26"/>
      <c r="SZR231" s="23"/>
      <c r="SZW231" s="26"/>
      <c r="TAA231" s="23"/>
      <c r="TAF231" s="26"/>
      <c r="TAJ231" s="23"/>
      <c r="TAO231" s="26"/>
      <c r="TAS231" s="23"/>
      <c r="TAX231" s="26"/>
      <c r="TBB231" s="23"/>
      <c r="TBG231" s="26"/>
      <c r="TBK231" s="23"/>
      <c r="TBP231" s="26"/>
      <c r="TBT231" s="23"/>
      <c r="TBY231" s="26"/>
      <c r="TCC231" s="23"/>
      <c r="TCH231" s="26"/>
      <c r="TCL231" s="23"/>
      <c r="TCQ231" s="26"/>
      <c r="TCU231" s="23"/>
      <c r="TCZ231" s="26"/>
      <c r="TDD231" s="23"/>
      <c r="TDI231" s="26"/>
      <c r="TDM231" s="23"/>
      <c r="TDR231" s="26"/>
      <c r="TDV231" s="23"/>
      <c r="TEA231" s="26"/>
      <c r="TEE231" s="23"/>
      <c r="TEJ231" s="26"/>
      <c r="TEN231" s="23"/>
      <c r="TES231" s="26"/>
      <c r="TEW231" s="23"/>
      <c r="TFB231" s="26"/>
      <c r="TFF231" s="23"/>
      <c r="TFK231" s="26"/>
      <c r="TFO231" s="23"/>
      <c r="TFT231" s="26"/>
      <c r="TFX231" s="23"/>
      <c r="TGC231" s="26"/>
      <c r="TGG231" s="23"/>
      <c r="TGL231" s="26"/>
      <c r="TGP231" s="23"/>
      <c r="TGU231" s="26"/>
      <c r="TGY231" s="23"/>
      <c r="THD231" s="26"/>
      <c r="THH231" s="23"/>
      <c r="THM231" s="26"/>
      <c r="THQ231" s="23"/>
      <c r="THV231" s="26"/>
      <c r="THZ231" s="23"/>
      <c r="TIE231" s="26"/>
      <c r="TII231" s="23"/>
      <c r="TIN231" s="26"/>
      <c r="TIR231" s="23"/>
      <c r="TIW231" s="26"/>
      <c r="TJA231" s="23"/>
      <c r="TJF231" s="26"/>
      <c r="TJJ231" s="23"/>
      <c r="TJO231" s="26"/>
      <c r="TJS231" s="23"/>
      <c r="TJX231" s="26"/>
      <c r="TKB231" s="23"/>
      <c r="TKG231" s="26"/>
      <c r="TKK231" s="23"/>
      <c r="TKP231" s="26"/>
      <c r="TKT231" s="23"/>
      <c r="TKY231" s="26"/>
      <c r="TLC231" s="23"/>
      <c r="TLH231" s="26"/>
      <c r="TLL231" s="23"/>
      <c r="TLQ231" s="26"/>
      <c r="TLU231" s="23"/>
      <c r="TLZ231" s="26"/>
      <c r="TMD231" s="23"/>
      <c r="TMI231" s="26"/>
      <c r="TMM231" s="23"/>
      <c r="TMR231" s="26"/>
      <c r="TMV231" s="23"/>
      <c r="TNA231" s="26"/>
      <c r="TNE231" s="23"/>
      <c r="TNJ231" s="26"/>
      <c r="TNN231" s="23"/>
      <c r="TNS231" s="26"/>
      <c r="TNW231" s="23"/>
      <c r="TOB231" s="26"/>
      <c r="TOF231" s="23"/>
      <c r="TOK231" s="26"/>
      <c r="TOO231" s="23"/>
      <c r="TOT231" s="26"/>
      <c r="TOX231" s="23"/>
      <c r="TPC231" s="26"/>
      <c r="TPG231" s="23"/>
      <c r="TPL231" s="26"/>
      <c r="TPP231" s="23"/>
      <c r="TPU231" s="26"/>
      <c r="TPY231" s="23"/>
      <c r="TQD231" s="26"/>
      <c r="TQH231" s="23"/>
      <c r="TQM231" s="26"/>
      <c r="TQQ231" s="23"/>
      <c r="TQV231" s="26"/>
      <c r="TQZ231" s="23"/>
      <c r="TRE231" s="26"/>
      <c r="TRI231" s="23"/>
      <c r="TRN231" s="26"/>
      <c r="TRR231" s="23"/>
      <c r="TRW231" s="26"/>
      <c r="TSA231" s="23"/>
      <c r="TSF231" s="26"/>
      <c r="TSJ231" s="23"/>
      <c r="TSO231" s="26"/>
      <c r="TSS231" s="23"/>
      <c r="TSX231" s="26"/>
      <c r="TTB231" s="23"/>
      <c r="TTG231" s="26"/>
      <c r="TTK231" s="23"/>
      <c r="TTP231" s="26"/>
      <c r="TTT231" s="23"/>
      <c r="TTY231" s="26"/>
      <c r="TUC231" s="23"/>
      <c r="TUH231" s="26"/>
      <c r="TUL231" s="23"/>
      <c r="TUQ231" s="26"/>
      <c r="TUU231" s="23"/>
      <c r="TUZ231" s="26"/>
      <c r="TVD231" s="23"/>
      <c r="TVI231" s="26"/>
      <c r="TVM231" s="23"/>
      <c r="TVR231" s="26"/>
      <c r="TVV231" s="23"/>
      <c r="TWA231" s="26"/>
      <c r="TWE231" s="23"/>
      <c r="TWJ231" s="26"/>
      <c r="TWN231" s="23"/>
      <c r="TWS231" s="26"/>
      <c r="TWW231" s="23"/>
      <c r="TXB231" s="26"/>
      <c r="TXF231" s="23"/>
      <c r="TXK231" s="26"/>
      <c r="TXO231" s="23"/>
      <c r="TXT231" s="26"/>
      <c r="TXX231" s="23"/>
      <c r="TYC231" s="26"/>
      <c r="TYG231" s="23"/>
      <c r="TYL231" s="26"/>
      <c r="TYP231" s="23"/>
      <c r="TYU231" s="26"/>
      <c r="TYY231" s="23"/>
      <c r="TZD231" s="26"/>
      <c r="TZH231" s="23"/>
      <c r="TZM231" s="26"/>
      <c r="TZQ231" s="23"/>
      <c r="TZV231" s="26"/>
      <c r="TZZ231" s="23"/>
      <c r="UAE231" s="26"/>
      <c r="UAI231" s="23"/>
      <c r="UAN231" s="26"/>
      <c r="UAR231" s="23"/>
      <c r="UAW231" s="26"/>
      <c r="UBA231" s="23"/>
      <c r="UBF231" s="26"/>
      <c r="UBJ231" s="23"/>
      <c r="UBO231" s="26"/>
      <c r="UBS231" s="23"/>
      <c r="UBX231" s="26"/>
      <c r="UCB231" s="23"/>
      <c r="UCG231" s="26"/>
      <c r="UCK231" s="23"/>
      <c r="UCP231" s="26"/>
      <c r="UCT231" s="23"/>
      <c r="UCY231" s="26"/>
      <c r="UDC231" s="23"/>
      <c r="UDH231" s="26"/>
      <c r="UDL231" s="23"/>
      <c r="UDQ231" s="26"/>
      <c r="UDU231" s="23"/>
      <c r="UDZ231" s="26"/>
      <c r="UED231" s="23"/>
      <c r="UEI231" s="26"/>
      <c r="UEM231" s="23"/>
      <c r="UER231" s="26"/>
      <c r="UEV231" s="23"/>
      <c r="UFA231" s="26"/>
      <c r="UFE231" s="23"/>
      <c r="UFJ231" s="26"/>
      <c r="UFN231" s="23"/>
      <c r="UFS231" s="26"/>
      <c r="UFW231" s="23"/>
      <c r="UGB231" s="26"/>
      <c r="UGF231" s="23"/>
      <c r="UGK231" s="26"/>
      <c r="UGO231" s="23"/>
      <c r="UGT231" s="26"/>
      <c r="UGX231" s="23"/>
      <c r="UHC231" s="26"/>
      <c r="UHG231" s="23"/>
      <c r="UHL231" s="26"/>
      <c r="UHP231" s="23"/>
      <c r="UHU231" s="26"/>
      <c r="UHY231" s="23"/>
      <c r="UID231" s="26"/>
      <c r="UIH231" s="23"/>
      <c r="UIM231" s="26"/>
      <c r="UIQ231" s="23"/>
      <c r="UIV231" s="26"/>
      <c r="UIZ231" s="23"/>
      <c r="UJE231" s="26"/>
      <c r="UJI231" s="23"/>
      <c r="UJN231" s="26"/>
      <c r="UJR231" s="23"/>
      <c r="UJW231" s="26"/>
      <c r="UKA231" s="23"/>
      <c r="UKF231" s="26"/>
      <c r="UKJ231" s="23"/>
      <c r="UKO231" s="26"/>
      <c r="UKS231" s="23"/>
      <c r="UKX231" s="26"/>
      <c r="ULB231" s="23"/>
      <c r="ULG231" s="26"/>
      <c r="ULK231" s="23"/>
      <c r="ULP231" s="26"/>
      <c r="ULT231" s="23"/>
      <c r="ULY231" s="26"/>
      <c r="UMC231" s="23"/>
      <c r="UMH231" s="26"/>
      <c r="UML231" s="23"/>
      <c r="UMQ231" s="26"/>
      <c r="UMU231" s="23"/>
      <c r="UMZ231" s="26"/>
      <c r="UND231" s="23"/>
      <c r="UNI231" s="26"/>
      <c r="UNM231" s="23"/>
      <c r="UNR231" s="26"/>
      <c r="UNV231" s="23"/>
      <c r="UOA231" s="26"/>
      <c r="UOE231" s="23"/>
      <c r="UOJ231" s="26"/>
      <c r="UON231" s="23"/>
      <c r="UOS231" s="26"/>
      <c r="UOW231" s="23"/>
      <c r="UPB231" s="26"/>
      <c r="UPF231" s="23"/>
      <c r="UPK231" s="26"/>
      <c r="UPO231" s="23"/>
      <c r="UPT231" s="26"/>
      <c r="UPX231" s="23"/>
      <c r="UQC231" s="26"/>
      <c r="UQG231" s="23"/>
      <c r="UQL231" s="26"/>
      <c r="UQP231" s="23"/>
      <c r="UQU231" s="26"/>
      <c r="UQY231" s="23"/>
      <c r="URD231" s="26"/>
      <c r="URH231" s="23"/>
      <c r="URM231" s="26"/>
      <c r="URQ231" s="23"/>
      <c r="URV231" s="26"/>
      <c r="URZ231" s="23"/>
      <c r="USE231" s="26"/>
      <c r="USI231" s="23"/>
      <c r="USN231" s="26"/>
      <c r="USR231" s="23"/>
      <c r="USW231" s="26"/>
      <c r="UTA231" s="23"/>
      <c r="UTF231" s="26"/>
      <c r="UTJ231" s="23"/>
      <c r="UTO231" s="26"/>
      <c r="UTS231" s="23"/>
      <c r="UTX231" s="26"/>
      <c r="UUB231" s="23"/>
      <c r="UUG231" s="26"/>
      <c r="UUK231" s="23"/>
      <c r="UUP231" s="26"/>
      <c r="UUT231" s="23"/>
      <c r="UUY231" s="26"/>
      <c r="UVC231" s="23"/>
      <c r="UVH231" s="26"/>
      <c r="UVL231" s="23"/>
      <c r="UVQ231" s="26"/>
      <c r="UVU231" s="23"/>
      <c r="UVZ231" s="26"/>
      <c r="UWD231" s="23"/>
      <c r="UWI231" s="26"/>
      <c r="UWM231" s="23"/>
      <c r="UWR231" s="26"/>
      <c r="UWV231" s="23"/>
      <c r="UXA231" s="26"/>
      <c r="UXE231" s="23"/>
      <c r="UXJ231" s="26"/>
      <c r="UXN231" s="23"/>
      <c r="UXS231" s="26"/>
      <c r="UXW231" s="23"/>
      <c r="UYB231" s="26"/>
      <c r="UYF231" s="23"/>
      <c r="UYK231" s="26"/>
      <c r="UYO231" s="23"/>
      <c r="UYT231" s="26"/>
      <c r="UYX231" s="23"/>
      <c r="UZC231" s="26"/>
      <c r="UZG231" s="23"/>
      <c r="UZL231" s="26"/>
      <c r="UZP231" s="23"/>
      <c r="UZU231" s="26"/>
      <c r="UZY231" s="23"/>
      <c r="VAD231" s="26"/>
      <c r="VAH231" s="23"/>
      <c r="VAM231" s="26"/>
      <c r="VAQ231" s="23"/>
      <c r="VAV231" s="26"/>
      <c r="VAZ231" s="23"/>
      <c r="VBE231" s="26"/>
      <c r="VBI231" s="23"/>
      <c r="VBN231" s="26"/>
      <c r="VBR231" s="23"/>
      <c r="VBW231" s="26"/>
      <c r="VCA231" s="23"/>
      <c r="VCF231" s="26"/>
      <c r="VCJ231" s="23"/>
      <c r="VCO231" s="26"/>
      <c r="VCS231" s="23"/>
      <c r="VCX231" s="26"/>
      <c r="VDB231" s="23"/>
      <c r="VDG231" s="26"/>
      <c r="VDK231" s="23"/>
      <c r="VDP231" s="26"/>
      <c r="VDT231" s="23"/>
      <c r="VDY231" s="26"/>
      <c r="VEC231" s="23"/>
      <c r="VEH231" s="26"/>
      <c r="VEL231" s="23"/>
      <c r="VEQ231" s="26"/>
      <c r="VEU231" s="23"/>
      <c r="VEZ231" s="26"/>
      <c r="VFD231" s="23"/>
      <c r="VFI231" s="26"/>
      <c r="VFM231" s="23"/>
      <c r="VFR231" s="26"/>
      <c r="VFV231" s="23"/>
      <c r="VGA231" s="26"/>
      <c r="VGE231" s="23"/>
      <c r="VGJ231" s="26"/>
      <c r="VGN231" s="23"/>
      <c r="VGS231" s="26"/>
      <c r="VGW231" s="23"/>
      <c r="VHB231" s="26"/>
      <c r="VHF231" s="23"/>
      <c r="VHK231" s="26"/>
      <c r="VHO231" s="23"/>
      <c r="VHT231" s="26"/>
      <c r="VHX231" s="23"/>
      <c r="VIC231" s="26"/>
      <c r="VIG231" s="23"/>
      <c r="VIL231" s="26"/>
      <c r="VIP231" s="23"/>
      <c r="VIU231" s="26"/>
      <c r="VIY231" s="23"/>
      <c r="VJD231" s="26"/>
      <c r="VJH231" s="23"/>
      <c r="VJM231" s="26"/>
      <c r="VJQ231" s="23"/>
      <c r="VJV231" s="26"/>
      <c r="VJZ231" s="23"/>
      <c r="VKE231" s="26"/>
      <c r="VKI231" s="23"/>
      <c r="VKN231" s="26"/>
      <c r="VKR231" s="23"/>
      <c r="VKW231" s="26"/>
      <c r="VLA231" s="23"/>
      <c r="VLF231" s="26"/>
      <c r="VLJ231" s="23"/>
      <c r="VLO231" s="26"/>
      <c r="VLS231" s="23"/>
      <c r="VLX231" s="26"/>
      <c r="VMB231" s="23"/>
      <c r="VMG231" s="26"/>
      <c r="VMK231" s="23"/>
      <c r="VMP231" s="26"/>
      <c r="VMT231" s="23"/>
      <c r="VMY231" s="26"/>
      <c r="VNC231" s="23"/>
      <c r="VNH231" s="26"/>
      <c r="VNL231" s="23"/>
      <c r="VNQ231" s="26"/>
      <c r="VNU231" s="23"/>
      <c r="VNZ231" s="26"/>
      <c r="VOD231" s="23"/>
      <c r="VOI231" s="26"/>
      <c r="VOM231" s="23"/>
      <c r="VOR231" s="26"/>
      <c r="VOV231" s="23"/>
      <c r="VPA231" s="26"/>
      <c r="VPE231" s="23"/>
      <c r="VPJ231" s="26"/>
      <c r="VPN231" s="23"/>
      <c r="VPS231" s="26"/>
      <c r="VPW231" s="23"/>
      <c r="VQB231" s="26"/>
      <c r="VQF231" s="23"/>
      <c r="VQK231" s="26"/>
      <c r="VQO231" s="23"/>
      <c r="VQT231" s="26"/>
      <c r="VQX231" s="23"/>
      <c r="VRC231" s="26"/>
      <c r="VRG231" s="23"/>
      <c r="VRL231" s="26"/>
      <c r="VRP231" s="23"/>
      <c r="VRU231" s="26"/>
      <c r="VRY231" s="23"/>
      <c r="VSD231" s="26"/>
      <c r="VSH231" s="23"/>
      <c r="VSM231" s="26"/>
      <c r="VSQ231" s="23"/>
      <c r="VSV231" s="26"/>
      <c r="VSZ231" s="23"/>
      <c r="VTE231" s="26"/>
      <c r="VTI231" s="23"/>
      <c r="VTN231" s="26"/>
      <c r="VTR231" s="23"/>
      <c r="VTW231" s="26"/>
      <c r="VUA231" s="23"/>
      <c r="VUF231" s="26"/>
      <c r="VUJ231" s="23"/>
      <c r="VUO231" s="26"/>
      <c r="VUS231" s="23"/>
      <c r="VUX231" s="26"/>
      <c r="VVB231" s="23"/>
      <c r="VVG231" s="26"/>
      <c r="VVK231" s="23"/>
      <c r="VVP231" s="26"/>
      <c r="VVT231" s="23"/>
      <c r="VVY231" s="26"/>
      <c r="VWC231" s="23"/>
      <c r="VWH231" s="26"/>
      <c r="VWL231" s="23"/>
      <c r="VWQ231" s="26"/>
      <c r="VWU231" s="23"/>
      <c r="VWZ231" s="26"/>
      <c r="VXD231" s="23"/>
      <c r="VXI231" s="26"/>
      <c r="VXM231" s="23"/>
      <c r="VXR231" s="26"/>
      <c r="VXV231" s="23"/>
      <c r="VYA231" s="26"/>
      <c r="VYE231" s="23"/>
      <c r="VYJ231" s="26"/>
      <c r="VYN231" s="23"/>
      <c r="VYS231" s="26"/>
      <c r="VYW231" s="23"/>
      <c r="VZB231" s="26"/>
      <c r="VZF231" s="23"/>
      <c r="VZK231" s="26"/>
      <c r="VZO231" s="23"/>
      <c r="VZT231" s="26"/>
      <c r="VZX231" s="23"/>
      <c r="WAC231" s="26"/>
      <c r="WAG231" s="23"/>
      <c r="WAL231" s="26"/>
      <c r="WAP231" s="23"/>
      <c r="WAU231" s="26"/>
      <c r="WAY231" s="23"/>
      <c r="WBD231" s="26"/>
      <c r="WBH231" s="23"/>
      <c r="WBM231" s="26"/>
      <c r="WBQ231" s="23"/>
      <c r="WBV231" s="26"/>
      <c r="WBZ231" s="23"/>
      <c r="WCE231" s="26"/>
      <c r="WCI231" s="23"/>
      <c r="WCN231" s="26"/>
      <c r="WCR231" s="23"/>
      <c r="WCW231" s="26"/>
      <c r="WDA231" s="23"/>
      <c r="WDF231" s="26"/>
      <c r="WDJ231" s="23"/>
      <c r="WDO231" s="26"/>
      <c r="WDS231" s="23"/>
      <c r="WDX231" s="26"/>
      <c r="WEB231" s="23"/>
      <c r="WEG231" s="26"/>
      <c r="WEK231" s="23"/>
      <c r="WEP231" s="26"/>
      <c r="WET231" s="23"/>
      <c r="WEY231" s="26"/>
      <c r="WFC231" s="23"/>
      <c r="WFH231" s="26"/>
      <c r="WFL231" s="23"/>
      <c r="WFQ231" s="26"/>
      <c r="WFU231" s="23"/>
      <c r="WFZ231" s="26"/>
      <c r="WGD231" s="23"/>
      <c r="WGI231" s="26"/>
      <c r="WGM231" s="23"/>
      <c r="WGR231" s="26"/>
      <c r="WGV231" s="23"/>
      <c r="WHA231" s="26"/>
      <c r="WHE231" s="23"/>
      <c r="WHJ231" s="26"/>
      <c r="WHN231" s="23"/>
      <c r="WHS231" s="26"/>
      <c r="WHW231" s="23"/>
      <c r="WIB231" s="26"/>
      <c r="WIF231" s="23"/>
      <c r="WIK231" s="26"/>
      <c r="WIO231" s="23"/>
      <c r="WIT231" s="26"/>
      <c r="WIX231" s="23"/>
      <c r="WJC231" s="26"/>
      <c r="WJG231" s="23"/>
      <c r="WJL231" s="26"/>
      <c r="WJP231" s="23"/>
      <c r="WJU231" s="26"/>
      <c r="WJY231" s="23"/>
      <c r="WKD231" s="26"/>
      <c r="WKH231" s="23"/>
      <c r="WKM231" s="26"/>
      <c r="WKQ231" s="23"/>
      <c r="WKV231" s="26"/>
      <c r="WKZ231" s="23"/>
      <c r="WLE231" s="26"/>
      <c r="WLI231" s="23"/>
      <c r="WLN231" s="26"/>
      <c r="WLR231" s="23"/>
      <c r="WLW231" s="26"/>
      <c r="WMA231" s="23"/>
      <c r="WMF231" s="26"/>
      <c r="WMJ231" s="23"/>
      <c r="WMO231" s="26"/>
      <c r="WMS231" s="23"/>
      <c r="WMX231" s="26"/>
      <c r="WNB231" s="23"/>
      <c r="WNG231" s="26"/>
      <c r="WNK231" s="23"/>
      <c r="WNP231" s="26"/>
      <c r="WNT231" s="23"/>
      <c r="WNY231" s="26"/>
      <c r="WOC231" s="23"/>
      <c r="WOH231" s="26"/>
      <c r="WOL231" s="23"/>
      <c r="WOQ231" s="26"/>
      <c r="WOU231" s="23"/>
      <c r="WOZ231" s="26"/>
      <c r="WPD231" s="23"/>
      <c r="WPI231" s="26"/>
      <c r="WPM231" s="23"/>
      <c r="WPR231" s="26"/>
      <c r="WPV231" s="23"/>
      <c r="WQA231" s="26"/>
      <c r="WQE231" s="23"/>
      <c r="WQJ231" s="26"/>
      <c r="WQN231" s="23"/>
      <c r="WQS231" s="26"/>
      <c r="WQW231" s="23"/>
      <c r="WRB231" s="26"/>
      <c r="WRF231" s="23"/>
      <c r="WRK231" s="26"/>
      <c r="WRO231" s="23"/>
      <c r="WRT231" s="26"/>
      <c r="WRX231" s="23"/>
      <c r="WSC231" s="26"/>
      <c r="WSG231" s="23"/>
      <c r="WSL231" s="26"/>
      <c r="WSP231" s="23"/>
      <c r="WSU231" s="26"/>
      <c r="WSY231" s="23"/>
      <c r="WTD231" s="26"/>
      <c r="WTH231" s="23"/>
      <c r="WTM231" s="26"/>
      <c r="WTQ231" s="23"/>
      <c r="WTV231" s="26"/>
      <c r="WTZ231" s="23"/>
      <c r="WUE231" s="26"/>
      <c r="WUI231" s="23"/>
      <c r="WUN231" s="26"/>
      <c r="WUR231" s="23"/>
      <c r="WUW231" s="26"/>
      <c r="WVA231" s="23"/>
      <c r="WVF231" s="26"/>
      <c r="WVJ231" s="23"/>
      <c r="WVO231" s="26"/>
      <c r="WVS231" s="23"/>
      <c r="WVX231" s="26"/>
      <c r="WWB231" s="23"/>
      <c r="WWG231" s="26"/>
      <c r="WWK231" s="23"/>
      <c r="WWP231" s="26"/>
      <c r="WWT231" s="23"/>
      <c r="WWY231" s="26"/>
      <c r="WXC231" s="23"/>
      <c r="WXH231" s="26"/>
      <c r="WXL231" s="23"/>
      <c r="WXQ231" s="26"/>
      <c r="WXU231" s="23"/>
      <c r="WXZ231" s="26"/>
      <c r="WYD231" s="23"/>
      <c r="WYI231" s="26"/>
      <c r="WYM231" s="23"/>
      <c r="WYR231" s="26"/>
      <c r="WYV231" s="23"/>
      <c r="WZA231" s="26"/>
      <c r="WZE231" s="23"/>
      <c r="WZJ231" s="26"/>
      <c r="WZN231" s="23"/>
      <c r="WZS231" s="26"/>
      <c r="WZW231" s="23"/>
      <c r="XAB231" s="26"/>
      <c r="XAF231" s="23"/>
      <c r="XAK231" s="26"/>
      <c r="XAO231" s="23"/>
      <c r="XAT231" s="26"/>
      <c r="XAX231" s="23"/>
      <c r="XBC231" s="26"/>
      <c r="XBG231" s="23"/>
      <c r="XBL231" s="26"/>
      <c r="XBP231" s="23"/>
      <c r="XBU231" s="26"/>
      <c r="XBY231" s="23"/>
      <c r="XCD231" s="26"/>
      <c r="XCH231" s="23"/>
      <c r="XCM231" s="26"/>
      <c r="XCQ231" s="23"/>
      <c r="XCV231" s="26"/>
      <c r="XCZ231" s="23"/>
      <c r="XDE231" s="26"/>
      <c r="XDI231" s="23"/>
      <c r="XDN231" s="26"/>
      <c r="XDR231" s="23"/>
      <c r="XDW231" s="26"/>
      <c r="XEA231" s="23"/>
      <c r="XEF231" s="26"/>
      <c r="XEJ231" s="23"/>
      <c r="XEO231" s="26"/>
      <c r="XES231" s="23"/>
      <c r="XEX231" s="26"/>
      <c r="XFB231" s="23"/>
    </row>
    <row r="232" spans="2:1024 1028:2045 2050:3071 3076:4093 4097:5119 5123:6140 6145:7166 7171:8192 8197:9214 9218:10240 10244:11261 11266:12287 12292:13309 13313:14335 14339:15356 15361:16382" x14ac:dyDescent="0.3">
      <c r="B232" s="23"/>
      <c r="K232" s="23"/>
      <c r="P232" s="26"/>
      <c r="T232" s="23"/>
      <c r="Y232" s="26"/>
      <c r="AC232" s="23"/>
      <c r="AH232" s="26"/>
      <c r="AL232" s="23"/>
      <c r="AQ232" s="26"/>
      <c r="AU232" s="23"/>
      <c r="AZ232" s="26"/>
      <c r="BD232" s="23"/>
      <c r="BI232" s="26"/>
      <c r="BM232" s="23"/>
      <c r="BR232" s="26"/>
      <c r="BV232" s="23"/>
      <c r="CA232" s="26"/>
      <c r="CE232" s="23"/>
      <c r="CJ232" s="26"/>
      <c r="CN232" s="23"/>
      <c r="CS232" s="26"/>
      <c r="CW232" s="23"/>
      <c r="DB232" s="26"/>
      <c r="DF232" s="23"/>
      <c r="DK232" s="26"/>
      <c r="DO232" s="23"/>
      <c r="DT232" s="26"/>
      <c r="DX232" s="23"/>
      <c r="EC232" s="26"/>
      <c r="EG232" s="23"/>
      <c r="EL232" s="26"/>
      <c r="EP232" s="23"/>
      <c r="EU232" s="26"/>
      <c r="EY232" s="23"/>
      <c r="FD232" s="26"/>
      <c r="FH232" s="23"/>
      <c r="FM232" s="26"/>
      <c r="FQ232" s="23"/>
      <c r="FV232" s="26"/>
      <c r="FZ232" s="23"/>
      <c r="GE232" s="26"/>
      <c r="GI232" s="23"/>
      <c r="GN232" s="26"/>
      <c r="GR232" s="23"/>
      <c r="GW232" s="26"/>
      <c r="HA232" s="23"/>
      <c r="HF232" s="26"/>
      <c r="HJ232" s="23"/>
      <c r="HO232" s="26"/>
      <c r="HS232" s="23"/>
      <c r="HX232" s="26"/>
      <c r="IB232" s="23"/>
      <c r="IG232" s="26"/>
      <c r="IK232" s="23"/>
      <c r="IP232" s="26"/>
      <c r="IT232" s="23"/>
      <c r="IY232" s="26"/>
      <c r="JC232" s="23"/>
      <c r="JH232" s="26"/>
      <c r="JL232" s="23"/>
      <c r="JQ232" s="26"/>
      <c r="JU232" s="23"/>
      <c r="JZ232" s="26"/>
      <c r="KD232" s="23"/>
      <c r="KI232" s="26"/>
      <c r="KM232" s="23"/>
      <c r="KR232" s="26"/>
      <c r="KV232" s="23"/>
      <c r="LA232" s="26"/>
      <c r="LE232" s="23"/>
      <c r="LJ232" s="26"/>
      <c r="LN232" s="23"/>
      <c r="LS232" s="26"/>
      <c r="LW232" s="23"/>
      <c r="MB232" s="26"/>
      <c r="MF232" s="23"/>
      <c r="MK232" s="26"/>
      <c r="MO232" s="23"/>
      <c r="MT232" s="26"/>
      <c r="MX232" s="23"/>
      <c r="NC232" s="26"/>
      <c r="NG232" s="23"/>
      <c r="NL232" s="26"/>
      <c r="NP232" s="23"/>
      <c r="NU232" s="26"/>
      <c r="NY232" s="23"/>
      <c r="OD232" s="26"/>
      <c r="OH232" s="23"/>
      <c r="OM232" s="26"/>
      <c r="OQ232" s="23"/>
      <c r="OV232" s="26"/>
      <c r="OZ232" s="23"/>
      <c r="PE232" s="26"/>
      <c r="PI232" s="23"/>
      <c r="PN232" s="26"/>
      <c r="PR232" s="23"/>
      <c r="PW232" s="26"/>
      <c r="QA232" s="23"/>
      <c r="QF232" s="26"/>
      <c r="QJ232" s="23"/>
      <c r="QO232" s="26"/>
      <c r="QS232" s="23"/>
      <c r="QX232" s="26"/>
      <c r="RB232" s="23"/>
      <c r="RG232" s="26"/>
      <c r="RK232" s="23"/>
      <c r="RP232" s="26"/>
      <c r="RT232" s="23"/>
      <c r="RY232" s="26"/>
      <c r="SC232" s="23"/>
      <c r="SH232" s="26"/>
      <c r="SL232" s="23"/>
      <c r="SQ232" s="26"/>
      <c r="SU232" s="23"/>
      <c r="SZ232" s="26"/>
      <c r="TD232" s="23"/>
      <c r="TI232" s="26"/>
      <c r="TM232" s="23"/>
      <c r="TR232" s="26"/>
      <c r="TV232" s="23"/>
      <c r="UA232" s="26"/>
      <c r="UE232" s="23"/>
      <c r="UJ232" s="26"/>
      <c r="UN232" s="23"/>
      <c r="US232" s="26"/>
      <c r="UW232" s="23"/>
      <c r="VB232" s="26"/>
      <c r="VF232" s="23"/>
      <c r="VK232" s="26"/>
      <c r="VO232" s="23"/>
      <c r="VT232" s="26"/>
      <c r="VX232" s="23"/>
      <c r="WC232" s="26"/>
      <c r="WG232" s="23"/>
      <c r="WL232" s="26"/>
      <c r="WP232" s="23"/>
      <c r="WU232" s="26"/>
      <c r="WY232" s="23"/>
      <c r="XD232" s="26"/>
      <c r="XH232" s="23"/>
      <c r="XM232" s="26"/>
      <c r="XQ232" s="23"/>
      <c r="XV232" s="26"/>
      <c r="XZ232" s="23"/>
      <c r="YE232" s="26"/>
      <c r="YI232" s="23"/>
      <c r="YN232" s="26"/>
      <c r="YR232" s="23"/>
      <c r="YW232" s="26"/>
      <c r="ZA232" s="23"/>
      <c r="ZF232" s="26"/>
      <c r="ZJ232" s="23"/>
      <c r="ZO232" s="26"/>
      <c r="ZS232" s="23"/>
      <c r="ZX232" s="26"/>
      <c r="AAB232" s="23"/>
      <c r="AAG232" s="26"/>
      <c r="AAK232" s="23"/>
      <c r="AAP232" s="26"/>
      <c r="AAT232" s="23"/>
      <c r="AAY232" s="26"/>
      <c r="ABC232" s="23"/>
      <c r="ABH232" s="26"/>
      <c r="ABL232" s="23"/>
      <c r="ABQ232" s="26"/>
      <c r="ABU232" s="23"/>
      <c r="ABZ232" s="26"/>
      <c r="ACD232" s="23"/>
      <c r="ACI232" s="26"/>
      <c r="ACM232" s="23"/>
      <c r="ACR232" s="26"/>
      <c r="ACV232" s="23"/>
      <c r="ADA232" s="26"/>
      <c r="ADE232" s="23"/>
      <c r="ADJ232" s="26"/>
      <c r="ADN232" s="23"/>
      <c r="ADS232" s="26"/>
      <c r="ADW232" s="23"/>
      <c r="AEB232" s="26"/>
      <c r="AEF232" s="23"/>
      <c r="AEK232" s="26"/>
      <c r="AEO232" s="23"/>
      <c r="AET232" s="26"/>
      <c r="AEX232" s="23"/>
      <c r="AFC232" s="26"/>
      <c r="AFG232" s="23"/>
      <c r="AFL232" s="26"/>
      <c r="AFP232" s="23"/>
      <c r="AFU232" s="26"/>
      <c r="AFY232" s="23"/>
      <c r="AGD232" s="26"/>
      <c r="AGH232" s="23"/>
      <c r="AGM232" s="26"/>
      <c r="AGQ232" s="23"/>
      <c r="AGV232" s="26"/>
      <c r="AGZ232" s="23"/>
      <c r="AHE232" s="26"/>
      <c r="AHI232" s="23"/>
      <c r="AHN232" s="26"/>
      <c r="AHR232" s="23"/>
      <c r="AHW232" s="26"/>
      <c r="AIA232" s="23"/>
      <c r="AIF232" s="26"/>
      <c r="AIJ232" s="23"/>
      <c r="AIO232" s="26"/>
      <c r="AIS232" s="23"/>
      <c r="AIX232" s="26"/>
      <c r="AJB232" s="23"/>
      <c r="AJG232" s="26"/>
      <c r="AJK232" s="23"/>
      <c r="AJP232" s="26"/>
      <c r="AJT232" s="23"/>
      <c r="AJY232" s="26"/>
      <c r="AKC232" s="23"/>
      <c r="AKH232" s="26"/>
      <c r="AKL232" s="23"/>
      <c r="AKQ232" s="26"/>
      <c r="AKU232" s="23"/>
      <c r="AKZ232" s="26"/>
      <c r="ALD232" s="23"/>
      <c r="ALI232" s="26"/>
      <c r="ALM232" s="23"/>
      <c r="ALR232" s="26"/>
      <c r="ALV232" s="23"/>
      <c r="AMA232" s="26"/>
      <c r="AME232" s="23"/>
      <c r="AMJ232" s="26"/>
      <c r="AMN232" s="23"/>
      <c r="AMS232" s="26"/>
      <c r="AMW232" s="23"/>
      <c r="ANB232" s="26"/>
      <c r="ANF232" s="23"/>
      <c r="ANK232" s="26"/>
      <c r="ANO232" s="23"/>
      <c r="ANT232" s="26"/>
      <c r="ANX232" s="23"/>
      <c r="AOC232" s="26"/>
      <c r="AOG232" s="23"/>
      <c r="AOL232" s="26"/>
      <c r="AOP232" s="23"/>
      <c r="AOU232" s="26"/>
      <c r="AOY232" s="23"/>
      <c r="APD232" s="26"/>
      <c r="APH232" s="23"/>
      <c r="APM232" s="26"/>
      <c r="APQ232" s="23"/>
      <c r="APV232" s="26"/>
      <c r="APZ232" s="23"/>
      <c r="AQE232" s="26"/>
      <c r="AQI232" s="23"/>
      <c r="AQN232" s="26"/>
      <c r="AQR232" s="23"/>
      <c r="AQW232" s="26"/>
      <c r="ARA232" s="23"/>
      <c r="ARF232" s="26"/>
      <c r="ARJ232" s="23"/>
      <c r="ARO232" s="26"/>
      <c r="ARS232" s="23"/>
      <c r="ARX232" s="26"/>
      <c r="ASB232" s="23"/>
      <c r="ASG232" s="26"/>
      <c r="ASK232" s="23"/>
      <c r="ASP232" s="26"/>
      <c r="AST232" s="23"/>
      <c r="ASY232" s="26"/>
      <c r="ATC232" s="23"/>
      <c r="ATH232" s="26"/>
      <c r="ATL232" s="23"/>
      <c r="ATQ232" s="26"/>
      <c r="ATU232" s="23"/>
      <c r="ATZ232" s="26"/>
      <c r="AUD232" s="23"/>
      <c r="AUI232" s="26"/>
      <c r="AUM232" s="23"/>
      <c r="AUR232" s="26"/>
      <c r="AUV232" s="23"/>
      <c r="AVA232" s="26"/>
      <c r="AVE232" s="23"/>
      <c r="AVJ232" s="26"/>
      <c r="AVN232" s="23"/>
      <c r="AVS232" s="26"/>
      <c r="AVW232" s="23"/>
      <c r="AWB232" s="26"/>
      <c r="AWF232" s="23"/>
      <c r="AWK232" s="26"/>
      <c r="AWO232" s="23"/>
      <c r="AWT232" s="26"/>
      <c r="AWX232" s="23"/>
      <c r="AXC232" s="26"/>
      <c r="AXG232" s="23"/>
      <c r="AXL232" s="26"/>
      <c r="AXP232" s="23"/>
      <c r="AXU232" s="26"/>
      <c r="AXY232" s="23"/>
      <c r="AYD232" s="26"/>
      <c r="AYH232" s="23"/>
      <c r="AYM232" s="26"/>
      <c r="AYQ232" s="23"/>
      <c r="AYV232" s="26"/>
      <c r="AYZ232" s="23"/>
      <c r="AZE232" s="26"/>
      <c r="AZI232" s="23"/>
      <c r="AZN232" s="26"/>
      <c r="AZR232" s="23"/>
      <c r="AZW232" s="26"/>
      <c r="BAA232" s="23"/>
      <c r="BAF232" s="26"/>
      <c r="BAJ232" s="23"/>
      <c r="BAO232" s="26"/>
      <c r="BAS232" s="23"/>
      <c r="BAX232" s="26"/>
      <c r="BBB232" s="23"/>
      <c r="BBG232" s="26"/>
      <c r="BBK232" s="23"/>
      <c r="BBP232" s="26"/>
      <c r="BBT232" s="23"/>
      <c r="BBY232" s="26"/>
      <c r="BCC232" s="23"/>
      <c r="BCH232" s="26"/>
      <c r="BCL232" s="23"/>
      <c r="BCQ232" s="26"/>
      <c r="BCU232" s="23"/>
      <c r="BCZ232" s="26"/>
      <c r="BDD232" s="23"/>
      <c r="BDI232" s="26"/>
      <c r="BDM232" s="23"/>
      <c r="BDR232" s="26"/>
      <c r="BDV232" s="23"/>
      <c r="BEA232" s="26"/>
      <c r="BEE232" s="23"/>
      <c r="BEJ232" s="26"/>
      <c r="BEN232" s="23"/>
      <c r="BES232" s="26"/>
      <c r="BEW232" s="23"/>
      <c r="BFB232" s="26"/>
      <c r="BFF232" s="23"/>
      <c r="BFK232" s="26"/>
      <c r="BFO232" s="23"/>
      <c r="BFT232" s="26"/>
      <c r="BFX232" s="23"/>
      <c r="BGC232" s="26"/>
      <c r="BGG232" s="23"/>
      <c r="BGL232" s="26"/>
      <c r="BGP232" s="23"/>
      <c r="BGU232" s="26"/>
      <c r="BGY232" s="23"/>
      <c r="BHD232" s="26"/>
      <c r="BHH232" s="23"/>
      <c r="BHM232" s="26"/>
      <c r="BHQ232" s="23"/>
      <c r="BHV232" s="26"/>
      <c r="BHZ232" s="23"/>
      <c r="BIE232" s="26"/>
      <c r="BII232" s="23"/>
      <c r="BIN232" s="26"/>
      <c r="BIR232" s="23"/>
      <c r="BIW232" s="26"/>
      <c r="BJA232" s="23"/>
      <c r="BJF232" s="26"/>
      <c r="BJJ232" s="23"/>
      <c r="BJO232" s="26"/>
      <c r="BJS232" s="23"/>
      <c r="BJX232" s="26"/>
      <c r="BKB232" s="23"/>
      <c r="BKG232" s="26"/>
      <c r="BKK232" s="23"/>
      <c r="BKP232" s="26"/>
      <c r="BKT232" s="23"/>
      <c r="BKY232" s="26"/>
      <c r="BLC232" s="23"/>
      <c r="BLH232" s="26"/>
      <c r="BLL232" s="23"/>
      <c r="BLQ232" s="26"/>
      <c r="BLU232" s="23"/>
      <c r="BLZ232" s="26"/>
      <c r="BMD232" s="23"/>
      <c r="BMI232" s="26"/>
      <c r="BMM232" s="23"/>
      <c r="BMR232" s="26"/>
      <c r="BMV232" s="23"/>
      <c r="BNA232" s="26"/>
      <c r="BNE232" s="23"/>
      <c r="BNJ232" s="26"/>
      <c r="BNN232" s="23"/>
      <c r="BNS232" s="26"/>
      <c r="BNW232" s="23"/>
      <c r="BOB232" s="26"/>
      <c r="BOF232" s="23"/>
      <c r="BOK232" s="26"/>
      <c r="BOO232" s="23"/>
      <c r="BOT232" s="26"/>
      <c r="BOX232" s="23"/>
      <c r="BPC232" s="26"/>
      <c r="BPG232" s="23"/>
      <c r="BPL232" s="26"/>
      <c r="BPP232" s="23"/>
      <c r="BPU232" s="26"/>
      <c r="BPY232" s="23"/>
      <c r="BQD232" s="26"/>
      <c r="BQH232" s="23"/>
      <c r="BQM232" s="26"/>
      <c r="BQQ232" s="23"/>
      <c r="BQV232" s="26"/>
      <c r="BQZ232" s="23"/>
      <c r="BRE232" s="26"/>
      <c r="BRI232" s="23"/>
      <c r="BRN232" s="26"/>
      <c r="BRR232" s="23"/>
      <c r="BRW232" s="26"/>
      <c r="BSA232" s="23"/>
      <c r="BSF232" s="26"/>
      <c r="BSJ232" s="23"/>
      <c r="BSO232" s="26"/>
      <c r="BSS232" s="23"/>
      <c r="BSX232" s="26"/>
      <c r="BTB232" s="23"/>
      <c r="BTG232" s="26"/>
      <c r="BTK232" s="23"/>
      <c r="BTP232" s="26"/>
      <c r="BTT232" s="23"/>
      <c r="BTY232" s="26"/>
      <c r="BUC232" s="23"/>
      <c r="BUH232" s="26"/>
      <c r="BUL232" s="23"/>
      <c r="BUQ232" s="26"/>
      <c r="BUU232" s="23"/>
      <c r="BUZ232" s="26"/>
      <c r="BVD232" s="23"/>
      <c r="BVI232" s="26"/>
      <c r="BVM232" s="23"/>
      <c r="BVR232" s="26"/>
      <c r="BVV232" s="23"/>
      <c r="BWA232" s="26"/>
      <c r="BWE232" s="23"/>
      <c r="BWJ232" s="26"/>
      <c r="BWN232" s="23"/>
      <c r="BWS232" s="26"/>
      <c r="BWW232" s="23"/>
      <c r="BXB232" s="26"/>
      <c r="BXF232" s="23"/>
      <c r="BXK232" s="26"/>
      <c r="BXO232" s="23"/>
      <c r="BXT232" s="26"/>
      <c r="BXX232" s="23"/>
      <c r="BYC232" s="26"/>
      <c r="BYG232" s="23"/>
      <c r="BYL232" s="26"/>
      <c r="BYP232" s="23"/>
      <c r="BYU232" s="26"/>
      <c r="BYY232" s="23"/>
      <c r="BZD232" s="26"/>
      <c r="BZH232" s="23"/>
      <c r="BZM232" s="26"/>
      <c r="BZQ232" s="23"/>
      <c r="BZV232" s="26"/>
      <c r="BZZ232" s="23"/>
      <c r="CAE232" s="26"/>
      <c r="CAI232" s="23"/>
      <c r="CAN232" s="26"/>
      <c r="CAR232" s="23"/>
      <c r="CAW232" s="26"/>
      <c r="CBA232" s="23"/>
      <c r="CBF232" s="26"/>
      <c r="CBJ232" s="23"/>
      <c r="CBO232" s="26"/>
      <c r="CBS232" s="23"/>
      <c r="CBX232" s="26"/>
      <c r="CCB232" s="23"/>
      <c r="CCG232" s="26"/>
      <c r="CCK232" s="23"/>
      <c r="CCP232" s="26"/>
      <c r="CCT232" s="23"/>
      <c r="CCY232" s="26"/>
      <c r="CDC232" s="23"/>
      <c r="CDH232" s="26"/>
      <c r="CDL232" s="23"/>
      <c r="CDQ232" s="26"/>
      <c r="CDU232" s="23"/>
      <c r="CDZ232" s="26"/>
      <c r="CED232" s="23"/>
      <c r="CEI232" s="26"/>
      <c r="CEM232" s="23"/>
      <c r="CER232" s="26"/>
      <c r="CEV232" s="23"/>
      <c r="CFA232" s="26"/>
      <c r="CFE232" s="23"/>
      <c r="CFJ232" s="26"/>
      <c r="CFN232" s="23"/>
      <c r="CFS232" s="26"/>
      <c r="CFW232" s="23"/>
      <c r="CGB232" s="26"/>
      <c r="CGF232" s="23"/>
      <c r="CGK232" s="26"/>
      <c r="CGO232" s="23"/>
      <c r="CGT232" s="26"/>
      <c r="CGX232" s="23"/>
      <c r="CHC232" s="26"/>
      <c r="CHG232" s="23"/>
      <c r="CHL232" s="26"/>
      <c r="CHP232" s="23"/>
      <c r="CHU232" s="26"/>
      <c r="CHY232" s="23"/>
      <c r="CID232" s="26"/>
      <c r="CIH232" s="23"/>
      <c r="CIM232" s="26"/>
      <c r="CIQ232" s="23"/>
      <c r="CIV232" s="26"/>
      <c r="CIZ232" s="23"/>
      <c r="CJE232" s="26"/>
      <c r="CJI232" s="23"/>
      <c r="CJN232" s="26"/>
      <c r="CJR232" s="23"/>
      <c r="CJW232" s="26"/>
      <c r="CKA232" s="23"/>
      <c r="CKF232" s="26"/>
      <c r="CKJ232" s="23"/>
      <c r="CKO232" s="26"/>
      <c r="CKS232" s="23"/>
      <c r="CKX232" s="26"/>
      <c r="CLB232" s="23"/>
      <c r="CLG232" s="26"/>
      <c r="CLK232" s="23"/>
      <c r="CLP232" s="26"/>
      <c r="CLT232" s="23"/>
      <c r="CLY232" s="26"/>
      <c r="CMC232" s="23"/>
      <c r="CMH232" s="26"/>
      <c r="CML232" s="23"/>
      <c r="CMQ232" s="26"/>
      <c r="CMU232" s="23"/>
      <c r="CMZ232" s="26"/>
      <c r="CND232" s="23"/>
      <c r="CNI232" s="26"/>
      <c r="CNM232" s="23"/>
      <c r="CNR232" s="26"/>
      <c r="CNV232" s="23"/>
      <c r="COA232" s="26"/>
      <c r="COE232" s="23"/>
      <c r="COJ232" s="26"/>
      <c r="CON232" s="23"/>
      <c r="COS232" s="26"/>
      <c r="COW232" s="23"/>
      <c r="CPB232" s="26"/>
      <c r="CPF232" s="23"/>
      <c r="CPK232" s="26"/>
      <c r="CPO232" s="23"/>
      <c r="CPT232" s="26"/>
      <c r="CPX232" s="23"/>
      <c r="CQC232" s="26"/>
      <c r="CQG232" s="23"/>
      <c r="CQL232" s="26"/>
      <c r="CQP232" s="23"/>
      <c r="CQU232" s="26"/>
      <c r="CQY232" s="23"/>
      <c r="CRD232" s="26"/>
      <c r="CRH232" s="23"/>
      <c r="CRM232" s="26"/>
      <c r="CRQ232" s="23"/>
      <c r="CRV232" s="26"/>
      <c r="CRZ232" s="23"/>
      <c r="CSE232" s="26"/>
      <c r="CSI232" s="23"/>
      <c r="CSN232" s="26"/>
      <c r="CSR232" s="23"/>
      <c r="CSW232" s="26"/>
      <c r="CTA232" s="23"/>
      <c r="CTF232" s="26"/>
      <c r="CTJ232" s="23"/>
      <c r="CTO232" s="26"/>
      <c r="CTS232" s="23"/>
      <c r="CTX232" s="26"/>
      <c r="CUB232" s="23"/>
      <c r="CUG232" s="26"/>
      <c r="CUK232" s="23"/>
      <c r="CUP232" s="26"/>
      <c r="CUT232" s="23"/>
      <c r="CUY232" s="26"/>
      <c r="CVC232" s="23"/>
      <c r="CVH232" s="26"/>
      <c r="CVL232" s="23"/>
      <c r="CVQ232" s="26"/>
      <c r="CVU232" s="23"/>
      <c r="CVZ232" s="26"/>
      <c r="CWD232" s="23"/>
      <c r="CWI232" s="26"/>
      <c r="CWM232" s="23"/>
      <c r="CWR232" s="26"/>
      <c r="CWV232" s="23"/>
      <c r="CXA232" s="26"/>
      <c r="CXE232" s="23"/>
      <c r="CXJ232" s="26"/>
      <c r="CXN232" s="23"/>
      <c r="CXS232" s="26"/>
      <c r="CXW232" s="23"/>
      <c r="CYB232" s="26"/>
      <c r="CYF232" s="23"/>
      <c r="CYK232" s="26"/>
      <c r="CYO232" s="23"/>
      <c r="CYT232" s="26"/>
      <c r="CYX232" s="23"/>
      <c r="CZC232" s="26"/>
      <c r="CZG232" s="23"/>
      <c r="CZL232" s="26"/>
      <c r="CZP232" s="23"/>
      <c r="CZU232" s="26"/>
      <c r="CZY232" s="23"/>
      <c r="DAD232" s="26"/>
      <c r="DAH232" s="23"/>
      <c r="DAM232" s="26"/>
      <c r="DAQ232" s="23"/>
      <c r="DAV232" s="26"/>
      <c r="DAZ232" s="23"/>
      <c r="DBE232" s="26"/>
      <c r="DBI232" s="23"/>
      <c r="DBN232" s="26"/>
      <c r="DBR232" s="23"/>
      <c r="DBW232" s="26"/>
      <c r="DCA232" s="23"/>
      <c r="DCF232" s="26"/>
      <c r="DCJ232" s="23"/>
      <c r="DCO232" s="26"/>
      <c r="DCS232" s="23"/>
      <c r="DCX232" s="26"/>
      <c r="DDB232" s="23"/>
      <c r="DDG232" s="26"/>
      <c r="DDK232" s="23"/>
      <c r="DDP232" s="26"/>
      <c r="DDT232" s="23"/>
      <c r="DDY232" s="26"/>
      <c r="DEC232" s="23"/>
      <c r="DEH232" s="26"/>
      <c r="DEL232" s="23"/>
      <c r="DEQ232" s="26"/>
      <c r="DEU232" s="23"/>
      <c r="DEZ232" s="26"/>
      <c r="DFD232" s="23"/>
      <c r="DFI232" s="26"/>
      <c r="DFM232" s="23"/>
      <c r="DFR232" s="26"/>
      <c r="DFV232" s="23"/>
      <c r="DGA232" s="26"/>
      <c r="DGE232" s="23"/>
      <c r="DGJ232" s="26"/>
      <c r="DGN232" s="23"/>
      <c r="DGS232" s="26"/>
      <c r="DGW232" s="23"/>
      <c r="DHB232" s="26"/>
      <c r="DHF232" s="23"/>
      <c r="DHK232" s="26"/>
      <c r="DHO232" s="23"/>
      <c r="DHT232" s="26"/>
      <c r="DHX232" s="23"/>
      <c r="DIC232" s="26"/>
      <c r="DIG232" s="23"/>
      <c r="DIL232" s="26"/>
      <c r="DIP232" s="23"/>
      <c r="DIU232" s="26"/>
      <c r="DIY232" s="23"/>
      <c r="DJD232" s="26"/>
      <c r="DJH232" s="23"/>
      <c r="DJM232" s="26"/>
      <c r="DJQ232" s="23"/>
      <c r="DJV232" s="26"/>
      <c r="DJZ232" s="23"/>
      <c r="DKE232" s="26"/>
      <c r="DKI232" s="23"/>
      <c r="DKN232" s="26"/>
      <c r="DKR232" s="23"/>
      <c r="DKW232" s="26"/>
      <c r="DLA232" s="23"/>
      <c r="DLF232" s="26"/>
      <c r="DLJ232" s="23"/>
      <c r="DLO232" s="26"/>
      <c r="DLS232" s="23"/>
      <c r="DLX232" s="26"/>
      <c r="DMB232" s="23"/>
      <c r="DMG232" s="26"/>
      <c r="DMK232" s="23"/>
      <c r="DMP232" s="26"/>
      <c r="DMT232" s="23"/>
      <c r="DMY232" s="26"/>
      <c r="DNC232" s="23"/>
      <c r="DNH232" s="26"/>
      <c r="DNL232" s="23"/>
      <c r="DNQ232" s="26"/>
      <c r="DNU232" s="23"/>
      <c r="DNZ232" s="26"/>
      <c r="DOD232" s="23"/>
      <c r="DOI232" s="26"/>
      <c r="DOM232" s="23"/>
      <c r="DOR232" s="26"/>
      <c r="DOV232" s="23"/>
      <c r="DPA232" s="26"/>
      <c r="DPE232" s="23"/>
      <c r="DPJ232" s="26"/>
      <c r="DPN232" s="23"/>
      <c r="DPS232" s="26"/>
      <c r="DPW232" s="23"/>
      <c r="DQB232" s="26"/>
      <c r="DQF232" s="23"/>
      <c r="DQK232" s="26"/>
      <c r="DQO232" s="23"/>
      <c r="DQT232" s="26"/>
      <c r="DQX232" s="23"/>
      <c r="DRC232" s="26"/>
      <c r="DRG232" s="23"/>
      <c r="DRL232" s="26"/>
      <c r="DRP232" s="23"/>
      <c r="DRU232" s="26"/>
      <c r="DRY232" s="23"/>
      <c r="DSD232" s="26"/>
      <c r="DSH232" s="23"/>
      <c r="DSM232" s="26"/>
      <c r="DSQ232" s="23"/>
      <c r="DSV232" s="26"/>
      <c r="DSZ232" s="23"/>
      <c r="DTE232" s="26"/>
      <c r="DTI232" s="23"/>
      <c r="DTN232" s="26"/>
      <c r="DTR232" s="23"/>
      <c r="DTW232" s="26"/>
      <c r="DUA232" s="23"/>
      <c r="DUF232" s="26"/>
      <c r="DUJ232" s="23"/>
      <c r="DUO232" s="26"/>
      <c r="DUS232" s="23"/>
      <c r="DUX232" s="26"/>
      <c r="DVB232" s="23"/>
      <c r="DVG232" s="26"/>
      <c r="DVK232" s="23"/>
      <c r="DVP232" s="26"/>
      <c r="DVT232" s="23"/>
      <c r="DVY232" s="26"/>
      <c r="DWC232" s="23"/>
      <c r="DWH232" s="26"/>
      <c r="DWL232" s="23"/>
      <c r="DWQ232" s="26"/>
      <c r="DWU232" s="23"/>
      <c r="DWZ232" s="26"/>
      <c r="DXD232" s="23"/>
      <c r="DXI232" s="26"/>
      <c r="DXM232" s="23"/>
      <c r="DXR232" s="26"/>
      <c r="DXV232" s="23"/>
      <c r="DYA232" s="26"/>
      <c r="DYE232" s="23"/>
      <c r="DYJ232" s="26"/>
      <c r="DYN232" s="23"/>
      <c r="DYS232" s="26"/>
      <c r="DYW232" s="23"/>
      <c r="DZB232" s="26"/>
      <c r="DZF232" s="23"/>
      <c r="DZK232" s="26"/>
      <c r="DZO232" s="23"/>
      <c r="DZT232" s="26"/>
      <c r="DZX232" s="23"/>
      <c r="EAC232" s="26"/>
      <c r="EAG232" s="23"/>
      <c r="EAL232" s="26"/>
      <c r="EAP232" s="23"/>
      <c r="EAU232" s="26"/>
      <c r="EAY232" s="23"/>
      <c r="EBD232" s="26"/>
      <c r="EBH232" s="23"/>
      <c r="EBM232" s="26"/>
      <c r="EBQ232" s="23"/>
      <c r="EBV232" s="26"/>
      <c r="EBZ232" s="23"/>
      <c r="ECE232" s="26"/>
      <c r="ECI232" s="23"/>
      <c r="ECN232" s="26"/>
      <c r="ECR232" s="23"/>
      <c r="ECW232" s="26"/>
      <c r="EDA232" s="23"/>
      <c r="EDF232" s="26"/>
      <c r="EDJ232" s="23"/>
      <c r="EDO232" s="26"/>
      <c r="EDS232" s="23"/>
      <c r="EDX232" s="26"/>
      <c r="EEB232" s="23"/>
      <c r="EEG232" s="26"/>
      <c r="EEK232" s="23"/>
      <c r="EEP232" s="26"/>
      <c r="EET232" s="23"/>
      <c r="EEY232" s="26"/>
      <c r="EFC232" s="23"/>
      <c r="EFH232" s="26"/>
      <c r="EFL232" s="23"/>
      <c r="EFQ232" s="26"/>
      <c r="EFU232" s="23"/>
      <c r="EFZ232" s="26"/>
      <c r="EGD232" s="23"/>
      <c r="EGI232" s="26"/>
      <c r="EGM232" s="23"/>
      <c r="EGR232" s="26"/>
      <c r="EGV232" s="23"/>
      <c r="EHA232" s="26"/>
      <c r="EHE232" s="23"/>
      <c r="EHJ232" s="26"/>
      <c r="EHN232" s="23"/>
      <c r="EHS232" s="26"/>
      <c r="EHW232" s="23"/>
      <c r="EIB232" s="26"/>
      <c r="EIF232" s="23"/>
      <c r="EIK232" s="26"/>
      <c r="EIO232" s="23"/>
      <c r="EIT232" s="26"/>
      <c r="EIX232" s="23"/>
      <c r="EJC232" s="26"/>
      <c r="EJG232" s="23"/>
      <c r="EJL232" s="26"/>
      <c r="EJP232" s="23"/>
      <c r="EJU232" s="26"/>
      <c r="EJY232" s="23"/>
      <c r="EKD232" s="26"/>
      <c r="EKH232" s="23"/>
      <c r="EKM232" s="26"/>
      <c r="EKQ232" s="23"/>
      <c r="EKV232" s="26"/>
      <c r="EKZ232" s="23"/>
      <c r="ELE232" s="26"/>
      <c r="ELI232" s="23"/>
      <c r="ELN232" s="26"/>
      <c r="ELR232" s="23"/>
      <c r="ELW232" s="26"/>
      <c r="EMA232" s="23"/>
      <c r="EMF232" s="26"/>
      <c r="EMJ232" s="23"/>
      <c r="EMO232" s="26"/>
      <c r="EMS232" s="23"/>
      <c r="EMX232" s="26"/>
      <c r="ENB232" s="23"/>
      <c r="ENG232" s="26"/>
      <c r="ENK232" s="23"/>
      <c r="ENP232" s="26"/>
      <c r="ENT232" s="23"/>
      <c r="ENY232" s="26"/>
      <c r="EOC232" s="23"/>
      <c r="EOH232" s="26"/>
      <c r="EOL232" s="23"/>
      <c r="EOQ232" s="26"/>
      <c r="EOU232" s="23"/>
      <c r="EOZ232" s="26"/>
      <c r="EPD232" s="23"/>
      <c r="EPI232" s="26"/>
      <c r="EPM232" s="23"/>
      <c r="EPR232" s="26"/>
      <c r="EPV232" s="23"/>
      <c r="EQA232" s="26"/>
      <c r="EQE232" s="23"/>
      <c r="EQJ232" s="26"/>
      <c r="EQN232" s="23"/>
      <c r="EQS232" s="26"/>
      <c r="EQW232" s="23"/>
      <c r="ERB232" s="26"/>
      <c r="ERF232" s="23"/>
      <c r="ERK232" s="26"/>
      <c r="ERO232" s="23"/>
      <c r="ERT232" s="26"/>
      <c r="ERX232" s="23"/>
      <c r="ESC232" s="26"/>
      <c r="ESG232" s="23"/>
      <c r="ESL232" s="26"/>
      <c r="ESP232" s="23"/>
      <c r="ESU232" s="26"/>
      <c r="ESY232" s="23"/>
      <c r="ETD232" s="26"/>
      <c r="ETH232" s="23"/>
      <c r="ETM232" s="26"/>
      <c r="ETQ232" s="23"/>
      <c r="ETV232" s="26"/>
      <c r="ETZ232" s="23"/>
      <c r="EUE232" s="26"/>
      <c r="EUI232" s="23"/>
      <c r="EUN232" s="26"/>
      <c r="EUR232" s="23"/>
      <c r="EUW232" s="26"/>
      <c r="EVA232" s="23"/>
      <c r="EVF232" s="26"/>
      <c r="EVJ232" s="23"/>
      <c r="EVO232" s="26"/>
      <c r="EVS232" s="23"/>
      <c r="EVX232" s="26"/>
      <c r="EWB232" s="23"/>
      <c r="EWG232" s="26"/>
      <c r="EWK232" s="23"/>
      <c r="EWP232" s="26"/>
      <c r="EWT232" s="23"/>
      <c r="EWY232" s="26"/>
      <c r="EXC232" s="23"/>
      <c r="EXH232" s="26"/>
      <c r="EXL232" s="23"/>
      <c r="EXQ232" s="26"/>
      <c r="EXU232" s="23"/>
      <c r="EXZ232" s="26"/>
      <c r="EYD232" s="23"/>
      <c r="EYI232" s="26"/>
      <c r="EYM232" s="23"/>
      <c r="EYR232" s="26"/>
      <c r="EYV232" s="23"/>
      <c r="EZA232" s="26"/>
      <c r="EZE232" s="23"/>
      <c r="EZJ232" s="26"/>
      <c r="EZN232" s="23"/>
      <c r="EZS232" s="26"/>
      <c r="EZW232" s="23"/>
      <c r="FAB232" s="26"/>
      <c r="FAF232" s="23"/>
      <c r="FAK232" s="26"/>
      <c r="FAO232" s="23"/>
      <c r="FAT232" s="26"/>
      <c r="FAX232" s="23"/>
      <c r="FBC232" s="26"/>
      <c r="FBG232" s="23"/>
      <c r="FBL232" s="26"/>
      <c r="FBP232" s="23"/>
      <c r="FBU232" s="26"/>
      <c r="FBY232" s="23"/>
      <c r="FCD232" s="26"/>
      <c r="FCH232" s="23"/>
      <c r="FCM232" s="26"/>
      <c r="FCQ232" s="23"/>
      <c r="FCV232" s="26"/>
      <c r="FCZ232" s="23"/>
      <c r="FDE232" s="26"/>
      <c r="FDI232" s="23"/>
      <c r="FDN232" s="26"/>
      <c r="FDR232" s="23"/>
      <c r="FDW232" s="26"/>
      <c r="FEA232" s="23"/>
      <c r="FEF232" s="26"/>
      <c r="FEJ232" s="23"/>
      <c r="FEO232" s="26"/>
      <c r="FES232" s="23"/>
      <c r="FEX232" s="26"/>
      <c r="FFB232" s="23"/>
      <c r="FFG232" s="26"/>
      <c r="FFK232" s="23"/>
      <c r="FFP232" s="26"/>
      <c r="FFT232" s="23"/>
      <c r="FFY232" s="26"/>
      <c r="FGC232" s="23"/>
      <c r="FGH232" s="26"/>
      <c r="FGL232" s="23"/>
      <c r="FGQ232" s="26"/>
      <c r="FGU232" s="23"/>
      <c r="FGZ232" s="26"/>
      <c r="FHD232" s="23"/>
      <c r="FHI232" s="26"/>
      <c r="FHM232" s="23"/>
      <c r="FHR232" s="26"/>
      <c r="FHV232" s="23"/>
      <c r="FIA232" s="26"/>
      <c r="FIE232" s="23"/>
      <c r="FIJ232" s="26"/>
      <c r="FIN232" s="23"/>
      <c r="FIS232" s="26"/>
      <c r="FIW232" s="23"/>
      <c r="FJB232" s="26"/>
      <c r="FJF232" s="23"/>
      <c r="FJK232" s="26"/>
      <c r="FJO232" s="23"/>
      <c r="FJT232" s="26"/>
      <c r="FJX232" s="23"/>
      <c r="FKC232" s="26"/>
      <c r="FKG232" s="23"/>
      <c r="FKL232" s="26"/>
      <c r="FKP232" s="23"/>
      <c r="FKU232" s="26"/>
      <c r="FKY232" s="23"/>
      <c r="FLD232" s="26"/>
      <c r="FLH232" s="23"/>
      <c r="FLM232" s="26"/>
      <c r="FLQ232" s="23"/>
      <c r="FLV232" s="26"/>
      <c r="FLZ232" s="23"/>
      <c r="FME232" s="26"/>
      <c r="FMI232" s="23"/>
      <c r="FMN232" s="26"/>
      <c r="FMR232" s="23"/>
      <c r="FMW232" s="26"/>
      <c r="FNA232" s="23"/>
      <c r="FNF232" s="26"/>
      <c r="FNJ232" s="23"/>
      <c r="FNO232" s="26"/>
      <c r="FNS232" s="23"/>
      <c r="FNX232" s="26"/>
      <c r="FOB232" s="23"/>
      <c r="FOG232" s="26"/>
      <c r="FOK232" s="23"/>
      <c r="FOP232" s="26"/>
      <c r="FOT232" s="23"/>
      <c r="FOY232" s="26"/>
      <c r="FPC232" s="23"/>
      <c r="FPH232" s="26"/>
      <c r="FPL232" s="23"/>
      <c r="FPQ232" s="26"/>
      <c r="FPU232" s="23"/>
      <c r="FPZ232" s="26"/>
      <c r="FQD232" s="23"/>
      <c r="FQI232" s="26"/>
      <c r="FQM232" s="23"/>
      <c r="FQR232" s="26"/>
      <c r="FQV232" s="23"/>
      <c r="FRA232" s="26"/>
      <c r="FRE232" s="23"/>
      <c r="FRJ232" s="26"/>
      <c r="FRN232" s="23"/>
      <c r="FRS232" s="26"/>
      <c r="FRW232" s="23"/>
      <c r="FSB232" s="26"/>
      <c r="FSF232" s="23"/>
      <c r="FSK232" s="26"/>
      <c r="FSO232" s="23"/>
      <c r="FST232" s="26"/>
      <c r="FSX232" s="23"/>
      <c r="FTC232" s="26"/>
      <c r="FTG232" s="23"/>
      <c r="FTL232" s="26"/>
      <c r="FTP232" s="23"/>
      <c r="FTU232" s="26"/>
      <c r="FTY232" s="23"/>
      <c r="FUD232" s="26"/>
      <c r="FUH232" s="23"/>
      <c r="FUM232" s="26"/>
      <c r="FUQ232" s="23"/>
      <c r="FUV232" s="26"/>
      <c r="FUZ232" s="23"/>
      <c r="FVE232" s="26"/>
      <c r="FVI232" s="23"/>
      <c r="FVN232" s="26"/>
      <c r="FVR232" s="23"/>
      <c r="FVW232" s="26"/>
      <c r="FWA232" s="23"/>
      <c r="FWF232" s="26"/>
      <c r="FWJ232" s="23"/>
      <c r="FWO232" s="26"/>
      <c r="FWS232" s="23"/>
      <c r="FWX232" s="26"/>
      <c r="FXB232" s="23"/>
      <c r="FXG232" s="26"/>
      <c r="FXK232" s="23"/>
      <c r="FXP232" s="26"/>
      <c r="FXT232" s="23"/>
      <c r="FXY232" s="26"/>
      <c r="FYC232" s="23"/>
      <c r="FYH232" s="26"/>
      <c r="FYL232" s="23"/>
      <c r="FYQ232" s="26"/>
      <c r="FYU232" s="23"/>
      <c r="FYZ232" s="26"/>
      <c r="FZD232" s="23"/>
      <c r="FZI232" s="26"/>
      <c r="FZM232" s="23"/>
      <c r="FZR232" s="26"/>
      <c r="FZV232" s="23"/>
      <c r="GAA232" s="26"/>
      <c r="GAE232" s="23"/>
      <c r="GAJ232" s="26"/>
      <c r="GAN232" s="23"/>
      <c r="GAS232" s="26"/>
      <c r="GAW232" s="23"/>
      <c r="GBB232" s="26"/>
      <c r="GBF232" s="23"/>
      <c r="GBK232" s="26"/>
      <c r="GBO232" s="23"/>
      <c r="GBT232" s="26"/>
      <c r="GBX232" s="23"/>
      <c r="GCC232" s="26"/>
      <c r="GCG232" s="23"/>
      <c r="GCL232" s="26"/>
      <c r="GCP232" s="23"/>
      <c r="GCU232" s="26"/>
      <c r="GCY232" s="23"/>
      <c r="GDD232" s="26"/>
      <c r="GDH232" s="23"/>
      <c r="GDM232" s="26"/>
      <c r="GDQ232" s="23"/>
      <c r="GDV232" s="26"/>
      <c r="GDZ232" s="23"/>
      <c r="GEE232" s="26"/>
      <c r="GEI232" s="23"/>
      <c r="GEN232" s="26"/>
      <c r="GER232" s="23"/>
      <c r="GEW232" s="26"/>
      <c r="GFA232" s="23"/>
      <c r="GFF232" s="26"/>
      <c r="GFJ232" s="23"/>
      <c r="GFO232" s="26"/>
      <c r="GFS232" s="23"/>
      <c r="GFX232" s="26"/>
      <c r="GGB232" s="23"/>
      <c r="GGG232" s="26"/>
      <c r="GGK232" s="23"/>
      <c r="GGP232" s="26"/>
      <c r="GGT232" s="23"/>
      <c r="GGY232" s="26"/>
      <c r="GHC232" s="23"/>
      <c r="GHH232" s="26"/>
      <c r="GHL232" s="23"/>
      <c r="GHQ232" s="26"/>
      <c r="GHU232" s="23"/>
      <c r="GHZ232" s="26"/>
      <c r="GID232" s="23"/>
      <c r="GII232" s="26"/>
      <c r="GIM232" s="23"/>
      <c r="GIR232" s="26"/>
      <c r="GIV232" s="23"/>
      <c r="GJA232" s="26"/>
      <c r="GJE232" s="23"/>
      <c r="GJJ232" s="26"/>
      <c r="GJN232" s="23"/>
      <c r="GJS232" s="26"/>
      <c r="GJW232" s="23"/>
      <c r="GKB232" s="26"/>
      <c r="GKF232" s="23"/>
      <c r="GKK232" s="26"/>
      <c r="GKO232" s="23"/>
      <c r="GKT232" s="26"/>
      <c r="GKX232" s="23"/>
      <c r="GLC232" s="26"/>
      <c r="GLG232" s="23"/>
      <c r="GLL232" s="26"/>
      <c r="GLP232" s="23"/>
      <c r="GLU232" s="26"/>
      <c r="GLY232" s="23"/>
      <c r="GMD232" s="26"/>
      <c r="GMH232" s="23"/>
      <c r="GMM232" s="26"/>
      <c r="GMQ232" s="23"/>
      <c r="GMV232" s="26"/>
      <c r="GMZ232" s="23"/>
      <c r="GNE232" s="26"/>
      <c r="GNI232" s="23"/>
      <c r="GNN232" s="26"/>
      <c r="GNR232" s="23"/>
      <c r="GNW232" s="26"/>
      <c r="GOA232" s="23"/>
      <c r="GOF232" s="26"/>
      <c r="GOJ232" s="23"/>
      <c r="GOO232" s="26"/>
      <c r="GOS232" s="23"/>
      <c r="GOX232" s="26"/>
      <c r="GPB232" s="23"/>
      <c r="GPG232" s="26"/>
      <c r="GPK232" s="23"/>
      <c r="GPP232" s="26"/>
      <c r="GPT232" s="23"/>
      <c r="GPY232" s="26"/>
      <c r="GQC232" s="23"/>
      <c r="GQH232" s="26"/>
      <c r="GQL232" s="23"/>
      <c r="GQQ232" s="26"/>
      <c r="GQU232" s="23"/>
      <c r="GQZ232" s="26"/>
      <c r="GRD232" s="23"/>
      <c r="GRI232" s="26"/>
      <c r="GRM232" s="23"/>
      <c r="GRR232" s="26"/>
      <c r="GRV232" s="23"/>
      <c r="GSA232" s="26"/>
      <c r="GSE232" s="23"/>
      <c r="GSJ232" s="26"/>
      <c r="GSN232" s="23"/>
      <c r="GSS232" s="26"/>
      <c r="GSW232" s="23"/>
      <c r="GTB232" s="26"/>
      <c r="GTF232" s="23"/>
      <c r="GTK232" s="26"/>
      <c r="GTO232" s="23"/>
      <c r="GTT232" s="26"/>
      <c r="GTX232" s="23"/>
      <c r="GUC232" s="26"/>
      <c r="GUG232" s="23"/>
      <c r="GUL232" s="26"/>
      <c r="GUP232" s="23"/>
      <c r="GUU232" s="26"/>
      <c r="GUY232" s="23"/>
      <c r="GVD232" s="26"/>
      <c r="GVH232" s="23"/>
      <c r="GVM232" s="26"/>
      <c r="GVQ232" s="23"/>
      <c r="GVV232" s="26"/>
      <c r="GVZ232" s="23"/>
      <c r="GWE232" s="26"/>
      <c r="GWI232" s="23"/>
      <c r="GWN232" s="26"/>
      <c r="GWR232" s="23"/>
      <c r="GWW232" s="26"/>
      <c r="GXA232" s="23"/>
      <c r="GXF232" s="26"/>
      <c r="GXJ232" s="23"/>
      <c r="GXO232" s="26"/>
      <c r="GXS232" s="23"/>
      <c r="GXX232" s="26"/>
      <c r="GYB232" s="23"/>
      <c r="GYG232" s="26"/>
      <c r="GYK232" s="23"/>
      <c r="GYP232" s="26"/>
      <c r="GYT232" s="23"/>
      <c r="GYY232" s="26"/>
      <c r="GZC232" s="23"/>
      <c r="GZH232" s="26"/>
      <c r="GZL232" s="23"/>
      <c r="GZQ232" s="26"/>
      <c r="GZU232" s="23"/>
      <c r="GZZ232" s="26"/>
      <c r="HAD232" s="23"/>
      <c r="HAI232" s="26"/>
      <c r="HAM232" s="23"/>
      <c r="HAR232" s="26"/>
      <c r="HAV232" s="23"/>
      <c r="HBA232" s="26"/>
      <c r="HBE232" s="23"/>
      <c r="HBJ232" s="26"/>
      <c r="HBN232" s="23"/>
      <c r="HBS232" s="26"/>
      <c r="HBW232" s="23"/>
      <c r="HCB232" s="26"/>
      <c r="HCF232" s="23"/>
      <c r="HCK232" s="26"/>
      <c r="HCO232" s="23"/>
      <c r="HCT232" s="26"/>
      <c r="HCX232" s="23"/>
      <c r="HDC232" s="26"/>
      <c r="HDG232" s="23"/>
      <c r="HDL232" s="26"/>
      <c r="HDP232" s="23"/>
      <c r="HDU232" s="26"/>
      <c r="HDY232" s="23"/>
      <c r="HED232" s="26"/>
      <c r="HEH232" s="23"/>
      <c r="HEM232" s="26"/>
      <c r="HEQ232" s="23"/>
      <c r="HEV232" s="26"/>
      <c r="HEZ232" s="23"/>
      <c r="HFE232" s="26"/>
      <c r="HFI232" s="23"/>
      <c r="HFN232" s="26"/>
      <c r="HFR232" s="23"/>
      <c r="HFW232" s="26"/>
      <c r="HGA232" s="23"/>
      <c r="HGF232" s="26"/>
      <c r="HGJ232" s="23"/>
      <c r="HGO232" s="26"/>
      <c r="HGS232" s="23"/>
      <c r="HGX232" s="26"/>
      <c r="HHB232" s="23"/>
      <c r="HHG232" s="26"/>
      <c r="HHK232" s="23"/>
      <c r="HHP232" s="26"/>
      <c r="HHT232" s="23"/>
      <c r="HHY232" s="26"/>
      <c r="HIC232" s="23"/>
      <c r="HIH232" s="26"/>
      <c r="HIL232" s="23"/>
      <c r="HIQ232" s="26"/>
      <c r="HIU232" s="23"/>
      <c r="HIZ232" s="26"/>
      <c r="HJD232" s="23"/>
      <c r="HJI232" s="26"/>
      <c r="HJM232" s="23"/>
      <c r="HJR232" s="26"/>
      <c r="HJV232" s="23"/>
      <c r="HKA232" s="26"/>
      <c r="HKE232" s="23"/>
      <c r="HKJ232" s="26"/>
      <c r="HKN232" s="23"/>
      <c r="HKS232" s="26"/>
      <c r="HKW232" s="23"/>
      <c r="HLB232" s="26"/>
      <c r="HLF232" s="23"/>
      <c r="HLK232" s="26"/>
      <c r="HLO232" s="23"/>
      <c r="HLT232" s="26"/>
      <c r="HLX232" s="23"/>
      <c r="HMC232" s="26"/>
      <c r="HMG232" s="23"/>
      <c r="HML232" s="26"/>
      <c r="HMP232" s="23"/>
      <c r="HMU232" s="26"/>
      <c r="HMY232" s="23"/>
      <c r="HND232" s="26"/>
      <c r="HNH232" s="23"/>
      <c r="HNM232" s="26"/>
      <c r="HNQ232" s="23"/>
      <c r="HNV232" s="26"/>
      <c r="HNZ232" s="23"/>
      <c r="HOE232" s="26"/>
      <c r="HOI232" s="23"/>
      <c r="HON232" s="26"/>
      <c r="HOR232" s="23"/>
      <c r="HOW232" s="26"/>
      <c r="HPA232" s="23"/>
      <c r="HPF232" s="26"/>
      <c r="HPJ232" s="23"/>
      <c r="HPO232" s="26"/>
      <c r="HPS232" s="23"/>
      <c r="HPX232" s="26"/>
      <c r="HQB232" s="23"/>
      <c r="HQG232" s="26"/>
      <c r="HQK232" s="23"/>
      <c r="HQP232" s="26"/>
      <c r="HQT232" s="23"/>
      <c r="HQY232" s="26"/>
      <c r="HRC232" s="23"/>
      <c r="HRH232" s="26"/>
      <c r="HRL232" s="23"/>
      <c r="HRQ232" s="26"/>
      <c r="HRU232" s="23"/>
      <c r="HRZ232" s="26"/>
      <c r="HSD232" s="23"/>
      <c r="HSI232" s="26"/>
      <c r="HSM232" s="23"/>
      <c r="HSR232" s="26"/>
      <c r="HSV232" s="23"/>
      <c r="HTA232" s="26"/>
      <c r="HTE232" s="23"/>
      <c r="HTJ232" s="26"/>
      <c r="HTN232" s="23"/>
      <c r="HTS232" s="26"/>
      <c r="HTW232" s="23"/>
      <c r="HUB232" s="26"/>
      <c r="HUF232" s="23"/>
      <c r="HUK232" s="26"/>
      <c r="HUO232" s="23"/>
      <c r="HUT232" s="26"/>
      <c r="HUX232" s="23"/>
      <c r="HVC232" s="26"/>
      <c r="HVG232" s="23"/>
      <c r="HVL232" s="26"/>
      <c r="HVP232" s="23"/>
      <c r="HVU232" s="26"/>
      <c r="HVY232" s="23"/>
      <c r="HWD232" s="26"/>
      <c r="HWH232" s="23"/>
      <c r="HWM232" s="26"/>
      <c r="HWQ232" s="23"/>
      <c r="HWV232" s="26"/>
      <c r="HWZ232" s="23"/>
      <c r="HXE232" s="26"/>
      <c r="HXI232" s="23"/>
      <c r="HXN232" s="26"/>
      <c r="HXR232" s="23"/>
      <c r="HXW232" s="26"/>
      <c r="HYA232" s="23"/>
      <c r="HYF232" s="26"/>
      <c r="HYJ232" s="23"/>
      <c r="HYO232" s="26"/>
      <c r="HYS232" s="23"/>
      <c r="HYX232" s="26"/>
      <c r="HZB232" s="23"/>
      <c r="HZG232" s="26"/>
      <c r="HZK232" s="23"/>
      <c r="HZP232" s="26"/>
      <c r="HZT232" s="23"/>
      <c r="HZY232" s="26"/>
      <c r="IAC232" s="23"/>
      <c r="IAH232" s="26"/>
      <c r="IAL232" s="23"/>
      <c r="IAQ232" s="26"/>
      <c r="IAU232" s="23"/>
      <c r="IAZ232" s="26"/>
      <c r="IBD232" s="23"/>
      <c r="IBI232" s="26"/>
      <c r="IBM232" s="23"/>
      <c r="IBR232" s="26"/>
      <c r="IBV232" s="23"/>
      <c r="ICA232" s="26"/>
      <c r="ICE232" s="23"/>
      <c r="ICJ232" s="26"/>
      <c r="ICN232" s="23"/>
      <c r="ICS232" s="26"/>
      <c r="ICW232" s="23"/>
      <c r="IDB232" s="26"/>
      <c r="IDF232" s="23"/>
      <c r="IDK232" s="26"/>
      <c r="IDO232" s="23"/>
      <c r="IDT232" s="26"/>
      <c r="IDX232" s="23"/>
      <c r="IEC232" s="26"/>
      <c r="IEG232" s="23"/>
      <c r="IEL232" s="26"/>
      <c r="IEP232" s="23"/>
      <c r="IEU232" s="26"/>
      <c r="IEY232" s="23"/>
      <c r="IFD232" s="26"/>
      <c r="IFH232" s="23"/>
      <c r="IFM232" s="26"/>
      <c r="IFQ232" s="23"/>
      <c r="IFV232" s="26"/>
      <c r="IFZ232" s="23"/>
      <c r="IGE232" s="26"/>
      <c r="IGI232" s="23"/>
      <c r="IGN232" s="26"/>
      <c r="IGR232" s="23"/>
      <c r="IGW232" s="26"/>
      <c r="IHA232" s="23"/>
      <c r="IHF232" s="26"/>
      <c r="IHJ232" s="23"/>
      <c r="IHO232" s="26"/>
      <c r="IHS232" s="23"/>
      <c r="IHX232" s="26"/>
      <c r="IIB232" s="23"/>
      <c r="IIG232" s="26"/>
      <c r="IIK232" s="23"/>
      <c r="IIP232" s="26"/>
      <c r="IIT232" s="23"/>
      <c r="IIY232" s="26"/>
      <c r="IJC232" s="23"/>
      <c r="IJH232" s="26"/>
      <c r="IJL232" s="23"/>
      <c r="IJQ232" s="26"/>
      <c r="IJU232" s="23"/>
      <c r="IJZ232" s="26"/>
      <c r="IKD232" s="23"/>
      <c r="IKI232" s="26"/>
      <c r="IKM232" s="23"/>
      <c r="IKR232" s="26"/>
      <c r="IKV232" s="23"/>
      <c r="ILA232" s="26"/>
      <c r="ILE232" s="23"/>
      <c r="ILJ232" s="26"/>
      <c r="ILN232" s="23"/>
      <c r="ILS232" s="26"/>
      <c r="ILW232" s="23"/>
      <c r="IMB232" s="26"/>
      <c r="IMF232" s="23"/>
      <c r="IMK232" s="26"/>
      <c r="IMO232" s="23"/>
      <c r="IMT232" s="26"/>
      <c r="IMX232" s="23"/>
      <c r="INC232" s="26"/>
      <c r="ING232" s="23"/>
      <c r="INL232" s="26"/>
      <c r="INP232" s="23"/>
      <c r="INU232" s="26"/>
      <c r="INY232" s="23"/>
      <c r="IOD232" s="26"/>
      <c r="IOH232" s="23"/>
      <c r="IOM232" s="26"/>
      <c r="IOQ232" s="23"/>
      <c r="IOV232" s="26"/>
      <c r="IOZ232" s="23"/>
      <c r="IPE232" s="26"/>
      <c r="IPI232" s="23"/>
      <c r="IPN232" s="26"/>
      <c r="IPR232" s="23"/>
      <c r="IPW232" s="26"/>
      <c r="IQA232" s="23"/>
      <c r="IQF232" s="26"/>
      <c r="IQJ232" s="23"/>
      <c r="IQO232" s="26"/>
      <c r="IQS232" s="23"/>
      <c r="IQX232" s="26"/>
      <c r="IRB232" s="23"/>
      <c r="IRG232" s="26"/>
      <c r="IRK232" s="23"/>
      <c r="IRP232" s="26"/>
      <c r="IRT232" s="23"/>
      <c r="IRY232" s="26"/>
      <c r="ISC232" s="23"/>
      <c r="ISH232" s="26"/>
      <c r="ISL232" s="23"/>
      <c r="ISQ232" s="26"/>
      <c r="ISU232" s="23"/>
      <c r="ISZ232" s="26"/>
      <c r="ITD232" s="23"/>
      <c r="ITI232" s="26"/>
      <c r="ITM232" s="23"/>
      <c r="ITR232" s="26"/>
      <c r="ITV232" s="23"/>
      <c r="IUA232" s="26"/>
      <c r="IUE232" s="23"/>
      <c r="IUJ232" s="26"/>
      <c r="IUN232" s="23"/>
      <c r="IUS232" s="26"/>
      <c r="IUW232" s="23"/>
      <c r="IVB232" s="26"/>
      <c r="IVF232" s="23"/>
      <c r="IVK232" s="26"/>
      <c r="IVO232" s="23"/>
      <c r="IVT232" s="26"/>
      <c r="IVX232" s="23"/>
      <c r="IWC232" s="26"/>
      <c r="IWG232" s="23"/>
      <c r="IWL232" s="26"/>
      <c r="IWP232" s="23"/>
      <c r="IWU232" s="26"/>
      <c r="IWY232" s="23"/>
      <c r="IXD232" s="26"/>
      <c r="IXH232" s="23"/>
      <c r="IXM232" s="26"/>
      <c r="IXQ232" s="23"/>
      <c r="IXV232" s="26"/>
      <c r="IXZ232" s="23"/>
      <c r="IYE232" s="26"/>
      <c r="IYI232" s="23"/>
      <c r="IYN232" s="26"/>
      <c r="IYR232" s="23"/>
      <c r="IYW232" s="26"/>
      <c r="IZA232" s="23"/>
      <c r="IZF232" s="26"/>
      <c r="IZJ232" s="23"/>
      <c r="IZO232" s="26"/>
      <c r="IZS232" s="23"/>
      <c r="IZX232" s="26"/>
      <c r="JAB232" s="23"/>
      <c r="JAG232" s="26"/>
      <c r="JAK232" s="23"/>
      <c r="JAP232" s="26"/>
      <c r="JAT232" s="23"/>
      <c r="JAY232" s="26"/>
      <c r="JBC232" s="23"/>
      <c r="JBH232" s="26"/>
      <c r="JBL232" s="23"/>
      <c r="JBQ232" s="26"/>
      <c r="JBU232" s="23"/>
      <c r="JBZ232" s="26"/>
      <c r="JCD232" s="23"/>
      <c r="JCI232" s="26"/>
      <c r="JCM232" s="23"/>
      <c r="JCR232" s="26"/>
      <c r="JCV232" s="23"/>
      <c r="JDA232" s="26"/>
      <c r="JDE232" s="23"/>
      <c r="JDJ232" s="26"/>
      <c r="JDN232" s="23"/>
      <c r="JDS232" s="26"/>
      <c r="JDW232" s="23"/>
      <c r="JEB232" s="26"/>
      <c r="JEF232" s="23"/>
      <c r="JEK232" s="26"/>
      <c r="JEO232" s="23"/>
      <c r="JET232" s="26"/>
      <c r="JEX232" s="23"/>
      <c r="JFC232" s="26"/>
      <c r="JFG232" s="23"/>
      <c r="JFL232" s="26"/>
      <c r="JFP232" s="23"/>
      <c r="JFU232" s="26"/>
      <c r="JFY232" s="23"/>
      <c r="JGD232" s="26"/>
      <c r="JGH232" s="23"/>
      <c r="JGM232" s="26"/>
      <c r="JGQ232" s="23"/>
      <c r="JGV232" s="26"/>
      <c r="JGZ232" s="23"/>
      <c r="JHE232" s="26"/>
      <c r="JHI232" s="23"/>
      <c r="JHN232" s="26"/>
      <c r="JHR232" s="23"/>
      <c r="JHW232" s="26"/>
      <c r="JIA232" s="23"/>
      <c r="JIF232" s="26"/>
      <c r="JIJ232" s="23"/>
      <c r="JIO232" s="26"/>
      <c r="JIS232" s="23"/>
      <c r="JIX232" s="26"/>
      <c r="JJB232" s="23"/>
      <c r="JJG232" s="26"/>
      <c r="JJK232" s="23"/>
      <c r="JJP232" s="26"/>
      <c r="JJT232" s="23"/>
      <c r="JJY232" s="26"/>
      <c r="JKC232" s="23"/>
      <c r="JKH232" s="26"/>
      <c r="JKL232" s="23"/>
      <c r="JKQ232" s="26"/>
      <c r="JKU232" s="23"/>
      <c r="JKZ232" s="26"/>
      <c r="JLD232" s="23"/>
      <c r="JLI232" s="26"/>
      <c r="JLM232" s="23"/>
      <c r="JLR232" s="26"/>
      <c r="JLV232" s="23"/>
      <c r="JMA232" s="26"/>
      <c r="JME232" s="23"/>
      <c r="JMJ232" s="26"/>
      <c r="JMN232" s="23"/>
      <c r="JMS232" s="26"/>
      <c r="JMW232" s="23"/>
      <c r="JNB232" s="26"/>
      <c r="JNF232" s="23"/>
      <c r="JNK232" s="26"/>
      <c r="JNO232" s="23"/>
      <c r="JNT232" s="26"/>
      <c r="JNX232" s="23"/>
      <c r="JOC232" s="26"/>
      <c r="JOG232" s="23"/>
      <c r="JOL232" s="26"/>
      <c r="JOP232" s="23"/>
      <c r="JOU232" s="26"/>
      <c r="JOY232" s="23"/>
      <c r="JPD232" s="26"/>
      <c r="JPH232" s="23"/>
      <c r="JPM232" s="26"/>
      <c r="JPQ232" s="23"/>
      <c r="JPV232" s="26"/>
      <c r="JPZ232" s="23"/>
      <c r="JQE232" s="26"/>
      <c r="JQI232" s="23"/>
      <c r="JQN232" s="26"/>
      <c r="JQR232" s="23"/>
      <c r="JQW232" s="26"/>
      <c r="JRA232" s="23"/>
      <c r="JRF232" s="26"/>
      <c r="JRJ232" s="23"/>
      <c r="JRO232" s="26"/>
      <c r="JRS232" s="23"/>
      <c r="JRX232" s="26"/>
      <c r="JSB232" s="23"/>
      <c r="JSG232" s="26"/>
      <c r="JSK232" s="23"/>
      <c r="JSP232" s="26"/>
      <c r="JST232" s="23"/>
      <c r="JSY232" s="26"/>
      <c r="JTC232" s="23"/>
      <c r="JTH232" s="26"/>
      <c r="JTL232" s="23"/>
      <c r="JTQ232" s="26"/>
      <c r="JTU232" s="23"/>
      <c r="JTZ232" s="26"/>
      <c r="JUD232" s="23"/>
      <c r="JUI232" s="26"/>
      <c r="JUM232" s="23"/>
      <c r="JUR232" s="26"/>
      <c r="JUV232" s="23"/>
      <c r="JVA232" s="26"/>
      <c r="JVE232" s="23"/>
      <c r="JVJ232" s="26"/>
      <c r="JVN232" s="23"/>
      <c r="JVS232" s="26"/>
      <c r="JVW232" s="23"/>
      <c r="JWB232" s="26"/>
      <c r="JWF232" s="23"/>
      <c r="JWK232" s="26"/>
      <c r="JWO232" s="23"/>
      <c r="JWT232" s="26"/>
      <c r="JWX232" s="23"/>
      <c r="JXC232" s="26"/>
      <c r="JXG232" s="23"/>
      <c r="JXL232" s="26"/>
      <c r="JXP232" s="23"/>
      <c r="JXU232" s="26"/>
      <c r="JXY232" s="23"/>
      <c r="JYD232" s="26"/>
      <c r="JYH232" s="23"/>
      <c r="JYM232" s="26"/>
      <c r="JYQ232" s="23"/>
      <c r="JYV232" s="26"/>
      <c r="JYZ232" s="23"/>
      <c r="JZE232" s="26"/>
      <c r="JZI232" s="23"/>
      <c r="JZN232" s="26"/>
      <c r="JZR232" s="23"/>
      <c r="JZW232" s="26"/>
      <c r="KAA232" s="23"/>
      <c r="KAF232" s="26"/>
      <c r="KAJ232" s="23"/>
      <c r="KAO232" s="26"/>
      <c r="KAS232" s="23"/>
      <c r="KAX232" s="26"/>
      <c r="KBB232" s="23"/>
      <c r="KBG232" s="26"/>
      <c r="KBK232" s="23"/>
      <c r="KBP232" s="26"/>
      <c r="KBT232" s="23"/>
      <c r="KBY232" s="26"/>
      <c r="KCC232" s="23"/>
      <c r="KCH232" s="26"/>
      <c r="KCL232" s="23"/>
      <c r="KCQ232" s="26"/>
      <c r="KCU232" s="23"/>
      <c r="KCZ232" s="26"/>
      <c r="KDD232" s="23"/>
      <c r="KDI232" s="26"/>
      <c r="KDM232" s="23"/>
      <c r="KDR232" s="26"/>
      <c r="KDV232" s="23"/>
      <c r="KEA232" s="26"/>
      <c r="KEE232" s="23"/>
      <c r="KEJ232" s="26"/>
      <c r="KEN232" s="23"/>
      <c r="KES232" s="26"/>
      <c r="KEW232" s="23"/>
      <c r="KFB232" s="26"/>
      <c r="KFF232" s="23"/>
      <c r="KFK232" s="26"/>
      <c r="KFO232" s="23"/>
      <c r="KFT232" s="26"/>
      <c r="KFX232" s="23"/>
      <c r="KGC232" s="26"/>
      <c r="KGG232" s="23"/>
      <c r="KGL232" s="26"/>
      <c r="KGP232" s="23"/>
      <c r="KGU232" s="26"/>
      <c r="KGY232" s="23"/>
      <c r="KHD232" s="26"/>
      <c r="KHH232" s="23"/>
      <c r="KHM232" s="26"/>
      <c r="KHQ232" s="23"/>
      <c r="KHV232" s="26"/>
      <c r="KHZ232" s="23"/>
      <c r="KIE232" s="26"/>
      <c r="KII232" s="23"/>
      <c r="KIN232" s="26"/>
      <c r="KIR232" s="23"/>
      <c r="KIW232" s="26"/>
      <c r="KJA232" s="23"/>
      <c r="KJF232" s="26"/>
      <c r="KJJ232" s="23"/>
      <c r="KJO232" s="26"/>
      <c r="KJS232" s="23"/>
      <c r="KJX232" s="26"/>
      <c r="KKB232" s="23"/>
      <c r="KKG232" s="26"/>
      <c r="KKK232" s="23"/>
      <c r="KKP232" s="26"/>
      <c r="KKT232" s="23"/>
      <c r="KKY232" s="26"/>
      <c r="KLC232" s="23"/>
      <c r="KLH232" s="26"/>
      <c r="KLL232" s="23"/>
      <c r="KLQ232" s="26"/>
      <c r="KLU232" s="23"/>
      <c r="KLZ232" s="26"/>
      <c r="KMD232" s="23"/>
      <c r="KMI232" s="26"/>
      <c r="KMM232" s="23"/>
      <c r="KMR232" s="26"/>
      <c r="KMV232" s="23"/>
      <c r="KNA232" s="26"/>
      <c r="KNE232" s="23"/>
      <c r="KNJ232" s="26"/>
      <c r="KNN232" s="23"/>
      <c r="KNS232" s="26"/>
      <c r="KNW232" s="23"/>
      <c r="KOB232" s="26"/>
      <c r="KOF232" s="23"/>
      <c r="KOK232" s="26"/>
      <c r="KOO232" s="23"/>
      <c r="KOT232" s="26"/>
      <c r="KOX232" s="23"/>
      <c r="KPC232" s="26"/>
      <c r="KPG232" s="23"/>
      <c r="KPL232" s="26"/>
      <c r="KPP232" s="23"/>
      <c r="KPU232" s="26"/>
      <c r="KPY232" s="23"/>
      <c r="KQD232" s="26"/>
      <c r="KQH232" s="23"/>
      <c r="KQM232" s="26"/>
      <c r="KQQ232" s="23"/>
      <c r="KQV232" s="26"/>
      <c r="KQZ232" s="23"/>
      <c r="KRE232" s="26"/>
      <c r="KRI232" s="23"/>
      <c r="KRN232" s="26"/>
      <c r="KRR232" s="23"/>
      <c r="KRW232" s="26"/>
      <c r="KSA232" s="23"/>
      <c r="KSF232" s="26"/>
      <c r="KSJ232" s="23"/>
      <c r="KSO232" s="26"/>
      <c r="KSS232" s="23"/>
      <c r="KSX232" s="26"/>
      <c r="KTB232" s="23"/>
      <c r="KTG232" s="26"/>
      <c r="KTK232" s="23"/>
      <c r="KTP232" s="26"/>
      <c r="KTT232" s="23"/>
      <c r="KTY232" s="26"/>
      <c r="KUC232" s="23"/>
      <c r="KUH232" s="26"/>
      <c r="KUL232" s="23"/>
      <c r="KUQ232" s="26"/>
      <c r="KUU232" s="23"/>
      <c r="KUZ232" s="26"/>
      <c r="KVD232" s="23"/>
      <c r="KVI232" s="26"/>
      <c r="KVM232" s="23"/>
      <c r="KVR232" s="26"/>
      <c r="KVV232" s="23"/>
      <c r="KWA232" s="26"/>
      <c r="KWE232" s="23"/>
      <c r="KWJ232" s="26"/>
      <c r="KWN232" s="23"/>
      <c r="KWS232" s="26"/>
      <c r="KWW232" s="23"/>
      <c r="KXB232" s="26"/>
      <c r="KXF232" s="23"/>
      <c r="KXK232" s="26"/>
      <c r="KXO232" s="23"/>
      <c r="KXT232" s="26"/>
      <c r="KXX232" s="23"/>
      <c r="KYC232" s="26"/>
      <c r="KYG232" s="23"/>
      <c r="KYL232" s="26"/>
      <c r="KYP232" s="23"/>
      <c r="KYU232" s="26"/>
      <c r="KYY232" s="23"/>
      <c r="KZD232" s="26"/>
      <c r="KZH232" s="23"/>
      <c r="KZM232" s="26"/>
      <c r="KZQ232" s="23"/>
      <c r="KZV232" s="26"/>
      <c r="KZZ232" s="23"/>
      <c r="LAE232" s="26"/>
      <c r="LAI232" s="23"/>
      <c r="LAN232" s="26"/>
      <c r="LAR232" s="23"/>
      <c r="LAW232" s="26"/>
      <c r="LBA232" s="23"/>
      <c r="LBF232" s="26"/>
      <c r="LBJ232" s="23"/>
      <c r="LBO232" s="26"/>
      <c r="LBS232" s="23"/>
      <c r="LBX232" s="26"/>
      <c r="LCB232" s="23"/>
      <c r="LCG232" s="26"/>
      <c r="LCK232" s="23"/>
      <c r="LCP232" s="26"/>
      <c r="LCT232" s="23"/>
      <c r="LCY232" s="26"/>
      <c r="LDC232" s="23"/>
      <c r="LDH232" s="26"/>
      <c r="LDL232" s="23"/>
      <c r="LDQ232" s="26"/>
      <c r="LDU232" s="23"/>
      <c r="LDZ232" s="26"/>
      <c r="LED232" s="23"/>
      <c r="LEI232" s="26"/>
      <c r="LEM232" s="23"/>
      <c r="LER232" s="26"/>
      <c r="LEV232" s="23"/>
      <c r="LFA232" s="26"/>
      <c r="LFE232" s="23"/>
      <c r="LFJ232" s="26"/>
      <c r="LFN232" s="23"/>
      <c r="LFS232" s="26"/>
      <c r="LFW232" s="23"/>
      <c r="LGB232" s="26"/>
      <c r="LGF232" s="23"/>
      <c r="LGK232" s="26"/>
      <c r="LGO232" s="23"/>
      <c r="LGT232" s="26"/>
      <c r="LGX232" s="23"/>
      <c r="LHC232" s="26"/>
      <c r="LHG232" s="23"/>
      <c r="LHL232" s="26"/>
      <c r="LHP232" s="23"/>
      <c r="LHU232" s="26"/>
      <c r="LHY232" s="23"/>
      <c r="LID232" s="26"/>
      <c r="LIH232" s="23"/>
      <c r="LIM232" s="26"/>
      <c r="LIQ232" s="23"/>
      <c r="LIV232" s="26"/>
      <c r="LIZ232" s="23"/>
      <c r="LJE232" s="26"/>
      <c r="LJI232" s="23"/>
      <c r="LJN232" s="26"/>
      <c r="LJR232" s="23"/>
      <c r="LJW232" s="26"/>
      <c r="LKA232" s="23"/>
      <c r="LKF232" s="26"/>
      <c r="LKJ232" s="23"/>
      <c r="LKO232" s="26"/>
      <c r="LKS232" s="23"/>
      <c r="LKX232" s="26"/>
      <c r="LLB232" s="23"/>
      <c r="LLG232" s="26"/>
      <c r="LLK232" s="23"/>
      <c r="LLP232" s="26"/>
      <c r="LLT232" s="23"/>
      <c r="LLY232" s="26"/>
      <c r="LMC232" s="23"/>
      <c r="LMH232" s="26"/>
      <c r="LML232" s="23"/>
      <c r="LMQ232" s="26"/>
      <c r="LMU232" s="23"/>
      <c r="LMZ232" s="26"/>
      <c r="LND232" s="23"/>
      <c r="LNI232" s="26"/>
      <c r="LNM232" s="23"/>
      <c r="LNR232" s="26"/>
      <c r="LNV232" s="23"/>
      <c r="LOA232" s="26"/>
      <c r="LOE232" s="23"/>
      <c r="LOJ232" s="26"/>
      <c r="LON232" s="23"/>
      <c r="LOS232" s="26"/>
      <c r="LOW232" s="23"/>
      <c r="LPB232" s="26"/>
      <c r="LPF232" s="23"/>
      <c r="LPK232" s="26"/>
      <c r="LPO232" s="23"/>
      <c r="LPT232" s="26"/>
      <c r="LPX232" s="23"/>
      <c r="LQC232" s="26"/>
      <c r="LQG232" s="23"/>
      <c r="LQL232" s="26"/>
      <c r="LQP232" s="23"/>
      <c r="LQU232" s="26"/>
      <c r="LQY232" s="23"/>
      <c r="LRD232" s="26"/>
      <c r="LRH232" s="23"/>
      <c r="LRM232" s="26"/>
      <c r="LRQ232" s="23"/>
      <c r="LRV232" s="26"/>
      <c r="LRZ232" s="23"/>
      <c r="LSE232" s="26"/>
      <c r="LSI232" s="23"/>
      <c r="LSN232" s="26"/>
      <c r="LSR232" s="23"/>
      <c r="LSW232" s="26"/>
      <c r="LTA232" s="23"/>
      <c r="LTF232" s="26"/>
      <c r="LTJ232" s="23"/>
      <c r="LTO232" s="26"/>
      <c r="LTS232" s="23"/>
      <c r="LTX232" s="26"/>
      <c r="LUB232" s="23"/>
      <c r="LUG232" s="26"/>
      <c r="LUK232" s="23"/>
      <c r="LUP232" s="26"/>
      <c r="LUT232" s="23"/>
      <c r="LUY232" s="26"/>
      <c r="LVC232" s="23"/>
      <c r="LVH232" s="26"/>
      <c r="LVL232" s="23"/>
      <c r="LVQ232" s="26"/>
      <c r="LVU232" s="23"/>
      <c r="LVZ232" s="26"/>
      <c r="LWD232" s="23"/>
      <c r="LWI232" s="26"/>
      <c r="LWM232" s="23"/>
      <c r="LWR232" s="26"/>
      <c r="LWV232" s="23"/>
      <c r="LXA232" s="26"/>
      <c r="LXE232" s="23"/>
      <c r="LXJ232" s="26"/>
      <c r="LXN232" s="23"/>
      <c r="LXS232" s="26"/>
      <c r="LXW232" s="23"/>
      <c r="LYB232" s="26"/>
      <c r="LYF232" s="23"/>
      <c r="LYK232" s="26"/>
      <c r="LYO232" s="23"/>
      <c r="LYT232" s="26"/>
      <c r="LYX232" s="23"/>
      <c r="LZC232" s="26"/>
      <c r="LZG232" s="23"/>
      <c r="LZL232" s="26"/>
      <c r="LZP232" s="23"/>
      <c r="LZU232" s="26"/>
      <c r="LZY232" s="23"/>
      <c r="MAD232" s="26"/>
      <c r="MAH232" s="23"/>
      <c r="MAM232" s="26"/>
      <c r="MAQ232" s="23"/>
      <c r="MAV232" s="26"/>
      <c r="MAZ232" s="23"/>
      <c r="MBE232" s="26"/>
      <c r="MBI232" s="23"/>
      <c r="MBN232" s="26"/>
      <c r="MBR232" s="23"/>
      <c r="MBW232" s="26"/>
      <c r="MCA232" s="23"/>
      <c r="MCF232" s="26"/>
      <c r="MCJ232" s="23"/>
      <c r="MCO232" s="26"/>
      <c r="MCS232" s="23"/>
      <c r="MCX232" s="26"/>
      <c r="MDB232" s="23"/>
      <c r="MDG232" s="26"/>
      <c r="MDK232" s="23"/>
      <c r="MDP232" s="26"/>
      <c r="MDT232" s="23"/>
      <c r="MDY232" s="26"/>
      <c r="MEC232" s="23"/>
      <c r="MEH232" s="26"/>
      <c r="MEL232" s="23"/>
      <c r="MEQ232" s="26"/>
      <c r="MEU232" s="23"/>
      <c r="MEZ232" s="26"/>
      <c r="MFD232" s="23"/>
      <c r="MFI232" s="26"/>
      <c r="MFM232" s="23"/>
      <c r="MFR232" s="26"/>
      <c r="MFV232" s="23"/>
      <c r="MGA232" s="26"/>
      <c r="MGE232" s="23"/>
      <c r="MGJ232" s="26"/>
      <c r="MGN232" s="23"/>
      <c r="MGS232" s="26"/>
      <c r="MGW232" s="23"/>
      <c r="MHB232" s="26"/>
      <c r="MHF232" s="23"/>
      <c r="MHK232" s="26"/>
      <c r="MHO232" s="23"/>
      <c r="MHT232" s="26"/>
      <c r="MHX232" s="23"/>
      <c r="MIC232" s="26"/>
      <c r="MIG232" s="23"/>
      <c r="MIL232" s="26"/>
      <c r="MIP232" s="23"/>
      <c r="MIU232" s="26"/>
      <c r="MIY232" s="23"/>
      <c r="MJD232" s="26"/>
      <c r="MJH232" s="23"/>
      <c r="MJM232" s="26"/>
      <c r="MJQ232" s="23"/>
      <c r="MJV232" s="26"/>
      <c r="MJZ232" s="23"/>
      <c r="MKE232" s="26"/>
      <c r="MKI232" s="23"/>
      <c r="MKN232" s="26"/>
      <c r="MKR232" s="23"/>
      <c r="MKW232" s="26"/>
      <c r="MLA232" s="23"/>
      <c r="MLF232" s="26"/>
      <c r="MLJ232" s="23"/>
      <c r="MLO232" s="26"/>
      <c r="MLS232" s="23"/>
      <c r="MLX232" s="26"/>
      <c r="MMB232" s="23"/>
      <c r="MMG232" s="26"/>
      <c r="MMK232" s="23"/>
      <c r="MMP232" s="26"/>
      <c r="MMT232" s="23"/>
      <c r="MMY232" s="26"/>
      <c r="MNC232" s="23"/>
      <c r="MNH232" s="26"/>
      <c r="MNL232" s="23"/>
      <c r="MNQ232" s="26"/>
      <c r="MNU232" s="23"/>
      <c r="MNZ232" s="26"/>
      <c r="MOD232" s="23"/>
      <c r="MOI232" s="26"/>
      <c r="MOM232" s="23"/>
      <c r="MOR232" s="26"/>
      <c r="MOV232" s="23"/>
      <c r="MPA232" s="26"/>
      <c r="MPE232" s="23"/>
      <c r="MPJ232" s="26"/>
      <c r="MPN232" s="23"/>
      <c r="MPS232" s="26"/>
      <c r="MPW232" s="23"/>
      <c r="MQB232" s="26"/>
      <c r="MQF232" s="23"/>
      <c r="MQK232" s="26"/>
      <c r="MQO232" s="23"/>
      <c r="MQT232" s="26"/>
      <c r="MQX232" s="23"/>
      <c r="MRC232" s="26"/>
      <c r="MRG232" s="23"/>
      <c r="MRL232" s="26"/>
      <c r="MRP232" s="23"/>
      <c r="MRU232" s="26"/>
      <c r="MRY232" s="23"/>
      <c r="MSD232" s="26"/>
      <c r="MSH232" s="23"/>
      <c r="MSM232" s="26"/>
      <c r="MSQ232" s="23"/>
      <c r="MSV232" s="26"/>
      <c r="MSZ232" s="23"/>
      <c r="MTE232" s="26"/>
      <c r="MTI232" s="23"/>
      <c r="MTN232" s="26"/>
      <c r="MTR232" s="23"/>
      <c r="MTW232" s="26"/>
      <c r="MUA232" s="23"/>
      <c r="MUF232" s="26"/>
      <c r="MUJ232" s="23"/>
      <c r="MUO232" s="26"/>
      <c r="MUS232" s="23"/>
      <c r="MUX232" s="26"/>
      <c r="MVB232" s="23"/>
      <c r="MVG232" s="26"/>
      <c r="MVK232" s="23"/>
      <c r="MVP232" s="26"/>
      <c r="MVT232" s="23"/>
      <c r="MVY232" s="26"/>
      <c r="MWC232" s="23"/>
      <c r="MWH232" s="26"/>
      <c r="MWL232" s="23"/>
      <c r="MWQ232" s="26"/>
      <c r="MWU232" s="23"/>
      <c r="MWZ232" s="26"/>
      <c r="MXD232" s="23"/>
      <c r="MXI232" s="26"/>
      <c r="MXM232" s="23"/>
      <c r="MXR232" s="26"/>
      <c r="MXV232" s="23"/>
      <c r="MYA232" s="26"/>
      <c r="MYE232" s="23"/>
      <c r="MYJ232" s="26"/>
      <c r="MYN232" s="23"/>
      <c r="MYS232" s="26"/>
      <c r="MYW232" s="23"/>
      <c r="MZB232" s="26"/>
      <c r="MZF232" s="23"/>
      <c r="MZK232" s="26"/>
      <c r="MZO232" s="23"/>
      <c r="MZT232" s="26"/>
      <c r="MZX232" s="23"/>
      <c r="NAC232" s="26"/>
      <c r="NAG232" s="23"/>
      <c r="NAL232" s="26"/>
      <c r="NAP232" s="23"/>
      <c r="NAU232" s="26"/>
      <c r="NAY232" s="23"/>
      <c r="NBD232" s="26"/>
      <c r="NBH232" s="23"/>
      <c r="NBM232" s="26"/>
      <c r="NBQ232" s="23"/>
      <c r="NBV232" s="26"/>
      <c r="NBZ232" s="23"/>
      <c r="NCE232" s="26"/>
      <c r="NCI232" s="23"/>
      <c r="NCN232" s="26"/>
      <c r="NCR232" s="23"/>
      <c r="NCW232" s="26"/>
      <c r="NDA232" s="23"/>
      <c r="NDF232" s="26"/>
      <c r="NDJ232" s="23"/>
      <c r="NDO232" s="26"/>
      <c r="NDS232" s="23"/>
      <c r="NDX232" s="26"/>
      <c r="NEB232" s="23"/>
      <c r="NEG232" s="26"/>
      <c r="NEK232" s="23"/>
      <c r="NEP232" s="26"/>
      <c r="NET232" s="23"/>
      <c r="NEY232" s="26"/>
      <c r="NFC232" s="23"/>
      <c r="NFH232" s="26"/>
      <c r="NFL232" s="23"/>
      <c r="NFQ232" s="26"/>
      <c r="NFU232" s="23"/>
      <c r="NFZ232" s="26"/>
      <c r="NGD232" s="23"/>
      <c r="NGI232" s="26"/>
      <c r="NGM232" s="23"/>
      <c r="NGR232" s="26"/>
      <c r="NGV232" s="23"/>
      <c r="NHA232" s="26"/>
      <c r="NHE232" s="23"/>
      <c r="NHJ232" s="26"/>
      <c r="NHN232" s="23"/>
      <c r="NHS232" s="26"/>
      <c r="NHW232" s="23"/>
      <c r="NIB232" s="26"/>
      <c r="NIF232" s="23"/>
      <c r="NIK232" s="26"/>
      <c r="NIO232" s="23"/>
      <c r="NIT232" s="26"/>
      <c r="NIX232" s="23"/>
      <c r="NJC232" s="26"/>
      <c r="NJG232" s="23"/>
      <c r="NJL232" s="26"/>
      <c r="NJP232" s="23"/>
      <c r="NJU232" s="26"/>
      <c r="NJY232" s="23"/>
      <c r="NKD232" s="26"/>
      <c r="NKH232" s="23"/>
      <c r="NKM232" s="26"/>
      <c r="NKQ232" s="23"/>
      <c r="NKV232" s="26"/>
      <c r="NKZ232" s="23"/>
      <c r="NLE232" s="26"/>
      <c r="NLI232" s="23"/>
      <c r="NLN232" s="26"/>
      <c r="NLR232" s="23"/>
      <c r="NLW232" s="26"/>
      <c r="NMA232" s="23"/>
      <c r="NMF232" s="26"/>
      <c r="NMJ232" s="23"/>
      <c r="NMO232" s="26"/>
      <c r="NMS232" s="23"/>
      <c r="NMX232" s="26"/>
      <c r="NNB232" s="23"/>
      <c r="NNG232" s="26"/>
      <c r="NNK232" s="23"/>
      <c r="NNP232" s="26"/>
      <c r="NNT232" s="23"/>
      <c r="NNY232" s="26"/>
      <c r="NOC232" s="23"/>
      <c r="NOH232" s="26"/>
      <c r="NOL232" s="23"/>
      <c r="NOQ232" s="26"/>
      <c r="NOU232" s="23"/>
      <c r="NOZ232" s="26"/>
      <c r="NPD232" s="23"/>
      <c r="NPI232" s="26"/>
      <c r="NPM232" s="23"/>
      <c r="NPR232" s="26"/>
      <c r="NPV232" s="23"/>
      <c r="NQA232" s="26"/>
      <c r="NQE232" s="23"/>
      <c r="NQJ232" s="26"/>
      <c r="NQN232" s="23"/>
      <c r="NQS232" s="26"/>
      <c r="NQW232" s="23"/>
      <c r="NRB232" s="26"/>
      <c r="NRF232" s="23"/>
      <c r="NRK232" s="26"/>
      <c r="NRO232" s="23"/>
      <c r="NRT232" s="26"/>
      <c r="NRX232" s="23"/>
      <c r="NSC232" s="26"/>
      <c r="NSG232" s="23"/>
      <c r="NSL232" s="26"/>
      <c r="NSP232" s="23"/>
      <c r="NSU232" s="26"/>
      <c r="NSY232" s="23"/>
      <c r="NTD232" s="26"/>
      <c r="NTH232" s="23"/>
      <c r="NTM232" s="26"/>
      <c r="NTQ232" s="23"/>
      <c r="NTV232" s="26"/>
      <c r="NTZ232" s="23"/>
      <c r="NUE232" s="26"/>
      <c r="NUI232" s="23"/>
      <c r="NUN232" s="26"/>
      <c r="NUR232" s="23"/>
      <c r="NUW232" s="26"/>
      <c r="NVA232" s="23"/>
      <c r="NVF232" s="26"/>
      <c r="NVJ232" s="23"/>
      <c r="NVO232" s="26"/>
      <c r="NVS232" s="23"/>
      <c r="NVX232" s="26"/>
      <c r="NWB232" s="23"/>
      <c r="NWG232" s="26"/>
      <c r="NWK232" s="23"/>
      <c r="NWP232" s="26"/>
      <c r="NWT232" s="23"/>
      <c r="NWY232" s="26"/>
      <c r="NXC232" s="23"/>
      <c r="NXH232" s="26"/>
      <c r="NXL232" s="23"/>
      <c r="NXQ232" s="26"/>
      <c r="NXU232" s="23"/>
      <c r="NXZ232" s="26"/>
      <c r="NYD232" s="23"/>
      <c r="NYI232" s="26"/>
      <c r="NYM232" s="23"/>
      <c r="NYR232" s="26"/>
      <c r="NYV232" s="23"/>
      <c r="NZA232" s="26"/>
      <c r="NZE232" s="23"/>
      <c r="NZJ232" s="26"/>
      <c r="NZN232" s="23"/>
      <c r="NZS232" s="26"/>
      <c r="NZW232" s="23"/>
      <c r="OAB232" s="26"/>
      <c r="OAF232" s="23"/>
      <c r="OAK232" s="26"/>
      <c r="OAO232" s="23"/>
      <c r="OAT232" s="26"/>
      <c r="OAX232" s="23"/>
      <c r="OBC232" s="26"/>
      <c r="OBG232" s="23"/>
      <c r="OBL232" s="26"/>
      <c r="OBP232" s="23"/>
      <c r="OBU232" s="26"/>
      <c r="OBY232" s="23"/>
      <c r="OCD232" s="26"/>
      <c r="OCH232" s="23"/>
      <c r="OCM232" s="26"/>
      <c r="OCQ232" s="23"/>
      <c r="OCV232" s="26"/>
      <c r="OCZ232" s="23"/>
      <c r="ODE232" s="26"/>
      <c r="ODI232" s="23"/>
      <c r="ODN232" s="26"/>
      <c r="ODR232" s="23"/>
      <c r="ODW232" s="26"/>
      <c r="OEA232" s="23"/>
      <c r="OEF232" s="26"/>
      <c r="OEJ232" s="23"/>
      <c r="OEO232" s="26"/>
      <c r="OES232" s="23"/>
      <c r="OEX232" s="26"/>
      <c r="OFB232" s="23"/>
      <c r="OFG232" s="26"/>
      <c r="OFK232" s="23"/>
      <c r="OFP232" s="26"/>
      <c r="OFT232" s="23"/>
      <c r="OFY232" s="26"/>
      <c r="OGC232" s="23"/>
      <c r="OGH232" s="26"/>
      <c r="OGL232" s="23"/>
      <c r="OGQ232" s="26"/>
      <c r="OGU232" s="23"/>
      <c r="OGZ232" s="26"/>
      <c r="OHD232" s="23"/>
      <c r="OHI232" s="26"/>
      <c r="OHM232" s="23"/>
      <c r="OHR232" s="26"/>
      <c r="OHV232" s="23"/>
      <c r="OIA232" s="26"/>
      <c r="OIE232" s="23"/>
      <c r="OIJ232" s="26"/>
      <c r="OIN232" s="23"/>
      <c r="OIS232" s="26"/>
      <c r="OIW232" s="23"/>
      <c r="OJB232" s="26"/>
      <c r="OJF232" s="23"/>
      <c r="OJK232" s="26"/>
      <c r="OJO232" s="23"/>
      <c r="OJT232" s="26"/>
      <c r="OJX232" s="23"/>
      <c r="OKC232" s="26"/>
      <c r="OKG232" s="23"/>
      <c r="OKL232" s="26"/>
      <c r="OKP232" s="23"/>
      <c r="OKU232" s="26"/>
      <c r="OKY232" s="23"/>
      <c r="OLD232" s="26"/>
      <c r="OLH232" s="23"/>
      <c r="OLM232" s="26"/>
      <c r="OLQ232" s="23"/>
      <c r="OLV232" s="26"/>
      <c r="OLZ232" s="23"/>
      <c r="OME232" s="26"/>
      <c r="OMI232" s="23"/>
      <c r="OMN232" s="26"/>
      <c r="OMR232" s="23"/>
      <c r="OMW232" s="26"/>
      <c r="ONA232" s="23"/>
      <c r="ONF232" s="26"/>
      <c r="ONJ232" s="23"/>
      <c r="ONO232" s="26"/>
      <c r="ONS232" s="23"/>
      <c r="ONX232" s="26"/>
      <c r="OOB232" s="23"/>
      <c r="OOG232" s="26"/>
      <c r="OOK232" s="23"/>
      <c r="OOP232" s="26"/>
      <c r="OOT232" s="23"/>
      <c r="OOY232" s="26"/>
      <c r="OPC232" s="23"/>
      <c r="OPH232" s="26"/>
      <c r="OPL232" s="23"/>
      <c r="OPQ232" s="26"/>
      <c r="OPU232" s="23"/>
      <c r="OPZ232" s="26"/>
      <c r="OQD232" s="23"/>
      <c r="OQI232" s="26"/>
      <c r="OQM232" s="23"/>
      <c r="OQR232" s="26"/>
      <c r="OQV232" s="23"/>
      <c r="ORA232" s="26"/>
      <c r="ORE232" s="23"/>
      <c r="ORJ232" s="26"/>
      <c r="ORN232" s="23"/>
      <c r="ORS232" s="26"/>
      <c r="ORW232" s="23"/>
      <c r="OSB232" s="26"/>
      <c r="OSF232" s="23"/>
      <c r="OSK232" s="26"/>
      <c r="OSO232" s="23"/>
      <c r="OST232" s="26"/>
      <c r="OSX232" s="23"/>
      <c r="OTC232" s="26"/>
      <c r="OTG232" s="23"/>
      <c r="OTL232" s="26"/>
      <c r="OTP232" s="23"/>
      <c r="OTU232" s="26"/>
      <c r="OTY232" s="23"/>
      <c r="OUD232" s="26"/>
      <c r="OUH232" s="23"/>
      <c r="OUM232" s="26"/>
      <c r="OUQ232" s="23"/>
      <c r="OUV232" s="26"/>
      <c r="OUZ232" s="23"/>
      <c r="OVE232" s="26"/>
      <c r="OVI232" s="23"/>
      <c r="OVN232" s="26"/>
      <c r="OVR232" s="23"/>
      <c r="OVW232" s="26"/>
      <c r="OWA232" s="23"/>
      <c r="OWF232" s="26"/>
      <c r="OWJ232" s="23"/>
      <c r="OWO232" s="26"/>
      <c r="OWS232" s="23"/>
      <c r="OWX232" s="26"/>
      <c r="OXB232" s="23"/>
      <c r="OXG232" s="26"/>
      <c r="OXK232" s="23"/>
      <c r="OXP232" s="26"/>
      <c r="OXT232" s="23"/>
      <c r="OXY232" s="26"/>
      <c r="OYC232" s="23"/>
      <c r="OYH232" s="26"/>
      <c r="OYL232" s="23"/>
      <c r="OYQ232" s="26"/>
      <c r="OYU232" s="23"/>
      <c r="OYZ232" s="26"/>
      <c r="OZD232" s="23"/>
      <c r="OZI232" s="26"/>
      <c r="OZM232" s="23"/>
      <c r="OZR232" s="26"/>
      <c r="OZV232" s="23"/>
      <c r="PAA232" s="26"/>
      <c r="PAE232" s="23"/>
      <c r="PAJ232" s="26"/>
      <c r="PAN232" s="23"/>
      <c r="PAS232" s="26"/>
      <c r="PAW232" s="23"/>
      <c r="PBB232" s="26"/>
      <c r="PBF232" s="23"/>
      <c r="PBK232" s="26"/>
      <c r="PBO232" s="23"/>
      <c r="PBT232" s="26"/>
      <c r="PBX232" s="23"/>
      <c r="PCC232" s="26"/>
      <c r="PCG232" s="23"/>
      <c r="PCL232" s="26"/>
      <c r="PCP232" s="23"/>
      <c r="PCU232" s="26"/>
      <c r="PCY232" s="23"/>
      <c r="PDD232" s="26"/>
      <c r="PDH232" s="23"/>
      <c r="PDM232" s="26"/>
      <c r="PDQ232" s="23"/>
      <c r="PDV232" s="26"/>
      <c r="PDZ232" s="23"/>
      <c r="PEE232" s="26"/>
      <c r="PEI232" s="23"/>
      <c r="PEN232" s="26"/>
      <c r="PER232" s="23"/>
      <c r="PEW232" s="26"/>
      <c r="PFA232" s="23"/>
      <c r="PFF232" s="26"/>
      <c r="PFJ232" s="23"/>
      <c r="PFO232" s="26"/>
      <c r="PFS232" s="23"/>
      <c r="PFX232" s="26"/>
      <c r="PGB232" s="23"/>
      <c r="PGG232" s="26"/>
      <c r="PGK232" s="23"/>
      <c r="PGP232" s="26"/>
      <c r="PGT232" s="23"/>
      <c r="PGY232" s="26"/>
      <c r="PHC232" s="23"/>
      <c r="PHH232" s="26"/>
      <c r="PHL232" s="23"/>
      <c r="PHQ232" s="26"/>
      <c r="PHU232" s="23"/>
      <c r="PHZ232" s="26"/>
      <c r="PID232" s="23"/>
      <c r="PII232" s="26"/>
      <c r="PIM232" s="23"/>
      <c r="PIR232" s="26"/>
      <c r="PIV232" s="23"/>
      <c r="PJA232" s="26"/>
      <c r="PJE232" s="23"/>
      <c r="PJJ232" s="26"/>
      <c r="PJN232" s="23"/>
      <c r="PJS232" s="26"/>
      <c r="PJW232" s="23"/>
      <c r="PKB232" s="26"/>
      <c r="PKF232" s="23"/>
      <c r="PKK232" s="26"/>
      <c r="PKO232" s="23"/>
      <c r="PKT232" s="26"/>
      <c r="PKX232" s="23"/>
      <c r="PLC232" s="26"/>
      <c r="PLG232" s="23"/>
      <c r="PLL232" s="26"/>
      <c r="PLP232" s="23"/>
      <c r="PLU232" s="26"/>
      <c r="PLY232" s="23"/>
      <c r="PMD232" s="26"/>
      <c r="PMH232" s="23"/>
      <c r="PMM232" s="26"/>
      <c r="PMQ232" s="23"/>
      <c r="PMV232" s="26"/>
      <c r="PMZ232" s="23"/>
      <c r="PNE232" s="26"/>
      <c r="PNI232" s="23"/>
      <c r="PNN232" s="26"/>
      <c r="PNR232" s="23"/>
      <c r="PNW232" s="26"/>
      <c r="POA232" s="23"/>
      <c r="POF232" s="26"/>
      <c r="POJ232" s="23"/>
      <c r="POO232" s="26"/>
      <c r="POS232" s="23"/>
      <c r="POX232" s="26"/>
      <c r="PPB232" s="23"/>
      <c r="PPG232" s="26"/>
      <c r="PPK232" s="23"/>
      <c r="PPP232" s="26"/>
      <c r="PPT232" s="23"/>
      <c r="PPY232" s="26"/>
      <c r="PQC232" s="23"/>
      <c r="PQH232" s="26"/>
      <c r="PQL232" s="23"/>
      <c r="PQQ232" s="26"/>
      <c r="PQU232" s="23"/>
      <c r="PQZ232" s="26"/>
      <c r="PRD232" s="23"/>
      <c r="PRI232" s="26"/>
      <c r="PRM232" s="23"/>
      <c r="PRR232" s="26"/>
      <c r="PRV232" s="23"/>
      <c r="PSA232" s="26"/>
      <c r="PSE232" s="23"/>
      <c r="PSJ232" s="26"/>
      <c r="PSN232" s="23"/>
      <c r="PSS232" s="26"/>
      <c r="PSW232" s="23"/>
      <c r="PTB232" s="26"/>
      <c r="PTF232" s="23"/>
      <c r="PTK232" s="26"/>
      <c r="PTO232" s="23"/>
      <c r="PTT232" s="26"/>
      <c r="PTX232" s="23"/>
      <c r="PUC232" s="26"/>
      <c r="PUG232" s="23"/>
      <c r="PUL232" s="26"/>
      <c r="PUP232" s="23"/>
      <c r="PUU232" s="26"/>
      <c r="PUY232" s="23"/>
      <c r="PVD232" s="26"/>
      <c r="PVH232" s="23"/>
      <c r="PVM232" s="26"/>
      <c r="PVQ232" s="23"/>
      <c r="PVV232" s="26"/>
      <c r="PVZ232" s="23"/>
      <c r="PWE232" s="26"/>
      <c r="PWI232" s="23"/>
      <c r="PWN232" s="26"/>
      <c r="PWR232" s="23"/>
      <c r="PWW232" s="26"/>
      <c r="PXA232" s="23"/>
      <c r="PXF232" s="26"/>
      <c r="PXJ232" s="23"/>
      <c r="PXO232" s="26"/>
      <c r="PXS232" s="23"/>
      <c r="PXX232" s="26"/>
      <c r="PYB232" s="23"/>
      <c r="PYG232" s="26"/>
      <c r="PYK232" s="23"/>
      <c r="PYP232" s="26"/>
      <c r="PYT232" s="23"/>
      <c r="PYY232" s="26"/>
      <c r="PZC232" s="23"/>
      <c r="PZH232" s="26"/>
      <c r="PZL232" s="23"/>
      <c r="PZQ232" s="26"/>
      <c r="PZU232" s="23"/>
      <c r="PZZ232" s="26"/>
      <c r="QAD232" s="23"/>
      <c r="QAI232" s="26"/>
      <c r="QAM232" s="23"/>
      <c r="QAR232" s="26"/>
      <c r="QAV232" s="23"/>
      <c r="QBA232" s="26"/>
      <c r="QBE232" s="23"/>
      <c r="QBJ232" s="26"/>
      <c r="QBN232" s="23"/>
      <c r="QBS232" s="26"/>
      <c r="QBW232" s="23"/>
      <c r="QCB232" s="26"/>
      <c r="QCF232" s="23"/>
      <c r="QCK232" s="26"/>
      <c r="QCO232" s="23"/>
      <c r="QCT232" s="26"/>
      <c r="QCX232" s="23"/>
      <c r="QDC232" s="26"/>
      <c r="QDG232" s="23"/>
      <c r="QDL232" s="26"/>
      <c r="QDP232" s="23"/>
      <c r="QDU232" s="26"/>
      <c r="QDY232" s="23"/>
      <c r="QED232" s="26"/>
      <c r="QEH232" s="23"/>
      <c r="QEM232" s="26"/>
      <c r="QEQ232" s="23"/>
      <c r="QEV232" s="26"/>
      <c r="QEZ232" s="23"/>
      <c r="QFE232" s="26"/>
      <c r="QFI232" s="23"/>
      <c r="QFN232" s="26"/>
      <c r="QFR232" s="23"/>
      <c r="QFW232" s="26"/>
      <c r="QGA232" s="23"/>
      <c r="QGF232" s="26"/>
      <c r="QGJ232" s="23"/>
      <c r="QGO232" s="26"/>
      <c r="QGS232" s="23"/>
      <c r="QGX232" s="26"/>
      <c r="QHB232" s="23"/>
      <c r="QHG232" s="26"/>
      <c r="QHK232" s="23"/>
      <c r="QHP232" s="26"/>
      <c r="QHT232" s="23"/>
      <c r="QHY232" s="26"/>
      <c r="QIC232" s="23"/>
      <c r="QIH232" s="26"/>
      <c r="QIL232" s="23"/>
      <c r="QIQ232" s="26"/>
      <c r="QIU232" s="23"/>
      <c r="QIZ232" s="26"/>
      <c r="QJD232" s="23"/>
      <c r="QJI232" s="26"/>
      <c r="QJM232" s="23"/>
      <c r="QJR232" s="26"/>
      <c r="QJV232" s="23"/>
      <c r="QKA232" s="26"/>
      <c r="QKE232" s="23"/>
      <c r="QKJ232" s="26"/>
      <c r="QKN232" s="23"/>
      <c r="QKS232" s="26"/>
      <c r="QKW232" s="23"/>
      <c r="QLB232" s="26"/>
      <c r="QLF232" s="23"/>
      <c r="QLK232" s="26"/>
      <c r="QLO232" s="23"/>
      <c r="QLT232" s="26"/>
      <c r="QLX232" s="23"/>
      <c r="QMC232" s="26"/>
      <c r="QMG232" s="23"/>
      <c r="QML232" s="26"/>
      <c r="QMP232" s="23"/>
      <c r="QMU232" s="26"/>
      <c r="QMY232" s="23"/>
      <c r="QND232" s="26"/>
      <c r="QNH232" s="23"/>
      <c r="QNM232" s="26"/>
      <c r="QNQ232" s="23"/>
      <c r="QNV232" s="26"/>
      <c r="QNZ232" s="23"/>
      <c r="QOE232" s="26"/>
      <c r="QOI232" s="23"/>
      <c r="QON232" s="26"/>
      <c r="QOR232" s="23"/>
      <c r="QOW232" s="26"/>
      <c r="QPA232" s="23"/>
      <c r="QPF232" s="26"/>
      <c r="QPJ232" s="23"/>
      <c r="QPO232" s="26"/>
      <c r="QPS232" s="23"/>
      <c r="QPX232" s="26"/>
      <c r="QQB232" s="23"/>
      <c r="QQG232" s="26"/>
      <c r="QQK232" s="23"/>
      <c r="QQP232" s="26"/>
      <c r="QQT232" s="23"/>
      <c r="QQY232" s="26"/>
      <c r="QRC232" s="23"/>
      <c r="QRH232" s="26"/>
      <c r="QRL232" s="23"/>
      <c r="QRQ232" s="26"/>
      <c r="QRU232" s="23"/>
      <c r="QRZ232" s="26"/>
      <c r="QSD232" s="23"/>
      <c r="QSI232" s="26"/>
      <c r="QSM232" s="23"/>
      <c r="QSR232" s="26"/>
      <c r="QSV232" s="23"/>
      <c r="QTA232" s="26"/>
      <c r="QTE232" s="23"/>
      <c r="QTJ232" s="26"/>
      <c r="QTN232" s="23"/>
      <c r="QTS232" s="26"/>
      <c r="QTW232" s="23"/>
      <c r="QUB232" s="26"/>
      <c r="QUF232" s="23"/>
      <c r="QUK232" s="26"/>
      <c r="QUO232" s="23"/>
      <c r="QUT232" s="26"/>
      <c r="QUX232" s="23"/>
      <c r="QVC232" s="26"/>
      <c r="QVG232" s="23"/>
      <c r="QVL232" s="26"/>
      <c r="QVP232" s="23"/>
      <c r="QVU232" s="26"/>
      <c r="QVY232" s="23"/>
      <c r="QWD232" s="26"/>
      <c r="QWH232" s="23"/>
      <c r="QWM232" s="26"/>
      <c r="QWQ232" s="23"/>
      <c r="QWV232" s="26"/>
      <c r="QWZ232" s="23"/>
      <c r="QXE232" s="26"/>
      <c r="QXI232" s="23"/>
      <c r="QXN232" s="26"/>
      <c r="QXR232" s="23"/>
      <c r="QXW232" s="26"/>
      <c r="QYA232" s="23"/>
      <c r="QYF232" s="26"/>
      <c r="QYJ232" s="23"/>
      <c r="QYO232" s="26"/>
      <c r="QYS232" s="23"/>
      <c r="QYX232" s="26"/>
      <c r="QZB232" s="23"/>
      <c r="QZG232" s="26"/>
      <c r="QZK232" s="23"/>
      <c r="QZP232" s="26"/>
      <c r="QZT232" s="23"/>
      <c r="QZY232" s="26"/>
      <c r="RAC232" s="23"/>
      <c r="RAH232" s="26"/>
      <c r="RAL232" s="23"/>
      <c r="RAQ232" s="26"/>
      <c r="RAU232" s="23"/>
      <c r="RAZ232" s="26"/>
      <c r="RBD232" s="23"/>
      <c r="RBI232" s="26"/>
      <c r="RBM232" s="23"/>
      <c r="RBR232" s="26"/>
      <c r="RBV232" s="23"/>
      <c r="RCA232" s="26"/>
      <c r="RCE232" s="23"/>
      <c r="RCJ232" s="26"/>
      <c r="RCN232" s="23"/>
      <c r="RCS232" s="26"/>
      <c r="RCW232" s="23"/>
      <c r="RDB232" s="26"/>
      <c r="RDF232" s="23"/>
      <c r="RDK232" s="26"/>
      <c r="RDO232" s="23"/>
      <c r="RDT232" s="26"/>
      <c r="RDX232" s="23"/>
      <c r="REC232" s="26"/>
      <c r="REG232" s="23"/>
      <c r="REL232" s="26"/>
      <c r="REP232" s="23"/>
      <c r="REU232" s="26"/>
      <c r="REY232" s="23"/>
      <c r="RFD232" s="26"/>
      <c r="RFH232" s="23"/>
      <c r="RFM232" s="26"/>
      <c r="RFQ232" s="23"/>
      <c r="RFV232" s="26"/>
      <c r="RFZ232" s="23"/>
      <c r="RGE232" s="26"/>
      <c r="RGI232" s="23"/>
      <c r="RGN232" s="26"/>
      <c r="RGR232" s="23"/>
      <c r="RGW232" s="26"/>
      <c r="RHA232" s="23"/>
      <c r="RHF232" s="26"/>
      <c r="RHJ232" s="23"/>
      <c r="RHO232" s="26"/>
      <c r="RHS232" s="23"/>
      <c r="RHX232" s="26"/>
      <c r="RIB232" s="23"/>
      <c r="RIG232" s="26"/>
      <c r="RIK232" s="23"/>
      <c r="RIP232" s="26"/>
      <c r="RIT232" s="23"/>
      <c r="RIY232" s="26"/>
      <c r="RJC232" s="23"/>
      <c r="RJH232" s="26"/>
      <c r="RJL232" s="23"/>
      <c r="RJQ232" s="26"/>
      <c r="RJU232" s="23"/>
      <c r="RJZ232" s="26"/>
      <c r="RKD232" s="23"/>
      <c r="RKI232" s="26"/>
      <c r="RKM232" s="23"/>
      <c r="RKR232" s="26"/>
      <c r="RKV232" s="23"/>
      <c r="RLA232" s="26"/>
      <c r="RLE232" s="23"/>
      <c r="RLJ232" s="26"/>
      <c r="RLN232" s="23"/>
      <c r="RLS232" s="26"/>
      <c r="RLW232" s="23"/>
      <c r="RMB232" s="26"/>
      <c r="RMF232" s="23"/>
      <c r="RMK232" s="26"/>
      <c r="RMO232" s="23"/>
      <c r="RMT232" s="26"/>
      <c r="RMX232" s="23"/>
      <c r="RNC232" s="26"/>
      <c r="RNG232" s="23"/>
      <c r="RNL232" s="26"/>
      <c r="RNP232" s="23"/>
      <c r="RNU232" s="26"/>
      <c r="RNY232" s="23"/>
      <c r="ROD232" s="26"/>
      <c r="ROH232" s="23"/>
      <c r="ROM232" s="26"/>
      <c r="ROQ232" s="23"/>
      <c r="ROV232" s="26"/>
      <c r="ROZ232" s="23"/>
      <c r="RPE232" s="26"/>
      <c r="RPI232" s="23"/>
      <c r="RPN232" s="26"/>
      <c r="RPR232" s="23"/>
      <c r="RPW232" s="26"/>
      <c r="RQA232" s="23"/>
      <c r="RQF232" s="26"/>
      <c r="RQJ232" s="23"/>
      <c r="RQO232" s="26"/>
      <c r="RQS232" s="23"/>
      <c r="RQX232" s="26"/>
      <c r="RRB232" s="23"/>
      <c r="RRG232" s="26"/>
      <c r="RRK232" s="23"/>
      <c r="RRP232" s="26"/>
      <c r="RRT232" s="23"/>
      <c r="RRY232" s="26"/>
      <c r="RSC232" s="23"/>
      <c r="RSH232" s="26"/>
      <c r="RSL232" s="23"/>
      <c r="RSQ232" s="26"/>
      <c r="RSU232" s="23"/>
      <c r="RSZ232" s="26"/>
      <c r="RTD232" s="23"/>
      <c r="RTI232" s="26"/>
      <c r="RTM232" s="23"/>
      <c r="RTR232" s="26"/>
      <c r="RTV232" s="23"/>
      <c r="RUA232" s="26"/>
      <c r="RUE232" s="23"/>
      <c r="RUJ232" s="26"/>
      <c r="RUN232" s="23"/>
      <c r="RUS232" s="26"/>
      <c r="RUW232" s="23"/>
      <c r="RVB232" s="26"/>
      <c r="RVF232" s="23"/>
      <c r="RVK232" s="26"/>
      <c r="RVO232" s="23"/>
      <c r="RVT232" s="26"/>
      <c r="RVX232" s="23"/>
      <c r="RWC232" s="26"/>
      <c r="RWG232" s="23"/>
      <c r="RWL232" s="26"/>
      <c r="RWP232" s="23"/>
      <c r="RWU232" s="26"/>
      <c r="RWY232" s="23"/>
      <c r="RXD232" s="26"/>
      <c r="RXH232" s="23"/>
      <c r="RXM232" s="26"/>
      <c r="RXQ232" s="23"/>
      <c r="RXV232" s="26"/>
      <c r="RXZ232" s="23"/>
      <c r="RYE232" s="26"/>
      <c r="RYI232" s="23"/>
      <c r="RYN232" s="26"/>
      <c r="RYR232" s="23"/>
      <c r="RYW232" s="26"/>
      <c r="RZA232" s="23"/>
      <c r="RZF232" s="26"/>
      <c r="RZJ232" s="23"/>
      <c r="RZO232" s="26"/>
      <c r="RZS232" s="23"/>
      <c r="RZX232" s="26"/>
      <c r="SAB232" s="23"/>
      <c r="SAG232" s="26"/>
      <c r="SAK232" s="23"/>
      <c r="SAP232" s="26"/>
      <c r="SAT232" s="23"/>
      <c r="SAY232" s="26"/>
      <c r="SBC232" s="23"/>
      <c r="SBH232" s="26"/>
      <c r="SBL232" s="23"/>
      <c r="SBQ232" s="26"/>
      <c r="SBU232" s="23"/>
      <c r="SBZ232" s="26"/>
      <c r="SCD232" s="23"/>
      <c r="SCI232" s="26"/>
      <c r="SCM232" s="23"/>
      <c r="SCR232" s="26"/>
      <c r="SCV232" s="23"/>
      <c r="SDA232" s="26"/>
      <c r="SDE232" s="23"/>
      <c r="SDJ232" s="26"/>
      <c r="SDN232" s="23"/>
      <c r="SDS232" s="26"/>
      <c r="SDW232" s="23"/>
      <c r="SEB232" s="26"/>
      <c r="SEF232" s="23"/>
      <c r="SEK232" s="26"/>
      <c r="SEO232" s="23"/>
      <c r="SET232" s="26"/>
      <c r="SEX232" s="23"/>
      <c r="SFC232" s="26"/>
      <c r="SFG232" s="23"/>
      <c r="SFL232" s="26"/>
      <c r="SFP232" s="23"/>
      <c r="SFU232" s="26"/>
      <c r="SFY232" s="23"/>
      <c r="SGD232" s="26"/>
      <c r="SGH232" s="23"/>
      <c r="SGM232" s="26"/>
      <c r="SGQ232" s="23"/>
      <c r="SGV232" s="26"/>
      <c r="SGZ232" s="23"/>
      <c r="SHE232" s="26"/>
      <c r="SHI232" s="23"/>
      <c r="SHN232" s="26"/>
      <c r="SHR232" s="23"/>
      <c r="SHW232" s="26"/>
      <c r="SIA232" s="23"/>
      <c r="SIF232" s="26"/>
      <c r="SIJ232" s="23"/>
      <c r="SIO232" s="26"/>
      <c r="SIS232" s="23"/>
      <c r="SIX232" s="26"/>
      <c r="SJB232" s="23"/>
      <c r="SJG232" s="26"/>
      <c r="SJK232" s="23"/>
      <c r="SJP232" s="26"/>
      <c r="SJT232" s="23"/>
      <c r="SJY232" s="26"/>
      <c r="SKC232" s="23"/>
      <c r="SKH232" s="26"/>
      <c r="SKL232" s="23"/>
      <c r="SKQ232" s="26"/>
      <c r="SKU232" s="23"/>
      <c r="SKZ232" s="26"/>
      <c r="SLD232" s="23"/>
      <c r="SLI232" s="26"/>
      <c r="SLM232" s="23"/>
      <c r="SLR232" s="26"/>
      <c r="SLV232" s="23"/>
      <c r="SMA232" s="26"/>
      <c r="SME232" s="23"/>
      <c r="SMJ232" s="26"/>
      <c r="SMN232" s="23"/>
      <c r="SMS232" s="26"/>
      <c r="SMW232" s="23"/>
      <c r="SNB232" s="26"/>
      <c r="SNF232" s="23"/>
      <c r="SNK232" s="26"/>
      <c r="SNO232" s="23"/>
      <c r="SNT232" s="26"/>
      <c r="SNX232" s="23"/>
      <c r="SOC232" s="26"/>
      <c r="SOG232" s="23"/>
      <c r="SOL232" s="26"/>
      <c r="SOP232" s="23"/>
      <c r="SOU232" s="26"/>
      <c r="SOY232" s="23"/>
      <c r="SPD232" s="26"/>
      <c r="SPH232" s="23"/>
      <c r="SPM232" s="26"/>
      <c r="SPQ232" s="23"/>
      <c r="SPV232" s="26"/>
      <c r="SPZ232" s="23"/>
      <c r="SQE232" s="26"/>
      <c r="SQI232" s="23"/>
      <c r="SQN232" s="26"/>
      <c r="SQR232" s="23"/>
      <c r="SQW232" s="26"/>
      <c r="SRA232" s="23"/>
      <c r="SRF232" s="26"/>
      <c r="SRJ232" s="23"/>
      <c r="SRO232" s="26"/>
      <c r="SRS232" s="23"/>
      <c r="SRX232" s="26"/>
      <c r="SSB232" s="23"/>
      <c r="SSG232" s="26"/>
      <c r="SSK232" s="23"/>
      <c r="SSP232" s="26"/>
      <c r="SST232" s="23"/>
      <c r="SSY232" s="26"/>
      <c r="STC232" s="23"/>
      <c r="STH232" s="26"/>
      <c r="STL232" s="23"/>
      <c r="STQ232" s="26"/>
      <c r="STU232" s="23"/>
      <c r="STZ232" s="26"/>
      <c r="SUD232" s="23"/>
      <c r="SUI232" s="26"/>
      <c r="SUM232" s="23"/>
      <c r="SUR232" s="26"/>
      <c r="SUV232" s="23"/>
      <c r="SVA232" s="26"/>
      <c r="SVE232" s="23"/>
      <c r="SVJ232" s="26"/>
      <c r="SVN232" s="23"/>
      <c r="SVS232" s="26"/>
      <c r="SVW232" s="23"/>
      <c r="SWB232" s="26"/>
      <c r="SWF232" s="23"/>
      <c r="SWK232" s="26"/>
      <c r="SWO232" s="23"/>
      <c r="SWT232" s="26"/>
      <c r="SWX232" s="23"/>
      <c r="SXC232" s="26"/>
      <c r="SXG232" s="23"/>
      <c r="SXL232" s="26"/>
      <c r="SXP232" s="23"/>
      <c r="SXU232" s="26"/>
      <c r="SXY232" s="23"/>
      <c r="SYD232" s="26"/>
      <c r="SYH232" s="23"/>
      <c r="SYM232" s="26"/>
      <c r="SYQ232" s="23"/>
      <c r="SYV232" s="26"/>
      <c r="SYZ232" s="23"/>
      <c r="SZE232" s="26"/>
      <c r="SZI232" s="23"/>
      <c r="SZN232" s="26"/>
      <c r="SZR232" s="23"/>
      <c r="SZW232" s="26"/>
      <c r="TAA232" s="23"/>
      <c r="TAF232" s="26"/>
      <c r="TAJ232" s="23"/>
      <c r="TAO232" s="26"/>
      <c r="TAS232" s="23"/>
      <c r="TAX232" s="26"/>
      <c r="TBB232" s="23"/>
      <c r="TBG232" s="26"/>
      <c r="TBK232" s="23"/>
      <c r="TBP232" s="26"/>
      <c r="TBT232" s="23"/>
      <c r="TBY232" s="26"/>
      <c r="TCC232" s="23"/>
      <c r="TCH232" s="26"/>
      <c r="TCL232" s="23"/>
      <c r="TCQ232" s="26"/>
      <c r="TCU232" s="23"/>
      <c r="TCZ232" s="26"/>
      <c r="TDD232" s="23"/>
      <c r="TDI232" s="26"/>
      <c r="TDM232" s="23"/>
      <c r="TDR232" s="26"/>
      <c r="TDV232" s="23"/>
      <c r="TEA232" s="26"/>
      <c r="TEE232" s="23"/>
      <c r="TEJ232" s="26"/>
      <c r="TEN232" s="23"/>
      <c r="TES232" s="26"/>
      <c r="TEW232" s="23"/>
      <c r="TFB232" s="26"/>
      <c r="TFF232" s="23"/>
      <c r="TFK232" s="26"/>
      <c r="TFO232" s="23"/>
      <c r="TFT232" s="26"/>
      <c r="TFX232" s="23"/>
      <c r="TGC232" s="26"/>
      <c r="TGG232" s="23"/>
      <c r="TGL232" s="26"/>
      <c r="TGP232" s="23"/>
      <c r="TGU232" s="26"/>
      <c r="TGY232" s="23"/>
      <c r="THD232" s="26"/>
      <c r="THH232" s="23"/>
      <c r="THM232" s="26"/>
      <c r="THQ232" s="23"/>
      <c r="THV232" s="26"/>
      <c r="THZ232" s="23"/>
      <c r="TIE232" s="26"/>
      <c r="TII232" s="23"/>
      <c r="TIN232" s="26"/>
      <c r="TIR232" s="23"/>
      <c r="TIW232" s="26"/>
      <c r="TJA232" s="23"/>
      <c r="TJF232" s="26"/>
      <c r="TJJ232" s="23"/>
      <c r="TJO232" s="26"/>
      <c r="TJS232" s="23"/>
      <c r="TJX232" s="26"/>
      <c r="TKB232" s="23"/>
      <c r="TKG232" s="26"/>
      <c r="TKK232" s="23"/>
      <c r="TKP232" s="26"/>
      <c r="TKT232" s="23"/>
      <c r="TKY232" s="26"/>
      <c r="TLC232" s="23"/>
      <c r="TLH232" s="26"/>
      <c r="TLL232" s="23"/>
      <c r="TLQ232" s="26"/>
      <c r="TLU232" s="23"/>
      <c r="TLZ232" s="26"/>
      <c r="TMD232" s="23"/>
      <c r="TMI232" s="26"/>
      <c r="TMM232" s="23"/>
      <c r="TMR232" s="26"/>
      <c r="TMV232" s="23"/>
      <c r="TNA232" s="26"/>
      <c r="TNE232" s="23"/>
      <c r="TNJ232" s="26"/>
      <c r="TNN232" s="23"/>
      <c r="TNS232" s="26"/>
      <c r="TNW232" s="23"/>
      <c r="TOB232" s="26"/>
      <c r="TOF232" s="23"/>
      <c r="TOK232" s="26"/>
      <c r="TOO232" s="23"/>
      <c r="TOT232" s="26"/>
      <c r="TOX232" s="23"/>
      <c r="TPC232" s="26"/>
      <c r="TPG232" s="23"/>
      <c r="TPL232" s="26"/>
      <c r="TPP232" s="23"/>
      <c r="TPU232" s="26"/>
      <c r="TPY232" s="23"/>
      <c r="TQD232" s="26"/>
      <c r="TQH232" s="23"/>
      <c r="TQM232" s="26"/>
      <c r="TQQ232" s="23"/>
      <c r="TQV232" s="26"/>
      <c r="TQZ232" s="23"/>
      <c r="TRE232" s="26"/>
      <c r="TRI232" s="23"/>
      <c r="TRN232" s="26"/>
      <c r="TRR232" s="23"/>
      <c r="TRW232" s="26"/>
      <c r="TSA232" s="23"/>
      <c r="TSF232" s="26"/>
      <c r="TSJ232" s="23"/>
      <c r="TSO232" s="26"/>
      <c r="TSS232" s="23"/>
      <c r="TSX232" s="26"/>
      <c r="TTB232" s="23"/>
      <c r="TTG232" s="26"/>
      <c r="TTK232" s="23"/>
      <c r="TTP232" s="26"/>
      <c r="TTT232" s="23"/>
      <c r="TTY232" s="26"/>
      <c r="TUC232" s="23"/>
      <c r="TUH232" s="26"/>
      <c r="TUL232" s="23"/>
      <c r="TUQ232" s="26"/>
      <c r="TUU232" s="23"/>
      <c r="TUZ232" s="26"/>
      <c r="TVD232" s="23"/>
      <c r="TVI232" s="26"/>
      <c r="TVM232" s="23"/>
      <c r="TVR232" s="26"/>
      <c r="TVV232" s="23"/>
      <c r="TWA232" s="26"/>
      <c r="TWE232" s="23"/>
      <c r="TWJ232" s="26"/>
      <c r="TWN232" s="23"/>
      <c r="TWS232" s="26"/>
      <c r="TWW232" s="23"/>
      <c r="TXB232" s="26"/>
      <c r="TXF232" s="23"/>
      <c r="TXK232" s="26"/>
      <c r="TXO232" s="23"/>
      <c r="TXT232" s="26"/>
      <c r="TXX232" s="23"/>
      <c r="TYC232" s="26"/>
      <c r="TYG232" s="23"/>
      <c r="TYL232" s="26"/>
      <c r="TYP232" s="23"/>
      <c r="TYU232" s="26"/>
      <c r="TYY232" s="23"/>
      <c r="TZD232" s="26"/>
      <c r="TZH232" s="23"/>
      <c r="TZM232" s="26"/>
      <c r="TZQ232" s="23"/>
      <c r="TZV232" s="26"/>
      <c r="TZZ232" s="23"/>
      <c r="UAE232" s="26"/>
      <c r="UAI232" s="23"/>
      <c r="UAN232" s="26"/>
      <c r="UAR232" s="23"/>
      <c r="UAW232" s="26"/>
      <c r="UBA232" s="23"/>
      <c r="UBF232" s="26"/>
      <c r="UBJ232" s="23"/>
      <c r="UBO232" s="26"/>
      <c r="UBS232" s="23"/>
      <c r="UBX232" s="26"/>
      <c r="UCB232" s="23"/>
      <c r="UCG232" s="26"/>
      <c r="UCK232" s="23"/>
      <c r="UCP232" s="26"/>
      <c r="UCT232" s="23"/>
      <c r="UCY232" s="26"/>
      <c r="UDC232" s="23"/>
      <c r="UDH232" s="26"/>
      <c r="UDL232" s="23"/>
      <c r="UDQ232" s="26"/>
      <c r="UDU232" s="23"/>
      <c r="UDZ232" s="26"/>
      <c r="UED232" s="23"/>
      <c r="UEI232" s="26"/>
      <c r="UEM232" s="23"/>
      <c r="UER232" s="26"/>
      <c r="UEV232" s="23"/>
      <c r="UFA232" s="26"/>
      <c r="UFE232" s="23"/>
      <c r="UFJ232" s="26"/>
      <c r="UFN232" s="23"/>
      <c r="UFS232" s="26"/>
      <c r="UFW232" s="23"/>
      <c r="UGB232" s="26"/>
      <c r="UGF232" s="23"/>
      <c r="UGK232" s="26"/>
      <c r="UGO232" s="23"/>
      <c r="UGT232" s="26"/>
      <c r="UGX232" s="23"/>
      <c r="UHC232" s="26"/>
      <c r="UHG232" s="23"/>
      <c r="UHL232" s="26"/>
      <c r="UHP232" s="23"/>
      <c r="UHU232" s="26"/>
      <c r="UHY232" s="23"/>
      <c r="UID232" s="26"/>
      <c r="UIH232" s="23"/>
      <c r="UIM232" s="26"/>
      <c r="UIQ232" s="23"/>
      <c r="UIV232" s="26"/>
      <c r="UIZ232" s="23"/>
      <c r="UJE232" s="26"/>
      <c r="UJI232" s="23"/>
      <c r="UJN232" s="26"/>
      <c r="UJR232" s="23"/>
      <c r="UJW232" s="26"/>
      <c r="UKA232" s="23"/>
      <c r="UKF232" s="26"/>
      <c r="UKJ232" s="23"/>
      <c r="UKO232" s="26"/>
      <c r="UKS232" s="23"/>
      <c r="UKX232" s="26"/>
      <c r="ULB232" s="23"/>
      <c r="ULG232" s="26"/>
      <c r="ULK232" s="23"/>
      <c r="ULP232" s="26"/>
      <c r="ULT232" s="23"/>
      <c r="ULY232" s="26"/>
      <c r="UMC232" s="23"/>
      <c r="UMH232" s="26"/>
      <c r="UML232" s="23"/>
      <c r="UMQ232" s="26"/>
      <c r="UMU232" s="23"/>
      <c r="UMZ232" s="26"/>
      <c r="UND232" s="23"/>
      <c r="UNI232" s="26"/>
      <c r="UNM232" s="23"/>
      <c r="UNR232" s="26"/>
      <c r="UNV232" s="23"/>
      <c r="UOA232" s="26"/>
      <c r="UOE232" s="23"/>
      <c r="UOJ232" s="26"/>
      <c r="UON232" s="23"/>
      <c r="UOS232" s="26"/>
      <c r="UOW232" s="23"/>
      <c r="UPB232" s="26"/>
      <c r="UPF232" s="23"/>
      <c r="UPK232" s="26"/>
      <c r="UPO232" s="23"/>
      <c r="UPT232" s="26"/>
      <c r="UPX232" s="23"/>
      <c r="UQC232" s="26"/>
      <c r="UQG232" s="23"/>
      <c r="UQL232" s="26"/>
      <c r="UQP232" s="23"/>
      <c r="UQU232" s="26"/>
      <c r="UQY232" s="23"/>
      <c r="URD232" s="26"/>
      <c r="URH232" s="23"/>
      <c r="URM232" s="26"/>
      <c r="URQ232" s="23"/>
      <c r="URV232" s="26"/>
      <c r="URZ232" s="23"/>
      <c r="USE232" s="26"/>
      <c r="USI232" s="23"/>
      <c r="USN232" s="26"/>
      <c r="USR232" s="23"/>
      <c r="USW232" s="26"/>
      <c r="UTA232" s="23"/>
      <c r="UTF232" s="26"/>
      <c r="UTJ232" s="23"/>
      <c r="UTO232" s="26"/>
      <c r="UTS232" s="23"/>
      <c r="UTX232" s="26"/>
      <c r="UUB232" s="23"/>
      <c r="UUG232" s="26"/>
      <c r="UUK232" s="23"/>
      <c r="UUP232" s="26"/>
      <c r="UUT232" s="23"/>
      <c r="UUY232" s="26"/>
      <c r="UVC232" s="23"/>
      <c r="UVH232" s="26"/>
      <c r="UVL232" s="23"/>
      <c r="UVQ232" s="26"/>
      <c r="UVU232" s="23"/>
      <c r="UVZ232" s="26"/>
      <c r="UWD232" s="23"/>
      <c r="UWI232" s="26"/>
      <c r="UWM232" s="23"/>
      <c r="UWR232" s="26"/>
      <c r="UWV232" s="23"/>
      <c r="UXA232" s="26"/>
      <c r="UXE232" s="23"/>
      <c r="UXJ232" s="26"/>
      <c r="UXN232" s="23"/>
      <c r="UXS232" s="26"/>
      <c r="UXW232" s="23"/>
      <c r="UYB232" s="26"/>
      <c r="UYF232" s="23"/>
      <c r="UYK232" s="26"/>
      <c r="UYO232" s="23"/>
      <c r="UYT232" s="26"/>
      <c r="UYX232" s="23"/>
      <c r="UZC232" s="26"/>
      <c r="UZG232" s="23"/>
      <c r="UZL232" s="26"/>
      <c r="UZP232" s="23"/>
      <c r="UZU232" s="26"/>
      <c r="UZY232" s="23"/>
      <c r="VAD232" s="26"/>
      <c r="VAH232" s="23"/>
      <c r="VAM232" s="26"/>
      <c r="VAQ232" s="23"/>
      <c r="VAV232" s="26"/>
      <c r="VAZ232" s="23"/>
      <c r="VBE232" s="26"/>
      <c r="VBI232" s="23"/>
      <c r="VBN232" s="26"/>
      <c r="VBR232" s="23"/>
      <c r="VBW232" s="26"/>
      <c r="VCA232" s="23"/>
      <c r="VCF232" s="26"/>
      <c r="VCJ232" s="23"/>
      <c r="VCO232" s="26"/>
      <c r="VCS232" s="23"/>
      <c r="VCX232" s="26"/>
      <c r="VDB232" s="23"/>
      <c r="VDG232" s="26"/>
      <c r="VDK232" s="23"/>
      <c r="VDP232" s="26"/>
      <c r="VDT232" s="23"/>
      <c r="VDY232" s="26"/>
      <c r="VEC232" s="23"/>
      <c r="VEH232" s="26"/>
      <c r="VEL232" s="23"/>
      <c r="VEQ232" s="26"/>
      <c r="VEU232" s="23"/>
      <c r="VEZ232" s="26"/>
      <c r="VFD232" s="23"/>
      <c r="VFI232" s="26"/>
      <c r="VFM232" s="23"/>
      <c r="VFR232" s="26"/>
      <c r="VFV232" s="23"/>
      <c r="VGA232" s="26"/>
      <c r="VGE232" s="23"/>
      <c r="VGJ232" s="26"/>
      <c r="VGN232" s="23"/>
      <c r="VGS232" s="26"/>
      <c r="VGW232" s="23"/>
      <c r="VHB232" s="26"/>
      <c r="VHF232" s="23"/>
      <c r="VHK232" s="26"/>
      <c r="VHO232" s="23"/>
      <c r="VHT232" s="26"/>
      <c r="VHX232" s="23"/>
      <c r="VIC232" s="26"/>
      <c r="VIG232" s="23"/>
      <c r="VIL232" s="26"/>
      <c r="VIP232" s="23"/>
      <c r="VIU232" s="26"/>
      <c r="VIY232" s="23"/>
      <c r="VJD232" s="26"/>
      <c r="VJH232" s="23"/>
      <c r="VJM232" s="26"/>
      <c r="VJQ232" s="23"/>
      <c r="VJV232" s="26"/>
      <c r="VJZ232" s="23"/>
      <c r="VKE232" s="26"/>
      <c r="VKI232" s="23"/>
      <c r="VKN232" s="26"/>
      <c r="VKR232" s="23"/>
      <c r="VKW232" s="26"/>
      <c r="VLA232" s="23"/>
      <c r="VLF232" s="26"/>
      <c r="VLJ232" s="23"/>
      <c r="VLO232" s="26"/>
      <c r="VLS232" s="23"/>
      <c r="VLX232" s="26"/>
      <c r="VMB232" s="23"/>
      <c r="VMG232" s="26"/>
      <c r="VMK232" s="23"/>
      <c r="VMP232" s="26"/>
      <c r="VMT232" s="23"/>
      <c r="VMY232" s="26"/>
      <c r="VNC232" s="23"/>
      <c r="VNH232" s="26"/>
      <c r="VNL232" s="23"/>
      <c r="VNQ232" s="26"/>
      <c r="VNU232" s="23"/>
      <c r="VNZ232" s="26"/>
      <c r="VOD232" s="23"/>
      <c r="VOI232" s="26"/>
      <c r="VOM232" s="23"/>
      <c r="VOR232" s="26"/>
      <c r="VOV232" s="23"/>
      <c r="VPA232" s="26"/>
      <c r="VPE232" s="23"/>
      <c r="VPJ232" s="26"/>
      <c r="VPN232" s="23"/>
      <c r="VPS232" s="26"/>
      <c r="VPW232" s="23"/>
      <c r="VQB232" s="26"/>
      <c r="VQF232" s="23"/>
      <c r="VQK232" s="26"/>
      <c r="VQO232" s="23"/>
      <c r="VQT232" s="26"/>
      <c r="VQX232" s="23"/>
      <c r="VRC232" s="26"/>
      <c r="VRG232" s="23"/>
      <c r="VRL232" s="26"/>
      <c r="VRP232" s="23"/>
      <c r="VRU232" s="26"/>
      <c r="VRY232" s="23"/>
      <c r="VSD232" s="26"/>
      <c r="VSH232" s="23"/>
      <c r="VSM232" s="26"/>
      <c r="VSQ232" s="23"/>
      <c r="VSV232" s="26"/>
      <c r="VSZ232" s="23"/>
      <c r="VTE232" s="26"/>
      <c r="VTI232" s="23"/>
      <c r="VTN232" s="26"/>
      <c r="VTR232" s="23"/>
      <c r="VTW232" s="26"/>
      <c r="VUA232" s="23"/>
      <c r="VUF232" s="26"/>
      <c r="VUJ232" s="23"/>
      <c r="VUO232" s="26"/>
      <c r="VUS232" s="23"/>
      <c r="VUX232" s="26"/>
      <c r="VVB232" s="23"/>
      <c r="VVG232" s="26"/>
      <c r="VVK232" s="23"/>
      <c r="VVP232" s="26"/>
      <c r="VVT232" s="23"/>
      <c r="VVY232" s="26"/>
      <c r="VWC232" s="23"/>
      <c r="VWH232" s="26"/>
      <c r="VWL232" s="23"/>
      <c r="VWQ232" s="26"/>
      <c r="VWU232" s="23"/>
      <c r="VWZ232" s="26"/>
      <c r="VXD232" s="23"/>
      <c r="VXI232" s="26"/>
      <c r="VXM232" s="23"/>
      <c r="VXR232" s="26"/>
      <c r="VXV232" s="23"/>
      <c r="VYA232" s="26"/>
      <c r="VYE232" s="23"/>
      <c r="VYJ232" s="26"/>
      <c r="VYN232" s="23"/>
      <c r="VYS232" s="26"/>
      <c r="VYW232" s="23"/>
      <c r="VZB232" s="26"/>
      <c r="VZF232" s="23"/>
      <c r="VZK232" s="26"/>
      <c r="VZO232" s="23"/>
      <c r="VZT232" s="26"/>
      <c r="VZX232" s="23"/>
      <c r="WAC232" s="26"/>
      <c r="WAG232" s="23"/>
      <c r="WAL232" s="26"/>
      <c r="WAP232" s="23"/>
      <c r="WAU232" s="26"/>
      <c r="WAY232" s="23"/>
      <c r="WBD232" s="26"/>
      <c r="WBH232" s="23"/>
      <c r="WBM232" s="26"/>
      <c r="WBQ232" s="23"/>
      <c r="WBV232" s="26"/>
      <c r="WBZ232" s="23"/>
      <c r="WCE232" s="26"/>
      <c r="WCI232" s="23"/>
      <c r="WCN232" s="26"/>
      <c r="WCR232" s="23"/>
      <c r="WCW232" s="26"/>
      <c r="WDA232" s="23"/>
      <c r="WDF232" s="26"/>
      <c r="WDJ232" s="23"/>
      <c r="WDO232" s="26"/>
      <c r="WDS232" s="23"/>
      <c r="WDX232" s="26"/>
      <c r="WEB232" s="23"/>
      <c r="WEG232" s="26"/>
      <c r="WEK232" s="23"/>
      <c r="WEP232" s="26"/>
      <c r="WET232" s="23"/>
      <c r="WEY232" s="26"/>
      <c r="WFC232" s="23"/>
      <c r="WFH232" s="26"/>
      <c r="WFL232" s="23"/>
      <c r="WFQ232" s="26"/>
      <c r="WFU232" s="23"/>
      <c r="WFZ232" s="26"/>
      <c r="WGD232" s="23"/>
      <c r="WGI232" s="26"/>
      <c r="WGM232" s="23"/>
      <c r="WGR232" s="26"/>
      <c r="WGV232" s="23"/>
      <c r="WHA232" s="26"/>
      <c r="WHE232" s="23"/>
      <c r="WHJ232" s="26"/>
      <c r="WHN232" s="23"/>
      <c r="WHS232" s="26"/>
      <c r="WHW232" s="23"/>
      <c r="WIB232" s="26"/>
      <c r="WIF232" s="23"/>
      <c r="WIK232" s="26"/>
      <c r="WIO232" s="23"/>
      <c r="WIT232" s="26"/>
      <c r="WIX232" s="23"/>
      <c r="WJC232" s="26"/>
      <c r="WJG232" s="23"/>
      <c r="WJL232" s="26"/>
      <c r="WJP232" s="23"/>
      <c r="WJU232" s="26"/>
      <c r="WJY232" s="23"/>
      <c r="WKD232" s="26"/>
      <c r="WKH232" s="23"/>
      <c r="WKM232" s="26"/>
      <c r="WKQ232" s="23"/>
      <c r="WKV232" s="26"/>
      <c r="WKZ232" s="23"/>
      <c r="WLE232" s="26"/>
      <c r="WLI232" s="23"/>
      <c r="WLN232" s="26"/>
      <c r="WLR232" s="23"/>
      <c r="WLW232" s="26"/>
      <c r="WMA232" s="23"/>
      <c r="WMF232" s="26"/>
      <c r="WMJ232" s="23"/>
      <c r="WMO232" s="26"/>
      <c r="WMS232" s="23"/>
      <c r="WMX232" s="26"/>
      <c r="WNB232" s="23"/>
      <c r="WNG232" s="26"/>
      <c r="WNK232" s="23"/>
      <c r="WNP232" s="26"/>
      <c r="WNT232" s="23"/>
      <c r="WNY232" s="26"/>
      <c r="WOC232" s="23"/>
      <c r="WOH232" s="26"/>
      <c r="WOL232" s="23"/>
      <c r="WOQ232" s="26"/>
      <c r="WOU232" s="23"/>
      <c r="WOZ232" s="26"/>
      <c r="WPD232" s="23"/>
      <c r="WPI232" s="26"/>
      <c r="WPM232" s="23"/>
      <c r="WPR232" s="26"/>
      <c r="WPV232" s="23"/>
      <c r="WQA232" s="26"/>
      <c r="WQE232" s="23"/>
      <c r="WQJ232" s="26"/>
      <c r="WQN232" s="23"/>
      <c r="WQS232" s="26"/>
      <c r="WQW232" s="23"/>
      <c r="WRB232" s="26"/>
      <c r="WRF232" s="23"/>
      <c r="WRK232" s="26"/>
      <c r="WRO232" s="23"/>
      <c r="WRT232" s="26"/>
      <c r="WRX232" s="23"/>
      <c r="WSC232" s="26"/>
      <c r="WSG232" s="23"/>
      <c r="WSL232" s="26"/>
      <c r="WSP232" s="23"/>
      <c r="WSU232" s="26"/>
      <c r="WSY232" s="23"/>
      <c r="WTD232" s="26"/>
      <c r="WTH232" s="23"/>
      <c r="WTM232" s="26"/>
      <c r="WTQ232" s="23"/>
      <c r="WTV232" s="26"/>
      <c r="WTZ232" s="23"/>
      <c r="WUE232" s="26"/>
      <c r="WUI232" s="23"/>
      <c r="WUN232" s="26"/>
      <c r="WUR232" s="23"/>
      <c r="WUW232" s="26"/>
      <c r="WVA232" s="23"/>
      <c r="WVF232" s="26"/>
      <c r="WVJ232" s="23"/>
      <c r="WVO232" s="26"/>
      <c r="WVS232" s="23"/>
      <c r="WVX232" s="26"/>
      <c r="WWB232" s="23"/>
      <c r="WWG232" s="26"/>
      <c r="WWK232" s="23"/>
      <c r="WWP232" s="26"/>
      <c r="WWT232" s="23"/>
      <c r="WWY232" s="26"/>
      <c r="WXC232" s="23"/>
      <c r="WXH232" s="26"/>
      <c r="WXL232" s="23"/>
      <c r="WXQ232" s="26"/>
      <c r="WXU232" s="23"/>
      <c r="WXZ232" s="26"/>
      <c r="WYD232" s="23"/>
      <c r="WYI232" s="26"/>
      <c r="WYM232" s="23"/>
      <c r="WYR232" s="26"/>
      <c r="WYV232" s="23"/>
      <c r="WZA232" s="26"/>
      <c r="WZE232" s="23"/>
      <c r="WZJ232" s="26"/>
      <c r="WZN232" s="23"/>
      <c r="WZS232" s="26"/>
      <c r="WZW232" s="23"/>
      <c r="XAB232" s="26"/>
      <c r="XAF232" s="23"/>
      <c r="XAK232" s="26"/>
      <c r="XAO232" s="23"/>
      <c r="XAT232" s="26"/>
      <c r="XAX232" s="23"/>
      <c r="XBC232" s="26"/>
      <c r="XBG232" s="23"/>
      <c r="XBL232" s="26"/>
      <c r="XBP232" s="23"/>
      <c r="XBU232" s="26"/>
      <c r="XBY232" s="23"/>
      <c r="XCD232" s="26"/>
      <c r="XCH232" s="23"/>
      <c r="XCM232" s="26"/>
      <c r="XCQ232" s="23"/>
      <c r="XCV232" s="26"/>
      <c r="XCZ232" s="23"/>
      <c r="XDE232" s="26"/>
      <c r="XDI232" s="23"/>
      <c r="XDN232" s="26"/>
      <c r="XDR232" s="23"/>
      <c r="XDW232" s="26"/>
      <c r="XEA232" s="23"/>
      <c r="XEF232" s="26"/>
      <c r="XEJ232" s="23"/>
      <c r="XEO232" s="26"/>
      <c r="XES232" s="23"/>
      <c r="XEX232" s="26"/>
      <c r="XFB232" s="23"/>
    </row>
    <row r="233" spans="2:1024 1028:2045 2050:3071 3076:4093 4097:5119 5123:6140 6145:7166 7171:8192 8197:9214 9218:10240 10244:11261 11266:12287 12292:13309 13313:14335 14339:15356 15361:16382" x14ac:dyDescent="0.3">
      <c r="B233" s="23"/>
      <c r="K233" s="23"/>
      <c r="P233" s="26"/>
      <c r="T233" s="23"/>
      <c r="Y233" s="26"/>
      <c r="AC233" s="23"/>
      <c r="AH233" s="26"/>
      <c r="AL233" s="23"/>
      <c r="AQ233" s="26"/>
      <c r="AU233" s="23"/>
      <c r="AZ233" s="26"/>
      <c r="BD233" s="23"/>
      <c r="BI233" s="26"/>
      <c r="BM233" s="23"/>
      <c r="BR233" s="26"/>
      <c r="BV233" s="23"/>
      <c r="CA233" s="26"/>
      <c r="CE233" s="23"/>
      <c r="CJ233" s="26"/>
      <c r="CN233" s="23"/>
      <c r="CS233" s="26"/>
      <c r="CW233" s="23"/>
      <c r="DB233" s="26"/>
      <c r="DF233" s="23"/>
      <c r="DK233" s="26"/>
      <c r="DO233" s="23"/>
      <c r="DT233" s="26"/>
      <c r="DX233" s="23"/>
      <c r="EC233" s="26"/>
      <c r="EG233" s="23"/>
      <c r="EL233" s="26"/>
      <c r="EP233" s="23"/>
      <c r="EU233" s="26"/>
      <c r="EY233" s="23"/>
      <c r="FD233" s="26"/>
      <c r="FH233" s="23"/>
      <c r="FM233" s="26"/>
      <c r="FQ233" s="23"/>
      <c r="FV233" s="26"/>
      <c r="FZ233" s="23"/>
      <c r="GE233" s="26"/>
      <c r="GI233" s="23"/>
      <c r="GN233" s="26"/>
      <c r="GR233" s="23"/>
      <c r="GW233" s="26"/>
      <c r="HA233" s="23"/>
      <c r="HF233" s="26"/>
      <c r="HJ233" s="23"/>
      <c r="HO233" s="26"/>
      <c r="HS233" s="23"/>
      <c r="HX233" s="26"/>
      <c r="IB233" s="23"/>
      <c r="IG233" s="26"/>
      <c r="IK233" s="23"/>
      <c r="IP233" s="26"/>
      <c r="IT233" s="23"/>
      <c r="IY233" s="26"/>
      <c r="JC233" s="23"/>
      <c r="JH233" s="26"/>
      <c r="JL233" s="23"/>
      <c r="JQ233" s="26"/>
      <c r="JU233" s="23"/>
      <c r="JZ233" s="26"/>
      <c r="KD233" s="23"/>
      <c r="KI233" s="26"/>
      <c r="KM233" s="23"/>
      <c r="KR233" s="26"/>
      <c r="KV233" s="23"/>
      <c r="LA233" s="26"/>
      <c r="LE233" s="23"/>
      <c r="LJ233" s="26"/>
      <c r="LN233" s="23"/>
      <c r="LS233" s="26"/>
      <c r="LW233" s="23"/>
      <c r="MB233" s="26"/>
      <c r="MF233" s="23"/>
      <c r="MK233" s="26"/>
      <c r="MO233" s="23"/>
      <c r="MT233" s="26"/>
      <c r="MX233" s="23"/>
      <c r="NC233" s="26"/>
      <c r="NG233" s="23"/>
      <c r="NL233" s="26"/>
      <c r="NP233" s="23"/>
      <c r="NU233" s="26"/>
      <c r="NY233" s="23"/>
      <c r="OD233" s="26"/>
      <c r="OH233" s="23"/>
      <c r="OM233" s="26"/>
      <c r="OQ233" s="23"/>
      <c r="OV233" s="26"/>
      <c r="OZ233" s="23"/>
      <c r="PE233" s="26"/>
      <c r="PI233" s="23"/>
      <c r="PN233" s="26"/>
      <c r="PR233" s="23"/>
      <c r="PW233" s="26"/>
      <c r="QA233" s="23"/>
      <c r="QF233" s="26"/>
      <c r="QJ233" s="23"/>
      <c r="QO233" s="26"/>
      <c r="QS233" s="23"/>
      <c r="QX233" s="26"/>
      <c r="RB233" s="23"/>
      <c r="RG233" s="26"/>
      <c r="RK233" s="23"/>
      <c r="RP233" s="26"/>
      <c r="RT233" s="23"/>
      <c r="RY233" s="26"/>
      <c r="SC233" s="23"/>
      <c r="SH233" s="26"/>
      <c r="SL233" s="23"/>
      <c r="SQ233" s="26"/>
      <c r="SU233" s="23"/>
      <c r="SZ233" s="26"/>
      <c r="TD233" s="23"/>
      <c r="TI233" s="26"/>
      <c r="TM233" s="23"/>
      <c r="TR233" s="26"/>
      <c r="TV233" s="23"/>
      <c r="UA233" s="26"/>
      <c r="UE233" s="23"/>
      <c r="UJ233" s="26"/>
      <c r="UN233" s="23"/>
      <c r="US233" s="26"/>
      <c r="UW233" s="23"/>
      <c r="VB233" s="26"/>
      <c r="VF233" s="23"/>
      <c r="VK233" s="26"/>
      <c r="VO233" s="23"/>
      <c r="VT233" s="26"/>
      <c r="VX233" s="23"/>
      <c r="WC233" s="26"/>
      <c r="WG233" s="23"/>
      <c r="WL233" s="26"/>
      <c r="WP233" s="23"/>
      <c r="WU233" s="26"/>
      <c r="WY233" s="23"/>
      <c r="XD233" s="26"/>
      <c r="XH233" s="23"/>
      <c r="XM233" s="26"/>
      <c r="XQ233" s="23"/>
      <c r="XV233" s="26"/>
      <c r="XZ233" s="23"/>
      <c r="YE233" s="26"/>
      <c r="YI233" s="23"/>
      <c r="YN233" s="26"/>
      <c r="YR233" s="23"/>
      <c r="YW233" s="26"/>
      <c r="ZA233" s="23"/>
      <c r="ZF233" s="26"/>
      <c r="ZJ233" s="23"/>
      <c r="ZO233" s="26"/>
      <c r="ZS233" s="23"/>
      <c r="ZX233" s="26"/>
      <c r="AAB233" s="23"/>
      <c r="AAG233" s="26"/>
      <c r="AAK233" s="23"/>
      <c r="AAP233" s="26"/>
      <c r="AAT233" s="23"/>
      <c r="AAY233" s="26"/>
      <c r="ABC233" s="23"/>
      <c r="ABH233" s="26"/>
      <c r="ABL233" s="23"/>
      <c r="ABQ233" s="26"/>
      <c r="ABU233" s="23"/>
      <c r="ABZ233" s="26"/>
      <c r="ACD233" s="23"/>
      <c r="ACI233" s="26"/>
      <c r="ACM233" s="23"/>
      <c r="ACR233" s="26"/>
      <c r="ACV233" s="23"/>
      <c r="ADA233" s="26"/>
      <c r="ADE233" s="23"/>
      <c r="ADJ233" s="26"/>
      <c r="ADN233" s="23"/>
      <c r="ADS233" s="26"/>
      <c r="ADW233" s="23"/>
      <c r="AEB233" s="26"/>
      <c r="AEF233" s="23"/>
      <c r="AEK233" s="26"/>
      <c r="AEO233" s="23"/>
      <c r="AET233" s="26"/>
      <c r="AEX233" s="23"/>
      <c r="AFC233" s="26"/>
      <c r="AFG233" s="23"/>
      <c r="AFL233" s="26"/>
      <c r="AFP233" s="23"/>
      <c r="AFU233" s="26"/>
      <c r="AFY233" s="23"/>
      <c r="AGD233" s="26"/>
      <c r="AGH233" s="23"/>
      <c r="AGM233" s="26"/>
      <c r="AGQ233" s="23"/>
      <c r="AGV233" s="26"/>
      <c r="AGZ233" s="23"/>
      <c r="AHE233" s="26"/>
      <c r="AHI233" s="23"/>
      <c r="AHN233" s="26"/>
      <c r="AHR233" s="23"/>
      <c r="AHW233" s="26"/>
      <c r="AIA233" s="23"/>
      <c r="AIF233" s="26"/>
      <c r="AIJ233" s="23"/>
      <c r="AIO233" s="26"/>
      <c r="AIS233" s="23"/>
      <c r="AIX233" s="26"/>
      <c r="AJB233" s="23"/>
      <c r="AJG233" s="26"/>
      <c r="AJK233" s="23"/>
      <c r="AJP233" s="26"/>
      <c r="AJT233" s="23"/>
      <c r="AJY233" s="26"/>
      <c r="AKC233" s="23"/>
      <c r="AKH233" s="26"/>
      <c r="AKL233" s="23"/>
      <c r="AKQ233" s="26"/>
      <c r="AKU233" s="23"/>
      <c r="AKZ233" s="26"/>
      <c r="ALD233" s="23"/>
      <c r="ALI233" s="26"/>
      <c r="ALM233" s="23"/>
      <c r="ALR233" s="26"/>
      <c r="ALV233" s="23"/>
      <c r="AMA233" s="26"/>
      <c r="AME233" s="23"/>
      <c r="AMJ233" s="26"/>
      <c r="AMN233" s="23"/>
      <c r="AMS233" s="26"/>
      <c r="AMW233" s="23"/>
      <c r="ANB233" s="26"/>
      <c r="ANF233" s="23"/>
      <c r="ANK233" s="26"/>
      <c r="ANO233" s="23"/>
      <c r="ANT233" s="26"/>
      <c r="ANX233" s="23"/>
      <c r="AOC233" s="26"/>
      <c r="AOG233" s="23"/>
      <c r="AOL233" s="26"/>
      <c r="AOP233" s="23"/>
      <c r="AOU233" s="26"/>
      <c r="AOY233" s="23"/>
      <c r="APD233" s="26"/>
      <c r="APH233" s="23"/>
      <c r="APM233" s="26"/>
      <c r="APQ233" s="23"/>
      <c r="APV233" s="26"/>
      <c r="APZ233" s="23"/>
      <c r="AQE233" s="26"/>
      <c r="AQI233" s="23"/>
      <c r="AQN233" s="26"/>
      <c r="AQR233" s="23"/>
      <c r="AQW233" s="26"/>
      <c r="ARA233" s="23"/>
      <c r="ARF233" s="26"/>
      <c r="ARJ233" s="23"/>
      <c r="ARO233" s="26"/>
      <c r="ARS233" s="23"/>
      <c r="ARX233" s="26"/>
      <c r="ASB233" s="23"/>
      <c r="ASG233" s="26"/>
      <c r="ASK233" s="23"/>
      <c r="ASP233" s="26"/>
      <c r="AST233" s="23"/>
      <c r="ASY233" s="26"/>
      <c r="ATC233" s="23"/>
      <c r="ATH233" s="26"/>
      <c r="ATL233" s="23"/>
      <c r="ATQ233" s="26"/>
      <c r="ATU233" s="23"/>
      <c r="ATZ233" s="26"/>
      <c r="AUD233" s="23"/>
      <c r="AUI233" s="26"/>
      <c r="AUM233" s="23"/>
      <c r="AUR233" s="26"/>
      <c r="AUV233" s="23"/>
      <c r="AVA233" s="26"/>
      <c r="AVE233" s="23"/>
      <c r="AVJ233" s="26"/>
      <c r="AVN233" s="23"/>
      <c r="AVS233" s="26"/>
      <c r="AVW233" s="23"/>
      <c r="AWB233" s="26"/>
      <c r="AWF233" s="23"/>
      <c r="AWK233" s="26"/>
      <c r="AWO233" s="23"/>
      <c r="AWT233" s="26"/>
      <c r="AWX233" s="23"/>
      <c r="AXC233" s="26"/>
      <c r="AXG233" s="23"/>
      <c r="AXL233" s="26"/>
      <c r="AXP233" s="23"/>
      <c r="AXU233" s="26"/>
      <c r="AXY233" s="23"/>
      <c r="AYD233" s="26"/>
      <c r="AYH233" s="23"/>
      <c r="AYM233" s="26"/>
      <c r="AYQ233" s="23"/>
      <c r="AYV233" s="26"/>
      <c r="AYZ233" s="23"/>
      <c r="AZE233" s="26"/>
      <c r="AZI233" s="23"/>
      <c r="AZN233" s="26"/>
      <c r="AZR233" s="23"/>
      <c r="AZW233" s="26"/>
      <c r="BAA233" s="23"/>
      <c r="BAF233" s="26"/>
      <c r="BAJ233" s="23"/>
      <c r="BAO233" s="26"/>
      <c r="BAS233" s="23"/>
      <c r="BAX233" s="26"/>
      <c r="BBB233" s="23"/>
      <c r="BBG233" s="26"/>
      <c r="BBK233" s="23"/>
      <c r="BBP233" s="26"/>
      <c r="BBT233" s="23"/>
      <c r="BBY233" s="26"/>
      <c r="BCC233" s="23"/>
      <c r="BCH233" s="26"/>
      <c r="BCL233" s="23"/>
      <c r="BCQ233" s="26"/>
      <c r="BCU233" s="23"/>
      <c r="BCZ233" s="26"/>
      <c r="BDD233" s="23"/>
      <c r="BDI233" s="26"/>
      <c r="BDM233" s="23"/>
      <c r="BDR233" s="26"/>
      <c r="BDV233" s="23"/>
      <c r="BEA233" s="26"/>
      <c r="BEE233" s="23"/>
      <c r="BEJ233" s="26"/>
      <c r="BEN233" s="23"/>
      <c r="BES233" s="26"/>
      <c r="BEW233" s="23"/>
      <c r="BFB233" s="26"/>
      <c r="BFF233" s="23"/>
      <c r="BFK233" s="26"/>
      <c r="BFO233" s="23"/>
      <c r="BFT233" s="26"/>
      <c r="BFX233" s="23"/>
      <c r="BGC233" s="26"/>
      <c r="BGG233" s="23"/>
      <c r="BGL233" s="26"/>
      <c r="BGP233" s="23"/>
      <c r="BGU233" s="26"/>
      <c r="BGY233" s="23"/>
      <c r="BHD233" s="26"/>
      <c r="BHH233" s="23"/>
      <c r="BHM233" s="26"/>
      <c r="BHQ233" s="23"/>
      <c r="BHV233" s="26"/>
      <c r="BHZ233" s="23"/>
      <c r="BIE233" s="26"/>
      <c r="BII233" s="23"/>
      <c r="BIN233" s="26"/>
      <c r="BIR233" s="23"/>
      <c r="BIW233" s="26"/>
      <c r="BJA233" s="23"/>
      <c r="BJF233" s="26"/>
      <c r="BJJ233" s="23"/>
      <c r="BJO233" s="26"/>
      <c r="BJS233" s="23"/>
      <c r="BJX233" s="26"/>
      <c r="BKB233" s="23"/>
      <c r="BKG233" s="26"/>
      <c r="BKK233" s="23"/>
      <c r="BKP233" s="26"/>
      <c r="BKT233" s="23"/>
      <c r="BKY233" s="26"/>
      <c r="BLC233" s="23"/>
      <c r="BLH233" s="26"/>
      <c r="BLL233" s="23"/>
      <c r="BLQ233" s="26"/>
      <c r="BLU233" s="23"/>
      <c r="BLZ233" s="26"/>
      <c r="BMD233" s="23"/>
      <c r="BMI233" s="26"/>
      <c r="BMM233" s="23"/>
      <c r="BMR233" s="26"/>
      <c r="BMV233" s="23"/>
      <c r="BNA233" s="26"/>
      <c r="BNE233" s="23"/>
      <c r="BNJ233" s="26"/>
      <c r="BNN233" s="23"/>
      <c r="BNS233" s="26"/>
      <c r="BNW233" s="23"/>
      <c r="BOB233" s="26"/>
      <c r="BOF233" s="23"/>
      <c r="BOK233" s="26"/>
      <c r="BOO233" s="23"/>
      <c r="BOT233" s="26"/>
      <c r="BOX233" s="23"/>
      <c r="BPC233" s="26"/>
      <c r="BPG233" s="23"/>
      <c r="BPL233" s="26"/>
      <c r="BPP233" s="23"/>
      <c r="BPU233" s="26"/>
      <c r="BPY233" s="23"/>
      <c r="BQD233" s="26"/>
      <c r="BQH233" s="23"/>
      <c r="BQM233" s="26"/>
      <c r="BQQ233" s="23"/>
      <c r="BQV233" s="26"/>
      <c r="BQZ233" s="23"/>
      <c r="BRE233" s="26"/>
      <c r="BRI233" s="23"/>
      <c r="BRN233" s="26"/>
      <c r="BRR233" s="23"/>
      <c r="BRW233" s="26"/>
      <c r="BSA233" s="23"/>
      <c r="BSF233" s="26"/>
      <c r="BSJ233" s="23"/>
      <c r="BSO233" s="26"/>
      <c r="BSS233" s="23"/>
      <c r="BSX233" s="26"/>
      <c r="BTB233" s="23"/>
      <c r="BTG233" s="26"/>
      <c r="BTK233" s="23"/>
      <c r="BTP233" s="26"/>
      <c r="BTT233" s="23"/>
      <c r="BTY233" s="26"/>
      <c r="BUC233" s="23"/>
      <c r="BUH233" s="26"/>
      <c r="BUL233" s="23"/>
      <c r="BUQ233" s="26"/>
      <c r="BUU233" s="23"/>
      <c r="BUZ233" s="26"/>
      <c r="BVD233" s="23"/>
      <c r="BVI233" s="26"/>
      <c r="BVM233" s="23"/>
      <c r="BVR233" s="26"/>
      <c r="BVV233" s="23"/>
      <c r="BWA233" s="26"/>
      <c r="BWE233" s="23"/>
      <c r="BWJ233" s="26"/>
      <c r="BWN233" s="23"/>
      <c r="BWS233" s="26"/>
      <c r="BWW233" s="23"/>
      <c r="BXB233" s="26"/>
      <c r="BXF233" s="23"/>
      <c r="BXK233" s="26"/>
      <c r="BXO233" s="23"/>
      <c r="BXT233" s="26"/>
      <c r="BXX233" s="23"/>
      <c r="BYC233" s="26"/>
      <c r="BYG233" s="23"/>
      <c r="BYL233" s="26"/>
      <c r="BYP233" s="23"/>
      <c r="BYU233" s="26"/>
      <c r="BYY233" s="23"/>
      <c r="BZD233" s="26"/>
      <c r="BZH233" s="23"/>
      <c r="BZM233" s="26"/>
      <c r="BZQ233" s="23"/>
      <c r="BZV233" s="26"/>
      <c r="BZZ233" s="23"/>
      <c r="CAE233" s="26"/>
      <c r="CAI233" s="23"/>
      <c r="CAN233" s="26"/>
      <c r="CAR233" s="23"/>
      <c r="CAW233" s="26"/>
      <c r="CBA233" s="23"/>
      <c r="CBF233" s="26"/>
      <c r="CBJ233" s="23"/>
      <c r="CBO233" s="26"/>
      <c r="CBS233" s="23"/>
      <c r="CBX233" s="26"/>
      <c r="CCB233" s="23"/>
      <c r="CCG233" s="26"/>
      <c r="CCK233" s="23"/>
      <c r="CCP233" s="26"/>
      <c r="CCT233" s="23"/>
      <c r="CCY233" s="26"/>
      <c r="CDC233" s="23"/>
      <c r="CDH233" s="26"/>
      <c r="CDL233" s="23"/>
      <c r="CDQ233" s="26"/>
      <c r="CDU233" s="23"/>
      <c r="CDZ233" s="26"/>
      <c r="CED233" s="23"/>
      <c r="CEI233" s="26"/>
      <c r="CEM233" s="23"/>
      <c r="CER233" s="26"/>
      <c r="CEV233" s="23"/>
      <c r="CFA233" s="26"/>
      <c r="CFE233" s="23"/>
      <c r="CFJ233" s="26"/>
      <c r="CFN233" s="23"/>
      <c r="CFS233" s="26"/>
      <c r="CFW233" s="23"/>
      <c r="CGB233" s="26"/>
      <c r="CGF233" s="23"/>
      <c r="CGK233" s="26"/>
      <c r="CGO233" s="23"/>
      <c r="CGT233" s="26"/>
      <c r="CGX233" s="23"/>
      <c r="CHC233" s="26"/>
      <c r="CHG233" s="23"/>
      <c r="CHL233" s="26"/>
      <c r="CHP233" s="23"/>
      <c r="CHU233" s="26"/>
      <c r="CHY233" s="23"/>
      <c r="CID233" s="26"/>
      <c r="CIH233" s="23"/>
      <c r="CIM233" s="26"/>
      <c r="CIQ233" s="23"/>
      <c r="CIV233" s="26"/>
      <c r="CIZ233" s="23"/>
      <c r="CJE233" s="26"/>
      <c r="CJI233" s="23"/>
      <c r="CJN233" s="26"/>
      <c r="CJR233" s="23"/>
      <c r="CJW233" s="26"/>
      <c r="CKA233" s="23"/>
      <c r="CKF233" s="26"/>
      <c r="CKJ233" s="23"/>
      <c r="CKO233" s="26"/>
      <c r="CKS233" s="23"/>
      <c r="CKX233" s="26"/>
      <c r="CLB233" s="23"/>
      <c r="CLG233" s="26"/>
      <c r="CLK233" s="23"/>
      <c r="CLP233" s="26"/>
      <c r="CLT233" s="23"/>
      <c r="CLY233" s="26"/>
      <c r="CMC233" s="23"/>
      <c r="CMH233" s="26"/>
      <c r="CML233" s="23"/>
      <c r="CMQ233" s="26"/>
      <c r="CMU233" s="23"/>
      <c r="CMZ233" s="26"/>
      <c r="CND233" s="23"/>
      <c r="CNI233" s="26"/>
      <c r="CNM233" s="23"/>
      <c r="CNR233" s="26"/>
      <c r="CNV233" s="23"/>
      <c r="COA233" s="26"/>
      <c r="COE233" s="23"/>
      <c r="COJ233" s="26"/>
      <c r="CON233" s="23"/>
      <c r="COS233" s="26"/>
      <c r="COW233" s="23"/>
      <c r="CPB233" s="26"/>
      <c r="CPF233" s="23"/>
      <c r="CPK233" s="26"/>
      <c r="CPO233" s="23"/>
      <c r="CPT233" s="26"/>
      <c r="CPX233" s="23"/>
      <c r="CQC233" s="26"/>
      <c r="CQG233" s="23"/>
      <c r="CQL233" s="26"/>
      <c r="CQP233" s="23"/>
      <c r="CQU233" s="26"/>
      <c r="CQY233" s="23"/>
      <c r="CRD233" s="26"/>
      <c r="CRH233" s="23"/>
      <c r="CRM233" s="26"/>
      <c r="CRQ233" s="23"/>
      <c r="CRV233" s="26"/>
      <c r="CRZ233" s="23"/>
      <c r="CSE233" s="26"/>
      <c r="CSI233" s="23"/>
      <c r="CSN233" s="26"/>
      <c r="CSR233" s="23"/>
      <c r="CSW233" s="26"/>
      <c r="CTA233" s="23"/>
      <c r="CTF233" s="26"/>
      <c r="CTJ233" s="23"/>
      <c r="CTO233" s="26"/>
      <c r="CTS233" s="23"/>
      <c r="CTX233" s="26"/>
      <c r="CUB233" s="23"/>
      <c r="CUG233" s="26"/>
      <c r="CUK233" s="23"/>
      <c r="CUP233" s="26"/>
      <c r="CUT233" s="23"/>
      <c r="CUY233" s="26"/>
      <c r="CVC233" s="23"/>
      <c r="CVH233" s="26"/>
      <c r="CVL233" s="23"/>
      <c r="CVQ233" s="26"/>
      <c r="CVU233" s="23"/>
      <c r="CVZ233" s="26"/>
      <c r="CWD233" s="23"/>
      <c r="CWI233" s="26"/>
      <c r="CWM233" s="23"/>
      <c r="CWR233" s="26"/>
      <c r="CWV233" s="23"/>
      <c r="CXA233" s="26"/>
      <c r="CXE233" s="23"/>
      <c r="CXJ233" s="26"/>
      <c r="CXN233" s="23"/>
      <c r="CXS233" s="26"/>
      <c r="CXW233" s="23"/>
      <c r="CYB233" s="26"/>
      <c r="CYF233" s="23"/>
      <c r="CYK233" s="26"/>
      <c r="CYO233" s="23"/>
      <c r="CYT233" s="26"/>
      <c r="CYX233" s="23"/>
      <c r="CZC233" s="26"/>
      <c r="CZG233" s="23"/>
      <c r="CZL233" s="26"/>
      <c r="CZP233" s="23"/>
      <c r="CZU233" s="26"/>
      <c r="CZY233" s="23"/>
      <c r="DAD233" s="26"/>
      <c r="DAH233" s="23"/>
      <c r="DAM233" s="26"/>
      <c r="DAQ233" s="23"/>
      <c r="DAV233" s="26"/>
      <c r="DAZ233" s="23"/>
      <c r="DBE233" s="26"/>
      <c r="DBI233" s="23"/>
      <c r="DBN233" s="26"/>
      <c r="DBR233" s="23"/>
      <c r="DBW233" s="26"/>
      <c r="DCA233" s="23"/>
      <c r="DCF233" s="26"/>
      <c r="DCJ233" s="23"/>
      <c r="DCO233" s="26"/>
      <c r="DCS233" s="23"/>
      <c r="DCX233" s="26"/>
      <c r="DDB233" s="23"/>
      <c r="DDG233" s="26"/>
      <c r="DDK233" s="23"/>
      <c r="DDP233" s="26"/>
      <c r="DDT233" s="23"/>
      <c r="DDY233" s="26"/>
      <c r="DEC233" s="23"/>
      <c r="DEH233" s="26"/>
      <c r="DEL233" s="23"/>
      <c r="DEQ233" s="26"/>
      <c r="DEU233" s="23"/>
      <c r="DEZ233" s="26"/>
      <c r="DFD233" s="23"/>
      <c r="DFI233" s="26"/>
      <c r="DFM233" s="23"/>
      <c r="DFR233" s="26"/>
      <c r="DFV233" s="23"/>
      <c r="DGA233" s="26"/>
      <c r="DGE233" s="23"/>
      <c r="DGJ233" s="26"/>
      <c r="DGN233" s="23"/>
      <c r="DGS233" s="26"/>
      <c r="DGW233" s="23"/>
      <c r="DHB233" s="26"/>
      <c r="DHF233" s="23"/>
      <c r="DHK233" s="26"/>
      <c r="DHO233" s="23"/>
      <c r="DHT233" s="26"/>
      <c r="DHX233" s="23"/>
      <c r="DIC233" s="26"/>
      <c r="DIG233" s="23"/>
      <c r="DIL233" s="26"/>
      <c r="DIP233" s="23"/>
      <c r="DIU233" s="26"/>
      <c r="DIY233" s="23"/>
      <c r="DJD233" s="26"/>
      <c r="DJH233" s="23"/>
      <c r="DJM233" s="26"/>
      <c r="DJQ233" s="23"/>
      <c r="DJV233" s="26"/>
      <c r="DJZ233" s="23"/>
      <c r="DKE233" s="26"/>
      <c r="DKI233" s="23"/>
      <c r="DKN233" s="26"/>
      <c r="DKR233" s="23"/>
      <c r="DKW233" s="26"/>
      <c r="DLA233" s="23"/>
      <c r="DLF233" s="26"/>
      <c r="DLJ233" s="23"/>
      <c r="DLO233" s="26"/>
      <c r="DLS233" s="23"/>
      <c r="DLX233" s="26"/>
      <c r="DMB233" s="23"/>
      <c r="DMG233" s="26"/>
      <c r="DMK233" s="23"/>
      <c r="DMP233" s="26"/>
      <c r="DMT233" s="23"/>
      <c r="DMY233" s="26"/>
      <c r="DNC233" s="23"/>
      <c r="DNH233" s="26"/>
      <c r="DNL233" s="23"/>
      <c r="DNQ233" s="26"/>
      <c r="DNU233" s="23"/>
      <c r="DNZ233" s="26"/>
      <c r="DOD233" s="23"/>
      <c r="DOI233" s="26"/>
      <c r="DOM233" s="23"/>
      <c r="DOR233" s="26"/>
      <c r="DOV233" s="23"/>
      <c r="DPA233" s="26"/>
      <c r="DPE233" s="23"/>
      <c r="DPJ233" s="26"/>
      <c r="DPN233" s="23"/>
      <c r="DPS233" s="26"/>
      <c r="DPW233" s="23"/>
      <c r="DQB233" s="26"/>
      <c r="DQF233" s="23"/>
      <c r="DQK233" s="26"/>
      <c r="DQO233" s="23"/>
      <c r="DQT233" s="26"/>
      <c r="DQX233" s="23"/>
      <c r="DRC233" s="26"/>
      <c r="DRG233" s="23"/>
      <c r="DRL233" s="26"/>
      <c r="DRP233" s="23"/>
      <c r="DRU233" s="26"/>
      <c r="DRY233" s="23"/>
      <c r="DSD233" s="26"/>
      <c r="DSH233" s="23"/>
      <c r="DSM233" s="26"/>
      <c r="DSQ233" s="23"/>
      <c r="DSV233" s="26"/>
      <c r="DSZ233" s="23"/>
      <c r="DTE233" s="26"/>
      <c r="DTI233" s="23"/>
      <c r="DTN233" s="26"/>
      <c r="DTR233" s="23"/>
      <c r="DTW233" s="26"/>
      <c r="DUA233" s="23"/>
      <c r="DUF233" s="26"/>
      <c r="DUJ233" s="23"/>
      <c r="DUO233" s="26"/>
      <c r="DUS233" s="23"/>
      <c r="DUX233" s="26"/>
      <c r="DVB233" s="23"/>
      <c r="DVG233" s="26"/>
      <c r="DVK233" s="23"/>
      <c r="DVP233" s="26"/>
      <c r="DVT233" s="23"/>
      <c r="DVY233" s="26"/>
      <c r="DWC233" s="23"/>
      <c r="DWH233" s="26"/>
      <c r="DWL233" s="23"/>
      <c r="DWQ233" s="26"/>
      <c r="DWU233" s="23"/>
      <c r="DWZ233" s="26"/>
      <c r="DXD233" s="23"/>
      <c r="DXI233" s="26"/>
      <c r="DXM233" s="23"/>
      <c r="DXR233" s="26"/>
      <c r="DXV233" s="23"/>
      <c r="DYA233" s="26"/>
      <c r="DYE233" s="23"/>
      <c r="DYJ233" s="26"/>
      <c r="DYN233" s="23"/>
      <c r="DYS233" s="26"/>
      <c r="DYW233" s="23"/>
      <c r="DZB233" s="26"/>
      <c r="DZF233" s="23"/>
      <c r="DZK233" s="26"/>
      <c r="DZO233" s="23"/>
      <c r="DZT233" s="26"/>
      <c r="DZX233" s="23"/>
      <c r="EAC233" s="26"/>
      <c r="EAG233" s="23"/>
      <c r="EAL233" s="26"/>
      <c r="EAP233" s="23"/>
      <c r="EAU233" s="26"/>
      <c r="EAY233" s="23"/>
      <c r="EBD233" s="26"/>
      <c r="EBH233" s="23"/>
      <c r="EBM233" s="26"/>
      <c r="EBQ233" s="23"/>
      <c r="EBV233" s="26"/>
      <c r="EBZ233" s="23"/>
      <c r="ECE233" s="26"/>
      <c r="ECI233" s="23"/>
      <c r="ECN233" s="26"/>
      <c r="ECR233" s="23"/>
      <c r="ECW233" s="26"/>
      <c r="EDA233" s="23"/>
      <c r="EDF233" s="26"/>
      <c r="EDJ233" s="23"/>
      <c r="EDO233" s="26"/>
      <c r="EDS233" s="23"/>
      <c r="EDX233" s="26"/>
      <c r="EEB233" s="23"/>
      <c r="EEG233" s="26"/>
      <c r="EEK233" s="23"/>
      <c r="EEP233" s="26"/>
      <c r="EET233" s="23"/>
      <c r="EEY233" s="26"/>
      <c r="EFC233" s="23"/>
      <c r="EFH233" s="26"/>
      <c r="EFL233" s="23"/>
      <c r="EFQ233" s="26"/>
      <c r="EFU233" s="23"/>
      <c r="EFZ233" s="26"/>
      <c r="EGD233" s="23"/>
      <c r="EGI233" s="26"/>
      <c r="EGM233" s="23"/>
      <c r="EGR233" s="26"/>
      <c r="EGV233" s="23"/>
      <c r="EHA233" s="26"/>
      <c r="EHE233" s="23"/>
      <c r="EHJ233" s="26"/>
      <c r="EHN233" s="23"/>
      <c r="EHS233" s="26"/>
      <c r="EHW233" s="23"/>
      <c r="EIB233" s="26"/>
      <c r="EIF233" s="23"/>
      <c r="EIK233" s="26"/>
      <c r="EIO233" s="23"/>
      <c r="EIT233" s="26"/>
      <c r="EIX233" s="23"/>
      <c r="EJC233" s="26"/>
      <c r="EJG233" s="23"/>
      <c r="EJL233" s="26"/>
      <c r="EJP233" s="23"/>
      <c r="EJU233" s="26"/>
      <c r="EJY233" s="23"/>
      <c r="EKD233" s="26"/>
      <c r="EKH233" s="23"/>
      <c r="EKM233" s="26"/>
      <c r="EKQ233" s="23"/>
      <c r="EKV233" s="26"/>
      <c r="EKZ233" s="23"/>
      <c r="ELE233" s="26"/>
      <c r="ELI233" s="23"/>
      <c r="ELN233" s="26"/>
      <c r="ELR233" s="23"/>
      <c r="ELW233" s="26"/>
      <c r="EMA233" s="23"/>
      <c r="EMF233" s="26"/>
      <c r="EMJ233" s="23"/>
      <c r="EMO233" s="26"/>
      <c r="EMS233" s="23"/>
      <c r="EMX233" s="26"/>
      <c r="ENB233" s="23"/>
      <c r="ENG233" s="26"/>
      <c r="ENK233" s="23"/>
      <c r="ENP233" s="26"/>
      <c r="ENT233" s="23"/>
      <c r="ENY233" s="26"/>
      <c r="EOC233" s="23"/>
      <c r="EOH233" s="26"/>
      <c r="EOL233" s="23"/>
      <c r="EOQ233" s="26"/>
      <c r="EOU233" s="23"/>
      <c r="EOZ233" s="26"/>
      <c r="EPD233" s="23"/>
      <c r="EPI233" s="26"/>
      <c r="EPM233" s="23"/>
      <c r="EPR233" s="26"/>
      <c r="EPV233" s="23"/>
      <c r="EQA233" s="26"/>
      <c r="EQE233" s="23"/>
      <c r="EQJ233" s="26"/>
      <c r="EQN233" s="23"/>
      <c r="EQS233" s="26"/>
      <c r="EQW233" s="23"/>
      <c r="ERB233" s="26"/>
      <c r="ERF233" s="23"/>
      <c r="ERK233" s="26"/>
      <c r="ERO233" s="23"/>
      <c r="ERT233" s="26"/>
      <c r="ERX233" s="23"/>
      <c r="ESC233" s="26"/>
      <c r="ESG233" s="23"/>
      <c r="ESL233" s="26"/>
      <c r="ESP233" s="23"/>
      <c r="ESU233" s="26"/>
      <c r="ESY233" s="23"/>
      <c r="ETD233" s="26"/>
      <c r="ETH233" s="23"/>
      <c r="ETM233" s="26"/>
      <c r="ETQ233" s="23"/>
      <c r="ETV233" s="26"/>
      <c r="ETZ233" s="23"/>
      <c r="EUE233" s="26"/>
      <c r="EUI233" s="23"/>
      <c r="EUN233" s="26"/>
      <c r="EUR233" s="23"/>
      <c r="EUW233" s="26"/>
      <c r="EVA233" s="23"/>
      <c r="EVF233" s="26"/>
      <c r="EVJ233" s="23"/>
      <c r="EVO233" s="26"/>
      <c r="EVS233" s="23"/>
      <c r="EVX233" s="26"/>
      <c r="EWB233" s="23"/>
      <c r="EWG233" s="26"/>
      <c r="EWK233" s="23"/>
      <c r="EWP233" s="26"/>
      <c r="EWT233" s="23"/>
      <c r="EWY233" s="26"/>
      <c r="EXC233" s="23"/>
      <c r="EXH233" s="26"/>
      <c r="EXL233" s="23"/>
      <c r="EXQ233" s="26"/>
      <c r="EXU233" s="23"/>
      <c r="EXZ233" s="26"/>
      <c r="EYD233" s="23"/>
      <c r="EYI233" s="26"/>
      <c r="EYM233" s="23"/>
      <c r="EYR233" s="26"/>
      <c r="EYV233" s="23"/>
      <c r="EZA233" s="26"/>
      <c r="EZE233" s="23"/>
      <c r="EZJ233" s="26"/>
      <c r="EZN233" s="23"/>
      <c r="EZS233" s="26"/>
      <c r="EZW233" s="23"/>
      <c r="FAB233" s="26"/>
      <c r="FAF233" s="23"/>
      <c r="FAK233" s="26"/>
      <c r="FAO233" s="23"/>
      <c r="FAT233" s="26"/>
      <c r="FAX233" s="23"/>
      <c r="FBC233" s="26"/>
      <c r="FBG233" s="23"/>
      <c r="FBL233" s="26"/>
      <c r="FBP233" s="23"/>
      <c r="FBU233" s="26"/>
      <c r="FBY233" s="23"/>
      <c r="FCD233" s="26"/>
      <c r="FCH233" s="23"/>
      <c r="FCM233" s="26"/>
      <c r="FCQ233" s="23"/>
      <c r="FCV233" s="26"/>
      <c r="FCZ233" s="23"/>
      <c r="FDE233" s="26"/>
      <c r="FDI233" s="23"/>
      <c r="FDN233" s="26"/>
      <c r="FDR233" s="23"/>
      <c r="FDW233" s="26"/>
      <c r="FEA233" s="23"/>
      <c r="FEF233" s="26"/>
      <c r="FEJ233" s="23"/>
      <c r="FEO233" s="26"/>
      <c r="FES233" s="23"/>
      <c r="FEX233" s="26"/>
      <c r="FFB233" s="23"/>
      <c r="FFG233" s="26"/>
      <c r="FFK233" s="23"/>
      <c r="FFP233" s="26"/>
      <c r="FFT233" s="23"/>
      <c r="FFY233" s="26"/>
      <c r="FGC233" s="23"/>
      <c r="FGH233" s="26"/>
      <c r="FGL233" s="23"/>
      <c r="FGQ233" s="26"/>
      <c r="FGU233" s="23"/>
      <c r="FGZ233" s="26"/>
      <c r="FHD233" s="23"/>
      <c r="FHI233" s="26"/>
      <c r="FHM233" s="23"/>
      <c r="FHR233" s="26"/>
      <c r="FHV233" s="23"/>
      <c r="FIA233" s="26"/>
      <c r="FIE233" s="23"/>
      <c r="FIJ233" s="26"/>
      <c r="FIN233" s="23"/>
      <c r="FIS233" s="26"/>
      <c r="FIW233" s="23"/>
      <c r="FJB233" s="26"/>
      <c r="FJF233" s="23"/>
      <c r="FJK233" s="26"/>
      <c r="FJO233" s="23"/>
      <c r="FJT233" s="26"/>
      <c r="FJX233" s="23"/>
      <c r="FKC233" s="26"/>
      <c r="FKG233" s="23"/>
      <c r="FKL233" s="26"/>
      <c r="FKP233" s="23"/>
      <c r="FKU233" s="26"/>
      <c r="FKY233" s="23"/>
      <c r="FLD233" s="26"/>
      <c r="FLH233" s="23"/>
      <c r="FLM233" s="26"/>
      <c r="FLQ233" s="23"/>
      <c r="FLV233" s="26"/>
      <c r="FLZ233" s="23"/>
      <c r="FME233" s="26"/>
      <c r="FMI233" s="23"/>
      <c r="FMN233" s="26"/>
      <c r="FMR233" s="23"/>
      <c r="FMW233" s="26"/>
      <c r="FNA233" s="23"/>
      <c r="FNF233" s="26"/>
      <c r="FNJ233" s="23"/>
      <c r="FNO233" s="26"/>
      <c r="FNS233" s="23"/>
      <c r="FNX233" s="26"/>
      <c r="FOB233" s="23"/>
      <c r="FOG233" s="26"/>
      <c r="FOK233" s="23"/>
      <c r="FOP233" s="26"/>
      <c r="FOT233" s="23"/>
      <c r="FOY233" s="26"/>
      <c r="FPC233" s="23"/>
      <c r="FPH233" s="26"/>
      <c r="FPL233" s="23"/>
      <c r="FPQ233" s="26"/>
      <c r="FPU233" s="23"/>
      <c r="FPZ233" s="26"/>
      <c r="FQD233" s="23"/>
      <c r="FQI233" s="26"/>
      <c r="FQM233" s="23"/>
      <c r="FQR233" s="26"/>
      <c r="FQV233" s="23"/>
      <c r="FRA233" s="26"/>
      <c r="FRE233" s="23"/>
      <c r="FRJ233" s="26"/>
      <c r="FRN233" s="23"/>
      <c r="FRS233" s="26"/>
      <c r="FRW233" s="23"/>
      <c r="FSB233" s="26"/>
      <c r="FSF233" s="23"/>
      <c r="FSK233" s="26"/>
      <c r="FSO233" s="23"/>
      <c r="FST233" s="26"/>
      <c r="FSX233" s="23"/>
      <c r="FTC233" s="26"/>
      <c r="FTG233" s="23"/>
      <c r="FTL233" s="26"/>
      <c r="FTP233" s="23"/>
      <c r="FTU233" s="26"/>
      <c r="FTY233" s="23"/>
      <c r="FUD233" s="26"/>
      <c r="FUH233" s="23"/>
      <c r="FUM233" s="26"/>
      <c r="FUQ233" s="23"/>
      <c r="FUV233" s="26"/>
      <c r="FUZ233" s="23"/>
      <c r="FVE233" s="26"/>
      <c r="FVI233" s="23"/>
      <c r="FVN233" s="26"/>
      <c r="FVR233" s="23"/>
      <c r="FVW233" s="26"/>
      <c r="FWA233" s="23"/>
      <c r="FWF233" s="26"/>
      <c r="FWJ233" s="23"/>
      <c r="FWO233" s="26"/>
      <c r="FWS233" s="23"/>
      <c r="FWX233" s="26"/>
      <c r="FXB233" s="23"/>
      <c r="FXG233" s="26"/>
      <c r="FXK233" s="23"/>
      <c r="FXP233" s="26"/>
      <c r="FXT233" s="23"/>
      <c r="FXY233" s="26"/>
      <c r="FYC233" s="23"/>
      <c r="FYH233" s="26"/>
      <c r="FYL233" s="23"/>
      <c r="FYQ233" s="26"/>
      <c r="FYU233" s="23"/>
      <c r="FYZ233" s="26"/>
      <c r="FZD233" s="23"/>
      <c r="FZI233" s="26"/>
      <c r="FZM233" s="23"/>
      <c r="FZR233" s="26"/>
      <c r="FZV233" s="23"/>
      <c r="GAA233" s="26"/>
      <c r="GAE233" s="23"/>
      <c r="GAJ233" s="26"/>
      <c r="GAN233" s="23"/>
      <c r="GAS233" s="26"/>
      <c r="GAW233" s="23"/>
      <c r="GBB233" s="26"/>
      <c r="GBF233" s="23"/>
      <c r="GBK233" s="26"/>
      <c r="GBO233" s="23"/>
      <c r="GBT233" s="26"/>
      <c r="GBX233" s="23"/>
      <c r="GCC233" s="26"/>
      <c r="GCG233" s="23"/>
      <c r="GCL233" s="26"/>
      <c r="GCP233" s="23"/>
      <c r="GCU233" s="26"/>
      <c r="GCY233" s="23"/>
      <c r="GDD233" s="26"/>
      <c r="GDH233" s="23"/>
      <c r="GDM233" s="26"/>
      <c r="GDQ233" s="23"/>
      <c r="GDV233" s="26"/>
      <c r="GDZ233" s="23"/>
      <c r="GEE233" s="26"/>
      <c r="GEI233" s="23"/>
      <c r="GEN233" s="26"/>
      <c r="GER233" s="23"/>
      <c r="GEW233" s="26"/>
      <c r="GFA233" s="23"/>
      <c r="GFF233" s="26"/>
      <c r="GFJ233" s="23"/>
      <c r="GFO233" s="26"/>
      <c r="GFS233" s="23"/>
      <c r="GFX233" s="26"/>
      <c r="GGB233" s="23"/>
      <c r="GGG233" s="26"/>
      <c r="GGK233" s="23"/>
      <c r="GGP233" s="26"/>
      <c r="GGT233" s="23"/>
      <c r="GGY233" s="26"/>
      <c r="GHC233" s="23"/>
      <c r="GHH233" s="26"/>
      <c r="GHL233" s="23"/>
      <c r="GHQ233" s="26"/>
      <c r="GHU233" s="23"/>
      <c r="GHZ233" s="26"/>
      <c r="GID233" s="23"/>
      <c r="GII233" s="26"/>
      <c r="GIM233" s="23"/>
      <c r="GIR233" s="26"/>
      <c r="GIV233" s="23"/>
      <c r="GJA233" s="26"/>
      <c r="GJE233" s="23"/>
      <c r="GJJ233" s="26"/>
      <c r="GJN233" s="23"/>
      <c r="GJS233" s="26"/>
      <c r="GJW233" s="23"/>
      <c r="GKB233" s="26"/>
      <c r="GKF233" s="23"/>
      <c r="GKK233" s="26"/>
      <c r="GKO233" s="23"/>
      <c r="GKT233" s="26"/>
      <c r="GKX233" s="23"/>
      <c r="GLC233" s="26"/>
      <c r="GLG233" s="23"/>
      <c r="GLL233" s="26"/>
      <c r="GLP233" s="23"/>
      <c r="GLU233" s="26"/>
      <c r="GLY233" s="23"/>
      <c r="GMD233" s="26"/>
      <c r="GMH233" s="23"/>
      <c r="GMM233" s="26"/>
      <c r="GMQ233" s="23"/>
      <c r="GMV233" s="26"/>
      <c r="GMZ233" s="23"/>
      <c r="GNE233" s="26"/>
      <c r="GNI233" s="23"/>
      <c r="GNN233" s="26"/>
      <c r="GNR233" s="23"/>
      <c r="GNW233" s="26"/>
      <c r="GOA233" s="23"/>
      <c r="GOF233" s="26"/>
      <c r="GOJ233" s="23"/>
      <c r="GOO233" s="26"/>
      <c r="GOS233" s="23"/>
      <c r="GOX233" s="26"/>
      <c r="GPB233" s="23"/>
      <c r="GPG233" s="26"/>
      <c r="GPK233" s="23"/>
      <c r="GPP233" s="26"/>
      <c r="GPT233" s="23"/>
      <c r="GPY233" s="26"/>
      <c r="GQC233" s="23"/>
      <c r="GQH233" s="26"/>
      <c r="GQL233" s="23"/>
      <c r="GQQ233" s="26"/>
      <c r="GQU233" s="23"/>
      <c r="GQZ233" s="26"/>
      <c r="GRD233" s="23"/>
      <c r="GRI233" s="26"/>
      <c r="GRM233" s="23"/>
      <c r="GRR233" s="26"/>
      <c r="GRV233" s="23"/>
      <c r="GSA233" s="26"/>
      <c r="GSE233" s="23"/>
      <c r="GSJ233" s="26"/>
      <c r="GSN233" s="23"/>
      <c r="GSS233" s="26"/>
      <c r="GSW233" s="23"/>
      <c r="GTB233" s="26"/>
      <c r="GTF233" s="23"/>
      <c r="GTK233" s="26"/>
      <c r="GTO233" s="23"/>
      <c r="GTT233" s="26"/>
      <c r="GTX233" s="23"/>
      <c r="GUC233" s="26"/>
      <c r="GUG233" s="23"/>
      <c r="GUL233" s="26"/>
      <c r="GUP233" s="23"/>
      <c r="GUU233" s="26"/>
      <c r="GUY233" s="23"/>
      <c r="GVD233" s="26"/>
      <c r="GVH233" s="23"/>
      <c r="GVM233" s="26"/>
      <c r="GVQ233" s="23"/>
      <c r="GVV233" s="26"/>
      <c r="GVZ233" s="23"/>
      <c r="GWE233" s="26"/>
      <c r="GWI233" s="23"/>
      <c r="GWN233" s="26"/>
      <c r="GWR233" s="23"/>
      <c r="GWW233" s="26"/>
      <c r="GXA233" s="23"/>
      <c r="GXF233" s="26"/>
      <c r="GXJ233" s="23"/>
      <c r="GXO233" s="26"/>
      <c r="GXS233" s="23"/>
      <c r="GXX233" s="26"/>
      <c r="GYB233" s="23"/>
      <c r="GYG233" s="26"/>
      <c r="GYK233" s="23"/>
      <c r="GYP233" s="26"/>
      <c r="GYT233" s="23"/>
      <c r="GYY233" s="26"/>
      <c r="GZC233" s="23"/>
      <c r="GZH233" s="26"/>
      <c r="GZL233" s="23"/>
      <c r="GZQ233" s="26"/>
      <c r="GZU233" s="23"/>
      <c r="GZZ233" s="26"/>
      <c r="HAD233" s="23"/>
      <c r="HAI233" s="26"/>
      <c r="HAM233" s="23"/>
      <c r="HAR233" s="26"/>
      <c r="HAV233" s="23"/>
      <c r="HBA233" s="26"/>
      <c r="HBE233" s="23"/>
      <c r="HBJ233" s="26"/>
      <c r="HBN233" s="23"/>
      <c r="HBS233" s="26"/>
      <c r="HBW233" s="23"/>
      <c r="HCB233" s="26"/>
      <c r="HCF233" s="23"/>
      <c r="HCK233" s="26"/>
      <c r="HCO233" s="23"/>
      <c r="HCT233" s="26"/>
      <c r="HCX233" s="23"/>
      <c r="HDC233" s="26"/>
      <c r="HDG233" s="23"/>
      <c r="HDL233" s="26"/>
      <c r="HDP233" s="23"/>
      <c r="HDU233" s="26"/>
      <c r="HDY233" s="23"/>
      <c r="HED233" s="26"/>
      <c r="HEH233" s="23"/>
      <c r="HEM233" s="26"/>
      <c r="HEQ233" s="23"/>
      <c r="HEV233" s="26"/>
      <c r="HEZ233" s="23"/>
      <c r="HFE233" s="26"/>
      <c r="HFI233" s="23"/>
      <c r="HFN233" s="26"/>
      <c r="HFR233" s="23"/>
      <c r="HFW233" s="26"/>
      <c r="HGA233" s="23"/>
      <c r="HGF233" s="26"/>
      <c r="HGJ233" s="23"/>
      <c r="HGO233" s="26"/>
      <c r="HGS233" s="23"/>
      <c r="HGX233" s="26"/>
      <c r="HHB233" s="23"/>
      <c r="HHG233" s="26"/>
      <c r="HHK233" s="23"/>
      <c r="HHP233" s="26"/>
      <c r="HHT233" s="23"/>
      <c r="HHY233" s="26"/>
      <c r="HIC233" s="23"/>
      <c r="HIH233" s="26"/>
      <c r="HIL233" s="23"/>
      <c r="HIQ233" s="26"/>
      <c r="HIU233" s="23"/>
      <c r="HIZ233" s="26"/>
      <c r="HJD233" s="23"/>
      <c r="HJI233" s="26"/>
      <c r="HJM233" s="23"/>
      <c r="HJR233" s="26"/>
      <c r="HJV233" s="23"/>
      <c r="HKA233" s="26"/>
      <c r="HKE233" s="23"/>
      <c r="HKJ233" s="26"/>
      <c r="HKN233" s="23"/>
      <c r="HKS233" s="26"/>
      <c r="HKW233" s="23"/>
      <c r="HLB233" s="26"/>
      <c r="HLF233" s="23"/>
      <c r="HLK233" s="26"/>
      <c r="HLO233" s="23"/>
      <c r="HLT233" s="26"/>
      <c r="HLX233" s="23"/>
      <c r="HMC233" s="26"/>
      <c r="HMG233" s="23"/>
      <c r="HML233" s="26"/>
      <c r="HMP233" s="23"/>
      <c r="HMU233" s="26"/>
      <c r="HMY233" s="23"/>
      <c r="HND233" s="26"/>
      <c r="HNH233" s="23"/>
      <c r="HNM233" s="26"/>
      <c r="HNQ233" s="23"/>
      <c r="HNV233" s="26"/>
      <c r="HNZ233" s="23"/>
      <c r="HOE233" s="26"/>
      <c r="HOI233" s="23"/>
      <c r="HON233" s="26"/>
      <c r="HOR233" s="23"/>
      <c r="HOW233" s="26"/>
      <c r="HPA233" s="23"/>
      <c r="HPF233" s="26"/>
      <c r="HPJ233" s="23"/>
      <c r="HPO233" s="26"/>
      <c r="HPS233" s="23"/>
      <c r="HPX233" s="26"/>
      <c r="HQB233" s="23"/>
      <c r="HQG233" s="26"/>
      <c r="HQK233" s="23"/>
      <c r="HQP233" s="26"/>
      <c r="HQT233" s="23"/>
      <c r="HQY233" s="26"/>
      <c r="HRC233" s="23"/>
      <c r="HRH233" s="26"/>
      <c r="HRL233" s="23"/>
      <c r="HRQ233" s="26"/>
      <c r="HRU233" s="23"/>
      <c r="HRZ233" s="26"/>
      <c r="HSD233" s="23"/>
      <c r="HSI233" s="26"/>
      <c r="HSM233" s="23"/>
      <c r="HSR233" s="26"/>
      <c r="HSV233" s="23"/>
      <c r="HTA233" s="26"/>
      <c r="HTE233" s="23"/>
      <c r="HTJ233" s="26"/>
      <c r="HTN233" s="23"/>
      <c r="HTS233" s="26"/>
      <c r="HTW233" s="23"/>
      <c r="HUB233" s="26"/>
      <c r="HUF233" s="23"/>
      <c r="HUK233" s="26"/>
      <c r="HUO233" s="23"/>
      <c r="HUT233" s="26"/>
      <c r="HUX233" s="23"/>
      <c r="HVC233" s="26"/>
      <c r="HVG233" s="23"/>
      <c r="HVL233" s="26"/>
      <c r="HVP233" s="23"/>
      <c r="HVU233" s="26"/>
      <c r="HVY233" s="23"/>
      <c r="HWD233" s="26"/>
      <c r="HWH233" s="23"/>
      <c r="HWM233" s="26"/>
      <c r="HWQ233" s="23"/>
      <c r="HWV233" s="26"/>
      <c r="HWZ233" s="23"/>
      <c r="HXE233" s="26"/>
      <c r="HXI233" s="23"/>
      <c r="HXN233" s="26"/>
      <c r="HXR233" s="23"/>
      <c r="HXW233" s="26"/>
      <c r="HYA233" s="23"/>
      <c r="HYF233" s="26"/>
      <c r="HYJ233" s="23"/>
      <c r="HYO233" s="26"/>
      <c r="HYS233" s="23"/>
      <c r="HYX233" s="26"/>
      <c r="HZB233" s="23"/>
      <c r="HZG233" s="26"/>
      <c r="HZK233" s="23"/>
      <c r="HZP233" s="26"/>
      <c r="HZT233" s="23"/>
      <c r="HZY233" s="26"/>
      <c r="IAC233" s="23"/>
      <c r="IAH233" s="26"/>
      <c r="IAL233" s="23"/>
      <c r="IAQ233" s="26"/>
      <c r="IAU233" s="23"/>
      <c r="IAZ233" s="26"/>
      <c r="IBD233" s="23"/>
      <c r="IBI233" s="26"/>
      <c r="IBM233" s="23"/>
      <c r="IBR233" s="26"/>
      <c r="IBV233" s="23"/>
      <c r="ICA233" s="26"/>
      <c r="ICE233" s="23"/>
      <c r="ICJ233" s="26"/>
      <c r="ICN233" s="23"/>
      <c r="ICS233" s="26"/>
      <c r="ICW233" s="23"/>
      <c r="IDB233" s="26"/>
      <c r="IDF233" s="23"/>
      <c r="IDK233" s="26"/>
      <c r="IDO233" s="23"/>
      <c r="IDT233" s="26"/>
      <c r="IDX233" s="23"/>
      <c r="IEC233" s="26"/>
      <c r="IEG233" s="23"/>
      <c r="IEL233" s="26"/>
      <c r="IEP233" s="23"/>
      <c r="IEU233" s="26"/>
      <c r="IEY233" s="23"/>
      <c r="IFD233" s="26"/>
      <c r="IFH233" s="23"/>
      <c r="IFM233" s="26"/>
      <c r="IFQ233" s="23"/>
      <c r="IFV233" s="26"/>
      <c r="IFZ233" s="23"/>
      <c r="IGE233" s="26"/>
      <c r="IGI233" s="23"/>
      <c r="IGN233" s="26"/>
      <c r="IGR233" s="23"/>
      <c r="IGW233" s="26"/>
      <c r="IHA233" s="23"/>
      <c r="IHF233" s="26"/>
      <c r="IHJ233" s="23"/>
      <c r="IHO233" s="26"/>
      <c r="IHS233" s="23"/>
      <c r="IHX233" s="26"/>
      <c r="IIB233" s="23"/>
      <c r="IIG233" s="26"/>
      <c r="IIK233" s="23"/>
      <c r="IIP233" s="26"/>
      <c r="IIT233" s="23"/>
      <c r="IIY233" s="26"/>
      <c r="IJC233" s="23"/>
      <c r="IJH233" s="26"/>
      <c r="IJL233" s="23"/>
      <c r="IJQ233" s="26"/>
      <c r="IJU233" s="23"/>
      <c r="IJZ233" s="26"/>
      <c r="IKD233" s="23"/>
      <c r="IKI233" s="26"/>
      <c r="IKM233" s="23"/>
      <c r="IKR233" s="26"/>
      <c r="IKV233" s="23"/>
      <c r="ILA233" s="26"/>
      <c r="ILE233" s="23"/>
      <c r="ILJ233" s="26"/>
      <c r="ILN233" s="23"/>
      <c r="ILS233" s="26"/>
      <c r="ILW233" s="23"/>
      <c r="IMB233" s="26"/>
      <c r="IMF233" s="23"/>
      <c r="IMK233" s="26"/>
      <c r="IMO233" s="23"/>
      <c r="IMT233" s="26"/>
      <c r="IMX233" s="23"/>
      <c r="INC233" s="26"/>
      <c r="ING233" s="23"/>
      <c r="INL233" s="26"/>
      <c r="INP233" s="23"/>
      <c r="INU233" s="26"/>
      <c r="INY233" s="23"/>
      <c r="IOD233" s="26"/>
      <c r="IOH233" s="23"/>
      <c r="IOM233" s="26"/>
      <c r="IOQ233" s="23"/>
      <c r="IOV233" s="26"/>
      <c r="IOZ233" s="23"/>
      <c r="IPE233" s="26"/>
      <c r="IPI233" s="23"/>
      <c r="IPN233" s="26"/>
      <c r="IPR233" s="23"/>
      <c r="IPW233" s="26"/>
      <c r="IQA233" s="23"/>
      <c r="IQF233" s="26"/>
      <c r="IQJ233" s="23"/>
      <c r="IQO233" s="26"/>
      <c r="IQS233" s="23"/>
      <c r="IQX233" s="26"/>
      <c r="IRB233" s="23"/>
      <c r="IRG233" s="26"/>
      <c r="IRK233" s="23"/>
      <c r="IRP233" s="26"/>
      <c r="IRT233" s="23"/>
      <c r="IRY233" s="26"/>
      <c r="ISC233" s="23"/>
      <c r="ISH233" s="26"/>
      <c r="ISL233" s="23"/>
      <c r="ISQ233" s="26"/>
      <c r="ISU233" s="23"/>
      <c r="ISZ233" s="26"/>
      <c r="ITD233" s="23"/>
      <c r="ITI233" s="26"/>
      <c r="ITM233" s="23"/>
      <c r="ITR233" s="26"/>
      <c r="ITV233" s="23"/>
      <c r="IUA233" s="26"/>
      <c r="IUE233" s="23"/>
      <c r="IUJ233" s="26"/>
      <c r="IUN233" s="23"/>
      <c r="IUS233" s="26"/>
      <c r="IUW233" s="23"/>
      <c r="IVB233" s="26"/>
      <c r="IVF233" s="23"/>
      <c r="IVK233" s="26"/>
      <c r="IVO233" s="23"/>
      <c r="IVT233" s="26"/>
      <c r="IVX233" s="23"/>
      <c r="IWC233" s="26"/>
      <c r="IWG233" s="23"/>
      <c r="IWL233" s="26"/>
      <c r="IWP233" s="23"/>
      <c r="IWU233" s="26"/>
      <c r="IWY233" s="23"/>
      <c r="IXD233" s="26"/>
      <c r="IXH233" s="23"/>
      <c r="IXM233" s="26"/>
      <c r="IXQ233" s="23"/>
      <c r="IXV233" s="26"/>
      <c r="IXZ233" s="23"/>
      <c r="IYE233" s="26"/>
      <c r="IYI233" s="23"/>
      <c r="IYN233" s="26"/>
      <c r="IYR233" s="23"/>
      <c r="IYW233" s="26"/>
      <c r="IZA233" s="23"/>
      <c r="IZF233" s="26"/>
      <c r="IZJ233" s="23"/>
      <c r="IZO233" s="26"/>
      <c r="IZS233" s="23"/>
      <c r="IZX233" s="26"/>
      <c r="JAB233" s="23"/>
      <c r="JAG233" s="26"/>
      <c r="JAK233" s="23"/>
      <c r="JAP233" s="26"/>
      <c r="JAT233" s="23"/>
      <c r="JAY233" s="26"/>
      <c r="JBC233" s="23"/>
      <c r="JBH233" s="26"/>
      <c r="JBL233" s="23"/>
      <c r="JBQ233" s="26"/>
      <c r="JBU233" s="23"/>
      <c r="JBZ233" s="26"/>
      <c r="JCD233" s="23"/>
      <c r="JCI233" s="26"/>
      <c r="JCM233" s="23"/>
      <c r="JCR233" s="26"/>
      <c r="JCV233" s="23"/>
      <c r="JDA233" s="26"/>
      <c r="JDE233" s="23"/>
      <c r="JDJ233" s="26"/>
      <c r="JDN233" s="23"/>
      <c r="JDS233" s="26"/>
      <c r="JDW233" s="23"/>
      <c r="JEB233" s="26"/>
      <c r="JEF233" s="23"/>
      <c r="JEK233" s="26"/>
      <c r="JEO233" s="23"/>
      <c r="JET233" s="26"/>
      <c r="JEX233" s="23"/>
      <c r="JFC233" s="26"/>
      <c r="JFG233" s="23"/>
      <c r="JFL233" s="26"/>
      <c r="JFP233" s="23"/>
      <c r="JFU233" s="26"/>
      <c r="JFY233" s="23"/>
      <c r="JGD233" s="26"/>
      <c r="JGH233" s="23"/>
      <c r="JGM233" s="26"/>
      <c r="JGQ233" s="23"/>
      <c r="JGV233" s="26"/>
      <c r="JGZ233" s="23"/>
      <c r="JHE233" s="26"/>
      <c r="JHI233" s="23"/>
      <c r="JHN233" s="26"/>
      <c r="JHR233" s="23"/>
      <c r="JHW233" s="26"/>
      <c r="JIA233" s="23"/>
      <c r="JIF233" s="26"/>
      <c r="JIJ233" s="23"/>
      <c r="JIO233" s="26"/>
      <c r="JIS233" s="23"/>
      <c r="JIX233" s="26"/>
      <c r="JJB233" s="23"/>
      <c r="JJG233" s="26"/>
      <c r="JJK233" s="23"/>
      <c r="JJP233" s="26"/>
      <c r="JJT233" s="23"/>
      <c r="JJY233" s="26"/>
      <c r="JKC233" s="23"/>
      <c r="JKH233" s="26"/>
      <c r="JKL233" s="23"/>
      <c r="JKQ233" s="26"/>
      <c r="JKU233" s="23"/>
      <c r="JKZ233" s="26"/>
      <c r="JLD233" s="23"/>
      <c r="JLI233" s="26"/>
      <c r="JLM233" s="23"/>
      <c r="JLR233" s="26"/>
      <c r="JLV233" s="23"/>
      <c r="JMA233" s="26"/>
      <c r="JME233" s="23"/>
      <c r="JMJ233" s="26"/>
      <c r="JMN233" s="23"/>
      <c r="JMS233" s="26"/>
      <c r="JMW233" s="23"/>
      <c r="JNB233" s="26"/>
      <c r="JNF233" s="23"/>
      <c r="JNK233" s="26"/>
      <c r="JNO233" s="23"/>
      <c r="JNT233" s="26"/>
      <c r="JNX233" s="23"/>
      <c r="JOC233" s="26"/>
      <c r="JOG233" s="23"/>
      <c r="JOL233" s="26"/>
      <c r="JOP233" s="23"/>
      <c r="JOU233" s="26"/>
      <c r="JOY233" s="23"/>
      <c r="JPD233" s="26"/>
      <c r="JPH233" s="23"/>
      <c r="JPM233" s="26"/>
      <c r="JPQ233" s="23"/>
      <c r="JPV233" s="26"/>
      <c r="JPZ233" s="23"/>
      <c r="JQE233" s="26"/>
      <c r="JQI233" s="23"/>
      <c r="JQN233" s="26"/>
      <c r="JQR233" s="23"/>
      <c r="JQW233" s="26"/>
      <c r="JRA233" s="23"/>
      <c r="JRF233" s="26"/>
      <c r="JRJ233" s="23"/>
      <c r="JRO233" s="26"/>
      <c r="JRS233" s="23"/>
      <c r="JRX233" s="26"/>
      <c r="JSB233" s="23"/>
      <c r="JSG233" s="26"/>
      <c r="JSK233" s="23"/>
      <c r="JSP233" s="26"/>
      <c r="JST233" s="23"/>
      <c r="JSY233" s="26"/>
      <c r="JTC233" s="23"/>
      <c r="JTH233" s="26"/>
      <c r="JTL233" s="23"/>
      <c r="JTQ233" s="26"/>
      <c r="JTU233" s="23"/>
      <c r="JTZ233" s="26"/>
      <c r="JUD233" s="23"/>
      <c r="JUI233" s="26"/>
      <c r="JUM233" s="23"/>
      <c r="JUR233" s="26"/>
      <c r="JUV233" s="23"/>
      <c r="JVA233" s="26"/>
      <c r="JVE233" s="23"/>
      <c r="JVJ233" s="26"/>
      <c r="JVN233" s="23"/>
      <c r="JVS233" s="26"/>
      <c r="JVW233" s="23"/>
      <c r="JWB233" s="26"/>
      <c r="JWF233" s="23"/>
      <c r="JWK233" s="26"/>
      <c r="JWO233" s="23"/>
      <c r="JWT233" s="26"/>
      <c r="JWX233" s="23"/>
      <c r="JXC233" s="26"/>
      <c r="JXG233" s="23"/>
      <c r="JXL233" s="26"/>
      <c r="JXP233" s="23"/>
      <c r="JXU233" s="26"/>
      <c r="JXY233" s="23"/>
      <c r="JYD233" s="26"/>
      <c r="JYH233" s="23"/>
      <c r="JYM233" s="26"/>
      <c r="JYQ233" s="23"/>
      <c r="JYV233" s="26"/>
      <c r="JYZ233" s="23"/>
      <c r="JZE233" s="26"/>
      <c r="JZI233" s="23"/>
      <c r="JZN233" s="26"/>
      <c r="JZR233" s="23"/>
      <c r="JZW233" s="26"/>
      <c r="KAA233" s="23"/>
      <c r="KAF233" s="26"/>
      <c r="KAJ233" s="23"/>
      <c r="KAO233" s="26"/>
      <c r="KAS233" s="23"/>
      <c r="KAX233" s="26"/>
      <c r="KBB233" s="23"/>
      <c r="KBG233" s="26"/>
      <c r="KBK233" s="23"/>
      <c r="KBP233" s="26"/>
      <c r="KBT233" s="23"/>
      <c r="KBY233" s="26"/>
      <c r="KCC233" s="23"/>
      <c r="KCH233" s="26"/>
      <c r="KCL233" s="23"/>
      <c r="KCQ233" s="26"/>
      <c r="KCU233" s="23"/>
      <c r="KCZ233" s="26"/>
      <c r="KDD233" s="23"/>
      <c r="KDI233" s="26"/>
      <c r="KDM233" s="23"/>
      <c r="KDR233" s="26"/>
      <c r="KDV233" s="23"/>
      <c r="KEA233" s="26"/>
      <c r="KEE233" s="23"/>
      <c r="KEJ233" s="26"/>
      <c r="KEN233" s="23"/>
      <c r="KES233" s="26"/>
      <c r="KEW233" s="23"/>
      <c r="KFB233" s="26"/>
      <c r="KFF233" s="23"/>
      <c r="KFK233" s="26"/>
      <c r="KFO233" s="23"/>
      <c r="KFT233" s="26"/>
      <c r="KFX233" s="23"/>
      <c r="KGC233" s="26"/>
      <c r="KGG233" s="23"/>
      <c r="KGL233" s="26"/>
      <c r="KGP233" s="23"/>
      <c r="KGU233" s="26"/>
      <c r="KGY233" s="23"/>
      <c r="KHD233" s="26"/>
      <c r="KHH233" s="23"/>
      <c r="KHM233" s="26"/>
      <c r="KHQ233" s="23"/>
      <c r="KHV233" s="26"/>
      <c r="KHZ233" s="23"/>
      <c r="KIE233" s="26"/>
      <c r="KII233" s="23"/>
      <c r="KIN233" s="26"/>
      <c r="KIR233" s="23"/>
      <c r="KIW233" s="26"/>
      <c r="KJA233" s="23"/>
      <c r="KJF233" s="26"/>
      <c r="KJJ233" s="23"/>
      <c r="KJO233" s="26"/>
      <c r="KJS233" s="23"/>
      <c r="KJX233" s="26"/>
      <c r="KKB233" s="23"/>
      <c r="KKG233" s="26"/>
      <c r="KKK233" s="23"/>
      <c r="KKP233" s="26"/>
      <c r="KKT233" s="23"/>
      <c r="KKY233" s="26"/>
      <c r="KLC233" s="23"/>
      <c r="KLH233" s="26"/>
      <c r="KLL233" s="23"/>
      <c r="KLQ233" s="26"/>
      <c r="KLU233" s="23"/>
      <c r="KLZ233" s="26"/>
      <c r="KMD233" s="23"/>
      <c r="KMI233" s="26"/>
      <c r="KMM233" s="23"/>
      <c r="KMR233" s="26"/>
      <c r="KMV233" s="23"/>
      <c r="KNA233" s="26"/>
      <c r="KNE233" s="23"/>
      <c r="KNJ233" s="26"/>
      <c r="KNN233" s="23"/>
      <c r="KNS233" s="26"/>
      <c r="KNW233" s="23"/>
      <c r="KOB233" s="26"/>
      <c r="KOF233" s="23"/>
      <c r="KOK233" s="26"/>
      <c r="KOO233" s="23"/>
      <c r="KOT233" s="26"/>
      <c r="KOX233" s="23"/>
      <c r="KPC233" s="26"/>
      <c r="KPG233" s="23"/>
      <c r="KPL233" s="26"/>
      <c r="KPP233" s="23"/>
      <c r="KPU233" s="26"/>
      <c r="KPY233" s="23"/>
      <c r="KQD233" s="26"/>
      <c r="KQH233" s="23"/>
      <c r="KQM233" s="26"/>
      <c r="KQQ233" s="23"/>
      <c r="KQV233" s="26"/>
      <c r="KQZ233" s="23"/>
      <c r="KRE233" s="26"/>
      <c r="KRI233" s="23"/>
      <c r="KRN233" s="26"/>
      <c r="KRR233" s="23"/>
      <c r="KRW233" s="26"/>
      <c r="KSA233" s="23"/>
      <c r="KSF233" s="26"/>
      <c r="KSJ233" s="23"/>
      <c r="KSO233" s="26"/>
      <c r="KSS233" s="23"/>
      <c r="KSX233" s="26"/>
      <c r="KTB233" s="23"/>
      <c r="KTG233" s="26"/>
      <c r="KTK233" s="23"/>
      <c r="KTP233" s="26"/>
      <c r="KTT233" s="23"/>
      <c r="KTY233" s="26"/>
      <c r="KUC233" s="23"/>
      <c r="KUH233" s="26"/>
      <c r="KUL233" s="23"/>
      <c r="KUQ233" s="26"/>
      <c r="KUU233" s="23"/>
      <c r="KUZ233" s="26"/>
      <c r="KVD233" s="23"/>
      <c r="KVI233" s="26"/>
      <c r="KVM233" s="23"/>
      <c r="KVR233" s="26"/>
      <c r="KVV233" s="23"/>
      <c r="KWA233" s="26"/>
      <c r="KWE233" s="23"/>
      <c r="KWJ233" s="26"/>
      <c r="KWN233" s="23"/>
      <c r="KWS233" s="26"/>
      <c r="KWW233" s="23"/>
      <c r="KXB233" s="26"/>
      <c r="KXF233" s="23"/>
      <c r="KXK233" s="26"/>
      <c r="KXO233" s="23"/>
      <c r="KXT233" s="26"/>
      <c r="KXX233" s="23"/>
      <c r="KYC233" s="26"/>
      <c r="KYG233" s="23"/>
      <c r="KYL233" s="26"/>
      <c r="KYP233" s="23"/>
      <c r="KYU233" s="26"/>
      <c r="KYY233" s="23"/>
      <c r="KZD233" s="26"/>
      <c r="KZH233" s="23"/>
      <c r="KZM233" s="26"/>
      <c r="KZQ233" s="23"/>
      <c r="KZV233" s="26"/>
      <c r="KZZ233" s="23"/>
      <c r="LAE233" s="26"/>
      <c r="LAI233" s="23"/>
      <c r="LAN233" s="26"/>
      <c r="LAR233" s="23"/>
      <c r="LAW233" s="26"/>
      <c r="LBA233" s="23"/>
      <c r="LBF233" s="26"/>
      <c r="LBJ233" s="23"/>
      <c r="LBO233" s="26"/>
      <c r="LBS233" s="23"/>
      <c r="LBX233" s="26"/>
      <c r="LCB233" s="23"/>
      <c r="LCG233" s="26"/>
      <c r="LCK233" s="23"/>
      <c r="LCP233" s="26"/>
      <c r="LCT233" s="23"/>
      <c r="LCY233" s="26"/>
      <c r="LDC233" s="23"/>
      <c r="LDH233" s="26"/>
      <c r="LDL233" s="23"/>
      <c r="LDQ233" s="26"/>
      <c r="LDU233" s="23"/>
      <c r="LDZ233" s="26"/>
      <c r="LED233" s="23"/>
      <c r="LEI233" s="26"/>
      <c r="LEM233" s="23"/>
      <c r="LER233" s="26"/>
      <c r="LEV233" s="23"/>
      <c r="LFA233" s="26"/>
      <c r="LFE233" s="23"/>
      <c r="LFJ233" s="26"/>
      <c r="LFN233" s="23"/>
      <c r="LFS233" s="26"/>
      <c r="LFW233" s="23"/>
      <c r="LGB233" s="26"/>
      <c r="LGF233" s="23"/>
      <c r="LGK233" s="26"/>
      <c r="LGO233" s="23"/>
      <c r="LGT233" s="26"/>
      <c r="LGX233" s="23"/>
      <c r="LHC233" s="26"/>
      <c r="LHG233" s="23"/>
      <c r="LHL233" s="26"/>
      <c r="LHP233" s="23"/>
      <c r="LHU233" s="26"/>
      <c r="LHY233" s="23"/>
      <c r="LID233" s="26"/>
      <c r="LIH233" s="23"/>
      <c r="LIM233" s="26"/>
      <c r="LIQ233" s="23"/>
      <c r="LIV233" s="26"/>
      <c r="LIZ233" s="23"/>
      <c r="LJE233" s="26"/>
      <c r="LJI233" s="23"/>
      <c r="LJN233" s="26"/>
      <c r="LJR233" s="23"/>
      <c r="LJW233" s="26"/>
      <c r="LKA233" s="23"/>
      <c r="LKF233" s="26"/>
      <c r="LKJ233" s="23"/>
      <c r="LKO233" s="26"/>
      <c r="LKS233" s="23"/>
      <c r="LKX233" s="26"/>
      <c r="LLB233" s="23"/>
      <c r="LLG233" s="26"/>
      <c r="LLK233" s="23"/>
      <c r="LLP233" s="26"/>
      <c r="LLT233" s="23"/>
      <c r="LLY233" s="26"/>
      <c r="LMC233" s="23"/>
      <c r="LMH233" s="26"/>
      <c r="LML233" s="23"/>
      <c r="LMQ233" s="26"/>
      <c r="LMU233" s="23"/>
      <c r="LMZ233" s="26"/>
      <c r="LND233" s="23"/>
      <c r="LNI233" s="26"/>
      <c r="LNM233" s="23"/>
      <c r="LNR233" s="26"/>
      <c r="LNV233" s="23"/>
      <c r="LOA233" s="26"/>
      <c r="LOE233" s="23"/>
      <c r="LOJ233" s="26"/>
      <c r="LON233" s="23"/>
      <c r="LOS233" s="26"/>
      <c r="LOW233" s="23"/>
      <c r="LPB233" s="26"/>
      <c r="LPF233" s="23"/>
      <c r="LPK233" s="26"/>
      <c r="LPO233" s="23"/>
      <c r="LPT233" s="26"/>
      <c r="LPX233" s="23"/>
      <c r="LQC233" s="26"/>
      <c r="LQG233" s="23"/>
      <c r="LQL233" s="26"/>
      <c r="LQP233" s="23"/>
      <c r="LQU233" s="26"/>
      <c r="LQY233" s="23"/>
      <c r="LRD233" s="26"/>
      <c r="LRH233" s="23"/>
      <c r="LRM233" s="26"/>
      <c r="LRQ233" s="23"/>
      <c r="LRV233" s="26"/>
      <c r="LRZ233" s="23"/>
      <c r="LSE233" s="26"/>
      <c r="LSI233" s="23"/>
      <c r="LSN233" s="26"/>
      <c r="LSR233" s="23"/>
      <c r="LSW233" s="26"/>
      <c r="LTA233" s="23"/>
      <c r="LTF233" s="26"/>
      <c r="LTJ233" s="23"/>
      <c r="LTO233" s="26"/>
      <c r="LTS233" s="23"/>
      <c r="LTX233" s="26"/>
      <c r="LUB233" s="23"/>
      <c r="LUG233" s="26"/>
      <c r="LUK233" s="23"/>
      <c r="LUP233" s="26"/>
      <c r="LUT233" s="23"/>
      <c r="LUY233" s="26"/>
      <c r="LVC233" s="23"/>
      <c r="LVH233" s="26"/>
      <c r="LVL233" s="23"/>
      <c r="LVQ233" s="26"/>
      <c r="LVU233" s="23"/>
      <c r="LVZ233" s="26"/>
      <c r="LWD233" s="23"/>
      <c r="LWI233" s="26"/>
      <c r="LWM233" s="23"/>
      <c r="LWR233" s="26"/>
      <c r="LWV233" s="23"/>
      <c r="LXA233" s="26"/>
      <c r="LXE233" s="23"/>
      <c r="LXJ233" s="26"/>
      <c r="LXN233" s="23"/>
      <c r="LXS233" s="26"/>
      <c r="LXW233" s="23"/>
      <c r="LYB233" s="26"/>
      <c r="LYF233" s="23"/>
      <c r="LYK233" s="26"/>
      <c r="LYO233" s="23"/>
      <c r="LYT233" s="26"/>
      <c r="LYX233" s="23"/>
      <c r="LZC233" s="26"/>
      <c r="LZG233" s="23"/>
      <c r="LZL233" s="26"/>
      <c r="LZP233" s="23"/>
      <c r="LZU233" s="26"/>
      <c r="LZY233" s="23"/>
      <c r="MAD233" s="26"/>
      <c r="MAH233" s="23"/>
      <c r="MAM233" s="26"/>
      <c r="MAQ233" s="23"/>
      <c r="MAV233" s="26"/>
      <c r="MAZ233" s="23"/>
      <c r="MBE233" s="26"/>
      <c r="MBI233" s="23"/>
      <c r="MBN233" s="26"/>
      <c r="MBR233" s="23"/>
      <c r="MBW233" s="26"/>
      <c r="MCA233" s="23"/>
      <c r="MCF233" s="26"/>
      <c r="MCJ233" s="23"/>
      <c r="MCO233" s="26"/>
      <c r="MCS233" s="23"/>
      <c r="MCX233" s="26"/>
      <c r="MDB233" s="23"/>
      <c r="MDG233" s="26"/>
      <c r="MDK233" s="23"/>
      <c r="MDP233" s="26"/>
      <c r="MDT233" s="23"/>
      <c r="MDY233" s="26"/>
      <c r="MEC233" s="23"/>
      <c r="MEH233" s="26"/>
      <c r="MEL233" s="23"/>
      <c r="MEQ233" s="26"/>
      <c r="MEU233" s="23"/>
      <c r="MEZ233" s="26"/>
      <c r="MFD233" s="23"/>
      <c r="MFI233" s="26"/>
      <c r="MFM233" s="23"/>
      <c r="MFR233" s="26"/>
      <c r="MFV233" s="23"/>
      <c r="MGA233" s="26"/>
      <c r="MGE233" s="23"/>
      <c r="MGJ233" s="26"/>
      <c r="MGN233" s="23"/>
      <c r="MGS233" s="26"/>
      <c r="MGW233" s="23"/>
      <c r="MHB233" s="26"/>
      <c r="MHF233" s="23"/>
      <c r="MHK233" s="26"/>
      <c r="MHO233" s="23"/>
      <c r="MHT233" s="26"/>
      <c r="MHX233" s="23"/>
      <c r="MIC233" s="26"/>
      <c r="MIG233" s="23"/>
      <c r="MIL233" s="26"/>
      <c r="MIP233" s="23"/>
      <c r="MIU233" s="26"/>
      <c r="MIY233" s="23"/>
      <c r="MJD233" s="26"/>
      <c r="MJH233" s="23"/>
      <c r="MJM233" s="26"/>
      <c r="MJQ233" s="23"/>
      <c r="MJV233" s="26"/>
      <c r="MJZ233" s="23"/>
      <c r="MKE233" s="26"/>
      <c r="MKI233" s="23"/>
      <c r="MKN233" s="26"/>
      <c r="MKR233" s="23"/>
      <c r="MKW233" s="26"/>
      <c r="MLA233" s="23"/>
      <c r="MLF233" s="26"/>
      <c r="MLJ233" s="23"/>
      <c r="MLO233" s="26"/>
      <c r="MLS233" s="23"/>
      <c r="MLX233" s="26"/>
      <c r="MMB233" s="23"/>
      <c r="MMG233" s="26"/>
      <c r="MMK233" s="23"/>
      <c r="MMP233" s="26"/>
      <c r="MMT233" s="23"/>
      <c r="MMY233" s="26"/>
      <c r="MNC233" s="23"/>
      <c r="MNH233" s="26"/>
      <c r="MNL233" s="23"/>
      <c r="MNQ233" s="26"/>
      <c r="MNU233" s="23"/>
      <c r="MNZ233" s="26"/>
      <c r="MOD233" s="23"/>
      <c r="MOI233" s="26"/>
      <c r="MOM233" s="23"/>
      <c r="MOR233" s="26"/>
      <c r="MOV233" s="23"/>
      <c r="MPA233" s="26"/>
      <c r="MPE233" s="23"/>
      <c r="MPJ233" s="26"/>
      <c r="MPN233" s="23"/>
      <c r="MPS233" s="26"/>
      <c r="MPW233" s="23"/>
      <c r="MQB233" s="26"/>
      <c r="MQF233" s="23"/>
      <c r="MQK233" s="26"/>
      <c r="MQO233" s="23"/>
      <c r="MQT233" s="26"/>
      <c r="MQX233" s="23"/>
      <c r="MRC233" s="26"/>
      <c r="MRG233" s="23"/>
      <c r="MRL233" s="26"/>
      <c r="MRP233" s="23"/>
      <c r="MRU233" s="26"/>
      <c r="MRY233" s="23"/>
      <c r="MSD233" s="26"/>
      <c r="MSH233" s="23"/>
      <c r="MSM233" s="26"/>
      <c r="MSQ233" s="23"/>
      <c r="MSV233" s="26"/>
      <c r="MSZ233" s="23"/>
      <c r="MTE233" s="26"/>
      <c r="MTI233" s="23"/>
      <c r="MTN233" s="26"/>
      <c r="MTR233" s="23"/>
      <c r="MTW233" s="26"/>
      <c r="MUA233" s="23"/>
      <c r="MUF233" s="26"/>
      <c r="MUJ233" s="23"/>
      <c r="MUO233" s="26"/>
      <c r="MUS233" s="23"/>
      <c r="MUX233" s="26"/>
      <c r="MVB233" s="23"/>
      <c r="MVG233" s="26"/>
      <c r="MVK233" s="23"/>
      <c r="MVP233" s="26"/>
      <c r="MVT233" s="23"/>
      <c r="MVY233" s="26"/>
      <c r="MWC233" s="23"/>
      <c r="MWH233" s="26"/>
      <c r="MWL233" s="23"/>
      <c r="MWQ233" s="26"/>
      <c r="MWU233" s="23"/>
      <c r="MWZ233" s="26"/>
      <c r="MXD233" s="23"/>
      <c r="MXI233" s="26"/>
      <c r="MXM233" s="23"/>
      <c r="MXR233" s="26"/>
      <c r="MXV233" s="23"/>
      <c r="MYA233" s="26"/>
      <c r="MYE233" s="23"/>
      <c r="MYJ233" s="26"/>
      <c r="MYN233" s="23"/>
      <c r="MYS233" s="26"/>
      <c r="MYW233" s="23"/>
      <c r="MZB233" s="26"/>
      <c r="MZF233" s="23"/>
      <c r="MZK233" s="26"/>
      <c r="MZO233" s="23"/>
      <c r="MZT233" s="26"/>
      <c r="MZX233" s="23"/>
      <c r="NAC233" s="26"/>
      <c r="NAG233" s="23"/>
      <c r="NAL233" s="26"/>
      <c r="NAP233" s="23"/>
      <c r="NAU233" s="26"/>
      <c r="NAY233" s="23"/>
      <c r="NBD233" s="26"/>
      <c r="NBH233" s="23"/>
      <c r="NBM233" s="26"/>
      <c r="NBQ233" s="23"/>
      <c r="NBV233" s="26"/>
      <c r="NBZ233" s="23"/>
      <c r="NCE233" s="26"/>
      <c r="NCI233" s="23"/>
      <c r="NCN233" s="26"/>
      <c r="NCR233" s="23"/>
      <c r="NCW233" s="26"/>
      <c r="NDA233" s="23"/>
      <c r="NDF233" s="26"/>
      <c r="NDJ233" s="23"/>
      <c r="NDO233" s="26"/>
      <c r="NDS233" s="23"/>
      <c r="NDX233" s="26"/>
      <c r="NEB233" s="23"/>
      <c r="NEG233" s="26"/>
      <c r="NEK233" s="23"/>
      <c r="NEP233" s="26"/>
      <c r="NET233" s="23"/>
      <c r="NEY233" s="26"/>
      <c r="NFC233" s="23"/>
      <c r="NFH233" s="26"/>
      <c r="NFL233" s="23"/>
      <c r="NFQ233" s="26"/>
      <c r="NFU233" s="23"/>
      <c r="NFZ233" s="26"/>
      <c r="NGD233" s="23"/>
      <c r="NGI233" s="26"/>
      <c r="NGM233" s="23"/>
      <c r="NGR233" s="26"/>
      <c r="NGV233" s="23"/>
      <c r="NHA233" s="26"/>
      <c r="NHE233" s="23"/>
      <c r="NHJ233" s="26"/>
      <c r="NHN233" s="23"/>
      <c r="NHS233" s="26"/>
      <c r="NHW233" s="23"/>
      <c r="NIB233" s="26"/>
      <c r="NIF233" s="23"/>
      <c r="NIK233" s="26"/>
      <c r="NIO233" s="23"/>
      <c r="NIT233" s="26"/>
      <c r="NIX233" s="23"/>
      <c r="NJC233" s="26"/>
      <c r="NJG233" s="23"/>
      <c r="NJL233" s="26"/>
      <c r="NJP233" s="23"/>
      <c r="NJU233" s="26"/>
      <c r="NJY233" s="23"/>
      <c r="NKD233" s="26"/>
      <c r="NKH233" s="23"/>
      <c r="NKM233" s="26"/>
      <c r="NKQ233" s="23"/>
      <c r="NKV233" s="26"/>
      <c r="NKZ233" s="23"/>
      <c r="NLE233" s="26"/>
      <c r="NLI233" s="23"/>
      <c r="NLN233" s="26"/>
      <c r="NLR233" s="23"/>
      <c r="NLW233" s="26"/>
      <c r="NMA233" s="23"/>
      <c r="NMF233" s="26"/>
      <c r="NMJ233" s="23"/>
      <c r="NMO233" s="26"/>
      <c r="NMS233" s="23"/>
      <c r="NMX233" s="26"/>
      <c r="NNB233" s="23"/>
      <c r="NNG233" s="26"/>
      <c r="NNK233" s="23"/>
      <c r="NNP233" s="26"/>
      <c r="NNT233" s="23"/>
      <c r="NNY233" s="26"/>
      <c r="NOC233" s="23"/>
      <c r="NOH233" s="26"/>
      <c r="NOL233" s="23"/>
      <c r="NOQ233" s="26"/>
      <c r="NOU233" s="23"/>
      <c r="NOZ233" s="26"/>
      <c r="NPD233" s="23"/>
      <c r="NPI233" s="26"/>
      <c r="NPM233" s="23"/>
      <c r="NPR233" s="26"/>
      <c r="NPV233" s="23"/>
      <c r="NQA233" s="26"/>
      <c r="NQE233" s="23"/>
      <c r="NQJ233" s="26"/>
      <c r="NQN233" s="23"/>
      <c r="NQS233" s="26"/>
      <c r="NQW233" s="23"/>
      <c r="NRB233" s="26"/>
      <c r="NRF233" s="23"/>
      <c r="NRK233" s="26"/>
      <c r="NRO233" s="23"/>
      <c r="NRT233" s="26"/>
      <c r="NRX233" s="23"/>
      <c r="NSC233" s="26"/>
      <c r="NSG233" s="23"/>
      <c r="NSL233" s="26"/>
      <c r="NSP233" s="23"/>
      <c r="NSU233" s="26"/>
      <c r="NSY233" s="23"/>
      <c r="NTD233" s="26"/>
      <c r="NTH233" s="23"/>
      <c r="NTM233" s="26"/>
      <c r="NTQ233" s="23"/>
      <c r="NTV233" s="26"/>
      <c r="NTZ233" s="23"/>
      <c r="NUE233" s="26"/>
      <c r="NUI233" s="23"/>
      <c r="NUN233" s="26"/>
      <c r="NUR233" s="23"/>
      <c r="NUW233" s="26"/>
      <c r="NVA233" s="23"/>
      <c r="NVF233" s="26"/>
      <c r="NVJ233" s="23"/>
      <c r="NVO233" s="26"/>
      <c r="NVS233" s="23"/>
      <c r="NVX233" s="26"/>
      <c r="NWB233" s="23"/>
      <c r="NWG233" s="26"/>
      <c r="NWK233" s="23"/>
      <c r="NWP233" s="26"/>
      <c r="NWT233" s="23"/>
      <c r="NWY233" s="26"/>
      <c r="NXC233" s="23"/>
      <c r="NXH233" s="26"/>
      <c r="NXL233" s="23"/>
      <c r="NXQ233" s="26"/>
      <c r="NXU233" s="23"/>
      <c r="NXZ233" s="26"/>
      <c r="NYD233" s="23"/>
      <c r="NYI233" s="26"/>
      <c r="NYM233" s="23"/>
      <c r="NYR233" s="26"/>
      <c r="NYV233" s="23"/>
      <c r="NZA233" s="26"/>
      <c r="NZE233" s="23"/>
      <c r="NZJ233" s="26"/>
      <c r="NZN233" s="23"/>
      <c r="NZS233" s="26"/>
      <c r="NZW233" s="23"/>
      <c r="OAB233" s="26"/>
      <c r="OAF233" s="23"/>
      <c r="OAK233" s="26"/>
      <c r="OAO233" s="23"/>
      <c r="OAT233" s="26"/>
      <c r="OAX233" s="23"/>
      <c r="OBC233" s="26"/>
      <c r="OBG233" s="23"/>
      <c r="OBL233" s="26"/>
      <c r="OBP233" s="23"/>
      <c r="OBU233" s="26"/>
      <c r="OBY233" s="23"/>
      <c r="OCD233" s="26"/>
      <c r="OCH233" s="23"/>
      <c r="OCM233" s="26"/>
      <c r="OCQ233" s="23"/>
      <c r="OCV233" s="26"/>
      <c r="OCZ233" s="23"/>
      <c r="ODE233" s="26"/>
      <c r="ODI233" s="23"/>
      <c r="ODN233" s="26"/>
      <c r="ODR233" s="23"/>
      <c r="ODW233" s="26"/>
      <c r="OEA233" s="23"/>
      <c r="OEF233" s="26"/>
      <c r="OEJ233" s="23"/>
      <c r="OEO233" s="26"/>
      <c r="OES233" s="23"/>
      <c r="OEX233" s="26"/>
      <c r="OFB233" s="23"/>
      <c r="OFG233" s="26"/>
      <c r="OFK233" s="23"/>
      <c r="OFP233" s="26"/>
      <c r="OFT233" s="23"/>
      <c r="OFY233" s="26"/>
      <c r="OGC233" s="23"/>
      <c r="OGH233" s="26"/>
      <c r="OGL233" s="23"/>
      <c r="OGQ233" s="26"/>
      <c r="OGU233" s="23"/>
      <c r="OGZ233" s="26"/>
      <c r="OHD233" s="23"/>
      <c r="OHI233" s="26"/>
      <c r="OHM233" s="23"/>
      <c r="OHR233" s="26"/>
      <c r="OHV233" s="23"/>
      <c r="OIA233" s="26"/>
      <c r="OIE233" s="23"/>
      <c r="OIJ233" s="26"/>
      <c r="OIN233" s="23"/>
      <c r="OIS233" s="26"/>
      <c r="OIW233" s="23"/>
      <c r="OJB233" s="26"/>
      <c r="OJF233" s="23"/>
      <c r="OJK233" s="26"/>
      <c r="OJO233" s="23"/>
      <c r="OJT233" s="26"/>
      <c r="OJX233" s="23"/>
      <c r="OKC233" s="26"/>
      <c r="OKG233" s="23"/>
      <c r="OKL233" s="26"/>
      <c r="OKP233" s="23"/>
      <c r="OKU233" s="26"/>
      <c r="OKY233" s="23"/>
      <c r="OLD233" s="26"/>
      <c r="OLH233" s="23"/>
      <c r="OLM233" s="26"/>
      <c r="OLQ233" s="23"/>
      <c r="OLV233" s="26"/>
      <c r="OLZ233" s="23"/>
      <c r="OME233" s="26"/>
      <c r="OMI233" s="23"/>
      <c r="OMN233" s="26"/>
      <c r="OMR233" s="23"/>
      <c r="OMW233" s="26"/>
      <c r="ONA233" s="23"/>
      <c r="ONF233" s="26"/>
      <c r="ONJ233" s="23"/>
      <c r="ONO233" s="26"/>
      <c r="ONS233" s="23"/>
      <c r="ONX233" s="26"/>
      <c r="OOB233" s="23"/>
      <c r="OOG233" s="26"/>
      <c r="OOK233" s="23"/>
      <c r="OOP233" s="26"/>
      <c r="OOT233" s="23"/>
      <c r="OOY233" s="26"/>
      <c r="OPC233" s="23"/>
      <c r="OPH233" s="26"/>
      <c r="OPL233" s="23"/>
      <c r="OPQ233" s="26"/>
      <c r="OPU233" s="23"/>
      <c r="OPZ233" s="26"/>
      <c r="OQD233" s="23"/>
      <c r="OQI233" s="26"/>
      <c r="OQM233" s="23"/>
      <c r="OQR233" s="26"/>
      <c r="OQV233" s="23"/>
      <c r="ORA233" s="26"/>
      <c r="ORE233" s="23"/>
      <c r="ORJ233" s="26"/>
      <c r="ORN233" s="23"/>
      <c r="ORS233" s="26"/>
      <c r="ORW233" s="23"/>
      <c r="OSB233" s="26"/>
      <c r="OSF233" s="23"/>
      <c r="OSK233" s="26"/>
      <c r="OSO233" s="23"/>
      <c r="OST233" s="26"/>
      <c r="OSX233" s="23"/>
      <c r="OTC233" s="26"/>
      <c r="OTG233" s="23"/>
      <c r="OTL233" s="26"/>
      <c r="OTP233" s="23"/>
      <c r="OTU233" s="26"/>
      <c r="OTY233" s="23"/>
      <c r="OUD233" s="26"/>
      <c r="OUH233" s="23"/>
      <c r="OUM233" s="26"/>
      <c r="OUQ233" s="23"/>
      <c r="OUV233" s="26"/>
      <c r="OUZ233" s="23"/>
      <c r="OVE233" s="26"/>
      <c r="OVI233" s="23"/>
      <c r="OVN233" s="26"/>
      <c r="OVR233" s="23"/>
      <c r="OVW233" s="26"/>
      <c r="OWA233" s="23"/>
      <c r="OWF233" s="26"/>
      <c r="OWJ233" s="23"/>
      <c r="OWO233" s="26"/>
      <c r="OWS233" s="23"/>
      <c r="OWX233" s="26"/>
      <c r="OXB233" s="23"/>
      <c r="OXG233" s="26"/>
      <c r="OXK233" s="23"/>
      <c r="OXP233" s="26"/>
      <c r="OXT233" s="23"/>
      <c r="OXY233" s="26"/>
      <c r="OYC233" s="23"/>
      <c r="OYH233" s="26"/>
      <c r="OYL233" s="23"/>
      <c r="OYQ233" s="26"/>
      <c r="OYU233" s="23"/>
      <c r="OYZ233" s="26"/>
      <c r="OZD233" s="23"/>
      <c r="OZI233" s="26"/>
      <c r="OZM233" s="23"/>
      <c r="OZR233" s="26"/>
      <c r="OZV233" s="23"/>
      <c r="PAA233" s="26"/>
      <c r="PAE233" s="23"/>
      <c r="PAJ233" s="26"/>
      <c r="PAN233" s="23"/>
      <c r="PAS233" s="26"/>
      <c r="PAW233" s="23"/>
      <c r="PBB233" s="26"/>
      <c r="PBF233" s="23"/>
      <c r="PBK233" s="26"/>
      <c r="PBO233" s="23"/>
      <c r="PBT233" s="26"/>
      <c r="PBX233" s="23"/>
      <c r="PCC233" s="26"/>
      <c r="PCG233" s="23"/>
      <c r="PCL233" s="26"/>
      <c r="PCP233" s="23"/>
      <c r="PCU233" s="26"/>
      <c r="PCY233" s="23"/>
      <c r="PDD233" s="26"/>
      <c r="PDH233" s="23"/>
      <c r="PDM233" s="26"/>
      <c r="PDQ233" s="23"/>
      <c r="PDV233" s="26"/>
      <c r="PDZ233" s="23"/>
      <c r="PEE233" s="26"/>
      <c r="PEI233" s="23"/>
      <c r="PEN233" s="26"/>
      <c r="PER233" s="23"/>
      <c r="PEW233" s="26"/>
      <c r="PFA233" s="23"/>
      <c r="PFF233" s="26"/>
      <c r="PFJ233" s="23"/>
      <c r="PFO233" s="26"/>
      <c r="PFS233" s="23"/>
      <c r="PFX233" s="26"/>
      <c r="PGB233" s="23"/>
      <c r="PGG233" s="26"/>
      <c r="PGK233" s="23"/>
      <c r="PGP233" s="26"/>
      <c r="PGT233" s="23"/>
      <c r="PGY233" s="26"/>
      <c r="PHC233" s="23"/>
      <c r="PHH233" s="26"/>
      <c r="PHL233" s="23"/>
      <c r="PHQ233" s="26"/>
      <c r="PHU233" s="23"/>
      <c r="PHZ233" s="26"/>
      <c r="PID233" s="23"/>
      <c r="PII233" s="26"/>
      <c r="PIM233" s="23"/>
      <c r="PIR233" s="26"/>
      <c r="PIV233" s="23"/>
      <c r="PJA233" s="26"/>
      <c r="PJE233" s="23"/>
      <c r="PJJ233" s="26"/>
      <c r="PJN233" s="23"/>
      <c r="PJS233" s="26"/>
      <c r="PJW233" s="23"/>
      <c r="PKB233" s="26"/>
      <c r="PKF233" s="23"/>
      <c r="PKK233" s="26"/>
      <c r="PKO233" s="23"/>
      <c r="PKT233" s="26"/>
      <c r="PKX233" s="23"/>
      <c r="PLC233" s="26"/>
      <c r="PLG233" s="23"/>
      <c r="PLL233" s="26"/>
      <c r="PLP233" s="23"/>
      <c r="PLU233" s="26"/>
      <c r="PLY233" s="23"/>
      <c r="PMD233" s="26"/>
      <c r="PMH233" s="23"/>
      <c r="PMM233" s="26"/>
      <c r="PMQ233" s="23"/>
      <c r="PMV233" s="26"/>
      <c r="PMZ233" s="23"/>
      <c r="PNE233" s="26"/>
      <c r="PNI233" s="23"/>
      <c r="PNN233" s="26"/>
      <c r="PNR233" s="23"/>
      <c r="PNW233" s="26"/>
      <c r="POA233" s="23"/>
      <c r="POF233" s="26"/>
      <c r="POJ233" s="23"/>
      <c r="POO233" s="26"/>
      <c r="POS233" s="23"/>
      <c r="POX233" s="26"/>
      <c r="PPB233" s="23"/>
      <c r="PPG233" s="26"/>
      <c r="PPK233" s="23"/>
      <c r="PPP233" s="26"/>
      <c r="PPT233" s="23"/>
      <c r="PPY233" s="26"/>
      <c r="PQC233" s="23"/>
      <c r="PQH233" s="26"/>
      <c r="PQL233" s="23"/>
      <c r="PQQ233" s="26"/>
      <c r="PQU233" s="23"/>
      <c r="PQZ233" s="26"/>
      <c r="PRD233" s="23"/>
      <c r="PRI233" s="26"/>
      <c r="PRM233" s="23"/>
      <c r="PRR233" s="26"/>
      <c r="PRV233" s="23"/>
      <c r="PSA233" s="26"/>
      <c r="PSE233" s="23"/>
      <c r="PSJ233" s="26"/>
      <c r="PSN233" s="23"/>
      <c r="PSS233" s="26"/>
      <c r="PSW233" s="23"/>
      <c r="PTB233" s="26"/>
      <c r="PTF233" s="23"/>
      <c r="PTK233" s="26"/>
      <c r="PTO233" s="23"/>
      <c r="PTT233" s="26"/>
      <c r="PTX233" s="23"/>
      <c r="PUC233" s="26"/>
      <c r="PUG233" s="23"/>
      <c r="PUL233" s="26"/>
      <c r="PUP233" s="23"/>
      <c r="PUU233" s="26"/>
      <c r="PUY233" s="23"/>
      <c r="PVD233" s="26"/>
      <c r="PVH233" s="23"/>
      <c r="PVM233" s="26"/>
      <c r="PVQ233" s="23"/>
      <c r="PVV233" s="26"/>
      <c r="PVZ233" s="23"/>
      <c r="PWE233" s="26"/>
      <c r="PWI233" s="23"/>
      <c r="PWN233" s="26"/>
      <c r="PWR233" s="23"/>
      <c r="PWW233" s="26"/>
      <c r="PXA233" s="23"/>
      <c r="PXF233" s="26"/>
      <c r="PXJ233" s="23"/>
      <c r="PXO233" s="26"/>
      <c r="PXS233" s="23"/>
      <c r="PXX233" s="26"/>
      <c r="PYB233" s="23"/>
      <c r="PYG233" s="26"/>
      <c r="PYK233" s="23"/>
      <c r="PYP233" s="26"/>
      <c r="PYT233" s="23"/>
      <c r="PYY233" s="26"/>
      <c r="PZC233" s="23"/>
      <c r="PZH233" s="26"/>
      <c r="PZL233" s="23"/>
      <c r="PZQ233" s="26"/>
      <c r="PZU233" s="23"/>
      <c r="PZZ233" s="26"/>
      <c r="QAD233" s="23"/>
      <c r="QAI233" s="26"/>
      <c r="QAM233" s="23"/>
      <c r="QAR233" s="26"/>
      <c r="QAV233" s="23"/>
      <c r="QBA233" s="26"/>
      <c r="QBE233" s="23"/>
      <c r="QBJ233" s="26"/>
      <c r="QBN233" s="23"/>
      <c r="QBS233" s="26"/>
      <c r="QBW233" s="23"/>
      <c r="QCB233" s="26"/>
      <c r="QCF233" s="23"/>
      <c r="QCK233" s="26"/>
      <c r="QCO233" s="23"/>
      <c r="QCT233" s="26"/>
      <c r="QCX233" s="23"/>
      <c r="QDC233" s="26"/>
      <c r="QDG233" s="23"/>
      <c r="QDL233" s="26"/>
      <c r="QDP233" s="23"/>
      <c r="QDU233" s="26"/>
      <c r="QDY233" s="23"/>
      <c r="QED233" s="26"/>
      <c r="QEH233" s="23"/>
      <c r="QEM233" s="26"/>
      <c r="QEQ233" s="23"/>
      <c r="QEV233" s="26"/>
      <c r="QEZ233" s="23"/>
      <c r="QFE233" s="26"/>
      <c r="QFI233" s="23"/>
      <c r="QFN233" s="26"/>
      <c r="QFR233" s="23"/>
      <c r="QFW233" s="26"/>
      <c r="QGA233" s="23"/>
      <c r="QGF233" s="26"/>
      <c r="QGJ233" s="23"/>
      <c r="QGO233" s="26"/>
      <c r="QGS233" s="23"/>
      <c r="QGX233" s="26"/>
      <c r="QHB233" s="23"/>
      <c r="QHG233" s="26"/>
      <c r="QHK233" s="23"/>
      <c r="QHP233" s="26"/>
      <c r="QHT233" s="23"/>
      <c r="QHY233" s="26"/>
      <c r="QIC233" s="23"/>
      <c r="QIH233" s="26"/>
      <c r="QIL233" s="23"/>
      <c r="QIQ233" s="26"/>
      <c r="QIU233" s="23"/>
      <c r="QIZ233" s="26"/>
      <c r="QJD233" s="23"/>
      <c r="QJI233" s="26"/>
      <c r="QJM233" s="23"/>
      <c r="QJR233" s="26"/>
      <c r="QJV233" s="23"/>
      <c r="QKA233" s="26"/>
      <c r="QKE233" s="23"/>
      <c r="QKJ233" s="26"/>
      <c r="QKN233" s="23"/>
      <c r="QKS233" s="26"/>
      <c r="QKW233" s="23"/>
      <c r="QLB233" s="26"/>
      <c r="QLF233" s="23"/>
      <c r="QLK233" s="26"/>
      <c r="QLO233" s="23"/>
      <c r="QLT233" s="26"/>
      <c r="QLX233" s="23"/>
      <c r="QMC233" s="26"/>
      <c r="QMG233" s="23"/>
      <c r="QML233" s="26"/>
      <c r="QMP233" s="23"/>
      <c r="QMU233" s="26"/>
      <c r="QMY233" s="23"/>
      <c r="QND233" s="26"/>
      <c r="QNH233" s="23"/>
      <c r="QNM233" s="26"/>
      <c r="QNQ233" s="23"/>
      <c r="QNV233" s="26"/>
      <c r="QNZ233" s="23"/>
      <c r="QOE233" s="26"/>
      <c r="QOI233" s="23"/>
      <c r="QON233" s="26"/>
      <c r="QOR233" s="23"/>
      <c r="QOW233" s="26"/>
      <c r="QPA233" s="23"/>
      <c r="QPF233" s="26"/>
      <c r="QPJ233" s="23"/>
      <c r="QPO233" s="26"/>
      <c r="QPS233" s="23"/>
      <c r="QPX233" s="26"/>
      <c r="QQB233" s="23"/>
      <c r="QQG233" s="26"/>
      <c r="QQK233" s="23"/>
      <c r="QQP233" s="26"/>
      <c r="QQT233" s="23"/>
      <c r="QQY233" s="26"/>
      <c r="QRC233" s="23"/>
      <c r="QRH233" s="26"/>
      <c r="QRL233" s="23"/>
      <c r="QRQ233" s="26"/>
      <c r="QRU233" s="23"/>
      <c r="QRZ233" s="26"/>
      <c r="QSD233" s="23"/>
      <c r="QSI233" s="26"/>
      <c r="QSM233" s="23"/>
      <c r="QSR233" s="26"/>
      <c r="QSV233" s="23"/>
      <c r="QTA233" s="26"/>
      <c r="QTE233" s="23"/>
      <c r="QTJ233" s="26"/>
      <c r="QTN233" s="23"/>
      <c r="QTS233" s="26"/>
      <c r="QTW233" s="23"/>
      <c r="QUB233" s="26"/>
      <c r="QUF233" s="23"/>
      <c r="QUK233" s="26"/>
      <c r="QUO233" s="23"/>
      <c r="QUT233" s="26"/>
      <c r="QUX233" s="23"/>
      <c r="QVC233" s="26"/>
      <c r="QVG233" s="23"/>
      <c r="QVL233" s="26"/>
      <c r="QVP233" s="23"/>
      <c r="QVU233" s="26"/>
      <c r="QVY233" s="23"/>
      <c r="QWD233" s="26"/>
      <c r="QWH233" s="23"/>
      <c r="QWM233" s="26"/>
      <c r="QWQ233" s="23"/>
      <c r="QWV233" s="26"/>
      <c r="QWZ233" s="23"/>
      <c r="QXE233" s="26"/>
      <c r="QXI233" s="23"/>
      <c r="QXN233" s="26"/>
      <c r="QXR233" s="23"/>
      <c r="QXW233" s="26"/>
      <c r="QYA233" s="23"/>
      <c r="QYF233" s="26"/>
      <c r="QYJ233" s="23"/>
      <c r="QYO233" s="26"/>
      <c r="QYS233" s="23"/>
      <c r="QYX233" s="26"/>
      <c r="QZB233" s="23"/>
      <c r="QZG233" s="26"/>
      <c r="QZK233" s="23"/>
      <c r="QZP233" s="26"/>
      <c r="QZT233" s="23"/>
      <c r="QZY233" s="26"/>
      <c r="RAC233" s="23"/>
      <c r="RAH233" s="26"/>
      <c r="RAL233" s="23"/>
      <c r="RAQ233" s="26"/>
      <c r="RAU233" s="23"/>
      <c r="RAZ233" s="26"/>
      <c r="RBD233" s="23"/>
      <c r="RBI233" s="26"/>
      <c r="RBM233" s="23"/>
      <c r="RBR233" s="26"/>
      <c r="RBV233" s="23"/>
      <c r="RCA233" s="26"/>
      <c r="RCE233" s="23"/>
      <c r="RCJ233" s="26"/>
      <c r="RCN233" s="23"/>
      <c r="RCS233" s="26"/>
      <c r="RCW233" s="23"/>
      <c r="RDB233" s="26"/>
      <c r="RDF233" s="23"/>
      <c r="RDK233" s="26"/>
      <c r="RDO233" s="23"/>
      <c r="RDT233" s="26"/>
      <c r="RDX233" s="23"/>
      <c r="REC233" s="26"/>
      <c r="REG233" s="23"/>
      <c r="REL233" s="26"/>
      <c r="REP233" s="23"/>
      <c r="REU233" s="26"/>
      <c r="REY233" s="23"/>
      <c r="RFD233" s="26"/>
      <c r="RFH233" s="23"/>
      <c r="RFM233" s="26"/>
      <c r="RFQ233" s="23"/>
      <c r="RFV233" s="26"/>
      <c r="RFZ233" s="23"/>
      <c r="RGE233" s="26"/>
      <c r="RGI233" s="23"/>
      <c r="RGN233" s="26"/>
      <c r="RGR233" s="23"/>
      <c r="RGW233" s="26"/>
      <c r="RHA233" s="23"/>
      <c r="RHF233" s="26"/>
      <c r="RHJ233" s="23"/>
      <c r="RHO233" s="26"/>
      <c r="RHS233" s="23"/>
      <c r="RHX233" s="26"/>
      <c r="RIB233" s="23"/>
      <c r="RIG233" s="26"/>
      <c r="RIK233" s="23"/>
      <c r="RIP233" s="26"/>
      <c r="RIT233" s="23"/>
      <c r="RIY233" s="26"/>
      <c r="RJC233" s="23"/>
      <c r="RJH233" s="26"/>
      <c r="RJL233" s="23"/>
      <c r="RJQ233" s="26"/>
      <c r="RJU233" s="23"/>
      <c r="RJZ233" s="26"/>
      <c r="RKD233" s="23"/>
      <c r="RKI233" s="26"/>
      <c r="RKM233" s="23"/>
      <c r="RKR233" s="26"/>
      <c r="RKV233" s="23"/>
      <c r="RLA233" s="26"/>
      <c r="RLE233" s="23"/>
      <c r="RLJ233" s="26"/>
      <c r="RLN233" s="23"/>
      <c r="RLS233" s="26"/>
      <c r="RLW233" s="23"/>
      <c r="RMB233" s="26"/>
      <c r="RMF233" s="23"/>
      <c r="RMK233" s="26"/>
      <c r="RMO233" s="23"/>
      <c r="RMT233" s="26"/>
      <c r="RMX233" s="23"/>
      <c r="RNC233" s="26"/>
      <c r="RNG233" s="23"/>
      <c r="RNL233" s="26"/>
      <c r="RNP233" s="23"/>
      <c r="RNU233" s="26"/>
      <c r="RNY233" s="23"/>
      <c r="ROD233" s="26"/>
      <c r="ROH233" s="23"/>
      <c r="ROM233" s="26"/>
      <c r="ROQ233" s="23"/>
      <c r="ROV233" s="26"/>
      <c r="ROZ233" s="23"/>
      <c r="RPE233" s="26"/>
      <c r="RPI233" s="23"/>
      <c r="RPN233" s="26"/>
      <c r="RPR233" s="23"/>
      <c r="RPW233" s="26"/>
      <c r="RQA233" s="23"/>
      <c r="RQF233" s="26"/>
      <c r="RQJ233" s="23"/>
      <c r="RQO233" s="26"/>
      <c r="RQS233" s="23"/>
      <c r="RQX233" s="26"/>
      <c r="RRB233" s="23"/>
      <c r="RRG233" s="26"/>
      <c r="RRK233" s="23"/>
      <c r="RRP233" s="26"/>
      <c r="RRT233" s="23"/>
      <c r="RRY233" s="26"/>
      <c r="RSC233" s="23"/>
      <c r="RSH233" s="26"/>
      <c r="RSL233" s="23"/>
      <c r="RSQ233" s="26"/>
      <c r="RSU233" s="23"/>
      <c r="RSZ233" s="26"/>
      <c r="RTD233" s="23"/>
      <c r="RTI233" s="26"/>
      <c r="RTM233" s="23"/>
      <c r="RTR233" s="26"/>
      <c r="RTV233" s="23"/>
      <c r="RUA233" s="26"/>
      <c r="RUE233" s="23"/>
      <c r="RUJ233" s="26"/>
      <c r="RUN233" s="23"/>
      <c r="RUS233" s="26"/>
      <c r="RUW233" s="23"/>
      <c r="RVB233" s="26"/>
      <c r="RVF233" s="23"/>
      <c r="RVK233" s="26"/>
      <c r="RVO233" s="23"/>
      <c r="RVT233" s="26"/>
      <c r="RVX233" s="23"/>
      <c r="RWC233" s="26"/>
      <c r="RWG233" s="23"/>
      <c r="RWL233" s="26"/>
      <c r="RWP233" s="23"/>
      <c r="RWU233" s="26"/>
      <c r="RWY233" s="23"/>
      <c r="RXD233" s="26"/>
      <c r="RXH233" s="23"/>
      <c r="RXM233" s="26"/>
      <c r="RXQ233" s="23"/>
      <c r="RXV233" s="26"/>
      <c r="RXZ233" s="23"/>
      <c r="RYE233" s="26"/>
      <c r="RYI233" s="23"/>
      <c r="RYN233" s="26"/>
      <c r="RYR233" s="23"/>
      <c r="RYW233" s="26"/>
      <c r="RZA233" s="23"/>
      <c r="RZF233" s="26"/>
      <c r="RZJ233" s="23"/>
      <c r="RZO233" s="26"/>
      <c r="RZS233" s="23"/>
      <c r="RZX233" s="26"/>
      <c r="SAB233" s="23"/>
      <c r="SAG233" s="26"/>
      <c r="SAK233" s="23"/>
      <c r="SAP233" s="26"/>
      <c r="SAT233" s="23"/>
      <c r="SAY233" s="26"/>
      <c r="SBC233" s="23"/>
      <c r="SBH233" s="26"/>
      <c r="SBL233" s="23"/>
      <c r="SBQ233" s="26"/>
      <c r="SBU233" s="23"/>
      <c r="SBZ233" s="26"/>
      <c r="SCD233" s="23"/>
      <c r="SCI233" s="26"/>
      <c r="SCM233" s="23"/>
      <c r="SCR233" s="26"/>
      <c r="SCV233" s="23"/>
      <c r="SDA233" s="26"/>
      <c r="SDE233" s="23"/>
      <c r="SDJ233" s="26"/>
      <c r="SDN233" s="23"/>
      <c r="SDS233" s="26"/>
      <c r="SDW233" s="23"/>
      <c r="SEB233" s="26"/>
      <c r="SEF233" s="23"/>
      <c r="SEK233" s="26"/>
      <c r="SEO233" s="23"/>
      <c r="SET233" s="26"/>
      <c r="SEX233" s="23"/>
      <c r="SFC233" s="26"/>
      <c r="SFG233" s="23"/>
      <c r="SFL233" s="26"/>
      <c r="SFP233" s="23"/>
      <c r="SFU233" s="26"/>
      <c r="SFY233" s="23"/>
      <c r="SGD233" s="26"/>
      <c r="SGH233" s="23"/>
      <c r="SGM233" s="26"/>
      <c r="SGQ233" s="23"/>
      <c r="SGV233" s="26"/>
      <c r="SGZ233" s="23"/>
      <c r="SHE233" s="26"/>
      <c r="SHI233" s="23"/>
      <c r="SHN233" s="26"/>
      <c r="SHR233" s="23"/>
      <c r="SHW233" s="26"/>
      <c r="SIA233" s="23"/>
      <c r="SIF233" s="26"/>
      <c r="SIJ233" s="23"/>
      <c r="SIO233" s="26"/>
      <c r="SIS233" s="23"/>
      <c r="SIX233" s="26"/>
      <c r="SJB233" s="23"/>
      <c r="SJG233" s="26"/>
      <c r="SJK233" s="23"/>
      <c r="SJP233" s="26"/>
      <c r="SJT233" s="23"/>
      <c r="SJY233" s="26"/>
      <c r="SKC233" s="23"/>
      <c r="SKH233" s="26"/>
      <c r="SKL233" s="23"/>
      <c r="SKQ233" s="26"/>
      <c r="SKU233" s="23"/>
      <c r="SKZ233" s="26"/>
      <c r="SLD233" s="23"/>
      <c r="SLI233" s="26"/>
      <c r="SLM233" s="23"/>
      <c r="SLR233" s="26"/>
      <c r="SLV233" s="23"/>
      <c r="SMA233" s="26"/>
      <c r="SME233" s="23"/>
      <c r="SMJ233" s="26"/>
      <c r="SMN233" s="23"/>
      <c r="SMS233" s="26"/>
      <c r="SMW233" s="23"/>
      <c r="SNB233" s="26"/>
      <c r="SNF233" s="23"/>
      <c r="SNK233" s="26"/>
      <c r="SNO233" s="23"/>
      <c r="SNT233" s="26"/>
      <c r="SNX233" s="23"/>
      <c r="SOC233" s="26"/>
      <c r="SOG233" s="23"/>
      <c r="SOL233" s="26"/>
      <c r="SOP233" s="23"/>
      <c r="SOU233" s="26"/>
      <c r="SOY233" s="23"/>
      <c r="SPD233" s="26"/>
      <c r="SPH233" s="23"/>
      <c r="SPM233" s="26"/>
      <c r="SPQ233" s="23"/>
      <c r="SPV233" s="26"/>
      <c r="SPZ233" s="23"/>
      <c r="SQE233" s="26"/>
      <c r="SQI233" s="23"/>
      <c r="SQN233" s="26"/>
      <c r="SQR233" s="23"/>
      <c r="SQW233" s="26"/>
      <c r="SRA233" s="23"/>
      <c r="SRF233" s="26"/>
      <c r="SRJ233" s="23"/>
      <c r="SRO233" s="26"/>
      <c r="SRS233" s="23"/>
      <c r="SRX233" s="26"/>
      <c r="SSB233" s="23"/>
      <c r="SSG233" s="26"/>
      <c r="SSK233" s="23"/>
      <c r="SSP233" s="26"/>
      <c r="SST233" s="23"/>
      <c r="SSY233" s="26"/>
      <c r="STC233" s="23"/>
      <c r="STH233" s="26"/>
      <c r="STL233" s="23"/>
      <c r="STQ233" s="26"/>
      <c r="STU233" s="23"/>
      <c r="STZ233" s="26"/>
      <c r="SUD233" s="23"/>
      <c r="SUI233" s="26"/>
      <c r="SUM233" s="23"/>
      <c r="SUR233" s="26"/>
      <c r="SUV233" s="23"/>
      <c r="SVA233" s="26"/>
      <c r="SVE233" s="23"/>
      <c r="SVJ233" s="26"/>
      <c r="SVN233" s="23"/>
      <c r="SVS233" s="26"/>
      <c r="SVW233" s="23"/>
      <c r="SWB233" s="26"/>
      <c r="SWF233" s="23"/>
      <c r="SWK233" s="26"/>
      <c r="SWO233" s="23"/>
      <c r="SWT233" s="26"/>
      <c r="SWX233" s="23"/>
      <c r="SXC233" s="26"/>
      <c r="SXG233" s="23"/>
      <c r="SXL233" s="26"/>
      <c r="SXP233" s="23"/>
      <c r="SXU233" s="26"/>
      <c r="SXY233" s="23"/>
      <c r="SYD233" s="26"/>
      <c r="SYH233" s="23"/>
      <c r="SYM233" s="26"/>
      <c r="SYQ233" s="23"/>
      <c r="SYV233" s="26"/>
      <c r="SYZ233" s="23"/>
      <c r="SZE233" s="26"/>
      <c r="SZI233" s="23"/>
      <c r="SZN233" s="26"/>
      <c r="SZR233" s="23"/>
      <c r="SZW233" s="26"/>
      <c r="TAA233" s="23"/>
      <c r="TAF233" s="26"/>
      <c r="TAJ233" s="23"/>
      <c r="TAO233" s="26"/>
      <c r="TAS233" s="23"/>
      <c r="TAX233" s="26"/>
      <c r="TBB233" s="23"/>
      <c r="TBG233" s="26"/>
      <c r="TBK233" s="23"/>
      <c r="TBP233" s="26"/>
      <c r="TBT233" s="23"/>
      <c r="TBY233" s="26"/>
      <c r="TCC233" s="23"/>
      <c r="TCH233" s="26"/>
      <c r="TCL233" s="23"/>
      <c r="TCQ233" s="26"/>
      <c r="TCU233" s="23"/>
      <c r="TCZ233" s="26"/>
      <c r="TDD233" s="23"/>
      <c r="TDI233" s="26"/>
      <c r="TDM233" s="23"/>
      <c r="TDR233" s="26"/>
      <c r="TDV233" s="23"/>
      <c r="TEA233" s="26"/>
      <c r="TEE233" s="23"/>
      <c r="TEJ233" s="26"/>
      <c r="TEN233" s="23"/>
      <c r="TES233" s="26"/>
      <c r="TEW233" s="23"/>
      <c r="TFB233" s="26"/>
      <c r="TFF233" s="23"/>
      <c r="TFK233" s="26"/>
      <c r="TFO233" s="23"/>
      <c r="TFT233" s="26"/>
      <c r="TFX233" s="23"/>
      <c r="TGC233" s="26"/>
      <c r="TGG233" s="23"/>
      <c r="TGL233" s="26"/>
      <c r="TGP233" s="23"/>
      <c r="TGU233" s="26"/>
      <c r="TGY233" s="23"/>
      <c r="THD233" s="26"/>
      <c r="THH233" s="23"/>
      <c r="THM233" s="26"/>
      <c r="THQ233" s="23"/>
      <c r="THV233" s="26"/>
      <c r="THZ233" s="23"/>
      <c r="TIE233" s="26"/>
      <c r="TII233" s="23"/>
      <c r="TIN233" s="26"/>
      <c r="TIR233" s="23"/>
      <c r="TIW233" s="26"/>
      <c r="TJA233" s="23"/>
      <c r="TJF233" s="26"/>
      <c r="TJJ233" s="23"/>
      <c r="TJO233" s="26"/>
      <c r="TJS233" s="23"/>
      <c r="TJX233" s="26"/>
      <c r="TKB233" s="23"/>
      <c r="TKG233" s="26"/>
      <c r="TKK233" s="23"/>
      <c r="TKP233" s="26"/>
      <c r="TKT233" s="23"/>
      <c r="TKY233" s="26"/>
      <c r="TLC233" s="23"/>
      <c r="TLH233" s="26"/>
      <c r="TLL233" s="23"/>
      <c r="TLQ233" s="26"/>
      <c r="TLU233" s="23"/>
      <c r="TLZ233" s="26"/>
      <c r="TMD233" s="23"/>
      <c r="TMI233" s="26"/>
      <c r="TMM233" s="23"/>
      <c r="TMR233" s="26"/>
      <c r="TMV233" s="23"/>
      <c r="TNA233" s="26"/>
      <c r="TNE233" s="23"/>
      <c r="TNJ233" s="26"/>
      <c r="TNN233" s="23"/>
      <c r="TNS233" s="26"/>
      <c r="TNW233" s="23"/>
      <c r="TOB233" s="26"/>
      <c r="TOF233" s="23"/>
      <c r="TOK233" s="26"/>
      <c r="TOO233" s="23"/>
      <c r="TOT233" s="26"/>
      <c r="TOX233" s="23"/>
      <c r="TPC233" s="26"/>
      <c r="TPG233" s="23"/>
      <c r="TPL233" s="26"/>
      <c r="TPP233" s="23"/>
      <c r="TPU233" s="26"/>
      <c r="TPY233" s="23"/>
      <c r="TQD233" s="26"/>
      <c r="TQH233" s="23"/>
      <c r="TQM233" s="26"/>
      <c r="TQQ233" s="23"/>
      <c r="TQV233" s="26"/>
      <c r="TQZ233" s="23"/>
      <c r="TRE233" s="26"/>
      <c r="TRI233" s="23"/>
      <c r="TRN233" s="26"/>
      <c r="TRR233" s="23"/>
      <c r="TRW233" s="26"/>
      <c r="TSA233" s="23"/>
      <c r="TSF233" s="26"/>
      <c r="TSJ233" s="23"/>
      <c r="TSO233" s="26"/>
      <c r="TSS233" s="23"/>
      <c r="TSX233" s="26"/>
      <c r="TTB233" s="23"/>
      <c r="TTG233" s="26"/>
      <c r="TTK233" s="23"/>
      <c r="TTP233" s="26"/>
      <c r="TTT233" s="23"/>
      <c r="TTY233" s="26"/>
      <c r="TUC233" s="23"/>
      <c r="TUH233" s="26"/>
      <c r="TUL233" s="23"/>
      <c r="TUQ233" s="26"/>
      <c r="TUU233" s="23"/>
      <c r="TUZ233" s="26"/>
      <c r="TVD233" s="23"/>
      <c r="TVI233" s="26"/>
      <c r="TVM233" s="23"/>
      <c r="TVR233" s="26"/>
      <c r="TVV233" s="23"/>
      <c r="TWA233" s="26"/>
      <c r="TWE233" s="23"/>
      <c r="TWJ233" s="26"/>
      <c r="TWN233" s="23"/>
      <c r="TWS233" s="26"/>
      <c r="TWW233" s="23"/>
      <c r="TXB233" s="26"/>
      <c r="TXF233" s="23"/>
      <c r="TXK233" s="26"/>
      <c r="TXO233" s="23"/>
      <c r="TXT233" s="26"/>
      <c r="TXX233" s="23"/>
      <c r="TYC233" s="26"/>
      <c r="TYG233" s="23"/>
      <c r="TYL233" s="26"/>
      <c r="TYP233" s="23"/>
      <c r="TYU233" s="26"/>
      <c r="TYY233" s="23"/>
      <c r="TZD233" s="26"/>
      <c r="TZH233" s="23"/>
      <c r="TZM233" s="26"/>
      <c r="TZQ233" s="23"/>
      <c r="TZV233" s="26"/>
      <c r="TZZ233" s="23"/>
      <c r="UAE233" s="26"/>
      <c r="UAI233" s="23"/>
      <c r="UAN233" s="26"/>
      <c r="UAR233" s="23"/>
      <c r="UAW233" s="26"/>
      <c r="UBA233" s="23"/>
      <c r="UBF233" s="26"/>
      <c r="UBJ233" s="23"/>
      <c r="UBO233" s="26"/>
      <c r="UBS233" s="23"/>
      <c r="UBX233" s="26"/>
      <c r="UCB233" s="23"/>
      <c r="UCG233" s="26"/>
      <c r="UCK233" s="23"/>
      <c r="UCP233" s="26"/>
      <c r="UCT233" s="23"/>
      <c r="UCY233" s="26"/>
      <c r="UDC233" s="23"/>
      <c r="UDH233" s="26"/>
      <c r="UDL233" s="23"/>
      <c r="UDQ233" s="26"/>
      <c r="UDU233" s="23"/>
      <c r="UDZ233" s="26"/>
      <c r="UED233" s="23"/>
      <c r="UEI233" s="26"/>
      <c r="UEM233" s="23"/>
      <c r="UER233" s="26"/>
      <c r="UEV233" s="23"/>
      <c r="UFA233" s="26"/>
      <c r="UFE233" s="23"/>
      <c r="UFJ233" s="26"/>
      <c r="UFN233" s="23"/>
      <c r="UFS233" s="26"/>
      <c r="UFW233" s="23"/>
      <c r="UGB233" s="26"/>
      <c r="UGF233" s="23"/>
      <c r="UGK233" s="26"/>
      <c r="UGO233" s="23"/>
      <c r="UGT233" s="26"/>
      <c r="UGX233" s="23"/>
      <c r="UHC233" s="26"/>
      <c r="UHG233" s="23"/>
      <c r="UHL233" s="26"/>
      <c r="UHP233" s="23"/>
      <c r="UHU233" s="26"/>
      <c r="UHY233" s="23"/>
      <c r="UID233" s="26"/>
      <c r="UIH233" s="23"/>
      <c r="UIM233" s="26"/>
      <c r="UIQ233" s="23"/>
      <c r="UIV233" s="26"/>
      <c r="UIZ233" s="23"/>
      <c r="UJE233" s="26"/>
      <c r="UJI233" s="23"/>
      <c r="UJN233" s="26"/>
      <c r="UJR233" s="23"/>
      <c r="UJW233" s="26"/>
      <c r="UKA233" s="23"/>
      <c r="UKF233" s="26"/>
      <c r="UKJ233" s="23"/>
      <c r="UKO233" s="26"/>
      <c r="UKS233" s="23"/>
      <c r="UKX233" s="26"/>
      <c r="ULB233" s="23"/>
      <c r="ULG233" s="26"/>
      <c r="ULK233" s="23"/>
      <c r="ULP233" s="26"/>
      <c r="ULT233" s="23"/>
      <c r="ULY233" s="26"/>
      <c r="UMC233" s="23"/>
      <c r="UMH233" s="26"/>
      <c r="UML233" s="23"/>
      <c r="UMQ233" s="26"/>
      <c r="UMU233" s="23"/>
      <c r="UMZ233" s="26"/>
      <c r="UND233" s="23"/>
      <c r="UNI233" s="26"/>
      <c r="UNM233" s="23"/>
      <c r="UNR233" s="26"/>
      <c r="UNV233" s="23"/>
      <c r="UOA233" s="26"/>
      <c r="UOE233" s="23"/>
      <c r="UOJ233" s="26"/>
      <c r="UON233" s="23"/>
      <c r="UOS233" s="26"/>
      <c r="UOW233" s="23"/>
      <c r="UPB233" s="26"/>
      <c r="UPF233" s="23"/>
      <c r="UPK233" s="26"/>
      <c r="UPO233" s="23"/>
      <c r="UPT233" s="26"/>
      <c r="UPX233" s="23"/>
      <c r="UQC233" s="26"/>
      <c r="UQG233" s="23"/>
      <c r="UQL233" s="26"/>
      <c r="UQP233" s="23"/>
      <c r="UQU233" s="26"/>
      <c r="UQY233" s="23"/>
      <c r="URD233" s="26"/>
      <c r="URH233" s="23"/>
      <c r="URM233" s="26"/>
      <c r="URQ233" s="23"/>
      <c r="URV233" s="26"/>
      <c r="URZ233" s="23"/>
      <c r="USE233" s="26"/>
      <c r="USI233" s="23"/>
      <c r="USN233" s="26"/>
      <c r="USR233" s="23"/>
      <c r="USW233" s="26"/>
      <c r="UTA233" s="23"/>
      <c r="UTF233" s="26"/>
      <c r="UTJ233" s="23"/>
      <c r="UTO233" s="26"/>
      <c r="UTS233" s="23"/>
      <c r="UTX233" s="26"/>
      <c r="UUB233" s="23"/>
      <c r="UUG233" s="26"/>
      <c r="UUK233" s="23"/>
      <c r="UUP233" s="26"/>
      <c r="UUT233" s="23"/>
      <c r="UUY233" s="26"/>
      <c r="UVC233" s="23"/>
      <c r="UVH233" s="26"/>
      <c r="UVL233" s="23"/>
      <c r="UVQ233" s="26"/>
      <c r="UVU233" s="23"/>
      <c r="UVZ233" s="26"/>
      <c r="UWD233" s="23"/>
      <c r="UWI233" s="26"/>
      <c r="UWM233" s="23"/>
      <c r="UWR233" s="26"/>
      <c r="UWV233" s="23"/>
      <c r="UXA233" s="26"/>
      <c r="UXE233" s="23"/>
      <c r="UXJ233" s="26"/>
      <c r="UXN233" s="23"/>
      <c r="UXS233" s="26"/>
      <c r="UXW233" s="23"/>
      <c r="UYB233" s="26"/>
      <c r="UYF233" s="23"/>
      <c r="UYK233" s="26"/>
      <c r="UYO233" s="23"/>
      <c r="UYT233" s="26"/>
      <c r="UYX233" s="23"/>
      <c r="UZC233" s="26"/>
      <c r="UZG233" s="23"/>
      <c r="UZL233" s="26"/>
      <c r="UZP233" s="23"/>
      <c r="UZU233" s="26"/>
      <c r="UZY233" s="23"/>
      <c r="VAD233" s="26"/>
      <c r="VAH233" s="23"/>
      <c r="VAM233" s="26"/>
      <c r="VAQ233" s="23"/>
      <c r="VAV233" s="26"/>
      <c r="VAZ233" s="23"/>
      <c r="VBE233" s="26"/>
      <c r="VBI233" s="23"/>
      <c r="VBN233" s="26"/>
      <c r="VBR233" s="23"/>
      <c r="VBW233" s="26"/>
      <c r="VCA233" s="23"/>
      <c r="VCF233" s="26"/>
      <c r="VCJ233" s="23"/>
      <c r="VCO233" s="26"/>
      <c r="VCS233" s="23"/>
      <c r="VCX233" s="26"/>
      <c r="VDB233" s="23"/>
      <c r="VDG233" s="26"/>
      <c r="VDK233" s="23"/>
      <c r="VDP233" s="26"/>
      <c r="VDT233" s="23"/>
      <c r="VDY233" s="26"/>
      <c r="VEC233" s="23"/>
      <c r="VEH233" s="26"/>
      <c r="VEL233" s="23"/>
      <c r="VEQ233" s="26"/>
      <c r="VEU233" s="23"/>
      <c r="VEZ233" s="26"/>
      <c r="VFD233" s="23"/>
      <c r="VFI233" s="26"/>
      <c r="VFM233" s="23"/>
      <c r="VFR233" s="26"/>
      <c r="VFV233" s="23"/>
      <c r="VGA233" s="26"/>
      <c r="VGE233" s="23"/>
      <c r="VGJ233" s="26"/>
      <c r="VGN233" s="23"/>
      <c r="VGS233" s="26"/>
      <c r="VGW233" s="23"/>
      <c r="VHB233" s="26"/>
      <c r="VHF233" s="23"/>
      <c r="VHK233" s="26"/>
      <c r="VHO233" s="23"/>
      <c r="VHT233" s="26"/>
      <c r="VHX233" s="23"/>
      <c r="VIC233" s="26"/>
      <c r="VIG233" s="23"/>
      <c r="VIL233" s="26"/>
      <c r="VIP233" s="23"/>
      <c r="VIU233" s="26"/>
      <c r="VIY233" s="23"/>
      <c r="VJD233" s="26"/>
      <c r="VJH233" s="23"/>
      <c r="VJM233" s="26"/>
      <c r="VJQ233" s="23"/>
      <c r="VJV233" s="26"/>
      <c r="VJZ233" s="23"/>
      <c r="VKE233" s="26"/>
      <c r="VKI233" s="23"/>
      <c r="VKN233" s="26"/>
      <c r="VKR233" s="23"/>
      <c r="VKW233" s="26"/>
      <c r="VLA233" s="23"/>
      <c r="VLF233" s="26"/>
      <c r="VLJ233" s="23"/>
      <c r="VLO233" s="26"/>
      <c r="VLS233" s="23"/>
      <c r="VLX233" s="26"/>
      <c r="VMB233" s="23"/>
      <c r="VMG233" s="26"/>
      <c r="VMK233" s="23"/>
      <c r="VMP233" s="26"/>
      <c r="VMT233" s="23"/>
      <c r="VMY233" s="26"/>
      <c r="VNC233" s="23"/>
      <c r="VNH233" s="26"/>
      <c r="VNL233" s="23"/>
      <c r="VNQ233" s="26"/>
      <c r="VNU233" s="23"/>
      <c r="VNZ233" s="26"/>
      <c r="VOD233" s="23"/>
      <c r="VOI233" s="26"/>
      <c r="VOM233" s="23"/>
      <c r="VOR233" s="26"/>
      <c r="VOV233" s="23"/>
      <c r="VPA233" s="26"/>
      <c r="VPE233" s="23"/>
      <c r="VPJ233" s="26"/>
      <c r="VPN233" s="23"/>
      <c r="VPS233" s="26"/>
      <c r="VPW233" s="23"/>
      <c r="VQB233" s="26"/>
      <c r="VQF233" s="23"/>
      <c r="VQK233" s="26"/>
      <c r="VQO233" s="23"/>
      <c r="VQT233" s="26"/>
      <c r="VQX233" s="23"/>
      <c r="VRC233" s="26"/>
      <c r="VRG233" s="23"/>
      <c r="VRL233" s="26"/>
      <c r="VRP233" s="23"/>
      <c r="VRU233" s="26"/>
      <c r="VRY233" s="23"/>
      <c r="VSD233" s="26"/>
      <c r="VSH233" s="23"/>
      <c r="VSM233" s="26"/>
      <c r="VSQ233" s="23"/>
      <c r="VSV233" s="26"/>
      <c r="VSZ233" s="23"/>
      <c r="VTE233" s="26"/>
      <c r="VTI233" s="23"/>
      <c r="VTN233" s="26"/>
      <c r="VTR233" s="23"/>
      <c r="VTW233" s="26"/>
      <c r="VUA233" s="23"/>
      <c r="VUF233" s="26"/>
      <c r="VUJ233" s="23"/>
      <c r="VUO233" s="26"/>
      <c r="VUS233" s="23"/>
      <c r="VUX233" s="26"/>
      <c r="VVB233" s="23"/>
      <c r="VVG233" s="26"/>
      <c r="VVK233" s="23"/>
      <c r="VVP233" s="26"/>
      <c r="VVT233" s="23"/>
      <c r="VVY233" s="26"/>
      <c r="VWC233" s="23"/>
      <c r="VWH233" s="26"/>
      <c r="VWL233" s="23"/>
      <c r="VWQ233" s="26"/>
      <c r="VWU233" s="23"/>
      <c r="VWZ233" s="26"/>
      <c r="VXD233" s="23"/>
      <c r="VXI233" s="26"/>
      <c r="VXM233" s="23"/>
      <c r="VXR233" s="26"/>
      <c r="VXV233" s="23"/>
      <c r="VYA233" s="26"/>
      <c r="VYE233" s="23"/>
      <c r="VYJ233" s="26"/>
      <c r="VYN233" s="23"/>
      <c r="VYS233" s="26"/>
      <c r="VYW233" s="23"/>
      <c r="VZB233" s="26"/>
      <c r="VZF233" s="23"/>
      <c r="VZK233" s="26"/>
      <c r="VZO233" s="23"/>
      <c r="VZT233" s="26"/>
      <c r="VZX233" s="23"/>
      <c r="WAC233" s="26"/>
      <c r="WAG233" s="23"/>
      <c r="WAL233" s="26"/>
      <c r="WAP233" s="23"/>
      <c r="WAU233" s="26"/>
      <c r="WAY233" s="23"/>
      <c r="WBD233" s="26"/>
      <c r="WBH233" s="23"/>
      <c r="WBM233" s="26"/>
      <c r="WBQ233" s="23"/>
      <c r="WBV233" s="26"/>
      <c r="WBZ233" s="23"/>
      <c r="WCE233" s="26"/>
      <c r="WCI233" s="23"/>
      <c r="WCN233" s="26"/>
      <c r="WCR233" s="23"/>
      <c r="WCW233" s="26"/>
      <c r="WDA233" s="23"/>
      <c r="WDF233" s="26"/>
      <c r="WDJ233" s="23"/>
      <c r="WDO233" s="26"/>
      <c r="WDS233" s="23"/>
      <c r="WDX233" s="26"/>
      <c r="WEB233" s="23"/>
      <c r="WEG233" s="26"/>
      <c r="WEK233" s="23"/>
      <c r="WEP233" s="26"/>
      <c r="WET233" s="23"/>
      <c r="WEY233" s="26"/>
      <c r="WFC233" s="23"/>
      <c r="WFH233" s="26"/>
      <c r="WFL233" s="23"/>
      <c r="WFQ233" s="26"/>
      <c r="WFU233" s="23"/>
      <c r="WFZ233" s="26"/>
      <c r="WGD233" s="23"/>
      <c r="WGI233" s="26"/>
      <c r="WGM233" s="23"/>
      <c r="WGR233" s="26"/>
      <c r="WGV233" s="23"/>
      <c r="WHA233" s="26"/>
      <c r="WHE233" s="23"/>
      <c r="WHJ233" s="26"/>
      <c r="WHN233" s="23"/>
      <c r="WHS233" s="26"/>
      <c r="WHW233" s="23"/>
      <c r="WIB233" s="26"/>
      <c r="WIF233" s="23"/>
      <c r="WIK233" s="26"/>
      <c r="WIO233" s="23"/>
      <c r="WIT233" s="26"/>
      <c r="WIX233" s="23"/>
      <c r="WJC233" s="26"/>
      <c r="WJG233" s="23"/>
      <c r="WJL233" s="26"/>
      <c r="WJP233" s="23"/>
      <c r="WJU233" s="26"/>
      <c r="WJY233" s="23"/>
      <c r="WKD233" s="26"/>
      <c r="WKH233" s="23"/>
      <c r="WKM233" s="26"/>
      <c r="WKQ233" s="23"/>
      <c r="WKV233" s="26"/>
      <c r="WKZ233" s="23"/>
      <c r="WLE233" s="26"/>
      <c r="WLI233" s="23"/>
      <c r="WLN233" s="26"/>
      <c r="WLR233" s="23"/>
      <c r="WLW233" s="26"/>
      <c r="WMA233" s="23"/>
      <c r="WMF233" s="26"/>
      <c r="WMJ233" s="23"/>
      <c r="WMO233" s="26"/>
      <c r="WMS233" s="23"/>
      <c r="WMX233" s="26"/>
      <c r="WNB233" s="23"/>
      <c r="WNG233" s="26"/>
      <c r="WNK233" s="23"/>
      <c r="WNP233" s="26"/>
      <c r="WNT233" s="23"/>
      <c r="WNY233" s="26"/>
      <c r="WOC233" s="23"/>
      <c r="WOH233" s="26"/>
      <c r="WOL233" s="23"/>
      <c r="WOQ233" s="26"/>
      <c r="WOU233" s="23"/>
      <c r="WOZ233" s="26"/>
      <c r="WPD233" s="23"/>
      <c r="WPI233" s="26"/>
      <c r="WPM233" s="23"/>
      <c r="WPR233" s="26"/>
      <c r="WPV233" s="23"/>
      <c r="WQA233" s="26"/>
      <c r="WQE233" s="23"/>
      <c r="WQJ233" s="26"/>
      <c r="WQN233" s="23"/>
      <c r="WQS233" s="26"/>
      <c r="WQW233" s="23"/>
      <c r="WRB233" s="26"/>
      <c r="WRF233" s="23"/>
      <c r="WRK233" s="26"/>
      <c r="WRO233" s="23"/>
      <c r="WRT233" s="26"/>
      <c r="WRX233" s="23"/>
      <c r="WSC233" s="26"/>
      <c r="WSG233" s="23"/>
      <c r="WSL233" s="26"/>
      <c r="WSP233" s="23"/>
      <c r="WSU233" s="26"/>
      <c r="WSY233" s="23"/>
      <c r="WTD233" s="26"/>
      <c r="WTH233" s="23"/>
      <c r="WTM233" s="26"/>
      <c r="WTQ233" s="23"/>
      <c r="WTV233" s="26"/>
      <c r="WTZ233" s="23"/>
      <c r="WUE233" s="26"/>
      <c r="WUI233" s="23"/>
      <c r="WUN233" s="26"/>
      <c r="WUR233" s="23"/>
      <c r="WUW233" s="26"/>
      <c r="WVA233" s="23"/>
      <c r="WVF233" s="26"/>
      <c r="WVJ233" s="23"/>
      <c r="WVO233" s="26"/>
      <c r="WVS233" s="23"/>
      <c r="WVX233" s="26"/>
      <c r="WWB233" s="23"/>
      <c r="WWG233" s="26"/>
      <c r="WWK233" s="23"/>
      <c r="WWP233" s="26"/>
      <c r="WWT233" s="23"/>
      <c r="WWY233" s="26"/>
      <c r="WXC233" s="23"/>
      <c r="WXH233" s="26"/>
      <c r="WXL233" s="23"/>
      <c r="WXQ233" s="26"/>
      <c r="WXU233" s="23"/>
      <c r="WXZ233" s="26"/>
      <c r="WYD233" s="23"/>
      <c r="WYI233" s="26"/>
      <c r="WYM233" s="23"/>
      <c r="WYR233" s="26"/>
      <c r="WYV233" s="23"/>
      <c r="WZA233" s="26"/>
      <c r="WZE233" s="23"/>
      <c r="WZJ233" s="26"/>
      <c r="WZN233" s="23"/>
      <c r="WZS233" s="26"/>
      <c r="WZW233" s="23"/>
      <c r="XAB233" s="26"/>
      <c r="XAF233" s="23"/>
      <c r="XAK233" s="26"/>
      <c r="XAO233" s="23"/>
      <c r="XAT233" s="26"/>
      <c r="XAX233" s="23"/>
      <c r="XBC233" s="26"/>
      <c r="XBG233" s="23"/>
      <c r="XBL233" s="26"/>
      <c r="XBP233" s="23"/>
      <c r="XBU233" s="26"/>
      <c r="XBY233" s="23"/>
      <c r="XCD233" s="26"/>
      <c r="XCH233" s="23"/>
      <c r="XCM233" s="26"/>
      <c r="XCQ233" s="23"/>
      <c r="XCV233" s="26"/>
      <c r="XCZ233" s="23"/>
      <c r="XDE233" s="26"/>
      <c r="XDI233" s="23"/>
      <c r="XDN233" s="26"/>
      <c r="XDR233" s="23"/>
      <c r="XDW233" s="26"/>
      <c r="XEA233" s="23"/>
      <c r="XEF233" s="26"/>
      <c r="XEJ233" s="23"/>
      <c r="XEO233" s="26"/>
      <c r="XES233" s="23"/>
      <c r="XEX233" s="26"/>
      <c r="XFB233" s="23"/>
    </row>
    <row r="234" spans="2:1024 1028:2045 2050:3071 3076:4093 4097:5119 5123:6140 6145:7166 7171:8192 8197:9214 9218:10240 10244:11261 11266:12287 12292:13309 13313:14335 14339:15356 15361:16382" x14ac:dyDescent="0.3">
      <c r="B234" s="23"/>
      <c r="K234" s="23"/>
      <c r="P234" s="26"/>
      <c r="T234" s="23"/>
      <c r="Y234" s="26"/>
      <c r="AC234" s="23"/>
      <c r="AH234" s="26"/>
      <c r="AL234" s="23"/>
      <c r="AQ234" s="26"/>
      <c r="AU234" s="23"/>
      <c r="AZ234" s="26"/>
      <c r="BD234" s="23"/>
      <c r="BI234" s="26"/>
      <c r="BM234" s="23"/>
      <c r="BR234" s="26"/>
      <c r="BV234" s="23"/>
      <c r="CA234" s="26"/>
      <c r="CE234" s="23"/>
      <c r="CJ234" s="26"/>
      <c r="CN234" s="23"/>
      <c r="CS234" s="26"/>
      <c r="CW234" s="23"/>
      <c r="DB234" s="26"/>
      <c r="DF234" s="23"/>
      <c r="DK234" s="26"/>
      <c r="DO234" s="23"/>
      <c r="DT234" s="26"/>
      <c r="DX234" s="23"/>
      <c r="EC234" s="26"/>
      <c r="EG234" s="23"/>
      <c r="EL234" s="26"/>
      <c r="EP234" s="23"/>
      <c r="EU234" s="26"/>
      <c r="EY234" s="23"/>
      <c r="FD234" s="26"/>
      <c r="FH234" s="23"/>
      <c r="FM234" s="26"/>
      <c r="FQ234" s="23"/>
      <c r="FV234" s="26"/>
      <c r="FZ234" s="23"/>
      <c r="GE234" s="26"/>
      <c r="GI234" s="23"/>
      <c r="GN234" s="26"/>
      <c r="GR234" s="23"/>
      <c r="GW234" s="26"/>
      <c r="HA234" s="23"/>
      <c r="HF234" s="26"/>
      <c r="HJ234" s="23"/>
      <c r="HO234" s="26"/>
      <c r="HS234" s="23"/>
      <c r="HX234" s="26"/>
      <c r="IB234" s="23"/>
      <c r="IG234" s="26"/>
      <c r="IK234" s="23"/>
      <c r="IP234" s="26"/>
      <c r="IT234" s="23"/>
      <c r="IY234" s="26"/>
      <c r="JC234" s="23"/>
      <c r="JH234" s="26"/>
      <c r="JL234" s="23"/>
      <c r="JQ234" s="26"/>
      <c r="JU234" s="23"/>
      <c r="JZ234" s="26"/>
      <c r="KD234" s="23"/>
      <c r="KI234" s="26"/>
      <c r="KM234" s="23"/>
      <c r="KR234" s="26"/>
      <c r="KV234" s="23"/>
      <c r="LA234" s="26"/>
      <c r="LE234" s="23"/>
      <c r="LJ234" s="26"/>
      <c r="LN234" s="23"/>
      <c r="LS234" s="26"/>
      <c r="LW234" s="23"/>
      <c r="MB234" s="26"/>
      <c r="MF234" s="23"/>
      <c r="MK234" s="26"/>
      <c r="MO234" s="23"/>
      <c r="MT234" s="26"/>
      <c r="MX234" s="23"/>
      <c r="NC234" s="26"/>
      <c r="NG234" s="23"/>
      <c r="NL234" s="26"/>
      <c r="NP234" s="23"/>
      <c r="NU234" s="26"/>
      <c r="NY234" s="23"/>
      <c r="OD234" s="26"/>
      <c r="OH234" s="23"/>
      <c r="OM234" s="26"/>
      <c r="OQ234" s="23"/>
      <c r="OV234" s="26"/>
      <c r="OZ234" s="23"/>
      <c r="PE234" s="26"/>
      <c r="PI234" s="23"/>
      <c r="PN234" s="26"/>
      <c r="PR234" s="23"/>
      <c r="PW234" s="26"/>
      <c r="QA234" s="23"/>
      <c r="QF234" s="26"/>
      <c r="QJ234" s="23"/>
      <c r="QO234" s="26"/>
      <c r="QS234" s="23"/>
      <c r="QX234" s="26"/>
      <c r="RB234" s="23"/>
      <c r="RG234" s="26"/>
      <c r="RK234" s="23"/>
      <c r="RP234" s="26"/>
      <c r="RT234" s="23"/>
      <c r="RY234" s="26"/>
      <c r="SC234" s="23"/>
      <c r="SH234" s="26"/>
      <c r="SL234" s="23"/>
      <c r="SQ234" s="26"/>
      <c r="SU234" s="23"/>
      <c r="SZ234" s="26"/>
      <c r="TD234" s="23"/>
      <c r="TI234" s="26"/>
      <c r="TM234" s="23"/>
      <c r="TR234" s="26"/>
      <c r="TV234" s="23"/>
      <c r="UA234" s="26"/>
      <c r="UE234" s="23"/>
      <c r="UJ234" s="26"/>
      <c r="UN234" s="23"/>
      <c r="US234" s="26"/>
      <c r="UW234" s="23"/>
      <c r="VB234" s="26"/>
      <c r="VF234" s="23"/>
      <c r="VK234" s="26"/>
      <c r="VO234" s="23"/>
      <c r="VT234" s="26"/>
      <c r="VX234" s="23"/>
      <c r="WC234" s="26"/>
      <c r="WG234" s="23"/>
      <c r="WL234" s="26"/>
      <c r="WP234" s="23"/>
      <c r="WU234" s="26"/>
      <c r="WY234" s="23"/>
      <c r="XD234" s="26"/>
      <c r="XH234" s="23"/>
      <c r="XM234" s="26"/>
      <c r="XQ234" s="23"/>
      <c r="XV234" s="26"/>
      <c r="XZ234" s="23"/>
      <c r="YE234" s="26"/>
      <c r="YI234" s="23"/>
      <c r="YN234" s="26"/>
      <c r="YR234" s="23"/>
      <c r="YW234" s="26"/>
      <c r="ZA234" s="23"/>
      <c r="ZF234" s="26"/>
      <c r="ZJ234" s="23"/>
      <c r="ZO234" s="26"/>
      <c r="ZS234" s="23"/>
      <c r="ZX234" s="26"/>
      <c r="AAB234" s="23"/>
      <c r="AAG234" s="26"/>
      <c r="AAK234" s="23"/>
      <c r="AAP234" s="26"/>
      <c r="AAT234" s="23"/>
      <c r="AAY234" s="26"/>
      <c r="ABC234" s="23"/>
      <c r="ABH234" s="26"/>
      <c r="ABL234" s="23"/>
      <c r="ABQ234" s="26"/>
      <c r="ABU234" s="23"/>
      <c r="ABZ234" s="26"/>
      <c r="ACD234" s="23"/>
      <c r="ACI234" s="26"/>
      <c r="ACM234" s="23"/>
      <c r="ACR234" s="26"/>
      <c r="ACV234" s="23"/>
      <c r="ADA234" s="26"/>
      <c r="ADE234" s="23"/>
      <c r="ADJ234" s="26"/>
      <c r="ADN234" s="23"/>
      <c r="ADS234" s="26"/>
      <c r="ADW234" s="23"/>
      <c r="AEB234" s="26"/>
      <c r="AEF234" s="23"/>
      <c r="AEK234" s="26"/>
      <c r="AEO234" s="23"/>
      <c r="AET234" s="26"/>
      <c r="AEX234" s="23"/>
      <c r="AFC234" s="26"/>
      <c r="AFG234" s="23"/>
      <c r="AFL234" s="26"/>
      <c r="AFP234" s="23"/>
      <c r="AFU234" s="26"/>
      <c r="AFY234" s="23"/>
      <c r="AGD234" s="26"/>
      <c r="AGH234" s="23"/>
      <c r="AGM234" s="26"/>
      <c r="AGQ234" s="23"/>
      <c r="AGV234" s="26"/>
      <c r="AGZ234" s="23"/>
      <c r="AHE234" s="26"/>
      <c r="AHI234" s="23"/>
      <c r="AHN234" s="26"/>
      <c r="AHR234" s="23"/>
      <c r="AHW234" s="26"/>
      <c r="AIA234" s="23"/>
      <c r="AIF234" s="26"/>
      <c r="AIJ234" s="23"/>
      <c r="AIO234" s="26"/>
      <c r="AIS234" s="23"/>
      <c r="AIX234" s="26"/>
      <c r="AJB234" s="23"/>
      <c r="AJG234" s="26"/>
      <c r="AJK234" s="23"/>
      <c r="AJP234" s="26"/>
      <c r="AJT234" s="23"/>
      <c r="AJY234" s="26"/>
      <c r="AKC234" s="23"/>
      <c r="AKH234" s="26"/>
      <c r="AKL234" s="23"/>
      <c r="AKQ234" s="26"/>
      <c r="AKU234" s="23"/>
      <c r="AKZ234" s="26"/>
      <c r="ALD234" s="23"/>
      <c r="ALI234" s="26"/>
      <c r="ALM234" s="23"/>
      <c r="ALR234" s="26"/>
      <c r="ALV234" s="23"/>
      <c r="AMA234" s="26"/>
      <c r="AME234" s="23"/>
      <c r="AMJ234" s="26"/>
      <c r="AMN234" s="23"/>
      <c r="AMS234" s="26"/>
      <c r="AMW234" s="23"/>
      <c r="ANB234" s="26"/>
      <c r="ANF234" s="23"/>
      <c r="ANK234" s="26"/>
      <c r="ANO234" s="23"/>
      <c r="ANT234" s="26"/>
      <c r="ANX234" s="23"/>
      <c r="AOC234" s="26"/>
      <c r="AOG234" s="23"/>
      <c r="AOL234" s="26"/>
      <c r="AOP234" s="23"/>
      <c r="AOU234" s="26"/>
      <c r="AOY234" s="23"/>
      <c r="APD234" s="26"/>
      <c r="APH234" s="23"/>
      <c r="APM234" s="26"/>
      <c r="APQ234" s="23"/>
      <c r="APV234" s="26"/>
      <c r="APZ234" s="23"/>
      <c r="AQE234" s="26"/>
      <c r="AQI234" s="23"/>
      <c r="AQN234" s="26"/>
      <c r="AQR234" s="23"/>
      <c r="AQW234" s="26"/>
      <c r="ARA234" s="23"/>
      <c r="ARF234" s="26"/>
      <c r="ARJ234" s="23"/>
      <c r="ARO234" s="26"/>
      <c r="ARS234" s="23"/>
      <c r="ARX234" s="26"/>
      <c r="ASB234" s="23"/>
      <c r="ASG234" s="26"/>
      <c r="ASK234" s="23"/>
      <c r="ASP234" s="26"/>
      <c r="AST234" s="23"/>
      <c r="ASY234" s="26"/>
      <c r="ATC234" s="23"/>
      <c r="ATH234" s="26"/>
      <c r="ATL234" s="23"/>
      <c r="ATQ234" s="26"/>
      <c r="ATU234" s="23"/>
      <c r="ATZ234" s="26"/>
      <c r="AUD234" s="23"/>
      <c r="AUI234" s="26"/>
      <c r="AUM234" s="23"/>
      <c r="AUR234" s="26"/>
      <c r="AUV234" s="23"/>
      <c r="AVA234" s="26"/>
      <c r="AVE234" s="23"/>
      <c r="AVJ234" s="26"/>
      <c r="AVN234" s="23"/>
      <c r="AVS234" s="26"/>
      <c r="AVW234" s="23"/>
      <c r="AWB234" s="26"/>
      <c r="AWF234" s="23"/>
      <c r="AWK234" s="26"/>
      <c r="AWO234" s="23"/>
      <c r="AWT234" s="26"/>
      <c r="AWX234" s="23"/>
      <c r="AXC234" s="26"/>
      <c r="AXG234" s="23"/>
      <c r="AXL234" s="26"/>
      <c r="AXP234" s="23"/>
      <c r="AXU234" s="26"/>
      <c r="AXY234" s="23"/>
      <c r="AYD234" s="26"/>
      <c r="AYH234" s="23"/>
      <c r="AYM234" s="26"/>
      <c r="AYQ234" s="23"/>
      <c r="AYV234" s="26"/>
      <c r="AYZ234" s="23"/>
      <c r="AZE234" s="26"/>
      <c r="AZI234" s="23"/>
      <c r="AZN234" s="26"/>
      <c r="AZR234" s="23"/>
      <c r="AZW234" s="26"/>
      <c r="BAA234" s="23"/>
      <c r="BAF234" s="26"/>
      <c r="BAJ234" s="23"/>
      <c r="BAO234" s="26"/>
      <c r="BAS234" s="23"/>
      <c r="BAX234" s="26"/>
      <c r="BBB234" s="23"/>
      <c r="BBG234" s="26"/>
      <c r="BBK234" s="23"/>
      <c r="BBP234" s="26"/>
      <c r="BBT234" s="23"/>
      <c r="BBY234" s="26"/>
      <c r="BCC234" s="23"/>
      <c r="BCH234" s="26"/>
      <c r="BCL234" s="23"/>
      <c r="BCQ234" s="26"/>
      <c r="BCU234" s="23"/>
      <c r="BCZ234" s="26"/>
      <c r="BDD234" s="23"/>
      <c r="BDI234" s="26"/>
      <c r="BDM234" s="23"/>
      <c r="BDR234" s="26"/>
      <c r="BDV234" s="23"/>
      <c r="BEA234" s="26"/>
      <c r="BEE234" s="23"/>
      <c r="BEJ234" s="26"/>
      <c r="BEN234" s="23"/>
      <c r="BES234" s="26"/>
      <c r="BEW234" s="23"/>
      <c r="BFB234" s="26"/>
      <c r="BFF234" s="23"/>
      <c r="BFK234" s="26"/>
      <c r="BFO234" s="23"/>
      <c r="BFT234" s="26"/>
      <c r="BFX234" s="23"/>
      <c r="BGC234" s="26"/>
      <c r="BGG234" s="23"/>
      <c r="BGL234" s="26"/>
      <c r="BGP234" s="23"/>
      <c r="BGU234" s="26"/>
      <c r="BGY234" s="23"/>
      <c r="BHD234" s="26"/>
      <c r="BHH234" s="23"/>
      <c r="BHM234" s="26"/>
      <c r="BHQ234" s="23"/>
      <c r="BHV234" s="26"/>
      <c r="BHZ234" s="23"/>
      <c r="BIE234" s="26"/>
      <c r="BII234" s="23"/>
      <c r="BIN234" s="26"/>
      <c r="BIR234" s="23"/>
      <c r="BIW234" s="26"/>
      <c r="BJA234" s="23"/>
      <c r="BJF234" s="26"/>
      <c r="BJJ234" s="23"/>
      <c r="BJO234" s="26"/>
      <c r="BJS234" s="23"/>
      <c r="BJX234" s="26"/>
      <c r="BKB234" s="23"/>
      <c r="BKG234" s="26"/>
      <c r="BKK234" s="23"/>
      <c r="BKP234" s="26"/>
      <c r="BKT234" s="23"/>
      <c r="BKY234" s="26"/>
      <c r="BLC234" s="23"/>
      <c r="BLH234" s="26"/>
      <c r="BLL234" s="23"/>
      <c r="BLQ234" s="26"/>
      <c r="BLU234" s="23"/>
      <c r="BLZ234" s="26"/>
      <c r="BMD234" s="23"/>
      <c r="BMI234" s="26"/>
      <c r="BMM234" s="23"/>
      <c r="BMR234" s="26"/>
      <c r="BMV234" s="23"/>
      <c r="BNA234" s="26"/>
      <c r="BNE234" s="23"/>
      <c r="BNJ234" s="26"/>
      <c r="BNN234" s="23"/>
      <c r="BNS234" s="26"/>
      <c r="BNW234" s="23"/>
      <c r="BOB234" s="26"/>
      <c r="BOF234" s="23"/>
      <c r="BOK234" s="26"/>
      <c r="BOO234" s="23"/>
      <c r="BOT234" s="26"/>
      <c r="BOX234" s="23"/>
      <c r="BPC234" s="26"/>
      <c r="BPG234" s="23"/>
      <c r="BPL234" s="26"/>
      <c r="BPP234" s="23"/>
      <c r="BPU234" s="26"/>
      <c r="BPY234" s="23"/>
      <c r="BQD234" s="26"/>
      <c r="BQH234" s="23"/>
      <c r="BQM234" s="26"/>
      <c r="BQQ234" s="23"/>
      <c r="BQV234" s="26"/>
      <c r="BQZ234" s="23"/>
      <c r="BRE234" s="26"/>
      <c r="BRI234" s="23"/>
      <c r="BRN234" s="26"/>
      <c r="BRR234" s="23"/>
      <c r="BRW234" s="26"/>
      <c r="BSA234" s="23"/>
      <c r="BSF234" s="26"/>
      <c r="BSJ234" s="23"/>
      <c r="BSO234" s="26"/>
      <c r="BSS234" s="23"/>
      <c r="BSX234" s="26"/>
      <c r="BTB234" s="23"/>
      <c r="BTG234" s="26"/>
      <c r="BTK234" s="23"/>
      <c r="BTP234" s="26"/>
      <c r="BTT234" s="23"/>
      <c r="BTY234" s="26"/>
      <c r="BUC234" s="23"/>
      <c r="BUH234" s="26"/>
      <c r="BUL234" s="23"/>
      <c r="BUQ234" s="26"/>
      <c r="BUU234" s="23"/>
      <c r="BUZ234" s="26"/>
      <c r="BVD234" s="23"/>
      <c r="BVI234" s="26"/>
      <c r="BVM234" s="23"/>
      <c r="BVR234" s="26"/>
      <c r="BVV234" s="23"/>
      <c r="BWA234" s="26"/>
      <c r="BWE234" s="23"/>
      <c r="BWJ234" s="26"/>
      <c r="BWN234" s="23"/>
      <c r="BWS234" s="26"/>
      <c r="BWW234" s="23"/>
      <c r="BXB234" s="26"/>
      <c r="BXF234" s="23"/>
      <c r="BXK234" s="26"/>
      <c r="BXO234" s="23"/>
      <c r="BXT234" s="26"/>
      <c r="BXX234" s="23"/>
      <c r="BYC234" s="26"/>
      <c r="BYG234" s="23"/>
      <c r="BYL234" s="26"/>
      <c r="BYP234" s="23"/>
      <c r="BYU234" s="26"/>
      <c r="BYY234" s="23"/>
      <c r="BZD234" s="26"/>
      <c r="BZH234" s="23"/>
      <c r="BZM234" s="26"/>
      <c r="BZQ234" s="23"/>
      <c r="BZV234" s="26"/>
      <c r="BZZ234" s="23"/>
      <c r="CAE234" s="26"/>
      <c r="CAI234" s="23"/>
      <c r="CAN234" s="26"/>
      <c r="CAR234" s="23"/>
      <c r="CAW234" s="26"/>
      <c r="CBA234" s="23"/>
      <c r="CBF234" s="26"/>
      <c r="CBJ234" s="23"/>
      <c r="CBO234" s="26"/>
      <c r="CBS234" s="23"/>
      <c r="CBX234" s="26"/>
      <c r="CCB234" s="23"/>
      <c r="CCG234" s="26"/>
      <c r="CCK234" s="23"/>
      <c r="CCP234" s="26"/>
      <c r="CCT234" s="23"/>
      <c r="CCY234" s="26"/>
      <c r="CDC234" s="23"/>
      <c r="CDH234" s="26"/>
      <c r="CDL234" s="23"/>
      <c r="CDQ234" s="26"/>
      <c r="CDU234" s="23"/>
      <c r="CDZ234" s="26"/>
      <c r="CED234" s="23"/>
      <c r="CEI234" s="26"/>
      <c r="CEM234" s="23"/>
      <c r="CER234" s="26"/>
      <c r="CEV234" s="23"/>
      <c r="CFA234" s="26"/>
      <c r="CFE234" s="23"/>
      <c r="CFJ234" s="26"/>
      <c r="CFN234" s="23"/>
      <c r="CFS234" s="26"/>
      <c r="CFW234" s="23"/>
      <c r="CGB234" s="26"/>
      <c r="CGF234" s="23"/>
      <c r="CGK234" s="26"/>
      <c r="CGO234" s="23"/>
      <c r="CGT234" s="26"/>
      <c r="CGX234" s="23"/>
      <c r="CHC234" s="26"/>
      <c r="CHG234" s="23"/>
      <c r="CHL234" s="26"/>
      <c r="CHP234" s="23"/>
      <c r="CHU234" s="26"/>
      <c r="CHY234" s="23"/>
      <c r="CID234" s="26"/>
      <c r="CIH234" s="23"/>
      <c r="CIM234" s="26"/>
      <c r="CIQ234" s="23"/>
      <c r="CIV234" s="26"/>
      <c r="CIZ234" s="23"/>
      <c r="CJE234" s="26"/>
      <c r="CJI234" s="23"/>
      <c r="CJN234" s="26"/>
      <c r="CJR234" s="23"/>
      <c r="CJW234" s="26"/>
      <c r="CKA234" s="23"/>
      <c r="CKF234" s="26"/>
      <c r="CKJ234" s="23"/>
      <c r="CKO234" s="26"/>
      <c r="CKS234" s="23"/>
      <c r="CKX234" s="26"/>
      <c r="CLB234" s="23"/>
      <c r="CLG234" s="26"/>
      <c r="CLK234" s="23"/>
      <c r="CLP234" s="26"/>
      <c r="CLT234" s="23"/>
      <c r="CLY234" s="26"/>
      <c r="CMC234" s="23"/>
      <c r="CMH234" s="26"/>
      <c r="CML234" s="23"/>
      <c r="CMQ234" s="26"/>
      <c r="CMU234" s="23"/>
      <c r="CMZ234" s="26"/>
      <c r="CND234" s="23"/>
      <c r="CNI234" s="26"/>
      <c r="CNM234" s="23"/>
      <c r="CNR234" s="26"/>
      <c r="CNV234" s="23"/>
      <c r="COA234" s="26"/>
      <c r="COE234" s="23"/>
      <c r="COJ234" s="26"/>
      <c r="CON234" s="23"/>
      <c r="COS234" s="26"/>
      <c r="COW234" s="23"/>
      <c r="CPB234" s="26"/>
      <c r="CPF234" s="23"/>
      <c r="CPK234" s="26"/>
      <c r="CPO234" s="23"/>
      <c r="CPT234" s="26"/>
      <c r="CPX234" s="23"/>
      <c r="CQC234" s="26"/>
      <c r="CQG234" s="23"/>
      <c r="CQL234" s="26"/>
      <c r="CQP234" s="23"/>
      <c r="CQU234" s="26"/>
      <c r="CQY234" s="23"/>
      <c r="CRD234" s="26"/>
      <c r="CRH234" s="23"/>
      <c r="CRM234" s="26"/>
      <c r="CRQ234" s="23"/>
      <c r="CRV234" s="26"/>
      <c r="CRZ234" s="23"/>
      <c r="CSE234" s="26"/>
      <c r="CSI234" s="23"/>
      <c r="CSN234" s="26"/>
      <c r="CSR234" s="23"/>
      <c r="CSW234" s="26"/>
      <c r="CTA234" s="23"/>
      <c r="CTF234" s="26"/>
      <c r="CTJ234" s="23"/>
      <c r="CTO234" s="26"/>
      <c r="CTS234" s="23"/>
      <c r="CTX234" s="26"/>
      <c r="CUB234" s="23"/>
      <c r="CUG234" s="26"/>
      <c r="CUK234" s="23"/>
      <c r="CUP234" s="26"/>
      <c r="CUT234" s="23"/>
      <c r="CUY234" s="26"/>
      <c r="CVC234" s="23"/>
      <c r="CVH234" s="26"/>
      <c r="CVL234" s="23"/>
      <c r="CVQ234" s="26"/>
      <c r="CVU234" s="23"/>
      <c r="CVZ234" s="26"/>
      <c r="CWD234" s="23"/>
      <c r="CWI234" s="26"/>
      <c r="CWM234" s="23"/>
      <c r="CWR234" s="26"/>
      <c r="CWV234" s="23"/>
      <c r="CXA234" s="26"/>
      <c r="CXE234" s="23"/>
      <c r="CXJ234" s="26"/>
      <c r="CXN234" s="23"/>
      <c r="CXS234" s="26"/>
      <c r="CXW234" s="23"/>
      <c r="CYB234" s="26"/>
      <c r="CYF234" s="23"/>
      <c r="CYK234" s="26"/>
      <c r="CYO234" s="23"/>
      <c r="CYT234" s="26"/>
      <c r="CYX234" s="23"/>
      <c r="CZC234" s="26"/>
      <c r="CZG234" s="23"/>
      <c r="CZL234" s="26"/>
      <c r="CZP234" s="23"/>
      <c r="CZU234" s="26"/>
      <c r="CZY234" s="23"/>
      <c r="DAD234" s="26"/>
      <c r="DAH234" s="23"/>
      <c r="DAM234" s="26"/>
      <c r="DAQ234" s="23"/>
      <c r="DAV234" s="26"/>
      <c r="DAZ234" s="23"/>
      <c r="DBE234" s="26"/>
      <c r="DBI234" s="23"/>
      <c r="DBN234" s="26"/>
      <c r="DBR234" s="23"/>
      <c r="DBW234" s="26"/>
      <c r="DCA234" s="23"/>
      <c r="DCF234" s="26"/>
      <c r="DCJ234" s="23"/>
      <c r="DCO234" s="26"/>
      <c r="DCS234" s="23"/>
      <c r="DCX234" s="26"/>
      <c r="DDB234" s="23"/>
      <c r="DDG234" s="26"/>
      <c r="DDK234" s="23"/>
      <c r="DDP234" s="26"/>
      <c r="DDT234" s="23"/>
      <c r="DDY234" s="26"/>
      <c r="DEC234" s="23"/>
      <c r="DEH234" s="26"/>
      <c r="DEL234" s="23"/>
      <c r="DEQ234" s="26"/>
      <c r="DEU234" s="23"/>
      <c r="DEZ234" s="26"/>
      <c r="DFD234" s="23"/>
      <c r="DFI234" s="26"/>
      <c r="DFM234" s="23"/>
      <c r="DFR234" s="26"/>
      <c r="DFV234" s="23"/>
      <c r="DGA234" s="26"/>
      <c r="DGE234" s="23"/>
      <c r="DGJ234" s="26"/>
      <c r="DGN234" s="23"/>
      <c r="DGS234" s="26"/>
      <c r="DGW234" s="23"/>
      <c r="DHB234" s="26"/>
      <c r="DHF234" s="23"/>
      <c r="DHK234" s="26"/>
      <c r="DHO234" s="23"/>
      <c r="DHT234" s="26"/>
      <c r="DHX234" s="23"/>
      <c r="DIC234" s="26"/>
      <c r="DIG234" s="23"/>
      <c r="DIL234" s="26"/>
      <c r="DIP234" s="23"/>
      <c r="DIU234" s="26"/>
      <c r="DIY234" s="23"/>
      <c r="DJD234" s="26"/>
      <c r="DJH234" s="23"/>
      <c r="DJM234" s="26"/>
      <c r="DJQ234" s="23"/>
      <c r="DJV234" s="26"/>
      <c r="DJZ234" s="23"/>
      <c r="DKE234" s="26"/>
      <c r="DKI234" s="23"/>
      <c r="DKN234" s="26"/>
      <c r="DKR234" s="23"/>
      <c r="DKW234" s="26"/>
      <c r="DLA234" s="23"/>
      <c r="DLF234" s="26"/>
      <c r="DLJ234" s="23"/>
      <c r="DLO234" s="26"/>
      <c r="DLS234" s="23"/>
      <c r="DLX234" s="26"/>
      <c r="DMB234" s="23"/>
      <c r="DMG234" s="26"/>
      <c r="DMK234" s="23"/>
      <c r="DMP234" s="26"/>
      <c r="DMT234" s="23"/>
      <c r="DMY234" s="26"/>
      <c r="DNC234" s="23"/>
      <c r="DNH234" s="26"/>
      <c r="DNL234" s="23"/>
      <c r="DNQ234" s="26"/>
      <c r="DNU234" s="23"/>
      <c r="DNZ234" s="26"/>
      <c r="DOD234" s="23"/>
      <c r="DOI234" s="26"/>
      <c r="DOM234" s="23"/>
      <c r="DOR234" s="26"/>
      <c r="DOV234" s="23"/>
      <c r="DPA234" s="26"/>
      <c r="DPE234" s="23"/>
      <c r="DPJ234" s="26"/>
      <c r="DPN234" s="23"/>
      <c r="DPS234" s="26"/>
      <c r="DPW234" s="23"/>
      <c r="DQB234" s="26"/>
      <c r="DQF234" s="23"/>
      <c r="DQK234" s="26"/>
      <c r="DQO234" s="23"/>
      <c r="DQT234" s="26"/>
      <c r="DQX234" s="23"/>
      <c r="DRC234" s="26"/>
      <c r="DRG234" s="23"/>
      <c r="DRL234" s="26"/>
      <c r="DRP234" s="23"/>
      <c r="DRU234" s="26"/>
      <c r="DRY234" s="23"/>
      <c r="DSD234" s="26"/>
      <c r="DSH234" s="23"/>
      <c r="DSM234" s="26"/>
      <c r="DSQ234" s="23"/>
      <c r="DSV234" s="26"/>
      <c r="DSZ234" s="23"/>
      <c r="DTE234" s="26"/>
      <c r="DTI234" s="23"/>
      <c r="DTN234" s="26"/>
      <c r="DTR234" s="23"/>
      <c r="DTW234" s="26"/>
      <c r="DUA234" s="23"/>
      <c r="DUF234" s="26"/>
      <c r="DUJ234" s="23"/>
      <c r="DUO234" s="26"/>
      <c r="DUS234" s="23"/>
      <c r="DUX234" s="26"/>
      <c r="DVB234" s="23"/>
      <c r="DVG234" s="26"/>
      <c r="DVK234" s="23"/>
      <c r="DVP234" s="26"/>
      <c r="DVT234" s="23"/>
      <c r="DVY234" s="26"/>
      <c r="DWC234" s="23"/>
      <c r="DWH234" s="26"/>
      <c r="DWL234" s="23"/>
      <c r="DWQ234" s="26"/>
      <c r="DWU234" s="23"/>
      <c r="DWZ234" s="26"/>
      <c r="DXD234" s="23"/>
      <c r="DXI234" s="26"/>
      <c r="DXM234" s="23"/>
      <c r="DXR234" s="26"/>
      <c r="DXV234" s="23"/>
      <c r="DYA234" s="26"/>
      <c r="DYE234" s="23"/>
      <c r="DYJ234" s="26"/>
      <c r="DYN234" s="23"/>
      <c r="DYS234" s="26"/>
      <c r="DYW234" s="23"/>
      <c r="DZB234" s="26"/>
      <c r="DZF234" s="23"/>
      <c r="DZK234" s="26"/>
      <c r="DZO234" s="23"/>
      <c r="DZT234" s="26"/>
      <c r="DZX234" s="23"/>
      <c r="EAC234" s="26"/>
      <c r="EAG234" s="23"/>
      <c r="EAL234" s="26"/>
      <c r="EAP234" s="23"/>
      <c r="EAU234" s="26"/>
      <c r="EAY234" s="23"/>
      <c r="EBD234" s="26"/>
      <c r="EBH234" s="23"/>
      <c r="EBM234" s="26"/>
      <c r="EBQ234" s="23"/>
      <c r="EBV234" s="26"/>
      <c r="EBZ234" s="23"/>
      <c r="ECE234" s="26"/>
      <c r="ECI234" s="23"/>
      <c r="ECN234" s="26"/>
      <c r="ECR234" s="23"/>
      <c r="ECW234" s="26"/>
      <c r="EDA234" s="23"/>
      <c r="EDF234" s="26"/>
      <c r="EDJ234" s="23"/>
      <c r="EDO234" s="26"/>
      <c r="EDS234" s="23"/>
      <c r="EDX234" s="26"/>
      <c r="EEB234" s="23"/>
      <c r="EEG234" s="26"/>
      <c r="EEK234" s="23"/>
      <c r="EEP234" s="26"/>
      <c r="EET234" s="23"/>
      <c r="EEY234" s="26"/>
      <c r="EFC234" s="23"/>
      <c r="EFH234" s="26"/>
      <c r="EFL234" s="23"/>
      <c r="EFQ234" s="26"/>
      <c r="EFU234" s="23"/>
      <c r="EFZ234" s="26"/>
      <c r="EGD234" s="23"/>
      <c r="EGI234" s="26"/>
      <c r="EGM234" s="23"/>
      <c r="EGR234" s="26"/>
      <c r="EGV234" s="23"/>
      <c r="EHA234" s="26"/>
      <c r="EHE234" s="23"/>
      <c r="EHJ234" s="26"/>
      <c r="EHN234" s="23"/>
      <c r="EHS234" s="26"/>
      <c r="EHW234" s="23"/>
      <c r="EIB234" s="26"/>
      <c r="EIF234" s="23"/>
      <c r="EIK234" s="26"/>
      <c r="EIO234" s="23"/>
      <c r="EIT234" s="26"/>
      <c r="EIX234" s="23"/>
      <c r="EJC234" s="26"/>
      <c r="EJG234" s="23"/>
      <c r="EJL234" s="26"/>
      <c r="EJP234" s="23"/>
      <c r="EJU234" s="26"/>
      <c r="EJY234" s="23"/>
      <c r="EKD234" s="26"/>
      <c r="EKH234" s="23"/>
      <c r="EKM234" s="26"/>
      <c r="EKQ234" s="23"/>
      <c r="EKV234" s="26"/>
      <c r="EKZ234" s="23"/>
      <c r="ELE234" s="26"/>
      <c r="ELI234" s="23"/>
      <c r="ELN234" s="26"/>
      <c r="ELR234" s="23"/>
      <c r="ELW234" s="26"/>
      <c r="EMA234" s="23"/>
      <c r="EMF234" s="26"/>
      <c r="EMJ234" s="23"/>
      <c r="EMO234" s="26"/>
      <c r="EMS234" s="23"/>
      <c r="EMX234" s="26"/>
      <c r="ENB234" s="23"/>
      <c r="ENG234" s="26"/>
      <c r="ENK234" s="23"/>
      <c r="ENP234" s="26"/>
      <c r="ENT234" s="23"/>
      <c r="ENY234" s="26"/>
      <c r="EOC234" s="23"/>
      <c r="EOH234" s="26"/>
      <c r="EOL234" s="23"/>
      <c r="EOQ234" s="26"/>
      <c r="EOU234" s="23"/>
      <c r="EOZ234" s="26"/>
      <c r="EPD234" s="23"/>
      <c r="EPI234" s="26"/>
      <c r="EPM234" s="23"/>
      <c r="EPR234" s="26"/>
      <c r="EPV234" s="23"/>
      <c r="EQA234" s="26"/>
      <c r="EQE234" s="23"/>
      <c r="EQJ234" s="26"/>
      <c r="EQN234" s="23"/>
      <c r="EQS234" s="26"/>
      <c r="EQW234" s="23"/>
      <c r="ERB234" s="26"/>
      <c r="ERF234" s="23"/>
      <c r="ERK234" s="26"/>
      <c r="ERO234" s="23"/>
      <c r="ERT234" s="26"/>
      <c r="ERX234" s="23"/>
      <c r="ESC234" s="26"/>
      <c r="ESG234" s="23"/>
      <c r="ESL234" s="26"/>
      <c r="ESP234" s="23"/>
      <c r="ESU234" s="26"/>
      <c r="ESY234" s="23"/>
      <c r="ETD234" s="26"/>
      <c r="ETH234" s="23"/>
      <c r="ETM234" s="26"/>
      <c r="ETQ234" s="23"/>
      <c r="ETV234" s="26"/>
      <c r="ETZ234" s="23"/>
      <c r="EUE234" s="26"/>
      <c r="EUI234" s="23"/>
      <c r="EUN234" s="26"/>
      <c r="EUR234" s="23"/>
      <c r="EUW234" s="26"/>
      <c r="EVA234" s="23"/>
      <c r="EVF234" s="26"/>
      <c r="EVJ234" s="23"/>
      <c r="EVO234" s="26"/>
      <c r="EVS234" s="23"/>
      <c r="EVX234" s="26"/>
      <c r="EWB234" s="23"/>
      <c r="EWG234" s="26"/>
      <c r="EWK234" s="23"/>
      <c r="EWP234" s="26"/>
      <c r="EWT234" s="23"/>
      <c r="EWY234" s="26"/>
      <c r="EXC234" s="23"/>
      <c r="EXH234" s="26"/>
      <c r="EXL234" s="23"/>
      <c r="EXQ234" s="26"/>
      <c r="EXU234" s="23"/>
      <c r="EXZ234" s="26"/>
      <c r="EYD234" s="23"/>
      <c r="EYI234" s="26"/>
      <c r="EYM234" s="23"/>
      <c r="EYR234" s="26"/>
      <c r="EYV234" s="23"/>
      <c r="EZA234" s="26"/>
      <c r="EZE234" s="23"/>
      <c r="EZJ234" s="26"/>
      <c r="EZN234" s="23"/>
      <c r="EZS234" s="26"/>
      <c r="EZW234" s="23"/>
      <c r="FAB234" s="26"/>
      <c r="FAF234" s="23"/>
      <c r="FAK234" s="26"/>
      <c r="FAO234" s="23"/>
      <c r="FAT234" s="26"/>
      <c r="FAX234" s="23"/>
      <c r="FBC234" s="26"/>
      <c r="FBG234" s="23"/>
      <c r="FBL234" s="26"/>
      <c r="FBP234" s="23"/>
      <c r="FBU234" s="26"/>
      <c r="FBY234" s="23"/>
      <c r="FCD234" s="26"/>
      <c r="FCH234" s="23"/>
      <c r="FCM234" s="26"/>
      <c r="FCQ234" s="23"/>
      <c r="FCV234" s="26"/>
      <c r="FCZ234" s="23"/>
      <c r="FDE234" s="26"/>
      <c r="FDI234" s="23"/>
      <c r="FDN234" s="26"/>
      <c r="FDR234" s="23"/>
      <c r="FDW234" s="26"/>
      <c r="FEA234" s="23"/>
      <c r="FEF234" s="26"/>
      <c r="FEJ234" s="23"/>
      <c r="FEO234" s="26"/>
      <c r="FES234" s="23"/>
      <c r="FEX234" s="26"/>
      <c r="FFB234" s="23"/>
      <c r="FFG234" s="26"/>
      <c r="FFK234" s="23"/>
      <c r="FFP234" s="26"/>
      <c r="FFT234" s="23"/>
      <c r="FFY234" s="26"/>
      <c r="FGC234" s="23"/>
      <c r="FGH234" s="26"/>
      <c r="FGL234" s="23"/>
      <c r="FGQ234" s="26"/>
      <c r="FGU234" s="23"/>
      <c r="FGZ234" s="26"/>
      <c r="FHD234" s="23"/>
      <c r="FHI234" s="26"/>
      <c r="FHM234" s="23"/>
      <c r="FHR234" s="26"/>
      <c r="FHV234" s="23"/>
      <c r="FIA234" s="26"/>
      <c r="FIE234" s="23"/>
      <c r="FIJ234" s="26"/>
      <c r="FIN234" s="23"/>
      <c r="FIS234" s="26"/>
      <c r="FIW234" s="23"/>
      <c r="FJB234" s="26"/>
      <c r="FJF234" s="23"/>
      <c r="FJK234" s="26"/>
      <c r="FJO234" s="23"/>
      <c r="FJT234" s="26"/>
      <c r="FJX234" s="23"/>
      <c r="FKC234" s="26"/>
      <c r="FKG234" s="23"/>
      <c r="FKL234" s="26"/>
      <c r="FKP234" s="23"/>
      <c r="FKU234" s="26"/>
      <c r="FKY234" s="23"/>
      <c r="FLD234" s="26"/>
      <c r="FLH234" s="23"/>
      <c r="FLM234" s="26"/>
      <c r="FLQ234" s="23"/>
      <c r="FLV234" s="26"/>
      <c r="FLZ234" s="23"/>
      <c r="FME234" s="26"/>
      <c r="FMI234" s="23"/>
      <c r="FMN234" s="26"/>
      <c r="FMR234" s="23"/>
      <c r="FMW234" s="26"/>
      <c r="FNA234" s="23"/>
      <c r="FNF234" s="26"/>
      <c r="FNJ234" s="23"/>
      <c r="FNO234" s="26"/>
      <c r="FNS234" s="23"/>
      <c r="FNX234" s="26"/>
      <c r="FOB234" s="23"/>
      <c r="FOG234" s="26"/>
      <c r="FOK234" s="23"/>
      <c r="FOP234" s="26"/>
      <c r="FOT234" s="23"/>
      <c r="FOY234" s="26"/>
      <c r="FPC234" s="23"/>
      <c r="FPH234" s="26"/>
      <c r="FPL234" s="23"/>
      <c r="FPQ234" s="26"/>
      <c r="FPU234" s="23"/>
      <c r="FPZ234" s="26"/>
      <c r="FQD234" s="23"/>
      <c r="FQI234" s="26"/>
      <c r="FQM234" s="23"/>
      <c r="FQR234" s="26"/>
      <c r="FQV234" s="23"/>
      <c r="FRA234" s="26"/>
      <c r="FRE234" s="23"/>
      <c r="FRJ234" s="26"/>
      <c r="FRN234" s="23"/>
      <c r="FRS234" s="26"/>
      <c r="FRW234" s="23"/>
      <c r="FSB234" s="26"/>
      <c r="FSF234" s="23"/>
      <c r="FSK234" s="26"/>
      <c r="FSO234" s="23"/>
      <c r="FST234" s="26"/>
      <c r="FSX234" s="23"/>
      <c r="FTC234" s="26"/>
      <c r="FTG234" s="23"/>
      <c r="FTL234" s="26"/>
      <c r="FTP234" s="23"/>
      <c r="FTU234" s="26"/>
      <c r="FTY234" s="23"/>
      <c r="FUD234" s="26"/>
      <c r="FUH234" s="23"/>
      <c r="FUM234" s="26"/>
      <c r="FUQ234" s="23"/>
      <c r="FUV234" s="26"/>
      <c r="FUZ234" s="23"/>
      <c r="FVE234" s="26"/>
      <c r="FVI234" s="23"/>
      <c r="FVN234" s="26"/>
      <c r="FVR234" s="23"/>
      <c r="FVW234" s="26"/>
      <c r="FWA234" s="23"/>
      <c r="FWF234" s="26"/>
      <c r="FWJ234" s="23"/>
      <c r="FWO234" s="26"/>
      <c r="FWS234" s="23"/>
      <c r="FWX234" s="26"/>
      <c r="FXB234" s="23"/>
      <c r="FXG234" s="26"/>
      <c r="FXK234" s="23"/>
      <c r="FXP234" s="26"/>
      <c r="FXT234" s="23"/>
      <c r="FXY234" s="26"/>
      <c r="FYC234" s="23"/>
      <c r="FYH234" s="26"/>
      <c r="FYL234" s="23"/>
      <c r="FYQ234" s="26"/>
      <c r="FYU234" s="23"/>
      <c r="FYZ234" s="26"/>
      <c r="FZD234" s="23"/>
      <c r="FZI234" s="26"/>
      <c r="FZM234" s="23"/>
      <c r="FZR234" s="26"/>
      <c r="FZV234" s="23"/>
      <c r="GAA234" s="26"/>
      <c r="GAE234" s="23"/>
      <c r="GAJ234" s="26"/>
      <c r="GAN234" s="23"/>
      <c r="GAS234" s="26"/>
      <c r="GAW234" s="23"/>
      <c r="GBB234" s="26"/>
      <c r="GBF234" s="23"/>
      <c r="GBK234" s="26"/>
      <c r="GBO234" s="23"/>
      <c r="GBT234" s="26"/>
      <c r="GBX234" s="23"/>
      <c r="GCC234" s="26"/>
      <c r="GCG234" s="23"/>
      <c r="GCL234" s="26"/>
      <c r="GCP234" s="23"/>
      <c r="GCU234" s="26"/>
      <c r="GCY234" s="23"/>
      <c r="GDD234" s="26"/>
      <c r="GDH234" s="23"/>
      <c r="GDM234" s="26"/>
      <c r="GDQ234" s="23"/>
      <c r="GDV234" s="26"/>
      <c r="GDZ234" s="23"/>
      <c r="GEE234" s="26"/>
      <c r="GEI234" s="23"/>
      <c r="GEN234" s="26"/>
      <c r="GER234" s="23"/>
      <c r="GEW234" s="26"/>
      <c r="GFA234" s="23"/>
      <c r="GFF234" s="26"/>
      <c r="GFJ234" s="23"/>
      <c r="GFO234" s="26"/>
      <c r="GFS234" s="23"/>
      <c r="GFX234" s="26"/>
      <c r="GGB234" s="23"/>
      <c r="GGG234" s="26"/>
      <c r="GGK234" s="23"/>
      <c r="GGP234" s="26"/>
      <c r="GGT234" s="23"/>
      <c r="GGY234" s="26"/>
      <c r="GHC234" s="23"/>
      <c r="GHH234" s="26"/>
      <c r="GHL234" s="23"/>
      <c r="GHQ234" s="26"/>
      <c r="GHU234" s="23"/>
      <c r="GHZ234" s="26"/>
      <c r="GID234" s="23"/>
      <c r="GII234" s="26"/>
      <c r="GIM234" s="23"/>
      <c r="GIR234" s="26"/>
      <c r="GIV234" s="23"/>
      <c r="GJA234" s="26"/>
      <c r="GJE234" s="23"/>
      <c r="GJJ234" s="26"/>
      <c r="GJN234" s="23"/>
      <c r="GJS234" s="26"/>
      <c r="GJW234" s="23"/>
      <c r="GKB234" s="26"/>
      <c r="GKF234" s="23"/>
      <c r="GKK234" s="26"/>
      <c r="GKO234" s="23"/>
      <c r="GKT234" s="26"/>
      <c r="GKX234" s="23"/>
      <c r="GLC234" s="26"/>
      <c r="GLG234" s="23"/>
      <c r="GLL234" s="26"/>
      <c r="GLP234" s="23"/>
      <c r="GLU234" s="26"/>
      <c r="GLY234" s="23"/>
      <c r="GMD234" s="26"/>
      <c r="GMH234" s="23"/>
      <c r="GMM234" s="26"/>
      <c r="GMQ234" s="23"/>
      <c r="GMV234" s="26"/>
      <c r="GMZ234" s="23"/>
      <c r="GNE234" s="26"/>
      <c r="GNI234" s="23"/>
      <c r="GNN234" s="26"/>
      <c r="GNR234" s="23"/>
      <c r="GNW234" s="26"/>
      <c r="GOA234" s="23"/>
      <c r="GOF234" s="26"/>
      <c r="GOJ234" s="23"/>
      <c r="GOO234" s="26"/>
      <c r="GOS234" s="23"/>
      <c r="GOX234" s="26"/>
      <c r="GPB234" s="23"/>
      <c r="GPG234" s="26"/>
      <c r="GPK234" s="23"/>
      <c r="GPP234" s="26"/>
      <c r="GPT234" s="23"/>
      <c r="GPY234" s="26"/>
      <c r="GQC234" s="23"/>
      <c r="GQH234" s="26"/>
      <c r="GQL234" s="23"/>
      <c r="GQQ234" s="26"/>
      <c r="GQU234" s="23"/>
      <c r="GQZ234" s="26"/>
      <c r="GRD234" s="23"/>
      <c r="GRI234" s="26"/>
      <c r="GRM234" s="23"/>
      <c r="GRR234" s="26"/>
      <c r="GRV234" s="23"/>
      <c r="GSA234" s="26"/>
      <c r="GSE234" s="23"/>
      <c r="GSJ234" s="26"/>
      <c r="GSN234" s="23"/>
      <c r="GSS234" s="26"/>
      <c r="GSW234" s="23"/>
      <c r="GTB234" s="26"/>
      <c r="GTF234" s="23"/>
      <c r="GTK234" s="26"/>
      <c r="GTO234" s="23"/>
      <c r="GTT234" s="26"/>
      <c r="GTX234" s="23"/>
      <c r="GUC234" s="26"/>
      <c r="GUG234" s="23"/>
      <c r="GUL234" s="26"/>
      <c r="GUP234" s="23"/>
      <c r="GUU234" s="26"/>
      <c r="GUY234" s="23"/>
      <c r="GVD234" s="26"/>
      <c r="GVH234" s="23"/>
      <c r="GVM234" s="26"/>
      <c r="GVQ234" s="23"/>
      <c r="GVV234" s="26"/>
      <c r="GVZ234" s="23"/>
      <c r="GWE234" s="26"/>
      <c r="GWI234" s="23"/>
      <c r="GWN234" s="26"/>
      <c r="GWR234" s="23"/>
      <c r="GWW234" s="26"/>
      <c r="GXA234" s="23"/>
      <c r="GXF234" s="26"/>
      <c r="GXJ234" s="23"/>
      <c r="GXO234" s="26"/>
      <c r="GXS234" s="23"/>
      <c r="GXX234" s="26"/>
      <c r="GYB234" s="23"/>
      <c r="GYG234" s="26"/>
      <c r="GYK234" s="23"/>
      <c r="GYP234" s="26"/>
      <c r="GYT234" s="23"/>
      <c r="GYY234" s="26"/>
      <c r="GZC234" s="23"/>
      <c r="GZH234" s="26"/>
      <c r="GZL234" s="23"/>
      <c r="GZQ234" s="26"/>
      <c r="GZU234" s="23"/>
      <c r="GZZ234" s="26"/>
      <c r="HAD234" s="23"/>
      <c r="HAI234" s="26"/>
      <c r="HAM234" s="23"/>
      <c r="HAR234" s="26"/>
      <c r="HAV234" s="23"/>
      <c r="HBA234" s="26"/>
      <c r="HBE234" s="23"/>
      <c r="HBJ234" s="26"/>
      <c r="HBN234" s="23"/>
      <c r="HBS234" s="26"/>
      <c r="HBW234" s="23"/>
      <c r="HCB234" s="26"/>
      <c r="HCF234" s="23"/>
      <c r="HCK234" s="26"/>
      <c r="HCO234" s="23"/>
      <c r="HCT234" s="26"/>
      <c r="HCX234" s="23"/>
      <c r="HDC234" s="26"/>
      <c r="HDG234" s="23"/>
      <c r="HDL234" s="26"/>
      <c r="HDP234" s="23"/>
      <c r="HDU234" s="26"/>
      <c r="HDY234" s="23"/>
      <c r="HED234" s="26"/>
      <c r="HEH234" s="23"/>
      <c r="HEM234" s="26"/>
      <c r="HEQ234" s="23"/>
      <c r="HEV234" s="26"/>
      <c r="HEZ234" s="23"/>
      <c r="HFE234" s="26"/>
      <c r="HFI234" s="23"/>
      <c r="HFN234" s="26"/>
      <c r="HFR234" s="23"/>
      <c r="HFW234" s="26"/>
      <c r="HGA234" s="23"/>
      <c r="HGF234" s="26"/>
      <c r="HGJ234" s="23"/>
      <c r="HGO234" s="26"/>
      <c r="HGS234" s="23"/>
      <c r="HGX234" s="26"/>
      <c r="HHB234" s="23"/>
      <c r="HHG234" s="26"/>
      <c r="HHK234" s="23"/>
      <c r="HHP234" s="26"/>
      <c r="HHT234" s="23"/>
      <c r="HHY234" s="26"/>
      <c r="HIC234" s="23"/>
      <c r="HIH234" s="26"/>
      <c r="HIL234" s="23"/>
      <c r="HIQ234" s="26"/>
      <c r="HIU234" s="23"/>
      <c r="HIZ234" s="26"/>
      <c r="HJD234" s="23"/>
      <c r="HJI234" s="26"/>
      <c r="HJM234" s="23"/>
      <c r="HJR234" s="26"/>
      <c r="HJV234" s="23"/>
      <c r="HKA234" s="26"/>
      <c r="HKE234" s="23"/>
      <c r="HKJ234" s="26"/>
      <c r="HKN234" s="23"/>
      <c r="HKS234" s="26"/>
      <c r="HKW234" s="23"/>
      <c r="HLB234" s="26"/>
      <c r="HLF234" s="23"/>
      <c r="HLK234" s="26"/>
      <c r="HLO234" s="23"/>
      <c r="HLT234" s="26"/>
      <c r="HLX234" s="23"/>
      <c r="HMC234" s="26"/>
      <c r="HMG234" s="23"/>
      <c r="HML234" s="26"/>
      <c r="HMP234" s="23"/>
      <c r="HMU234" s="26"/>
      <c r="HMY234" s="23"/>
      <c r="HND234" s="26"/>
      <c r="HNH234" s="23"/>
      <c r="HNM234" s="26"/>
      <c r="HNQ234" s="23"/>
      <c r="HNV234" s="26"/>
      <c r="HNZ234" s="23"/>
      <c r="HOE234" s="26"/>
      <c r="HOI234" s="23"/>
      <c r="HON234" s="26"/>
      <c r="HOR234" s="23"/>
      <c r="HOW234" s="26"/>
      <c r="HPA234" s="23"/>
      <c r="HPF234" s="26"/>
      <c r="HPJ234" s="23"/>
      <c r="HPO234" s="26"/>
      <c r="HPS234" s="23"/>
      <c r="HPX234" s="26"/>
      <c r="HQB234" s="23"/>
      <c r="HQG234" s="26"/>
      <c r="HQK234" s="23"/>
      <c r="HQP234" s="26"/>
      <c r="HQT234" s="23"/>
      <c r="HQY234" s="26"/>
      <c r="HRC234" s="23"/>
      <c r="HRH234" s="26"/>
      <c r="HRL234" s="23"/>
      <c r="HRQ234" s="26"/>
      <c r="HRU234" s="23"/>
      <c r="HRZ234" s="26"/>
      <c r="HSD234" s="23"/>
      <c r="HSI234" s="26"/>
      <c r="HSM234" s="23"/>
      <c r="HSR234" s="26"/>
      <c r="HSV234" s="23"/>
      <c r="HTA234" s="26"/>
      <c r="HTE234" s="23"/>
      <c r="HTJ234" s="26"/>
      <c r="HTN234" s="23"/>
      <c r="HTS234" s="26"/>
      <c r="HTW234" s="23"/>
      <c r="HUB234" s="26"/>
      <c r="HUF234" s="23"/>
      <c r="HUK234" s="26"/>
      <c r="HUO234" s="23"/>
      <c r="HUT234" s="26"/>
      <c r="HUX234" s="23"/>
      <c r="HVC234" s="26"/>
      <c r="HVG234" s="23"/>
      <c r="HVL234" s="26"/>
      <c r="HVP234" s="23"/>
      <c r="HVU234" s="26"/>
      <c r="HVY234" s="23"/>
      <c r="HWD234" s="26"/>
      <c r="HWH234" s="23"/>
      <c r="HWM234" s="26"/>
      <c r="HWQ234" s="23"/>
      <c r="HWV234" s="26"/>
      <c r="HWZ234" s="23"/>
      <c r="HXE234" s="26"/>
      <c r="HXI234" s="23"/>
      <c r="HXN234" s="26"/>
      <c r="HXR234" s="23"/>
      <c r="HXW234" s="26"/>
      <c r="HYA234" s="23"/>
      <c r="HYF234" s="26"/>
      <c r="HYJ234" s="23"/>
      <c r="HYO234" s="26"/>
      <c r="HYS234" s="23"/>
      <c r="HYX234" s="26"/>
      <c r="HZB234" s="23"/>
      <c r="HZG234" s="26"/>
      <c r="HZK234" s="23"/>
      <c r="HZP234" s="26"/>
      <c r="HZT234" s="23"/>
      <c r="HZY234" s="26"/>
      <c r="IAC234" s="23"/>
      <c r="IAH234" s="26"/>
      <c r="IAL234" s="23"/>
      <c r="IAQ234" s="26"/>
      <c r="IAU234" s="23"/>
      <c r="IAZ234" s="26"/>
      <c r="IBD234" s="23"/>
      <c r="IBI234" s="26"/>
      <c r="IBM234" s="23"/>
      <c r="IBR234" s="26"/>
      <c r="IBV234" s="23"/>
      <c r="ICA234" s="26"/>
      <c r="ICE234" s="23"/>
      <c r="ICJ234" s="26"/>
      <c r="ICN234" s="23"/>
      <c r="ICS234" s="26"/>
      <c r="ICW234" s="23"/>
      <c r="IDB234" s="26"/>
      <c r="IDF234" s="23"/>
      <c r="IDK234" s="26"/>
      <c r="IDO234" s="23"/>
      <c r="IDT234" s="26"/>
      <c r="IDX234" s="23"/>
      <c r="IEC234" s="26"/>
      <c r="IEG234" s="23"/>
      <c r="IEL234" s="26"/>
      <c r="IEP234" s="23"/>
      <c r="IEU234" s="26"/>
      <c r="IEY234" s="23"/>
      <c r="IFD234" s="26"/>
      <c r="IFH234" s="23"/>
      <c r="IFM234" s="26"/>
      <c r="IFQ234" s="23"/>
      <c r="IFV234" s="26"/>
      <c r="IFZ234" s="23"/>
      <c r="IGE234" s="26"/>
      <c r="IGI234" s="23"/>
      <c r="IGN234" s="26"/>
      <c r="IGR234" s="23"/>
      <c r="IGW234" s="26"/>
      <c r="IHA234" s="23"/>
      <c r="IHF234" s="26"/>
      <c r="IHJ234" s="23"/>
      <c r="IHO234" s="26"/>
      <c r="IHS234" s="23"/>
      <c r="IHX234" s="26"/>
      <c r="IIB234" s="23"/>
      <c r="IIG234" s="26"/>
      <c r="IIK234" s="23"/>
      <c r="IIP234" s="26"/>
      <c r="IIT234" s="23"/>
      <c r="IIY234" s="26"/>
      <c r="IJC234" s="23"/>
      <c r="IJH234" s="26"/>
      <c r="IJL234" s="23"/>
      <c r="IJQ234" s="26"/>
      <c r="IJU234" s="23"/>
      <c r="IJZ234" s="26"/>
      <c r="IKD234" s="23"/>
      <c r="IKI234" s="26"/>
      <c r="IKM234" s="23"/>
      <c r="IKR234" s="26"/>
      <c r="IKV234" s="23"/>
      <c r="ILA234" s="26"/>
      <c r="ILE234" s="23"/>
      <c r="ILJ234" s="26"/>
      <c r="ILN234" s="23"/>
      <c r="ILS234" s="26"/>
      <c r="ILW234" s="23"/>
      <c r="IMB234" s="26"/>
      <c r="IMF234" s="23"/>
      <c r="IMK234" s="26"/>
      <c r="IMO234" s="23"/>
      <c r="IMT234" s="26"/>
      <c r="IMX234" s="23"/>
      <c r="INC234" s="26"/>
      <c r="ING234" s="23"/>
      <c r="INL234" s="26"/>
      <c r="INP234" s="23"/>
      <c r="INU234" s="26"/>
      <c r="INY234" s="23"/>
      <c r="IOD234" s="26"/>
      <c r="IOH234" s="23"/>
      <c r="IOM234" s="26"/>
      <c r="IOQ234" s="23"/>
      <c r="IOV234" s="26"/>
      <c r="IOZ234" s="23"/>
      <c r="IPE234" s="26"/>
      <c r="IPI234" s="23"/>
      <c r="IPN234" s="26"/>
      <c r="IPR234" s="23"/>
      <c r="IPW234" s="26"/>
      <c r="IQA234" s="23"/>
      <c r="IQF234" s="26"/>
      <c r="IQJ234" s="23"/>
      <c r="IQO234" s="26"/>
      <c r="IQS234" s="23"/>
      <c r="IQX234" s="26"/>
      <c r="IRB234" s="23"/>
      <c r="IRG234" s="26"/>
      <c r="IRK234" s="23"/>
      <c r="IRP234" s="26"/>
      <c r="IRT234" s="23"/>
      <c r="IRY234" s="26"/>
      <c r="ISC234" s="23"/>
      <c r="ISH234" s="26"/>
      <c r="ISL234" s="23"/>
      <c r="ISQ234" s="26"/>
      <c r="ISU234" s="23"/>
      <c r="ISZ234" s="26"/>
      <c r="ITD234" s="23"/>
      <c r="ITI234" s="26"/>
      <c r="ITM234" s="23"/>
      <c r="ITR234" s="26"/>
      <c r="ITV234" s="23"/>
      <c r="IUA234" s="26"/>
      <c r="IUE234" s="23"/>
      <c r="IUJ234" s="26"/>
      <c r="IUN234" s="23"/>
      <c r="IUS234" s="26"/>
      <c r="IUW234" s="23"/>
      <c r="IVB234" s="26"/>
      <c r="IVF234" s="23"/>
      <c r="IVK234" s="26"/>
      <c r="IVO234" s="23"/>
      <c r="IVT234" s="26"/>
      <c r="IVX234" s="23"/>
      <c r="IWC234" s="26"/>
      <c r="IWG234" s="23"/>
      <c r="IWL234" s="26"/>
      <c r="IWP234" s="23"/>
      <c r="IWU234" s="26"/>
      <c r="IWY234" s="23"/>
      <c r="IXD234" s="26"/>
      <c r="IXH234" s="23"/>
      <c r="IXM234" s="26"/>
      <c r="IXQ234" s="23"/>
      <c r="IXV234" s="26"/>
      <c r="IXZ234" s="23"/>
      <c r="IYE234" s="26"/>
      <c r="IYI234" s="23"/>
      <c r="IYN234" s="26"/>
      <c r="IYR234" s="23"/>
      <c r="IYW234" s="26"/>
      <c r="IZA234" s="23"/>
      <c r="IZF234" s="26"/>
      <c r="IZJ234" s="23"/>
      <c r="IZO234" s="26"/>
      <c r="IZS234" s="23"/>
      <c r="IZX234" s="26"/>
      <c r="JAB234" s="23"/>
      <c r="JAG234" s="26"/>
      <c r="JAK234" s="23"/>
      <c r="JAP234" s="26"/>
      <c r="JAT234" s="23"/>
      <c r="JAY234" s="26"/>
      <c r="JBC234" s="23"/>
      <c r="JBH234" s="26"/>
      <c r="JBL234" s="23"/>
      <c r="JBQ234" s="26"/>
      <c r="JBU234" s="23"/>
      <c r="JBZ234" s="26"/>
      <c r="JCD234" s="23"/>
      <c r="JCI234" s="26"/>
      <c r="JCM234" s="23"/>
      <c r="JCR234" s="26"/>
      <c r="JCV234" s="23"/>
      <c r="JDA234" s="26"/>
      <c r="JDE234" s="23"/>
      <c r="JDJ234" s="26"/>
      <c r="JDN234" s="23"/>
      <c r="JDS234" s="26"/>
      <c r="JDW234" s="23"/>
      <c r="JEB234" s="26"/>
      <c r="JEF234" s="23"/>
      <c r="JEK234" s="26"/>
      <c r="JEO234" s="23"/>
      <c r="JET234" s="26"/>
      <c r="JEX234" s="23"/>
      <c r="JFC234" s="26"/>
      <c r="JFG234" s="23"/>
      <c r="JFL234" s="26"/>
      <c r="JFP234" s="23"/>
      <c r="JFU234" s="26"/>
      <c r="JFY234" s="23"/>
      <c r="JGD234" s="26"/>
      <c r="JGH234" s="23"/>
      <c r="JGM234" s="26"/>
      <c r="JGQ234" s="23"/>
      <c r="JGV234" s="26"/>
      <c r="JGZ234" s="23"/>
      <c r="JHE234" s="26"/>
      <c r="JHI234" s="23"/>
      <c r="JHN234" s="26"/>
      <c r="JHR234" s="23"/>
      <c r="JHW234" s="26"/>
      <c r="JIA234" s="23"/>
      <c r="JIF234" s="26"/>
      <c r="JIJ234" s="23"/>
      <c r="JIO234" s="26"/>
      <c r="JIS234" s="23"/>
      <c r="JIX234" s="26"/>
      <c r="JJB234" s="23"/>
      <c r="JJG234" s="26"/>
      <c r="JJK234" s="23"/>
      <c r="JJP234" s="26"/>
      <c r="JJT234" s="23"/>
      <c r="JJY234" s="26"/>
      <c r="JKC234" s="23"/>
      <c r="JKH234" s="26"/>
      <c r="JKL234" s="23"/>
      <c r="JKQ234" s="26"/>
      <c r="JKU234" s="23"/>
      <c r="JKZ234" s="26"/>
      <c r="JLD234" s="23"/>
      <c r="JLI234" s="26"/>
      <c r="JLM234" s="23"/>
      <c r="JLR234" s="26"/>
      <c r="JLV234" s="23"/>
      <c r="JMA234" s="26"/>
      <c r="JME234" s="23"/>
      <c r="JMJ234" s="26"/>
      <c r="JMN234" s="23"/>
      <c r="JMS234" s="26"/>
      <c r="JMW234" s="23"/>
      <c r="JNB234" s="26"/>
      <c r="JNF234" s="23"/>
      <c r="JNK234" s="26"/>
      <c r="JNO234" s="23"/>
      <c r="JNT234" s="26"/>
      <c r="JNX234" s="23"/>
      <c r="JOC234" s="26"/>
      <c r="JOG234" s="23"/>
      <c r="JOL234" s="26"/>
      <c r="JOP234" s="23"/>
      <c r="JOU234" s="26"/>
      <c r="JOY234" s="23"/>
      <c r="JPD234" s="26"/>
      <c r="JPH234" s="23"/>
      <c r="JPM234" s="26"/>
      <c r="JPQ234" s="23"/>
      <c r="JPV234" s="26"/>
      <c r="JPZ234" s="23"/>
      <c r="JQE234" s="26"/>
      <c r="JQI234" s="23"/>
      <c r="JQN234" s="26"/>
      <c r="JQR234" s="23"/>
      <c r="JQW234" s="26"/>
      <c r="JRA234" s="23"/>
      <c r="JRF234" s="26"/>
      <c r="JRJ234" s="23"/>
      <c r="JRO234" s="26"/>
      <c r="JRS234" s="23"/>
      <c r="JRX234" s="26"/>
      <c r="JSB234" s="23"/>
      <c r="JSG234" s="26"/>
      <c r="JSK234" s="23"/>
      <c r="JSP234" s="26"/>
      <c r="JST234" s="23"/>
      <c r="JSY234" s="26"/>
      <c r="JTC234" s="23"/>
      <c r="JTH234" s="26"/>
      <c r="JTL234" s="23"/>
      <c r="JTQ234" s="26"/>
      <c r="JTU234" s="23"/>
      <c r="JTZ234" s="26"/>
      <c r="JUD234" s="23"/>
      <c r="JUI234" s="26"/>
      <c r="JUM234" s="23"/>
      <c r="JUR234" s="26"/>
      <c r="JUV234" s="23"/>
      <c r="JVA234" s="26"/>
      <c r="JVE234" s="23"/>
      <c r="JVJ234" s="26"/>
      <c r="JVN234" s="23"/>
      <c r="JVS234" s="26"/>
      <c r="JVW234" s="23"/>
      <c r="JWB234" s="26"/>
      <c r="JWF234" s="23"/>
      <c r="JWK234" s="26"/>
      <c r="JWO234" s="23"/>
      <c r="JWT234" s="26"/>
      <c r="JWX234" s="23"/>
      <c r="JXC234" s="26"/>
      <c r="JXG234" s="23"/>
      <c r="JXL234" s="26"/>
      <c r="JXP234" s="23"/>
      <c r="JXU234" s="26"/>
      <c r="JXY234" s="23"/>
      <c r="JYD234" s="26"/>
      <c r="JYH234" s="23"/>
      <c r="JYM234" s="26"/>
      <c r="JYQ234" s="23"/>
      <c r="JYV234" s="26"/>
      <c r="JYZ234" s="23"/>
      <c r="JZE234" s="26"/>
      <c r="JZI234" s="23"/>
      <c r="JZN234" s="26"/>
      <c r="JZR234" s="23"/>
      <c r="JZW234" s="26"/>
      <c r="KAA234" s="23"/>
      <c r="KAF234" s="26"/>
      <c r="KAJ234" s="23"/>
      <c r="KAO234" s="26"/>
      <c r="KAS234" s="23"/>
      <c r="KAX234" s="26"/>
      <c r="KBB234" s="23"/>
      <c r="KBG234" s="26"/>
      <c r="KBK234" s="23"/>
      <c r="KBP234" s="26"/>
      <c r="KBT234" s="23"/>
      <c r="KBY234" s="26"/>
      <c r="KCC234" s="23"/>
      <c r="KCH234" s="26"/>
      <c r="KCL234" s="23"/>
      <c r="KCQ234" s="26"/>
      <c r="KCU234" s="23"/>
      <c r="KCZ234" s="26"/>
      <c r="KDD234" s="23"/>
      <c r="KDI234" s="26"/>
      <c r="KDM234" s="23"/>
      <c r="KDR234" s="26"/>
      <c r="KDV234" s="23"/>
      <c r="KEA234" s="26"/>
      <c r="KEE234" s="23"/>
      <c r="KEJ234" s="26"/>
      <c r="KEN234" s="23"/>
      <c r="KES234" s="26"/>
      <c r="KEW234" s="23"/>
      <c r="KFB234" s="26"/>
      <c r="KFF234" s="23"/>
      <c r="KFK234" s="26"/>
      <c r="KFO234" s="23"/>
      <c r="KFT234" s="26"/>
      <c r="KFX234" s="23"/>
      <c r="KGC234" s="26"/>
      <c r="KGG234" s="23"/>
      <c r="KGL234" s="26"/>
      <c r="KGP234" s="23"/>
      <c r="KGU234" s="26"/>
      <c r="KGY234" s="23"/>
      <c r="KHD234" s="26"/>
      <c r="KHH234" s="23"/>
      <c r="KHM234" s="26"/>
      <c r="KHQ234" s="23"/>
      <c r="KHV234" s="26"/>
      <c r="KHZ234" s="23"/>
      <c r="KIE234" s="26"/>
      <c r="KII234" s="23"/>
      <c r="KIN234" s="26"/>
      <c r="KIR234" s="23"/>
      <c r="KIW234" s="26"/>
      <c r="KJA234" s="23"/>
      <c r="KJF234" s="26"/>
      <c r="KJJ234" s="23"/>
      <c r="KJO234" s="26"/>
      <c r="KJS234" s="23"/>
      <c r="KJX234" s="26"/>
      <c r="KKB234" s="23"/>
      <c r="KKG234" s="26"/>
      <c r="KKK234" s="23"/>
      <c r="KKP234" s="26"/>
      <c r="KKT234" s="23"/>
      <c r="KKY234" s="26"/>
      <c r="KLC234" s="23"/>
      <c r="KLH234" s="26"/>
      <c r="KLL234" s="23"/>
      <c r="KLQ234" s="26"/>
      <c r="KLU234" s="23"/>
      <c r="KLZ234" s="26"/>
      <c r="KMD234" s="23"/>
      <c r="KMI234" s="26"/>
      <c r="KMM234" s="23"/>
      <c r="KMR234" s="26"/>
      <c r="KMV234" s="23"/>
      <c r="KNA234" s="26"/>
      <c r="KNE234" s="23"/>
      <c r="KNJ234" s="26"/>
      <c r="KNN234" s="23"/>
      <c r="KNS234" s="26"/>
      <c r="KNW234" s="23"/>
      <c r="KOB234" s="26"/>
      <c r="KOF234" s="23"/>
      <c r="KOK234" s="26"/>
      <c r="KOO234" s="23"/>
      <c r="KOT234" s="26"/>
      <c r="KOX234" s="23"/>
      <c r="KPC234" s="26"/>
      <c r="KPG234" s="23"/>
      <c r="KPL234" s="26"/>
      <c r="KPP234" s="23"/>
      <c r="KPU234" s="26"/>
      <c r="KPY234" s="23"/>
      <c r="KQD234" s="26"/>
      <c r="KQH234" s="23"/>
      <c r="KQM234" s="26"/>
      <c r="KQQ234" s="23"/>
      <c r="KQV234" s="26"/>
      <c r="KQZ234" s="23"/>
      <c r="KRE234" s="26"/>
      <c r="KRI234" s="23"/>
      <c r="KRN234" s="26"/>
      <c r="KRR234" s="23"/>
      <c r="KRW234" s="26"/>
      <c r="KSA234" s="23"/>
      <c r="KSF234" s="26"/>
      <c r="KSJ234" s="23"/>
      <c r="KSO234" s="26"/>
      <c r="KSS234" s="23"/>
      <c r="KSX234" s="26"/>
      <c r="KTB234" s="23"/>
      <c r="KTG234" s="26"/>
      <c r="KTK234" s="23"/>
      <c r="KTP234" s="26"/>
      <c r="KTT234" s="23"/>
      <c r="KTY234" s="26"/>
      <c r="KUC234" s="23"/>
      <c r="KUH234" s="26"/>
      <c r="KUL234" s="23"/>
      <c r="KUQ234" s="26"/>
      <c r="KUU234" s="23"/>
      <c r="KUZ234" s="26"/>
      <c r="KVD234" s="23"/>
      <c r="KVI234" s="26"/>
      <c r="KVM234" s="23"/>
      <c r="KVR234" s="26"/>
      <c r="KVV234" s="23"/>
      <c r="KWA234" s="26"/>
      <c r="KWE234" s="23"/>
      <c r="KWJ234" s="26"/>
      <c r="KWN234" s="23"/>
      <c r="KWS234" s="26"/>
      <c r="KWW234" s="23"/>
      <c r="KXB234" s="26"/>
      <c r="KXF234" s="23"/>
      <c r="KXK234" s="26"/>
      <c r="KXO234" s="23"/>
      <c r="KXT234" s="26"/>
      <c r="KXX234" s="23"/>
      <c r="KYC234" s="26"/>
      <c r="KYG234" s="23"/>
      <c r="KYL234" s="26"/>
      <c r="KYP234" s="23"/>
      <c r="KYU234" s="26"/>
      <c r="KYY234" s="23"/>
      <c r="KZD234" s="26"/>
      <c r="KZH234" s="23"/>
      <c r="KZM234" s="26"/>
      <c r="KZQ234" s="23"/>
      <c r="KZV234" s="26"/>
      <c r="KZZ234" s="23"/>
      <c r="LAE234" s="26"/>
      <c r="LAI234" s="23"/>
      <c r="LAN234" s="26"/>
      <c r="LAR234" s="23"/>
      <c r="LAW234" s="26"/>
      <c r="LBA234" s="23"/>
      <c r="LBF234" s="26"/>
      <c r="LBJ234" s="23"/>
      <c r="LBO234" s="26"/>
      <c r="LBS234" s="23"/>
      <c r="LBX234" s="26"/>
      <c r="LCB234" s="23"/>
      <c r="LCG234" s="26"/>
      <c r="LCK234" s="23"/>
      <c r="LCP234" s="26"/>
      <c r="LCT234" s="23"/>
      <c r="LCY234" s="26"/>
      <c r="LDC234" s="23"/>
      <c r="LDH234" s="26"/>
      <c r="LDL234" s="23"/>
      <c r="LDQ234" s="26"/>
      <c r="LDU234" s="23"/>
      <c r="LDZ234" s="26"/>
      <c r="LED234" s="23"/>
      <c r="LEI234" s="26"/>
      <c r="LEM234" s="23"/>
      <c r="LER234" s="26"/>
      <c r="LEV234" s="23"/>
      <c r="LFA234" s="26"/>
      <c r="LFE234" s="23"/>
      <c r="LFJ234" s="26"/>
      <c r="LFN234" s="23"/>
      <c r="LFS234" s="26"/>
      <c r="LFW234" s="23"/>
      <c r="LGB234" s="26"/>
      <c r="LGF234" s="23"/>
      <c r="LGK234" s="26"/>
      <c r="LGO234" s="23"/>
      <c r="LGT234" s="26"/>
      <c r="LGX234" s="23"/>
      <c r="LHC234" s="26"/>
      <c r="LHG234" s="23"/>
      <c r="LHL234" s="26"/>
      <c r="LHP234" s="23"/>
      <c r="LHU234" s="26"/>
      <c r="LHY234" s="23"/>
      <c r="LID234" s="26"/>
      <c r="LIH234" s="23"/>
      <c r="LIM234" s="26"/>
      <c r="LIQ234" s="23"/>
      <c r="LIV234" s="26"/>
      <c r="LIZ234" s="23"/>
      <c r="LJE234" s="26"/>
      <c r="LJI234" s="23"/>
      <c r="LJN234" s="26"/>
      <c r="LJR234" s="23"/>
      <c r="LJW234" s="26"/>
      <c r="LKA234" s="23"/>
      <c r="LKF234" s="26"/>
      <c r="LKJ234" s="23"/>
      <c r="LKO234" s="26"/>
      <c r="LKS234" s="23"/>
      <c r="LKX234" s="26"/>
      <c r="LLB234" s="23"/>
      <c r="LLG234" s="26"/>
      <c r="LLK234" s="23"/>
      <c r="LLP234" s="26"/>
      <c r="LLT234" s="23"/>
      <c r="LLY234" s="26"/>
      <c r="LMC234" s="23"/>
      <c r="LMH234" s="26"/>
      <c r="LML234" s="23"/>
      <c r="LMQ234" s="26"/>
      <c r="LMU234" s="23"/>
      <c r="LMZ234" s="26"/>
      <c r="LND234" s="23"/>
      <c r="LNI234" s="26"/>
      <c r="LNM234" s="23"/>
      <c r="LNR234" s="26"/>
      <c r="LNV234" s="23"/>
      <c r="LOA234" s="26"/>
      <c r="LOE234" s="23"/>
      <c r="LOJ234" s="26"/>
      <c r="LON234" s="23"/>
      <c r="LOS234" s="26"/>
      <c r="LOW234" s="23"/>
      <c r="LPB234" s="26"/>
      <c r="LPF234" s="23"/>
      <c r="LPK234" s="26"/>
      <c r="LPO234" s="23"/>
      <c r="LPT234" s="26"/>
      <c r="LPX234" s="23"/>
      <c r="LQC234" s="26"/>
      <c r="LQG234" s="23"/>
      <c r="LQL234" s="26"/>
      <c r="LQP234" s="23"/>
      <c r="LQU234" s="26"/>
      <c r="LQY234" s="23"/>
      <c r="LRD234" s="26"/>
      <c r="LRH234" s="23"/>
      <c r="LRM234" s="26"/>
      <c r="LRQ234" s="23"/>
      <c r="LRV234" s="26"/>
      <c r="LRZ234" s="23"/>
      <c r="LSE234" s="26"/>
      <c r="LSI234" s="23"/>
      <c r="LSN234" s="26"/>
      <c r="LSR234" s="23"/>
      <c r="LSW234" s="26"/>
      <c r="LTA234" s="23"/>
      <c r="LTF234" s="26"/>
      <c r="LTJ234" s="23"/>
      <c r="LTO234" s="26"/>
      <c r="LTS234" s="23"/>
      <c r="LTX234" s="26"/>
      <c r="LUB234" s="23"/>
      <c r="LUG234" s="26"/>
      <c r="LUK234" s="23"/>
      <c r="LUP234" s="26"/>
      <c r="LUT234" s="23"/>
      <c r="LUY234" s="26"/>
      <c r="LVC234" s="23"/>
      <c r="LVH234" s="26"/>
      <c r="LVL234" s="23"/>
      <c r="LVQ234" s="26"/>
      <c r="LVU234" s="23"/>
      <c r="LVZ234" s="26"/>
      <c r="LWD234" s="23"/>
      <c r="LWI234" s="26"/>
      <c r="LWM234" s="23"/>
      <c r="LWR234" s="26"/>
      <c r="LWV234" s="23"/>
      <c r="LXA234" s="26"/>
      <c r="LXE234" s="23"/>
      <c r="LXJ234" s="26"/>
      <c r="LXN234" s="23"/>
      <c r="LXS234" s="26"/>
      <c r="LXW234" s="23"/>
      <c r="LYB234" s="26"/>
      <c r="LYF234" s="23"/>
      <c r="LYK234" s="26"/>
      <c r="LYO234" s="23"/>
      <c r="LYT234" s="26"/>
      <c r="LYX234" s="23"/>
      <c r="LZC234" s="26"/>
      <c r="LZG234" s="23"/>
      <c r="LZL234" s="26"/>
      <c r="LZP234" s="23"/>
      <c r="LZU234" s="26"/>
      <c r="LZY234" s="23"/>
      <c r="MAD234" s="26"/>
      <c r="MAH234" s="23"/>
      <c r="MAM234" s="26"/>
      <c r="MAQ234" s="23"/>
      <c r="MAV234" s="26"/>
      <c r="MAZ234" s="23"/>
      <c r="MBE234" s="26"/>
      <c r="MBI234" s="23"/>
      <c r="MBN234" s="26"/>
      <c r="MBR234" s="23"/>
      <c r="MBW234" s="26"/>
      <c r="MCA234" s="23"/>
      <c r="MCF234" s="26"/>
      <c r="MCJ234" s="23"/>
      <c r="MCO234" s="26"/>
      <c r="MCS234" s="23"/>
      <c r="MCX234" s="26"/>
      <c r="MDB234" s="23"/>
      <c r="MDG234" s="26"/>
      <c r="MDK234" s="23"/>
      <c r="MDP234" s="26"/>
      <c r="MDT234" s="23"/>
      <c r="MDY234" s="26"/>
      <c r="MEC234" s="23"/>
      <c r="MEH234" s="26"/>
      <c r="MEL234" s="23"/>
      <c r="MEQ234" s="26"/>
      <c r="MEU234" s="23"/>
      <c r="MEZ234" s="26"/>
      <c r="MFD234" s="23"/>
      <c r="MFI234" s="26"/>
      <c r="MFM234" s="23"/>
      <c r="MFR234" s="26"/>
      <c r="MFV234" s="23"/>
      <c r="MGA234" s="26"/>
      <c r="MGE234" s="23"/>
      <c r="MGJ234" s="26"/>
      <c r="MGN234" s="23"/>
      <c r="MGS234" s="26"/>
      <c r="MGW234" s="23"/>
      <c r="MHB234" s="26"/>
      <c r="MHF234" s="23"/>
      <c r="MHK234" s="26"/>
      <c r="MHO234" s="23"/>
      <c r="MHT234" s="26"/>
      <c r="MHX234" s="23"/>
      <c r="MIC234" s="26"/>
      <c r="MIG234" s="23"/>
      <c r="MIL234" s="26"/>
      <c r="MIP234" s="23"/>
      <c r="MIU234" s="26"/>
      <c r="MIY234" s="23"/>
      <c r="MJD234" s="26"/>
      <c r="MJH234" s="23"/>
      <c r="MJM234" s="26"/>
      <c r="MJQ234" s="23"/>
      <c r="MJV234" s="26"/>
      <c r="MJZ234" s="23"/>
      <c r="MKE234" s="26"/>
      <c r="MKI234" s="23"/>
      <c r="MKN234" s="26"/>
      <c r="MKR234" s="23"/>
      <c r="MKW234" s="26"/>
      <c r="MLA234" s="23"/>
      <c r="MLF234" s="26"/>
      <c r="MLJ234" s="23"/>
      <c r="MLO234" s="26"/>
      <c r="MLS234" s="23"/>
      <c r="MLX234" s="26"/>
      <c r="MMB234" s="23"/>
      <c r="MMG234" s="26"/>
      <c r="MMK234" s="23"/>
      <c r="MMP234" s="26"/>
      <c r="MMT234" s="23"/>
      <c r="MMY234" s="26"/>
      <c r="MNC234" s="23"/>
      <c r="MNH234" s="26"/>
      <c r="MNL234" s="23"/>
      <c r="MNQ234" s="26"/>
      <c r="MNU234" s="23"/>
      <c r="MNZ234" s="26"/>
      <c r="MOD234" s="23"/>
      <c r="MOI234" s="26"/>
      <c r="MOM234" s="23"/>
      <c r="MOR234" s="26"/>
      <c r="MOV234" s="23"/>
      <c r="MPA234" s="26"/>
      <c r="MPE234" s="23"/>
      <c r="MPJ234" s="26"/>
      <c r="MPN234" s="23"/>
      <c r="MPS234" s="26"/>
      <c r="MPW234" s="23"/>
      <c r="MQB234" s="26"/>
      <c r="MQF234" s="23"/>
      <c r="MQK234" s="26"/>
      <c r="MQO234" s="23"/>
      <c r="MQT234" s="26"/>
      <c r="MQX234" s="23"/>
      <c r="MRC234" s="26"/>
      <c r="MRG234" s="23"/>
      <c r="MRL234" s="26"/>
      <c r="MRP234" s="23"/>
      <c r="MRU234" s="26"/>
      <c r="MRY234" s="23"/>
      <c r="MSD234" s="26"/>
      <c r="MSH234" s="23"/>
      <c r="MSM234" s="26"/>
      <c r="MSQ234" s="23"/>
      <c r="MSV234" s="26"/>
      <c r="MSZ234" s="23"/>
      <c r="MTE234" s="26"/>
      <c r="MTI234" s="23"/>
      <c r="MTN234" s="26"/>
      <c r="MTR234" s="23"/>
      <c r="MTW234" s="26"/>
      <c r="MUA234" s="23"/>
      <c r="MUF234" s="26"/>
      <c r="MUJ234" s="23"/>
      <c r="MUO234" s="26"/>
      <c r="MUS234" s="23"/>
      <c r="MUX234" s="26"/>
      <c r="MVB234" s="23"/>
      <c r="MVG234" s="26"/>
      <c r="MVK234" s="23"/>
      <c r="MVP234" s="26"/>
      <c r="MVT234" s="23"/>
      <c r="MVY234" s="26"/>
      <c r="MWC234" s="23"/>
      <c r="MWH234" s="26"/>
      <c r="MWL234" s="23"/>
      <c r="MWQ234" s="26"/>
      <c r="MWU234" s="23"/>
      <c r="MWZ234" s="26"/>
      <c r="MXD234" s="23"/>
      <c r="MXI234" s="26"/>
      <c r="MXM234" s="23"/>
      <c r="MXR234" s="26"/>
      <c r="MXV234" s="23"/>
      <c r="MYA234" s="26"/>
      <c r="MYE234" s="23"/>
      <c r="MYJ234" s="26"/>
      <c r="MYN234" s="23"/>
      <c r="MYS234" s="26"/>
      <c r="MYW234" s="23"/>
      <c r="MZB234" s="26"/>
      <c r="MZF234" s="23"/>
      <c r="MZK234" s="26"/>
      <c r="MZO234" s="23"/>
      <c r="MZT234" s="26"/>
      <c r="MZX234" s="23"/>
      <c r="NAC234" s="26"/>
      <c r="NAG234" s="23"/>
      <c r="NAL234" s="26"/>
      <c r="NAP234" s="23"/>
      <c r="NAU234" s="26"/>
      <c r="NAY234" s="23"/>
      <c r="NBD234" s="26"/>
      <c r="NBH234" s="23"/>
      <c r="NBM234" s="26"/>
      <c r="NBQ234" s="23"/>
      <c r="NBV234" s="26"/>
      <c r="NBZ234" s="23"/>
      <c r="NCE234" s="26"/>
      <c r="NCI234" s="23"/>
      <c r="NCN234" s="26"/>
      <c r="NCR234" s="23"/>
      <c r="NCW234" s="26"/>
      <c r="NDA234" s="23"/>
      <c r="NDF234" s="26"/>
      <c r="NDJ234" s="23"/>
      <c r="NDO234" s="26"/>
      <c r="NDS234" s="23"/>
      <c r="NDX234" s="26"/>
      <c r="NEB234" s="23"/>
      <c r="NEG234" s="26"/>
      <c r="NEK234" s="23"/>
      <c r="NEP234" s="26"/>
      <c r="NET234" s="23"/>
      <c r="NEY234" s="26"/>
      <c r="NFC234" s="23"/>
      <c r="NFH234" s="26"/>
      <c r="NFL234" s="23"/>
      <c r="NFQ234" s="26"/>
      <c r="NFU234" s="23"/>
      <c r="NFZ234" s="26"/>
      <c r="NGD234" s="23"/>
      <c r="NGI234" s="26"/>
      <c r="NGM234" s="23"/>
      <c r="NGR234" s="26"/>
      <c r="NGV234" s="23"/>
      <c r="NHA234" s="26"/>
      <c r="NHE234" s="23"/>
      <c r="NHJ234" s="26"/>
      <c r="NHN234" s="23"/>
      <c r="NHS234" s="26"/>
      <c r="NHW234" s="23"/>
      <c r="NIB234" s="26"/>
      <c r="NIF234" s="23"/>
      <c r="NIK234" s="26"/>
      <c r="NIO234" s="23"/>
      <c r="NIT234" s="26"/>
      <c r="NIX234" s="23"/>
      <c r="NJC234" s="26"/>
      <c r="NJG234" s="23"/>
      <c r="NJL234" s="26"/>
      <c r="NJP234" s="23"/>
      <c r="NJU234" s="26"/>
      <c r="NJY234" s="23"/>
      <c r="NKD234" s="26"/>
      <c r="NKH234" s="23"/>
      <c r="NKM234" s="26"/>
      <c r="NKQ234" s="23"/>
      <c r="NKV234" s="26"/>
      <c r="NKZ234" s="23"/>
      <c r="NLE234" s="26"/>
      <c r="NLI234" s="23"/>
      <c r="NLN234" s="26"/>
      <c r="NLR234" s="23"/>
      <c r="NLW234" s="26"/>
      <c r="NMA234" s="23"/>
      <c r="NMF234" s="26"/>
      <c r="NMJ234" s="23"/>
      <c r="NMO234" s="26"/>
      <c r="NMS234" s="23"/>
      <c r="NMX234" s="26"/>
      <c r="NNB234" s="23"/>
      <c r="NNG234" s="26"/>
      <c r="NNK234" s="23"/>
      <c r="NNP234" s="26"/>
      <c r="NNT234" s="23"/>
      <c r="NNY234" s="26"/>
      <c r="NOC234" s="23"/>
      <c r="NOH234" s="26"/>
      <c r="NOL234" s="23"/>
      <c r="NOQ234" s="26"/>
      <c r="NOU234" s="23"/>
      <c r="NOZ234" s="26"/>
      <c r="NPD234" s="23"/>
      <c r="NPI234" s="26"/>
      <c r="NPM234" s="23"/>
      <c r="NPR234" s="26"/>
      <c r="NPV234" s="23"/>
      <c r="NQA234" s="26"/>
      <c r="NQE234" s="23"/>
      <c r="NQJ234" s="26"/>
      <c r="NQN234" s="23"/>
      <c r="NQS234" s="26"/>
      <c r="NQW234" s="23"/>
      <c r="NRB234" s="26"/>
      <c r="NRF234" s="23"/>
      <c r="NRK234" s="26"/>
      <c r="NRO234" s="23"/>
      <c r="NRT234" s="26"/>
      <c r="NRX234" s="23"/>
      <c r="NSC234" s="26"/>
      <c r="NSG234" s="23"/>
      <c r="NSL234" s="26"/>
      <c r="NSP234" s="23"/>
      <c r="NSU234" s="26"/>
      <c r="NSY234" s="23"/>
      <c r="NTD234" s="26"/>
      <c r="NTH234" s="23"/>
      <c r="NTM234" s="26"/>
      <c r="NTQ234" s="23"/>
      <c r="NTV234" s="26"/>
      <c r="NTZ234" s="23"/>
      <c r="NUE234" s="26"/>
      <c r="NUI234" s="23"/>
      <c r="NUN234" s="26"/>
      <c r="NUR234" s="23"/>
      <c r="NUW234" s="26"/>
      <c r="NVA234" s="23"/>
      <c r="NVF234" s="26"/>
      <c r="NVJ234" s="23"/>
      <c r="NVO234" s="26"/>
      <c r="NVS234" s="23"/>
      <c r="NVX234" s="26"/>
      <c r="NWB234" s="23"/>
      <c r="NWG234" s="26"/>
      <c r="NWK234" s="23"/>
      <c r="NWP234" s="26"/>
      <c r="NWT234" s="23"/>
      <c r="NWY234" s="26"/>
      <c r="NXC234" s="23"/>
      <c r="NXH234" s="26"/>
      <c r="NXL234" s="23"/>
      <c r="NXQ234" s="26"/>
      <c r="NXU234" s="23"/>
      <c r="NXZ234" s="26"/>
      <c r="NYD234" s="23"/>
      <c r="NYI234" s="26"/>
      <c r="NYM234" s="23"/>
      <c r="NYR234" s="26"/>
      <c r="NYV234" s="23"/>
      <c r="NZA234" s="26"/>
      <c r="NZE234" s="23"/>
      <c r="NZJ234" s="26"/>
      <c r="NZN234" s="23"/>
      <c r="NZS234" s="26"/>
      <c r="NZW234" s="23"/>
      <c r="OAB234" s="26"/>
      <c r="OAF234" s="23"/>
      <c r="OAK234" s="26"/>
      <c r="OAO234" s="23"/>
      <c r="OAT234" s="26"/>
      <c r="OAX234" s="23"/>
      <c r="OBC234" s="26"/>
      <c r="OBG234" s="23"/>
      <c r="OBL234" s="26"/>
      <c r="OBP234" s="23"/>
      <c r="OBU234" s="26"/>
      <c r="OBY234" s="23"/>
      <c r="OCD234" s="26"/>
      <c r="OCH234" s="23"/>
      <c r="OCM234" s="26"/>
      <c r="OCQ234" s="23"/>
      <c r="OCV234" s="26"/>
      <c r="OCZ234" s="23"/>
      <c r="ODE234" s="26"/>
      <c r="ODI234" s="23"/>
      <c r="ODN234" s="26"/>
      <c r="ODR234" s="23"/>
      <c r="ODW234" s="26"/>
      <c r="OEA234" s="23"/>
      <c r="OEF234" s="26"/>
      <c r="OEJ234" s="23"/>
      <c r="OEO234" s="26"/>
      <c r="OES234" s="23"/>
      <c r="OEX234" s="26"/>
      <c r="OFB234" s="23"/>
      <c r="OFG234" s="26"/>
      <c r="OFK234" s="23"/>
      <c r="OFP234" s="26"/>
      <c r="OFT234" s="23"/>
      <c r="OFY234" s="26"/>
      <c r="OGC234" s="23"/>
      <c r="OGH234" s="26"/>
      <c r="OGL234" s="23"/>
      <c r="OGQ234" s="26"/>
      <c r="OGU234" s="23"/>
      <c r="OGZ234" s="26"/>
      <c r="OHD234" s="23"/>
      <c r="OHI234" s="26"/>
      <c r="OHM234" s="23"/>
      <c r="OHR234" s="26"/>
      <c r="OHV234" s="23"/>
      <c r="OIA234" s="26"/>
      <c r="OIE234" s="23"/>
      <c r="OIJ234" s="26"/>
      <c r="OIN234" s="23"/>
      <c r="OIS234" s="26"/>
      <c r="OIW234" s="23"/>
      <c r="OJB234" s="26"/>
      <c r="OJF234" s="23"/>
      <c r="OJK234" s="26"/>
      <c r="OJO234" s="23"/>
      <c r="OJT234" s="26"/>
      <c r="OJX234" s="23"/>
      <c r="OKC234" s="26"/>
      <c r="OKG234" s="23"/>
      <c r="OKL234" s="26"/>
      <c r="OKP234" s="23"/>
      <c r="OKU234" s="26"/>
      <c r="OKY234" s="23"/>
      <c r="OLD234" s="26"/>
      <c r="OLH234" s="23"/>
      <c r="OLM234" s="26"/>
      <c r="OLQ234" s="23"/>
      <c r="OLV234" s="26"/>
      <c r="OLZ234" s="23"/>
      <c r="OME234" s="26"/>
      <c r="OMI234" s="23"/>
      <c r="OMN234" s="26"/>
      <c r="OMR234" s="23"/>
      <c r="OMW234" s="26"/>
      <c r="ONA234" s="23"/>
      <c r="ONF234" s="26"/>
      <c r="ONJ234" s="23"/>
      <c r="ONO234" s="26"/>
      <c r="ONS234" s="23"/>
      <c r="ONX234" s="26"/>
      <c r="OOB234" s="23"/>
      <c r="OOG234" s="26"/>
      <c r="OOK234" s="23"/>
      <c r="OOP234" s="26"/>
      <c r="OOT234" s="23"/>
      <c r="OOY234" s="26"/>
      <c r="OPC234" s="23"/>
      <c r="OPH234" s="26"/>
      <c r="OPL234" s="23"/>
      <c r="OPQ234" s="26"/>
      <c r="OPU234" s="23"/>
      <c r="OPZ234" s="26"/>
      <c r="OQD234" s="23"/>
      <c r="OQI234" s="26"/>
      <c r="OQM234" s="23"/>
      <c r="OQR234" s="26"/>
      <c r="OQV234" s="23"/>
      <c r="ORA234" s="26"/>
      <c r="ORE234" s="23"/>
      <c r="ORJ234" s="26"/>
      <c r="ORN234" s="23"/>
      <c r="ORS234" s="26"/>
      <c r="ORW234" s="23"/>
      <c r="OSB234" s="26"/>
      <c r="OSF234" s="23"/>
      <c r="OSK234" s="26"/>
      <c r="OSO234" s="23"/>
      <c r="OST234" s="26"/>
      <c r="OSX234" s="23"/>
      <c r="OTC234" s="26"/>
      <c r="OTG234" s="23"/>
      <c r="OTL234" s="26"/>
      <c r="OTP234" s="23"/>
      <c r="OTU234" s="26"/>
      <c r="OTY234" s="23"/>
      <c r="OUD234" s="26"/>
      <c r="OUH234" s="23"/>
      <c r="OUM234" s="26"/>
      <c r="OUQ234" s="23"/>
      <c r="OUV234" s="26"/>
      <c r="OUZ234" s="23"/>
      <c r="OVE234" s="26"/>
      <c r="OVI234" s="23"/>
      <c r="OVN234" s="26"/>
      <c r="OVR234" s="23"/>
      <c r="OVW234" s="26"/>
      <c r="OWA234" s="23"/>
      <c r="OWF234" s="26"/>
      <c r="OWJ234" s="23"/>
      <c r="OWO234" s="26"/>
      <c r="OWS234" s="23"/>
      <c r="OWX234" s="26"/>
      <c r="OXB234" s="23"/>
      <c r="OXG234" s="26"/>
      <c r="OXK234" s="23"/>
      <c r="OXP234" s="26"/>
      <c r="OXT234" s="23"/>
      <c r="OXY234" s="26"/>
      <c r="OYC234" s="23"/>
      <c r="OYH234" s="26"/>
      <c r="OYL234" s="23"/>
      <c r="OYQ234" s="26"/>
      <c r="OYU234" s="23"/>
      <c r="OYZ234" s="26"/>
      <c r="OZD234" s="23"/>
      <c r="OZI234" s="26"/>
      <c r="OZM234" s="23"/>
      <c r="OZR234" s="26"/>
      <c r="OZV234" s="23"/>
      <c r="PAA234" s="26"/>
      <c r="PAE234" s="23"/>
      <c r="PAJ234" s="26"/>
      <c r="PAN234" s="23"/>
      <c r="PAS234" s="26"/>
      <c r="PAW234" s="23"/>
      <c r="PBB234" s="26"/>
      <c r="PBF234" s="23"/>
      <c r="PBK234" s="26"/>
      <c r="PBO234" s="23"/>
      <c r="PBT234" s="26"/>
      <c r="PBX234" s="23"/>
      <c r="PCC234" s="26"/>
      <c r="PCG234" s="23"/>
      <c r="PCL234" s="26"/>
      <c r="PCP234" s="23"/>
      <c r="PCU234" s="26"/>
      <c r="PCY234" s="23"/>
      <c r="PDD234" s="26"/>
      <c r="PDH234" s="23"/>
      <c r="PDM234" s="26"/>
      <c r="PDQ234" s="23"/>
      <c r="PDV234" s="26"/>
      <c r="PDZ234" s="23"/>
      <c r="PEE234" s="26"/>
      <c r="PEI234" s="23"/>
      <c r="PEN234" s="26"/>
      <c r="PER234" s="23"/>
      <c r="PEW234" s="26"/>
      <c r="PFA234" s="23"/>
      <c r="PFF234" s="26"/>
      <c r="PFJ234" s="23"/>
      <c r="PFO234" s="26"/>
      <c r="PFS234" s="23"/>
      <c r="PFX234" s="26"/>
      <c r="PGB234" s="23"/>
      <c r="PGG234" s="26"/>
      <c r="PGK234" s="23"/>
      <c r="PGP234" s="26"/>
      <c r="PGT234" s="23"/>
      <c r="PGY234" s="26"/>
      <c r="PHC234" s="23"/>
      <c r="PHH234" s="26"/>
      <c r="PHL234" s="23"/>
      <c r="PHQ234" s="26"/>
      <c r="PHU234" s="23"/>
      <c r="PHZ234" s="26"/>
      <c r="PID234" s="23"/>
      <c r="PII234" s="26"/>
      <c r="PIM234" s="23"/>
      <c r="PIR234" s="26"/>
      <c r="PIV234" s="23"/>
      <c r="PJA234" s="26"/>
      <c r="PJE234" s="23"/>
      <c r="PJJ234" s="26"/>
      <c r="PJN234" s="23"/>
      <c r="PJS234" s="26"/>
      <c r="PJW234" s="23"/>
      <c r="PKB234" s="26"/>
      <c r="PKF234" s="23"/>
      <c r="PKK234" s="26"/>
      <c r="PKO234" s="23"/>
      <c r="PKT234" s="26"/>
      <c r="PKX234" s="23"/>
      <c r="PLC234" s="26"/>
      <c r="PLG234" s="23"/>
      <c r="PLL234" s="26"/>
      <c r="PLP234" s="23"/>
      <c r="PLU234" s="26"/>
      <c r="PLY234" s="23"/>
      <c r="PMD234" s="26"/>
      <c r="PMH234" s="23"/>
      <c r="PMM234" s="26"/>
      <c r="PMQ234" s="23"/>
      <c r="PMV234" s="26"/>
      <c r="PMZ234" s="23"/>
      <c r="PNE234" s="26"/>
      <c r="PNI234" s="23"/>
      <c r="PNN234" s="26"/>
      <c r="PNR234" s="23"/>
      <c r="PNW234" s="26"/>
      <c r="POA234" s="23"/>
      <c r="POF234" s="26"/>
      <c r="POJ234" s="23"/>
      <c r="POO234" s="26"/>
      <c r="POS234" s="23"/>
      <c r="POX234" s="26"/>
      <c r="PPB234" s="23"/>
      <c r="PPG234" s="26"/>
      <c r="PPK234" s="23"/>
      <c r="PPP234" s="26"/>
      <c r="PPT234" s="23"/>
      <c r="PPY234" s="26"/>
      <c r="PQC234" s="23"/>
      <c r="PQH234" s="26"/>
      <c r="PQL234" s="23"/>
      <c r="PQQ234" s="26"/>
      <c r="PQU234" s="23"/>
      <c r="PQZ234" s="26"/>
      <c r="PRD234" s="23"/>
      <c r="PRI234" s="26"/>
      <c r="PRM234" s="23"/>
      <c r="PRR234" s="26"/>
      <c r="PRV234" s="23"/>
      <c r="PSA234" s="26"/>
      <c r="PSE234" s="23"/>
      <c r="PSJ234" s="26"/>
      <c r="PSN234" s="23"/>
      <c r="PSS234" s="26"/>
      <c r="PSW234" s="23"/>
      <c r="PTB234" s="26"/>
      <c r="PTF234" s="23"/>
      <c r="PTK234" s="26"/>
      <c r="PTO234" s="23"/>
      <c r="PTT234" s="26"/>
      <c r="PTX234" s="23"/>
      <c r="PUC234" s="26"/>
      <c r="PUG234" s="23"/>
      <c r="PUL234" s="26"/>
      <c r="PUP234" s="23"/>
      <c r="PUU234" s="26"/>
      <c r="PUY234" s="23"/>
      <c r="PVD234" s="26"/>
      <c r="PVH234" s="23"/>
      <c r="PVM234" s="26"/>
      <c r="PVQ234" s="23"/>
      <c r="PVV234" s="26"/>
      <c r="PVZ234" s="23"/>
      <c r="PWE234" s="26"/>
      <c r="PWI234" s="23"/>
      <c r="PWN234" s="26"/>
      <c r="PWR234" s="23"/>
      <c r="PWW234" s="26"/>
      <c r="PXA234" s="23"/>
      <c r="PXF234" s="26"/>
      <c r="PXJ234" s="23"/>
      <c r="PXO234" s="26"/>
      <c r="PXS234" s="23"/>
      <c r="PXX234" s="26"/>
      <c r="PYB234" s="23"/>
      <c r="PYG234" s="26"/>
      <c r="PYK234" s="23"/>
      <c r="PYP234" s="26"/>
      <c r="PYT234" s="23"/>
      <c r="PYY234" s="26"/>
      <c r="PZC234" s="23"/>
      <c r="PZH234" s="26"/>
      <c r="PZL234" s="23"/>
      <c r="PZQ234" s="26"/>
      <c r="PZU234" s="23"/>
      <c r="PZZ234" s="26"/>
      <c r="QAD234" s="23"/>
      <c r="QAI234" s="26"/>
      <c r="QAM234" s="23"/>
      <c r="QAR234" s="26"/>
      <c r="QAV234" s="23"/>
      <c r="QBA234" s="26"/>
      <c r="QBE234" s="23"/>
      <c r="QBJ234" s="26"/>
      <c r="QBN234" s="23"/>
      <c r="QBS234" s="26"/>
      <c r="QBW234" s="23"/>
      <c r="QCB234" s="26"/>
      <c r="QCF234" s="23"/>
      <c r="QCK234" s="26"/>
      <c r="QCO234" s="23"/>
      <c r="QCT234" s="26"/>
      <c r="QCX234" s="23"/>
      <c r="QDC234" s="26"/>
      <c r="QDG234" s="23"/>
      <c r="QDL234" s="26"/>
      <c r="QDP234" s="23"/>
      <c r="QDU234" s="26"/>
      <c r="QDY234" s="23"/>
      <c r="QED234" s="26"/>
      <c r="QEH234" s="23"/>
      <c r="QEM234" s="26"/>
      <c r="QEQ234" s="23"/>
      <c r="QEV234" s="26"/>
      <c r="QEZ234" s="23"/>
      <c r="QFE234" s="26"/>
      <c r="QFI234" s="23"/>
      <c r="QFN234" s="26"/>
      <c r="QFR234" s="23"/>
      <c r="QFW234" s="26"/>
      <c r="QGA234" s="23"/>
      <c r="QGF234" s="26"/>
      <c r="QGJ234" s="23"/>
      <c r="QGO234" s="26"/>
      <c r="QGS234" s="23"/>
      <c r="QGX234" s="26"/>
      <c r="QHB234" s="23"/>
      <c r="QHG234" s="26"/>
      <c r="QHK234" s="23"/>
      <c r="QHP234" s="26"/>
      <c r="QHT234" s="23"/>
      <c r="QHY234" s="26"/>
      <c r="QIC234" s="23"/>
      <c r="QIH234" s="26"/>
      <c r="QIL234" s="23"/>
      <c r="QIQ234" s="26"/>
      <c r="QIU234" s="23"/>
      <c r="QIZ234" s="26"/>
      <c r="QJD234" s="23"/>
      <c r="QJI234" s="26"/>
      <c r="QJM234" s="23"/>
      <c r="QJR234" s="26"/>
      <c r="QJV234" s="23"/>
      <c r="QKA234" s="26"/>
      <c r="QKE234" s="23"/>
      <c r="QKJ234" s="26"/>
      <c r="QKN234" s="23"/>
      <c r="QKS234" s="26"/>
      <c r="QKW234" s="23"/>
      <c r="QLB234" s="26"/>
      <c r="QLF234" s="23"/>
      <c r="QLK234" s="26"/>
      <c r="QLO234" s="23"/>
      <c r="QLT234" s="26"/>
      <c r="QLX234" s="23"/>
      <c r="QMC234" s="26"/>
      <c r="QMG234" s="23"/>
      <c r="QML234" s="26"/>
      <c r="QMP234" s="23"/>
      <c r="QMU234" s="26"/>
      <c r="QMY234" s="23"/>
      <c r="QND234" s="26"/>
      <c r="QNH234" s="23"/>
      <c r="QNM234" s="26"/>
      <c r="QNQ234" s="23"/>
      <c r="QNV234" s="26"/>
      <c r="QNZ234" s="23"/>
      <c r="QOE234" s="26"/>
      <c r="QOI234" s="23"/>
      <c r="QON234" s="26"/>
      <c r="QOR234" s="23"/>
      <c r="QOW234" s="26"/>
      <c r="QPA234" s="23"/>
      <c r="QPF234" s="26"/>
      <c r="QPJ234" s="23"/>
      <c r="QPO234" s="26"/>
      <c r="QPS234" s="23"/>
      <c r="QPX234" s="26"/>
      <c r="QQB234" s="23"/>
      <c r="QQG234" s="26"/>
      <c r="QQK234" s="23"/>
      <c r="QQP234" s="26"/>
      <c r="QQT234" s="23"/>
      <c r="QQY234" s="26"/>
      <c r="QRC234" s="23"/>
      <c r="QRH234" s="26"/>
      <c r="QRL234" s="23"/>
      <c r="QRQ234" s="26"/>
      <c r="QRU234" s="23"/>
      <c r="QRZ234" s="26"/>
      <c r="QSD234" s="23"/>
      <c r="QSI234" s="26"/>
      <c r="QSM234" s="23"/>
      <c r="QSR234" s="26"/>
      <c r="QSV234" s="23"/>
      <c r="QTA234" s="26"/>
      <c r="QTE234" s="23"/>
      <c r="QTJ234" s="26"/>
      <c r="QTN234" s="23"/>
      <c r="QTS234" s="26"/>
      <c r="QTW234" s="23"/>
      <c r="QUB234" s="26"/>
      <c r="QUF234" s="23"/>
      <c r="QUK234" s="26"/>
      <c r="QUO234" s="23"/>
      <c r="QUT234" s="26"/>
      <c r="QUX234" s="23"/>
      <c r="QVC234" s="26"/>
      <c r="QVG234" s="23"/>
      <c r="QVL234" s="26"/>
      <c r="QVP234" s="23"/>
      <c r="QVU234" s="26"/>
      <c r="QVY234" s="23"/>
      <c r="QWD234" s="26"/>
      <c r="QWH234" s="23"/>
      <c r="QWM234" s="26"/>
      <c r="QWQ234" s="23"/>
      <c r="QWV234" s="26"/>
      <c r="QWZ234" s="23"/>
      <c r="QXE234" s="26"/>
      <c r="QXI234" s="23"/>
      <c r="QXN234" s="26"/>
      <c r="QXR234" s="23"/>
      <c r="QXW234" s="26"/>
      <c r="QYA234" s="23"/>
      <c r="QYF234" s="26"/>
      <c r="QYJ234" s="23"/>
      <c r="QYO234" s="26"/>
      <c r="QYS234" s="23"/>
      <c r="QYX234" s="26"/>
      <c r="QZB234" s="23"/>
      <c r="QZG234" s="26"/>
      <c r="QZK234" s="23"/>
      <c r="QZP234" s="26"/>
      <c r="QZT234" s="23"/>
      <c r="QZY234" s="26"/>
      <c r="RAC234" s="23"/>
      <c r="RAH234" s="26"/>
      <c r="RAL234" s="23"/>
      <c r="RAQ234" s="26"/>
      <c r="RAU234" s="23"/>
      <c r="RAZ234" s="26"/>
      <c r="RBD234" s="23"/>
      <c r="RBI234" s="26"/>
      <c r="RBM234" s="23"/>
      <c r="RBR234" s="26"/>
      <c r="RBV234" s="23"/>
      <c r="RCA234" s="26"/>
      <c r="RCE234" s="23"/>
      <c r="RCJ234" s="26"/>
      <c r="RCN234" s="23"/>
      <c r="RCS234" s="26"/>
      <c r="RCW234" s="23"/>
      <c r="RDB234" s="26"/>
      <c r="RDF234" s="23"/>
      <c r="RDK234" s="26"/>
      <c r="RDO234" s="23"/>
      <c r="RDT234" s="26"/>
      <c r="RDX234" s="23"/>
      <c r="REC234" s="26"/>
      <c r="REG234" s="23"/>
      <c r="REL234" s="26"/>
      <c r="REP234" s="23"/>
      <c r="REU234" s="26"/>
      <c r="REY234" s="23"/>
      <c r="RFD234" s="26"/>
      <c r="RFH234" s="23"/>
      <c r="RFM234" s="26"/>
      <c r="RFQ234" s="23"/>
      <c r="RFV234" s="26"/>
      <c r="RFZ234" s="23"/>
      <c r="RGE234" s="26"/>
      <c r="RGI234" s="23"/>
      <c r="RGN234" s="26"/>
      <c r="RGR234" s="23"/>
      <c r="RGW234" s="26"/>
      <c r="RHA234" s="23"/>
      <c r="RHF234" s="26"/>
      <c r="RHJ234" s="23"/>
      <c r="RHO234" s="26"/>
      <c r="RHS234" s="23"/>
      <c r="RHX234" s="26"/>
      <c r="RIB234" s="23"/>
      <c r="RIG234" s="26"/>
      <c r="RIK234" s="23"/>
      <c r="RIP234" s="26"/>
      <c r="RIT234" s="23"/>
      <c r="RIY234" s="26"/>
      <c r="RJC234" s="23"/>
      <c r="RJH234" s="26"/>
      <c r="RJL234" s="23"/>
      <c r="RJQ234" s="26"/>
      <c r="RJU234" s="23"/>
      <c r="RJZ234" s="26"/>
      <c r="RKD234" s="23"/>
      <c r="RKI234" s="26"/>
      <c r="RKM234" s="23"/>
      <c r="RKR234" s="26"/>
      <c r="RKV234" s="23"/>
      <c r="RLA234" s="26"/>
      <c r="RLE234" s="23"/>
      <c r="RLJ234" s="26"/>
      <c r="RLN234" s="23"/>
      <c r="RLS234" s="26"/>
      <c r="RLW234" s="23"/>
      <c r="RMB234" s="26"/>
      <c r="RMF234" s="23"/>
      <c r="RMK234" s="26"/>
      <c r="RMO234" s="23"/>
      <c r="RMT234" s="26"/>
      <c r="RMX234" s="23"/>
      <c r="RNC234" s="26"/>
      <c r="RNG234" s="23"/>
      <c r="RNL234" s="26"/>
      <c r="RNP234" s="23"/>
      <c r="RNU234" s="26"/>
      <c r="RNY234" s="23"/>
      <c r="ROD234" s="26"/>
      <c r="ROH234" s="23"/>
      <c r="ROM234" s="26"/>
      <c r="ROQ234" s="23"/>
      <c r="ROV234" s="26"/>
      <c r="ROZ234" s="23"/>
      <c r="RPE234" s="26"/>
      <c r="RPI234" s="23"/>
      <c r="RPN234" s="26"/>
      <c r="RPR234" s="23"/>
      <c r="RPW234" s="26"/>
      <c r="RQA234" s="23"/>
      <c r="RQF234" s="26"/>
      <c r="RQJ234" s="23"/>
      <c r="RQO234" s="26"/>
      <c r="RQS234" s="23"/>
      <c r="RQX234" s="26"/>
      <c r="RRB234" s="23"/>
      <c r="RRG234" s="26"/>
      <c r="RRK234" s="23"/>
      <c r="RRP234" s="26"/>
      <c r="RRT234" s="23"/>
      <c r="RRY234" s="26"/>
      <c r="RSC234" s="23"/>
      <c r="RSH234" s="26"/>
      <c r="RSL234" s="23"/>
      <c r="RSQ234" s="26"/>
      <c r="RSU234" s="23"/>
      <c r="RSZ234" s="26"/>
      <c r="RTD234" s="23"/>
      <c r="RTI234" s="26"/>
      <c r="RTM234" s="23"/>
      <c r="RTR234" s="26"/>
      <c r="RTV234" s="23"/>
      <c r="RUA234" s="26"/>
      <c r="RUE234" s="23"/>
      <c r="RUJ234" s="26"/>
      <c r="RUN234" s="23"/>
      <c r="RUS234" s="26"/>
      <c r="RUW234" s="23"/>
      <c r="RVB234" s="26"/>
      <c r="RVF234" s="23"/>
      <c r="RVK234" s="26"/>
      <c r="RVO234" s="23"/>
      <c r="RVT234" s="26"/>
      <c r="RVX234" s="23"/>
      <c r="RWC234" s="26"/>
      <c r="RWG234" s="23"/>
      <c r="RWL234" s="26"/>
      <c r="RWP234" s="23"/>
      <c r="RWU234" s="26"/>
      <c r="RWY234" s="23"/>
      <c r="RXD234" s="26"/>
      <c r="RXH234" s="23"/>
      <c r="RXM234" s="26"/>
      <c r="RXQ234" s="23"/>
      <c r="RXV234" s="26"/>
      <c r="RXZ234" s="23"/>
      <c r="RYE234" s="26"/>
      <c r="RYI234" s="23"/>
      <c r="RYN234" s="26"/>
      <c r="RYR234" s="23"/>
      <c r="RYW234" s="26"/>
      <c r="RZA234" s="23"/>
      <c r="RZF234" s="26"/>
      <c r="RZJ234" s="23"/>
      <c r="RZO234" s="26"/>
      <c r="RZS234" s="23"/>
      <c r="RZX234" s="26"/>
      <c r="SAB234" s="23"/>
      <c r="SAG234" s="26"/>
      <c r="SAK234" s="23"/>
      <c r="SAP234" s="26"/>
      <c r="SAT234" s="23"/>
      <c r="SAY234" s="26"/>
      <c r="SBC234" s="23"/>
      <c r="SBH234" s="26"/>
      <c r="SBL234" s="23"/>
      <c r="SBQ234" s="26"/>
      <c r="SBU234" s="23"/>
      <c r="SBZ234" s="26"/>
      <c r="SCD234" s="23"/>
      <c r="SCI234" s="26"/>
      <c r="SCM234" s="23"/>
      <c r="SCR234" s="26"/>
      <c r="SCV234" s="23"/>
      <c r="SDA234" s="26"/>
      <c r="SDE234" s="23"/>
      <c r="SDJ234" s="26"/>
      <c r="SDN234" s="23"/>
      <c r="SDS234" s="26"/>
      <c r="SDW234" s="23"/>
      <c r="SEB234" s="26"/>
      <c r="SEF234" s="23"/>
      <c r="SEK234" s="26"/>
      <c r="SEO234" s="23"/>
      <c r="SET234" s="26"/>
      <c r="SEX234" s="23"/>
      <c r="SFC234" s="26"/>
      <c r="SFG234" s="23"/>
      <c r="SFL234" s="26"/>
      <c r="SFP234" s="23"/>
      <c r="SFU234" s="26"/>
      <c r="SFY234" s="23"/>
      <c r="SGD234" s="26"/>
      <c r="SGH234" s="23"/>
      <c r="SGM234" s="26"/>
      <c r="SGQ234" s="23"/>
      <c r="SGV234" s="26"/>
      <c r="SGZ234" s="23"/>
      <c r="SHE234" s="26"/>
      <c r="SHI234" s="23"/>
      <c r="SHN234" s="26"/>
      <c r="SHR234" s="23"/>
      <c r="SHW234" s="26"/>
      <c r="SIA234" s="23"/>
      <c r="SIF234" s="26"/>
      <c r="SIJ234" s="23"/>
      <c r="SIO234" s="26"/>
      <c r="SIS234" s="23"/>
      <c r="SIX234" s="26"/>
      <c r="SJB234" s="23"/>
      <c r="SJG234" s="26"/>
      <c r="SJK234" s="23"/>
      <c r="SJP234" s="26"/>
      <c r="SJT234" s="23"/>
      <c r="SJY234" s="26"/>
      <c r="SKC234" s="23"/>
      <c r="SKH234" s="26"/>
      <c r="SKL234" s="23"/>
      <c r="SKQ234" s="26"/>
      <c r="SKU234" s="23"/>
      <c r="SKZ234" s="26"/>
      <c r="SLD234" s="23"/>
      <c r="SLI234" s="26"/>
      <c r="SLM234" s="23"/>
      <c r="SLR234" s="26"/>
      <c r="SLV234" s="23"/>
      <c r="SMA234" s="26"/>
      <c r="SME234" s="23"/>
      <c r="SMJ234" s="26"/>
      <c r="SMN234" s="23"/>
      <c r="SMS234" s="26"/>
      <c r="SMW234" s="23"/>
      <c r="SNB234" s="26"/>
      <c r="SNF234" s="23"/>
      <c r="SNK234" s="26"/>
      <c r="SNO234" s="23"/>
      <c r="SNT234" s="26"/>
      <c r="SNX234" s="23"/>
      <c r="SOC234" s="26"/>
      <c r="SOG234" s="23"/>
      <c r="SOL234" s="26"/>
      <c r="SOP234" s="23"/>
      <c r="SOU234" s="26"/>
      <c r="SOY234" s="23"/>
      <c r="SPD234" s="26"/>
      <c r="SPH234" s="23"/>
      <c r="SPM234" s="26"/>
      <c r="SPQ234" s="23"/>
      <c r="SPV234" s="26"/>
      <c r="SPZ234" s="23"/>
      <c r="SQE234" s="26"/>
      <c r="SQI234" s="23"/>
      <c r="SQN234" s="26"/>
      <c r="SQR234" s="23"/>
      <c r="SQW234" s="26"/>
      <c r="SRA234" s="23"/>
      <c r="SRF234" s="26"/>
      <c r="SRJ234" s="23"/>
      <c r="SRO234" s="26"/>
      <c r="SRS234" s="23"/>
      <c r="SRX234" s="26"/>
      <c r="SSB234" s="23"/>
      <c r="SSG234" s="26"/>
      <c r="SSK234" s="23"/>
      <c r="SSP234" s="26"/>
      <c r="SST234" s="23"/>
      <c r="SSY234" s="26"/>
      <c r="STC234" s="23"/>
      <c r="STH234" s="26"/>
      <c r="STL234" s="23"/>
      <c r="STQ234" s="26"/>
      <c r="STU234" s="23"/>
      <c r="STZ234" s="26"/>
      <c r="SUD234" s="23"/>
      <c r="SUI234" s="26"/>
      <c r="SUM234" s="23"/>
      <c r="SUR234" s="26"/>
      <c r="SUV234" s="23"/>
      <c r="SVA234" s="26"/>
      <c r="SVE234" s="23"/>
      <c r="SVJ234" s="26"/>
      <c r="SVN234" s="23"/>
      <c r="SVS234" s="26"/>
      <c r="SVW234" s="23"/>
      <c r="SWB234" s="26"/>
      <c r="SWF234" s="23"/>
      <c r="SWK234" s="26"/>
      <c r="SWO234" s="23"/>
      <c r="SWT234" s="26"/>
      <c r="SWX234" s="23"/>
      <c r="SXC234" s="26"/>
      <c r="SXG234" s="23"/>
      <c r="SXL234" s="26"/>
      <c r="SXP234" s="23"/>
      <c r="SXU234" s="26"/>
      <c r="SXY234" s="23"/>
      <c r="SYD234" s="26"/>
      <c r="SYH234" s="23"/>
      <c r="SYM234" s="26"/>
      <c r="SYQ234" s="23"/>
      <c r="SYV234" s="26"/>
      <c r="SYZ234" s="23"/>
      <c r="SZE234" s="26"/>
      <c r="SZI234" s="23"/>
      <c r="SZN234" s="26"/>
      <c r="SZR234" s="23"/>
      <c r="SZW234" s="26"/>
      <c r="TAA234" s="23"/>
      <c r="TAF234" s="26"/>
      <c r="TAJ234" s="23"/>
      <c r="TAO234" s="26"/>
      <c r="TAS234" s="23"/>
      <c r="TAX234" s="26"/>
      <c r="TBB234" s="23"/>
      <c r="TBG234" s="26"/>
      <c r="TBK234" s="23"/>
      <c r="TBP234" s="26"/>
      <c r="TBT234" s="23"/>
      <c r="TBY234" s="26"/>
      <c r="TCC234" s="23"/>
      <c r="TCH234" s="26"/>
      <c r="TCL234" s="23"/>
      <c r="TCQ234" s="26"/>
      <c r="TCU234" s="23"/>
      <c r="TCZ234" s="26"/>
      <c r="TDD234" s="23"/>
      <c r="TDI234" s="26"/>
      <c r="TDM234" s="23"/>
      <c r="TDR234" s="26"/>
      <c r="TDV234" s="23"/>
      <c r="TEA234" s="26"/>
      <c r="TEE234" s="23"/>
      <c r="TEJ234" s="26"/>
      <c r="TEN234" s="23"/>
      <c r="TES234" s="26"/>
      <c r="TEW234" s="23"/>
      <c r="TFB234" s="26"/>
      <c r="TFF234" s="23"/>
      <c r="TFK234" s="26"/>
      <c r="TFO234" s="23"/>
      <c r="TFT234" s="26"/>
      <c r="TFX234" s="23"/>
      <c r="TGC234" s="26"/>
      <c r="TGG234" s="23"/>
      <c r="TGL234" s="26"/>
      <c r="TGP234" s="23"/>
      <c r="TGU234" s="26"/>
      <c r="TGY234" s="23"/>
      <c r="THD234" s="26"/>
      <c r="THH234" s="23"/>
      <c r="THM234" s="26"/>
      <c r="THQ234" s="23"/>
      <c r="THV234" s="26"/>
      <c r="THZ234" s="23"/>
      <c r="TIE234" s="26"/>
      <c r="TII234" s="23"/>
      <c r="TIN234" s="26"/>
      <c r="TIR234" s="23"/>
      <c r="TIW234" s="26"/>
      <c r="TJA234" s="23"/>
      <c r="TJF234" s="26"/>
      <c r="TJJ234" s="23"/>
      <c r="TJO234" s="26"/>
      <c r="TJS234" s="23"/>
      <c r="TJX234" s="26"/>
      <c r="TKB234" s="23"/>
      <c r="TKG234" s="26"/>
      <c r="TKK234" s="23"/>
      <c r="TKP234" s="26"/>
      <c r="TKT234" s="23"/>
      <c r="TKY234" s="26"/>
      <c r="TLC234" s="23"/>
      <c r="TLH234" s="26"/>
      <c r="TLL234" s="23"/>
      <c r="TLQ234" s="26"/>
      <c r="TLU234" s="23"/>
      <c r="TLZ234" s="26"/>
      <c r="TMD234" s="23"/>
      <c r="TMI234" s="26"/>
      <c r="TMM234" s="23"/>
      <c r="TMR234" s="26"/>
      <c r="TMV234" s="23"/>
      <c r="TNA234" s="26"/>
      <c r="TNE234" s="23"/>
      <c r="TNJ234" s="26"/>
      <c r="TNN234" s="23"/>
      <c r="TNS234" s="26"/>
      <c r="TNW234" s="23"/>
      <c r="TOB234" s="26"/>
      <c r="TOF234" s="23"/>
      <c r="TOK234" s="26"/>
      <c r="TOO234" s="23"/>
      <c r="TOT234" s="26"/>
      <c r="TOX234" s="23"/>
      <c r="TPC234" s="26"/>
      <c r="TPG234" s="23"/>
      <c r="TPL234" s="26"/>
      <c r="TPP234" s="23"/>
      <c r="TPU234" s="26"/>
      <c r="TPY234" s="23"/>
      <c r="TQD234" s="26"/>
      <c r="TQH234" s="23"/>
      <c r="TQM234" s="26"/>
      <c r="TQQ234" s="23"/>
      <c r="TQV234" s="26"/>
      <c r="TQZ234" s="23"/>
      <c r="TRE234" s="26"/>
      <c r="TRI234" s="23"/>
      <c r="TRN234" s="26"/>
      <c r="TRR234" s="23"/>
      <c r="TRW234" s="26"/>
      <c r="TSA234" s="23"/>
      <c r="TSF234" s="26"/>
      <c r="TSJ234" s="23"/>
      <c r="TSO234" s="26"/>
      <c r="TSS234" s="23"/>
      <c r="TSX234" s="26"/>
      <c r="TTB234" s="23"/>
      <c r="TTG234" s="26"/>
      <c r="TTK234" s="23"/>
      <c r="TTP234" s="26"/>
      <c r="TTT234" s="23"/>
      <c r="TTY234" s="26"/>
      <c r="TUC234" s="23"/>
      <c r="TUH234" s="26"/>
      <c r="TUL234" s="23"/>
      <c r="TUQ234" s="26"/>
      <c r="TUU234" s="23"/>
      <c r="TUZ234" s="26"/>
      <c r="TVD234" s="23"/>
      <c r="TVI234" s="26"/>
      <c r="TVM234" s="23"/>
      <c r="TVR234" s="26"/>
      <c r="TVV234" s="23"/>
      <c r="TWA234" s="26"/>
      <c r="TWE234" s="23"/>
      <c r="TWJ234" s="26"/>
      <c r="TWN234" s="23"/>
      <c r="TWS234" s="26"/>
      <c r="TWW234" s="23"/>
      <c r="TXB234" s="26"/>
      <c r="TXF234" s="23"/>
      <c r="TXK234" s="26"/>
      <c r="TXO234" s="23"/>
      <c r="TXT234" s="26"/>
      <c r="TXX234" s="23"/>
      <c r="TYC234" s="26"/>
      <c r="TYG234" s="23"/>
      <c r="TYL234" s="26"/>
      <c r="TYP234" s="23"/>
      <c r="TYU234" s="26"/>
      <c r="TYY234" s="23"/>
      <c r="TZD234" s="26"/>
      <c r="TZH234" s="23"/>
      <c r="TZM234" s="26"/>
      <c r="TZQ234" s="23"/>
      <c r="TZV234" s="26"/>
      <c r="TZZ234" s="23"/>
      <c r="UAE234" s="26"/>
      <c r="UAI234" s="23"/>
      <c r="UAN234" s="26"/>
      <c r="UAR234" s="23"/>
      <c r="UAW234" s="26"/>
      <c r="UBA234" s="23"/>
      <c r="UBF234" s="26"/>
      <c r="UBJ234" s="23"/>
      <c r="UBO234" s="26"/>
      <c r="UBS234" s="23"/>
      <c r="UBX234" s="26"/>
      <c r="UCB234" s="23"/>
      <c r="UCG234" s="26"/>
      <c r="UCK234" s="23"/>
      <c r="UCP234" s="26"/>
      <c r="UCT234" s="23"/>
      <c r="UCY234" s="26"/>
      <c r="UDC234" s="23"/>
      <c r="UDH234" s="26"/>
      <c r="UDL234" s="23"/>
      <c r="UDQ234" s="26"/>
      <c r="UDU234" s="23"/>
      <c r="UDZ234" s="26"/>
      <c r="UED234" s="23"/>
      <c r="UEI234" s="26"/>
      <c r="UEM234" s="23"/>
      <c r="UER234" s="26"/>
      <c r="UEV234" s="23"/>
      <c r="UFA234" s="26"/>
      <c r="UFE234" s="23"/>
      <c r="UFJ234" s="26"/>
      <c r="UFN234" s="23"/>
      <c r="UFS234" s="26"/>
      <c r="UFW234" s="23"/>
      <c r="UGB234" s="26"/>
      <c r="UGF234" s="23"/>
      <c r="UGK234" s="26"/>
      <c r="UGO234" s="23"/>
      <c r="UGT234" s="26"/>
      <c r="UGX234" s="23"/>
      <c r="UHC234" s="26"/>
      <c r="UHG234" s="23"/>
      <c r="UHL234" s="26"/>
      <c r="UHP234" s="23"/>
      <c r="UHU234" s="26"/>
      <c r="UHY234" s="23"/>
      <c r="UID234" s="26"/>
      <c r="UIH234" s="23"/>
      <c r="UIM234" s="26"/>
      <c r="UIQ234" s="23"/>
      <c r="UIV234" s="26"/>
      <c r="UIZ234" s="23"/>
      <c r="UJE234" s="26"/>
      <c r="UJI234" s="23"/>
      <c r="UJN234" s="26"/>
      <c r="UJR234" s="23"/>
      <c r="UJW234" s="26"/>
      <c r="UKA234" s="23"/>
      <c r="UKF234" s="26"/>
      <c r="UKJ234" s="23"/>
      <c r="UKO234" s="26"/>
      <c r="UKS234" s="23"/>
      <c r="UKX234" s="26"/>
      <c r="ULB234" s="23"/>
      <c r="ULG234" s="26"/>
      <c r="ULK234" s="23"/>
      <c r="ULP234" s="26"/>
      <c r="ULT234" s="23"/>
      <c r="ULY234" s="26"/>
      <c r="UMC234" s="23"/>
      <c r="UMH234" s="26"/>
      <c r="UML234" s="23"/>
      <c r="UMQ234" s="26"/>
      <c r="UMU234" s="23"/>
      <c r="UMZ234" s="26"/>
      <c r="UND234" s="23"/>
      <c r="UNI234" s="26"/>
      <c r="UNM234" s="23"/>
      <c r="UNR234" s="26"/>
      <c r="UNV234" s="23"/>
      <c r="UOA234" s="26"/>
      <c r="UOE234" s="23"/>
      <c r="UOJ234" s="26"/>
      <c r="UON234" s="23"/>
      <c r="UOS234" s="26"/>
      <c r="UOW234" s="23"/>
      <c r="UPB234" s="26"/>
      <c r="UPF234" s="23"/>
      <c r="UPK234" s="26"/>
      <c r="UPO234" s="23"/>
      <c r="UPT234" s="26"/>
      <c r="UPX234" s="23"/>
      <c r="UQC234" s="26"/>
      <c r="UQG234" s="23"/>
      <c r="UQL234" s="26"/>
      <c r="UQP234" s="23"/>
      <c r="UQU234" s="26"/>
      <c r="UQY234" s="23"/>
      <c r="URD234" s="26"/>
      <c r="URH234" s="23"/>
      <c r="URM234" s="26"/>
      <c r="URQ234" s="23"/>
      <c r="URV234" s="26"/>
      <c r="URZ234" s="23"/>
      <c r="USE234" s="26"/>
      <c r="USI234" s="23"/>
      <c r="USN234" s="26"/>
      <c r="USR234" s="23"/>
      <c r="USW234" s="26"/>
      <c r="UTA234" s="23"/>
      <c r="UTF234" s="26"/>
      <c r="UTJ234" s="23"/>
      <c r="UTO234" s="26"/>
      <c r="UTS234" s="23"/>
      <c r="UTX234" s="26"/>
      <c r="UUB234" s="23"/>
      <c r="UUG234" s="26"/>
      <c r="UUK234" s="23"/>
      <c r="UUP234" s="26"/>
      <c r="UUT234" s="23"/>
      <c r="UUY234" s="26"/>
      <c r="UVC234" s="23"/>
      <c r="UVH234" s="26"/>
      <c r="UVL234" s="23"/>
      <c r="UVQ234" s="26"/>
      <c r="UVU234" s="23"/>
      <c r="UVZ234" s="26"/>
      <c r="UWD234" s="23"/>
      <c r="UWI234" s="26"/>
      <c r="UWM234" s="23"/>
      <c r="UWR234" s="26"/>
      <c r="UWV234" s="23"/>
      <c r="UXA234" s="26"/>
      <c r="UXE234" s="23"/>
      <c r="UXJ234" s="26"/>
      <c r="UXN234" s="23"/>
      <c r="UXS234" s="26"/>
      <c r="UXW234" s="23"/>
      <c r="UYB234" s="26"/>
      <c r="UYF234" s="23"/>
      <c r="UYK234" s="26"/>
      <c r="UYO234" s="23"/>
      <c r="UYT234" s="26"/>
      <c r="UYX234" s="23"/>
      <c r="UZC234" s="26"/>
      <c r="UZG234" s="23"/>
      <c r="UZL234" s="26"/>
      <c r="UZP234" s="23"/>
      <c r="UZU234" s="26"/>
      <c r="UZY234" s="23"/>
      <c r="VAD234" s="26"/>
      <c r="VAH234" s="23"/>
      <c r="VAM234" s="26"/>
      <c r="VAQ234" s="23"/>
      <c r="VAV234" s="26"/>
      <c r="VAZ234" s="23"/>
      <c r="VBE234" s="26"/>
      <c r="VBI234" s="23"/>
      <c r="VBN234" s="26"/>
      <c r="VBR234" s="23"/>
      <c r="VBW234" s="26"/>
      <c r="VCA234" s="23"/>
      <c r="VCF234" s="26"/>
      <c r="VCJ234" s="23"/>
      <c r="VCO234" s="26"/>
      <c r="VCS234" s="23"/>
      <c r="VCX234" s="26"/>
      <c r="VDB234" s="23"/>
      <c r="VDG234" s="26"/>
      <c r="VDK234" s="23"/>
      <c r="VDP234" s="26"/>
      <c r="VDT234" s="23"/>
      <c r="VDY234" s="26"/>
      <c r="VEC234" s="23"/>
      <c r="VEH234" s="26"/>
      <c r="VEL234" s="23"/>
      <c r="VEQ234" s="26"/>
      <c r="VEU234" s="23"/>
      <c r="VEZ234" s="26"/>
      <c r="VFD234" s="23"/>
      <c r="VFI234" s="26"/>
      <c r="VFM234" s="23"/>
      <c r="VFR234" s="26"/>
      <c r="VFV234" s="23"/>
      <c r="VGA234" s="26"/>
      <c r="VGE234" s="23"/>
      <c r="VGJ234" s="26"/>
      <c r="VGN234" s="23"/>
      <c r="VGS234" s="26"/>
      <c r="VGW234" s="23"/>
      <c r="VHB234" s="26"/>
      <c r="VHF234" s="23"/>
      <c r="VHK234" s="26"/>
      <c r="VHO234" s="23"/>
      <c r="VHT234" s="26"/>
      <c r="VHX234" s="23"/>
      <c r="VIC234" s="26"/>
      <c r="VIG234" s="23"/>
      <c r="VIL234" s="26"/>
      <c r="VIP234" s="23"/>
      <c r="VIU234" s="26"/>
      <c r="VIY234" s="23"/>
      <c r="VJD234" s="26"/>
      <c r="VJH234" s="23"/>
      <c r="VJM234" s="26"/>
      <c r="VJQ234" s="23"/>
      <c r="VJV234" s="26"/>
      <c r="VJZ234" s="23"/>
      <c r="VKE234" s="26"/>
      <c r="VKI234" s="23"/>
      <c r="VKN234" s="26"/>
      <c r="VKR234" s="23"/>
      <c r="VKW234" s="26"/>
      <c r="VLA234" s="23"/>
      <c r="VLF234" s="26"/>
      <c r="VLJ234" s="23"/>
      <c r="VLO234" s="26"/>
      <c r="VLS234" s="23"/>
      <c r="VLX234" s="26"/>
      <c r="VMB234" s="23"/>
      <c r="VMG234" s="26"/>
      <c r="VMK234" s="23"/>
      <c r="VMP234" s="26"/>
      <c r="VMT234" s="23"/>
      <c r="VMY234" s="26"/>
      <c r="VNC234" s="23"/>
      <c r="VNH234" s="26"/>
      <c r="VNL234" s="23"/>
      <c r="VNQ234" s="26"/>
      <c r="VNU234" s="23"/>
      <c r="VNZ234" s="26"/>
      <c r="VOD234" s="23"/>
      <c r="VOI234" s="26"/>
      <c r="VOM234" s="23"/>
      <c r="VOR234" s="26"/>
      <c r="VOV234" s="23"/>
      <c r="VPA234" s="26"/>
      <c r="VPE234" s="23"/>
      <c r="VPJ234" s="26"/>
      <c r="VPN234" s="23"/>
      <c r="VPS234" s="26"/>
      <c r="VPW234" s="23"/>
      <c r="VQB234" s="26"/>
      <c r="VQF234" s="23"/>
      <c r="VQK234" s="26"/>
      <c r="VQO234" s="23"/>
      <c r="VQT234" s="26"/>
      <c r="VQX234" s="23"/>
      <c r="VRC234" s="26"/>
      <c r="VRG234" s="23"/>
      <c r="VRL234" s="26"/>
      <c r="VRP234" s="23"/>
      <c r="VRU234" s="26"/>
      <c r="VRY234" s="23"/>
      <c r="VSD234" s="26"/>
      <c r="VSH234" s="23"/>
      <c r="VSM234" s="26"/>
      <c r="VSQ234" s="23"/>
      <c r="VSV234" s="26"/>
      <c r="VSZ234" s="23"/>
      <c r="VTE234" s="26"/>
      <c r="VTI234" s="23"/>
      <c r="VTN234" s="26"/>
      <c r="VTR234" s="23"/>
      <c r="VTW234" s="26"/>
      <c r="VUA234" s="23"/>
      <c r="VUF234" s="26"/>
      <c r="VUJ234" s="23"/>
      <c r="VUO234" s="26"/>
      <c r="VUS234" s="23"/>
      <c r="VUX234" s="26"/>
      <c r="VVB234" s="23"/>
      <c r="VVG234" s="26"/>
      <c r="VVK234" s="23"/>
      <c r="VVP234" s="26"/>
      <c r="VVT234" s="23"/>
      <c r="VVY234" s="26"/>
      <c r="VWC234" s="23"/>
      <c r="VWH234" s="26"/>
      <c r="VWL234" s="23"/>
      <c r="VWQ234" s="26"/>
      <c r="VWU234" s="23"/>
      <c r="VWZ234" s="26"/>
      <c r="VXD234" s="23"/>
      <c r="VXI234" s="26"/>
      <c r="VXM234" s="23"/>
      <c r="VXR234" s="26"/>
      <c r="VXV234" s="23"/>
      <c r="VYA234" s="26"/>
      <c r="VYE234" s="23"/>
      <c r="VYJ234" s="26"/>
      <c r="VYN234" s="23"/>
      <c r="VYS234" s="26"/>
      <c r="VYW234" s="23"/>
      <c r="VZB234" s="26"/>
      <c r="VZF234" s="23"/>
      <c r="VZK234" s="26"/>
      <c r="VZO234" s="23"/>
      <c r="VZT234" s="26"/>
      <c r="VZX234" s="23"/>
      <c r="WAC234" s="26"/>
      <c r="WAG234" s="23"/>
      <c r="WAL234" s="26"/>
      <c r="WAP234" s="23"/>
      <c r="WAU234" s="26"/>
      <c r="WAY234" s="23"/>
      <c r="WBD234" s="26"/>
      <c r="WBH234" s="23"/>
      <c r="WBM234" s="26"/>
      <c r="WBQ234" s="23"/>
      <c r="WBV234" s="26"/>
      <c r="WBZ234" s="23"/>
      <c r="WCE234" s="26"/>
      <c r="WCI234" s="23"/>
      <c r="WCN234" s="26"/>
      <c r="WCR234" s="23"/>
      <c r="WCW234" s="26"/>
      <c r="WDA234" s="23"/>
      <c r="WDF234" s="26"/>
      <c r="WDJ234" s="23"/>
      <c r="WDO234" s="26"/>
      <c r="WDS234" s="23"/>
      <c r="WDX234" s="26"/>
      <c r="WEB234" s="23"/>
      <c r="WEG234" s="26"/>
      <c r="WEK234" s="23"/>
      <c r="WEP234" s="26"/>
      <c r="WET234" s="23"/>
      <c r="WEY234" s="26"/>
      <c r="WFC234" s="23"/>
      <c r="WFH234" s="26"/>
      <c r="WFL234" s="23"/>
      <c r="WFQ234" s="26"/>
      <c r="WFU234" s="23"/>
      <c r="WFZ234" s="26"/>
      <c r="WGD234" s="23"/>
      <c r="WGI234" s="26"/>
      <c r="WGM234" s="23"/>
      <c r="WGR234" s="26"/>
      <c r="WGV234" s="23"/>
      <c r="WHA234" s="26"/>
      <c r="WHE234" s="23"/>
      <c r="WHJ234" s="26"/>
      <c r="WHN234" s="23"/>
      <c r="WHS234" s="26"/>
      <c r="WHW234" s="23"/>
      <c r="WIB234" s="26"/>
      <c r="WIF234" s="23"/>
      <c r="WIK234" s="26"/>
      <c r="WIO234" s="23"/>
      <c r="WIT234" s="26"/>
      <c r="WIX234" s="23"/>
      <c r="WJC234" s="26"/>
      <c r="WJG234" s="23"/>
      <c r="WJL234" s="26"/>
      <c r="WJP234" s="23"/>
      <c r="WJU234" s="26"/>
      <c r="WJY234" s="23"/>
      <c r="WKD234" s="26"/>
      <c r="WKH234" s="23"/>
      <c r="WKM234" s="26"/>
      <c r="WKQ234" s="23"/>
      <c r="WKV234" s="26"/>
      <c r="WKZ234" s="23"/>
      <c r="WLE234" s="26"/>
      <c r="WLI234" s="23"/>
      <c r="WLN234" s="26"/>
      <c r="WLR234" s="23"/>
      <c r="WLW234" s="26"/>
      <c r="WMA234" s="23"/>
      <c r="WMF234" s="26"/>
      <c r="WMJ234" s="23"/>
      <c r="WMO234" s="26"/>
      <c r="WMS234" s="23"/>
      <c r="WMX234" s="26"/>
      <c r="WNB234" s="23"/>
      <c r="WNG234" s="26"/>
      <c r="WNK234" s="23"/>
      <c r="WNP234" s="26"/>
      <c r="WNT234" s="23"/>
      <c r="WNY234" s="26"/>
      <c r="WOC234" s="23"/>
      <c r="WOH234" s="26"/>
      <c r="WOL234" s="23"/>
      <c r="WOQ234" s="26"/>
      <c r="WOU234" s="23"/>
      <c r="WOZ234" s="26"/>
      <c r="WPD234" s="23"/>
      <c r="WPI234" s="26"/>
      <c r="WPM234" s="23"/>
      <c r="WPR234" s="26"/>
      <c r="WPV234" s="23"/>
      <c r="WQA234" s="26"/>
      <c r="WQE234" s="23"/>
      <c r="WQJ234" s="26"/>
      <c r="WQN234" s="23"/>
      <c r="WQS234" s="26"/>
      <c r="WQW234" s="23"/>
      <c r="WRB234" s="26"/>
      <c r="WRF234" s="23"/>
      <c r="WRK234" s="26"/>
      <c r="WRO234" s="23"/>
      <c r="WRT234" s="26"/>
      <c r="WRX234" s="23"/>
      <c r="WSC234" s="26"/>
      <c r="WSG234" s="23"/>
      <c r="WSL234" s="26"/>
      <c r="WSP234" s="23"/>
      <c r="WSU234" s="26"/>
      <c r="WSY234" s="23"/>
      <c r="WTD234" s="26"/>
      <c r="WTH234" s="23"/>
      <c r="WTM234" s="26"/>
      <c r="WTQ234" s="23"/>
      <c r="WTV234" s="26"/>
      <c r="WTZ234" s="23"/>
      <c r="WUE234" s="26"/>
      <c r="WUI234" s="23"/>
      <c r="WUN234" s="26"/>
      <c r="WUR234" s="23"/>
      <c r="WUW234" s="26"/>
      <c r="WVA234" s="23"/>
      <c r="WVF234" s="26"/>
      <c r="WVJ234" s="23"/>
      <c r="WVO234" s="26"/>
      <c r="WVS234" s="23"/>
      <c r="WVX234" s="26"/>
      <c r="WWB234" s="23"/>
      <c r="WWG234" s="26"/>
      <c r="WWK234" s="23"/>
      <c r="WWP234" s="26"/>
      <c r="WWT234" s="23"/>
      <c r="WWY234" s="26"/>
      <c r="WXC234" s="23"/>
      <c r="WXH234" s="26"/>
      <c r="WXL234" s="23"/>
      <c r="WXQ234" s="26"/>
      <c r="WXU234" s="23"/>
      <c r="WXZ234" s="26"/>
      <c r="WYD234" s="23"/>
      <c r="WYI234" s="26"/>
      <c r="WYM234" s="23"/>
      <c r="WYR234" s="26"/>
      <c r="WYV234" s="23"/>
      <c r="WZA234" s="26"/>
      <c r="WZE234" s="23"/>
      <c r="WZJ234" s="26"/>
      <c r="WZN234" s="23"/>
      <c r="WZS234" s="26"/>
      <c r="WZW234" s="23"/>
      <c r="XAB234" s="26"/>
      <c r="XAF234" s="23"/>
      <c r="XAK234" s="26"/>
      <c r="XAO234" s="23"/>
      <c r="XAT234" s="26"/>
      <c r="XAX234" s="23"/>
      <c r="XBC234" s="26"/>
      <c r="XBG234" s="23"/>
      <c r="XBL234" s="26"/>
      <c r="XBP234" s="23"/>
      <c r="XBU234" s="26"/>
      <c r="XBY234" s="23"/>
      <c r="XCD234" s="26"/>
      <c r="XCH234" s="23"/>
      <c r="XCM234" s="26"/>
      <c r="XCQ234" s="23"/>
      <c r="XCV234" s="26"/>
      <c r="XCZ234" s="23"/>
      <c r="XDE234" s="26"/>
      <c r="XDI234" s="23"/>
      <c r="XDN234" s="26"/>
      <c r="XDR234" s="23"/>
      <c r="XDW234" s="26"/>
      <c r="XEA234" s="23"/>
      <c r="XEF234" s="26"/>
      <c r="XEJ234" s="23"/>
      <c r="XEO234" s="26"/>
      <c r="XES234" s="23"/>
      <c r="XEX234" s="26"/>
      <c r="XFB234" s="23"/>
    </row>
    <row r="235" spans="2:1024 1028:2045 2050:3071 3076:4093 4097:5119 5123:6140 6145:7166 7171:8192 8197:9214 9218:10240 10244:11261 11266:12287 12292:13309 13313:14335 14339:15356 15361:16382" x14ac:dyDescent="0.3">
      <c r="B235" s="23"/>
      <c r="K235" s="23"/>
      <c r="P235" s="26"/>
      <c r="T235" s="23"/>
      <c r="Y235" s="26"/>
      <c r="AC235" s="23"/>
      <c r="AH235" s="26"/>
      <c r="AL235" s="23"/>
      <c r="AQ235" s="26"/>
      <c r="AU235" s="23"/>
      <c r="AZ235" s="26"/>
      <c r="BD235" s="23"/>
      <c r="BI235" s="26"/>
      <c r="BM235" s="23"/>
      <c r="BR235" s="26"/>
      <c r="BV235" s="23"/>
      <c r="CA235" s="26"/>
      <c r="CE235" s="23"/>
      <c r="CJ235" s="26"/>
      <c r="CN235" s="23"/>
      <c r="CS235" s="26"/>
      <c r="CW235" s="23"/>
      <c r="DB235" s="26"/>
      <c r="DF235" s="23"/>
      <c r="DK235" s="26"/>
      <c r="DO235" s="23"/>
      <c r="DT235" s="26"/>
      <c r="DX235" s="23"/>
      <c r="EC235" s="26"/>
      <c r="EG235" s="23"/>
      <c r="EL235" s="26"/>
      <c r="EP235" s="23"/>
      <c r="EU235" s="26"/>
      <c r="EY235" s="23"/>
      <c r="FD235" s="26"/>
      <c r="FH235" s="23"/>
      <c r="FM235" s="26"/>
      <c r="FQ235" s="23"/>
      <c r="FV235" s="26"/>
      <c r="FZ235" s="23"/>
      <c r="GE235" s="26"/>
      <c r="GI235" s="23"/>
      <c r="GN235" s="26"/>
      <c r="GR235" s="23"/>
      <c r="GW235" s="26"/>
      <c r="HA235" s="23"/>
      <c r="HF235" s="26"/>
      <c r="HJ235" s="23"/>
      <c r="HO235" s="26"/>
      <c r="HS235" s="23"/>
      <c r="HX235" s="26"/>
      <c r="IB235" s="23"/>
      <c r="IG235" s="26"/>
      <c r="IK235" s="23"/>
      <c r="IP235" s="26"/>
      <c r="IT235" s="23"/>
      <c r="IY235" s="26"/>
      <c r="JC235" s="23"/>
      <c r="JH235" s="26"/>
      <c r="JL235" s="23"/>
      <c r="JQ235" s="26"/>
      <c r="JU235" s="23"/>
      <c r="JZ235" s="26"/>
      <c r="KD235" s="23"/>
      <c r="KI235" s="26"/>
      <c r="KM235" s="23"/>
      <c r="KR235" s="26"/>
      <c r="KV235" s="23"/>
      <c r="LA235" s="26"/>
      <c r="LE235" s="23"/>
      <c r="LJ235" s="26"/>
      <c r="LN235" s="23"/>
      <c r="LS235" s="26"/>
      <c r="LW235" s="23"/>
      <c r="MB235" s="26"/>
      <c r="MF235" s="23"/>
      <c r="MK235" s="26"/>
      <c r="MO235" s="23"/>
      <c r="MT235" s="26"/>
      <c r="MX235" s="23"/>
      <c r="NC235" s="26"/>
      <c r="NG235" s="23"/>
      <c r="NL235" s="26"/>
      <c r="NP235" s="23"/>
      <c r="NU235" s="26"/>
      <c r="NY235" s="23"/>
      <c r="OD235" s="26"/>
      <c r="OH235" s="23"/>
      <c r="OM235" s="26"/>
      <c r="OQ235" s="23"/>
      <c r="OV235" s="26"/>
      <c r="OZ235" s="23"/>
      <c r="PE235" s="26"/>
      <c r="PI235" s="23"/>
      <c r="PN235" s="26"/>
      <c r="PR235" s="23"/>
      <c r="PW235" s="26"/>
      <c r="QA235" s="23"/>
      <c r="QF235" s="26"/>
      <c r="QJ235" s="23"/>
      <c r="QO235" s="26"/>
      <c r="QS235" s="23"/>
      <c r="QX235" s="26"/>
      <c r="RB235" s="23"/>
      <c r="RG235" s="26"/>
      <c r="RK235" s="23"/>
      <c r="RP235" s="26"/>
      <c r="RT235" s="23"/>
      <c r="RY235" s="26"/>
      <c r="SC235" s="23"/>
      <c r="SH235" s="26"/>
      <c r="SL235" s="23"/>
      <c r="SQ235" s="26"/>
      <c r="SU235" s="23"/>
      <c r="SZ235" s="26"/>
      <c r="TD235" s="23"/>
      <c r="TI235" s="26"/>
      <c r="TM235" s="23"/>
      <c r="TR235" s="26"/>
      <c r="TV235" s="23"/>
      <c r="UA235" s="26"/>
      <c r="UE235" s="23"/>
      <c r="UJ235" s="26"/>
      <c r="UN235" s="23"/>
      <c r="US235" s="26"/>
      <c r="UW235" s="23"/>
      <c r="VB235" s="26"/>
      <c r="VF235" s="23"/>
      <c r="VK235" s="26"/>
      <c r="VO235" s="23"/>
      <c r="VT235" s="26"/>
      <c r="VX235" s="23"/>
      <c r="WC235" s="26"/>
      <c r="WG235" s="23"/>
      <c r="WL235" s="26"/>
      <c r="WP235" s="23"/>
      <c r="WU235" s="26"/>
      <c r="WY235" s="23"/>
      <c r="XD235" s="26"/>
      <c r="XH235" s="23"/>
      <c r="XM235" s="26"/>
      <c r="XQ235" s="23"/>
      <c r="XV235" s="26"/>
      <c r="XZ235" s="23"/>
      <c r="YE235" s="26"/>
      <c r="YI235" s="23"/>
      <c r="YN235" s="26"/>
      <c r="YR235" s="23"/>
      <c r="YW235" s="26"/>
      <c r="ZA235" s="23"/>
      <c r="ZF235" s="26"/>
      <c r="ZJ235" s="23"/>
      <c r="ZO235" s="26"/>
      <c r="ZS235" s="23"/>
      <c r="ZX235" s="26"/>
      <c r="AAB235" s="23"/>
      <c r="AAG235" s="26"/>
      <c r="AAK235" s="23"/>
      <c r="AAP235" s="26"/>
      <c r="AAT235" s="23"/>
      <c r="AAY235" s="26"/>
      <c r="ABC235" s="23"/>
      <c r="ABH235" s="26"/>
      <c r="ABL235" s="23"/>
      <c r="ABQ235" s="26"/>
      <c r="ABU235" s="23"/>
      <c r="ABZ235" s="26"/>
      <c r="ACD235" s="23"/>
      <c r="ACI235" s="26"/>
      <c r="ACM235" s="23"/>
      <c r="ACR235" s="26"/>
      <c r="ACV235" s="23"/>
      <c r="ADA235" s="26"/>
      <c r="ADE235" s="23"/>
      <c r="ADJ235" s="26"/>
      <c r="ADN235" s="23"/>
      <c r="ADS235" s="26"/>
      <c r="ADW235" s="23"/>
      <c r="AEB235" s="26"/>
      <c r="AEF235" s="23"/>
      <c r="AEK235" s="26"/>
      <c r="AEO235" s="23"/>
      <c r="AET235" s="26"/>
      <c r="AEX235" s="23"/>
      <c r="AFC235" s="26"/>
      <c r="AFG235" s="23"/>
      <c r="AFL235" s="26"/>
      <c r="AFP235" s="23"/>
      <c r="AFU235" s="26"/>
      <c r="AFY235" s="23"/>
      <c r="AGD235" s="26"/>
      <c r="AGH235" s="23"/>
      <c r="AGM235" s="26"/>
      <c r="AGQ235" s="23"/>
      <c r="AGV235" s="26"/>
      <c r="AGZ235" s="23"/>
      <c r="AHE235" s="26"/>
      <c r="AHI235" s="23"/>
      <c r="AHN235" s="26"/>
      <c r="AHR235" s="23"/>
      <c r="AHW235" s="26"/>
      <c r="AIA235" s="23"/>
      <c r="AIF235" s="26"/>
      <c r="AIJ235" s="23"/>
      <c r="AIO235" s="26"/>
      <c r="AIS235" s="23"/>
      <c r="AIX235" s="26"/>
      <c r="AJB235" s="23"/>
      <c r="AJG235" s="26"/>
      <c r="AJK235" s="23"/>
      <c r="AJP235" s="26"/>
      <c r="AJT235" s="23"/>
      <c r="AJY235" s="26"/>
      <c r="AKC235" s="23"/>
      <c r="AKH235" s="26"/>
      <c r="AKL235" s="23"/>
      <c r="AKQ235" s="26"/>
      <c r="AKU235" s="23"/>
      <c r="AKZ235" s="26"/>
      <c r="ALD235" s="23"/>
      <c r="ALI235" s="26"/>
      <c r="ALM235" s="23"/>
      <c r="ALR235" s="26"/>
      <c r="ALV235" s="23"/>
      <c r="AMA235" s="26"/>
      <c r="AME235" s="23"/>
      <c r="AMJ235" s="26"/>
      <c r="AMN235" s="23"/>
      <c r="AMS235" s="26"/>
      <c r="AMW235" s="23"/>
      <c r="ANB235" s="26"/>
      <c r="ANF235" s="23"/>
      <c r="ANK235" s="26"/>
      <c r="ANO235" s="23"/>
      <c r="ANT235" s="26"/>
      <c r="ANX235" s="23"/>
      <c r="AOC235" s="26"/>
      <c r="AOG235" s="23"/>
      <c r="AOL235" s="26"/>
      <c r="AOP235" s="23"/>
      <c r="AOU235" s="26"/>
      <c r="AOY235" s="23"/>
      <c r="APD235" s="26"/>
      <c r="APH235" s="23"/>
      <c r="APM235" s="26"/>
      <c r="APQ235" s="23"/>
      <c r="APV235" s="26"/>
      <c r="APZ235" s="23"/>
      <c r="AQE235" s="26"/>
      <c r="AQI235" s="23"/>
      <c r="AQN235" s="26"/>
      <c r="AQR235" s="23"/>
      <c r="AQW235" s="26"/>
      <c r="ARA235" s="23"/>
      <c r="ARF235" s="26"/>
      <c r="ARJ235" s="23"/>
      <c r="ARO235" s="26"/>
      <c r="ARS235" s="23"/>
      <c r="ARX235" s="26"/>
      <c r="ASB235" s="23"/>
      <c r="ASG235" s="26"/>
      <c r="ASK235" s="23"/>
      <c r="ASP235" s="26"/>
      <c r="AST235" s="23"/>
      <c r="ASY235" s="26"/>
      <c r="ATC235" s="23"/>
      <c r="ATH235" s="26"/>
      <c r="ATL235" s="23"/>
      <c r="ATQ235" s="26"/>
      <c r="ATU235" s="23"/>
      <c r="ATZ235" s="26"/>
      <c r="AUD235" s="23"/>
      <c r="AUI235" s="26"/>
      <c r="AUM235" s="23"/>
      <c r="AUR235" s="26"/>
      <c r="AUV235" s="23"/>
      <c r="AVA235" s="26"/>
      <c r="AVE235" s="23"/>
      <c r="AVJ235" s="26"/>
      <c r="AVN235" s="23"/>
      <c r="AVS235" s="26"/>
      <c r="AVW235" s="23"/>
      <c r="AWB235" s="26"/>
      <c r="AWF235" s="23"/>
      <c r="AWK235" s="26"/>
      <c r="AWO235" s="23"/>
      <c r="AWT235" s="26"/>
      <c r="AWX235" s="23"/>
      <c r="AXC235" s="26"/>
      <c r="AXG235" s="23"/>
      <c r="AXL235" s="26"/>
      <c r="AXP235" s="23"/>
      <c r="AXU235" s="26"/>
      <c r="AXY235" s="23"/>
      <c r="AYD235" s="26"/>
      <c r="AYH235" s="23"/>
      <c r="AYM235" s="26"/>
      <c r="AYQ235" s="23"/>
      <c r="AYV235" s="26"/>
      <c r="AYZ235" s="23"/>
      <c r="AZE235" s="26"/>
      <c r="AZI235" s="23"/>
      <c r="AZN235" s="26"/>
      <c r="AZR235" s="23"/>
      <c r="AZW235" s="26"/>
      <c r="BAA235" s="23"/>
      <c r="BAF235" s="26"/>
      <c r="BAJ235" s="23"/>
      <c r="BAO235" s="26"/>
      <c r="BAS235" s="23"/>
      <c r="BAX235" s="26"/>
      <c r="BBB235" s="23"/>
      <c r="BBG235" s="26"/>
      <c r="BBK235" s="23"/>
      <c r="BBP235" s="26"/>
      <c r="BBT235" s="23"/>
      <c r="BBY235" s="26"/>
      <c r="BCC235" s="23"/>
      <c r="BCH235" s="26"/>
      <c r="BCL235" s="23"/>
      <c r="BCQ235" s="26"/>
      <c r="BCU235" s="23"/>
      <c r="BCZ235" s="26"/>
      <c r="BDD235" s="23"/>
      <c r="BDI235" s="26"/>
      <c r="BDM235" s="23"/>
      <c r="BDR235" s="26"/>
      <c r="BDV235" s="23"/>
      <c r="BEA235" s="26"/>
      <c r="BEE235" s="23"/>
      <c r="BEJ235" s="26"/>
      <c r="BEN235" s="23"/>
      <c r="BES235" s="26"/>
      <c r="BEW235" s="23"/>
      <c r="BFB235" s="26"/>
      <c r="BFF235" s="23"/>
      <c r="BFK235" s="26"/>
      <c r="BFO235" s="23"/>
      <c r="BFT235" s="26"/>
      <c r="BFX235" s="23"/>
      <c r="BGC235" s="26"/>
      <c r="BGG235" s="23"/>
      <c r="BGL235" s="26"/>
      <c r="BGP235" s="23"/>
      <c r="BGU235" s="26"/>
      <c r="BGY235" s="23"/>
      <c r="BHD235" s="26"/>
      <c r="BHH235" s="23"/>
      <c r="BHM235" s="26"/>
      <c r="BHQ235" s="23"/>
      <c r="BHV235" s="26"/>
      <c r="BHZ235" s="23"/>
      <c r="BIE235" s="26"/>
      <c r="BII235" s="23"/>
      <c r="BIN235" s="26"/>
      <c r="BIR235" s="23"/>
      <c r="BIW235" s="26"/>
      <c r="BJA235" s="23"/>
      <c r="BJF235" s="26"/>
      <c r="BJJ235" s="23"/>
      <c r="BJO235" s="26"/>
      <c r="BJS235" s="23"/>
      <c r="BJX235" s="26"/>
      <c r="BKB235" s="23"/>
      <c r="BKG235" s="26"/>
      <c r="BKK235" s="23"/>
      <c r="BKP235" s="26"/>
      <c r="BKT235" s="23"/>
      <c r="BKY235" s="26"/>
      <c r="BLC235" s="23"/>
      <c r="BLH235" s="26"/>
      <c r="BLL235" s="23"/>
      <c r="BLQ235" s="26"/>
      <c r="BLU235" s="23"/>
      <c r="BLZ235" s="26"/>
      <c r="BMD235" s="23"/>
      <c r="BMI235" s="26"/>
      <c r="BMM235" s="23"/>
      <c r="BMR235" s="26"/>
      <c r="BMV235" s="23"/>
      <c r="BNA235" s="26"/>
      <c r="BNE235" s="23"/>
      <c r="BNJ235" s="26"/>
      <c r="BNN235" s="23"/>
      <c r="BNS235" s="26"/>
      <c r="BNW235" s="23"/>
      <c r="BOB235" s="26"/>
      <c r="BOF235" s="23"/>
      <c r="BOK235" s="26"/>
      <c r="BOO235" s="23"/>
      <c r="BOT235" s="26"/>
      <c r="BOX235" s="23"/>
      <c r="BPC235" s="26"/>
      <c r="BPG235" s="23"/>
      <c r="BPL235" s="26"/>
      <c r="BPP235" s="23"/>
      <c r="BPU235" s="26"/>
      <c r="BPY235" s="23"/>
      <c r="BQD235" s="26"/>
      <c r="BQH235" s="23"/>
      <c r="BQM235" s="26"/>
      <c r="BQQ235" s="23"/>
      <c r="BQV235" s="26"/>
      <c r="BQZ235" s="23"/>
      <c r="BRE235" s="26"/>
      <c r="BRI235" s="23"/>
      <c r="BRN235" s="26"/>
      <c r="BRR235" s="23"/>
      <c r="BRW235" s="26"/>
      <c r="BSA235" s="23"/>
      <c r="BSF235" s="26"/>
      <c r="BSJ235" s="23"/>
      <c r="BSO235" s="26"/>
      <c r="BSS235" s="23"/>
      <c r="BSX235" s="26"/>
      <c r="BTB235" s="23"/>
      <c r="BTG235" s="26"/>
      <c r="BTK235" s="23"/>
      <c r="BTP235" s="26"/>
      <c r="BTT235" s="23"/>
      <c r="BTY235" s="26"/>
      <c r="BUC235" s="23"/>
      <c r="BUH235" s="26"/>
      <c r="BUL235" s="23"/>
      <c r="BUQ235" s="26"/>
      <c r="BUU235" s="23"/>
      <c r="BUZ235" s="26"/>
      <c r="BVD235" s="23"/>
      <c r="BVI235" s="26"/>
      <c r="BVM235" s="23"/>
      <c r="BVR235" s="26"/>
      <c r="BVV235" s="23"/>
      <c r="BWA235" s="26"/>
      <c r="BWE235" s="23"/>
      <c r="BWJ235" s="26"/>
      <c r="BWN235" s="23"/>
      <c r="BWS235" s="26"/>
      <c r="BWW235" s="23"/>
      <c r="BXB235" s="26"/>
      <c r="BXF235" s="23"/>
      <c r="BXK235" s="26"/>
      <c r="BXO235" s="23"/>
      <c r="BXT235" s="26"/>
      <c r="BXX235" s="23"/>
      <c r="BYC235" s="26"/>
      <c r="BYG235" s="23"/>
      <c r="BYL235" s="26"/>
      <c r="BYP235" s="23"/>
      <c r="BYU235" s="26"/>
      <c r="BYY235" s="23"/>
      <c r="BZD235" s="26"/>
      <c r="BZH235" s="23"/>
      <c r="BZM235" s="26"/>
      <c r="BZQ235" s="23"/>
      <c r="BZV235" s="26"/>
      <c r="BZZ235" s="23"/>
      <c r="CAE235" s="26"/>
      <c r="CAI235" s="23"/>
      <c r="CAN235" s="26"/>
      <c r="CAR235" s="23"/>
      <c r="CAW235" s="26"/>
      <c r="CBA235" s="23"/>
      <c r="CBF235" s="26"/>
      <c r="CBJ235" s="23"/>
      <c r="CBO235" s="26"/>
      <c r="CBS235" s="23"/>
      <c r="CBX235" s="26"/>
      <c r="CCB235" s="23"/>
      <c r="CCG235" s="26"/>
      <c r="CCK235" s="23"/>
      <c r="CCP235" s="26"/>
      <c r="CCT235" s="23"/>
      <c r="CCY235" s="26"/>
      <c r="CDC235" s="23"/>
      <c r="CDH235" s="26"/>
      <c r="CDL235" s="23"/>
      <c r="CDQ235" s="26"/>
      <c r="CDU235" s="23"/>
      <c r="CDZ235" s="26"/>
      <c r="CED235" s="23"/>
      <c r="CEI235" s="26"/>
      <c r="CEM235" s="23"/>
      <c r="CER235" s="26"/>
      <c r="CEV235" s="23"/>
      <c r="CFA235" s="26"/>
      <c r="CFE235" s="23"/>
      <c r="CFJ235" s="26"/>
      <c r="CFN235" s="23"/>
      <c r="CFS235" s="26"/>
      <c r="CFW235" s="23"/>
      <c r="CGB235" s="26"/>
      <c r="CGF235" s="23"/>
      <c r="CGK235" s="26"/>
      <c r="CGO235" s="23"/>
      <c r="CGT235" s="26"/>
      <c r="CGX235" s="23"/>
      <c r="CHC235" s="26"/>
      <c r="CHG235" s="23"/>
      <c r="CHL235" s="26"/>
      <c r="CHP235" s="23"/>
      <c r="CHU235" s="26"/>
      <c r="CHY235" s="23"/>
      <c r="CID235" s="26"/>
      <c r="CIH235" s="23"/>
      <c r="CIM235" s="26"/>
      <c r="CIQ235" s="23"/>
      <c r="CIV235" s="26"/>
      <c r="CIZ235" s="23"/>
      <c r="CJE235" s="26"/>
      <c r="CJI235" s="23"/>
      <c r="CJN235" s="26"/>
      <c r="CJR235" s="23"/>
      <c r="CJW235" s="26"/>
      <c r="CKA235" s="23"/>
      <c r="CKF235" s="26"/>
      <c r="CKJ235" s="23"/>
      <c r="CKO235" s="26"/>
      <c r="CKS235" s="23"/>
      <c r="CKX235" s="26"/>
      <c r="CLB235" s="23"/>
      <c r="CLG235" s="26"/>
      <c r="CLK235" s="23"/>
      <c r="CLP235" s="26"/>
      <c r="CLT235" s="23"/>
      <c r="CLY235" s="26"/>
      <c r="CMC235" s="23"/>
      <c r="CMH235" s="26"/>
      <c r="CML235" s="23"/>
      <c r="CMQ235" s="26"/>
      <c r="CMU235" s="23"/>
      <c r="CMZ235" s="26"/>
      <c r="CND235" s="23"/>
      <c r="CNI235" s="26"/>
      <c r="CNM235" s="23"/>
      <c r="CNR235" s="26"/>
      <c r="CNV235" s="23"/>
      <c r="COA235" s="26"/>
      <c r="COE235" s="23"/>
      <c r="COJ235" s="26"/>
      <c r="CON235" s="23"/>
      <c r="COS235" s="26"/>
      <c r="COW235" s="23"/>
      <c r="CPB235" s="26"/>
      <c r="CPF235" s="23"/>
      <c r="CPK235" s="26"/>
      <c r="CPO235" s="23"/>
      <c r="CPT235" s="26"/>
      <c r="CPX235" s="23"/>
      <c r="CQC235" s="26"/>
      <c r="CQG235" s="23"/>
      <c r="CQL235" s="26"/>
      <c r="CQP235" s="23"/>
      <c r="CQU235" s="26"/>
      <c r="CQY235" s="23"/>
      <c r="CRD235" s="26"/>
      <c r="CRH235" s="23"/>
      <c r="CRM235" s="26"/>
      <c r="CRQ235" s="23"/>
      <c r="CRV235" s="26"/>
      <c r="CRZ235" s="23"/>
      <c r="CSE235" s="26"/>
      <c r="CSI235" s="23"/>
      <c r="CSN235" s="26"/>
      <c r="CSR235" s="23"/>
      <c r="CSW235" s="26"/>
      <c r="CTA235" s="23"/>
      <c r="CTF235" s="26"/>
      <c r="CTJ235" s="23"/>
      <c r="CTO235" s="26"/>
      <c r="CTS235" s="23"/>
      <c r="CTX235" s="26"/>
      <c r="CUB235" s="23"/>
      <c r="CUG235" s="26"/>
      <c r="CUK235" s="23"/>
      <c r="CUP235" s="26"/>
      <c r="CUT235" s="23"/>
      <c r="CUY235" s="26"/>
      <c r="CVC235" s="23"/>
      <c r="CVH235" s="26"/>
      <c r="CVL235" s="23"/>
      <c r="CVQ235" s="26"/>
      <c r="CVU235" s="23"/>
      <c r="CVZ235" s="26"/>
      <c r="CWD235" s="23"/>
      <c r="CWI235" s="26"/>
      <c r="CWM235" s="23"/>
      <c r="CWR235" s="26"/>
      <c r="CWV235" s="23"/>
      <c r="CXA235" s="26"/>
      <c r="CXE235" s="23"/>
      <c r="CXJ235" s="26"/>
      <c r="CXN235" s="23"/>
      <c r="CXS235" s="26"/>
      <c r="CXW235" s="23"/>
      <c r="CYB235" s="26"/>
      <c r="CYF235" s="23"/>
      <c r="CYK235" s="26"/>
      <c r="CYO235" s="23"/>
      <c r="CYT235" s="26"/>
      <c r="CYX235" s="23"/>
      <c r="CZC235" s="26"/>
      <c r="CZG235" s="23"/>
      <c r="CZL235" s="26"/>
      <c r="CZP235" s="23"/>
      <c r="CZU235" s="26"/>
      <c r="CZY235" s="23"/>
      <c r="DAD235" s="26"/>
      <c r="DAH235" s="23"/>
      <c r="DAM235" s="26"/>
      <c r="DAQ235" s="23"/>
      <c r="DAV235" s="26"/>
      <c r="DAZ235" s="23"/>
      <c r="DBE235" s="26"/>
      <c r="DBI235" s="23"/>
      <c r="DBN235" s="26"/>
      <c r="DBR235" s="23"/>
      <c r="DBW235" s="26"/>
      <c r="DCA235" s="23"/>
      <c r="DCF235" s="26"/>
      <c r="DCJ235" s="23"/>
      <c r="DCO235" s="26"/>
      <c r="DCS235" s="23"/>
      <c r="DCX235" s="26"/>
      <c r="DDB235" s="23"/>
      <c r="DDG235" s="26"/>
      <c r="DDK235" s="23"/>
      <c r="DDP235" s="26"/>
      <c r="DDT235" s="23"/>
      <c r="DDY235" s="26"/>
      <c r="DEC235" s="23"/>
      <c r="DEH235" s="26"/>
      <c r="DEL235" s="23"/>
      <c r="DEQ235" s="26"/>
      <c r="DEU235" s="23"/>
      <c r="DEZ235" s="26"/>
      <c r="DFD235" s="23"/>
      <c r="DFI235" s="26"/>
      <c r="DFM235" s="23"/>
      <c r="DFR235" s="26"/>
      <c r="DFV235" s="23"/>
      <c r="DGA235" s="26"/>
      <c r="DGE235" s="23"/>
      <c r="DGJ235" s="26"/>
      <c r="DGN235" s="23"/>
      <c r="DGS235" s="26"/>
      <c r="DGW235" s="23"/>
      <c r="DHB235" s="26"/>
      <c r="DHF235" s="23"/>
      <c r="DHK235" s="26"/>
      <c r="DHO235" s="23"/>
      <c r="DHT235" s="26"/>
      <c r="DHX235" s="23"/>
      <c r="DIC235" s="26"/>
      <c r="DIG235" s="23"/>
      <c r="DIL235" s="26"/>
      <c r="DIP235" s="23"/>
      <c r="DIU235" s="26"/>
      <c r="DIY235" s="23"/>
      <c r="DJD235" s="26"/>
      <c r="DJH235" s="23"/>
      <c r="DJM235" s="26"/>
      <c r="DJQ235" s="23"/>
      <c r="DJV235" s="26"/>
      <c r="DJZ235" s="23"/>
      <c r="DKE235" s="26"/>
      <c r="DKI235" s="23"/>
      <c r="DKN235" s="26"/>
      <c r="DKR235" s="23"/>
      <c r="DKW235" s="26"/>
      <c r="DLA235" s="23"/>
      <c r="DLF235" s="26"/>
      <c r="DLJ235" s="23"/>
      <c r="DLO235" s="26"/>
      <c r="DLS235" s="23"/>
      <c r="DLX235" s="26"/>
      <c r="DMB235" s="23"/>
      <c r="DMG235" s="26"/>
      <c r="DMK235" s="23"/>
      <c r="DMP235" s="26"/>
      <c r="DMT235" s="23"/>
      <c r="DMY235" s="26"/>
      <c r="DNC235" s="23"/>
      <c r="DNH235" s="26"/>
      <c r="DNL235" s="23"/>
      <c r="DNQ235" s="26"/>
      <c r="DNU235" s="23"/>
      <c r="DNZ235" s="26"/>
      <c r="DOD235" s="23"/>
      <c r="DOI235" s="26"/>
      <c r="DOM235" s="23"/>
      <c r="DOR235" s="26"/>
      <c r="DOV235" s="23"/>
      <c r="DPA235" s="26"/>
      <c r="DPE235" s="23"/>
      <c r="DPJ235" s="26"/>
      <c r="DPN235" s="23"/>
      <c r="DPS235" s="26"/>
      <c r="DPW235" s="23"/>
      <c r="DQB235" s="26"/>
      <c r="DQF235" s="23"/>
      <c r="DQK235" s="26"/>
      <c r="DQO235" s="23"/>
      <c r="DQT235" s="26"/>
      <c r="DQX235" s="23"/>
      <c r="DRC235" s="26"/>
      <c r="DRG235" s="23"/>
      <c r="DRL235" s="26"/>
      <c r="DRP235" s="23"/>
      <c r="DRU235" s="26"/>
      <c r="DRY235" s="23"/>
      <c r="DSD235" s="26"/>
      <c r="DSH235" s="23"/>
      <c r="DSM235" s="26"/>
      <c r="DSQ235" s="23"/>
      <c r="DSV235" s="26"/>
      <c r="DSZ235" s="23"/>
      <c r="DTE235" s="26"/>
      <c r="DTI235" s="23"/>
      <c r="DTN235" s="26"/>
      <c r="DTR235" s="23"/>
      <c r="DTW235" s="26"/>
      <c r="DUA235" s="23"/>
      <c r="DUF235" s="26"/>
      <c r="DUJ235" s="23"/>
      <c r="DUO235" s="26"/>
      <c r="DUS235" s="23"/>
      <c r="DUX235" s="26"/>
      <c r="DVB235" s="23"/>
      <c r="DVG235" s="26"/>
      <c r="DVK235" s="23"/>
      <c r="DVP235" s="26"/>
      <c r="DVT235" s="23"/>
      <c r="DVY235" s="26"/>
      <c r="DWC235" s="23"/>
      <c r="DWH235" s="26"/>
      <c r="DWL235" s="23"/>
      <c r="DWQ235" s="26"/>
      <c r="DWU235" s="23"/>
      <c r="DWZ235" s="26"/>
      <c r="DXD235" s="23"/>
      <c r="DXI235" s="26"/>
      <c r="DXM235" s="23"/>
      <c r="DXR235" s="26"/>
      <c r="DXV235" s="23"/>
      <c r="DYA235" s="26"/>
      <c r="DYE235" s="23"/>
      <c r="DYJ235" s="26"/>
      <c r="DYN235" s="23"/>
      <c r="DYS235" s="26"/>
      <c r="DYW235" s="23"/>
      <c r="DZB235" s="26"/>
      <c r="DZF235" s="23"/>
      <c r="DZK235" s="26"/>
      <c r="DZO235" s="23"/>
      <c r="DZT235" s="26"/>
      <c r="DZX235" s="23"/>
      <c r="EAC235" s="26"/>
      <c r="EAG235" s="23"/>
      <c r="EAL235" s="26"/>
      <c r="EAP235" s="23"/>
      <c r="EAU235" s="26"/>
      <c r="EAY235" s="23"/>
      <c r="EBD235" s="26"/>
      <c r="EBH235" s="23"/>
      <c r="EBM235" s="26"/>
      <c r="EBQ235" s="23"/>
      <c r="EBV235" s="26"/>
      <c r="EBZ235" s="23"/>
      <c r="ECE235" s="26"/>
      <c r="ECI235" s="23"/>
      <c r="ECN235" s="26"/>
      <c r="ECR235" s="23"/>
      <c r="ECW235" s="26"/>
      <c r="EDA235" s="23"/>
      <c r="EDF235" s="26"/>
      <c r="EDJ235" s="23"/>
      <c r="EDO235" s="26"/>
      <c r="EDS235" s="23"/>
      <c r="EDX235" s="26"/>
      <c r="EEB235" s="23"/>
      <c r="EEG235" s="26"/>
      <c r="EEK235" s="23"/>
      <c r="EEP235" s="26"/>
      <c r="EET235" s="23"/>
      <c r="EEY235" s="26"/>
      <c r="EFC235" s="23"/>
      <c r="EFH235" s="26"/>
      <c r="EFL235" s="23"/>
      <c r="EFQ235" s="26"/>
      <c r="EFU235" s="23"/>
      <c r="EFZ235" s="26"/>
      <c r="EGD235" s="23"/>
      <c r="EGI235" s="26"/>
      <c r="EGM235" s="23"/>
      <c r="EGR235" s="26"/>
      <c r="EGV235" s="23"/>
      <c r="EHA235" s="26"/>
      <c r="EHE235" s="23"/>
      <c r="EHJ235" s="26"/>
      <c r="EHN235" s="23"/>
      <c r="EHS235" s="26"/>
      <c r="EHW235" s="23"/>
      <c r="EIB235" s="26"/>
      <c r="EIF235" s="23"/>
      <c r="EIK235" s="26"/>
      <c r="EIO235" s="23"/>
      <c r="EIT235" s="26"/>
      <c r="EIX235" s="23"/>
      <c r="EJC235" s="26"/>
      <c r="EJG235" s="23"/>
      <c r="EJL235" s="26"/>
      <c r="EJP235" s="23"/>
      <c r="EJU235" s="26"/>
      <c r="EJY235" s="23"/>
      <c r="EKD235" s="26"/>
      <c r="EKH235" s="23"/>
      <c r="EKM235" s="26"/>
      <c r="EKQ235" s="23"/>
      <c r="EKV235" s="26"/>
      <c r="EKZ235" s="23"/>
      <c r="ELE235" s="26"/>
      <c r="ELI235" s="23"/>
      <c r="ELN235" s="26"/>
      <c r="ELR235" s="23"/>
      <c r="ELW235" s="26"/>
      <c r="EMA235" s="23"/>
      <c r="EMF235" s="26"/>
      <c r="EMJ235" s="23"/>
      <c r="EMO235" s="26"/>
      <c r="EMS235" s="23"/>
      <c r="EMX235" s="26"/>
      <c r="ENB235" s="23"/>
      <c r="ENG235" s="26"/>
      <c r="ENK235" s="23"/>
      <c r="ENP235" s="26"/>
      <c r="ENT235" s="23"/>
      <c r="ENY235" s="26"/>
      <c r="EOC235" s="23"/>
      <c r="EOH235" s="26"/>
      <c r="EOL235" s="23"/>
      <c r="EOQ235" s="26"/>
      <c r="EOU235" s="23"/>
      <c r="EOZ235" s="26"/>
      <c r="EPD235" s="23"/>
      <c r="EPI235" s="26"/>
      <c r="EPM235" s="23"/>
      <c r="EPR235" s="26"/>
      <c r="EPV235" s="23"/>
      <c r="EQA235" s="26"/>
      <c r="EQE235" s="23"/>
      <c r="EQJ235" s="26"/>
      <c r="EQN235" s="23"/>
      <c r="EQS235" s="26"/>
      <c r="EQW235" s="23"/>
      <c r="ERB235" s="26"/>
      <c r="ERF235" s="23"/>
      <c r="ERK235" s="26"/>
      <c r="ERO235" s="23"/>
      <c r="ERT235" s="26"/>
      <c r="ERX235" s="23"/>
      <c r="ESC235" s="26"/>
      <c r="ESG235" s="23"/>
      <c r="ESL235" s="26"/>
      <c r="ESP235" s="23"/>
      <c r="ESU235" s="26"/>
      <c r="ESY235" s="23"/>
      <c r="ETD235" s="26"/>
      <c r="ETH235" s="23"/>
      <c r="ETM235" s="26"/>
      <c r="ETQ235" s="23"/>
      <c r="ETV235" s="26"/>
      <c r="ETZ235" s="23"/>
      <c r="EUE235" s="26"/>
      <c r="EUI235" s="23"/>
      <c r="EUN235" s="26"/>
      <c r="EUR235" s="23"/>
      <c r="EUW235" s="26"/>
      <c r="EVA235" s="23"/>
      <c r="EVF235" s="26"/>
      <c r="EVJ235" s="23"/>
      <c r="EVO235" s="26"/>
      <c r="EVS235" s="23"/>
      <c r="EVX235" s="26"/>
      <c r="EWB235" s="23"/>
      <c r="EWG235" s="26"/>
      <c r="EWK235" s="23"/>
      <c r="EWP235" s="26"/>
      <c r="EWT235" s="23"/>
      <c r="EWY235" s="26"/>
      <c r="EXC235" s="23"/>
      <c r="EXH235" s="26"/>
      <c r="EXL235" s="23"/>
      <c r="EXQ235" s="26"/>
      <c r="EXU235" s="23"/>
      <c r="EXZ235" s="26"/>
      <c r="EYD235" s="23"/>
      <c r="EYI235" s="26"/>
      <c r="EYM235" s="23"/>
      <c r="EYR235" s="26"/>
      <c r="EYV235" s="23"/>
      <c r="EZA235" s="26"/>
      <c r="EZE235" s="23"/>
      <c r="EZJ235" s="26"/>
      <c r="EZN235" s="23"/>
      <c r="EZS235" s="26"/>
      <c r="EZW235" s="23"/>
      <c r="FAB235" s="26"/>
      <c r="FAF235" s="23"/>
      <c r="FAK235" s="26"/>
      <c r="FAO235" s="23"/>
      <c r="FAT235" s="26"/>
      <c r="FAX235" s="23"/>
      <c r="FBC235" s="26"/>
      <c r="FBG235" s="23"/>
      <c r="FBL235" s="26"/>
      <c r="FBP235" s="23"/>
      <c r="FBU235" s="26"/>
      <c r="FBY235" s="23"/>
      <c r="FCD235" s="26"/>
      <c r="FCH235" s="23"/>
      <c r="FCM235" s="26"/>
      <c r="FCQ235" s="23"/>
      <c r="FCV235" s="26"/>
      <c r="FCZ235" s="23"/>
      <c r="FDE235" s="26"/>
      <c r="FDI235" s="23"/>
      <c r="FDN235" s="26"/>
      <c r="FDR235" s="23"/>
      <c r="FDW235" s="26"/>
      <c r="FEA235" s="23"/>
      <c r="FEF235" s="26"/>
      <c r="FEJ235" s="23"/>
      <c r="FEO235" s="26"/>
      <c r="FES235" s="23"/>
      <c r="FEX235" s="26"/>
      <c r="FFB235" s="23"/>
      <c r="FFG235" s="26"/>
      <c r="FFK235" s="23"/>
      <c r="FFP235" s="26"/>
      <c r="FFT235" s="23"/>
      <c r="FFY235" s="26"/>
      <c r="FGC235" s="23"/>
      <c r="FGH235" s="26"/>
      <c r="FGL235" s="23"/>
      <c r="FGQ235" s="26"/>
      <c r="FGU235" s="23"/>
      <c r="FGZ235" s="26"/>
      <c r="FHD235" s="23"/>
      <c r="FHI235" s="26"/>
      <c r="FHM235" s="23"/>
      <c r="FHR235" s="26"/>
      <c r="FHV235" s="23"/>
      <c r="FIA235" s="26"/>
      <c r="FIE235" s="23"/>
      <c r="FIJ235" s="26"/>
      <c r="FIN235" s="23"/>
      <c r="FIS235" s="26"/>
      <c r="FIW235" s="23"/>
      <c r="FJB235" s="26"/>
      <c r="FJF235" s="23"/>
      <c r="FJK235" s="26"/>
      <c r="FJO235" s="23"/>
      <c r="FJT235" s="26"/>
      <c r="FJX235" s="23"/>
      <c r="FKC235" s="26"/>
      <c r="FKG235" s="23"/>
      <c r="FKL235" s="26"/>
      <c r="FKP235" s="23"/>
      <c r="FKU235" s="26"/>
      <c r="FKY235" s="23"/>
      <c r="FLD235" s="26"/>
      <c r="FLH235" s="23"/>
      <c r="FLM235" s="26"/>
      <c r="FLQ235" s="23"/>
      <c r="FLV235" s="26"/>
      <c r="FLZ235" s="23"/>
      <c r="FME235" s="26"/>
      <c r="FMI235" s="23"/>
      <c r="FMN235" s="26"/>
      <c r="FMR235" s="23"/>
      <c r="FMW235" s="26"/>
      <c r="FNA235" s="23"/>
      <c r="FNF235" s="26"/>
      <c r="FNJ235" s="23"/>
      <c r="FNO235" s="26"/>
      <c r="FNS235" s="23"/>
      <c r="FNX235" s="26"/>
      <c r="FOB235" s="23"/>
      <c r="FOG235" s="26"/>
      <c r="FOK235" s="23"/>
      <c r="FOP235" s="26"/>
      <c r="FOT235" s="23"/>
      <c r="FOY235" s="26"/>
      <c r="FPC235" s="23"/>
      <c r="FPH235" s="26"/>
      <c r="FPL235" s="23"/>
      <c r="FPQ235" s="26"/>
      <c r="FPU235" s="23"/>
      <c r="FPZ235" s="26"/>
      <c r="FQD235" s="23"/>
      <c r="FQI235" s="26"/>
      <c r="FQM235" s="23"/>
      <c r="FQR235" s="26"/>
      <c r="FQV235" s="23"/>
      <c r="FRA235" s="26"/>
      <c r="FRE235" s="23"/>
      <c r="FRJ235" s="26"/>
      <c r="FRN235" s="23"/>
      <c r="FRS235" s="26"/>
      <c r="FRW235" s="23"/>
      <c r="FSB235" s="26"/>
      <c r="FSF235" s="23"/>
      <c r="FSK235" s="26"/>
      <c r="FSO235" s="23"/>
      <c r="FST235" s="26"/>
      <c r="FSX235" s="23"/>
      <c r="FTC235" s="26"/>
      <c r="FTG235" s="23"/>
      <c r="FTL235" s="26"/>
      <c r="FTP235" s="23"/>
      <c r="FTU235" s="26"/>
      <c r="FTY235" s="23"/>
      <c r="FUD235" s="26"/>
      <c r="FUH235" s="23"/>
      <c r="FUM235" s="26"/>
      <c r="FUQ235" s="23"/>
      <c r="FUV235" s="26"/>
      <c r="FUZ235" s="23"/>
      <c r="FVE235" s="26"/>
      <c r="FVI235" s="23"/>
      <c r="FVN235" s="26"/>
      <c r="FVR235" s="23"/>
      <c r="FVW235" s="26"/>
      <c r="FWA235" s="23"/>
      <c r="FWF235" s="26"/>
      <c r="FWJ235" s="23"/>
      <c r="FWO235" s="26"/>
      <c r="FWS235" s="23"/>
      <c r="FWX235" s="26"/>
      <c r="FXB235" s="23"/>
      <c r="FXG235" s="26"/>
      <c r="FXK235" s="23"/>
      <c r="FXP235" s="26"/>
      <c r="FXT235" s="23"/>
      <c r="FXY235" s="26"/>
      <c r="FYC235" s="23"/>
      <c r="FYH235" s="26"/>
      <c r="FYL235" s="23"/>
      <c r="FYQ235" s="26"/>
      <c r="FYU235" s="23"/>
      <c r="FYZ235" s="26"/>
      <c r="FZD235" s="23"/>
      <c r="FZI235" s="26"/>
      <c r="FZM235" s="23"/>
      <c r="FZR235" s="26"/>
      <c r="FZV235" s="23"/>
      <c r="GAA235" s="26"/>
      <c r="GAE235" s="23"/>
      <c r="GAJ235" s="26"/>
      <c r="GAN235" s="23"/>
      <c r="GAS235" s="26"/>
      <c r="GAW235" s="23"/>
      <c r="GBB235" s="26"/>
      <c r="GBF235" s="23"/>
      <c r="GBK235" s="26"/>
      <c r="GBO235" s="23"/>
      <c r="GBT235" s="26"/>
      <c r="GBX235" s="23"/>
      <c r="GCC235" s="26"/>
      <c r="GCG235" s="23"/>
      <c r="GCL235" s="26"/>
      <c r="GCP235" s="23"/>
      <c r="GCU235" s="26"/>
      <c r="GCY235" s="23"/>
      <c r="GDD235" s="26"/>
      <c r="GDH235" s="23"/>
      <c r="GDM235" s="26"/>
      <c r="GDQ235" s="23"/>
      <c r="GDV235" s="26"/>
      <c r="GDZ235" s="23"/>
      <c r="GEE235" s="26"/>
      <c r="GEI235" s="23"/>
      <c r="GEN235" s="26"/>
      <c r="GER235" s="23"/>
      <c r="GEW235" s="26"/>
      <c r="GFA235" s="23"/>
      <c r="GFF235" s="26"/>
      <c r="GFJ235" s="23"/>
      <c r="GFO235" s="26"/>
      <c r="GFS235" s="23"/>
      <c r="GFX235" s="26"/>
      <c r="GGB235" s="23"/>
      <c r="GGG235" s="26"/>
      <c r="GGK235" s="23"/>
      <c r="GGP235" s="26"/>
      <c r="GGT235" s="23"/>
      <c r="GGY235" s="26"/>
      <c r="GHC235" s="23"/>
      <c r="GHH235" s="26"/>
      <c r="GHL235" s="23"/>
      <c r="GHQ235" s="26"/>
      <c r="GHU235" s="23"/>
      <c r="GHZ235" s="26"/>
      <c r="GID235" s="23"/>
      <c r="GII235" s="26"/>
      <c r="GIM235" s="23"/>
      <c r="GIR235" s="26"/>
      <c r="GIV235" s="23"/>
      <c r="GJA235" s="26"/>
      <c r="GJE235" s="23"/>
      <c r="GJJ235" s="26"/>
      <c r="GJN235" s="23"/>
      <c r="GJS235" s="26"/>
      <c r="GJW235" s="23"/>
      <c r="GKB235" s="26"/>
      <c r="GKF235" s="23"/>
      <c r="GKK235" s="26"/>
      <c r="GKO235" s="23"/>
      <c r="GKT235" s="26"/>
      <c r="GKX235" s="23"/>
      <c r="GLC235" s="26"/>
      <c r="GLG235" s="23"/>
      <c r="GLL235" s="26"/>
      <c r="GLP235" s="23"/>
      <c r="GLU235" s="26"/>
      <c r="GLY235" s="23"/>
      <c r="GMD235" s="26"/>
      <c r="GMH235" s="23"/>
      <c r="GMM235" s="26"/>
      <c r="GMQ235" s="23"/>
      <c r="GMV235" s="26"/>
      <c r="GMZ235" s="23"/>
      <c r="GNE235" s="26"/>
      <c r="GNI235" s="23"/>
      <c r="GNN235" s="26"/>
      <c r="GNR235" s="23"/>
      <c r="GNW235" s="26"/>
      <c r="GOA235" s="23"/>
      <c r="GOF235" s="26"/>
      <c r="GOJ235" s="23"/>
      <c r="GOO235" s="26"/>
      <c r="GOS235" s="23"/>
      <c r="GOX235" s="26"/>
      <c r="GPB235" s="23"/>
      <c r="GPG235" s="26"/>
      <c r="GPK235" s="23"/>
      <c r="GPP235" s="26"/>
      <c r="GPT235" s="23"/>
      <c r="GPY235" s="26"/>
      <c r="GQC235" s="23"/>
      <c r="GQH235" s="26"/>
      <c r="GQL235" s="23"/>
      <c r="GQQ235" s="26"/>
      <c r="GQU235" s="23"/>
      <c r="GQZ235" s="26"/>
      <c r="GRD235" s="23"/>
      <c r="GRI235" s="26"/>
      <c r="GRM235" s="23"/>
      <c r="GRR235" s="26"/>
      <c r="GRV235" s="23"/>
      <c r="GSA235" s="26"/>
      <c r="GSE235" s="23"/>
      <c r="GSJ235" s="26"/>
      <c r="GSN235" s="23"/>
      <c r="GSS235" s="26"/>
      <c r="GSW235" s="23"/>
      <c r="GTB235" s="26"/>
      <c r="GTF235" s="23"/>
      <c r="GTK235" s="26"/>
      <c r="GTO235" s="23"/>
      <c r="GTT235" s="26"/>
      <c r="GTX235" s="23"/>
      <c r="GUC235" s="26"/>
      <c r="GUG235" s="23"/>
      <c r="GUL235" s="26"/>
      <c r="GUP235" s="23"/>
      <c r="GUU235" s="26"/>
      <c r="GUY235" s="23"/>
      <c r="GVD235" s="26"/>
      <c r="GVH235" s="23"/>
      <c r="GVM235" s="26"/>
      <c r="GVQ235" s="23"/>
      <c r="GVV235" s="26"/>
      <c r="GVZ235" s="23"/>
      <c r="GWE235" s="26"/>
      <c r="GWI235" s="23"/>
      <c r="GWN235" s="26"/>
      <c r="GWR235" s="23"/>
      <c r="GWW235" s="26"/>
      <c r="GXA235" s="23"/>
      <c r="GXF235" s="26"/>
      <c r="GXJ235" s="23"/>
      <c r="GXO235" s="26"/>
      <c r="GXS235" s="23"/>
      <c r="GXX235" s="26"/>
      <c r="GYB235" s="23"/>
      <c r="GYG235" s="26"/>
      <c r="GYK235" s="23"/>
      <c r="GYP235" s="26"/>
      <c r="GYT235" s="23"/>
      <c r="GYY235" s="26"/>
      <c r="GZC235" s="23"/>
      <c r="GZH235" s="26"/>
      <c r="GZL235" s="23"/>
      <c r="GZQ235" s="26"/>
      <c r="GZU235" s="23"/>
      <c r="GZZ235" s="26"/>
      <c r="HAD235" s="23"/>
      <c r="HAI235" s="26"/>
      <c r="HAM235" s="23"/>
      <c r="HAR235" s="26"/>
      <c r="HAV235" s="23"/>
      <c r="HBA235" s="26"/>
      <c r="HBE235" s="23"/>
      <c r="HBJ235" s="26"/>
      <c r="HBN235" s="23"/>
      <c r="HBS235" s="26"/>
      <c r="HBW235" s="23"/>
      <c r="HCB235" s="26"/>
      <c r="HCF235" s="23"/>
      <c r="HCK235" s="26"/>
      <c r="HCO235" s="23"/>
      <c r="HCT235" s="26"/>
      <c r="HCX235" s="23"/>
      <c r="HDC235" s="26"/>
      <c r="HDG235" s="23"/>
      <c r="HDL235" s="26"/>
      <c r="HDP235" s="23"/>
      <c r="HDU235" s="26"/>
      <c r="HDY235" s="23"/>
      <c r="HED235" s="26"/>
      <c r="HEH235" s="23"/>
      <c r="HEM235" s="26"/>
      <c r="HEQ235" s="23"/>
      <c r="HEV235" s="26"/>
      <c r="HEZ235" s="23"/>
      <c r="HFE235" s="26"/>
      <c r="HFI235" s="23"/>
      <c r="HFN235" s="26"/>
      <c r="HFR235" s="23"/>
      <c r="HFW235" s="26"/>
      <c r="HGA235" s="23"/>
      <c r="HGF235" s="26"/>
      <c r="HGJ235" s="23"/>
      <c r="HGO235" s="26"/>
      <c r="HGS235" s="23"/>
      <c r="HGX235" s="26"/>
      <c r="HHB235" s="23"/>
      <c r="HHG235" s="26"/>
      <c r="HHK235" s="23"/>
      <c r="HHP235" s="26"/>
      <c r="HHT235" s="23"/>
      <c r="HHY235" s="26"/>
      <c r="HIC235" s="23"/>
      <c r="HIH235" s="26"/>
      <c r="HIL235" s="23"/>
      <c r="HIQ235" s="26"/>
      <c r="HIU235" s="23"/>
      <c r="HIZ235" s="26"/>
      <c r="HJD235" s="23"/>
      <c r="HJI235" s="26"/>
      <c r="HJM235" s="23"/>
      <c r="HJR235" s="26"/>
      <c r="HJV235" s="23"/>
      <c r="HKA235" s="26"/>
      <c r="HKE235" s="23"/>
      <c r="HKJ235" s="26"/>
      <c r="HKN235" s="23"/>
      <c r="HKS235" s="26"/>
      <c r="HKW235" s="23"/>
      <c r="HLB235" s="26"/>
      <c r="HLF235" s="23"/>
      <c r="HLK235" s="26"/>
      <c r="HLO235" s="23"/>
      <c r="HLT235" s="26"/>
      <c r="HLX235" s="23"/>
      <c r="HMC235" s="26"/>
      <c r="HMG235" s="23"/>
      <c r="HML235" s="26"/>
      <c r="HMP235" s="23"/>
      <c r="HMU235" s="26"/>
      <c r="HMY235" s="23"/>
      <c r="HND235" s="26"/>
      <c r="HNH235" s="23"/>
      <c r="HNM235" s="26"/>
      <c r="HNQ235" s="23"/>
      <c r="HNV235" s="26"/>
      <c r="HNZ235" s="23"/>
      <c r="HOE235" s="26"/>
      <c r="HOI235" s="23"/>
      <c r="HON235" s="26"/>
      <c r="HOR235" s="23"/>
      <c r="HOW235" s="26"/>
      <c r="HPA235" s="23"/>
      <c r="HPF235" s="26"/>
      <c r="HPJ235" s="23"/>
      <c r="HPO235" s="26"/>
      <c r="HPS235" s="23"/>
      <c r="HPX235" s="26"/>
      <c r="HQB235" s="23"/>
      <c r="HQG235" s="26"/>
      <c r="HQK235" s="23"/>
      <c r="HQP235" s="26"/>
      <c r="HQT235" s="23"/>
      <c r="HQY235" s="26"/>
      <c r="HRC235" s="23"/>
      <c r="HRH235" s="26"/>
      <c r="HRL235" s="23"/>
      <c r="HRQ235" s="26"/>
      <c r="HRU235" s="23"/>
      <c r="HRZ235" s="26"/>
      <c r="HSD235" s="23"/>
      <c r="HSI235" s="26"/>
      <c r="HSM235" s="23"/>
      <c r="HSR235" s="26"/>
      <c r="HSV235" s="23"/>
      <c r="HTA235" s="26"/>
      <c r="HTE235" s="23"/>
      <c r="HTJ235" s="26"/>
      <c r="HTN235" s="23"/>
      <c r="HTS235" s="26"/>
      <c r="HTW235" s="23"/>
      <c r="HUB235" s="26"/>
      <c r="HUF235" s="23"/>
      <c r="HUK235" s="26"/>
      <c r="HUO235" s="23"/>
      <c r="HUT235" s="26"/>
      <c r="HUX235" s="23"/>
      <c r="HVC235" s="26"/>
      <c r="HVG235" s="23"/>
      <c r="HVL235" s="26"/>
      <c r="HVP235" s="23"/>
      <c r="HVU235" s="26"/>
      <c r="HVY235" s="23"/>
      <c r="HWD235" s="26"/>
      <c r="HWH235" s="23"/>
      <c r="HWM235" s="26"/>
      <c r="HWQ235" s="23"/>
      <c r="HWV235" s="26"/>
      <c r="HWZ235" s="23"/>
      <c r="HXE235" s="26"/>
      <c r="HXI235" s="23"/>
      <c r="HXN235" s="26"/>
      <c r="HXR235" s="23"/>
      <c r="HXW235" s="26"/>
      <c r="HYA235" s="23"/>
      <c r="HYF235" s="26"/>
      <c r="HYJ235" s="23"/>
      <c r="HYO235" s="26"/>
      <c r="HYS235" s="23"/>
      <c r="HYX235" s="26"/>
      <c r="HZB235" s="23"/>
      <c r="HZG235" s="26"/>
      <c r="HZK235" s="23"/>
      <c r="HZP235" s="26"/>
      <c r="HZT235" s="23"/>
      <c r="HZY235" s="26"/>
      <c r="IAC235" s="23"/>
      <c r="IAH235" s="26"/>
      <c r="IAL235" s="23"/>
      <c r="IAQ235" s="26"/>
      <c r="IAU235" s="23"/>
      <c r="IAZ235" s="26"/>
      <c r="IBD235" s="23"/>
      <c r="IBI235" s="26"/>
      <c r="IBM235" s="23"/>
      <c r="IBR235" s="26"/>
      <c r="IBV235" s="23"/>
      <c r="ICA235" s="26"/>
      <c r="ICE235" s="23"/>
      <c r="ICJ235" s="26"/>
      <c r="ICN235" s="23"/>
      <c r="ICS235" s="26"/>
      <c r="ICW235" s="23"/>
      <c r="IDB235" s="26"/>
      <c r="IDF235" s="23"/>
      <c r="IDK235" s="26"/>
      <c r="IDO235" s="23"/>
      <c r="IDT235" s="26"/>
      <c r="IDX235" s="23"/>
      <c r="IEC235" s="26"/>
      <c r="IEG235" s="23"/>
      <c r="IEL235" s="26"/>
      <c r="IEP235" s="23"/>
      <c r="IEU235" s="26"/>
      <c r="IEY235" s="23"/>
      <c r="IFD235" s="26"/>
      <c r="IFH235" s="23"/>
      <c r="IFM235" s="26"/>
      <c r="IFQ235" s="23"/>
      <c r="IFV235" s="26"/>
      <c r="IFZ235" s="23"/>
      <c r="IGE235" s="26"/>
      <c r="IGI235" s="23"/>
      <c r="IGN235" s="26"/>
      <c r="IGR235" s="23"/>
      <c r="IGW235" s="26"/>
      <c r="IHA235" s="23"/>
      <c r="IHF235" s="26"/>
      <c r="IHJ235" s="23"/>
      <c r="IHO235" s="26"/>
      <c r="IHS235" s="23"/>
      <c r="IHX235" s="26"/>
      <c r="IIB235" s="23"/>
      <c r="IIG235" s="26"/>
      <c r="IIK235" s="23"/>
      <c r="IIP235" s="26"/>
      <c r="IIT235" s="23"/>
      <c r="IIY235" s="26"/>
      <c r="IJC235" s="23"/>
      <c r="IJH235" s="26"/>
      <c r="IJL235" s="23"/>
      <c r="IJQ235" s="26"/>
      <c r="IJU235" s="23"/>
      <c r="IJZ235" s="26"/>
      <c r="IKD235" s="23"/>
      <c r="IKI235" s="26"/>
      <c r="IKM235" s="23"/>
      <c r="IKR235" s="26"/>
      <c r="IKV235" s="23"/>
      <c r="ILA235" s="26"/>
      <c r="ILE235" s="23"/>
      <c r="ILJ235" s="26"/>
      <c r="ILN235" s="23"/>
      <c r="ILS235" s="26"/>
      <c r="ILW235" s="23"/>
      <c r="IMB235" s="26"/>
      <c r="IMF235" s="23"/>
      <c r="IMK235" s="26"/>
      <c r="IMO235" s="23"/>
      <c r="IMT235" s="26"/>
      <c r="IMX235" s="23"/>
      <c r="INC235" s="26"/>
      <c r="ING235" s="23"/>
      <c r="INL235" s="26"/>
      <c r="INP235" s="23"/>
      <c r="INU235" s="26"/>
      <c r="INY235" s="23"/>
      <c r="IOD235" s="26"/>
      <c r="IOH235" s="23"/>
      <c r="IOM235" s="26"/>
      <c r="IOQ235" s="23"/>
      <c r="IOV235" s="26"/>
      <c r="IOZ235" s="23"/>
      <c r="IPE235" s="26"/>
      <c r="IPI235" s="23"/>
      <c r="IPN235" s="26"/>
      <c r="IPR235" s="23"/>
      <c r="IPW235" s="26"/>
      <c r="IQA235" s="23"/>
      <c r="IQF235" s="26"/>
      <c r="IQJ235" s="23"/>
      <c r="IQO235" s="26"/>
      <c r="IQS235" s="23"/>
      <c r="IQX235" s="26"/>
      <c r="IRB235" s="23"/>
      <c r="IRG235" s="26"/>
      <c r="IRK235" s="23"/>
      <c r="IRP235" s="26"/>
      <c r="IRT235" s="23"/>
      <c r="IRY235" s="26"/>
      <c r="ISC235" s="23"/>
      <c r="ISH235" s="26"/>
      <c r="ISL235" s="23"/>
      <c r="ISQ235" s="26"/>
      <c r="ISU235" s="23"/>
      <c r="ISZ235" s="26"/>
      <c r="ITD235" s="23"/>
      <c r="ITI235" s="26"/>
      <c r="ITM235" s="23"/>
      <c r="ITR235" s="26"/>
      <c r="ITV235" s="23"/>
      <c r="IUA235" s="26"/>
      <c r="IUE235" s="23"/>
      <c r="IUJ235" s="26"/>
      <c r="IUN235" s="23"/>
      <c r="IUS235" s="26"/>
      <c r="IUW235" s="23"/>
      <c r="IVB235" s="26"/>
      <c r="IVF235" s="23"/>
      <c r="IVK235" s="26"/>
      <c r="IVO235" s="23"/>
      <c r="IVT235" s="26"/>
      <c r="IVX235" s="23"/>
      <c r="IWC235" s="26"/>
      <c r="IWG235" s="23"/>
      <c r="IWL235" s="26"/>
      <c r="IWP235" s="23"/>
      <c r="IWU235" s="26"/>
      <c r="IWY235" s="23"/>
      <c r="IXD235" s="26"/>
      <c r="IXH235" s="23"/>
      <c r="IXM235" s="26"/>
      <c r="IXQ235" s="23"/>
      <c r="IXV235" s="26"/>
      <c r="IXZ235" s="23"/>
      <c r="IYE235" s="26"/>
      <c r="IYI235" s="23"/>
      <c r="IYN235" s="26"/>
      <c r="IYR235" s="23"/>
      <c r="IYW235" s="26"/>
      <c r="IZA235" s="23"/>
      <c r="IZF235" s="26"/>
      <c r="IZJ235" s="23"/>
      <c r="IZO235" s="26"/>
      <c r="IZS235" s="23"/>
      <c r="IZX235" s="26"/>
      <c r="JAB235" s="23"/>
      <c r="JAG235" s="26"/>
      <c r="JAK235" s="23"/>
      <c r="JAP235" s="26"/>
      <c r="JAT235" s="23"/>
      <c r="JAY235" s="26"/>
      <c r="JBC235" s="23"/>
      <c r="JBH235" s="26"/>
      <c r="JBL235" s="23"/>
      <c r="JBQ235" s="26"/>
      <c r="JBU235" s="23"/>
      <c r="JBZ235" s="26"/>
      <c r="JCD235" s="23"/>
      <c r="JCI235" s="26"/>
      <c r="JCM235" s="23"/>
      <c r="JCR235" s="26"/>
      <c r="JCV235" s="23"/>
      <c r="JDA235" s="26"/>
      <c r="JDE235" s="23"/>
      <c r="JDJ235" s="26"/>
      <c r="JDN235" s="23"/>
      <c r="JDS235" s="26"/>
      <c r="JDW235" s="23"/>
      <c r="JEB235" s="26"/>
      <c r="JEF235" s="23"/>
      <c r="JEK235" s="26"/>
      <c r="JEO235" s="23"/>
      <c r="JET235" s="26"/>
      <c r="JEX235" s="23"/>
      <c r="JFC235" s="26"/>
      <c r="JFG235" s="23"/>
      <c r="JFL235" s="26"/>
      <c r="JFP235" s="23"/>
      <c r="JFU235" s="26"/>
      <c r="JFY235" s="23"/>
      <c r="JGD235" s="26"/>
      <c r="JGH235" s="23"/>
      <c r="JGM235" s="26"/>
      <c r="JGQ235" s="23"/>
      <c r="JGV235" s="26"/>
      <c r="JGZ235" s="23"/>
      <c r="JHE235" s="26"/>
      <c r="JHI235" s="23"/>
      <c r="JHN235" s="26"/>
      <c r="JHR235" s="23"/>
      <c r="JHW235" s="26"/>
      <c r="JIA235" s="23"/>
      <c r="JIF235" s="26"/>
      <c r="JIJ235" s="23"/>
      <c r="JIO235" s="26"/>
      <c r="JIS235" s="23"/>
      <c r="JIX235" s="26"/>
      <c r="JJB235" s="23"/>
      <c r="JJG235" s="26"/>
      <c r="JJK235" s="23"/>
      <c r="JJP235" s="26"/>
      <c r="JJT235" s="23"/>
      <c r="JJY235" s="26"/>
      <c r="JKC235" s="23"/>
      <c r="JKH235" s="26"/>
      <c r="JKL235" s="23"/>
      <c r="JKQ235" s="26"/>
      <c r="JKU235" s="23"/>
      <c r="JKZ235" s="26"/>
      <c r="JLD235" s="23"/>
      <c r="JLI235" s="26"/>
      <c r="JLM235" s="23"/>
      <c r="JLR235" s="26"/>
      <c r="JLV235" s="23"/>
      <c r="JMA235" s="26"/>
      <c r="JME235" s="23"/>
      <c r="JMJ235" s="26"/>
      <c r="JMN235" s="23"/>
      <c r="JMS235" s="26"/>
      <c r="JMW235" s="23"/>
      <c r="JNB235" s="26"/>
      <c r="JNF235" s="23"/>
      <c r="JNK235" s="26"/>
      <c r="JNO235" s="23"/>
      <c r="JNT235" s="26"/>
      <c r="JNX235" s="23"/>
      <c r="JOC235" s="26"/>
      <c r="JOG235" s="23"/>
      <c r="JOL235" s="26"/>
      <c r="JOP235" s="23"/>
      <c r="JOU235" s="26"/>
      <c r="JOY235" s="23"/>
      <c r="JPD235" s="26"/>
      <c r="JPH235" s="23"/>
      <c r="JPM235" s="26"/>
      <c r="JPQ235" s="23"/>
      <c r="JPV235" s="26"/>
      <c r="JPZ235" s="23"/>
      <c r="JQE235" s="26"/>
      <c r="JQI235" s="23"/>
      <c r="JQN235" s="26"/>
      <c r="JQR235" s="23"/>
      <c r="JQW235" s="26"/>
      <c r="JRA235" s="23"/>
      <c r="JRF235" s="26"/>
      <c r="JRJ235" s="23"/>
      <c r="JRO235" s="26"/>
      <c r="JRS235" s="23"/>
      <c r="JRX235" s="26"/>
      <c r="JSB235" s="23"/>
      <c r="JSG235" s="26"/>
      <c r="JSK235" s="23"/>
      <c r="JSP235" s="26"/>
      <c r="JST235" s="23"/>
      <c r="JSY235" s="26"/>
      <c r="JTC235" s="23"/>
      <c r="JTH235" s="26"/>
      <c r="JTL235" s="23"/>
      <c r="JTQ235" s="26"/>
      <c r="JTU235" s="23"/>
      <c r="JTZ235" s="26"/>
      <c r="JUD235" s="23"/>
      <c r="JUI235" s="26"/>
      <c r="JUM235" s="23"/>
      <c r="JUR235" s="26"/>
      <c r="JUV235" s="23"/>
      <c r="JVA235" s="26"/>
      <c r="JVE235" s="23"/>
      <c r="JVJ235" s="26"/>
      <c r="JVN235" s="23"/>
      <c r="JVS235" s="26"/>
      <c r="JVW235" s="23"/>
      <c r="JWB235" s="26"/>
      <c r="JWF235" s="23"/>
      <c r="JWK235" s="26"/>
      <c r="JWO235" s="23"/>
      <c r="JWT235" s="26"/>
      <c r="JWX235" s="23"/>
      <c r="JXC235" s="26"/>
      <c r="JXG235" s="23"/>
      <c r="JXL235" s="26"/>
      <c r="JXP235" s="23"/>
      <c r="JXU235" s="26"/>
      <c r="JXY235" s="23"/>
      <c r="JYD235" s="26"/>
      <c r="JYH235" s="23"/>
      <c r="JYM235" s="26"/>
      <c r="JYQ235" s="23"/>
      <c r="JYV235" s="26"/>
      <c r="JYZ235" s="23"/>
      <c r="JZE235" s="26"/>
      <c r="JZI235" s="23"/>
      <c r="JZN235" s="26"/>
      <c r="JZR235" s="23"/>
      <c r="JZW235" s="26"/>
      <c r="KAA235" s="23"/>
      <c r="KAF235" s="26"/>
      <c r="KAJ235" s="23"/>
      <c r="KAO235" s="26"/>
      <c r="KAS235" s="23"/>
      <c r="KAX235" s="26"/>
      <c r="KBB235" s="23"/>
      <c r="KBG235" s="26"/>
      <c r="KBK235" s="23"/>
      <c r="KBP235" s="26"/>
      <c r="KBT235" s="23"/>
      <c r="KBY235" s="26"/>
      <c r="KCC235" s="23"/>
      <c r="KCH235" s="26"/>
      <c r="KCL235" s="23"/>
      <c r="KCQ235" s="26"/>
      <c r="KCU235" s="23"/>
      <c r="KCZ235" s="26"/>
      <c r="KDD235" s="23"/>
      <c r="KDI235" s="26"/>
      <c r="KDM235" s="23"/>
      <c r="KDR235" s="26"/>
      <c r="KDV235" s="23"/>
      <c r="KEA235" s="26"/>
      <c r="KEE235" s="23"/>
      <c r="KEJ235" s="26"/>
      <c r="KEN235" s="23"/>
      <c r="KES235" s="26"/>
      <c r="KEW235" s="23"/>
      <c r="KFB235" s="26"/>
      <c r="KFF235" s="23"/>
      <c r="KFK235" s="26"/>
      <c r="KFO235" s="23"/>
      <c r="KFT235" s="26"/>
      <c r="KFX235" s="23"/>
      <c r="KGC235" s="26"/>
      <c r="KGG235" s="23"/>
      <c r="KGL235" s="26"/>
      <c r="KGP235" s="23"/>
      <c r="KGU235" s="26"/>
      <c r="KGY235" s="23"/>
      <c r="KHD235" s="26"/>
      <c r="KHH235" s="23"/>
      <c r="KHM235" s="26"/>
      <c r="KHQ235" s="23"/>
      <c r="KHV235" s="26"/>
      <c r="KHZ235" s="23"/>
      <c r="KIE235" s="26"/>
      <c r="KII235" s="23"/>
      <c r="KIN235" s="26"/>
      <c r="KIR235" s="23"/>
      <c r="KIW235" s="26"/>
      <c r="KJA235" s="23"/>
      <c r="KJF235" s="26"/>
      <c r="KJJ235" s="23"/>
      <c r="KJO235" s="26"/>
      <c r="KJS235" s="23"/>
      <c r="KJX235" s="26"/>
      <c r="KKB235" s="23"/>
      <c r="KKG235" s="26"/>
      <c r="KKK235" s="23"/>
      <c r="KKP235" s="26"/>
      <c r="KKT235" s="23"/>
      <c r="KKY235" s="26"/>
      <c r="KLC235" s="23"/>
      <c r="KLH235" s="26"/>
      <c r="KLL235" s="23"/>
      <c r="KLQ235" s="26"/>
      <c r="KLU235" s="23"/>
      <c r="KLZ235" s="26"/>
      <c r="KMD235" s="23"/>
      <c r="KMI235" s="26"/>
      <c r="KMM235" s="23"/>
      <c r="KMR235" s="26"/>
      <c r="KMV235" s="23"/>
      <c r="KNA235" s="26"/>
      <c r="KNE235" s="23"/>
      <c r="KNJ235" s="26"/>
      <c r="KNN235" s="23"/>
      <c r="KNS235" s="26"/>
      <c r="KNW235" s="23"/>
      <c r="KOB235" s="26"/>
      <c r="KOF235" s="23"/>
      <c r="KOK235" s="26"/>
      <c r="KOO235" s="23"/>
      <c r="KOT235" s="26"/>
      <c r="KOX235" s="23"/>
      <c r="KPC235" s="26"/>
      <c r="KPG235" s="23"/>
      <c r="KPL235" s="26"/>
      <c r="KPP235" s="23"/>
      <c r="KPU235" s="26"/>
      <c r="KPY235" s="23"/>
      <c r="KQD235" s="26"/>
      <c r="KQH235" s="23"/>
      <c r="KQM235" s="26"/>
      <c r="KQQ235" s="23"/>
      <c r="KQV235" s="26"/>
      <c r="KQZ235" s="23"/>
      <c r="KRE235" s="26"/>
      <c r="KRI235" s="23"/>
      <c r="KRN235" s="26"/>
      <c r="KRR235" s="23"/>
      <c r="KRW235" s="26"/>
      <c r="KSA235" s="23"/>
      <c r="KSF235" s="26"/>
      <c r="KSJ235" s="23"/>
      <c r="KSO235" s="26"/>
      <c r="KSS235" s="23"/>
      <c r="KSX235" s="26"/>
      <c r="KTB235" s="23"/>
      <c r="KTG235" s="26"/>
      <c r="KTK235" s="23"/>
      <c r="KTP235" s="26"/>
      <c r="KTT235" s="23"/>
      <c r="KTY235" s="26"/>
      <c r="KUC235" s="23"/>
      <c r="KUH235" s="26"/>
      <c r="KUL235" s="23"/>
      <c r="KUQ235" s="26"/>
      <c r="KUU235" s="23"/>
      <c r="KUZ235" s="26"/>
      <c r="KVD235" s="23"/>
      <c r="KVI235" s="26"/>
      <c r="KVM235" s="23"/>
      <c r="KVR235" s="26"/>
      <c r="KVV235" s="23"/>
      <c r="KWA235" s="26"/>
      <c r="KWE235" s="23"/>
      <c r="KWJ235" s="26"/>
      <c r="KWN235" s="23"/>
      <c r="KWS235" s="26"/>
      <c r="KWW235" s="23"/>
      <c r="KXB235" s="26"/>
      <c r="KXF235" s="23"/>
      <c r="KXK235" s="26"/>
      <c r="KXO235" s="23"/>
      <c r="KXT235" s="26"/>
      <c r="KXX235" s="23"/>
      <c r="KYC235" s="26"/>
      <c r="KYG235" s="23"/>
      <c r="KYL235" s="26"/>
      <c r="KYP235" s="23"/>
      <c r="KYU235" s="26"/>
      <c r="KYY235" s="23"/>
      <c r="KZD235" s="26"/>
      <c r="KZH235" s="23"/>
      <c r="KZM235" s="26"/>
      <c r="KZQ235" s="23"/>
      <c r="KZV235" s="26"/>
      <c r="KZZ235" s="23"/>
      <c r="LAE235" s="26"/>
      <c r="LAI235" s="23"/>
      <c r="LAN235" s="26"/>
      <c r="LAR235" s="23"/>
      <c r="LAW235" s="26"/>
      <c r="LBA235" s="23"/>
      <c r="LBF235" s="26"/>
      <c r="LBJ235" s="23"/>
      <c r="LBO235" s="26"/>
      <c r="LBS235" s="23"/>
      <c r="LBX235" s="26"/>
      <c r="LCB235" s="23"/>
      <c r="LCG235" s="26"/>
      <c r="LCK235" s="23"/>
      <c r="LCP235" s="26"/>
      <c r="LCT235" s="23"/>
      <c r="LCY235" s="26"/>
      <c r="LDC235" s="23"/>
      <c r="LDH235" s="26"/>
      <c r="LDL235" s="23"/>
      <c r="LDQ235" s="26"/>
      <c r="LDU235" s="23"/>
      <c r="LDZ235" s="26"/>
      <c r="LED235" s="23"/>
      <c r="LEI235" s="26"/>
      <c r="LEM235" s="23"/>
      <c r="LER235" s="26"/>
      <c r="LEV235" s="23"/>
      <c r="LFA235" s="26"/>
      <c r="LFE235" s="23"/>
      <c r="LFJ235" s="26"/>
      <c r="LFN235" s="23"/>
      <c r="LFS235" s="26"/>
      <c r="LFW235" s="23"/>
      <c r="LGB235" s="26"/>
      <c r="LGF235" s="23"/>
      <c r="LGK235" s="26"/>
      <c r="LGO235" s="23"/>
      <c r="LGT235" s="26"/>
      <c r="LGX235" s="23"/>
      <c r="LHC235" s="26"/>
      <c r="LHG235" s="23"/>
      <c r="LHL235" s="26"/>
      <c r="LHP235" s="23"/>
      <c r="LHU235" s="26"/>
      <c r="LHY235" s="23"/>
      <c r="LID235" s="26"/>
      <c r="LIH235" s="23"/>
      <c r="LIM235" s="26"/>
      <c r="LIQ235" s="23"/>
      <c r="LIV235" s="26"/>
      <c r="LIZ235" s="23"/>
      <c r="LJE235" s="26"/>
      <c r="LJI235" s="23"/>
      <c r="LJN235" s="26"/>
      <c r="LJR235" s="23"/>
      <c r="LJW235" s="26"/>
      <c r="LKA235" s="23"/>
      <c r="LKF235" s="26"/>
      <c r="LKJ235" s="23"/>
      <c r="LKO235" s="26"/>
      <c r="LKS235" s="23"/>
      <c r="LKX235" s="26"/>
      <c r="LLB235" s="23"/>
      <c r="LLG235" s="26"/>
      <c r="LLK235" s="23"/>
      <c r="LLP235" s="26"/>
      <c r="LLT235" s="23"/>
      <c r="LLY235" s="26"/>
      <c r="LMC235" s="23"/>
      <c r="LMH235" s="26"/>
      <c r="LML235" s="23"/>
      <c r="LMQ235" s="26"/>
      <c r="LMU235" s="23"/>
      <c r="LMZ235" s="26"/>
      <c r="LND235" s="23"/>
      <c r="LNI235" s="26"/>
      <c r="LNM235" s="23"/>
      <c r="LNR235" s="26"/>
      <c r="LNV235" s="23"/>
      <c r="LOA235" s="26"/>
      <c r="LOE235" s="23"/>
      <c r="LOJ235" s="26"/>
      <c r="LON235" s="23"/>
      <c r="LOS235" s="26"/>
      <c r="LOW235" s="23"/>
      <c r="LPB235" s="26"/>
      <c r="LPF235" s="23"/>
      <c r="LPK235" s="26"/>
      <c r="LPO235" s="23"/>
      <c r="LPT235" s="26"/>
      <c r="LPX235" s="23"/>
      <c r="LQC235" s="26"/>
      <c r="LQG235" s="23"/>
      <c r="LQL235" s="26"/>
      <c r="LQP235" s="23"/>
      <c r="LQU235" s="26"/>
      <c r="LQY235" s="23"/>
      <c r="LRD235" s="26"/>
      <c r="LRH235" s="23"/>
      <c r="LRM235" s="26"/>
      <c r="LRQ235" s="23"/>
      <c r="LRV235" s="26"/>
      <c r="LRZ235" s="23"/>
      <c r="LSE235" s="26"/>
      <c r="LSI235" s="23"/>
      <c r="LSN235" s="26"/>
      <c r="LSR235" s="23"/>
      <c r="LSW235" s="26"/>
      <c r="LTA235" s="23"/>
      <c r="LTF235" s="26"/>
      <c r="LTJ235" s="23"/>
      <c r="LTO235" s="26"/>
      <c r="LTS235" s="23"/>
      <c r="LTX235" s="26"/>
      <c r="LUB235" s="23"/>
      <c r="LUG235" s="26"/>
      <c r="LUK235" s="23"/>
      <c r="LUP235" s="26"/>
      <c r="LUT235" s="23"/>
      <c r="LUY235" s="26"/>
      <c r="LVC235" s="23"/>
      <c r="LVH235" s="26"/>
      <c r="LVL235" s="23"/>
      <c r="LVQ235" s="26"/>
      <c r="LVU235" s="23"/>
      <c r="LVZ235" s="26"/>
      <c r="LWD235" s="23"/>
      <c r="LWI235" s="26"/>
      <c r="LWM235" s="23"/>
      <c r="LWR235" s="26"/>
      <c r="LWV235" s="23"/>
      <c r="LXA235" s="26"/>
      <c r="LXE235" s="23"/>
      <c r="LXJ235" s="26"/>
      <c r="LXN235" s="23"/>
      <c r="LXS235" s="26"/>
      <c r="LXW235" s="23"/>
      <c r="LYB235" s="26"/>
      <c r="LYF235" s="23"/>
      <c r="LYK235" s="26"/>
      <c r="LYO235" s="23"/>
      <c r="LYT235" s="26"/>
      <c r="LYX235" s="23"/>
      <c r="LZC235" s="26"/>
      <c r="LZG235" s="23"/>
      <c r="LZL235" s="26"/>
      <c r="LZP235" s="23"/>
      <c r="LZU235" s="26"/>
      <c r="LZY235" s="23"/>
      <c r="MAD235" s="26"/>
      <c r="MAH235" s="23"/>
      <c r="MAM235" s="26"/>
      <c r="MAQ235" s="23"/>
      <c r="MAV235" s="26"/>
      <c r="MAZ235" s="23"/>
      <c r="MBE235" s="26"/>
      <c r="MBI235" s="23"/>
      <c r="MBN235" s="26"/>
      <c r="MBR235" s="23"/>
      <c r="MBW235" s="26"/>
      <c r="MCA235" s="23"/>
      <c r="MCF235" s="26"/>
      <c r="MCJ235" s="23"/>
      <c r="MCO235" s="26"/>
      <c r="MCS235" s="23"/>
      <c r="MCX235" s="26"/>
      <c r="MDB235" s="23"/>
      <c r="MDG235" s="26"/>
      <c r="MDK235" s="23"/>
      <c r="MDP235" s="26"/>
      <c r="MDT235" s="23"/>
      <c r="MDY235" s="26"/>
      <c r="MEC235" s="23"/>
      <c r="MEH235" s="26"/>
      <c r="MEL235" s="23"/>
      <c r="MEQ235" s="26"/>
      <c r="MEU235" s="23"/>
      <c r="MEZ235" s="26"/>
      <c r="MFD235" s="23"/>
      <c r="MFI235" s="26"/>
      <c r="MFM235" s="23"/>
      <c r="MFR235" s="26"/>
      <c r="MFV235" s="23"/>
      <c r="MGA235" s="26"/>
      <c r="MGE235" s="23"/>
      <c r="MGJ235" s="26"/>
      <c r="MGN235" s="23"/>
      <c r="MGS235" s="26"/>
      <c r="MGW235" s="23"/>
      <c r="MHB235" s="26"/>
      <c r="MHF235" s="23"/>
      <c r="MHK235" s="26"/>
      <c r="MHO235" s="23"/>
      <c r="MHT235" s="26"/>
      <c r="MHX235" s="23"/>
      <c r="MIC235" s="26"/>
      <c r="MIG235" s="23"/>
      <c r="MIL235" s="26"/>
      <c r="MIP235" s="23"/>
      <c r="MIU235" s="26"/>
      <c r="MIY235" s="23"/>
      <c r="MJD235" s="26"/>
      <c r="MJH235" s="23"/>
      <c r="MJM235" s="26"/>
      <c r="MJQ235" s="23"/>
      <c r="MJV235" s="26"/>
      <c r="MJZ235" s="23"/>
      <c r="MKE235" s="26"/>
      <c r="MKI235" s="23"/>
      <c r="MKN235" s="26"/>
      <c r="MKR235" s="23"/>
      <c r="MKW235" s="26"/>
      <c r="MLA235" s="23"/>
      <c r="MLF235" s="26"/>
      <c r="MLJ235" s="23"/>
      <c r="MLO235" s="26"/>
      <c r="MLS235" s="23"/>
      <c r="MLX235" s="26"/>
      <c r="MMB235" s="23"/>
      <c r="MMG235" s="26"/>
      <c r="MMK235" s="23"/>
      <c r="MMP235" s="26"/>
      <c r="MMT235" s="23"/>
      <c r="MMY235" s="26"/>
      <c r="MNC235" s="23"/>
      <c r="MNH235" s="26"/>
      <c r="MNL235" s="23"/>
      <c r="MNQ235" s="26"/>
      <c r="MNU235" s="23"/>
      <c r="MNZ235" s="26"/>
      <c r="MOD235" s="23"/>
      <c r="MOI235" s="26"/>
      <c r="MOM235" s="23"/>
      <c r="MOR235" s="26"/>
      <c r="MOV235" s="23"/>
      <c r="MPA235" s="26"/>
      <c r="MPE235" s="23"/>
      <c r="MPJ235" s="26"/>
      <c r="MPN235" s="23"/>
      <c r="MPS235" s="26"/>
      <c r="MPW235" s="23"/>
      <c r="MQB235" s="26"/>
      <c r="MQF235" s="23"/>
      <c r="MQK235" s="26"/>
      <c r="MQO235" s="23"/>
      <c r="MQT235" s="26"/>
      <c r="MQX235" s="23"/>
      <c r="MRC235" s="26"/>
      <c r="MRG235" s="23"/>
      <c r="MRL235" s="26"/>
      <c r="MRP235" s="23"/>
      <c r="MRU235" s="26"/>
      <c r="MRY235" s="23"/>
      <c r="MSD235" s="26"/>
      <c r="MSH235" s="23"/>
      <c r="MSM235" s="26"/>
      <c r="MSQ235" s="23"/>
      <c r="MSV235" s="26"/>
      <c r="MSZ235" s="23"/>
      <c r="MTE235" s="26"/>
      <c r="MTI235" s="23"/>
      <c r="MTN235" s="26"/>
      <c r="MTR235" s="23"/>
      <c r="MTW235" s="26"/>
      <c r="MUA235" s="23"/>
      <c r="MUF235" s="26"/>
      <c r="MUJ235" s="23"/>
      <c r="MUO235" s="26"/>
      <c r="MUS235" s="23"/>
      <c r="MUX235" s="26"/>
      <c r="MVB235" s="23"/>
      <c r="MVG235" s="26"/>
      <c r="MVK235" s="23"/>
      <c r="MVP235" s="26"/>
      <c r="MVT235" s="23"/>
      <c r="MVY235" s="26"/>
      <c r="MWC235" s="23"/>
      <c r="MWH235" s="26"/>
      <c r="MWL235" s="23"/>
      <c r="MWQ235" s="26"/>
      <c r="MWU235" s="23"/>
      <c r="MWZ235" s="26"/>
      <c r="MXD235" s="23"/>
      <c r="MXI235" s="26"/>
      <c r="MXM235" s="23"/>
      <c r="MXR235" s="26"/>
      <c r="MXV235" s="23"/>
      <c r="MYA235" s="26"/>
      <c r="MYE235" s="23"/>
      <c r="MYJ235" s="26"/>
      <c r="MYN235" s="23"/>
      <c r="MYS235" s="26"/>
      <c r="MYW235" s="23"/>
      <c r="MZB235" s="26"/>
      <c r="MZF235" s="23"/>
      <c r="MZK235" s="26"/>
      <c r="MZO235" s="23"/>
      <c r="MZT235" s="26"/>
      <c r="MZX235" s="23"/>
      <c r="NAC235" s="26"/>
      <c r="NAG235" s="23"/>
      <c r="NAL235" s="26"/>
      <c r="NAP235" s="23"/>
      <c r="NAU235" s="26"/>
      <c r="NAY235" s="23"/>
      <c r="NBD235" s="26"/>
      <c r="NBH235" s="23"/>
      <c r="NBM235" s="26"/>
      <c r="NBQ235" s="23"/>
      <c r="NBV235" s="26"/>
      <c r="NBZ235" s="23"/>
      <c r="NCE235" s="26"/>
      <c r="NCI235" s="23"/>
      <c r="NCN235" s="26"/>
      <c r="NCR235" s="23"/>
      <c r="NCW235" s="26"/>
      <c r="NDA235" s="23"/>
      <c r="NDF235" s="26"/>
      <c r="NDJ235" s="23"/>
      <c r="NDO235" s="26"/>
      <c r="NDS235" s="23"/>
      <c r="NDX235" s="26"/>
      <c r="NEB235" s="23"/>
      <c r="NEG235" s="26"/>
      <c r="NEK235" s="23"/>
      <c r="NEP235" s="26"/>
      <c r="NET235" s="23"/>
      <c r="NEY235" s="26"/>
      <c r="NFC235" s="23"/>
      <c r="NFH235" s="26"/>
      <c r="NFL235" s="23"/>
      <c r="NFQ235" s="26"/>
      <c r="NFU235" s="23"/>
      <c r="NFZ235" s="26"/>
      <c r="NGD235" s="23"/>
      <c r="NGI235" s="26"/>
      <c r="NGM235" s="23"/>
      <c r="NGR235" s="26"/>
      <c r="NGV235" s="23"/>
      <c r="NHA235" s="26"/>
      <c r="NHE235" s="23"/>
      <c r="NHJ235" s="26"/>
      <c r="NHN235" s="23"/>
      <c r="NHS235" s="26"/>
      <c r="NHW235" s="23"/>
      <c r="NIB235" s="26"/>
      <c r="NIF235" s="23"/>
      <c r="NIK235" s="26"/>
      <c r="NIO235" s="23"/>
      <c r="NIT235" s="26"/>
      <c r="NIX235" s="23"/>
      <c r="NJC235" s="26"/>
      <c r="NJG235" s="23"/>
      <c r="NJL235" s="26"/>
      <c r="NJP235" s="23"/>
      <c r="NJU235" s="26"/>
      <c r="NJY235" s="23"/>
      <c r="NKD235" s="26"/>
      <c r="NKH235" s="23"/>
      <c r="NKM235" s="26"/>
      <c r="NKQ235" s="23"/>
      <c r="NKV235" s="26"/>
      <c r="NKZ235" s="23"/>
      <c r="NLE235" s="26"/>
      <c r="NLI235" s="23"/>
      <c r="NLN235" s="26"/>
      <c r="NLR235" s="23"/>
      <c r="NLW235" s="26"/>
      <c r="NMA235" s="23"/>
      <c r="NMF235" s="26"/>
      <c r="NMJ235" s="23"/>
      <c r="NMO235" s="26"/>
      <c r="NMS235" s="23"/>
      <c r="NMX235" s="26"/>
      <c r="NNB235" s="23"/>
      <c r="NNG235" s="26"/>
      <c r="NNK235" s="23"/>
      <c r="NNP235" s="26"/>
      <c r="NNT235" s="23"/>
      <c r="NNY235" s="26"/>
      <c r="NOC235" s="23"/>
      <c r="NOH235" s="26"/>
      <c r="NOL235" s="23"/>
      <c r="NOQ235" s="26"/>
      <c r="NOU235" s="23"/>
      <c r="NOZ235" s="26"/>
      <c r="NPD235" s="23"/>
      <c r="NPI235" s="26"/>
      <c r="NPM235" s="23"/>
      <c r="NPR235" s="26"/>
      <c r="NPV235" s="23"/>
      <c r="NQA235" s="26"/>
      <c r="NQE235" s="23"/>
      <c r="NQJ235" s="26"/>
      <c r="NQN235" s="23"/>
      <c r="NQS235" s="26"/>
      <c r="NQW235" s="23"/>
      <c r="NRB235" s="26"/>
      <c r="NRF235" s="23"/>
      <c r="NRK235" s="26"/>
      <c r="NRO235" s="23"/>
      <c r="NRT235" s="26"/>
      <c r="NRX235" s="23"/>
      <c r="NSC235" s="26"/>
      <c r="NSG235" s="23"/>
      <c r="NSL235" s="26"/>
      <c r="NSP235" s="23"/>
      <c r="NSU235" s="26"/>
      <c r="NSY235" s="23"/>
      <c r="NTD235" s="26"/>
      <c r="NTH235" s="23"/>
      <c r="NTM235" s="26"/>
      <c r="NTQ235" s="23"/>
      <c r="NTV235" s="26"/>
      <c r="NTZ235" s="23"/>
      <c r="NUE235" s="26"/>
      <c r="NUI235" s="23"/>
      <c r="NUN235" s="26"/>
      <c r="NUR235" s="23"/>
      <c r="NUW235" s="26"/>
      <c r="NVA235" s="23"/>
      <c r="NVF235" s="26"/>
      <c r="NVJ235" s="23"/>
      <c r="NVO235" s="26"/>
      <c r="NVS235" s="23"/>
      <c r="NVX235" s="26"/>
      <c r="NWB235" s="23"/>
      <c r="NWG235" s="26"/>
      <c r="NWK235" s="23"/>
      <c r="NWP235" s="26"/>
      <c r="NWT235" s="23"/>
      <c r="NWY235" s="26"/>
      <c r="NXC235" s="23"/>
      <c r="NXH235" s="26"/>
      <c r="NXL235" s="23"/>
      <c r="NXQ235" s="26"/>
      <c r="NXU235" s="23"/>
      <c r="NXZ235" s="26"/>
      <c r="NYD235" s="23"/>
      <c r="NYI235" s="26"/>
      <c r="NYM235" s="23"/>
      <c r="NYR235" s="26"/>
      <c r="NYV235" s="23"/>
      <c r="NZA235" s="26"/>
      <c r="NZE235" s="23"/>
      <c r="NZJ235" s="26"/>
      <c r="NZN235" s="23"/>
      <c r="NZS235" s="26"/>
      <c r="NZW235" s="23"/>
      <c r="OAB235" s="26"/>
      <c r="OAF235" s="23"/>
      <c r="OAK235" s="26"/>
      <c r="OAO235" s="23"/>
      <c r="OAT235" s="26"/>
      <c r="OAX235" s="23"/>
      <c r="OBC235" s="26"/>
      <c r="OBG235" s="23"/>
      <c r="OBL235" s="26"/>
      <c r="OBP235" s="23"/>
      <c r="OBU235" s="26"/>
      <c r="OBY235" s="23"/>
      <c r="OCD235" s="26"/>
      <c r="OCH235" s="23"/>
      <c r="OCM235" s="26"/>
      <c r="OCQ235" s="23"/>
      <c r="OCV235" s="26"/>
      <c r="OCZ235" s="23"/>
      <c r="ODE235" s="26"/>
      <c r="ODI235" s="23"/>
      <c r="ODN235" s="26"/>
      <c r="ODR235" s="23"/>
      <c r="ODW235" s="26"/>
      <c r="OEA235" s="23"/>
      <c r="OEF235" s="26"/>
      <c r="OEJ235" s="23"/>
      <c r="OEO235" s="26"/>
      <c r="OES235" s="23"/>
      <c r="OEX235" s="26"/>
      <c r="OFB235" s="23"/>
      <c r="OFG235" s="26"/>
      <c r="OFK235" s="23"/>
      <c r="OFP235" s="26"/>
      <c r="OFT235" s="23"/>
      <c r="OFY235" s="26"/>
      <c r="OGC235" s="23"/>
      <c r="OGH235" s="26"/>
      <c r="OGL235" s="23"/>
      <c r="OGQ235" s="26"/>
      <c r="OGU235" s="23"/>
      <c r="OGZ235" s="26"/>
      <c r="OHD235" s="23"/>
      <c r="OHI235" s="26"/>
      <c r="OHM235" s="23"/>
      <c r="OHR235" s="26"/>
      <c r="OHV235" s="23"/>
      <c r="OIA235" s="26"/>
      <c r="OIE235" s="23"/>
      <c r="OIJ235" s="26"/>
      <c r="OIN235" s="23"/>
      <c r="OIS235" s="26"/>
      <c r="OIW235" s="23"/>
      <c r="OJB235" s="26"/>
      <c r="OJF235" s="23"/>
      <c r="OJK235" s="26"/>
      <c r="OJO235" s="23"/>
      <c r="OJT235" s="26"/>
      <c r="OJX235" s="23"/>
      <c r="OKC235" s="26"/>
      <c r="OKG235" s="23"/>
      <c r="OKL235" s="26"/>
      <c r="OKP235" s="23"/>
      <c r="OKU235" s="26"/>
      <c r="OKY235" s="23"/>
      <c r="OLD235" s="26"/>
      <c r="OLH235" s="23"/>
      <c r="OLM235" s="26"/>
      <c r="OLQ235" s="23"/>
      <c r="OLV235" s="26"/>
      <c r="OLZ235" s="23"/>
      <c r="OME235" s="26"/>
      <c r="OMI235" s="23"/>
      <c r="OMN235" s="26"/>
      <c r="OMR235" s="23"/>
      <c r="OMW235" s="26"/>
      <c r="ONA235" s="23"/>
      <c r="ONF235" s="26"/>
      <c r="ONJ235" s="23"/>
      <c r="ONO235" s="26"/>
      <c r="ONS235" s="23"/>
      <c r="ONX235" s="26"/>
      <c r="OOB235" s="23"/>
      <c r="OOG235" s="26"/>
      <c r="OOK235" s="23"/>
      <c r="OOP235" s="26"/>
      <c r="OOT235" s="23"/>
      <c r="OOY235" s="26"/>
      <c r="OPC235" s="23"/>
      <c r="OPH235" s="26"/>
      <c r="OPL235" s="23"/>
      <c r="OPQ235" s="26"/>
      <c r="OPU235" s="23"/>
      <c r="OPZ235" s="26"/>
      <c r="OQD235" s="23"/>
      <c r="OQI235" s="26"/>
      <c r="OQM235" s="23"/>
      <c r="OQR235" s="26"/>
      <c r="OQV235" s="23"/>
      <c r="ORA235" s="26"/>
      <c r="ORE235" s="23"/>
      <c r="ORJ235" s="26"/>
      <c r="ORN235" s="23"/>
      <c r="ORS235" s="26"/>
      <c r="ORW235" s="23"/>
      <c r="OSB235" s="26"/>
      <c r="OSF235" s="23"/>
      <c r="OSK235" s="26"/>
      <c r="OSO235" s="23"/>
      <c r="OST235" s="26"/>
      <c r="OSX235" s="23"/>
      <c r="OTC235" s="26"/>
      <c r="OTG235" s="23"/>
      <c r="OTL235" s="26"/>
      <c r="OTP235" s="23"/>
      <c r="OTU235" s="26"/>
      <c r="OTY235" s="23"/>
      <c r="OUD235" s="26"/>
      <c r="OUH235" s="23"/>
      <c r="OUM235" s="26"/>
      <c r="OUQ235" s="23"/>
      <c r="OUV235" s="26"/>
      <c r="OUZ235" s="23"/>
      <c r="OVE235" s="26"/>
      <c r="OVI235" s="23"/>
      <c r="OVN235" s="26"/>
      <c r="OVR235" s="23"/>
      <c r="OVW235" s="26"/>
      <c r="OWA235" s="23"/>
      <c r="OWF235" s="26"/>
      <c r="OWJ235" s="23"/>
      <c r="OWO235" s="26"/>
      <c r="OWS235" s="23"/>
      <c r="OWX235" s="26"/>
      <c r="OXB235" s="23"/>
      <c r="OXG235" s="26"/>
      <c r="OXK235" s="23"/>
      <c r="OXP235" s="26"/>
      <c r="OXT235" s="23"/>
      <c r="OXY235" s="26"/>
      <c r="OYC235" s="23"/>
      <c r="OYH235" s="26"/>
      <c r="OYL235" s="23"/>
      <c r="OYQ235" s="26"/>
      <c r="OYU235" s="23"/>
      <c r="OYZ235" s="26"/>
      <c r="OZD235" s="23"/>
      <c r="OZI235" s="26"/>
      <c r="OZM235" s="23"/>
      <c r="OZR235" s="26"/>
      <c r="OZV235" s="23"/>
      <c r="PAA235" s="26"/>
      <c r="PAE235" s="23"/>
      <c r="PAJ235" s="26"/>
      <c r="PAN235" s="23"/>
      <c r="PAS235" s="26"/>
      <c r="PAW235" s="23"/>
      <c r="PBB235" s="26"/>
      <c r="PBF235" s="23"/>
      <c r="PBK235" s="26"/>
      <c r="PBO235" s="23"/>
      <c r="PBT235" s="26"/>
      <c r="PBX235" s="23"/>
      <c r="PCC235" s="26"/>
      <c r="PCG235" s="23"/>
      <c r="PCL235" s="26"/>
      <c r="PCP235" s="23"/>
      <c r="PCU235" s="26"/>
      <c r="PCY235" s="23"/>
      <c r="PDD235" s="26"/>
      <c r="PDH235" s="23"/>
      <c r="PDM235" s="26"/>
      <c r="PDQ235" s="23"/>
      <c r="PDV235" s="26"/>
      <c r="PDZ235" s="23"/>
      <c r="PEE235" s="26"/>
      <c r="PEI235" s="23"/>
      <c r="PEN235" s="26"/>
      <c r="PER235" s="23"/>
      <c r="PEW235" s="26"/>
      <c r="PFA235" s="23"/>
      <c r="PFF235" s="26"/>
      <c r="PFJ235" s="23"/>
      <c r="PFO235" s="26"/>
      <c r="PFS235" s="23"/>
      <c r="PFX235" s="26"/>
      <c r="PGB235" s="23"/>
      <c r="PGG235" s="26"/>
      <c r="PGK235" s="23"/>
      <c r="PGP235" s="26"/>
      <c r="PGT235" s="23"/>
      <c r="PGY235" s="26"/>
      <c r="PHC235" s="23"/>
      <c r="PHH235" s="26"/>
      <c r="PHL235" s="23"/>
      <c r="PHQ235" s="26"/>
      <c r="PHU235" s="23"/>
      <c r="PHZ235" s="26"/>
      <c r="PID235" s="23"/>
      <c r="PII235" s="26"/>
      <c r="PIM235" s="23"/>
      <c r="PIR235" s="26"/>
      <c r="PIV235" s="23"/>
      <c r="PJA235" s="26"/>
      <c r="PJE235" s="23"/>
      <c r="PJJ235" s="26"/>
      <c r="PJN235" s="23"/>
      <c r="PJS235" s="26"/>
      <c r="PJW235" s="23"/>
      <c r="PKB235" s="26"/>
      <c r="PKF235" s="23"/>
      <c r="PKK235" s="26"/>
      <c r="PKO235" s="23"/>
      <c r="PKT235" s="26"/>
      <c r="PKX235" s="23"/>
      <c r="PLC235" s="26"/>
      <c r="PLG235" s="23"/>
      <c r="PLL235" s="26"/>
      <c r="PLP235" s="23"/>
      <c r="PLU235" s="26"/>
      <c r="PLY235" s="23"/>
      <c r="PMD235" s="26"/>
      <c r="PMH235" s="23"/>
      <c r="PMM235" s="26"/>
      <c r="PMQ235" s="23"/>
      <c r="PMV235" s="26"/>
      <c r="PMZ235" s="23"/>
      <c r="PNE235" s="26"/>
      <c r="PNI235" s="23"/>
      <c r="PNN235" s="26"/>
      <c r="PNR235" s="23"/>
      <c r="PNW235" s="26"/>
      <c r="POA235" s="23"/>
      <c r="POF235" s="26"/>
      <c r="POJ235" s="23"/>
      <c r="POO235" s="26"/>
      <c r="POS235" s="23"/>
      <c r="POX235" s="26"/>
      <c r="PPB235" s="23"/>
      <c r="PPG235" s="26"/>
      <c r="PPK235" s="23"/>
      <c r="PPP235" s="26"/>
      <c r="PPT235" s="23"/>
      <c r="PPY235" s="26"/>
      <c r="PQC235" s="23"/>
      <c r="PQH235" s="26"/>
      <c r="PQL235" s="23"/>
      <c r="PQQ235" s="26"/>
      <c r="PQU235" s="23"/>
      <c r="PQZ235" s="26"/>
      <c r="PRD235" s="23"/>
      <c r="PRI235" s="26"/>
      <c r="PRM235" s="23"/>
      <c r="PRR235" s="26"/>
      <c r="PRV235" s="23"/>
      <c r="PSA235" s="26"/>
      <c r="PSE235" s="23"/>
      <c r="PSJ235" s="26"/>
      <c r="PSN235" s="23"/>
      <c r="PSS235" s="26"/>
      <c r="PSW235" s="23"/>
      <c r="PTB235" s="26"/>
      <c r="PTF235" s="23"/>
      <c r="PTK235" s="26"/>
      <c r="PTO235" s="23"/>
      <c r="PTT235" s="26"/>
      <c r="PTX235" s="23"/>
      <c r="PUC235" s="26"/>
      <c r="PUG235" s="23"/>
      <c r="PUL235" s="26"/>
      <c r="PUP235" s="23"/>
      <c r="PUU235" s="26"/>
      <c r="PUY235" s="23"/>
      <c r="PVD235" s="26"/>
      <c r="PVH235" s="23"/>
      <c r="PVM235" s="26"/>
      <c r="PVQ235" s="23"/>
      <c r="PVV235" s="26"/>
      <c r="PVZ235" s="23"/>
      <c r="PWE235" s="26"/>
      <c r="PWI235" s="23"/>
      <c r="PWN235" s="26"/>
      <c r="PWR235" s="23"/>
      <c r="PWW235" s="26"/>
      <c r="PXA235" s="23"/>
      <c r="PXF235" s="26"/>
      <c r="PXJ235" s="23"/>
      <c r="PXO235" s="26"/>
      <c r="PXS235" s="23"/>
      <c r="PXX235" s="26"/>
      <c r="PYB235" s="23"/>
      <c r="PYG235" s="26"/>
      <c r="PYK235" s="23"/>
      <c r="PYP235" s="26"/>
      <c r="PYT235" s="23"/>
      <c r="PYY235" s="26"/>
      <c r="PZC235" s="23"/>
      <c r="PZH235" s="26"/>
      <c r="PZL235" s="23"/>
      <c r="PZQ235" s="26"/>
      <c r="PZU235" s="23"/>
      <c r="PZZ235" s="26"/>
      <c r="QAD235" s="23"/>
      <c r="QAI235" s="26"/>
      <c r="QAM235" s="23"/>
      <c r="QAR235" s="26"/>
      <c r="QAV235" s="23"/>
      <c r="QBA235" s="26"/>
      <c r="QBE235" s="23"/>
      <c r="QBJ235" s="26"/>
      <c r="QBN235" s="23"/>
      <c r="QBS235" s="26"/>
      <c r="QBW235" s="23"/>
      <c r="QCB235" s="26"/>
      <c r="QCF235" s="23"/>
      <c r="QCK235" s="26"/>
      <c r="QCO235" s="23"/>
      <c r="QCT235" s="26"/>
      <c r="QCX235" s="23"/>
      <c r="QDC235" s="26"/>
      <c r="QDG235" s="23"/>
      <c r="QDL235" s="26"/>
      <c r="QDP235" s="23"/>
      <c r="QDU235" s="26"/>
      <c r="QDY235" s="23"/>
      <c r="QED235" s="26"/>
      <c r="QEH235" s="23"/>
      <c r="QEM235" s="26"/>
      <c r="QEQ235" s="23"/>
      <c r="QEV235" s="26"/>
      <c r="QEZ235" s="23"/>
      <c r="QFE235" s="26"/>
      <c r="QFI235" s="23"/>
      <c r="QFN235" s="26"/>
      <c r="QFR235" s="23"/>
      <c r="QFW235" s="26"/>
      <c r="QGA235" s="23"/>
      <c r="QGF235" s="26"/>
      <c r="QGJ235" s="23"/>
      <c r="QGO235" s="26"/>
      <c r="QGS235" s="23"/>
      <c r="QGX235" s="26"/>
      <c r="QHB235" s="23"/>
      <c r="QHG235" s="26"/>
      <c r="QHK235" s="23"/>
      <c r="QHP235" s="26"/>
      <c r="QHT235" s="23"/>
      <c r="QHY235" s="26"/>
      <c r="QIC235" s="23"/>
      <c r="QIH235" s="26"/>
      <c r="QIL235" s="23"/>
      <c r="QIQ235" s="26"/>
      <c r="QIU235" s="23"/>
      <c r="QIZ235" s="26"/>
      <c r="QJD235" s="23"/>
      <c r="QJI235" s="26"/>
      <c r="QJM235" s="23"/>
      <c r="QJR235" s="26"/>
      <c r="QJV235" s="23"/>
      <c r="QKA235" s="26"/>
      <c r="QKE235" s="23"/>
      <c r="QKJ235" s="26"/>
      <c r="QKN235" s="23"/>
      <c r="QKS235" s="26"/>
      <c r="QKW235" s="23"/>
      <c r="QLB235" s="26"/>
      <c r="QLF235" s="23"/>
      <c r="QLK235" s="26"/>
      <c r="QLO235" s="23"/>
      <c r="QLT235" s="26"/>
      <c r="QLX235" s="23"/>
      <c r="QMC235" s="26"/>
      <c r="QMG235" s="23"/>
      <c r="QML235" s="26"/>
      <c r="QMP235" s="23"/>
      <c r="QMU235" s="26"/>
      <c r="QMY235" s="23"/>
      <c r="QND235" s="26"/>
      <c r="QNH235" s="23"/>
      <c r="QNM235" s="26"/>
      <c r="QNQ235" s="23"/>
      <c r="QNV235" s="26"/>
      <c r="QNZ235" s="23"/>
      <c r="QOE235" s="26"/>
      <c r="QOI235" s="23"/>
      <c r="QON235" s="26"/>
      <c r="QOR235" s="23"/>
      <c r="QOW235" s="26"/>
      <c r="QPA235" s="23"/>
      <c r="QPF235" s="26"/>
      <c r="QPJ235" s="23"/>
      <c r="QPO235" s="26"/>
      <c r="QPS235" s="23"/>
      <c r="QPX235" s="26"/>
      <c r="QQB235" s="23"/>
      <c r="QQG235" s="26"/>
      <c r="QQK235" s="23"/>
      <c r="QQP235" s="26"/>
      <c r="QQT235" s="23"/>
      <c r="QQY235" s="26"/>
      <c r="QRC235" s="23"/>
      <c r="QRH235" s="26"/>
      <c r="QRL235" s="23"/>
      <c r="QRQ235" s="26"/>
      <c r="QRU235" s="23"/>
      <c r="QRZ235" s="26"/>
      <c r="QSD235" s="23"/>
      <c r="QSI235" s="26"/>
      <c r="QSM235" s="23"/>
      <c r="QSR235" s="26"/>
      <c r="QSV235" s="23"/>
      <c r="QTA235" s="26"/>
      <c r="QTE235" s="23"/>
      <c r="QTJ235" s="26"/>
      <c r="QTN235" s="23"/>
      <c r="QTS235" s="26"/>
      <c r="QTW235" s="23"/>
      <c r="QUB235" s="26"/>
      <c r="QUF235" s="23"/>
      <c r="QUK235" s="26"/>
      <c r="QUO235" s="23"/>
      <c r="QUT235" s="26"/>
      <c r="QUX235" s="23"/>
      <c r="QVC235" s="26"/>
      <c r="QVG235" s="23"/>
      <c r="QVL235" s="26"/>
      <c r="QVP235" s="23"/>
      <c r="QVU235" s="26"/>
      <c r="QVY235" s="23"/>
      <c r="QWD235" s="26"/>
      <c r="QWH235" s="23"/>
      <c r="QWM235" s="26"/>
      <c r="QWQ235" s="23"/>
      <c r="QWV235" s="26"/>
      <c r="QWZ235" s="23"/>
      <c r="QXE235" s="26"/>
      <c r="QXI235" s="23"/>
      <c r="QXN235" s="26"/>
      <c r="QXR235" s="23"/>
      <c r="QXW235" s="26"/>
      <c r="QYA235" s="23"/>
      <c r="QYF235" s="26"/>
      <c r="QYJ235" s="23"/>
      <c r="QYO235" s="26"/>
      <c r="QYS235" s="23"/>
      <c r="QYX235" s="26"/>
      <c r="QZB235" s="23"/>
      <c r="QZG235" s="26"/>
      <c r="QZK235" s="23"/>
      <c r="QZP235" s="26"/>
      <c r="QZT235" s="23"/>
      <c r="QZY235" s="26"/>
      <c r="RAC235" s="23"/>
      <c r="RAH235" s="26"/>
      <c r="RAL235" s="23"/>
      <c r="RAQ235" s="26"/>
      <c r="RAU235" s="23"/>
      <c r="RAZ235" s="26"/>
      <c r="RBD235" s="23"/>
      <c r="RBI235" s="26"/>
      <c r="RBM235" s="23"/>
      <c r="RBR235" s="26"/>
      <c r="RBV235" s="23"/>
      <c r="RCA235" s="26"/>
      <c r="RCE235" s="23"/>
      <c r="RCJ235" s="26"/>
      <c r="RCN235" s="23"/>
      <c r="RCS235" s="26"/>
      <c r="RCW235" s="23"/>
      <c r="RDB235" s="26"/>
      <c r="RDF235" s="23"/>
      <c r="RDK235" s="26"/>
      <c r="RDO235" s="23"/>
      <c r="RDT235" s="26"/>
      <c r="RDX235" s="23"/>
      <c r="REC235" s="26"/>
      <c r="REG235" s="23"/>
      <c r="REL235" s="26"/>
      <c r="REP235" s="23"/>
      <c r="REU235" s="26"/>
      <c r="REY235" s="23"/>
      <c r="RFD235" s="26"/>
      <c r="RFH235" s="23"/>
      <c r="RFM235" s="26"/>
      <c r="RFQ235" s="23"/>
      <c r="RFV235" s="26"/>
      <c r="RFZ235" s="23"/>
      <c r="RGE235" s="26"/>
      <c r="RGI235" s="23"/>
      <c r="RGN235" s="26"/>
      <c r="RGR235" s="23"/>
      <c r="RGW235" s="26"/>
      <c r="RHA235" s="23"/>
      <c r="RHF235" s="26"/>
      <c r="RHJ235" s="23"/>
      <c r="RHO235" s="26"/>
      <c r="RHS235" s="23"/>
      <c r="RHX235" s="26"/>
      <c r="RIB235" s="23"/>
      <c r="RIG235" s="26"/>
      <c r="RIK235" s="23"/>
      <c r="RIP235" s="26"/>
      <c r="RIT235" s="23"/>
      <c r="RIY235" s="26"/>
      <c r="RJC235" s="23"/>
      <c r="RJH235" s="26"/>
      <c r="RJL235" s="23"/>
      <c r="RJQ235" s="26"/>
      <c r="RJU235" s="23"/>
      <c r="RJZ235" s="26"/>
      <c r="RKD235" s="23"/>
      <c r="RKI235" s="26"/>
      <c r="RKM235" s="23"/>
      <c r="RKR235" s="26"/>
      <c r="RKV235" s="23"/>
      <c r="RLA235" s="26"/>
      <c r="RLE235" s="23"/>
      <c r="RLJ235" s="26"/>
      <c r="RLN235" s="23"/>
      <c r="RLS235" s="26"/>
      <c r="RLW235" s="23"/>
      <c r="RMB235" s="26"/>
      <c r="RMF235" s="23"/>
      <c r="RMK235" s="26"/>
      <c r="RMO235" s="23"/>
      <c r="RMT235" s="26"/>
      <c r="RMX235" s="23"/>
      <c r="RNC235" s="26"/>
      <c r="RNG235" s="23"/>
      <c r="RNL235" s="26"/>
      <c r="RNP235" s="23"/>
      <c r="RNU235" s="26"/>
      <c r="RNY235" s="23"/>
      <c r="ROD235" s="26"/>
      <c r="ROH235" s="23"/>
      <c r="ROM235" s="26"/>
      <c r="ROQ235" s="23"/>
      <c r="ROV235" s="26"/>
      <c r="ROZ235" s="23"/>
      <c r="RPE235" s="26"/>
      <c r="RPI235" s="23"/>
      <c r="RPN235" s="26"/>
      <c r="RPR235" s="23"/>
      <c r="RPW235" s="26"/>
      <c r="RQA235" s="23"/>
      <c r="RQF235" s="26"/>
      <c r="RQJ235" s="23"/>
      <c r="RQO235" s="26"/>
      <c r="RQS235" s="23"/>
      <c r="RQX235" s="26"/>
      <c r="RRB235" s="23"/>
      <c r="RRG235" s="26"/>
      <c r="RRK235" s="23"/>
      <c r="RRP235" s="26"/>
      <c r="RRT235" s="23"/>
      <c r="RRY235" s="26"/>
      <c r="RSC235" s="23"/>
      <c r="RSH235" s="26"/>
      <c r="RSL235" s="23"/>
      <c r="RSQ235" s="26"/>
      <c r="RSU235" s="23"/>
      <c r="RSZ235" s="26"/>
      <c r="RTD235" s="23"/>
      <c r="RTI235" s="26"/>
      <c r="RTM235" s="23"/>
      <c r="RTR235" s="26"/>
      <c r="RTV235" s="23"/>
      <c r="RUA235" s="26"/>
      <c r="RUE235" s="23"/>
      <c r="RUJ235" s="26"/>
      <c r="RUN235" s="23"/>
      <c r="RUS235" s="26"/>
      <c r="RUW235" s="23"/>
      <c r="RVB235" s="26"/>
      <c r="RVF235" s="23"/>
      <c r="RVK235" s="26"/>
      <c r="RVO235" s="23"/>
      <c r="RVT235" s="26"/>
      <c r="RVX235" s="23"/>
      <c r="RWC235" s="26"/>
      <c r="RWG235" s="23"/>
      <c r="RWL235" s="26"/>
      <c r="RWP235" s="23"/>
      <c r="RWU235" s="26"/>
      <c r="RWY235" s="23"/>
      <c r="RXD235" s="26"/>
      <c r="RXH235" s="23"/>
      <c r="RXM235" s="26"/>
      <c r="RXQ235" s="23"/>
      <c r="RXV235" s="26"/>
      <c r="RXZ235" s="23"/>
      <c r="RYE235" s="26"/>
      <c r="RYI235" s="23"/>
      <c r="RYN235" s="26"/>
      <c r="RYR235" s="23"/>
      <c r="RYW235" s="26"/>
      <c r="RZA235" s="23"/>
      <c r="RZF235" s="26"/>
      <c r="RZJ235" s="23"/>
      <c r="RZO235" s="26"/>
      <c r="RZS235" s="23"/>
      <c r="RZX235" s="26"/>
      <c r="SAB235" s="23"/>
      <c r="SAG235" s="26"/>
      <c r="SAK235" s="23"/>
      <c r="SAP235" s="26"/>
      <c r="SAT235" s="23"/>
      <c r="SAY235" s="26"/>
      <c r="SBC235" s="23"/>
      <c r="SBH235" s="26"/>
      <c r="SBL235" s="23"/>
      <c r="SBQ235" s="26"/>
      <c r="SBU235" s="23"/>
      <c r="SBZ235" s="26"/>
      <c r="SCD235" s="23"/>
      <c r="SCI235" s="26"/>
      <c r="SCM235" s="23"/>
      <c r="SCR235" s="26"/>
      <c r="SCV235" s="23"/>
      <c r="SDA235" s="26"/>
      <c r="SDE235" s="23"/>
      <c r="SDJ235" s="26"/>
      <c r="SDN235" s="23"/>
      <c r="SDS235" s="26"/>
      <c r="SDW235" s="23"/>
      <c r="SEB235" s="26"/>
      <c r="SEF235" s="23"/>
      <c r="SEK235" s="26"/>
      <c r="SEO235" s="23"/>
      <c r="SET235" s="26"/>
      <c r="SEX235" s="23"/>
      <c r="SFC235" s="26"/>
      <c r="SFG235" s="23"/>
      <c r="SFL235" s="26"/>
      <c r="SFP235" s="23"/>
      <c r="SFU235" s="26"/>
      <c r="SFY235" s="23"/>
      <c r="SGD235" s="26"/>
      <c r="SGH235" s="23"/>
      <c r="SGM235" s="26"/>
      <c r="SGQ235" s="23"/>
      <c r="SGV235" s="26"/>
      <c r="SGZ235" s="23"/>
      <c r="SHE235" s="26"/>
      <c r="SHI235" s="23"/>
      <c r="SHN235" s="26"/>
      <c r="SHR235" s="23"/>
      <c r="SHW235" s="26"/>
      <c r="SIA235" s="23"/>
      <c r="SIF235" s="26"/>
      <c r="SIJ235" s="23"/>
      <c r="SIO235" s="26"/>
      <c r="SIS235" s="23"/>
      <c r="SIX235" s="26"/>
      <c r="SJB235" s="23"/>
      <c r="SJG235" s="26"/>
      <c r="SJK235" s="23"/>
      <c r="SJP235" s="26"/>
      <c r="SJT235" s="23"/>
      <c r="SJY235" s="26"/>
      <c r="SKC235" s="23"/>
      <c r="SKH235" s="26"/>
      <c r="SKL235" s="23"/>
      <c r="SKQ235" s="26"/>
      <c r="SKU235" s="23"/>
      <c r="SKZ235" s="26"/>
      <c r="SLD235" s="23"/>
      <c r="SLI235" s="26"/>
      <c r="SLM235" s="23"/>
      <c r="SLR235" s="26"/>
      <c r="SLV235" s="23"/>
      <c r="SMA235" s="26"/>
      <c r="SME235" s="23"/>
      <c r="SMJ235" s="26"/>
      <c r="SMN235" s="23"/>
      <c r="SMS235" s="26"/>
      <c r="SMW235" s="23"/>
      <c r="SNB235" s="26"/>
      <c r="SNF235" s="23"/>
      <c r="SNK235" s="26"/>
      <c r="SNO235" s="23"/>
      <c r="SNT235" s="26"/>
      <c r="SNX235" s="23"/>
      <c r="SOC235" s="26"/>
      <c r="SOG235" s="23"/>
      <c r="SOL235" s="26"/>
      <c r="SOP235" s="23"/>
      <c r="SOU235" s="26"/>
      <c r="SOY235" s="23"/>
      <c r="SPD235" s="26"/>
      <c r="SPH235" s="23"/>
      <c r="SPM235" s="26"/>
      <c r="SPQ235" s="23"/>
      <c r="SPV235" s="26"/>
      <c r="SPZ235" s="23"/>
      <c r="SQE235" s="26"/>
      <c r="SQI235" s="23"/>
      <c r="SQN235" s="26"/>
      <c r="SQR235" s="23"/>
      <c r="SQW235" s="26"/>
      <c r="SRA235" s="23"/>
      <c r="SRF235" s="26"/>
      <c r="SRJ235" s="23"/>
      <c r="SRO235" s="26"/>
      <c r="SRS235" s="23"/>
      <c r="SRX235" s="26"/>
      <c r="SSB235" s="23"/>
      <c r="SSG235" s="26"/>
      <c r="SSK235" s="23"/>
      <c r="SSP235" s="26"/>
      <c r="SST235" s="23"/>
      <c r="SSY235" s="26"/>
      <c r="STC235" s="23"/>
      <c r="STH235" s="26"/>
      <c r="STL235" s="23"/>
      <c r="STQ235" s="26"/>
      <c r="STU235" s="23"/>
      <c r="STZ235" s="26"/>
      <c r="SUD235" s="23"/>
      <c r="SUI235" s="26"/>
      <c r="SUM235" s="23"/>
      <c r="SUR235" s="26"/>
      <c r="SUV235" s="23"/>
      <c r="SVA235" s="26"/>
      <c r="SVE235" s="23"/>
      <c r="SVJ235" s="26"/>
      <c r="SVN235" s="23"/>
      <c r="SVS235" s="26"/>
      <c r="SVW235" s="23"/>
      <c r="SWB235" s="26"/>
      <c r="SWF235" s="23"/>
      <c r="SWK235" s="26"/>
      <c r="SWO235" s="23"/>
      <c r="SWT235" s="26"/>
      <c r="SWX235" s="23"/>
      <c r="SXC235" s="26"/>
      <c r="SXG235" s="23"/>
      <c r="SXL235" s="26"/>
      <c r="SXP235" s="23"/>
      <c r="SXU235" s="26"/>
      <c r="SXY235" s="23"/>
      <c r="SYD235" s="26"/>
      <c r="SYH235" s="23"/>
      <c r="SYM235" s="26"/>
      <c r="SYQ235" s="23"/>
      <c r="SYV235" s="26"/>
      <c r="SYZ235" s="23"/>
      <c r="SZE235" s="26"/>
      <c r="SZI235" s="23"/>
      <c r="SZN235" s="26"/>
      <c r="SZR235" s="23"/>
      <c r="SZW235" s="26"/>
      <c r="TAA235" s="23"/>
      <c r="TAF235" s="26"/>
      <c r="TAJ235" s="23"/>
      <c r="TAO235" s="26"/>
      <c r="TAS235" s="23"/>
      <c r="TAX235" s="26"/>
      <c r="TBB235" s="23"/>
      <c r="TBG235" s="26"/>
      <c r="TBK235" s="23"/>
      <c r="TBP235" s="26"/>
      <c r="TBT235" s="23"/>
      <c r="TBY235" s="26"/>
      <c r="TCC235" s="23"/>
      <c r="TCH235" s="26"/>
      <c r="TCL235" s="23"/>
      <c r="TCQ235" s="26"/>
      <c r="TCU235" s="23"/>
      <c r="TCZ235" s="26"/>
      <c r="TDD235" s="23"/>
      <c r="TDI235" s="26"/>
      <c r="TDM235" s="23"/>
      <c r="TDR235" s="26"/>
      <c r="TDV235" s="23"/>
      <c r="TEA235" s="26"/>
      <c r="TEE235" s="23"/>
      <c r="TEJ235" s="26"/>
      <c r="TEN235" s="23"/>
      <c r="TES235" s="26"/>
      <c r="TEW235" s="23"/>
      <c r="TFB235" s="26"/>
      <c r="TFF235" s="23"/>
      <c r="TFK235" s="26"/>
      <c r="TFO235" s="23"/>
      <c r="TFT235" s="26"/>
      <c r="TFX235" s="23"/>
      <c r="TGC235" s="26"/>
      <c r="TGG235" s="23"/>
      <c r="TGL235" s="26"/>
      <c r="TGP235" s="23"/>
      <c r="TGU235" s="26"/>
      <c r="TGY235" s="23"/>
      <c r="THD235" s="26"/>
      <c r="THH235" s="23"/>
      <c r="THM235" s="26"/>
      <c r="THQ235" s="23"/>
      <c r="THV235" s="26"/>
      <c r="THZ235" s="23"/>
      <c r="TIE235" s="26"/>
      <c r="TII235" s="23"/>
      <c r="TIN235" s="26"/>
      <c r="TIR235" s="23"/>
      <c r="TIW235" s="26"/>
      <c r="TJA235" s="23"/>
      <c r="TJF235" s="26"/>
      <c r="TJJ235" s="23"/>
      <c r="TJO235" s="26"/>
      <c r="TJS235" s="23"/>
      <c r="TJX235" s="26"/>
      <c r="TKB235" s="23"/>
      <c r="TKG235" s="26"/>
      <c r="TKK235" s="23"/>
      <c r="TKP235" s="26"/>
      <c r="TKT235" s="23"/>
      <c r="TKY235" s="26"/>
      <c r="TLC235" s="23"/>
      <c r="TLH235" s="26"/>
      <c r="TLL235" s="23"/>
      <c r="TLQ235" s="26"/>
      <c r="TLU235" s="23"/>
      <c r="TLZ235" s="26"/>
      <c r="TMD235" s="23"/>
      <c r="TMI235" s="26"/>
      <c r="TMM235" s="23"/>
      <c r="TMR235" s="26"/>
      <c r="TMV235" s="23"/>
      <c r="TNA235" s="26"/>
      <c r="TNE235" s="23"/>
      <c r="TNJ235" s="26"/>
      <c r="TNN235" s="23"/>
      <c r="TNS235" s="26"/>
      <c r="TNW235" s="23"/>
      <c r="TOB235" s="26"/>
      <c r="TOF235" s="23"/>
      <c r="TOK235" s="26"/>
      <c r="TOO235" s="23"/>
      <c r="TOT235" s="26"/>
      <c r="TOX235" s="23"/>
      <c r="TPC235" s="26"/>
      <c r="TPG235" s="23"/>
      <c r="TPL235" s="26"/>
      <c r="TPP235" s="23"/>
      <c r="TPU235" s="26"/>
      <c r="TPY235" s="23"/>
      <c r="TQD235" s="26"/>
      <c r="TQH235" s="23"/>
      <c r="TQM235" s="26"/>
      <c r="TQQ235" s="23"/>
      <c r="TQV235" s="26"/>
      <c r="TQZ235" s="23"/>
      <c r="TRE235" s="26"/>
      <c r="TRI235" s="23"/>
      <c r="TRN235" s="26"/>
      <c r="TRR235" s="23"/>
      <c r="TRW235" s="26"/>
      <c r="TSA235" s="23"/>
      <c r="TSF235" s="26"/>
      <c r="TSJ235" s="23"/>
      <c r="TSO235" s="26"/>
      <c r="TSS235" s="23"/>
      <c r="TSX235" s="26"/>
      <c r="TTB235" s="23"/>
      <c r="TTG235" s="26"/>
      <c r="TTK235" s="23"/>
      <c r="TTP235" s="26"/>
      <c r="TTT235" s="23"/>
      <c r="TTY235" s="26"/>
      <c r="TUC235" s="23"/>
      <c r="TUH235" s="26"/>
      <c r="TUL235" s="23"/>
      <c r="TUQ235" s="26"/>
      <c r="TUU235" s="23"/>
      <c r="TUZ235" s="26"/>
      <c r="TVD235" s="23"/>
      <c r="TVI235" s="26"/>
      <c r="TVM235" s="23"/>
      <c r="TVR235" s="26"/>
      <c r="TVV235" s="23"/>
      <c r="TWA235" s="26"/>
      <c r="TWE235" s="23"/>
      <c r="TWJ235" s="26"/>
      <c r="TWN235" s="23"/>
      <c r="TWS235" s="26"/>
      <c r="TWW235" s="23"/>
      <c r="TXB235" s="26"/>
      <c r="TXF235" s="23"/>
      <c r="TXK235" s="26"/>
      <c r="TXO235" s="23"/>
      <c r="TXT235" s="26"/>
      <c r="TXX235" s="23"/>
      <c r="TYC235" s="26"/>
      <c r="TYG235" s="23"/>
      <c r="TYL235" s="26"/>
      <c r="TYP235" s="23"/>
      <c r="TYU235" s="26"/>
      <c r="TYY235" s="23"/>
      <c r="TZD235" s="26"/>
      <c r="TZH235" s="23"/>
      <c r="TZM235" s="26"/>
      <c r="TZQ235" s="23"/>
      <c r="TZV235" s="26"/>
      <c r="TZZ235" s="23"/>
      <c r="UAE235" s="26"/>
      <c r="UAI235" s="23"/>
      <c r="UAN235" s="26"/>
      <c r="UAR235" s="23"/>
      <c r="UAW235" s="26"/>
      <c r="UBA235" s="23"/>
      <c r="UBF235" s="26"/>
      <c r="UBJ235" s="23"/>
      <c r="UBO235" s="26"/>
      <c r="UBS235" s="23"/>
      <c r="UBX235" s="26"/>
      <c r="UCB235" s="23"/>
      <c r="UCG235" s="26"/>
      <c r="UCK235" s="23"/>
      <c r="UCP235" s="26"/>
      <c r="UCT235" s="23"/>
      <c r="UCY235" s="26"/>
      <c r="UDC235" s="23"/>
      <c r="UDH235" s="26"/>
      <c r="UDL235" s="23"/>
      <c r="UDQ235" s="26"/>
      <c r="UDU235" s="23"/>
      <c r="UDZ235" s="26"/>
      <c r="UED235" s="23"/>
      <c r="UEI235" s="26"/>
      <c r="UEM235" s="23"/>
      <c r="UER235" s="26"/>
      <c r="UEV235" s="23"/>
      <c r="UFA235" s="26"/>
      <c r="UFE235" s="23"/>
      <c r="UFJ235" s="26"/>
      <c r="UFN235" s="23"/>
      <c r="UFS235" s="26"/>
      <c r="UFW235" s="23"/>
      <c r="UGB235" s="26"/>
      <c r="UGF235" s="23"/>
      <c r="UGK235" s="26"/>
      <c r="UGO235" s="23"/>
      <c r="UGT235" s="26"/>
      <c r="UGX235" s="23"/>
      <c r="UHC235" s="26"/>
      <c r="UHG235" s="23"/>
      <c r="UHL235" s="26"/>
      <c r="UHP235" s="23"/>
      <c r="UHU235" s="26"/>
      <c r="UHY235" s="23"/>
      <c r="UID235" s="26"/>
      <c r="UIH235" s="23"/>
      <c r="UIM235" s="26"/>
      <c r="UIQ235" s="23"/>
      <c r="UIV235" s="26"/>
      <c r="UIZ235" s="23"/>
      <c r="UJE235" s="26"/>
      <c r="UJI235" s="23"/>
      <c r="UJN235" s="26"/>
      <c r="UJR235" s="23"/>
      <c r="UJW235" s="26"/>
      <c r="UKA235" s="23"/>
      <c r="UKF235" s="26"/>
      <c r="UKJ235" s="23"/>
      <c r="UKO235" s="26"/>
      <c r="UKS235" s="23"/>
      <c r="UKX235" s="26"/>
      <c r="ULB235" s="23"/>
      <c r="ULG235" s="26"/>
      <c r="ULK235" s="23"/>
      <c r="ULP235" s="26"/>
      <c r="ULT235" s="23"/>
      <c r="ULY235" s="26"/>
      <c r="UMC235" s="23"/>
      <c r="UMH235" s="26"/>
      <c r="UML235" s="23"/>
      <c r="UMQ235" s="26"/>
      <c r="UMU235" s="23"/>
      <c r="UMZ235" s="26"/>
      <c r="UND235" s="23"/>
      <c r="UNI235" s="26"/>
      <c r="UNM235" s="23"/>
      <c r="UNR235" s="26"/>
      <c r="UNV235" s="23"/>
      <c r="UOA235" s="26"/>
      <c r="UOE235" s="23"/>
      <c r="UOJ235" s="26"/>
      <c r="UON235" s="23"/>
      <c r="UOS235" s="26"/>
      <c r="UOW235" s="23"/>
      <c r="UPB235" s="26"/>
      <c r="UPF235" s="23"/>
      <c r="UPK235" s="26"/>
      <c r="UPO235" s="23"/>
      <c r="UPT235" s="26"/>
      <c r="UPX235" s="23"/>
      <c r="UQC235" s="26"/>
      <c r="UQG235" s="23"/>
      <c r="UQL235" s="26"/>
      <c r="UQP235" s="23"/>
      <c r="UQU235" s="26"/>
      <c r="UQY235" s="23"/>
      <c r="URD235" s="26"/>
      <c r="URH235" s="23"/>
      <c r="URM235" s="26"/>
      <c r="URQ235" s="23"/>
      <c r="URV235" s="26"/>
      <c r="URZ235" s="23"/>
      <c r="USE235" s="26"/>
      <c r="USI235" s="23"/>
      <c r="USN235" s="26"/>
      <c r="USR235" s="23"/>
      <c r="USW235" s="26"/>
      <c r="UTA235" s="23"/>
      <c r="UTF235" s="26"/>
      <c r="UTJ235" s="23"/>
      <c r="UTO235" s="26"/>
      <c r="UTS235" s="23"/>
      <c r="UTX235" s="26"/>
      <c r="UUB235" s="23"/>
      <c r="UUG235" s="26"/>
      <c r="UUK235" s="23"/>
      <c r="UUP235" s="26"/>
      <c r="UUT235" s="23"/>
      <c r="UUY235" s="26"/>
      <c r="UVC235" s="23"/>
      <c r="UVH235" s="26"/>
      <c r="UVL235" s="23"/>
      <c r="UVQ235" s="26"/>
      <c r="UVU235" s="23"/>
      <c r="UVZ235" s="26"/>
      <c r="UWD235" s="23"/>
      <c r="UWI235" s="26"/>
      <c r="UWM235" s="23"/>
      <c r="UWR235" s="26"/>
      <c r="UWV235" s="23"/>
      <c r="UXA235" s="26"/>
      <c r="UXE235" s="23"/>
      <c r="UXJ235" s="26"/>
      <c r="UXN235" s="23"/>
      <c r="UXS235" s="26"/>
      <c r="UXW235" s="23"/>
      <c r="UYB235" s="26"/>
      <c r="UYF235" s="23"/>
      <c r="UYK235" s="26"/>
      <c r="UYO235" s="23"/>
      <c r="UYT235" s="26"/>
      <c r="UYX235" s="23"/>
      <c r="UZC235" s="26"/>
      <c r="UZG235" s="23"/>
      <c r="UZL235" s="26"/>
      <c r="UZP235" s="23"/>
      <c r="UZU235" s="26"/>
      <c r="UZY235" s="23"/>
      <c r="VAD235" s="26"/>
      <c r="VAH235" s="23"/>
      <c r="VAM235" s="26"/>
      <c r="VAQ235" s="23"/>
      <c r="VAV235" s="26"/>
      <c r="VAZ235" s="23"/>
      <c r="VBE235" s="26"/>
      <c r="VBI235" s="23"/>
      <c r="VBN235" s="26"/>
      <c r="VBR235" s="23"/>
      <c r="VBW235" s="26"/>
      <c r="VCA235" s="23"/>
      <c r="VCF235" s="26"/>
      <c r="VCJ235" s="23"/>
      <c r="VCO235" s="26"/>
      <c r="VCS235" s="23"/>
      <c r="VCX235" s="26"/>
      <c r="VDB235" s="23"/>
      <c r="VDG235" s="26"/>
      <c r="VDK235" s="23"/>
      <c r="VDP235" s="26"/>
      <c r="VDT235" s="23"/>
      <c r="VDY235" s="26"/>
      <c r="VEC235" s="23"/>
      <c r="VEH235" s="26"/>
      <c r="VEL235" s="23"/>
      <c r="VEQ235" s="26"/>
      <c r="VEU235" s="23"/>
      <c r="VEZ235" s="26"/>
      <c r="VFD235" s="23"/>
      <c r="VFI235" s="26"/>
      <c r="VFM235" s="23"/>
      <c r="VFR235" s="26"/>
      <c r="VFV235" s="23"/>
      <c r="VGA235" s="26"/>
      <c r="VGE235" s="23"/>
      <c r="VGJ235" s="26"/>
      <c r="VGN235" s="23"/>
      <c r="VGS235" s="26"/>
      <c r="VGW235" s="23"/>
      <c r="VHB235" s="26"/>
      <c r="VHF235" s="23"/>
      <c r="VHK235" s="26"/>
      <c r="VHO235" s="23"/>
      <c r="VHT235" s="26"/>
      <c r="VHX235" s="23"/>
      <c r="VIC235" s="26"/>
      <c r="VIG235" s="23"/>
      <c r="VIL235" s="26"/>
      <c r="VIP235" s="23"/>
      <c r="VIU235" s="26"/>
      <c r="VIY235" s="23"/>
      <c r="VJD235" s="26"/>
      <c r="VJH235" s="23"/>
      <c r="VJM235" s="26"/>
      <c r="VJQ235" s="23"/>
      <c r="VJV235" s="26"/>
      <c r="VJZ235" s="23"/>
      <c r="VKE235" s="26"/>
      <c r="VKI235" s="23"/>
      <c r="VKN235" s="26"/>
      <c r="VKR235" s="23"/>
      <c r="VKW235" s="26"/>
      <c r="VLA235" s="23"/>
      <c r="VLF235" s="26"/>
      <c r="VLJ235" s="23"/>
      <c r="VLO235" s="26"/>
      <c r="VLS235" s="23"/>
      <c r="VLX235" s="26"/>
      <c r="VMB235" s="23"/>
      <c r="VMG235" s="26"/>
      <c r="VMK235" s="23"/>
      <c r="VMP235" s="26"/>
      <c r="VMT235" s="23"/>
      <c r="VMY235" s="26"/>
      <c r="VNC235" s="23"/>
      <c r="VNH235" s="26"/>
      <c r="VNL235" s="23"/>
      <c r="VNQ235" s="26"/>
      <c r="VNU235" s="23"/>
      <c r="VNZ235" s="26"/>
      <c r="VOD235" s="23"/>
      <c r="VOI235" s="26"/>
      <c r="VOM235" s="23"/>
      <c r="VOR235" s="26"/>
      <c r="VOV235" s="23"/>
      <c r="VPA235" s="26"/>
      <c r="VPE235" s="23"/>
      <c r="VPJ235" s="26"/>
      <c r="VPN235" s="23"/>
      <c r="VPS235" s="26"/>
      <c r="VPW235" s="23"/>
      <c r="VQB235" s="26"/>
      <c r="VQF235" s="23"/>
      <c r="VQK235" s="26"/>
      <c r="VQO235" s="23"/>
      <c r="VQT235" s="26"/>
      <c r="VQX235" s="23"/>
      <c r="VRC235" s="26"/>
      <c r="VRG235" s="23"/>
      <c r="VRL235" s="26"/>
      <c r="VRP235" s="23"/>
      <c r="VRU235" s="26"/>
      <c r="VRY235" s="23"/>
      <c r="VSD235" s="26"/>
      <c r="VSH235" s="23"/>
      <c r="VSM235" s="26"/>
      <c r="VSQ235" s="23"/>
      <c r="VSV235" s="26"/>
      <c r="VSZ235" s="23"/>
      <c r="VTE235" s="26"/>
      <c r="VTI235" s="23"/>
      <c r="VTN235" s="26"/>
      <c r="VTR235" s="23"/>
      <c r="VTW235" s="26"/>
      <c r="VUA235" s="23"/>
      <c r="VUF235" s="26"/>
      <c r="VUJ235" s="23"/>
      <c r="VUO235" s="26"/>
      <c r="VUS235" s="23"/>
      <c r="VUX235" s="26"/>
      <c r="VVB235" s="23"/>
      <c r="VVG235" s="26"/>
      <c r="VVK235" s="23"/>
      <c r="VVP235" s="26"/>
      <c r="VVT235" s="23"/>
      <c r="VVY235" s="26"/>
      <c r="VWC235" s="23"/>
      <c r="VWH235" s="26"/>
      <c r="VWL235" s="23"/>
      <c r="VWQ235" s="26"/>
      <c r="VWU235" s="23"/>
      <c r="VWZ235" s="26"/>
      <c r="VXD235" s="23"/>
      <c r="VXI235" s="26"/>
      <c r="VXM235" s="23"/>
      <c r="VXR235" s="26"/>
      <c r="VXV235" s="23"/>
      <c r="VYA235" s="26"/>
      <c r="VYE235" s="23"/>
      <c r="VYJ235" s="26"/>
      <c r="VYN235" s="23"/>
      <c r="VYS235" s="26"/>
      <c r="VYW235" s="23"/>
      <c r="VZB235" s="26"/>
      <c r="VZF235" s="23"/>
      <c r="VZK235" s="26"/>
      <c r="VZO235" s="23"/>
      <c r="VZT235" s="26"/>
      <c r="VZX235" s="23"/>
      <c r="WAC235" s="26"/>
      <c r="WAG235" s="23"/>
      <c r="WAL235" s="26"/>
      <c r="WAP235" s="23"/>
      <c r="WAU235" s="26"/>
      <c r="WAY235" s="23"/>
      <c r="WBD235" s="26"/>
      <c r="WBH235" s="23"/>
      <c r="WBM235" s="26"/>
      <c r="WBQ235" s="23"/>
      <c r="WBV235" s="26"/>
      <c r="WBZ235" s="23"/>
      <c r="WCE235" s="26"/>
      <c r="WCI235" s="23"/>
      <c r="WCN235" s="26"/>
      <c r="WCR235" s="23"/>
      <c r="WCW235" s="26"/>
      <c r="WDA235" s="23"/>
      <c r="WDF235" s="26"/>
      <c r="WDJ235" s="23"/>
      <c r="WDO235" s="26"/>
      <c r="WDS235" s="23"/>
      <c r="WDX235" s="26"/>
      <c r="WEB235" s="23"/>
      <c r="WEG235" s="26"/>
      <c r="WEK235" s="23"/>
      <c r="WEP235" s="26"/>
      <c r="WET235" s="23"/>
      <c r="WEY235" s="26"/>
      <c r="WFC235" s="23"/>
      <c r="WFH235" s="26"/>
      <c r="WFL235" s="23"/>
      <c r="WFQ235" s="26"/>
      <c r="WFU235" s="23"/>
      <c r="WFZ235" s="26"/>
      <c r="WGD235" s="23"/>
      <c r="WGI235" s="26"/>
      <c r="WGM235" s="23"/>
      <c r="WGR235" s="26"/>
      <c r="WGV235" s="23"/>
      <c r="WHA235" s="26"/>
      <c r="WHE235" s="23"/>
      <c r="WHJ235" s="26"/>
      <c r="WHN235" s="23"/>
      <c r="WHS235" s="26"/>
      <c r="WHW235" s="23"/>
      <c r="WIB235" s="26"/>
      <c r="WIF235" s="23"/>
      <c r="WIK235" s="26"/>
      <c r="WIO235" s="23"/>
      <c r="WIT235" s="26"/>
      <c r="WIX235" s="23"/>
      <c r="WJC235" s="26"/>
      <c r="WJG235" s="23"/>
      <c r="WJL235" s="26"/>
      <c r="WJP235" s="23"/>
      <c r="WJU235" s="26"/>
      <c r="WJY235" s="23"/>
      <c r="WKD235" s="26"/>
      <c r="WKH235" s="23"/>
      <c r="WKM235" s="26"/>
      <c r="WKQ235" s="23"/>
      <c r="WKV235" s="26"/>
      <c r="WKZ235" s="23"/>
      <c r="WLE235" s="26"/>
      <c r="WLI235" s="23"/>
      <c r="WLN235" s="26"/>
      <c r="WLR235" s="23"/>
      <c r="WLW235" s="26"/>
      <c r="WMA235" s="23"/>
      <c r="WMF235" s="26"/>
      <c r="WMJ235" s="23"/>
      <c r="WMO235" s="26"/>
      <c r="WMS235" s="23"/>
      <c r="WMX235" s="26"/>
      <c r="WNB235" s="23"/>
      <c r="WNG235" s="26"/>
      <c r="WNK235" s="23"/>
      <c r="WNP235" s="26"/>
      <c r="WNT235" s="23"/>
      <c r="WNY235" s="26"/>
      <c r="WOC235" s="23"/>
      <c r="WOH235" s="26"/>
      <c r="WOL235" s="23"/>
      <c r="WOQ235" s="26"/>
      <c r="WOU235" s="23"/>
      <c r="WOZ235" s="26"/>
      <c r="WPD235" s="23"/>
      <c r="WPI235" s="26"/>
      <c r="WPM235" s="23"/>
      <c r="WPR235" s="26"/>
      <c r="WPV235" s="23"/>
      <c r="WQA235" s="26"/>
      <c r="WQE235" s="23"/>
      <c r="WQJ235" s="26"/>
      <c r="WQN235" s="23"/>
      <c r="WQS235" s="26"/>
      <c r="WQW235" s="23"/>
      <c r="WRB235" s="26"/>
      <c r="WRF235" s="23"/>
      <c r="WRK235" s="26"/>
      <c r="WRO235" s="23"/>
      <c r="WRT235" s="26"/>
      <c r="WRX235" s="23"/>
      <c r="WSC235" s="26"/>
      <c r="WSG235" s="23"/>
      <c r="WSL235" s="26"/>
      <c r="WSP235" s="23"/>
      <c r="WSU235" s="26"/>
      <c r="WSY235" s="23"/>
      <c r="WTD235" s="26"/>
      <c r="WTH235" s="23"/>
      <c r="WTM235" s="26"/>
      <c r="WTQ235" s="23"/>
      <c r="WTV235" s="26"/>
      <c r="WTZ235" s="23"/>
      <c r="WUE235" s="26"/>
      <c r="WUI235" s="23"/>
      <c r="WUN235" s="26"/>
      <c r="WUR235" s="23"/>
      <c r="WUW235" s="26"/>
      <c r="WVA235" s="23"/>
      <c r="WVF235" s="26"/>
      <c r="WVJ235" s="23"/>
      <c r="WVO235" s="26"/>
      <c r="WVS235" s="23"/>
      <c r="WVX235" s="26"/>
      <c r="WWB235" s="23"/>
      <c r="WWG235" s="26"/>
      <c r="WWK235" s="23"/>
      <c r="WWP235" s="26"/>
      <c r="WWT235" s="23"/>
      <c r="WWY235" s="26"/>
      <c r="WXC235" s="23"/>
      <c r="WXH235" s="26"/>
      <c r="WXL235" s="23"/>
      <c r="WXQ235" s="26"/>
      <c r="WXU235" s="23"/>
      <c r="WXZ235" s="26"/>
      <c r="WYD235" s="23"/>
      <c r="WYI235" s="26"/>
      <c r="WYM235" s="23"/>
      <c r="WYR235" s="26"/>
      <c r="WYV235" s="23"/>
      <c r="WZA235" s="26"/>
      <c r="WZE235" s="23"/>
      <c r="WZJ235" s="26"/>
      <c r="WZN235" s="23"/>
      <c r="WZS235" s="26"/>
      <c r="WZW235" s="23"/>
      <c r="XAB235" s="26"/>
      <c r="XAF235" s="23"/>
      <c r="XAK235" s="26"/>
      <c r="XAO235" s="23"/>
      <c r="XAT235" s="26"/>
      <c r="XAX235" s="23"/>
      <c r="XBC235" s="26"/>
      <c r="XBG235" s="23"/>
      <c r="XBL235" s="26"/>
      <c r="XBP235" s="23"/>
      <c r="XBU235" s="26"/>
      <c r="XBY235" s="23"/>
      <c r="XCD235" s="26"/>
      <c r="XCH235" s="23"/>
      <c r="XCM235" s="26"/>
      <c r="XCQ235" s="23"/>
      <c r="XCV235" s="26"/>
      <c r="XCZ235" s="23"/>
      <c r="XDE235" s="26"/>
      <c r="XDI235" s="23"/>
      <c r="XDN235" s="26"/>
      <c r="XDR235" s="23"/>
      <c r="XDW235" s="26"/>
      <c r="XEA235" s="23"/>
      <c r="XEF235" s="26"/>
      <c r="XEJ235" s="23"/>
      <c r="XEO235" s="26"/>
      <c r="XES235" s="23"/>
      <c r="XEX235" s="26"/>
      <c r="XFB235" s="23"/>
    </row>
    <row r="236" spans="2:1024 1028:2045 2050:3071 3076:4093 4097:5119 5123:6140 6145:7166 7171:8192 8197:9214 9218:10240 10244:11261 11266:12287 12292:13309 13313:14335 14339:15356 15361:16382" x14ac:dyDescent="0.3">
      <c r="B236" s="23"/>
      <c r="K236" s="23"/>
      <c r="P236" s="26"/>
      <c r="T236" s="23"/>
      <c r="Y236" s="26"/>
      <c r="AC236" s="23"/>
      <c r="AH236" s="26"/>
      <c r="AL236" s="23"/>
      <c r="AQ236" s="26"/>
      <c r="AU236" s="23"/>
      <c r="AZ236" s="26"/>
      <c r="BD236" s="23"/>
      <c r="BI236" s="26"/>
      <c r="BM236" s="23"/>
      <c r="BR236" s="26"/>
      <c r="BV236" s="23"/>
      <c r="CA236" s="26"/>
      <c r="CE236" s="23"/>
      <c r="CJ236" s="26"/>
      <c r="CN236" s="23"/>
      <c r="CS236" s="26"/>
      <c r="CW236" s="23"/>
      <c r="DB236" s="26"/>
      <c r="DF236" s="23"/>
      <c r="DK236" s="26"/>
      <c r="DO236" s="23"/>
      <c r="DT236" s="26"/>
      <c r="DX236" s="23"/>
      <c r="EC236" s="26"/>
      <c r="EG236" s="23"/>
      <c r="EL236" s="26"/>
      <c r="EP236" s="23"/>
      <c r="EU236" s="26"/>
      <c r="EY236" s="23"/>
      <c r="FD236" s="26"/>
      <c r="FH236" s="23"/>
      <c r="FM236" s="26"/>
      <c r="FQ236" s="23"/>
      <c r="FV236" s="26"/>
      <c r="FZ236" s="23"/>
      <c r="GE236" s="26"/>
      <c r="GI236" s="23"/>
      <c r="GN236" s="26"/>
      <c r="GR236" s="23"/>
      <c r="GW236" s="26"/>
      <c r="HA236" s="23"/>
      <c r="HF236" s="26"/>
      <c r="HJ236" s="23"/>
      <c r="HO236" s="26"/>
      <c r="HS236" s="23"/>
      <c r="HX236" s="26"/>
      <c r="IB236" s="23"/>
      <c r="IG236" s="26"/>
      <c r="IK236" s="23"/>
      <c r="IP236" s="26"/>
      <c r="IT236" s="23"/>
      <c r="IY236" s="26"/>
      <c r="JC236" s="23"/>
      <c r="JH236" s="26"/>
      <c r="JL236" s="23"/>
      <c r="JQ236" s="26"/>
      <c r="JU236" s="23"/>
      <c r="JZ236" s="26"/>
      <c r="KD236" s="23"/>
      <c r="KI236" s="26"/>
      <c r="KM236" s="23"/>
      <c r="KR236" s="26"/>
      <c r="KV236" s="23"/>
      <c r="LA236" s="26"/>
      <c r="LE236" s="23"/>
      <c r="LJ236" s="26"/>
      <c r="LN236" s="23"/>
      <c r="LS236" s="26"/>
      <c r="LW236" s="23"/>
      <c r="MB236" s="26"/>
      <c r="MF236" s="23"/>
      <c r="MK236" s="26"/>
      <c r="MO236" s="23"/>
      <c r="MT236" s="26"/>
      <c r="MX236" s="23"/>
      <c r="NC236" s="26"/>
      <c r="NG236" s="23"/>
      <c r="NL236" s="26"/>
      <c r="NP236" s="23"/>
      <c r="NU236" s="26"/>
      <c r="NY236" s="23"/>
      <c r="OD236" s="26"/>
      <c r="OH236" s="23"/>
      <c r="OM236" s="26"/>
      <c r="OQ236" s="23"/>
      <c r="OV236" s="26"/>
      <c r="OZ236" s="23"/>
      <c r="PE236" s="26"/>
      <c r="PI236" s="23"/>
      <c r="PN236" s="26"/>
      <c r="PR236" s="23"/>
      <c r="PW236" s="26"/>
      <c r="QA236" s="23"/>
      <c r="QF236" s="26"/>
      <c r="QJ236" s="23"/>
      <c r="QO236" s="26"/>
      <c r="QS236" s="23"/>
      <c r="QX236" s="26"/>
      <c r="RB236" s="23"/>
      <c r="RG236" s="26"/>
      <c r="RK236" s="23"/>
      <c r="RP236" s="26"/>
      <c r="RT236" s="23"/>
      <c r="RY236" s="26"/>
      <c r="SC236" s="23"/>
      <c r="SH236" s="26"/>
      <c r="SL236" s="23"/>
      <c r="SQ236" s="26"/>
      <c r="SU236" s="23"/>
      <c r="SZ236" s="26"/>
      <c r="TD236" s="23"/>
      <c r="TI236" s="26"/>
      <c r="TM236" s="23"/>
      <c r="TR236" s="26"/>
      <c r="TV236" s="23"/>
      <c r="UA236" s="26"/>
      <c r="UE236" s="23"/>
      <c r="UJ236" s="26"/>
      <c r="UN236" s="23"/>
      <c r="US236" s="26"/>
      <c r="UW236" s="23"/>
      <c r="VB236" s="26"/>
      <c r="VF236" s="23"/>
      <c r="VK236" s="26"/>
      <c r="VO236" s="23"/>
      <c r="VT236" s="26"/>
      <c r="VX236" s="23"/>
      <c r="WC236" s="26"/>
      <c r="WG236" s="23"/>
      <c r="WL236" s="26"/>
      <c r="WP236" s="23"/>
      <c r="WU236" s="26"/>
      <c r="WY236" s="23"/>
      <c r="XD236" s="26"/>
      <c r="XH236" s="23"/>
      <c r="XM236" s="26"/>
      <c r="XQ236" s="23"/>
      <c r="XV236" s="26"/>
      <c r="XZ236" s="23"/>
      <c r="YE236" s="26"/>
      <c r="YI236" s="23"/>
      <c r="YN236" s="26"/>
      <c r="YR236" s="23"/>
      <c r="YW236" s="26"/>
      <c r="ZA236" s="23"/>
      <c r="ZF236" s="26"/>
      <c r="ZJ236" s="23"/>
      <c r="ZO236" s="26"/>
      <c r="ZS236" s="23"/>
      <c r="ZX236" s="26"/>
      <c r="AAB236" s="23"/>
      <c r="AAG236" s="26"/>
      <c r="AAK236" s="23"/>
      <c r="AAP236" s="26"/>
      <c r="AAT236" s="23"/>
      <c r="AAY236" s="26"/>
      <c r="ABC236" s="23"/>
      <c r="ABH236" s="26"/>
      <c r="ABL236" s="23"/>
      <c r="ABQ236" s="26"/>
      <c r="ABU236" s="23"/>
      <c r="ABZ236" s="26"/>
      <c r="ACD236" s="23"/>
      <c r="ACI236" s="26"/>
      <c r="ACM236" s="23"/>
      <c r="ACR236" s="26"/>
      <c r="ACV236" s="23"/>
      <c r="ADA236" s="26"/>
      <c r="ADE236" s="23"/>
      <c r="ADJ236" s="26"/>
      <c r="ADN236" s="23"/>
      <c r="ADS236" s="26"/>
      <c r="ADW236" s="23"/>
      <c r="AEB236" s="26"/>
      <c r="AEF236" s="23"/>
      <c r="AEK236" s="26"/>
      <c r="AEO236" s="23"/>
      <c r="AET236" s="26"/>
      <c r="AEX236" s="23"/>
      <c r="AFC236" s="26"/>
      <c r="AFG236" s="23"/>
      <c r="AFL236" s="26"/>
      <c r="AFP236" s="23"/>
      <c r="AFU236" s="26"/>
      <c r="AFY236" s="23"/>
      <c r="AGD236" s="26"/>
      <c r="AGH236" s="23"/>
      <c r="AGM236" s="26"/>
      <c r="AGQ236" s="23"/>
      <c r="AGV236" s="26"/>
      <c r="AGZ236" s="23"/>
      <c r="AHE236" s="26"/>
      <c r="AHI236" s="23"/>
      <c r="AHN236" s="26"/>
      <c r="AHR236" s="23"/>
      <c r="AHW236" s="26"/>
      <c r="AIA236" s="23"/>
      <c r="AIF236" s="26"/>
      <c r="AIJ236" s="23"/>
      <c r="AIO236" s="26"/>
      <c r="AIS236" s="23"/>
      <c r="AIX236" s="26"/>
      <c r="AJB236" s="23"/>
      <c r="AJG236" s="26"/>
      <c r="AJK236" s="23"/>
      <c r="AJP236" s="26"/>
      <c r="AJT236" s="23"/>
      <c r="AJY236" s="26"/>
      <c r="AKC236" s="23"/>
      <c r="AKH236" s="26"/>
      <c r="AKL236" s="23"/>
      <c r="AKQ236" s="26"/>
      <c r="AKU236" s="23"/>
      <c r="AKZ236" s="26"/>
      <c r="ALD236" s="23"/>
      <c r="ALI236" s="26"/>
      <c r="ALM236" s="23"/>
      <c r="ALR236" s="26"/>
      <c r="ALV236" s="23"/>
      <c r="AMA236" s="26"/>
      <c r="AME236" s="23"/>
      <c r="AMJ236" s="26"/>
      <c r="AMN236" s="23"/>
      <c r="AMS236" s="26"/>
      <c r="AMW236" s="23"/>
      <c r="ANB236" s="26"/>
      <c r="ANF236" s="23"/>
      <c r="ANK236" s="26"/>
      <c r="ANO236" s="23"/>
      <c r="ANT236" s="26"/>
      <c r="ANX236" s="23"/>
      <c r="AOC236" s="26"/>
      <c r="AOG236" s="23"/>
      <c r="AOL236" s="26"/>
      <c r="AOP236" s="23"/>
      <c r="AOU236" s="26"/>
      <c r="AOY236" s="23"/>
      <c r="APD236" s="26"/>
      <c r="APH236" s="23"/>
      <c r="APM236" s="26"/>
      <c r="APQ236" s="23"/>
      <c r="APV236" s="26"/>
      <c r="APZ236" s="23"/>
      <c r="AQE236" s="26"/>
      <c r="AQI236" s="23"/>
      <c r="AQN236" s="26"/>
      <c r="AQR236" s="23"/>
      <c r="AQW236" s="26"/>
      <c r="ARA236" s="23"/>
      <c r="ARF236" s="26"/>
      <c r="ARJ236" s="23"/>
      <c r="ARO236" s="26"/>
      <c r="ARS236" s="23"/>
      <c r="ARX236" s="26"/>
      <c r="ASB236" s="23"/>
      <c r="ASG236" s="26"/>
      <c r="ASK236" s="23"/>
      <c r="ASP236" s="26"/>
      <c r="AST236" s="23"/>
      <c r="ASY236" s="26"/>
      <c r="ATC236" s="23"/>
      <c r="ATH236" s="26"/>
      <c r="ATL236" s="23"/>
      <c r="ATQ236" s="26"/>
      <c r="ATU236" s="23"/>
      <c r="ATZ236" s="26"/>
      <c r="AUD236" s="23"/>
      <c r="AUI236" s="26"/>
      <c r="AUM236" s="23"/>
      <c r="AUR236" s="26"/>
      <c r="AUV236" s="23"/>
      <c r="AVA236" s="26"/>
      <c r="AVE236" s="23"/>
      <c r="AVJ236" s="26"/>
      <c r="AVN236" s="23"/>
      <c r="AVS236" s="26"/>
      <c r="AVW236" s="23"/>
      <c r="AWB236" s="26"/>
      <c r="AWF236" s="23"/>
      <c r="AWK236" s="26"/>
      <c r="AWO236" s="23"/>
      <c r="AWT236" s="26"/>
      <c r="AWX236" s="23"/>
      <c r="AXC236" s="26"/>
      <c r="AXG236" s="23"/>
      <c r="AXL236" s="26"/>
      <c r="AXP236" s="23"/>
      <c r="AXU236" s="26"/>
      <c r="AXY236" s="23"/>
      <c r="AYD236" s="26"/>
      <c r="AYH236" s="23"/>
      <c r="AYM236" s="26"/>
      <c r="AYQ236" s="23"/>
      <c r="AYV236" s="26"/>
      <c r="AYZ236" s="23"/>
      <c r="AZE236" s="26"/>
      <c r="AZI236" s="23"/>
      <c r="AZN236" s="26"/>
      <c r="AZR236" s="23"/>
      <c r="AZW236" s="26"/>
      <c r="BAA236" s="23"/>
      <c r="BAF236" s="26"/>
      <c r="BAJ236" s="23"/>
      <c r="BAO236" s="26"/>
      <c r="BAS236" s="23"/>
      <c r="BAX236" s="26"/>
      <c r="BBB236" s="23"/>
      <c r="BBG236" s="26"/>
      <c r="BBK236" s="23"/>
      <c r="BBP236" s="26"/>
      <c r="BBT236" s="23"/>
      <c r="BBY236" s="26"/>
      <c r="BCC236" s="23"/>
      <c r="BCH236" s="26"/>
      <c r="BCL236" s="23"/>
      <c r="BCQ236" s="26"/>
      <c r="BCU236" s="23"/>
      <c r="BCZ236" s="26"/>
      <c r="BDD236" s="23"/>
      <c r="BDI236" s="26"/>
      <c r="BDM236" s="23"/>
      <c r="BDR236" s="26"/>
      <c r="BDV236" s="23"/>
      <c r="BEA236" s="26"/>
      <c r="BEE236" s="23"/>
      <c r="BEJ236" s="26"/>
      <c r="BEN236" s="23"/>
      <c r="BES236" s="26"/>
      <c r="BEW236" s="23"/>
      <c r="BFB236" s="26"/>
      <c r="BFF236" s="23"/>
      <c r="BFK236" s="26"/>
      <c r="BFO236" s="23"/>
      <c r="BFT236" s="26"/>
      <c r="BFX236" s="23"/>
      <c r="BGC236" s="26"/>
      <c r="BGG236" s="23"/>
      <c r="BGL236" s="26"/>
      <c r="BGP236" s="23"/>
      <c r="BGU236" s="26"/>
      <c r="BGY236" s="23"/>
      <c r="BHD236" s="26"/>
      <c r="BHH236" s="23"/>
      <c r="BHM236" s="26"/>
      <c r="BHQ236" s="23"/>
      <c r="BHV236" s="26"/>
      <c r="BHZ236" s="23"/>
      <c r="BIE236" s="26"/>
      <c r="BII236" s="23"/>
      <c r="BIN236" s="26"/>
      <c r="BIR236" s="23"/>
      <c r="BIW236" s="26"/>
      <c r="BJA236" s="23"/>
      <c r="BJF236" s="26"/>
      <c r="BJJ236" s="23"/>
      <c r="BJO236" s="26"/>
      <c r="BJS236" s="23"/>
      <c r="BJX236" s="26"/>
      <c r="BKB236" s="23"/>
      <c r="BKG236" s="26"/>
      <c r="BKK236" s="23"/>
      <c r="BKP236" s="26"/>
      <c r="BKT236" s="23"/>
      <c r="BKY236" s="26"/>
      <c r="BLC236" s="23"/>
      <c r="BLH236" s="26"/>
      <c r="BLL236" s="23"/>
      <c r="BLQ236" s="26"/>
      <c r="BLU236" s="23"/>
      <c r="BLZ236" s="26"/>
      <c r="BMD236" s="23"/>
      <c r="BMI236" s="26"/>
      <c r="BMM236" s="23"/>
      <c r="BMR236" s="26"/>
      <c r="BMV236" s="23"/>
      <c r="BNA236" s="26"/>
      <c r="BNE236" s="23"/>
      <c r="BNJ236" s="26"/>
      <c r="BNN236" s="23"/>
      <c r="BNS236" s="26"/>
      <c r="BNW236" s="23"/>
      <c r="BOB236" s="26"/>
      <c r="BOF236" s="23"/>
      <c r="BOK236" s="26"/>
      <c r="BOO236" s="23"/>
      <c r="BOT236" s="26"/>
      <c r="BOX236" s="23"/>
      <c r="BPC236" s="26"/>
      <c r="BPG236" s="23"/>
      <c r="BPL236" s="26"/>
      <c r="BPP236" s="23"/>
      <c r="BPU236" s="26"/>
      <c r="BPY236" s="23"/>
      <c r="BQD236" s="26"/>
      <c r="BQH236" s="23"/>
      <c r="BQM236" s="26"/>
      <c r="BQQ236" s="23"/>
      <c r="BQV236" s="26"/>
      <c r="BQZ236" s="23"/>
      <c r="BRE236" s="26"/>
      <c r="BRI236" s="23"/>
      <c r="BRN236" s="26"/>
      <c r="BRR236" s="23"/>
      <c r="BRW236" s="26"/>
      <c r="BSA236" s="23"/>
      <c r="BSF236" s="26"/>
      <c r="BSJ236" s="23"/>
      <c r="BSO236" s="26"/>
      <c r="BSS236" s="23"/>
      <c r="BSX236" s="26"/>
      <c r="BTB236" s="23"/>
      <c r="BTG236" s="26"/>
      <c r="BTK236" s="23"/>
      <c r="BTP236" s="26"/>
      <c r="BTT236" s="23"/>
      <c r="BTY236" s="26"/>
      <c r="BUC236" s="23"/>
      <c r="BUH236" s="26"/>
      <c r="BUL236" s="23"/>
      <c r="BUQ236" s="26"/>
      <c r="BUU236" s="23"/>
      <c r="BUZ236" s="26"/>
      <c r="BVD236" s="23"/>
      <c r="BVI236" s="26"/>
      <c r="BVM236" s="23"/>
      <c r="BVR236" s="26"/>
      <c r="BVV236" s="23"/>
      <c r="BWA236" s="26"/>
      <c r="BWE236" s="23"/>
      <c r="BWJ236" s="26"/>
      <c r="BWN236" s="23"/>
      <c r="BWS236" s="26"/>
      <c r="BWW236" s="23"/>
      <c r="BXB236" s="26"/>
      <c r="BXF236" s="23"/>
      <c r="BXK236" s="26"/>
      <c r="BXO236" s="23"/>
      <c r="BXT236" s="26"/>
      <c r="BXX236" s="23"/>
      <c r="BYC236" s="26"/>
      <c r="BYG236" s="23"/>
      <c r="BYL236" s="26"/>
      <c r="BYP236" s="23"/>
      <c r="BYU236" s="26"/>
      <c r="BYY236" s="23"/>
      <c r="BZD236" s="26"/>
      <c r="BZH236" s="23"/>
      <c r="BZM236" s="26"/>
      <c r="BZQ236" s="23"/>
      <c r="BZV236" s="26"/>
      <c r="BZZ236" s="23"/>
      <c r="CAE236" s="26"/>
      <c r="CAI236" s="23"/>
      <c r="CAN236" s="26"/>
      <c r="CAR236" s="23"/>
      <c r="CAW236" s="26"/>
      <c r="CBA236" s="23"/>
      <c r="CBF236" s="26"/>
      <c r="CBJ236" s="23"/>
      <c r="CBO236" s="26"/>
      <c r="CBS236" s="23"/>
      <c r="CBX236" s="26"/>
      <c r="CCB236" s="23"/>
      <c r="CCG236" s="26"/>
      <c r="CCK236" s="23"/>
      <c r="CCP236" s="26"/>
      <c r="CCT236" s="23"/>
      <c r="CCY236" s="26"/>
      <c r="CDC236" s="23"/>
      <c r="CDH236" s="26"/>
      <c r="CDL236" s="23"/>
      <c r="CDQ236" s="26"/>
      <c r="CDU236" s="23"/>
      <c r="CDZ236" s="26"/>
      <c r="CED236" s="23"/>
      <c r="CEI236" s="26"/>
      <c r="CEM236" s="23"/>
      <c r="CER236" s="26"/>
      <c r="CEV236" s="23"/>
      <c r="CFA236" s="26"/>
      <c r="CFE236" s="23"/>
      <c r="CFJ236" s="26"/>
      <c r="CFN236" s="23"/>
      <c r="CFS236" s="26"/>
      <c r="CFW236" s="23"/>
      <c r="CGB236" s="26"/>
      <c r="CGF236" s="23"/>
      <c r="CGK236" s="26"/>
      <c r="CGO236" s="23"/>
      <c r="CGT236" s="26"/>
      <c r="CGX236" s="23"/>
      <c r="CHC236" s="26"/>
      <c r="CHG236" s="23"/>
      <c r="CHL236" s="26"/>
      <c r="CHP236" s="23"/>
      <c r="CHU236" s="26"/>
      <c r="CHY236" s="23"/>
      <c r="CID236" s="26"/>
      <c r="CIH236" s="23"/>
      <c r="CIM236" s="26"/>
      <c r="CIQ236" s="23"/>
      <c r="CIV236" s="26"/>
      <c r="CIZ236" s="23"/>
      <c r="CJE236" s="26"/>
      <c r="CJI236" s="23"/>
      <c r="CJN236" s="26"/>
      <c r="CJR236" s="23"/>
      <c r="CJW236" s="26"/>
      <c r="CKA236" s="23"/>
      <c r="CKF236" s="26"/>
      <c r="CKJ236" s="23"/>
      <c r="CKO236" s="26"/>
      <c r="CKS236" s="23"/>
      <c r="CKX236" s="26"/>
      <c r="CLB236" s="23"/>
      <c r="CLG236" s="26"/>
      <c r="CLK236" s="23"/>
      <c r="CLP236" s="26"/>
      <c r="CLT236" s="23"/>
      <c r="CLY236" s="26"/>
      <c r="CMC236" s="23"/>
      <c r="CMH236" s="26"/>
      <c r="CML236" s="23"/>
      <c r="CMQ236" s="26"/>
      <c r="CMU236" s="23"/>
      <c r="CMZ236" s="26"/>
      <c r="CND236" s="23"/>
      <c r="CNI236" s="26"/>
      <c r="CNM236" s="23"/>
      <c r="CNR236" s="26"/>
      <c r="CNV236" s="23"/>
      <c r="COA236" s="26"/>
      <c r="COE236" s="23"/>
      <c r="COJ236" s="26"/>
      <c r="CON236" s="23"/>
      <c r="COS236" s="26"/>
      <c r="COW236" s="23"/>
      <c r="CPB236" s="26"/>
      <c r="CPF236" s="23"/>
      <c r="CPK236" s="26"/>
      <c r="CPO236" s="23"/>
      <c r="CPT236" s="26"/>
      <c r="CPX236" s="23"/>
      <c r="CQC236" s="26"/>
      <c r="CQG236" s="23"/>
      <c r="CQL236" s="26"/>
      <c r="CQP236" s="23"/>
      <c r="CQU236" s="26"/>
      <c r="CQY236" s="23"/>
      <c r="CRD236" s="26"/>
      <c r="CRH236" s="23"/>
      <c r="CRM236" s="26"/>
      <c r="CRQ236" s="23"/>
      <c r="CRV236" s="26"/>
      <c r="CRZ236" s="23"/>
      <c r="CSE236" s="26"/>
      <c r="CSI236" s="23"/>
      <c r="CSN236" s="26"/>
      <c r="CSR236" s="23"/>
      <c r="CSW236" s="26"/>
      <c r="CTA236" s="23"/>
      <c r="CTF236" s="26"/>
      <c r="CTJ236" s="23"/>
      <c r="CTO236" s="26"/>
      <c r="CTS236" s="23"/>
      <c r="CTX236" s="26"/>
      <c r="CUB236" s="23"/>
      <c r="CUG236" s="26"/>
      <c r="CUK236" s="23"/>
      <c r="CUP236" s="26"/>
      <c r="CUT236" s="23"/>
      <c r="CUY236" s="26"/>
      <c r="CVC236" s="23"/>
      <c r="CVH236" s="26"/>
      <c r="CVL236" s="23"/>
      <c r="CVQ236" s="26"/>
      <c r="CVU236" s="23"/>
      <c r="CVZ236" s="26"/>
      <c r="CWD236" s="23"/>
      <c r="CWI236" s="26"/>
      <c r="CWM236" s="23"/>
      <c r="CWR236" s="26"/>
      <c r="CWV236" s="23"/>
      <c r="CXA236" s="26"/>
      <c r="CXE236" s="23"/>
      <c r="CXJ236" s="26"/>
      <c r="CXN236" s="23"/>
      <c r="CXS236" s="26"/>
      <c r="CXW236" s="23"/>
      <c r="CYB236" s="26"/>
      <c r="CYF236" s="23"/>
      <c r="CYK236" s="26"/>
      <c r="CYO236" s="23"/>
      <c r="CYT236" s="26"/>
      <c r="CYX236" s="23"/>
      <c r="CZC236" s="26"/>
      <c r="CZG236" s="23"/>
      <c r="CZL236" s="26"/>
      <c r="CZP236" s="23"/>
      <c r="CZU236" s="26"/>
      <c r="CZY236" s="23"/>
      <c r="DAD236" s="26"/>
      <c r="DAH236" s="23"/>
      <c r="DAM236" s="26"/>
      <c r="DAQ236" s="23"/>
      <c r="DAV236" s="26"/>
      <c r="DAZ236" s="23"/>
      <c r="DBE236" s="26"/>
      <c r="DBI236" s="23"/>
      <c r="DBN236" s="26"/>
      <c r="DBR236" s="23"/>
      <c r="DBW236" s="26"/>
      <c r="DCA236" s="23"/>
      <c r="DCF236" s="26"/>
      <c r="DCJ236" s="23"/>
      <c r="DCO236" s="26"/>
      <c r="DCS236" s="23"/>
      <c r="DCX236" s="26"/>
      <c r="DDB236" s="23"/>
      <c r="DDG236" s="26"/>
      <c r="DDK236" s="23"/>
      <c r="DDP236" s="26"/>
      <c r="DDT236" s="23"/>
      <c r="DDY236" s="26"/>
      <c r="DEC236" s="23"/>
      <c r="DEH236" s="26"/>
      <c r="DEL236" s="23"/>
      <c r="DEQ236" s="26"/>
      <c r="DEU236" s="23"/>
      <c r="DEZ236" s="26"/>
      <c r="DFD236" s="23"/>
      <c r="DFI236" s="26"/>
      <c r="DFM236" s="23"/>
      <c r="DFR236" s="26"/>
      <c r="DFV236" s="23"/>
      <c r="DGA236" s="26"/>
      <c r="DGE236" s="23"/>
      <c r="DGJ236" s="26"/>
      <c r="DGN236" s="23"/>
      <c r="DGS236" s="26"/>
      <c r="DGW236" s="23"/>
      <c r="DHB236" s="26"/>
      <c r="DHF236" s="23"/>
      <c r="DHK236" s="26"/>
      <c r="DHO236" s="23"/>
      <c r="DHT236" s="26"/>
      <c r="DHX236" s="23"/>
      <c r="DIC236" s="26"/>
      <c r="DIG236" s="23"/>
      <c r="DIL236" s="26"/>
      <c r="DIP236" s="23"/>
      <c r="DIU236" s="26"/>
      <c r="DIY236" s="23"/>
      <c r="DJD236" s="26"/>
      <c r="DJH236" s="23"/>
      <c r="DJM236" s="26"/>
      <c r="DJQ236" s="23"/>
      <c r="DJV236" s="26"/>
      <c r="DJZ236" s="23"/>
      <c r="DKE236" s="26"/>
      <c r="DKI236" s="23"/>
      <c r="DKN236" s="26"/>
      <c r="DKR236" s="23"/>
      <c r="DKW236" s="26"/>
      <c r="DLA236" s="23"/>
      <c r="DLF236" s="26"/>
      <c r="DLJ236" s="23"/>
      <c r="DLO236" s="26"/>
      <c r="DLS236" s="23"/>
      <c r="DLX236" s="26"/>
      <c r="DMB236" s="23"/>
      <c r="DMG236" s="26"/>
      <c r="DMK236" s="23"/>
      <c r="DMP236" s="26"/>
      <c r="DMT236" s="23"/>
      <c r="DMY236" s="26"/>
      <c r="DNC236" s="23"/>
      <c r="DNH236" s="26"/>
      <c r="DNL236" s="23"/>
      <c r="DNQ236" s="26"/>
      <c r="DNU236" s="23"/>
      <c r="DNZ236" s="26"/>
      <c r="DOD236" s="23"/>
      <c r="DOI236" s="26"/>
      <c r="DOM236" s="23"/>
      <c r="DOR236" s="26"/>
      <c r="DOV236" s="23"/>
      <c r="DPA236" s="26"/>
      <c r="DPE236" s="23"/>
      <c r="DPJ236" s="26"/>
      <c r="DPN236" s="23"/>
      <c r="DPS236" s="26"/>
      <c r="DPW236" s="23"/>
      <c r="DQB236" s="26"/>
      <c r="DQF236" s="23"/>
      <c r="DQK236" s="26"/>
      <c r="DQO236" s="23"/>
      <c r="DQT236" s="26"/>
      <c r="DQX236" s="23"/>
      <c r="DRC236" s="26"/>
      <c r="DRG236" s="23"/>
      <c r="DRL236" s="26"/>
      <c r="DRP236" s="23"/>
      <c r="DRU236" s="26"/>
      <c r="DRY236" s="23"/>
      <c r="DSD236" s="26"/>
      <c r="DSH236" s="23"/>
      <c r="DSM236" s="26"/>
      <c r="DSQ236" s="23"/>
      <c r="DSV236" s="26"/>
      <c r="DSZ236" s="23"/>
      <c r="DTE236" s="26"/>
      <c r="DTI236" s="23"/>
      <c r="DTN236" s="26"/>
      <c r="DTR236" s="23"/>
      <c r="DTW236" s="26"/>
      <c r="DUA236" s="23"/>
      <c r="DUF236" s="26"/>
      <c r="DUJ236" s="23"/>
      <c r="DUO236" s="26"/>
      <c r="DUS236" s="23"/>
      <c r="DUX236" s="26"/>
      <c r="DVB236" s="23"/>
      <c r="DVG236" s="26"/>
      <c r="DVK236" s="23"/>
      <c r="DVP236" s="26"/>
      <c r="DVT236" s="23"/>
      <c r="DVY236" s="26"/>
      <c r="DWC236" s="23"/>
      <c r="DWH236" s="26"/>
      <c r="DWL236" s="23"/>
      <c r="DWQ236" s="26"/>
      <c r="DWU236" s="23"/>
      <c r="DWZ236" s="26"/>
      <c r="DXD236" s="23"/>
      <c r="DXI236" s="26"/>
      <c r="DXM236" s="23"/>
      <c r="DXR236" s="26"/>
      <c r="DXV236" s="23"/>
      <c r="DYA236" s="26"/>
      <c r="DYE236" s="23"/>
      <c r="DYJ236" s="26"/>
      <c r="DYN236" s="23"/>
      <c r="DYS236" s="26"/>
      <c r="DYW236" s="23"/>
      <c r="DZB236" s="26"/>
      <c r="DZF236" s="23"/>
      <c r="DZK236" s="26"/>
      <c r="DZO236" s="23"/>
      <c r="DZT236" s="26"/>
      <c r="DZX236" s="23"/>
      <c r="EAC236" s="26"/>
      <c r="EAG236" s="23"/>
      <c r="EAL236" s="26"/>
      <c r="EAP236" s="23"/>
      <c r="EAU236" s="26"/>
      <c r="EAY236" s="23"/>
      <c r="EBD236" s="26"/>
      <c r="EBH236" s="23"/>
      <c r="EBM236" s="26"/>
      <c r="EBQ236" s="23"/>
      <c r="EBV236" s="26"/>
      <c r="EBZ236" s="23"/>
      <c r="ECE236" s="26"/>
      <c r="ECI236" s="23"/>
      <c r="ECN236" s="26"/>
      <c r="ECR236" s="23"/>
      <c r="ECW236" s="26"/>
      <c r="EDA236" s="23"/>
      <c r="EDF236" s="26"/>
      <c r="EDJ236" s="23"/>
      <c r="EDO236" s="26"/>
      <c r="EDS236" s="23"/>
      <c r="EDX236" s="26"/>
      <c r="EEB236" s="23"/>
      <c r="EEG236" s="26"/>
      <c r="EEK236" s="23"/>
      <c r="EEP236" s="26"/>
      <c r="EET236" s="23"/>
      <c r="EEY236" s="26"/>
      <c r="EFC236" s="23"/>
      <c r="EFH236" s="26"/>
      <c r="EFL236" s="23"/>
      <c r="EFQ236" s="26"/>
      <c r="EFU236" s="23"/>
      <c r="EFZ236" s="26"/>
      <c r="EGD236" s="23"/>
      <c r="EGI236" s="26"/>
      <c r="EGM236" s="23"/>
      <c r="EGR236" s="26"/>
      <c r="EGV236" s="23"/>
      <c r="EHA236" s="26"/>
      <c r="EHE236" s="23"/>
      <c r="EHJ236" s="26"/>
      <c r="EHN236" s="23"/>
      <c r="EHS236" s="26"/>
      <c r="EHW236" s="23"/>
      <c r="EIB236" s="26"/>
      <c r="EIF236" s="23"/>
      <c r="EIK236" s="26"/>
      <c r="EIO236" s="23"/>
      <c r="EIT236" s="26"/>
      <c r="EIX236" s="23"/>
      <c r="EJC236" s="26"/>
      <c r="EJG236" s="23"/>
      <c r="EJL236" s="26"/>
      <c r="EJP236" s="23"/>
      <c r="EJU236" s="26"/>
      <c r="EJY236" s="23"/>
      <c r="EKD236" s="26"/>
      <c r="EKH236" s="23"/>
      <c r="EKM236" s="26"/>
      <c r="EKQ236" s="23"/>
      <c r="EKV236" s="26"/>
      <c r="EKZ236" s="23"/>
      <c r="ELE236" s="26"/>
      <c r="ELI236" s="23"/>
      <c r="ELN236" s="26"/>
      <c r="ELR236" s="23"/>
      <c r="ELW236" s="26"/>
      <c r="EMA236" s="23"/>
      <c r="EMF236" s="26"/>
      <c r="EMJ236" s="23"/>
      <c r="EMO236" s="26"/>
      <c r="EMS236" s="23"/>
      <c r="EMX236" s="26"/>
      <c r="ENB236" s="23"/>
      <c r="ENG236" s="26"/>
      <c r="ENK236" s="23"/>
      <c r="ENP236" s="26"/>
      <c r="ENT236" s="23"/>
      <c r="ENY236" s="26"/>
      <c r="EOC236" s="23"/>
      <c r="EOH236" s="26"/>
      <c r="EOL236" s="23"/>
      <c r="EOQ236" s="26"/>
      <c r="EOU236" s="23"/>
      <c r="EOZ236" s="26"/>
      <c r="EPD236" s="23"/>
      <c r="EPI236" s="26"/>
      <c r="EPM236" s="23"/>
      <c r="EPR236" s="26"/>
      <c r="EPV236" s="23"/>
      <c r="EQA236" s="26"/>
      <c r="EQE236" s="23"/>
      <c r="EQJ236" s="26"/>
      <c r="EQN236" s="23"/>
      <c r="EQS236" s="26"/>
      <c r="EQW236" s="23"/>
      <c r="ERB236" s="26"/>
      <c r="ERF236" s="23"/>
      <c r="ERK236" s="26"/>
      <c r="ERO236" s="23"/>
      <c r="ERT236" s="26"/>
      <c r="ERX236" s="23"/>
      <c r="ESC236" s="26"/>
      <c r="ESG236" s="23"/>
      <c r="ESL236" s="26"/>
      <c r="ESP236" s="23"/>
      <c r="ESU236" s="26"/>
      <c r="ESY236" s="23"/>
      <c r="ETD236" s="26"/>
      <c r="ETH236" s="23"/>
      <c r="ETM236" s="26"/>
      <c r="ETQ236" s="23"/>
      <c r="ETV236" s="26"/>
      <c r="ETZ236" s="23"/>
      <c r="EUE236" s="26"/>
      <c r="EUI236" s="23"/>
      <c r="EUN236" s="26"/>
      <c r="EUR236" s="23"/>
      <c r="EUW236" s="26"/>
      <c r="EVA236" s="23"/>
      <c r="EVF236" s="26"/>
      <c r="EVJ236" s="23"/>
      <c r="EVO236" s="26"/>
      <c r="EVS236" s="23"/>
      <c r="EVX236" s="26"/>
      <c r="EWB236" s="23"/>
      <c r="EWG236" s="26"/>
      <c r="EWK236" s="23"/>
      <c r="EWP236" s="26"/>
      <c r="EWT236" s="23"/>
      <c r="EWY236" s="26"/>
      <c r="EXC236" s="23"/>
      <c r="EXH236" s="26"/>
      <c r="EXL236" s="23"/>
      <c r="EXQ236" s="26"/>
      <c r="EXU236" s="23"/>
      <c r="EXZ236" s="26"/>
      <c r="EYD236" s="23"/>
      <c r="EYI236" s="26"/>
      <c r="EYM236" s="23"/>
      <c r="EYR236" s="26"/>
      <c r="EYV236" s="23"/>
      <c r="EZA236" s="26"/>
      <c r="EZE236" s="23"/>
      <c r="EZJ236" s="26"/>
      <c r="EZN236" s="23"/>
      <c r="EZS236" s="26"/>
      <c r="EZW236" s="23"/>
      <c r="FAB236" s="26"/>
      <c r="FAF236" s="23"/>
      <c r="FAK236" s="26"/>
      <c r="FAO236" s="23"/>
      <c r="FAT236" s="26"/>
      <c r="FAX236" s="23"/>
      <c r="FBC236" s="26"/>
      <c r="FBG236" s="23"/>
      <c r="FBL236" s="26"/>
      <c r="FBP236" s="23"/>
      <c r="FBU236" s="26"/>
      <c r="FBY236" s="23"/>
      <c r="FCD236" s="26"/>
      <c r="FCH236" s="23"/>
      <c r="FCM236" s="26"/>
      <c r="FCQ236" s="23"/>
      <c r="FCV236" s="26"/>
      <c r="FCZ236" s="23"/>
      <c r="FDE236" s="26"/>
      <c r="FDI236" s="23"/>
      <c r="FDN236" s="26"/>
      <c r="FDR236" s="23"/>
      <c r="FDW236" s="26"/>
      <c r="FEA236" s="23"/>
      <c r="FEF236" s="26"/>
      <c r="FEJ236" s="23"/>
      <c r="FEO236" s="26"/>
      <c r="FES236" s="23"/>
      <c r="FEX236" s="26"/>
      <c r="FFB236" s="23"/>
      <c r="FFG236" s="26"/>
      <c r="FFK236" s="23"/>
      <c r="FFP236" s="26"/>
      <c r="FFT236" s="23"/>
      <c r="FFY236" s="26"/>
      <c r="FGC236" s="23"/>
      <c r="FGH236" s="26"/>
      <c r="FGL236" s="23"/>
      <c r="FGQ236" s="26"/>
      <c r="FGU236" s="23"/>
      <c r="FGZ236" s="26"/>
      <c r="FHD236" s="23"/>
      <c r="FHI236" s="26"/>
      <c r="FHM236" s="23"/>
      <c r="FHR236" s="26"/>
      <c r="FHV236" s="23"/>
      <c r="FIA236" s="26"/>
      <c r="FIE236" s="23"/>
      <c r="FIJ236" s="26"/>
      <c r="FIN236" s="23"/>
      <c r="FIS236" s="26"/>
      <c r="FIW236" s="23"/>
      <c r="FJB236" s="26"/>
      <c r="FJF236" s="23"/>
      <c r="FJK236" s="26"/>
      <c r="FJO236" s="23"/>
      <c r="FJT236" s="26"/>
      <c r="FJX236" s="23"/>
      <c r="FKC236" s="26"/>
      <c r="FKG236" s="23"/>
      <c r="FKL236" s="26"/>
      <c r="FKP236" s="23"/>
      <c r="FKU236" s="26"/>
      <c r="FKY236" s="23"/>
      <c r="FLD236" s="26"/>
      <c r="FLH236" s="23"/>
      <c r="FLM236" s="26"/>
      <c r="FLQ236" s="23"/>
      <c r="FLV236" s="26"/>
      <c r="FLZ236" s="23"/>
      <c r="FME236" s="26"/>
      <c r="FMI236" s="23"/>
      <c r="FMN236" s="26"/>
      <c r="FMR236" s="23"/>
      <c r="FMW236" s="26"/>
      <c r="FNA236" s="23"/>
      <c r="FNF236" s="26"/>
      <c r="FNJ236" s="23"/>
      <c r="FNO236" s="26"/>
      <c r="FNS236" s="23"/>
      <c r="FNX236" s="26"/>
      <c r="FOB236" s="23"/>
      <c r="FOG236" s="26"/>
      <c r="FOK236" s="23"/>
      <c r="FOP236" s="26"/>
      <c r="FOT236" s="23"/>
      <c r="FOY236" s="26"/>
      <c r="FPC236" s="23"/>
      <c r="FPH236" s="26"/>
      <c r="FPL236" s="23"/>
      <c r="FPQ236" s="26"/>
      <c r="FPU236" s="23"/>
      <c r="FPZ236" s="26"/>
      <c r="FQD236" s="23"/>
      <c r="FQI236" s="26"/>
      <c r="FQM236" s="23"/>
      <c r="FQR236" s="26"/>
      <c r="FQV236" s="23"/>
      <c r="FRA236" s="26"/>
      <c r="FRE236" s="23"/>
      <c r="FRJ236" s="26"/>
      <c r="FRN236" s="23"/>
      <c r="FRS236" s="26"/>
      <c r="FRW236" s="23"/>
      <c r="FSB236" s="26"/>
      <c r="FSF236" s="23"/>
      <c r="FSK236" s="26"/>
      <c r="FSO236" s="23"/>
      <c r="FST236" s="26"/>
      <c r="FSX236" s="23"/>
      <c r="FTC236" s="26"/>
      <c r="FTG236" s="23"/>
      <c r="FTL236" s="26"/>
      <c r="FTP236" s="23"/>
      <c r="FTU236" s="26"/>
      <c r="FTY236" s="23"/>
      <c r="FUD236" s="26"/>
      <c r="FUH236" s="23"/>
      <c r="FUM236" s="26"/>
      <c r="FUQ236" s="23"/>
      <c r="FUV236" s="26"/>
      <c r="FUZ236" s="23"/>
      <c r="FVE236" s="26"/>
      <c r="FVI236" s="23"/>
      <c r="FVN236" s="26"/>
      <c r="FVR236" s="23"/>
      <c r="FVW236" s="26"/>
      <c r="FWA236" s="23"/>
      <c r="FWF236" s="26"/>
      <c r="FWJ236" s="23"/>
      <c r="FWO236" s="26"/>
      <c r="FWS236" s="23"/>
      <c r="FWX236" s="26"/>
      <c r="FXB236" s="23"/>
      <c r="FXG236" s="26"/>
      <c r="FXK236" s="23"/>
      <c r="FXP236" s="26"/>
      <c r="FXT236" s="23"/>
      <c r="FXY236" s="26"/>
      <c r="FYC236" s="23"/>
      <c r="FYH236" s="26"/>
      <c r="FYL236" s="23"/>
      <c r="FYQ236" s="26"/>
      <c r="FYU236" s="23"/>
      <c r="FYZ236" s="26"/>
      <c r="FZD236" s="23"/>
      <c r="FZI236" s="26"/>
      <c r="FZM236" s="23"/>
      <c r="FZR236" s="26"/>
      <c r="FZV236" s="23"/>
      <c r="GAA236" s="26"/>
      <c r="GAE236" s="23"/>
      <c r="GAJ236" s="26"/>
      <c r="GAN236" s="23"/>
      <c r="GAS236" s="26"/>
      <c r="GAW236" s="23"/>
      <c r="GBB236" s="26"/>
      <c r="GBF236" s="23"/>
      <c r="GBK236" s="26"/>
      <c r="GBO236" s="23"/>
      <c r="GBT236" s="26"/>
      <c r="GBX236" s="23"/>
      <c r="GCC236" s="26"/>
      <c r="GCG236" s="23"/>
      <c r="GCL236" s="26"/>
      <c r="GCP236" s="23"/>
      <c r="GCU236" s="26"/>
      <c r="GCY236" s="23"/>
      <c r="GDD236" s="26"/>
      <c r="GDH236" s="23"/>
      <c r="GDM236" s="26"/>
      <c r="GDQ236" s="23"/>
      <c r="GDV236" s="26"/>
      <c r="GDZ236" s="23"/>
      <c r="GEE236" s="26"/>
      <c r="GEI236" s="23"/>
      <c r="GEN236" s="26"/>
      <c r="GER236" s="23"/>
      <c r="GEW236" s="26"/>
      <c r="GFA236" s="23"/>
      <c r="GFF236" s="26"/>
      <c r="GFJ236" s="23"/>
      <c r="GFO236" s="26"/>
      <c r="GFS236" s="23"/>
      <c r="GFX236" s="26"/>
      <c r="GGB236" s="23"/>
      <c r="GGG236" s="26"/>
      <c r="GGK236" s="23"/>
      <c r="GGP236" s="26"/>
      <c r="GGT236" s="23"/>
      <c r="GGY236" s="26"/>
      <c r="GHC236" s="23"/>
      <c r="GHH236" s="26"/>
      <c r="GHL236" s="23"/>
      <c r="GHQ236" s="26"/>
      <c r="GHU236" s="23"/>
      <c r="GHZ236" s="26"/>
      <c r="GID236" s="23"/>
      <c r="GII236" s="26"/>
      <c r="GIM236" s="23"/>
      <c r="GIR236" s="26"/>
      <c r="GIV236" s="23"/>
      <c r="GJA236" s="26"/>
      <c r="GJE236" s="23"/>
      <c r="GJJ236" s="26"/>
      <c r="GJN236" s="23"/>
      <c r="GJS236" s="26"/>
      <c r="GJW236" s="23"/>
      <c r="GKB236" s="26"/>
      <c r="GKF236" s="23"/>
      <c r="GKK236" s="26"/>
      <c r="GKO236" s="23"/>
      <c r="GKT236" s="26"/>
      <c r="GKX236" s="23"/>
      <c r="GLC236" s="26"/>
      <c r="GLG236" s="23"/>
      <c r="GLL236" s="26"/>
      <c r="GLP236" s="23"/>
      <c r="GLU236" s="26"/>
      <c r="GLY236" s="23"/>
      <c r="GMD236" s="26"/>
      <c r="GMH236" s="23"/>
      <c r="GMM236" s="26"/>
      <c r="GMQ236" s="23"/>
      <c r="GMV236" s="26"/>
      <c r="GMZ236" s="23"/>
      <c r="GNE236" s="26"/>
      <c r="GNI236" s="23"/>
      <c r="GNN236" s="26"/>
      <c r="GNR236" s="23"/>
      <c r="GNW236" s="26"/>
      <c r="GOA236" s="23"/>
      <c r="GOF236" s="26"/>
      <c r="GOJ236" s="23"/>
      <c r="GOO236" s="26"/>
      <c r="GOS236" s="23"/>
      <c r="GOX236" s="26"/>
      <c r="GPB236" s="23"/>
      <c r="GPG236" s="26"/>
      <c r="GPK236" s="23"/>
      <c r="GPP236" s="26"/>
      <c r="GPT236" s="23"/>
      <c r="GPY236" s="26"/>
      <c r="GQC236" s="23"/>
      <c r="GQH236" s="26"/>
      <c r="GQL236" s="23"/>
      <c r="GQQ236" s="26"/>
      <c r="GQU236" s="23"/>
      <c r="GQZ236" s="26"/>
      <c r="GRD236" s="23"/>
      <c r="GRI236" s="26"/>
      <c r="GRM236" s="23"/>
      <c r="GRR236" s="26"/>
      <c r="GRV236" s="23"/>
      <c r="GSA236" s="26"/>
      <c r="GSE236" s="23"/>
      <c r="GSJ236" s="26"/>
      <c r="GSN236" s="23"/>
      <c r="GSS236" s="26"/>
      <c r="GSW236" s="23"/>
      <c r="GTB236" s="26"/>
      <c r="GTF236" s="23"/>
      <c r="GTK236" s="26"/>
      <c r="GTO236" s="23"/>
      <c r="GTT236" s="26"/>
      <c r="GTX236" s="23"/>
      <c r="GUC236" s="26"/>
      <c r="GUG236" s="23"/>
      <c r="GUL236" s="26"/>
      <c r="GUP236" s="23"/>
      <c r="GUU236" s="26"/>
      <c r="GUY236" s="23"/>
      <c r="GVD236" s="26"/>
      <c r="GVH236" s="23"/>
      <c r="GVM236" s="26"/>
      <c r="GVQ236" s="23"/>
      <c r="GVV236" s="26"/>
      <c r="GVZ236" s="23"/>
      <c r="GWE236" s="26"/>
      <c r="GWI236" s="23"/>
      <c r="GWN236" s="26"/>
      <c r="GWR236" s="23"/>
      <c r="GWW236" s="26"/>
      <c r="GXA236" s="23"/>
      <c r="GXF236" s="26"/>
      <c r="GXJ236" s="23"/>
      <c r="GXO236" s="26"/>
      <c r="GXS236" s="23"/>
      <c r="GXX236" s="26"/>
      <c r="GYB236" s="23"/>
      <c r="GYG236" s="26"/>
      <c r="GYK236" s="23"/>
      <c r="GYP236" s="26"/>
      <c r="GYT236" s="23"/>
      <c r="GYY236" s="26"/>
      <c r="GZC236" s="23"/>
      <c r="GZH236" s="26"/>
      <c r="GZL236" s="23"/>
      <c r="GZQ236" s="26"/>
      <c r="GZU236" s="23"/>
      <c r="GZZ236" s="26"/>
      <c r="HAD236" s="23"/>
      <c r="HAI236" s="26"/>
      <c r="HAM236" s="23"/>
      <c r="HAR236" s="26"/>
      <c r="HAV236" s="23"/>
      <c r="HBA236" s="26"/>
      <c r="HBE236" s="23"/>
      <c r="HBJ236" s="26"/>
      <c r="HBN236" s="23"/>
      <c r="HBS236" s="26"/>
      <c r="HBW236" s="23"/>
      <c r="HCB236" s="26"/>
      <c r="HCF236" s="23"/>
      <c r="HCK236" s="26"/>
      <c r="HCO236" s="23"/>
      <c r="HCT236" s="26"/>
      <c r="HCX236" s="23"/>
      <c r="HDC236" s="26"/>
      <c r="HDG236" s="23"/>
      <c r="HDL236" s="26"/>
      <c r="HDP236" s="23"/>
      <c r="HDU236" s="26"/>
      <c r="HDY236" s="23"/>
      <c r="HED236" s="26"/>
      <c r="HEH236" s="23"/>
      <c r="HEM236" s="26"/>
      <c r="HEQ236" s="23"/>
      <c r="HEV236" s="26"/>
      <c r="HEZ236" s="23"/>
      <c r="HFE236" s="26"/>
      <c r="HFI236" s="23"/>
      <c r="HFN236" s="26"/>
      <c r="HFR236" s="23"/>
      <c r="HFW236" s="26"/>
      <c r="HGA236" s="23"/>
      <c r="HGF236" s="26"/>
      <c r="HGJ236" s="23"/>
      <c r="HGO236" s="26"/>
      <c r="HGS236" s="23"/>
      <c r="HGX236" s="26"/>
      <c r="HHB236" s="23"/>
      <c r="HHG236" s="26"/>
      <c r="HHK236" s="23"/>
      <c r="HHP236" s="26"/>
      <c r="HHT236" s="23"/>
      <c r="HHY236" s="26"/>
      <c r="HIC236" s="23"/>
      <c r="HIH236" s="26"/>
      <c r="HIL236" s="23"/>
      <c r="HIQ236" s="26"/>
      <c r="HIU236" s="23"/>
      <c r="HIZ236" s="26"/>
      <c r="HJD236" s="23"/>
      <c r="HJI236" s="26"/>
      <c r="HJM236" s="23"/>
      <c r="HJR236" s="26"/>
      <c r="HJV236" s="23"/>
      <c r="HKA236" s="26"/>
      <c r="HKE236" s="23"/>
      <c r="HKJ236" s="26"/>
      <c r="HKN236" s="23"/>
      <c r="HKS236" s="26"/>
      <c r="HKW236" s="23"/>
      <c r="HLB236" s="26"/>
      <c r="HLF236" s="23"/>
      <c r="HLK236" s="26"/>
      <c r="HLO236" s="23"/>
      <c r="HLT236" s="26"/>
      <c r="HLX236" s="23"/>
      <c r="HMC236" s="26"/>
      <c r="HMG236" s="23"/>
      <c r="HML236" s="26"/>
      <c r="HMP236" s="23"/>
      <c r="HMU236" s="26"/>
      <c r="HMY236" s="23"/>
      <c r="HND236" s="26"/>
      <c r="HNH236" s="23"/>
      <c r="HNM236" s="26"/>
      <c r="HNQ236" s="23"/>
      <c r="HNV236" s="26"/>
      <c r="HNZ236" s="23"/>
      <c r="HOE236" s="26"/>
      <c r="HOI236" s="23"/>
      <c r="HON236" s="26"/>
      <c r="HOR236" s="23"/>
      <c r="HOW236" s="26"/>
      <c r="HPA236" s="23"/>
      <c r="HPF236" s="26"/>
      <c r="HPJ236" s="23"/>
      <c r="HPO236" s="26"/>
      <c r="HPS236" s="23"/>
      <c r="HPX236" s="26"/>
      <c r="HQB236" s="23"/>
      <c r="HQG236" s="26"/>
      <c r="HQK236" s="23"/>
      <c r="HQP236" s="26"/>
      <c r="HQT236" s="23"/>
      <c r="HQY236" s="26"/>
      <c r="HRC236" s="23"/>
      <c r="HRH236" s="26"/>
      <c r="HRL236" s="23"/>
      <c r="HRQ236" s="26"/>
      <c r="HRU236" s="23"/>
      <c r="HRZ236" s="26"/>
      <c r="HSD236" s="23"/>
      <c r="HSI236" s="26"/>
      <c r="HSM236" s="23"/>
      <c r="HSR236" s="26"/>
      <c r="HSV236" s="23"/>
      <c r="HTA236" s="26"/>
      <c r="HTE236" s="23"/>
      <c r="HTJ236" s="26"/>
      <c r="HTN236" s="23"/>
      <c r="HTS236" s="26"/>
      <c r="HTW236" s="23"/>
      <c r="HUB236" s="26"/>
      <c r="HUF236" s="23"/>
      <c r="HUK236" s="26"/>
      <c r="HUO236" s="23"/>
      <c r="HUT236" s="26"/>
      <c r="HUX236" s="23"/>
      <c r="HVC236" s="26"/>
      <c r="HVG236" s="23"/>
      <c r="HVL236" s="26"/>
      <c r="HVP236" s="23"/>
      <c r="HVU236" s="26"/>
      <c r="HVY236" s="23"/>
      <c r="HWD236" s="26"/>
      <c r="HWH236" s="23"/>
      <c r="HWM236" s="26"/>
      <c r="HWQ236" s="23"/>
      <c r="HWV236" s="26"/>
      <c r="HWZ236" s="23"/>
      <c r="HXE236" s="26"/>
      <c r="HXI236" s="23"/>
      <c r="HXN236" s="26"/>
      <c r="HXR236" s="23"/>
      <c r="HXW236" s="26"/>
      <c r="HYA236" s="23"/>
      <c r="HYF236" s="26"/>
      <c r="HYJ236" s="23"/>
      <c r="HYO236" s="26"/>
      <c r="HYS236" s="23"/>
      <c r="HYX236" s="26"/>
      <c r="HZB236" s="23"/>
      <c r="HZG236" s="26"/>
      <c r="HZK236" s="23"/>
      <c r="HZP236" s="26"/>
      <c r="HZT236" s="23"/>
      <c r="HZY236" s="26"/>
      <c r="IAC236" s="23"/>
      <c r="IAH236" s="26"/>
      <c r="IAL236" s="23"/>
      <c r="IAQ236" s="26"/>
      <c r="IAU236" s="23"/>
      <c r="IAZ236" s="26"/>
      <c r="IBD236" s="23"/>
      <c r="IBI236" s="26"/>
      <c r="IBM236" s="23"/>
      <c r="IBR236" s="26"/>
      <c r="IBV236" s="23"/>
      <c r="ICA236" s="26"/>
      <c r="ICE236" s="23"/>
      <c r="ICJ236" s="26"/>
      <c r="ICN236" s="23"/>
      <c r="ICS236" s="26"/>
      <c r="ICW236" s="23"/>
      <c r="IDB236" s="26"/>
      <c r="IDF236" s="23"/>
      <c r="IDK236" s="26"/>
      <c r="IDO236" s="23"/>
      <c r="IDT236" s="26"/>
      <c r="IDX236" s="23"/>
      <c r="IEC236" s="26"/>
      <c r="IEG236" s="23"/>
      <c r="IEL236" s="26"/>
      <c r="IEP236" s="23"/>
      <c r="IEU236" s="26"/>
      <c r="IEY236" s="23"/>
      <c r="IFD236" s="26"/>
      <c r="IFH236" s="23"/>
      <c r="IFM236" s="26"/>
      <c r="IFQ236" s="23"/>
      <c r="IFV236" s="26"/>
      <c r="IFZ236" s="23"/>
      <c r="IGE236" s="26"/>
      <c r="IGI236" s="23"/>
      <c r="IGN236" s="26"/>
      <c r="IGR236" s="23"/>
      <c r="IGW236" s="26"/>
      <c r="IHA236" s="23"/>
      <c r="IHF236" s="26"/>
      <c r="IHJ236" s="23"/>
      <c r="IHO236" s="26"/>
      <c r="IHS236" s="23"/>
      <c r="IHX236" s="26"/>
      <c r="IIB236" s="23"/>
      <c r="IIG236" s="26"/>
      <c r="IIK236" s="23"/>
      <c r="IIP236" s="26"/>
      <c r="IIT236" s="23"/>
      <c r="IIY236" s="26"/>
      <c r="IJC236" s="23"/>
      <c r="IJH236" s="26"/>
      <c r="IJL236" s="23"/>
      <c r="IJQ236" s="26"/>
      <c r="IJU236" s="23"/>
      <c r="IJZ236" s="26"/>
      <c r="IKD236" s="23"/>
      <c r="IKI236" s="26"/>
      <c r="IKM236" s="23"/>
      <c r="IKR236" s="26"/>
      <c r="IKV236" s="23"/>
      <c r="ILA236" s="26"/>
      <c r="ILE236" s="23"/>
      <c r="ILJ236" s="26"/>
      <c r="ILN236" s="23"/>
      <c r="ILS236" s="26"/>
      <c r="ILW236" s="23"/>
      <c r="IMB236" s="26"/>
      <c r="IMF236" s="23"/>
      <c r="IMK236" s="26"/>
      <c r="IMO236" s="23"/>
      <c r="IMT236" s="26"/>
      <c r="IMX236" s="23"/>
      <c r="INC236" s="26"/>
      <c r="ING236" s="23"/>
      <c r="INL236" s="26"/>
      <c r="INP236" s="23"/>
      <c r="INU236" s="26"/>
      <c r="INY236" s="23"/>
      <c r="IOD236" s="26"/>
      <c r="IOH236" s="23"/>
      <c r="IOM236" s="26"/>
      <c r="IOQ236" s="23"/>
      <c r="IOV236" s="26"/>
      <c r="IOZ236" s="23"/>
      <c r="IPE236" s="26"/>
      <c r="IPI236" s="23"/>
      <c r="IPN236" s="26"/>
      <c r="IPR236" s="23"/>
      <c r="IPW236" s="26"/>
      <c r="IQA236" s="23"/>
      <c r="IQF236" s="26"/>
      <c r="IQJ236" s="23"/>
      <c r="IQO236" s="26"/>
      <c r="IQS236" s="23"/>
      <c r="IQX236" s="26"/>
      <c r="IRB236" s="23"/>
      <c r="IRG236" s="26"/>
      <c r="IRK236" s="23"/>
      <c r="IRP236" s="26"/>
      <c r="IRT236" s="23"/>
      <c r="IRY236" s="26"/>
      <c r="ISC236" s="23"/>
      <c r="ISH236" s="26"/>
      <c r="ISL236" s="23"/>
      <c r="ISQ236" s="26"/>
      <c r="ISU236" s="23"/>
      <c r="ISZ236" s="26"/>
      <c r="ITD236" s="23"/>
      <c r="ITI236" s="26"/>
      <c r="ITM236" s="23"/>
      <c r="ITR236" s="26"/>
      <c r="ITV236" s="23"/>
      <c r="IUA236" s="26"/>
      <c r="IUE236" s="23"/>
      <c r="IUJ236" s="26"/>
      <c r="IUN236" s="23"/>
      <c r="IUS236" s="26"/>
      <c r="IUW236" s="23"/>
      <c r="IVB236" s="26"/>
      <c r="IVF236" s="23"/>
      <c r="IVK236" s="26"/>
      <c r="IVO236" s="23"/>
      <c r="IVT236" s="26"/>
      <c r="IVX236" s="23"/>
      <c r="IWC236" s="26"/>
      <c r="IWG236" s="23"/>
      <c r="IWL236" s="26"/>
      <c r="IWP236" s="23"/>
      <c r="IWU236" s="26"/>
      <c r="IWY236" s="23"/>
      <c r="IXD236" s="26"/>
      <c r="IXH236" s="23"/>
      <c r="IXM236" s="26"/>
      <c r="IXQ236" s="23"/>
      <c r="IXV236" s="26"/>
      <c r="IXZ236" s="23"/>
      <c r="IYE236" s="26"/>
      <c r="IYI236" s="23"/>
      <c r="IYN236" s="26"/>
      <c r="IYR236" s="23"/>
      <c r="IYW236" s="26"/>
      <c r="IZA236" s="23"/>
      <c r="IZF236" s="26"/>
      <c r="IZJ236" s="23"/>
      <c r="IZO236" s="26"/>
      <c r="IZS236" s="23"/>
      <c r="IZX236" s="26"/>
      <c r="JAB236" s="23"/>
      <c r="JAG236" s="26"/>
      <c r="JAK236" s="23"/>
      <c r="JAP236" s="26"/>
      <c r="JAT236" s="23"/>
      <c r="JAY236" s="26"/>
      <c r="JBC236" s="23"/>
      <c r="JBH236" s="26"/>
      <c r="JBL236" s="23"/>
      <c r="JBQ236" s="26"/>
      <c r="JBU236" s="23"/>
      <c r="JBZ236" s="26"/>
      <c r="JCD236" s="23"/>
      <c r="JCI236" s="26"/>
      <c r="JCM236" s="23"/>
      <c r="JCR236" s="26"/>
      <c r="JCV236" s="23"/>
      <c r="JDA236" s="26"/>
      <c r="JDE236" s="23"/>
      <c r="JDJ236" s="26"/>
      <c r="JDN236" s="23"/>
      <c r="JDS236" s="26"/>
      <c r="JDW236" s="23"/>
      <c r="JEB236" s="26"/>
      <c r="JEF236" s="23"/>
      <c r="JEK236" s="26"/>
      <c r="JEO236" s="23"/>
      <c r="JET236" s="26"/>
      <c r="JEX236" s="23"/>
      <c r="JFC236" s="26"/>
      <c r="JFG236" s="23"/>
      <c r="JFL236" s="26"/>
      <c r="JFP236" s="23"/>
      <c r="JFU236" s="26"/>
      <c r="JFY236" s="23"/>
      <c r="JGD236" s="26"/>
      <c r="JGH236" s="23"/>
      <c r="JGM236" s="26"/>
      <c r="JGQ236" s="23"/>
      <c r="JGV236" s="26"/>
      <c r="JGZ236" s="23"/>
      <c r="JHE236" s="26"/>
      <c r="JHI236" s="23"/>
      <c r="JHN236" s="26"/>
      <c r="JHR236" s="23"/>
      <c r="JHW236" s="26"/>
      <c r="JIA236" s="23"/>
      <c r="JIF236" s="26"/>
      <c r="JIJ236" s="23"/>
      <c r="JIO236" s="26"/>
      <c r="JIS236" s="23"/>
      <c r="JIX236" s="26"/>
      <c r="JJB236" s="23"/>
      <c r="JJG236" s="26"/>
      <c r="JJK236" s="23"/>
      <c r="JJP236" s="26"/>
      <c r="JJT236" s="23"/>
      <c r="JJY236" s="26"/>
      <c r="JKC236" s="23"/>
      <c r="JKH236" s="26"/>
      <c r="JKL236" s="23"/>
      <c r="JKQ236" s="26"/>
      <c r="JKU236" s="23"/>
      <c r="JKZ236" s="26"/>
      <c r="JLD236" s="23"/>
      <c r="JLI236" s="26"/>
      <c r="JLM236" s="23"/>
      <c r="JLR236" s="26"/>
      <c r="JLV236" s="23"/>
      <c r="JMA236" s="26"/>
      <c r="JME236" s="23"/>
      <c r="JMJ236" s="26"/>
      <c r="JMN236" s="23"/>
      <c r="JMS236" s="26"/>
      <c r="JMW236" s="23"/>
      <c r="JNB236" s="26"/>
      <c r="JNF236" s="23"/>
      <c r="JNK236" s="26"/>
      <c r="JNO236" s="23"/>
      <c r="JNT236" s="26"/>
      <c r="JNX236" s="23"/>
      <c r="JOC236" s="26"/>
      <c r="JOG236" s="23"/>
      <c r="JOL236" s="26"/>
      <c r="JOP236" s="23"/>
      <c r="JOU236" s="26"/>
      <c r="JOY236" s="23"/>
      <c r="JPD236" s="26"/>
      <c r="JPH236" s="23"/>
      <c r="JPM236" s="26"/>
      <c r="JPQ236" s="23"/>
      <c r="JPV236" s="26"/>
      <c r="JPZ236" s="23"/>
      <c r="JQE236" s="26"/>
      <c r="JQI236" s="23"/>
      <c r="JQN236" s="26"/>
      <c r="JQR236" s="23"/>
      <c r="JQW236" s="26"/>
      <c r="JRA236" s="23"/>
      <c r="JRF236" s="26"/>
      <c r="JRJ236" s="23"/>
      <c r="JRO236" s="26"/>
      <c r="JRS236" s="23"/>
      <c r="JRX236" s="26"/>
      <c r="JSB236" s="23"/>
      <c r="JSG236" s="26"/>
      <c r="JSK236" s="23"/>
      <c r="JSP236" s="26"/>
      <c r="JST236" s="23"/>
      <c r="JSY236" s="26"/>
      <c r="JTC236" s="23"/>
      <c r="JTH236" s="26"/>
      <c r="JTL236" s="23"/>
      <c r="JTQ236" s="26"/>
      <c r="JTU236" s="23"/>
      <c r="JTZ236" s="26"/>
      <c r="JUD236" s="23"/>
      <c r="JUI236" s="26"/>
      <c r="JUM236" s="23"/>
      <c r="JUR236" s="26"/>
      <c r="JUV236" s="23"/>
      <c r="JVA236" s="26"/>
      <c r="JVE236" s="23"/>
      <c r="JVJ236" s="26"/>
      <c r="JVN236" s="23"/>
      <c r="JVS236" s="26"/>
      <c r="JVW236" s="23"/>
      <c r="JWB236" s="26"/>
      <c r="JWF236" s="23"/>
      <c r="JWK236" s="26"/>
      <c r="JWO236" s="23"/>
      <c r="JWT236" s="26"/>
      <c r="JWX236" s="23"/>
      <c r="JXC236" s="26"/>
      <c r="JXG236" s="23"/>
      <c r="JXL236" s="26"/>
      <c r="JXP236" s="23"/>
      <c r="JXU236" s="26"/>
      <c r="JXY236" s="23"/>
      <c r="JYD236" s="26"/>
      <c r="JYH236" s="23"/>
      <c r="JYM236" s="26"/>
      <c r="JYQ236" s="23"/>
      <c r="JYV236" s="26"/>
      <c r="JYZ236" s="23"/>
      <c r="JZE236" s="26"/>
      <c r="JZI236" s="23"/>
      <c r="JZN236" s="26"/>
      <c r="JZR236" s="23"/>
      <c r="JZW236" s="26"/>
      <c r="KAA236" s="23"/>
      <c r="KAF236" s="26"/>
      <c r="KAJ236" s="23"/>
      <c r="KAO236" s="26"/>
      <c r="KAS236" s="23"/>
      <c r="KAX236" s="26"/>
      <c r="KBB236" s="23"/>
      <c r="KBG236" s="26"/>
      <c r="KBK236" s="23"/>
      <c r="KBP236" s="26"/>
      <c r="KBT236" s="23"/>
      <c r="KBY236" s="26"/>
      <c r="KCC236" s="23"/>
      <c r="KCH236" s="26"/>
      <c r="KCL236" s="23"/>
      <c r="KCQ236" s="26"/>
      <c r="KCU236" s="23"/>
      <c r="KCZ236" s="26"/>
      <c r="KDD236" s="23"/>
      <c r="KDI236" s="26"/>
      <c r="KDM236" s="23"/>
      <c r="KDR236" s="26"/>
      <c r="KDV236" s="23"/>
      <c r="KEA236" s="26"/>
      <c r="KEE236" s="23"/>
      <c r="KEJ236" s="26"/>
      <c r="KEN236" s="23"/>
      <c r="KES236" s="26"/>
      <c r="KEW236" s="23"/>
      <c r="KFB236" s="26"/>
      <c r="KFF236" s="23"/>
      <c r="KFK236" s="26"/>
      <c r="KFO236" s="23"/>
      <c r="KFT236" s="26"/>
      <c r="KFX236" s="23"/>
      <c r="KGC236" s="26"/>
      <c r="KGG236" s="23"/>
      <c r="KGL236" s="26"/>
      <c r="KGP236" s="23"/>
      <c r="KGU236" s="26"/>
      <c r="KGY236" s="23"/>
      <c r="KHD236" s="26"/>
      <c r="KHH236" s="23"/>
      <c r="KHM236" s="26"/>
      <c r="KHQ236" s="23"/>
      <c r="KHV236" s="26"/>
      <c r="KHZ236" s="23"/>
      <c r="KIE236" s="26"/>
      <c r="KII236" s="23"/>
      <c r="KIN236" s="26"/>
      <c r="KIR236" s="23"/>
      <c r="KIW236" s="26"/>
      <c r="KJA236" s="23"/>
      <c r="KJF236" s="26"/>
      <c r="KJJ236" s="23"/>
      <c r="KJO236" s="26"/>
      <c r="KJS236" s="23"/>
      <c r="KJX236" s="26"/>
      <c r="KKB236" s="23"/>
      <c r="KKG236" s="26"/>
      <c r="KKK236" s="23"/>
      <c r="KKP236" s="26"/>
      <c r="KKT236" s="23"/>
      <c r="KKY236" s="26"/>
      <c r="KLC236" s="23"/>
      <c r="KLH236" s="26"/>
      <c r="KLL236" s="23"/>
      <c r="KLQ236" s="26"/>
      <c r="KLU236" s="23"/>
      <c r="KLZ236" s="26"/>
      <c r="KMD236" s="23"/>
      <c r="KMI236" s="26"/>
      <c r="KMM236" s="23"/>
      <c r="KMR236" s="26"/>
      <c r="KMV236" s="23"/>
      <c r="KNA236" s="26"/>
      <c r="KNE236" s="23"/>
      <c r="KNJ236" s="26"/>
      <c r="KNN236" s="23"/>
      <c r="KNS236" s="26"/>
      <c r="KNW236" s="23"/>
      <c r="KOB236" s="26"/>
      <c r="KOF236" s="23"/>
      <c r="KOK236" s="26"/>
      <c r="KOO236" s="23"/>
      <c r="KOT236" s="26"/>
      <c r="KOX236" s="23"/>
      <c r="KPC236" s="26"/>
      <c r="KPG236" s="23"/>
      <c r="KPL236" s="26"/>
      <c r="KPP236" s="23"/>
      <c r="KPU236" s="26"/>
      <c r="KPY236" s="23"/>
      <c r="KQD236" s="26"/>
      <c r="KQH236" s="23"/>
      <c r="KQM236" s="26"/>
      <c r="KQQ236" s="23"/>
      <c r="KQV236" s="26"/>
      <c r="KQZ236" s="23"/>
      <c r="KRE236" s="26"/>
      <c r="KRI236" s="23"/>
      <c r="KRN236" s="26"/>
      <c r="KRR236" s="23"/>
      <c r="KRW236" s="26"/>
      <c r="KSA236" s="23"/>
      <c r="KSF236" s="26"/>
      <c r="KSJ236" s="23"/>
      <c r="KSO236" s="26"/>
      <c r="KSS236" s="23"/>
      <c r="KSX236" s="26"/>
      <c r="KTB236" s="23"/>
      <c r="KTG236" s="26"/>
      <c r="KTK236" s="23"/>
      <c r="KTP236" s="26"/>
      <c r="KTT236" s="23"/>
      <c r="KTY236" s="26"/>
      <c r="KUC236" s="23"/>
      <c r="KUH236" s="26"/>
      <c r="KUL236" s="23"/>
      <c r="KUQ236" s="26"/>
      <c r="KUU236" s="23"/>
      <c r="KUZ236" s="26"/>
      <c r="KVD236" s="23"/>
      <c r="KVI236" s="26"/>
      <c r="KVM236" s="23"/>
      <c r="KVR236" s="26"/>
      <c r="KVV236" s="23"/>
      <c r="KWA236" s="26"/>
      <c r="KWE236" s="23"/>
      <c r="KWJ236" s="26"/>
      <c r="KWN236" s="23"/>
      <c r="KWS236" s="26"/>
      <c r="KWW236" s="23"/>
      <c r="KXB236" s="26"/>
      <c r="KXF236" s="23"/>
      <c r="KXK236" s="26"/>
      <c r="KXO236" s="23"/>
      <c r="KXT236" s="26"/>
      <c r="KXX236" s="23"/>
      <c r="KYC236" s="26"/>
      <c r="KYG236" s="23"/>
      <c r="KYL236" s="26"/>
      <c r="KYP236" s="23"/>
      <c r="KYU236" s="26"/>
      <c r="KYY236" s="23"/>
      <c r="KZD236" s="26"/>
      <c r="KZH236" s="23"/>
      <c r="KZM236" s="26"/>
      <c r="KZQ236" s="23"/>
      <c r="KZV236" s="26"/>
      <c r="KZZ236" s="23"/>
      <c r="LAE236" s="26"/>
      <c r="LAI236" s="23"/>
      <c r="LAN236" s="26"/>
      <c r="LAR236" s="23"/>
      <c r="LAW236" s="26"/>
      <c r="LBA236" s="23"/>
      <c r="LBF236" s="26"/>
      <c r="LBJ236" s="23"/>
      <c r="LBO236" s="26"/>
      <c r="LBS236" s="23"/>
      <c r="LBX236" s="26"/>
      <c r="LCB236" s="23"/>
      <c r="LCG236" s="26"/>
      <c r="LCK236" s="23"/>
      <c r="LCP236" s="26"/>
      <c r="LCT236" s="23"/>
      <c r="LCY236" s="26"/>
      <c r="LDC236" s="23"/>
      <c r="LDH236" s="26"/>
      <c r="LDL236" s="23"/>
      <c r="LDQ236" s="26"/>
      <c r="LDU236" s="23"/>
      <c r="LDZ236" s="26"/>
      <c r="LED236" s="23"/>
      <c r="LEI236" s="26"/>
      <c r="LEM236" s="23"/>
      <c r="LER236" s="26"/>
      <c r="LEV236" s="23"/>
      <c r="LFA236" s="26"/>
      <c r="LFE236" s="23"/>
      <c r="LFJ236" s="26"/>
      <c r="LFN236" s="23"/>
      <c r="LFS236" s="26"/>
      <c r="LFW236" s="23"/>
      <c r="LGB236" s="26"/>
      <c r="LGF236" s="23"/>
      <c r="LGK236" s="26"/>
      <c r="LGO236" s="23"/>
      <c r="LGT236" s="26"/>
      <c r="LGX236" s="23"/>
      <c r="LHC236" s="26"/>
      <c r="LHG236" s="23"/>
      <c r="LHL236" s="26"/>
      <c r="LHP236" s="23"/>
      <c r="LHU236" s="26"/>
      <c r="LHY236" s="23"/>
      <c r="LID236" s="26"/>
      <c r="LIH236" s="23"/>
      <c r="LIM236" s="26"/>
      <c r="LIQ236" s="23"/>
      <c r="LIV236" s="26"/>
      <c r="LIZ236" s="23"/>
      <c r="LJE236" s="26"/>
      <c r="LJI236" s="23"/>
      <c r="LJN236" s="26"/>
      <c r="LJR236" s="23"/>
      <c r="LJW236" s="26"/>
      <c r="LKA236" s="23"/>
      <c r="LKF236" s="26"/>
      <c r="LKJ236" s="23"/>
      <c r="LKO236" s="26"/>
      <c r="LKS236" s="23"/>
      <c r="LKX236" s="26"/>
      <c r="LLB236" s="23"/>
      <c r="LLG236" s="26"/>
      <c r="LLK236" s="23"/>
      <c r="LLP236" s="26"/>
      <c r="LLT236" s="23"/>
      <c r="LLY236" s="26"/>
      <c r="LMC236" s="23"/>
      <c r="LMH236" s="26"/>
      <c r="LML236" s="23"/>
      <c r="LMQ236" s="26"/>
      <c r="LMU236" s="23"/>
      <c r="LMZ236" s="26"/>
      <c r="LND236" s="23"/>
      <c r="LNI236" s="26"/>
      <c r="LNM236" s="23"/>
      <c r="LNR236" s="26"/>
      <c r="LNV236" s="23"/>
      <c r="LOA236" s="26"/>
      <c r="LOE236" s="23"/>
      <c r="LOJ236" s="26"/>
      <c r="LON236" s="23"/>
      <c r="LOS236" s="26"/>
      <c r="LOW236" s="23"/>
      <c r="LPB236" s="26"/>
      <c r="LPF236" s="23"/>
      <c r="LPK236" s="26"/>
      <c r="LPO236" s="23"/>
      <c r="LPT236" s="26"/>
      <c r="LPX236" s="23"/>
      <c r="LQC236" s="26"/>
      <c r="LQG236" s="23"/>
      <c r="LQL236" s="26"/>
      <c r="LQP236" s="23"/>
      <c r="LQU236" s="26"/>
      <c r="LQY236" s="23"/>
      <c r="LRD236" s="26"/>
      <c r="LRH236" s="23"/>
      <c r="LRM236" s="26"/>
      <c r="LRQ236" s="23"/>
      <c r="LRV236" s="26"/>
      <c r="LRZ236" s="23"/>
      <c r="LSE236" s="26"/>
      <c r="LSI236" s="23"/>
      <c r="LSN236" s="26"/>
      <c r="LSR236" s="23"/>
      <c r="LSW236" s="26"/>
      <c r="LTA236" s="23"/>
      <c r="LTF236" s="26"/>
      <c r="LTJ236" s="23"/>
      <c r="LTO236" s="26"/>
      <c r="LTS236" s="23"/>
      <c r="LTX236" s="26"/>
      <c r="LUB236" s="23"/>
      <c r="LUG236" s="26"/>
      <c r="LUK236" s="23"/>
      <c r="LUP236" s="26"/>
      <c r="LUT236" s="23"/>
      <c r="LUY236" s="26"/>
      <c r="LVC236" s="23"/>
      <c r="LVH236" s="26"/>
      <c r="LVL236" s="23"/>
      <c r="LVQ236" s="26"/>
      <c r="LVU236" s="23"/>
      <c r="LVZ236" s="26"/>
      <c r="LWD236" s="23"/>
      <c r="LWI236" s="26"/>
      <c r="LWM236" s="23"/>
      <c r="LWR236" s="26"/>
      <c r="LWV236" s="23"/>
      <c r="LXA236" s="26"/>
      <c r="LXE236" s="23"/>
      <c r="LXJ236" s="26"/>
      <c r="LXN236" s="23"/>
      <c r="LXS236" s="26"/>
      <c r="LXW236" s="23"/>
      <c r="LYB236" s="26"/>
      <c r="LYF236" s="23"/>
      <c r="LYK236" s="26"/>
      <c r="LYO236" s="23"/>
      <c r="LYT236" s="26"/>
      <c r="LYX236" s="23"/>
      <c r="LZC236" s="26"/>
      <c r="LZG236" s="23"/>
      <c r="LZL236" s="26"/>
      <c r="LZP236" s="23"/>
      <c r="LZU236" s="26"/>
      <c r="LZY236" s="23"/>
      <c r="MAD236" s="26"/>
      <c r="MAH236" s="23"/>
      <c r="MAM236" s="26"/>
      <c r="MAQ236" s="23"/>
      <c r="MAV236" s="26"/>
      <c r="MAZ236" s="23"/>
      <c r="MBE236" s="26"/>
      <c r="MBI236" s="23"/>
      <c r="MBN236" s="26"/>
      <c r="MBR236" s="23"/>
      <c r="MBW236" s="26"/>
      <c r="MCA236" s="23"/>
      <c r="MCF236" s="26"/>
      <c r="MCJ236" s="23"/>
      <c r="MCO236" s="26"/>
      <c r="MCS236" s="23"/>
      <c r="MCX236" s="26"/>
      <c r="MDB236" s="23"/>
      <c r="MDG236" s="26"/>
      <c r="MDK236" s="23"/>
      <c r="MDP236" s="26"/>
      <c r="MDT236" s="23"/>
      <c r="MDY236" s="26"/>
      <c r="MEC236" s="23"/>
      <c r="MEH236" s="26"/>
      <c r="MEL236" s="23"/>
      <c r="MEQ236" s="26"/>
      <c r="MEU236" s="23"/>
      <c r="MEZ236" s="26"/>
      <c r="MFD236" s="23"/>
      <c r="MFI236" s="26"/>
      <c r="MFM236" s="23"/>
      <c r="MFR236" s="26"/>
      <c r="MFV236" s="23"/>
      <c r="MGA236" s="26"/>
      <c r="MGE236" s="23"/>
      <c r="MGJ236" s="26"/>
      <c r="MGN236" s="23"/>
      <c r="MGS236" s="26"/>
      <c r="MGW236" s="23"/>
      <c r="MHB236" s="26"/>
      <c r="MHF236" s="23"/>
      <c r="MHK236" s="26"/>
      <c r="MHO236" s="23"/>
      <c r="MHT236" s="26"/>
      <c r="MHX236" s="23"/>
      <c r="MIC236" s="26"/>
      <c r="MIG236" s="23"/>
      <c r="MIL236" s="26"/>
      <c r="MIP236" s="23"/>
      <c r="MIU236" s="26"/>
      <c r="MIY236" s="23"/>
      <c r="MJD236" s="26"/>
      <c r="MJH236" s="23"/>
      <c r="MJM236" s="26"/>
      <c r="MJQ236" s="23"/>
      <c r="MJV236" s="26"/>
      <c r="MJZ236" s="23"/>
      <c r="MKE236" s="26"/>
      <c r="MKI236" s="23"/>
      <c r="MKN236" s="26"/>
      <c r="MKR236" s="23"/>
      <c r="MKW236" s="26"/>
      <c r="MLA236" s="23"/>
      <c r="MLF236" s="26"/>
      <c r="MLJ236" s="23"/>
      <c r="MLO236" s="26"/>
      <c r="MLS236" s="23"/>
      <c r="MLX236" s="26"/>
      <c r="MMB236" s="23"/>
      <c r="MMG236" s="26"/>
      <c r="MMK236" s="23"/>
      <c r="MMP236" s="26"/>
      <c r="MMT236" s="23"/>
      <c r="MMY236" s="26"/>
      <c r="MNC236" s="23"/>
      <c r="MNH236" s="26"/>
      <c r="MNL236" s="23"/>
      <c r="MNQ236" s="26"/>
      <c r="MNU236" s="23"/>
      <c r="MNZ236" s="26"/>
      <c r="MOD236" s="23"/>
      <c r="MOI236" s="26"/>
      <c r="MOM236" s="23"/>
      <c r="MOR236" s="26"/>
      <c r="MOV236" s="23"/>
      <c r="MPA236" s="26"/>
      <c r="MPE236" s="23"/>
      <c r="MPJ236" s="26"/>
      <c r="MPN236" s="23"/>
      <c r="MPS236" s="26"/>
      <c r="MPW236" s="23"/>
      <c r="MQB236" s="26"/>
      <c r="MQF236" s="23"/>
      <c r="MQK236" s="26"/>
      <c r="MQO236" s="23"/>
      <c r="MQT236" s="26"/>
      <c r="MQX236" s="23"/>
      <c r="MRC236" s="26"/>
      <c r="MRG236" s="23"/>
      <c r="MRL236" s="26"/>
      <c r="MRP236" s="23"/>
      <c r="MRU236" s="26"/>
      <c r="MRY236" s="23"/>
      <c r="MSD236" s="26"/>
      <c r="MSH236" s="23"/>
      <c r="MSM236" s="26"/>
      <c r="MSQ236" s="23"/>
      <c r="MSV236" s="26"/>
      <c r="MSZ236" s="23"/>
      <c r="MTE236" s="26"/>
      <c r="MTI236" s="23"/>
      <c r="MTN236" s="26"/>
      <c r="MTR236" s="23"/>
      <c r="MTW236" s="26"/>
      <c r="MUA236" s="23"/>
      <c r="MUF236" s="26"/>
      <c r="MUJ236" s="23"/>
      <c r="MUO236" s="26"/>
      <c r="MUS236" s="23"/>
      <c r="MUX236" s="26"/>
      <c r="MVB236" s="23"/>
      <c r="MVG236" s="26"/>
      <c r="MVK236" s="23"/>
      <c r="MVP236" s="26"/>
      <c r="MVT236" s="23"/>
      <c r="MVY236" s="26"/>
      <c r="MWC236" s="23"/>
      <c r="MWH236" s="26"/>
      <c r="MWL236" s="23"/>
      <c r="MWQ236" s="26"/>
      <c r="MWU236" s="23"/>
      <c r="MWZ236" s="26"/>
      <c r="MXD236" s="23"/>
      <c r="MXI236" s="26"/>
      <c r="MXM236" s="23"/>
      <c r="MXR236" s="26"/>
      <c r="MXV236" s="23"/>
      <c r="MYA236" s="26"/>
      <c r="MYE236" s="23"/>
      <c r="MYJ236" s="26"/>
      <c r="MYN236" s="23"/>
      <c r="MYS236" s="26"/>
      <c r="MYW236" s="23"/>
      <c r="MZB236" s="26"/>
      <c r="MZF236" s="23"/>
      <c r="MZK236" s="26"/>
      <c r="MZO236" s="23"/>
      <c r="MZT236" s="26"/>
      <c r="MZX236" s="23"/>
      <c r="NAC236" s="26"/>
      <c r="NAG236" s="23"/>
      <c r="NAL236" s="26"/>
      <c r="NAP236" s="23"/>
      <c r="NAU236" s="26"/>
      <c r="NAY236" s="23"/>
      <c r="NBD236" s="26"/>
      <c r="NBH236" s="23"/>
      <c r="NBM236" s="26"/>
      <c r="NBQ236" s="23"/>
      <c r="NBV236" s="26"/>
      <c r="NBZ236" s="23"/>
      <c r="NCE236" s="26"/>
      <c r="NCI236" s="23"/>
      <c r="NCN236" s="26"/>
      <c r="NCR236" s="23"/>
      <c r="NCW236" s="26"/>
      <c r="NDA236" s="23"/>
      <c r="NDF236" s="26"/>
      <c r="NDJ236" s="23"/>
      <c r="NDO236" s="26"/>
      <c r="NDS236" s="23"/>
      <c r="NDX236" s="26"/>
      <c r="NEB236" s="23"/>
      <c r="NEG236" s="26"/>
      <c r="NEK236" s="23"/>
      <c r="NEP236" s="26"/>
      <c r="NET236" s="23"/>
      <c r="NEY236" s="26"/>
      <c r="NFC236" s="23"/>
      <c r="NFH236" s="26"/>
      <c r="NFL236" s="23"/>
      <c r="NFQ236" s="26"/>
      <c r="NFU236" s="23"/>
      <c r="NFZ236" s="26"/>
      <c r="NGD236" s="23"/>
      <c r="NGI236" s="26"/>
      <c r="NGM236" s="23"/>
      <c r="NGR236" s="26"/>
      <c r="NGV236" s="23"/>
      <c r="NHA236" s="26"/>
      <c r="NHE236" s="23"/>
      <c r="NHJ236" s="26"/>
      <c r="NHN236" s="23"/>
      <c r="NHS236" s="26"/>
      <c r="NHW236" s="23"/>
      <c r="NIB236" s="26"/>
      <c r="NIF236" s="23"/>
      <c r="NIK236" s="26"/>
      <c r="NIO236" s="23"/>
      <c r="NIT236" s="26"/>
      <c r="NIX236" s="23"/>
      <c r="NJC236" s="26"/>
      <c r="NJG236" s="23"/>
      <c r="NJL236" s="26"/>
      <c r="NJP236" s="23"/>
      <c r="NJU236" s="26"/>
      <c r="NJY236" s="23"/>
      <c r="NKD236" s="26"/>
      <c r="NKH236" s="23"/>
      <c r="NKM236" s="26"/>
      <c r="NKQ236" s="23"/>
      <c r="NKV236" s="26"/>
      <c r="NKZ236" s="23"/>
      <c r="NLE236" s="26"/>
      <c r="NLI236" s="23"/>
      <c r="NLN236" s="26"/>
      <c r="NLR236" s="23"/>
      <c r="NLW236" s="26"/>
      <c r="NMA236" s="23"/>
      <c r="NMF236" s="26"/>
      <c r="NMJ236" s="23"/>
      <c r="NMO236" s="26"/>
      <c r="NMS236" s="23"/>
      <c r="NMX236" s="26"/>
      <c r="NNB236" s="23"/>
      <c r="NNG236" s="26"/>
      <c r="NNK236" s="23"/>
      <c r="NNP236" s="26"/>
      <c r="NNT236" s="23"/>
      <c r="NNY236" s="26"/>
      <c r="NOC236" s="23"/>
      <c r="NOH236" s="26"/>
      <c r="NOL236" s="23"/>
      <c r="NOQ236" s="26"/>
      <c r="NOU236" s="23"/>
      <c r="NOZ236" s="26"/>
      <c r="NPD236" s="23"/>
      <c r="NPI236" s="26"/>
      <c r="NPM236" s="23"/>
      <c r="NPR236" s="26"/>
      <c r="NPV236" s="23"/>
      <c r="NQA236" s="26"/>
      <c r="NQE236" s="23"/>
      <c r="NQJ236" s="26"/>
      <c r="NQN236" s="23"/>
      <c r="NQS236" s="26"/>
      <c r="NQW236" s="23"/>
      <c r="NRB236" s="26"/>
      <c r="NRF236" s="23"/>
      <c r="NRK236" s="26"/>
      <c r="NRO236" s="23"/>
      <c r="NRT236" s="26"/>
      <c r="NRX236" s="23"/>
      <c r="NSC236" s="26"/>
      <c r="NSG236" s="23"/>
      <c r="NSL236" s="26"/>
      <c r="NSP236" s="23"/>
      <c r="NSU236" s="26"/>
      <c r="NSY236" s="23"/>
      <c r="NTD236" s="26"/>
      <c r="NTH236" s="23"/>
      <c r="NTM236" s="26"/>
      <c r="NTQ236" s="23"/>
      <c r="NTV236" s="26"/>
      <c r="NTZ236" s="23"/>
      <c r="NUE236" s="26"/>
      <c r="NUI236" s="23"/>
      <c r="NUN236" s="26"/>
      <c r="NUR236" s="23"/>
      <c r="NUW236" s="26"/>
      <c r="NVA236" s="23"/>
      <c r="NVF236" s="26"/>
      <c r="NVJ236" s="23"/>
      <c r="NVO236" s="26"/>
      <c r="NVS236" s="23"/>
      <c r="NVX236" s="26"/>
      <c r="NWB236" s="23"/>
      <c r="NWG236" s="26"/>
      <c r="NWK236" s="23"/>
      <c r="NWP236" s="26"/>
      <c r="NWT236" s="23"/>
      <c r="NWY236" s="26"/>
      <c r="NXC236" s="23"/>
      <c r="NXH236" s="26"/>
      <c r="NXL236" s="23"/>
      <c r="NXQ236" s="26"/>
      <c r="NXU236" s="23"/>
      <c r="NXZ236" s="26"/>
      <c r="NYD236" s="23"/>
      <c r="NYI236" s="26"/>
      <c r="NYM236" s="23"/>
      <c r="NYR236" s="26"/>
      <c r="NYV236" s="23"/>
      <c r="NZA236" s="26"/>
      <c r="NZE236" s="23"/>
      <c r="NZJ236" s="26"/>
      <c r="NZN236" s="23"/>
      <c r="NZS236" s="26"/>
      <c r="NZW236" s="23"/>
      <c r="OAB236" s="26"/>
      <c r="OAF236" s="23"/>
      <c r="OAK236" s="26"/>
      <c r="OAO236" s="23"/>
      <c r="OAT236" s="26"/>
      <c r="OAX236" s="23"/>
      <c r="OBC236" s="26"/>
      <c r="OBG236" s="23"/>
      <c r="OBL236" s="26"/>
      <c r="OBP236" s="23"/>
      <c r="OBU236" s="26"/>
      <c r="OBY236" s="23"/>
      <c r="OCD236" s="26"/>
      <c r="OCH236" s="23"/>
      <c r="OCM236" s="26"/>
      <c r="OCQ236" s="23"/>
      <c r="OCV236" s="26"/>
      <c r="OCZ236" s="23"/>
      <c r="ODE236" s="26"/>
      <c r="ODI236" s="23"/>
      <c r="ODN236" s="26"/>
      <c r="ODR236" s="23"/>
      <c r="ODW236" s="26"/>
      <c r="OEA236" s="23"/>
      <c r="OEF236" s="26"/>
      <c r="OEJ236" s="23"/>
      <c r="OEO236" s="26"/>
      <c r="OES236" s="23"/>
      <c r="OEX236" s="26"/>
      <c r="OFB236" s="23"/>
      <c r="OFG236" s="26"/>
      <c r="OFK236" s="23"/>
      <c r="OFP236" s="26"/>
      <c r="OFT236" s="23"/>
      <c r="OFY236" s="26"/>
      <c r="OGC236" s="23"/>
      <c r="OGH236" s="26"/>
      <c r="OGL236" s="23"/>
      <c r="OGQ236" s="26"/>
      <c r="OGU236" s="23"/>
      <c r="OGZ236" s="26"/>
      <c r="OHD236" s="23"/>
      <c r="OHI236" s="26"/>
      <c r="OHM236" s="23"/>
      <c r="OHR236" s="26"/>
      <c r="OHV236" s="23"/>
      <c r="OIA236" s="26"/>
      <c r="OIE236" s="23"/>
      <c r="OIJ236" s="26"/>
      <c r="OIN236" s="23"/>
      <c r="OIS236" s="26"/>
      <c r="OIW236" s="23"/>
      <c r="OJB236" s="26"/>
      <c r="OJF236" s="23"/>
      <c r="OJK236" s="26"/>
      <c r="OJO236" s="23"/>
      <c r="OJT236" s="26"/>
      <c r="OJX236" s="23"/>
      <c r="OKC236" s="26"/>
      <c r="OKG236" s="23"/>
      <c r="OKL236" s="26"/>
      <c r="OKP236" s="23"/>
      <c r="OKU236" s="26"/>
      <c r="OKY236" s="23"/>
      <c r="OLD236" s="26"/>
      <c r="OLH236" s="23"/>
      <c r="OLM236" s="26"/>
      <c r="OLQ236" s="23"/>
      <c r="OLV236" s="26"/>
      <c r="OLZ236" s="23"/>
      <c r="OME236" s="26"/>
      <c r="OMI236" s="23"/>
      <c r="OMN236" s="26"/>
      <c r="OMR236" s="23"/>
      <c r="OMW236" s="26"/>
      <c r="ONA236" s="23"/>
      <c r="ONF236" s="26"/>
      <c r="ONJ236" s="23"/>
      <c r="ONO236" s="26"/>
      <c r="ONS236" s="23"/>
      <c r="ONX236" s="26"/>
      <c r="OOB236" s="23"/>
      <c r="OOG236" s="26"/>
      <c r="OOK236" s="23"/>
      <c r="OOP236" s="26"/>
      <c r="OOT236" s="23"/>
      <c r="OOY236" s="26"/>
      <c r="OPC236" s="23"/>
      <c r="OPH236" s="26"/>
      <c r="OPL236" s="23"/>
      <c r="OPQ236" s="26"/>
      <c r="OPU236" s="23"/>
      <c r="OPZ236" s="26"/>
      <c r="OQD236" s="23"/>
      <c r="OQI236" s="26"/>
      <c r="OQM236" s="23"/>
      <c r="OQR236" s="26"/>
      <c r="OQV236" s="23"/>
      <c r="ORA236" s="26"/>
      <c r="ORE236" s="23"/>
      <c r="ORJ236" s="26"/>
      <c r="ORN236" s="23"/>
      <c r="ORS236" s="26"/>
      <c r="ORW236" s="23"/>
      <c r="OSB236" s="26"/>
      <c r="OSF236" s="23"/>
      <c r="OSK236" s="26"/>
      <c r="OSO236" s="23"/>
      <c r="OST236" s="26"/>
      <c r="OSX236" s="23"/>
      <c r="OTC236" s="26"/>
      <c r="OTG236" s="23"/>
      <c r="OTL236" s="26"/>
      <c r="OTP236" s="23"/>
      <c r="OTU236" s="26"/>
      <c r="OTY236" s="23"/>
      <c r="OUD236" s="26"/>
      <c r="OUH236" s="23"/>
      <c r="OUM236" s="26"/>
      <c r="OUQ236" s="23"/>
      <c r="OUV236" s="26"/>
      <c r="OUZ236" s="23"/>
      <c r="OVE236" s="26"/>
      <c r="OVI236" s="23"/>
      <c r="OVN236" s="26"/>
      <c r="OVR236" s="23"/>
      <c r="OVW236" s="26"/>
      <c r="OWA236" s="23"/>
      <c r="OWF236" s="26"/>
      <c r="OWJ236" s="23"/>
      <c r="OWO236" s="26"/>
      <c r="OWS236" s="23"/>
      <c r="OWX236" s="26"/>
      <c r="OXB236" s="23"/>
      <c r="OXG236" s="26"/>
      <c r="OXK236" s="23"/>
      <c r="OXP236" s="26"/>
      <c r="OXT236" s="23"/>
      <c r="OXY236" s="26"/>
      <c r="OYC236" s="23"/>
      <c r="OYH236" s="26"/>
      <c r="OYL236" s="23"/>
      <c r="OYQ236" s="26"/>
      <c r="OYU236" s="23"/>
      <c r="OYZ236" s="26"/>
      <c r="OZD236" s="23"/>
      <c r="OZI236" s="26"/>
      <c r="OZM236" s="23"/>
      <c r="OZR236" s="26"/>
      <c r="OZV236" s="23"/>
      <c r="PAA236" s="26"/>
      <c r="PAE236" s="23"/>
      <c r="PAJ236" s="26"/>
      <c r="PAN236" s="23"/>
      <c r="PAS236" s="26"/>
      <c r="PAW236" s="23"/>
      <c r="PBB236" s="26"/>
      <c r="PBF236" s="23"/>
      <c r="PBK236" s="26"/>
      <c r="PBO236" s="23"/>
      <c r="PBT236" s="26"/>
      <c r="PBX236" s="23"/>
      <c r="PCC236" s="26"/>
      <c r="PCG236" s="23"/>
      <c r="PCL236" s="26"/>
      <c r="PCP236" s="23"/>
      <c r="PCU236" s="26"/>
      <c r="PCY236" s="23"/>
      <c r="PDD236" s="26"/>
      <c r="PDH236" s="23"/>
      <c r="PDM236" s="26"/>
      <c r="PDQ236" s="23"/>
      <c r="PDV236" s="26"/>
      <c r="PDZ236" s="23"/>
      <c r="PEE236" s="26"/>
      <c r="PEI236" s="23"/>
      <c r="PEN236" s="26"/>
      <c r="PER236" s="23"/>
      <c r="PEW236" s="26"/>
      <c r="PFA236" s="23"/>
      <c r="PFF236" s="26"/>
      <c r="PFJ236" s="23"/>
      <c r="PFO236" s="26"/>
      <c r="PFS236" s="23"/>
      <c r="PFX236" s="26"/>
      <c r="PGB236" s="23"/>
      <c r="PGG236" s="26"/>
      <c r="PGK236" s="23"/>
      <c r="PGP236" s="26"/>
      <c r="PGT236" s="23"/>
      <c r="PGY236" s="26"/>
      <c r="PHC236" s="23"/>
      <c r="PHH236" s="26"/>
      <c r="PHL236" s="23"/>
      <c r="PHQ236" s="26"/>
      <c r="PHU236" s="23"/>
      <c r="PHZ236" s="26"/>
      <c r="PID236" s="23"/>
      <c r="PII236" s="26"/>
      <c r="PIM236" s="23"/>
      <c r="PIR236" s="26"/>
      <c r="PIV236" s="23"/>
      <c r="PJA236" s="26"/>
      <c r="PJE236" s="23"/>
      <c r="PJJ236" s="26"/>
      <c r="PJN236" s="23"/>
      <c r="PJS236" s="26"/>
      <c r="PJW236" s="23"/>
      <c r="PKB236" s="26"/>
      <c r="PKF236" s="23"/>
      <c r="PKK236" s="26"/>
      <c r="PKO236" s="23"/>
      <c r="PKT236" s="26"/>
      <c r="PKX236" s="23"/>
      <c r="PLC236" s="26"/>
      <c r="PLG236" s="23"/>
      <c r="PLL236" s="26"/>
      <c r="PLP236" s="23"/>
      <c r="PLU236" s="26"/>
      <c r="PLY236" s="23"/>
      <c r="PMD236" s="26"/>
      <c r="PMH236" s="23"/>
      <c r="PMM236" s="26"/>
      <c r="PMQ236" s="23"/>
      <c r="PMV236" s="26"/>
      <c r="PMZ236" s="23"/>
      <c r="PNE236" s="26"/>
      <c r="PNI236" s="23"/>
      <c r="PNN236" s="26"/>
      <c r="PNR236" s="23"/>
      <c r="PNW236" s="26"/>
      <c r="POA236" s="23"/>
      <c r="POF236" s="26"/>
      <c r="POJ236" s="23"/>
      <c r="POO236" s="26"/>
      <c r="POS236" s="23"/>
      <c r="POX236" s="26"/>
      <c r="PPB236" s="23"/>
      <c r="PPG236" s="26"/>
      <c r="PPK236" s="23"/>
      <c r="PPP236" s="26"/>
      <c r="PPT236" s="23"/>
      <c r="PPY236" s="26"/>
      <c r="PQC236" s="23"/>
      <c r="PQH236" s="26"/>
      <c r="PQL236" s="23"/>
      <c r="PQQ236" s="26"/>
      <c r="PQU236" s="23"/>
      <c r="PQZ236" s="26"/>
      <c r="PRD236" s="23"/>
      <c r="PRI236" s="26"/>
      <c r="PRM236" s="23"/>
      <c r="PRR236" s="26"/>
      <c r="PRV236" s="23"/>
      <c r="PSA236" s="26"/>
      <c r="PSE236" s="23"/>
      <c r="PSJ236" s="26"/>
      <c r="PSN236" s="23"/>
      <c r="PSS236" s="26"/>
      <c r="PSW236" s="23"/>
      <c r="PTB236" s="26"/>
      <c r="PTF236" s="23"/>
      <c r="PTK236" s="26"/>
      <c r="PTO236" s="23"/>
      <c r="PTT236" s="26"/>
      <c r="PTX236" s="23"/>
      <c r="PUC236" s="26"/>
      <c r="PUG236" s="23"/>
      <c r="PUL236" s="26"/>
      <c r="PUP236" s="23"/>
      <c r="PUU236" s="26"/>
      <c r="PUY236" s="23"/>
      <c r="PVD236" s="26"/>
      <c r="PVH236" s="23"/>
      <c r="PVM236" s="26"/>
      <c r="PVQ236" s="23"/>
      <c r="PVV236" s="26"/>
      <c r="PVZ236" s="23"/>
      <c r="PWE236" s="26"/>
      <c r="PWI236" s="23"/>
      <c r="PWN236" s="26"/>
      <c r="PWR236" s="23"/>
      <c r="PWW236" s="26"/>
      <c r="PXA236" s="23"/>
      <c r="PXF236" s="26"/>
      <c r="PXJ236" s="23"/>
      <c r="PXO236" s="26"/>
      <c r="PXS236" s="23"/>
      <c r="PXX236" s="26"/>
      <c r="PYB236" s="23"/>
      <c r="PYG236" s="26"/>
      <c r="PYK236" s="23"/>
      <c r="PYP236" s="26"/>
      <c r="PYT236" s="23"/>
      <c r="PYY236" s="26"/>
      <c r="PZC236" s="23"/>
      <c r="PZH236" s="26"/>
      <c r="PZL236" s="23"/>
      <c r="PZQ236" s="26"/>
      <c r="PZU236" s="23"/>
      <c r="PZZ236" s="26"/>
      <c r="QAD236" s="23"/>
      <c r="QAI236" s="26"/>
      <c r="QAM236" s="23"/>
      <c r="QAR236" s="26"/>
      <c r="QAV236" s="23"/>
      <c r="QBA236" s="26"/>
      <c r="QBE236" s="23"/>
      <c r="QBJ236" s="26"/>
      <c r="QBN236" s="23"/>
      <c r="QBS236" s="26"/>
      <c r="QBW236" s="23"/>
      <c r="QCB236" s="26"/>
      <c r="QCF236" s="23"/>
      <c r="QCK236" s="26"/>
      <c r="QCO236" s="23"/>
      <c r="QCT236" s="26"/>
      <c r="QCX236" s="23"/>
      <c r="QDC236" s="26"/>
      <c r="QDG236" s="23"/>
      <c r="QDL236" s="26"/>
      <c r="QDP236" s="23"/>
      <c r="QDU236" s="26"/>
      <c r="QDY236" s="23"/>
      <c r="QED236" s="26"/>
      <c r="QEH236" s="23"/>
      <c r="QEM236" s="26"/>
      <c r="QEQ236" s="23"/>
      <c r="QEV236" s="26"/>
      <c r="QEZ236" s="23"/>
      <c r="QFE236" s="26"/>
      <c r="QFI236" s="23"/>
      <c r="QFN236" s="26"/>
      <c r="QFR236" s="23"/>
      <c r="QFW236" s="26"/>
      <c r="QGA236" s="23"/>
      <c r="QGF236" s="26"/>
      <c r="QGJ236" s="23"/>
      <c r="QGO236" s="26"/>
      <c r="QGS236" s="23"/>
      <c r="QGX236" s="26"/>
      <c r="QHB236" s="23"/>
      <c r="QHG236" s="26"/>
      <c r="QHK236" s="23"/>
      <c r="QHP236" s="26"/>
      <c r="QHT236" s="23"/>
      <c r="QHY236" s="26"/>
      <c r="QIC236" s="23"/>
      <c r="QIH236" s="26"/>
      <c r="QIL236" s="23"/>
      <c r="QIQ236" s="26"/>
      <c r="QIU236" s="23"/>
      <c r="QIZ236" s="26"/>
      <c r="QJD236" s="23"/>
      <c r="QJI236" s="26"/>
      <c r="QJM236" s="23"/>
      <c r="QJR236" s="26"/>
      <c r="QJV236" s="23"/>
      <c r="QKA236" s="26"/>
      <c r="QKE236" s="23"/>
      <c r="QKJ236" s="26"/>
      <c r="QKN236" s="23"/>
      <c r="QKS236" s="26"/>
      <c r="QKW236" s="23"/>
      <c r="QLB236" s="26"/>
      <c r="QLF236" s="23"/>
      <c r="QLK236" s="26"/>
      <c r="QLO236" s="23"/>
      <c r="QLT236" s="26"/>
      <c r="QLX236" s="23"/>
      <c r="QMC236" s="26"/>
      <c r="QMG236" s="23"/>
      <c r="QML236" s="26"/>
      <c r="QMP236" s="23"/>
      <c r="QMU236" s="26"/>
      <c r="QMY236" s="23"/>
      <c r="QND236" s="26"/>
      <c r="QNH236" s="23"/>
      <c r="QNM236" s="26"/>
      <c r="QNQ236" s="23"/>
      <c r="QNV236" s="26"/>
      <c r="QNZ236" s="23"/>
      <c r="QOE236" s="26"/>
      <c r="QOI236" s="23"/>
      <c r="QON236" s="26"/>
      <c r="QOR236" s="23"/>
      <c r="QOW236" s="26"/>
      <c r="QPA236" s="23"/>
      <c r="QPF236" s="26"/>
      <c r="QPJ236" s="23"/>
      <c r="QPO236" s="26"/>
      <c r="QPS236" s="23"/>
      <c r="QPX236" s="26"/>
      <c r="QQB236" s="23"/>
      <c r="QQG236" s="26"/>
      <c r="QQK236" s="23"/>
      <c r="QQP236" s="26"/>
      <c r="QQT236" s="23"/>
      <c r="QQY236" s="26"/>
      <c r="QRC236" s="23"/>
      <c r="QRH236" s="26"/>
      <c r="QRL236" s="23"/>
      <c r="QRQ236" s="26"/>
      <c r="QRU236" s="23"/>
      <c r="QRZ236" s="26"/>
      <c r="QSD236" s="23"/>
      <c r="QSI236" s="26"/>
      <c r="QSM236" s="23"/>
      <c r="QSR236" s="26"/>
      <c r="QSV236" s="23"/>
      <c r="QTA236" s="26"/>
      <c r="QTE236" s="23"/>
      <c r="QTJ236" s="26"/>
      <c r="QTN236" s="23"/>
      <c r="QTS236" s="26"/>
      <c r="QTW236" s="23"/>
      <c r="QUB236" s="26"/>
      <c r="QUF236" s="23"/>
      <c r="QUK236" s="26"/>
      <c r="QUO236" s="23"/>
      <c r="QUT236" s="26"/>
      <c r="QUX236" s="23"/>
      <c r="QVC236" s="26"/>
      <c r="QVG236" s="23"/>
      <c r="QVL236" s="26"/>
      <c r="QVP236" s="23"/>
      <c r="QVU236" s="26"/>
      <c r="QVY236" s="23"/>
      <c r="QWD236" s="26"/>
      <c r="QWH236" s="23"/>
      <c r="QWM236" s="26"/>
      <c r="QWQ236" s="23"/>
      <c r="QWV236" s="26"/>
      <c r="QWZ236" s="23"/>
      <c r="QXE236" s="26"/>
      <c r="QXI236" s="23"/>
      <c r="QXN236" s="26"/>
      <c r="QXR236" s="23"/>
      <c r="QXW236" s="26"/>
      <c r="QYA236" s="23"/>
      <c r="QYF236" s="26"/>
      <c r="QYJ236" s="23"/>
      <c r="QYO236" s="26"/>
      <c r="QYS236" s="23"/>
      <c r="QYX236" s="26"/>
      <c r="QZB236" s="23"/>
      <c r="QZG236" s="26"/>
      <c r="QZK236" s="23"/>
      <c r="QZP236" s="26"/>
      <c r="QZT236" s="23"/>
      <c r="QZY236" s="26"/>
      <c r="RAC236" s="23"/>
      <c r="RAH236" s="26"/>
      <c r="RAL236" s="23"/>
      <c r="RAQ236" s="26"/>
      <c r="RAU236" s="23"/>
      <c r="RAZ236" s="26"/>
      <c r="RBD236" s="23"/>
      <c r="RBI236" s="26"/>
      <c r="RBM236" s="23"/>
      <c r="RBR236" s="26"/>
      <c r="RBV236" s="23"/>
      <c r="RCA236" s="26"/>
      <c r="RCE236" s="23"/>
      <c r="RCJ236" s="26"/>
      <c r="RCN236" s="23"/>
      <c r="RCS236" s="26"/>
      <c r="RCW236" s="23"/>
      <c r="RDB236" s="26"/>
      <c r="RDF236" s="23"/>
      <c r="RDK236" s="26"/>
      <c r="RDO236" s="23"/>
      <c r="RDT236" s="26"/>
      <c r="RDX236" s="23"/>
      <c r="REC236" s="26"/>
      <c r="REG236" s="23"/>
      <c r="REL236" s="26"/>
      <c r="REP236" s="23"/>
      <c r="REU236" s="26"/>
      <c r="REY236" s="23"/>
      <c r="RFD236" s="26"/>
      <c r="RFH236" s="23"/>
      <c r="RFM236" s="26"/>
      <c r="RFQ236" s="23"/>
      <c r="RFV236" s="26"/>
      <c r="RFZ236" s="23"/>
      <c r="RGE236" s="26"/>
      <c r="RGI236" s="23"/>
      <c r="RGN236" s="26"/>
      <c r="RGR236" s="23"/>
      <c r="RGW236" s="26"/>
      <c r="RHA236" s="23"/>
      <c r="RHF236" s="26"/>
      <c r="RHJ236" s="23"/>
      <c r="RHO236" s="26"/>
      <c r="RHS236" s="23"/>
      <c r="RHX236" s="26"/>
      <c r="RIB236" s="23"/>
      <c r="RIG236" s="26"/>
      <c r="RIK236" s="23"/>
      <c r="RIP236" s="26"/>
      <c r="RIT236" s="23"/>
      <c r="RIY236" s="26"/>
      <c r="RJC236" s="23"/>
      <c r="RJH236" s="26"/>
      <c r="RJL236" s="23"/>
      <c r="RJQ236" s="26"/>
      <c r="RJU236" s="23"/>
      <c r="RJZ236" s="26"/>
      <c r="RKD236" s="23"/>
      <c r="RKI236" s="26"/>
      <c r="RKM236" s="23"/>
      <c r="RKR236" s="26"/>
      <c r="RKV236" s="23"/>
      <c r="RLA236" s="26"/>
      <c r="RLE236" s="23"/>
      <c r="RLJ236" s="26"/>
      <c r="RLN236" s="23"/>
      <c r="RLS236" s="26"/>
      <c r="RLW236" s="23"/>
      <c r="RMB236" s="26"/>
      <c r="RMF236" s="23"/>
      <c r="RMK236" s="26"/>
      <c r="RMO236" s="23"/>
      <c r="RMT236" s="26"/>
      <c r="RMX236" s="23"/>
      <c r="RNC236" s="26"/>
      <c r="RNG236" s="23"/>
      <c r="RNL236" s="26"/>
      <c r="RNP236" s="23"/>
      <c r="RNU236" s="26"/>
      <c r="RNY236" s="23"/>
      <c r="ROD236" s="26"/>
      <c r="ROH236" s="23"/>
      <c r="ROM236" s="26"/>
      <c r="ROQ236" s="23"/>
      <c r="ROV236" s="26"/>
      <c r="ROZ236" s="23"/>
      <c r="RPE236" s="26"/>
      <c r="RPI236" s="23"/>
      <c r="RPN236" s="26"/>
      <c r="RPR236" s="23"/>
      <c r="RPW236" s="26"/>
      <c r="RQA236" s="23"/>
      <c r="RQF236" s="26"/>
      <c r="RQJ236" s="23"/>
      <c r="RQO236" s="26"/>
      <c r="RQS236" s="23"/>
      <c r="RQX236" s="26"/>
      <c r="RRB236" s="23"/>
      <c r="RRG236" s="26"/>
      <c r="RRK236" s="23"/>
      <c r="RRP236" s="26"/>
      <c r="RRT236" s="23"/>
      <c r="RRY236" s="26"/>
      <c r="RSC236" s="23"/>
      <c r="RSH236" s="26"/>
      <c r="RSL236" s="23"/>
      <c r="RSQ236" s="26"/>
      <c r="RSU236" s="23"/>
      <c r="RSZ236" s="26"/>
      <c r="RTD236" s="23"/>
      <c r="RTI236" s="26"/>
      <c r="RTM236" s="23"/>
      <c r="RTR236" s="26"/>
      <c r="RTV236" s="23"/>
      <c r="RUA236" s="26"/>
      <c r="RUE236" s="23"/>
      <c r="RUJ236" s="26"/>
      <c r="RUN236" s="23"/>
      <c r="RUS236" s="26"/>
      <c r="RUW236" s="23"/>
      <c r="RVB236" s="26"/>
      <c r="RVF236" s="23"/>
      <c r="RVK236" s="26"/>
      <c r="RVO236" s="23"/>
      <c r="RVT236" s="26"/>
      <c r="RVX236" s="23"/>
      <c r="RWC236" s="26"/>
      <c r="RWG236" s="23"/>
      <c r="RWL236" s="26"/>
      <c r="RWP236" s="23"/>
      <c r="RWU236" s="26"/>
      <c r="RWY236" s="23"/>
      <c r="RXD236" s="26"/>
      <c r="RXH236" s="23"/>
      <c r="RXM236" s="26"/>
      <c r="RXQ236" s="23"/>
      <c r="RXV236" s="26"/>
      <c r="RXZ236" s="23"/>
      <c r="RYE236" s="26"/>
      <c r="RYI236" s="23"/>
      <c r="RYN236" s="26"/>
      <c r="RYR236" s="23"/>
      <c r="RYW236" s="26"/>
      <c r="RZA236" s="23"/>
      <c r="RZF236" s="26"/>
      <c r="RZJ236" s="23"/>
      <c r="RZO236" s="26"/>
      <c r="RZS236" s="23"/>
      <c r="RZX236" s="26"/>
      <c r="SAB236" s="23"/>
      <c r="SAG236" s="26"/>
      <c r="SAK236" s="23"/>
      <c r="SAP236" s="26"/>
      <c r="SAT236" s="23"/>
      <c r="SAY236" s="26"/>
      <c r="SBC236" s="23"/>
      <c r="SBH236" s="26"/>
      <c r="SBL236" s="23"/>
      <c r="SBQ236" s="26"/>
      <c r="SBU236" s="23"/>
      <c r="SBZ236" s="26"/>
      <c r="SCD236" s="23"/>
      <c r="SCI236" s="26"/>
      <c r="SCM236" s="23"/>
      <c r="SCR236" s="26"/>
      <c r="SCV236" s="23"/>
      <c r="SDA236" s="26"/>
      <c r="SDE236" s="23"/>
      <c r="SDJ236" s="26"/>
      <c r="SDN236" s="23"/>
      <c r="SDS236" s="26"/>
      <c r="SDW236" s="23"/>
      <c r="SEB236" s="26"/>
      <c r="SEF236" s="23"/>
      <c r="SEK236" s="26"/>
      <c r="SEO236" s="23"/>
      <c r="SET236" s="26"/>
      <c r="SEX236" s="23"/>
      <c r="SFC236" s="26"/>
      <c r="SFG236" s="23"/>
      <c r="SFL236" s="26"/>
      <c r="SFP236" s="23"/>
      <c r="SFU236" s="26"/>
      <c r="SFY236" s="23"/>
      <c r="SGD236" s="26"/>
      <c r="SGH236" s="23"/>
      <c r="SGM236" s="26"/>
      <c r="SGQ236" s="23"/>
      <c r="SGV236" s="26"/>
      <c r="SGZ236" s="23"/>
      <c r="SHE236" s="26"/>
      <c r="SHI236" s="23"/>
      <c r="SHN236" s="26"/>
      <c r="SHR236" s="23"/>
      <c r="SHW236" s="26"/>
      <c r="SIA236" s="23"/>
      <c r="SIF236" s="26"/>
      <c r="SIJ236" s="23"/>
      <c r="SIO236" s="26"/>
      <c r="SIS236" s="23"/>
      <c r="SIX236" s="26"/>
      <c r="SJB236" s="23"/>
      <c r="SJG236" s="26"/>
      <c r="SJK236" s="23"/>
      <c r="SJP236" s="26"/>
      <c r="SJT236" s="23"/>
      <c r="SJY236" s="26"/>
      <c r="SKC236" s="23"/>
      <c r="SKH236" s="26"/>
      <c r="SKL236" s="23"/>
      <c r="SKQ236" s="26"/>
      <c r="SKU236" s="23"/>
      <c r="SKZ236" s="26"/>
      <c r="SLD236" s="23"/>
      <c r="SLI236" s="26"/>
      <c r="SLM236" s="23"/>
      <c r="SLR236" s="26"/>
      <c r="SLV236" s="23"/>
      <c r="SMA236" s="26"/>
      <c r="SME236" s="23"/>
      <c r="SMJ236" s="26"/>
      <c r="SMN236" s="23"/>
      <c r="SMS236" s="26"/>
      <c r="SMW236" s="23"/>
      <c r="SNB236" s="26"/>
      <c r="SNF236" s="23"/>
      <c r="SNK236" s="26"/>
      <c r="SNO236" s="23"/>
      <c r="SNT236" s="26"/>
      <c r="SNX236" s="23"/>
      <c r="SOC236" s="26"/>
      <c r="SOG236" s="23"/>
      <c r="SOL236" s="26"/>
      <c r="SOP236" s="23"/>
      <c r="SOU236" s="26"/>
      <c r="SOY236" s="23"/>
      <c r="SPD236" s="26"/>
      <c r="SPH236" s="23"/>
      <c r="SPM236" s="26"/>
      <c r="SPQ236" s="23"/>
      <c r="SPV236" s="26"/>
      <c r="SPZ236" s="23"/>
      <c r="SQE236" s="26"/>
      <c r="SQI236" s="23"/>
      <c r="SQN236" s="26"/>
      <c r="SQR236" s="23"/>
      <c r="SQW236" s="26"/>
      <c r="SRA236" s="23"/>
      <c r="SRF236" s="26"/>
      <c r="SRJ236" s="23"/>
      <c r="SRO236" s="26"/>
      <c r="SRS236" s="23"/>
      <c r="SRX236" s="26"/>
      <c r="SSB236" s="23"/>
      <c r="SSG236" s="26"/>
      <c r="SSK236" s="23"/>
      <c r="SSP236" s="26"/>
      <c r="SST236" s="23"/>
      <c r="SSY236" s="26"/>
      <c r="STC236" s="23"/>
      <c r="STH236" s="26"/>
      <c r="STL236" s="23"/>
      <c r="STQ236" s="26"/>
      <c r="STU236" s="23"/>
      <c r="STZ236" s="26"/>
      <c r="SUD236" s="23"/>
      <c r="SUI236" s="26"/>
      <c r="SUM236" s="23"/>
      <c r="SUR236" s="26"/>
      <c r="SUV236" s="23"/>
      <c r="SVA236" s="26"/>
      <c r="SVE236" s="23"/>
      <c r="SVJ236" s="26"/>
      <c r="SVN236" s="23"/>
      <c r="SVS236" s="26"/>
      <c r="SVW236" s="23"/>
      <c r="SWB236" s="26"/>
      <c r="SWF236" s="23"/>
      <c r="SWK236" s="26"/>
      <c r="SWO236" s="23"/>
      <c r="SWT236" s="26"/>
      <c r="SWX236" s="23"/>
      <c r="SXC236" s="26"/>
      <c r="SXG236" s="23"/>
      <c r="SXL236" s="26"/>
      <c r="SXP236" s="23"/>
      <c r="SXU236" s="26"/>
      <c r="SXY236" s="23"/>
      <c r="SYD236" s="26"/>
      <c r="SYH236" s="23"/>
      <c r="SYM236" s="26"/>
      <c r="SYQ236" s="23"/>
      <c r="SYV236" s="26"/>
      <c r="SYZ236" s="23"/>
      <c r="SZE236" s="26"/>
      <c r="SZI236" s="23"/>
      <c r="SZN236" s="26"/>
      <c r="SZR236" s="23"/>
      <c r="SZW236" s="26"/>
      <c r="TAA236" s="23"/>
      <c r="TAF236" s="26"/>
      <c r="TAJ236" s="23"/>
      <c r="TAO236" s="26"/>
      <c r="TAS236" s="23"/>
      <c r="TAX236" s="26"/>
      <c r="TBB236" s="23"/>
      <c r="TBG236" s="26"/>
      <c r="TBK236" s="23"/>
      <c r="TBP236" s="26"/>
      <c r="TBT236" s="23"/>
      <c r="TBY236" s="26"/>
      <c r="TCC236" s="23"/>
      <c r="TCH236" s="26"/>
      <c r="TCL236" s="23"/>
      <c r="TCQ236" s="26"/>
      <c r="TCU236" s="23"/>
      <c r="TCZ236" s="26"/>
      <c r="TDD236" s="23"/>
      <c r="TDI236" s="26"/>
      <c r="TDM236" s="23"/>
      <c r="TDR236" s="26"/>
      <c r="TDV236" s="23"/>
      <c r="TEA236" s="26"/>
      <c r="TEE236" s="23"/>
      <c r="TEJ236" s="26"/>
      <c r="TEN236" s="23"/>
      <c r="TES236" s="26"/>
      <c r="TEW236" s="23"/>
      <c r="TFB236" s="26"/>
      <c r="TFF236" s="23"/>
      <c r="TFK236" s="26"/>
      <c r="TFO236" s="23"/>
      <c r="TFT236" s="26"/>
      <c r="TFX236" s="23"/>
      <c r="TGC236" s="26"/>
      <c r="TGG236" s="23"/>
      <c r="TGL236" s="26"/>
      <c r="TGP236" s="23"/>
      <c r="TGU236" s="26"/>
      <c r="TGY236" s="23"/>
      <c r="THD236" s="26"/>
      <c r="THH236" s="23"/>
      <c r="THM236" s="26"/>
      <c r="THQ236" s="23"/>
      <c r="THV236" s="26"/>
      <c r="THZ236" s="23"/>
      <c r="TIE236" s="26"/>
      <c r="TII236" s="23"/>
      <c r="TIN236" s="26"/>
      <c r="TIR236" s="23"/>
      <c r="TIW236" s="26"/>
      <c r="TJA236" s="23"/>
      <c r="TJF236" s="26"/>
      <c r="TJJ236" s="23"/>
      <c r="TJO236" s="26"/>
      <c r="TJS236" s="23"/>
      <c r="TJX236" s="26"/>
      <c r="TKB236" s="23"/>
      <c r="TKG236" s="26"/>
      <c r="TKK236" s="23"/>
      <c r="TKP236" s="26"/>
      <c r="TKT236" s="23"/>
      <c r="TKY236" s="26"/>
      <c r="TLC236" s="23"/>
      <c r="TLH236" s="26"/>
      <c r="TLL236" s="23"/>
      <c r="TLQ236" s="26"/>
      <c r="TLU236" s="23"/>
      <c r="TLZ236" s="26"/>
      <c r="TMD236" s="23"/>
      <c r="TMI236" s="26"/>
      <c r="TMM236" s="23"/>
      <c r="TMR236" s="26"/>
      <c r="TMV236" s="23"/>
      <c r="TNA236" s="26"/>
      <c r="TNE236" s="23"/>
      <c r="TNJ236" s="26"/>
      <c r="TNN236" s="23"/>
      <c r="TNS236" s="26"/>
      <c r="TNW236" s="23"/>
      <c r="TOB236" s="26"/>
      <c r="TOF236" s="23"/>
      <c r="TOK236" s="26"/>
      <c r="TOO236" s="23"/>
      <c r="TOT236" s="26"/>
      <c r="TOX236" s="23"/>
      <c r="TPC236" s="26"/>
      <c r="TPG236" s="23"/>
      <c r="TPL236" s="26"/>
      <c r="TPP236" s="23"/>
      <c r="TPU236" s="26"/>
      <c r="TPY236" s="23"/>
      <c r="TQD236" s="26"/>
      <c r="TQH236" s="23"/>
      <c r="TQM236" s="26"/>
      <c r="TQQ236" s="23"/>
      <c r="TQV236" s="26"/>
      <c r="TQZ236" s="23"/>
      <c r="TRE236" s="26"/>
      <c r="TRI236" s="23"/>
      <c r="TRN236" s="26"/>
      <c r="TRR236" s="23"/>
      <c r="TRW236" s="26"/>
      <c r="TSA236" s="23"/>
      <c r="TSF236" s="26"/>
      <c r="TSJ236" s="23"/>
      <c r="TSO236" s="26"/>
      <c r="TSS236" s="23"/>
      <c r="TSX236" s="26"/>
      <c r="TTB236" s="23"/>
      <c r="TTG236" s="26"/>
      <c r="TTK236" s="23"/>
      <c r="TTP236" s="26"/>
      <c r="TTT236" s="23"/>
      <c r="TTY236" s="26"/>
      <c r="TUC236" s="23"/>
      <c r="TUH236" s="26"/>
      <c r="TUL236" s="23"/>
      <c r="TUQ236" s="26"/>
      <c r="TUU236" s="23"/>
      <c r="TUZ236" s="26"/>
      <c r="TVD236" s="23"/>
      <c r="TVI236" s="26"/>
      <c r="TVM236" s="23"/>
      <c r="TVR236" s="26"/>
      <c r="TVV236" s="23"/>
      <c r="TWA236" s="26"/>
      <c r="TWE236" s="23"/>
      <c r="TWJ236" s="26"/>
      <c r="TWN236" s="23"/>
      <c r="TWS236" s="26"/>
      <c r="TWW236" s="23"/>
      <c r="TXB236" s="26"/>
      <c r="TXF236" s="23"/>
      <c r="TXK236" s="26"/>
      <c r="TXO236" s="23"/>
      <c r="TXT236" s="26"/>
      <c r="TXX236" s="23"/>
      <c r="TYC236" s="26"/>
      <c r="TYG236" s="23"/>
      <c r="TYL236" s="26"/>
      <c r="TYP236" s="23"/>
      <c r="TYU236" s="26"/>
      <c r="TYY236" s="23"/>
      <c r="TZD236" s="26"/>
      <c r="TZH236" s="23"/>
      <c r="TZM236" s="26"/>
      <c r="TZQ236" s="23"/>
      <c r="TZV236" s="26"/>
      <c r="TZZ236" s="23"/>
      <c r="UAE236" s="26"/>
      <c r="UAI236" s="23"/>
      <c r="UAN236" s="26"/>
      <c r="UAR236" s="23"/>
      <c r="UAW236" s="26"/>
      <c r="UBA236" s="23"/>
      <c r="UBF236" s="26"/>
      <c r="UBJ236" s="23"/>
      <c r="UBO236" s="26"/>
      <c r="UBS236" s="23"/>
      <c r="UBX236" s="26"/>
      <c r="UCB236" s="23"/>
      <c r="UCG236" s="26"/>
      <c r="UCK236" s="23"/>
      <c r="UCP236" s="26"/>
      <c r="UCT236" s="23"/>
      <c r="UCY236" s="26"/>
      <c r="UDC236" s="23"/>
      <c r="UDH236" s="26"/>
      <c r="UDL236" s="23"/>
      <c r="UDQ236" s="26"/>
      <c r="UDU236" s="23"/>
      <c r="UDZ236" s="26"/>
      <c r="UED236" s="23"/>
      <c r="UEI236" s="26"/>
      <c r="UEM236" s="23"/>
      <c r="UER236" s="26"/>
      <c r="UEV236" s="23"/>
      <c r="UFA236" s="26"/>
      <c r="UFE236" s="23"/>
      <c r="UFJ236" s="26"/>
      <c r="UFN236" s="23"/>
      <c r="UFS236" s="26"/>
      <c r="UFW236" s="23"/>
      <c r="UGB236" s="26"/>
      <c r="UGF236" s="23"/>
      <c r="UGK236" s="26"/>
      <c r="UGO236" s="23"/>
      <c r="UGT236" s="26"/>
      <c r="UGX236" s="23"/>
      <c r="UHC236" s="26"/>
      <c r="UHG236" s="23"/>
      <c r="UHL236" s="26"/>
      <c r="UHP236" s="23"/>
      <c r="UHU236" s="26"/>
      <c r="UHY236" s="23"/>
      <c r="UID236" s="26"/>
      <c r="UIH236" s="23"/>
      <c r="UIM236" s="26"/>
      <c r="UIQ236" s="23"/>
      <c r="UIV236" s="26"/>
      <c r="UIZ236" s="23"/>
      <c r="UJE236" s="26"/>
      <c r="UJI236" s="23"/>
      <c r="UJN236" s="26"/>
      <c r="UJR236" s="23"/>
      <c r="UJW236" s="26"/>
      <c r="UKA236" s="23"/>
      <c r="UKF236" s="26"/>
      <c r="UKJ236" s="23"/>
      <c r="UKO236" s="26"/>
      <c r="UKS236" s="23"/>
      <c r="UKX236" s="26"/>
      <c r="ULB236" s="23"/>
      <c r="ULG236" s="26"/>
      <c r="ULK236" s="23"/>
      <c r="ULP236" s="26"/>
      <c r="ULT236" s="23"/>
      <c r="ULY236" s="26"/>
      <c r="UMC236" s="23"/>
      <c r="UMH236" s="26"/>
      <c r="UML236" s="23"/>
      <c r="UMQ236" s="26"/>
      <c r="UMU236" s="23"/>
      <c r="UMZ236" s="26"/>
      <c r="UND236" s="23"/>
      <c r="UNI236" s="26"/>
      <c r="UNM236" s="23"/>
      <c r="UNR236" s="26"/>
      <c r="UNV236" s="23"/>
      <c r="UOA236" s="26"/>
      <c r="UOE236" s="23"/>
      <c r="UOJ236" s="26"/>
      <c r="UON236" s="23"/>
      <c r="UOS236" s="26"/>
      <c r="UOW236" s="23"/>
      <c r="UPB236" s="26"/>
      <c r="UPF236" s="23"/>
      <c r="UPK236" s="26"/>
      <c r="UPO236" s="23"/>
      <c r="UPT236" s="26"/>
      <c r="UPX236" s="23"/>
      <c r="UQC236" s="26"/>
      <c r="UQG236" s="23"/>
      <c r="UQL236" s="26"/>
      <c r="UQP236" s="23"/>
      <c r="UQU236" s="26"/>
      <c r="UQY236" s="23"/>
      <c r="URD236" s="26"/>
      <c r="URH236" s="23"/>
      <c r="URM236" s="26"/>
      <c r="URQ236" s="23"/>
      <c r="URV236" s="26"/>
      <c r="URZ236" s="23"/>
      <c r="USE236" s="26"/>
      <c r="USI236" s="23"/>
      <c r="USN236" s="26"/>
      <c r="USR236" s="23"/>
      <c r="USW236" s="26"/>
      <c r="UTA236" s="23"/>
      <c r="UTF236" s="26"/>
      <c r="UTJ236" s="23"/>
      <c r="UTO236" s="26"/>
      <c r="UTS236" s="23"/>
      <c r="UTX236" s="26"/>
      <c r="UUB236" s="23"/>
      <c r="UUG236" s="26"/>
      <c r="UUK236" s="23"/>
      <c r="UUP236" s="26"/>
      <c r="UUT236" s="23"/>
      <c r="UUY236" s="26"/>
      <c r="UVC236" s="23"/>
      <c r="UVH236" s="26"/>
      <c r="UVL236" s="23"/>
      <c r="UVQ236" s="26"/>
      <c r="UVU236" s="23"/>
      <c r="UVZ236" s="26"/>
      <c r="UWD236" s="23"/>
      <c r="UWI236" s="26"/>
      <c r="UWM236" s="23"/>
      <c r="UWR236" s="26"/>
      <c r="UWV236" s="23"/>
      <c r="UXA236" s="26"/>
      <c r="UXE236" s="23"/>
      <c r="UXJ236" s="26"/>
      <c r="UXN236" s="23"/>
      <c r="UXS236" s="26"/>
      <c r="UXW236" s="23"/>
      <c r="UYB236" s="26"/>
      <c r="UYF236" s="23"/>
      <c r="UYK236" s="26"/>
      <c r="UYO236" s="23"/>
      <c r="UYT236" s="26"/>
      <c r="UYX236" s="23"/>
      <c r="UZC236" s="26"/>
      <c r="UZG236" s="23"/>
      <c r="UZL236" s="26"/>
      <c r="UZP236" s="23"/>
      <c r="UZU236" s="26"/>
      <c r="UZY236" s="23"/>
      <c r="VAD236" s="26"/>
      <c r="VAH236" s="23"/>
      <c r="VAM236" s="26"/>
      <c r="VAQ236" s="23"/>
      <c r="VAV236" s="26"/>
      <c r="VAZ236" s="23"/>
      <c r="VBE236" s="26"/>
      <c r="VBI236" s="23"/>
      <c r="VBN236" s="26"/>
      <c r="VBR236" s="23"/>
      <c r="VBW236" s="26"/>
      <c r="VCA236" s="23"/>
      <c r="VCF236" s="26"/>
      <c r="VCJ236" s="23"/>
      <c r="VCO236" s="26"/>
      <c r="VCS236" s="23"/>
      <c r="VCX236" s="26"/>
      <c r="VDB236" s="23"/>
      <c r="VDG236" s="26"/>
      <c r="VDK236" s="23"/>
      <c r="VDP236" s="26"/>
      <c r="VDT236" s="23"/>
      <c r="VDY236" s="26"/>
      <c r="VEC236" s="23"/>
      <c r="VEH236" s="26"/>
      <c r="VEL236" s="23"/>
      <c r="VEQ236" s="26"/>
      <c r="VEU236" s="23"/>
      <c r="VEZ236" s="26"/>
      <c r="VFD236" s="23"/>
      <c r="VFI236" s="26"/>
      <c r="VFM236" s="23"/>
      <c r="VFR236" s="26"/>
      <c r="VFV236" s="23"/>
      <c r="VGA236" s="26"/>
      <c r="VGE236" s="23"/>
      <c r="VGJ236" s="26"/>
      <c r="VGN236" s="23"/>
      <c r="VGS236" s="26"/>
      <c r="VGW236" s="23"/>
      <c r="VHB236" s="26"/>
      <c r="VHF236" s="23"/>
      <c r="VHK236" s="26"/>
      <c r="VHO236" s="23"/>
      <c r="VHT236" s="26"/>
      <c r="VHX236" s="23"/>
      <c r="VIC236" s="26"/>
      <c r="VIG236" s="23"/>
      <c r="VIL236" s="26"/>
      <c r="VIP236" s="23"/>
      <c r="VIU236" s="26"/>
      <c r="VIY236" s="23"/>
      <c r="VJD236" s="26"/>
      <c r="VJH236" s="23"/>
      <c r="VJM236" s="26"/>
      <c r="VJQ236" s="23"/>
      <c r="VJV236" s="26"/>
      <c r="VJZ236" s="23"/>
      <c r="VKE236" s="26"/>
      <c r="VKI236" s="23"/>
      <c r="VKN236" s="26"/>
      <c r="VKR236" s="23"/>
      <c r="VKW236" s="26"/>
      <c r="VLA236" s="23"/>
      <c r="VLF236" s="26"/>
      <c r="VLJ236" s="23"/>
      <c r="VLO236" s="26"/>
      <c r="VLS236" s="23"/>
      <c r="VLX236" s="26"/>
      <c r="VMB236" s="23"/>
      <c r="VMG236" s="26"/>
      <c r="VMK236" s="23"/>
      <c r="VMP236" s="26"/>
      <c r="VMT236" s="23"/>
      <c r="VMY236" s="26"/>
      <c r="VNC236" s="23"/>
      <c r="VNH236" s="26"/>
      <c r="VNL236" s="23"/>
      <c r="VNQ236" s="26"/>
      <c r="VNU236" s="23"/>
      <c r="VNZ236" s="26"/>
      <c r="VOD236" s="23"/>
      <c r="VOI236" s="26"/>
      <c r="VOM236" s="23"/>
      <c r="VOR236" s="26"/>
      <c r="VOV236" s="23"/>
      <c r="VPA236" s="26"/>
      <c r="VPE236" s="23"/>
      <c r="VPJ236" s="26"/>
      <c r="VPN236" s="23"/>
      <c r="VPS236" s="26"/>
      <c r="VPW236" s="23"/>
      <c r="VQB236" s="26"/>
      <c r="VQF236" s="23"/>
      <c r="VQK236" s="26"/>
      <c r="VQO236" s="23"/>
      <c r="VQT236" s="26"/>
      <c r="VQX236" s="23"/>
      <c r="VRC236" s="26"/>
      <c r="VRG236" s="23"/>
      <c r="VRL236" s="26"/>
      <c r="VRP236" s="23"/>
      <c r="VRU236" s="26"/>
      <c r="VRY236" s="23"/>
      <c r="VSD236" s="26"/>
      <c r="VSH236" s="23"/>
      <c r="VSM236" s="26"/>
      <c r="VSQ236" s="23"/>
      <c r="VSV236" s="26"/>
      <c r="VSZ236" s="23"/>
      <c r="VTE236" s="26"/>
      <c r="VTI236" s="23"/>
      <c r="VTN236" s="26"/>
      <c r="VTR236" s="23"/>
      <c r="VTW236" s="26"/>
      <c r="VUA236" s="23"/>
      <c r="VUF236" s="26"/>
      <c r="VUJ236" s="23"/>
      <c r="VUO236" s="26"/>
      <c r="VUS236" s="23"/>
      <c r="VUX236" s="26"/>
      <c r="VVB236" s="23"/>
      <c r="VVG236" s="26"/>
      <c r="VVK236" s="23"/>
      <c r="VVP236" s="26"/>
      <c r="VVT236" s="23"/>
      <c r="VVY236" s="26"/>
      <c r="VWC236" s="23"/>
      <c r="VWH236" s="26"/>
      <c r="VWL236" s="23"/>
      <c r="VWQ236" s="26"/>
      <c r="VWU236" s="23"/>
      <c r="VWZ236" s="26"/>
      <c r="VXD236" s="23"/>
      <c r="VXI236" s="26"/>
      <c r="VXM236" s="23"/>
      <c r="VXR236" s="26"/>
      <c r="VXV236" s="23"/>
      <c r="VYA236" s="26"/>
      <c r="VYE236" s="23"/>
      <c r="VYJ236" s="26"/>
      <c r="VYN236" s="23"/>
      <c r="VYS236" s="26"/>
      <c r="VYW236" s="23"/>
      <c r="VZB236" s="26"/>
      <c r="VZF236" s="23"/>
      <c r="VZK236" s="26"/>
      <c r="VZO236" s="23"/>
      <c r="VZT236" s="26"/>
      <c r="VZX236" s="23"/>
      <c r="WAC236" s="26"/>
      <c r="WAG236" s="23"/>
      <c r="WAL236" s="26"/>
      <c r="WAP236" s="23"/>
      <c r="WAU236" s="26"/>
      <c r="WAY236" s="23"/>
      <c r="WBD236" s="26"/>
      <c r="WBH236" s="23"/>
      <c r="WBM236" s="26"/>
      <c r="WBQ236" s="23"/>
      <c r="WBV236" s="26"/>
      <c r="WBZ236" s="23"/>
      <c r="WCE236" s="26"/>
      <c r="WCI236" s="23"/>
      <c r="WCN236" s="26"/>
      <c r="WCR236" s="23"/>
      <c r="WCW236" s="26"/>
      <c r="WDA236" s="23"/>
      <c r="WDF236" s="26"/>
      <c r="WDJ236" s="23"/>
      <c r="WDO236" s="26"/>
      <c r="WDS236" s="23"/>
      <c r="WDX236" s="26"/>
      <c r="WEB236" s="23"/>
      <c r="WEG236" s="26"/>
      <c r="WEK236" s="23"/>
      <c r="WEP236" s="26"/>
      <c r="WET236" s="23"/>
      <c r="WEY236" s="26"/>
      <c r="WFC236" s="23"/>
      <c r="WFH236" s="26"/>
      <c r="WFL236" s="23"/>
      <c r="WFQ236" s="26"/>
      <c r="WFU236" s="23"/>
      <c r="WFZ236" s="26"/>
      <c r="WGD236" s="23"/>
      <c r="WGI236" s="26"/>
      <c r="WGM236" s="23"/>
      <c r="WGR236" s="26"/>
      <c r="WGV236" s="23"/>
      <c r="WHA236" s="26"/>
      <c r="WHE236" s="23"/>
      <c r="WHJ236" s="26"/>
      <c r="WHN236" s="23"/>
      <c r="WHS236" s="26"/>
      <c r="WHW236" s="23"/>
      <c r="WIB236" s="26"/>
      <c r="WIF236" s="23"/>
      <c r="WIK236" s="26"/>
      <c r="WIO236" s="23"/>
      <c r="WIT236" s="26"/>
      <c r="WIX236" s="23"/>
      <c r="WJC236" s="26"/>
      <c r="WJG236" s="23"/>
      <c r="WJL236" s="26"/>
      <c r="WJP236" s="23"/>
      <c r="WJU236" s="26"/>
      <c r="WJY236" s="23"/>
      <c r="WKD236" s="26"/>
      <c r="WKH236" s="23"/>
      <c r="WKM236" s="26"/>
      <c r="WKQ236" s="23"/>
      <c r="WKV236" s="26"/>
      <c r="WKZ236" s="23"/>
      <c r="WLE236" s="26"/>
      <c r="WLI236" s="23"/>
      <c r="WLN236" s="26"/>
      <c r="WLR236" s="23"/>
      <c r="WLW236" s="26"/>
      <c r="WMA236" s="23"/>
      <c r="WMF236" s="26"/>
      <c r="WMJ236" s="23"/>
      <c r="WMO236" s="26"/>
      <c r="WMS236" s="23"/>
      <c r="WMX236" s="26"/>
      <c r="WNB236" s="23"/>
      <c r="WNG236" s="26"/>
      <c r="WNK236" s="23"/>
      <c r="WNP236" s="26"/>
      <c r="WNT236" s="23"/>
      <c r="WNY236" s="26"/>
      <c r="WOC236" s="23"/>
      <c r="WOH236" s="26"/>
      <c r="WOL236" s="23"/>
      <c r="WOQ236" s="26"/>
      <c r="WOU236" s="23"/>
      <c r="WOZ236" s="26"/>
      <c r="WPD236" s="23"/>
      <c r="WPI236" s="26"/>
      <c r="WPM236" s="23"/>
      <c r="WPR236" s="26"/>
      <c r="WPV236" s="23"/>
      <c r="WQA236" s="26"/>
      <c r="WQE236" s="23"/>
      <c r="WQJ236" s="26"/>
      <c r="WQN236" s="23"/>
      <c r="WQS236" s="26"/>
      <c r="WQW236" s="23"/>
      <c r="WRB236" s="26"/>
      <c r="WRF236" s="23"/>
      <c r="WRK236" s="26"/>
      <c r="WRO236" s="23"/>
      <c r="WRT236" s="26"/>
      <c r="WRX236" s="23"/>
      <c r="WSC236" s="26"/>
      <c r="WSG236" s="23"/>
      <c r="WSL236" s="26"/>
      <c r="WSP236" s="23"/>
      <c r="WSU236" s="26"/>
      <c r="WSY236" s="23"/>
      <c r="WTD236" s="26"/>
      <c r="WTH236" s="23"/>
      <c r="WTM236" s="26"/>
      <c r="WTQ236" s="23"/>
      <c r="WTV236" s="26"/>
      <c r="WTZ236" s="23"/>
      <c r="WUE236" s="26"/>
      <c r="WUI236" s="23"/>
      <c r="WUN236" s="26"/>
      <c r="WUR236" s="23"/>
      <c r="WUW236" s="26"/>
      <c r="WVA236" s="23"/>
      <c r="WVF236" s="26"/>
      <c r="WVJ236" s="23"/>
      <c r="WVO236" s="26"/>
      <c r="WVS236" s="23"/>
      <c r="WVX236" s="26"/>
      <c r="WWB236" s="23"/>
      <c r="WWG236" s="26"/>
      <c r="WWK236" s="23"/>
      <c r="WWP236" s="26"/>
      <c r="WWT236" s="23"/>
      <c r="WWY236" s="26"/>
      <c r="WXC236" s="23"/>
      <c r="WXH236" s="26"/>
      <c r="WXL236" s="23"/>
      <c r="WXQ236" s="26"/>
      <c r="WXU236" s="23"/>
      <c r="WXZ236" s="26"/>
      <c r="WYD236" s="23"/>
      <c r="WYI236" s="26"/>
      <c r="WYM236" s="23"/>
      <c r="WYR236" s="26"/>
      <c r="WYV236" s="23"/>
      <c r="WZA236" s="26"/>
      <c r="WZE236" s="23"/>
      <c r="WZJ236" s="26"/>
      <c r="WZN236" s="23"/>
      <c r="WZS236" s="26"/>
      <c r="WZW236" s="23"/>
      <c r="XAB236" s="26"/>
      <c r="XAF236" s="23"/>
      <c r="XAK236" s="26"/>
      <c r="XAO236" s="23"/>
      <c r="XAT236" s="26"/>
      <c r="XAX236" s="23"/>
      <c r="XBC236" s="26"/>
      <c r="XBG236" s="23"/>
      <c r="XBL236" s="26"/>
      <c r="XBP236" s="23"/>
      <c r="XBU236" s="26"/>
      <c r="XBY236" s="23"/>
      <c r="XCD236" s="26"/>
      <c r="XCH236" s="23"/>
      <c r="XCM236" s="26"/>
      <c r="XCQ236" s="23"/>
      <c r="XCV236" s="26"/>
      <c r="XCZ236" s="23"/>
      <c r="XDE236" s="26"/>
      <c r="XDI236" s="23"/>
      <c r="XDN236" s="26"/>
      <c r="XDR236" s="23"/>
      <c r="XDW236" s="26"/>
      <c r="XEA236" s="23"/>
      <c r="XEF236" s="26"/>
      <c r="XEJ236" s="23"/>
      <c r="XEO236" s="26"/>
      <c r="XES236" s="23"/>
      <c r="XEX236" s="26"/>
      <c r="XFB236" s="23"/>
    </row>
    <row r="237" spans="2:1024 1028:2045 2050:3071 3076:4093 4097:5119 5123:6140 6145:7166 7171:8192 8197:9214 9218:10240 10244:11261 11266:12287 12292:13309 13313:14335 14339:15356 15361:16382" x14ac:dyDescent="0.3">
      <c r="B237" s="23"/>
      <c r="K237" s="23"/>
      <c r="P237" s="26"/>
      <c r="T237" s="23"/>
      <c r="Y237" s="26"/>
      <c r="AC237" s="23"/>
      <c r="AH237" s="26"/>
      <c r="AL237" s="23"/>
      <c r="AQ237" s="26"/>
      <c r="AU237" s="23"/>
      <c r="AZ237" s="26"/>
      <c r="BD237" s="23"/>
      <c r="BI237" s="26"/>
      <c r="BM237" s="23"/>
      <c r="BR237" s="26"/>
      <c r="BV237" s="23"/>
      <c r="CA237" s="26"/>
      <c r="CE237" s="23"/>
      <c r="CJ237" s="26"/>
      <c r="CN237" s="23"/>
      <c r="CS237" s="26"/>
      <c r="CW237" s="23"/>
      <c r="DB237" s="26"/>
      <c r="DF237" s="23"/>
      <c r="DK237" s="26"/>
      <c r="DO237" s="23"/>
      <c r="DT237" s="26"/>
      <c r="DX237" s="23"/>
      <c r="EC237" s="26"/>
      <c r="EG237" s="23"/>
      <c r="EL237" s="26"/>
      <c r="EP237" s="23"/>
      <c r="EU237" s="26"/>
      <c r="EY237" s="23"/>
      <c r="FD237" s="26"/>
      <c r="FH237" s="23"/>
      <c r="FM237" s="26"/>
      <c r="FQ237" s="23"/>
      <c r="FV237" s="26"/>
      <c r="FZ237" s="23"/>
      <c r="GE237" s="26"/>
      <c r="GI237" s="23"/>
      <c r="GN237" s="26"/>
      <c r="GR237" s="23"/>
      <c r="GW237" s="26"/>
      <c r="HA237" s="23"/>
      <c r="HF237" s="26"/>
      <c r="HJ237" s="23"/>
      <c r="HO237" s="26"/>
      <c r="HS237" s="23"/>
      <c r="HX237" s="26"/>
      <c r="IB237" s="23"/>
      <c r="IG237" s="26"/>
      <c r="IK237" s="23"/>
      <c r="IP237" s="26"/>
      <c r="IT237" s="23"/>
      <c r="IY237" s="26"/>
      <c r="JC237" s="23"/>
      <c r="JH237" s="26"/>
      <c r="JL237" s="23"/>
      <c r="JQ237" s="26"/>
      <c r="JU237" s="23"/>
      <c r="JZ237" s="26"/>
      <c r="KD237" s="23"/>
      <c r="KI237" s="26"/>
      <c r="KM237" s="23"/>
      <c r="KR237" s="26"/>
      <c r="KV237" s="23"/>
      <c r="LA237" s="26"/>
      <c r="LE237" s="23"/>
      <c r="LJ237" s="26"/>
      <c r="LN237" s="23"/>
      <c r="LS237" s="26"/>
      <c r="LW237" s="23"/>
      <c r="MB237" s="26"/>
      <c r="MF237" s="23"/>
      <c r="MK237" s="26"/>
      <c r="MO237" s="23"/>
      <c r="MT237" s="26"/>
      <c r="MX237" s="23"/>
      <c r="NC237" s="26"/>
      <c r="NG237" s="23"/>
      <c r="NL237" s="26"/>
      <c r="NP237" s="23"/>
      <c r="NU237" s="26"/>
      <c r="NY237" s="23"/>
      <c r="OD237" s="26"/>
      <c r="OH237" s="23"/>
      <c r="OM237" s="26"/>
      <c r="OQ237" s="23"/>
      <c r="OV237" s="26"/>
      <c r="OZ237" s="23"/>
      <c r="PE237" s="26"/>
      <c r="PI237" s="23"/>
      <c r="PN237" s="26"/>
      <c r="PR237" s="23"/>
      <c r="PW237" s="26"/>
      <c r="QA237" s="23"/>
      <c r="QF237" s="26"/>
      <c r="QJ237" s="23"/>
      <c r="QO237" s="26"/>
      <c r="QS237" s="23"/>
      <c r="QX237" s="26"/>
      <c r="RB237" s="23"/>
      <c r="RG237" s="26"/>
      <c r="RK237" s="23"/>
      <c r="RP237" s="26"/>
      <c r="RT237" s="23"/>
      <c r="RY237" s="26"/>
      <c r="SC237" s="23"/>
      <c r="SH237" s="26"/>
      <c r="SL237" s="23"/>
      <c r="SQ237" s="26"/>
      <c r="SU237" s="23"/>
      <c r="SZ237" s="26"/>
      <c r="TD237" s="23"/>
      <c r="TI237" s="26"/>
      <c r="TM237" s="23"/>
      <c r="TR237" s="26"/>
      <c r="TV237" s="23"/>
      <c r="UA237" s="26"/>
      <c r="UE237" s="23"/>
      <c r="UJ237" s="26"/>
      <c r="UN237" s="23"/>
      <c r="US237" s="26"/>
      <c r="UW237" s="23"/>
      <c r="VB237" s="26"/>
      <c r="VF237" s="23"/>
      <c r="VK237" s="26"/>
      <c r="VO237" s="23"/>
      <c r="VT237" s="26"/>
      <c r="VX237" s="23"/>
      <c r="WC237" s="26"/>
      <c r="WG237" s="23"/>
      <c r="WL237" s="26"/>
      <c r="WP237" s="23"/>
      <c r="WU237" s="26"/>
      <c r="WY237" s="23"/>
      <c r="XD237" s="26"/>
      <c r="XH237" s="23"/>
      <c r="XM237" s="26"/>
      <c r="XQ237" s="23"/>
      <c r="XV237" s="26"/>
      <c r="XZ237" s="23"/>
      <c r="YE237" s="26"/>
      <c r="YI237" s="23"/>
      <c r="YN237" s="26"/>
      <c r="YR237" s="23"/>
      <c r="YW237" s="26"/>
      <c r="ZA237" s="23"/>
      <c r="ZF237" s="26"/>
      <c r="ZJ237" s="23"/>
      <c r="ZO237" s="26"/>
      <c r="ZS237" s="23"/>
      <c r="ZX237" s="26"/>
      <c r="AAB237" s="23"/>
      <c r="AAG237" s="26"/>
      <c r="AAK237" s="23"/>
      <c r="AAP237" s="26"/>
      <c r="AAT237" s="23"/>
      <c r="AAY237" s="26"/>
      <c r="ABC237" s="23"/>
      <c r="ABH237" s="26"/>
      <c r="ABL237" s="23"/>
      <c r="ABQ237" s="26"/>
      <c r="ABU237" s="23"/>
      <c r="ABZ237" s="26"/>
      <c r="ACD237" s="23"/>
      <c r="ACI237" s="26"/>
      <c r="ACM237" s="23"/>
      <c r="ACR237" s="26"/>
      <c r="ACV237" s="23"/>
      <c r="ADA237" s="26"/>
      <c r="ADE237" s="23"/>
      <c r="ADJ237" s="26"/>
      <c r="ADN237" s="23"/>
      <c r="ADS237" s="26"/>
      <c r="ADW237" s="23"/>
      <c r="AEB237" s="26"/>
      <c r="AEF237" s="23"/>
      <c r="AEK237" s="26"/>
      <c r="AEO237" s="23"/>
      <c r="AET237" s="26"/>
      <c r="AEX237" s="23"/>
      <c r="AFC237" s="26"/>
      <c r="AFG237" s="23"/>
      <c r="AFL237" s="26"/>
      <c r="AFP237" s="23"/>
      <c r="AFU237" s="26"/>
      <c r="AFY237" s="23"/>
      <c r="AGD237" s="26"/>
      <c r="AGH237" s="23"/>
      <c r="AGM237" s="26"/>
      <c r="AGQ237" s="23"/>
      <c r="AGV237" s="26"/>
      <c r="AGZ237" s="23"/>
      <c r="AHE237" s="26"/>
      <c r="AHI237" s="23"/>
      <c r="AHN237" s="26"/>
      <c r="AHR237" s="23"/>
      <c r="AHW237" s="26"/>
      <c r="AIA237" s="23"/>
      <c r="AIF237" s="26"/>
      <c r="AIJ237" s="23"/>
      <c r="AIO237" s="26"/>
      <c r="AIS237" s="23"/>
      <c r="AIX237" s="26"/>
      <c r="AJB237" s="23"/>
      <c r="AJG237" s="26"/>
      <c r="AJK237" s="23"/>
      <c r="AJP237" s="26"/>
      <c r="AJT237" s="23"/>
      <c r="AJY237" s="26"/>
      <c r="AKC237" s="23"/>
      <c r="AKH237" s="26"/>
      <c r="AKL237" s="23"/>
      <c r="AKQ237" s="26"/>
      <c r="AKU237" s="23"/>
      <c r="AKZ237" s="26"/>
      <c r="ALD237" s="23"/>
      <c r="ALI237" s="26"/>
      <c r="ALM237" s="23"/>
      <c r="ALR237" s="26"/>
      <c r="ALV237" s="23"/>
      <c r="AMA237" s="26"/>
      <c r="AME237" s="23"/>
      <c r="AMJ237" s="26"/>
      <c r="AMN237" s="23"/>
      <c r="AMS237" s="26"/>
      <c r="AMW237" s="23"/>
      <c r="ANB237" s="26"/>
      <c r="ANF237" s="23"/>
      <c r="ANK237" s="26"/>
      <c r="ANO237" s="23"/>
      <c r="ANT237" s="26"/>
      <c r="ANX237" s="23"/>
      <c r="AOC237" s="26"/>
      <c r="AOG237" s="23"/>
      <c r="AOL237" s="26"/>
      <c r="AOP237" s="23"/>
      <c r="AOU237" s="26"/>
      <c r="AOY237" s="23"/>
      <c r="APD237" s="26"/>
      <c r="APH237" s="23"/>
      <c r="APM237" s="26"/>
      <c r="APQ237" s="23"/>
      <c r="APV237" s="26"/>
      <c r="APZ237" s="23"/>
      <c r="AQE237" s="26"/>
      <c r="AQI237" s="23"/>
      <c r="AQN237" s="26"/>
      <c r="AQR237" s="23"/>
      <c r="AQW237" s="26"/>
      <c r="ARA237" s="23"/>
      <c r="ARF237" s="26"/>
      <c r="ARJ237" s="23"/>
      <c r="ARO237" s="26"/>
      <c r="ARS237" s="23"/>
      <c r="ARX237" s="26"/>
      <c r="ASB237" s="23"/>
      <c r="ASG237" s="26"/>
      <c r="ASK237" s="23"/>
      <c r="ASP237" s="26"/>
      <c r="AST237" s="23"/>
      <c r="ASY237" s="26"/>
      <c r="ATC237" s="23"/>
      <c r="ATH237" s="26"/>
      <c r="ATL237" s="23"/>
      <c r="ATQ237" s="26"/>
      <c r="ATU237" s="23"/>
      <c r="ATZ237" s="26"/>
      <c r="AUD237" s="23"/>
      <c r="AUI237" s="26"/>
      <c r="AUM237" s="23"/>
      <c r="AUR237" s="26"/>
      <c r="AUV237" s="23"/>
      <c r="AVA237" s="26"/>
      <c r="AVE237" s="23"/>
      <c r="AVJ237" s="26"/>
      <c r="AVN237" s="23"/>
      <c r="AVS237" s="26"/>
      <c r="AVW237" s="23"/>
      <c r="AWB237" s="26"/>
      <c r="AWF237" s="23"/>
      <c r="AWK237" s="26"/>
      <c r="AWO237" s="23"/>
      <c r="AWT237" s="26"/>
      <c r="AWX237" s="23"/>
      <c r="AXC237" s="26"/>
      <c r="AXG237" s="23"/>
      <c r="AXL237" s="26"/>
      <c r="AXP237" s="23"/>
      <c r="AXU237" s="26"/>
      <c r="AXY237" s="23"/>
      <c r="AYD237" s="26"/>
      <c r="AYH237" s="23"/>
      <c r="AYM237" s="26"/>
      <c r="AYQ237" s="23"/>
      <c r="AYV237" s="26"/>
      <c r="AYZ237" s="23"/>
      <c r="AZE237" s="26"/>
      <c r="AZI237" s="23"/>
      <c r="AZN237" s="26"/>
      <c r="AZR237" s="23"/>
      <c r="AZW237" s="26"/>
      <c r="BAA237" s="23"/>
      <c r="BAF237" s="26"/>
      <c r="BAJ237" s="23"/>
      <c r="BAO237" s="26"/>
      <c r="BAS237" s="23"/>
      <c r="BAX237" s="26"/>
      <c r="BBB237" s="23"/>
      <c r="BBG237" s="26"/>
      <c r="BBK237" s="23"/>
      <c r="BBP237" s="26"/>
      <c r="BBT237" s="23"/>
      <c r="BBY237" s="26"/>
      <c r="BCC237" s="23"/>
      <c r="BCH237" s="26"/>
      <c r="BCL237" s="23"/>
      <c r="BCQ237" s="26"/>
      <c r="BCU237" s="23"/>
      <c r="BCZ237" s="26"/>
      <c r="BDD237" s="23"/>
      <c r="BDI237" s="26"/>
      <c r="BDM237" s="23"/>
      <c r="BDR237" s="26"/>
      <c r="BDV237" s="23"/>
      <c r="BEA237" s="26"/>
      <c r="BEE237" s="23"/>
      <c r="BEJ237" s="26"/>
      <c r="BEN237" s="23"/>
      <c r="BES237" s="26"/>
      <c r="BEW237" s="23"/>
      <c r="BFB237" s="26"/>
      <c r="BFF237" s="23"/>
      <c r="BFK237" s="26"/>
      <c r="BFO237" s="23"/>
      <c r="BFT237" s="26"/>
      <c r="BFX237" s="23"/>
      <c r="BGC237" s="26"/>
      <c r="BGG237" s="23"/>
      <c r="BGL237" s="26"/>
      <c r="BGP237" s="23"/>
      <c r="BGU237" s="26"/>
      <c r="BGY237" s="23"/>
      <c r="BHD237" s="26"/>
      <c r="BHH237" s="23"/>
      <c r="BHM237" s="26"/>
      <c r="BHQ237" s="23"/>
      <c r="BHV237" s="26"/>
      <c r="BHZ237" s="23"/>
      <c r="BIE237" s="26"/>
      <c r="BII237" s="23"/>
      <c r="BIN237" s="26"/>
      <c r="BIR237" s="23"/>
      <c r="BIW237" s="26"/>
      <c r="BJA237" s="23"/>
      <c r="BJF237" s="26"/>
      <c r="BJJ237" s="23"/>
      <c r="BJO237" s="26"/>
      <c r="BJS237" s="23"/>
      <c r="BJX237" s="26"/>
      <c r="BKB237" s="23"/>
      <c r="BKG237" s="26"/>
      <c r="BKK237" s="23"/>
      <c r="BKP237" s="26"/>
      <c r="BKT237" s="23"/>
      <c r="BKY237" s="26"/>
      <c r="BLC237" s="23"/>
      <c r="BLH237" s="26"/>
      <c r="BLL237" s="23"/>
      <c r="BLQ237" s="26"/>
      <c r="BLU237" s="23"/>
      <c r="BLZ237" s="26"/>
      <c r="BMD237" s="23"/>
      <c r="BMI237" s="26"/>
      <c r="BMM237" s="23"/>
      <c r="BMR237" s="26"/>
      <c r="BMV237" s="23"/>
      <c r="BNA237" s="26"/>
      <c r="BNE237" s="23"/>
      <c r="BNJ237" s="26"/>
      <c r="BNN237" s="23"/>
      <c r="BNS237" s="26"/>
      <c r="BNW237" s="23"/>
      <c r="BOB237" s="26"/>
      <c r="BOF237" s="23"/>
      <c r="BOK237" s="26"/>
      <c r="BOO237" s="23"/>
      <c r="BOT237" s="26"/>
      <c r="BOX237" s="23"/>
      <c r="BPC237" s="26"/>
      <c r="BPG237" s="23"/>
      <c r="BPL237" s="26"/>
      <c r="BPP237" s="23"/>
      <c r="BPU237" s="26"/>
      <c r="BPY237" s="23"/>
      <c r="BQD237" s="26"/>
      <c r="BQH237" s="23"/>
      <c r="BQM237" s="26"/>
      <c r="BQQ237" s="23"/>
      <c r="BQV237" s="26"/>
      <c r="BQZ237" s="23"/>
      <c r="BRE237" s="26"/>
      <c r="BRI237" s="23"/>
      <c r="BRN237" s="26"/>
      <c r="BRR237" s="23"/>
      <c r="BRW237" s="26"/>
      <c r="BSA237" s="23"/>
      <c r="BSF237" s="26"/>
      <c r="BSJ237" s="23"/>
      <c r="BSO237" s="26"/>
      <c r="BSS237" s="23"/>
      <c r="BSX237" s="26"/>
      <c r="BTB237" s="23"/>
      <c r="BTG237" s="26"/>
      <c r="BTK237" s="23"/>
      <c r="BTP237" s="26"/>
      <c r="BTT237" s="23"/>
      <c r="BTY237" s="26"/>
      <c r="BUC237" s="23"/>
      <c r="BUH237" s="26"/>
      <c r="BUL237" s="23"/>
      <c r="BUQ237" s="26"/>
      <c r="BUU237" s="23"/>
      <c r="BUZ237" s="26"/>
      <c r="BVD237" s="23"/>
      <c r="BVI237" s="26"/>
      <c r="BVM237" s="23"/>
      <c r="BVR237" s="26"/>
      <c r="BVV237" s="23"/>
      <c r="BWA237" s="26"/>
      <c r="BWE237" s="23"/>
      <c r="BWJ237" s="26"/>
      <c r="BWN237" s="23"/>
      <c r="BWS237" s="26"/>
      <c r="BWW237" s="23"/>
      <c r="BXB237" s="26"/>
      <c r="BXF237" s="23"/>
      <c r="BXK237" s="26"/>
      <c r="BXO237" s="23"/>
      <c r="BXT237" s="26"/>
      <c r="BXX237" s="23"/>
      <c r="BYC237" s="26"/>
      <c r="BYG237" s="23"/>
      <c r="BYL237" s="26"/>
      <c r="BYP237" s="23"/>
      <c r="BYU237" s="26"/>
      <c r="BYY237" s="23"/>
      <c r="BZD237" s="26"/>
      <c r="BZH237" s="23"/>
      <c r="BZM237" s="26"/>
      <c r="BZQ237" s="23"/>
      <c r="BZV237" s="26"/>
      <c r="BZZ237" s="23"/>
      <c r="CAE237" s="26"/>
      <c r="CAI237" s="23"/>
      <c r="CAN237" s="26"/>
      <c r="CAR237" s="23"/>
      <c r="CAW237" s="26"/>
      <c r="CBA237" s="23"/>
      <c r="CBF237" s="26"/>
      <c r="CBJ237" s="23"/>
      <c r="CBO237" s="26"/>
      <c r="CBS237" s="23"/>
      <c r="CBX237" s="26"/>
      <c r="CCB237" s="23"/>
      <c r="CCG237" s="26"/>
      <c r="CCK237" s="23"/>
      <c r="CCP237" s="26"/>
      <c r="CCT237" s="23"/>
      <c r="CCY237" s="26"/>
      <c r="CDC237" s="23"/>
      <c r="CDH237" s="26"/>
      <c r="CDL237" s="23"/>
      <c r="CDQ237" s="26"/>
      <c r="CDU237" s="23"/>
      <c r="CDZ237" s="26"/>
      <c r="CED237" s="23"/>
      <c r="CEI237" s="26"/>
      <c r="CEM237" s="23"/>
      <c r="CER237" s="26"/>
      <c r="CEV237" s="23"/>
      <c r="CFA237" s="26"/>
      <c r="CFE237" s="23"/>
      <c r="CFJ237" s="26"/>
      <c r="CFN237" s="23"/>
      <c r="CFS237" s="26"/>
      <c r="CFW237" s="23"/>
      <c r="CGB237" s="26"/>
      <c r="CGF237" s="23"/>
      <c r="CGK237" s="26"/>
      <c r="CGO237" s="23"/>
      <c r="CGT237" s="26"/>
      <c r="CGX237" s="23"/>
      <c r="CHC237" s="26"/>
      <c r="CHG237" s="23"/>
      <c r="CHL237" s="26"/>
      <c r="CHP237" s="23"/>
      <c r="CHU237" s="26"/>
      <c r="CHY237" s="23"/>
      <c r="CID237" s="26"/>
      <c r="CIH237" s="23"/>
      <c r="CIM237" s="26"/>
      <c r="CIQ237" s="23"/>
      <c r="CIV237" s="26"/>
      <c r="CIZ237" s="23"/>
      <c r="CJE237" s="26"/>
      <c r="CJI237" s="23"/>
      <c r="CJN237" s="26"/>
      <c r="CJR237" s="23"/>
      <c r="CJW237" s="26"/>
      <c r="CKA237" s="23"/>
      <c r="CKF237" s="26"/>
      <c r="CKJ237" s="23"/>
      <c r="CKO237" s="26"/>
      <c r="CKS237" s="23"/>
      <c r="CKX237" s="26"/>
      <c r="CLB237" s="23"/>
      <c r="CLG237" s="26"/>
      <c r="CLK237" s="23"/>
      <c r="CLP237" s="26"/>
      <c r="CLT237" s="23"/>
      <c r="CLY237" s="26"/>
      <c r="CMC237" s="23"/>
      <c r="CMH237" s="26"/>
      <c r="CML237" s="23"/>
      <c r="CMQ237" s="26"/>
      <c r="CMU237" s="23"/>
      <c r="CMZ237" s="26"/>
      <c r="CND237" s="23"/>
      <c r="CNI237" s="26"/>
      <c r="CNM237" s="23"/>
      <c r="CNR237" s="26"/>
      <c r="CNV237" s="23"/>
      <c r="COA237" s="26"/>
      <c r="COE237" s="23"/>
      <c r="COJ237" s="26"/>
      <c r="CON237" s="23"/>
      <c r="COS237" s="26"/>
      <c r="COW237" s="23"/>
      <c r="CPB237" s="26"/>
      <c r="CPF237" s="23"/>
      <c r="CPK237" s="26"/>
      <c r="CPO237" s="23"/>
      <c r="CPT237" s="26"/>
      <c r="CPX237" s="23"/>
      <c r="CQC237" s="26"/>
      <c r="CQG237" s="23"/>
      <c r="CQL237" s="26"/>
      <c r="CQP237" s="23"/>
      <c r="CQU237" s="26"/>
      <c r="CQY237" s="23"/>
      <c r="CRD237" s="26"/>
      <c r="CRH237" s="23"/>
      <c r="CRM237" s="26"/>
      <c r="CRQ237" s="23"/>
      <c r="CRV237" s="26"/>
      <c r="CRZ237" s="23"/>
      <c r="CSE237" s="26"/>
      <c r="CSI237" s="23"/>
      <c r="CSN237" s="26"/>
      <c r="CSR237" s="23"/>
      <c r="CSW237" s="26"/>
      <c r="CTA237" s="23"/>
      <c r="CTF237" s="26"/>
      <c r="CTJ237" s="23"/>
      <c r="CTO237" s="26"/>
      <c r="CTS237" s="23"/>
      <c r="CTX237" s="26"/>
      <c r="CUB237" s="23"/>
      <c r="CUG237" s="26"/>
      <c r="CUK237" s="23"/>
      <c r="CUP237" s="26"/>
      <c r="CUT237" s="23"/>
      <c r="CUY237" s="26"/>
      <c r="CVC237" s="23"/>
      <c r="CVH237" s="26"/>
      <c r="CVL237" s="23"/>
      <c r="CVQ237" s="26"/>
      <c r="CVU237" s="23"/>
      <c r="CVZ237" s="26"/>
      <c r="CWD237" s="23"/>
      <c r="CWI237" s="26"/>
      <c r="CWM237" s="23"/>
      <c r="CWR237" s="26"/>
      <c r="CWV237" s="23"/>
      <c r="CXA237" s="26"/>
      <c r="CXE237" s="23"/>
      <c r="CXJ237" s="26"/>
      <c r="CXN237" s="23"/>
      <c r="CXS237" s="26"/>
      <c r="CXW237" s="23"/>
      <c r="CYB237" s="26"/>
      <c r="CYF237" s="23"/>
      <c r="CYK237" s="26"/>
      <c r="CYO237" s="23"/>
      <c r="CYT237" s="26"/>
      <c r="CYX237" s="23"/>
      <c r="CZC237" s="26"/>
      <c r="CZG237" s="23"/>
      <c r="CZL237" s="26"/>
      <c r="CZP237" s="23"/>
      <c r="CZU237" s="26"/>
      <c r="CZY237" s="23"/>
      <c r="DAD237" s="26"/>
      <c r="DAH237" s="23"/>
      <c r="DAM237" s="26"/>
      <c r="DAQ237" s="23"/>
      <c r="DAV237" s="26"/>
      <c r="DAZ237" s="23"/>
      <c r="DBE237" s="26"/>
      <c r="DBI237" s="23"/>
      <c r="DBN237" s="26"/>
      <c r="DBR237" s="23"/>
      <c r="DBW237" s="26"/>
      <c r="DCA237" s="23"/>
      <c r="DCF237" s="26"/>
      <c r="DCJ237" s="23"/>
      <c r="DCO237" s="26"/>
      <c r="DCS237" s="23"/>
      <c r="DCX237" s="26"/>
      <c r="DDB237" s="23"/>
      <c r="DDG237" s="26"/>
      <c r="DDK237" s="23"/>
      <c r="DDP237" s="26"/>
      <c r="DDT237" s="23"/>
      <c r="DDY237" s="26"/>
      <c r="DEC237" s="23"/>
      <c r="DEH237" s="26"/>
      <c r="DEL237" s="23"/>
      <c r="DEQ237" s="26"/>
      <c r="DEU237" s="23"/>
      <c r="DEZ237" s="26"/>
      <c r="DFD237" s="23"/>
      <c r="DFI237" s="26"/>
      <c r="DFM237" s="23"/>
      <c r="DFR237" s="26"/>
      <c r="DFV237" s="23"/>
      <c r="DGA237" s="26"/>
      <c r="DGE237" s="23"/>
      <c r="DGJ237" s="26"/>
      <c r="DGN237" s="23"/>
      <c r="DGS237" s="26"/>
      <c r="DGW237" s="23"/>
      <c r="DHB237" s="26"/>
      <c r="DHF237" s="23"/>
      <c r="DHK237" s="26"/>
      <c r="DHO237" s="23"/>
      <c r="DHT237" s="26"/>
      <c r="DHX237" s="23"/>
      <c r="DIC237" s="26"/>
      <c r="DIG237" s="23"/>
      <c r="DIL237" s="26"/>
      <c r="DIP237" s="23"/>
      <c r="DIU237" s="26"/>
      <c r="DIY237" s="23"/>
      <c r="DJD237" s="26"/>
      <c r="DJH237" s="23"/>
      <c r="DJM237" s="26"/>
      <c r="DJQ237" s="23"/>
      <c r="DJV237" s="26"/>
      <c r="DJZ237" s="23"/>
      <c r="DKE237" s="26"/>
      <c r="DKI237" s="23"/>
      <c r="DKN237" s="26"/>
      <c r="DKR237" s="23"/>
      <c r="DKW237" s="26"/>
      <c r="DLA237" s="23"/>
      <c r="DLF237" s="26"/>
      <c r="DLJ237" s="23"/>
      <c r="DLO237" s="26"/>
      <c r="DLS237" s="23"/>
      <c r="DLX237" s="26"/>
      <c r="DMB237" s="23"/>
      <c r="DMG237" s="26"/>
      <c r="DMK237" s="23"/>
      <c r="DMP237" s="26"/>
      <c r="DMT237" s="23"/>
      <c r="DMY237" s="26"/>
      <c r="DNC237" s="23"/>
      <c r="DNH237" s="26"/>
      <c r="DNL237" s="23"/>
      <c r="DNQ237" s="26"/>
      <c r="DNU237" s="23"/>
      <c r="DNZ237" s="26"/>
      <c r="DOD237" s="23"/>
      <c r="DOI237" s="26"/>
      <c r="DOM237" s="23"/>
      <c r="DOR237" s="26"/>
      <c r="DOV237" s="23"/>
      <c r="DPA237" s="26"/>
      <c r="DPE237" s="23"/>
      <c r="DPJ237" s="26"/>
      <c r="DPN237" s="23"/>
      <c r="DPS237" s="26"/>
      <c r="DPW237" s="23"/>
      <c r="DQB237" s="26"/>
      <c r="DQF237" s="23"/>
      <c r="DQK237" s="26"/>
      <c r="DQO237" s="23"/>
      <c r="DQT237" s="26"/>
      <c r="DQX237" s="23"/>
      <c r="DRC237" s="26"/>
      <c r="DRG237" s="23"/>
      <c r="DRL237" s="26"/>
      <c r="DRP237" s="23"/>
      <c r="DRU237" s="26"/>
      <c r="DRY237" s="23"/>
      <c r="DSD237" s="26"/>
      <c r="DSH237" s="23"/>
      <c r="DSM237" s="26"/>
      <c r="DSQ237" s="23"/>
      <c r="DSV237" s="26"/>
      <c r="DSZ237" s="23"/>
      <c r="DTE237" s="26"/>
      <c r="DTI237" s="23"/>
      <c r="DTN237" s="26"/>
      <c r="DTR237" s="23"/>
      <c r="DTW237" s="26"/>
      <c r="DUA237" s="23"/>
      <c r="DUF237" s="26"/>
      <c r="DUJ237" s="23"/>
      <c r="DUO237" s="26"/>
      <c r="DUS237" s="23"/>
      <c r="DUX237" s="26"/>
      <c r="DVB237" s="23"/>
      <c r="DVG237" s="26"/>
      <c r="DVK237" s="23"/>
      <c r="DVP237" s="26"/>
      <c r="DVT237" s="23"/>
      <c r="DVY237" s="26"/>
      <c r="DWC237" s="23"/>
      <c r="DWH237" s="26"/>
      <c r="DWL237" s="23"/>
      <c r="DWQ237" s="26"/>
      <c r="DWU237" s="23"/>
      <c r="DWZ237" s="26"/>
      <c r="DXD237" s="23"/>
      <c r="DXI237" s="26"/>
      <c r="DXM237" s="23"/>
      <c r="DXR237" s="26"/>
      <c r="DXV237" s="23"/>
      <c r="DYA237" s="26"/>
      <c r="DYE237" s="23"/>
      <c r="DYJ237" s="26"/>
      <c r="DYN237" s="23"/>
      <c r="DYS237" s="26"/>
      <c r="DYW237" s="23"/>
      <c r="DZB237" s="26"/>
      <c r="DZF237" s="23"/>
      <c r="DZK237" s="26"/>
      <c r="DZO237" s="23"/>
      <c r="DZT237" s="26"/>
      <c r="DZX237" s="23"/>
      <c r="EAC237" s="26"/>
      <c r="EAG237" s="23"/>
      <c r="EAL237" s="26"/>
      <c r="EAP237" s="23"/>
      <c r="EAU237" s="26"/>
      <c r="EAY237" s="23"/>
      <c r="EBD237" s="26"/>
      <c r="EBH237" s="23"/>
      <c r="EBM237" s="26"/>
      <c r="EBQ237" s="23"/>
      <c r="EBV237" s="26"/>
      <c r="EBZ237" s="23"/>
      <c r="ECE237" s="26"/>
      <c r="ECI237" s="23"/>
      <c r="ECN237" s="26"/>
      <c r="ECR237" s="23"/>
      <c r="ECW237" s="26"/>
      <c r="EDA237" s="23"/>
      <c r="EDF237" s="26"/>
      <c r="EDJ237" s="23"/>
      <c r="EDO237" s="26"/>
      <c r="EDS237" s="23"/>
      <c r="EDX237" s="26"/>
      <c r="EEB237" s="23"/>
      <c r="EEG237" s="26"/>
      <c r="EEK237" s="23"/>
      <c r="EEP237" s="26"/>
      <c r="EET237" s="23"/>
      <c r="EEY237" s="26"/>
      <c r="EFC237" s="23"/>
      <c r="EFH237" s="26"/>
      <c r="EFL237" s="23"/>
      <c r="EFQ237" s="26"/>
      <c r="EFU237" s="23"/>
      <c r="EFZ237" s="26"/>
      <c r="EGD237" s="23"/>
      <c r="EGI237" s="26"/>
      <c r="EGM237" s="23"/>
      <c r="EGR237" s="26"/>
      <c r="EGV237" s="23"/>
      <c r="EHA237" s="26"/>
      <c r="EHE237" s="23"/>
      <c r="EHJ237" s="26"/>
      <c r="EHN237" s="23"/>
      <c r="EHS237" s="26"/>
      <c r="EHW237" s="23"/>
      <c r="EIB237" s="26"/>
      <c r="EIF237" s="23"/>
      <c r="EIK237" s="26"/>
      <c r="EIO237" s="23"/>
      <c r="EIT237" s="26"/>
      <c r="EIX237" s="23"/>
      <c r="EJC237" s="26"/>
      <c r="EJG237" s="23"/>
      <c r="EJL237" s="26"/>
      <c r="EJP237" s="23"/>
      <c r="EJU237" s="26"/>
      <c r="EJY237" s="23"/>
      <c r="EKD237" s="26"/>
      <c r="EKH237" s="23"/>
      <c r="EKM237" s="26"/>
      <c r="EKQ237" s="23"/>
      <c r="EKV237" s="26"/>
      <c r="EKZ237" s="23"/>
      <c r="ELE237" s="26"/>
      <c r="ELI237" s="23"/>
      <c r="ELN237" s="26"/>
      <c r="ELR237" s="23"/>
      <c r="ELW237" s="26"/>
      <c r="EMA237" s="23"/>
      <c r="EMF237" s="26"/>
      <c r="EMJ237" s="23"/>
      <c r="EMO237" s="26"/>
      <c r="EMS237" s="23"/>
      <c r="EMX237" s="26"/>
      <c r="ENB237" s="23"/>
      <c r="ENG237" s="26"/>
      <c r="ENK237" s="23"/>
      <c r="ENP237" s="26"/>
      <c r="ENT237" s="23"/>
      <c r="ENY237" s="26"/>
      <c r="EOC237" s="23"/>
      <c r="EOH237" s="26"/>
      <c r="EOL237" s="23"/>
      <c r="EOQ237" s="26"/>
      <c r="EOU237" s="23"/>
      <c r="EOZ237" s="26"/>
      <c r="EPD237" s="23"/>
      <c r="EPI237" s="26"/>
      <c r="EPM237" s="23"/>
      <c r="EPR237" s="26"/>
      <c r="EPV237" s="23"/>
      <c r="EQA237" s="26"/>
      <c r="EQE237" s="23"/>
      <c r="EQJ237" s="26"/>
      <c r="EQN237" s="23"/>
      <c r="EQS237" s="26"/>
      <c r="EQW237" s="23"/>
      <c r="ERB237" s="26"/>
      <c r="ERF237" s="23"/>
      <c r="ERK237" s="26"/>
      <c r="ERO237" s="23"/>
      <c r="ERT237" s="26"/>
      <c r="ERX237" s="23"/>
      <c r="ESC237" s="26"/>
      <c r="ESG237" s="23"/>
      <c r="ESL237" s="26"/>
      <c r="ESP237" s="23"/>
      <c r="ESU237" s="26"/>
      <c r="ESY237" s="23"/>
      <c r="ETD237" s="26"/>
      <c r="ETH237" s="23"/>
      <c r="ETM237" s="26"/>
      <c r="ETQ237" s="23"/>
      <c r="ETV237" s="26"/>
      <c r="ETZ237" s="23"/>
      <c r="EUE237" s="26"/>
      <c r="EUI237" s="23"/>
      <c r="EUN237" s="26"/>
      <c r="EUR237" s="23"/>
      <c r="EUW237" s="26"/>
      <c r="EVA237" s="23"/>
      <c r="EVF237" s="26"/>
      <c r="EVJ237" s="23"/>
      <c r="EVO237" s="26"/>
      <c r="EVS237" s="23"/>
      <c r="EVX237" s="26"/>
      <c r="EWB237" s="23"/>
      <c r="EWG237" s="26"/>
      <c r="EWK237" s="23"/>
      <c r="EWP237" s="26"/>
      <c r="EWT237" s="23"/>
      <c r="EWY237" s="26"/>
      <c r="EXC237" s="23"/>
      <c r="EXH237" s="26"/>
      <c r="EXL237" s="23"/>
      <c r="EXQ237" s="26"/>
      <c r="EXU237" s="23"/>
      <c r="EXZ237" s="26"/>
      <c r="EYD237" s="23"/>
      <c r="EYI237" s="26"/>
      <c r="EYM237" s="23"/>
      <c r="EYR237" s="26"/>
      <c r="EYV237" s="23"/>
      <c r="EZA237" s="26"/>
      <c r="EZE237" s="23"/>
      <c r="EZJ237" s="26"/>
      <c r="EZN237" s="23"/>
      <c r="EZS237" s="26"/>
      <c r="EZW237" s="23"/>
      <c r="FAB237" s="26"/>
      <c r="FAF237" s="23"/>
      <c r="FAK237" s="26"/>
      <c r="FAO237" s="23"/>
      <c r="FAT237" s="26"/>
      <c r="FAX237" s="23"/>
      <c r="FBC237" s="26"/>
      <c r="FBG237" s="23"/>
      <c r="FBL237" s="26"/>
      <c r="FBP237" s="23"/>
      <c r="FBU237" s="26"/>
      <c r="FBY237" s="23"/>
      <c r="FCD237" s="26"/>
      <c r="FCH237" s="23"/>
      <c r="FCM237" s="26"/>
      <c r="FCQ237" s="23"/>
      <c r="FCV237" s="26"/>
      <c r="FCZ237" s="23"/>
      <c r="FDE237" s="26"/>
      <c r="FDI237" s="23"/>
      <c r="FDN237" s="26"/>
      <c r="FDR237" s="23"/>
      <c r="FDW237" s="26"/>
      <c r="FEA237" s="23"/>
      <c r="FEF237" s="26"/>
      <c r="FEJ237" s="23"/>
      <c r="FEO237" s="26"/>
      <c r="FES237" s="23"/>
      <c r="FEX237" s="26"/>
      <c r="FFB237" s="23"/>
      <c r="FFG237" s="26"/>
      <c r="FFK237" s="23"/>
      <c r="FFP237" s="26"/>
      <c r="FFT237" s="23"/>
      <c r="FFY237" s="26"/>
      <c r="FGC237" s="23"/>
      <c r="FGH237" s="26"/>
      <c r="FGL237" s="23"/>
      <c r="FGQ237" s="26"/>
      <c r="FGU237" s="23"/>
      <c r="FGZ237" s="26"/>
      <c r="FHD237" s="23"/>
      <c r="FHI237" s="26"/>
      <c r="FHM237" s="23"/>
      <c r="FHR237" s="26"/>
      <c r="FHV237" s="23"/>
      <c r="FIA237" s="26"/>
      <c r="FIE237" s="23"/>
      <c r="FIJ237" s="26"/>
      <c r="FIN237" s="23"/>
      <c r="FIS237" s="26"/>
      <c r="FIW237" s="23"/>
      <c r="FJB237" s="26"/>
      <c r="FJF237" s="23"/>
      <c r="FJK237" s="26"/>
      <c r="FJO237" s="23"/>
      <c r="FJT237" s="26"/>
      <c r="FJX237" s="23"/>
      <c r="FKC237" s="26"/>
      <c r="FKG237" s="23"/>
      <c r="FKL237" s="26"/>
      <c r="FKP237" s="23"/>
      <c r="FKU237" s="26"/>
      <c r="FKY237" s="23"/>
      <c r="FLD237" s="26"/>
      <c r="FLH237" s="23"/>
      <c r="FLM237" s="26"/>
      <c r="FLQ237" s="23"/>
      <c r="FLV237" s="26"/>
      <c r="FLZ237" s="23"/>
      <c r="FME237" s="26"/>
      <c r="FMI237" s="23"/>
      <c r="FMN237" s="26"/>
      <c r="FMR237" s="23"/>
      <c r="FMW237" s="26"/>
      <c r="FNA237" s="23"/>
      <c r="FNF237" s="26"/>
      <c r="FNJ237" s="23"/>
      <c r="FNO237" s="26"/>
      <c r="FNS237" s="23"/>
      <c r="FNX237" s="26"/>
      <c r="FOB237" s="23"/>
      <c r="FOG237" s="26"/>
      <c r="FOK237" s="23"/>
      <c r="FOP237" s="26"/>
      <c r="FOT237" s="23"/>
      <c r="FOY237" s="26"/>
      <c r="FPC237" s="23"/>
      <c r="FPH237" s="26"/>
      <c r="FPL237" s="23"/>
      <c r="FPQ237" s="26"/>
      <c r="FPU237" s="23"/>
      <c r="FPZ237" s="26"/>
      <c r="FQD237" s="23"/>
      <c r="FQI237" s="26"/>
      <c r="FQM237" s="23"/>
      <c r="FQR237" s="26"/>
      <c r="FQV237" s="23"/>
      <c r="FRA237" s="26"/>
      <c r="FRE237" s="23"/>
      <c r="FRJ237" s="26"/>
      <c r="FRN237" s="23"/>
      <c r="FRS237" s="26"/>
      <c r="FRW237" s="23"/>
      <c r="FSB237" s="26"/>
      <c r="FSF237" s="23"/>
      <c r="FSK237" s="26"/>
      <c r="FSO237" s="23"/>
      <c r="FST237" s="26"/>
      <c r="FSX237" s="23"/>
      <c r="FTC237" s="26"/>
      <c r="FTG237" s="23"/>
      <c r="FTL237" s="26"/>
      <c r="FTP237" s="23"/>
      <c r="FTU237" s="26"/>
      <c r="FTY237" s="23"/>
      <c r="FUD237" s="26"/>
      <c r="FUH237" s="23"/>
      <c r="FUM237" s="26"/>
      <c r="FUQ237" s="23"/>
      <c r="FUV237" s="26"/>
      <c r="FUZ237" s="23"/>
      <c r="FVE237" s="26"/>
      <c r="FVI237" s="23"/>
      <c r="FVN237" s="26"/>
      <c r="FVR237" s="23"/>
      <c r="FVW237" s="26"/>
      <c r="FWA237" s="23"/>
      <c r="FWF237" s="26"/>
      <c r="FWJ237" s="23"/>
      <c r="FWO237" s="26"/>
      <c r="FWS237" s="23"/>
      <c r="FWX237" s="26"/>
      <c r="FXB237" s="23"/>
      <c r="FXG237" s="26"/>
      <c r="FXK237" s="23"/>
      <c r="FXP237" s="26"/>
      <c r="FXT237" s="23"/>
      <c r="FXY237" s="26"/>
      <c r="FYC237" s="23"/>
      <c r="FYH237" s="26"/>
      <c r="FYL237" s="23"/>
      <c r="FYQ237" s="26"/>
      <c r="FYU237" s="23"/>
      <c r="FYZ237" s="26"/>
      <c r="FZD237" s="23"/>
      <c r="FZI237" s="26"/>
      <c r="FZM237" s="23"/>
      <c r="FZR237" s="26"/>
      <c r="FZV237" s="23"/>
      <c r="GAA237" s="26"/>
      <c r="GAE237" s="23"/>
      <c r="GAJ237" s="26"/>
      <c r="GAN237" s="23"/>
      <c r="GAS237" s="26"/>
      <c r="GAW237" s="23"/>
      <c r="GBB237" s="26"/>
      <c r="GBF237" s="23"/>
      <c r="GBK237" s="26"/>
      <c r="GBO237" s="23"/>
      <c r="GBT237" s="26"/>
      <c r="GBX237" s="23"/>
      <c r="GCC237" s="26"/>
      <c r="GCG237" s="23"/>
      <c r="GCL237" s="26"/>
      <c r="GCP237" s="23"/>
      <c r="GCU237" s="26"/>
      <c r="GCY237" s="23"/>
      <c r="GDD237" s="26"/>
      <c r="GDH237" s="23"/>
      <c r="GDM237" s="26"/>
      <c r="GDQ237" s="23"/>
      <c r="GDV237" s="26"/>
      <c r="GDZ237" s="23"/>
      <c r="GEE237" s="26"/>
      <c r="GEI237" s="23"/>
      <c r="GEN237" s="26"/>
      <c r="GER237" s="23"/>
      <c r="GEW237" s="26"/>
      <c r="GFA237" s="23"/>
      <c r="GFF237" s="26"/>
      <c r="GFJ237" s="23"/>
      <c r="GFO237" s="26"/>
      <c r="GFS237" s="23"/>
      <c r="GFX237" s="26"/>
      <c r="GGB237" s="23"/>
      <c r="GGG237" s="26"/>
      <c r="GGK237" s="23"/>
      <c r="GGP237" s="26"/>
      <c r="GGT237" s="23"/>
      <c r="GGY237" s="26"/>
      <c r="GHC237" s="23"/>
      <c r="GHH237" s="26"/>
      <c r="GHL237" s="23"/>
      <c r="GHQ237" s="26"/>
      <c r="GHU237" s="23"/>
      <c r="GHZ237" s="26"/>
      <c r="GID237" s="23"/>
      <c r="GII237" s="26"/>
      <c r="GIM237" s="23"/>
      <c r="GIR237" s="26"/>
      <c r="GIV237" s="23"/>
      <c r="GJA237" s="26"/>
      <c r="GJE237" s="23"/>
      <c r="GJJ237" s="26"/>
      <c r="GJN237" s="23"/>
      <c r="GJS237" s="26"/>
      <c r="GJW237" s="23"/>
      <c r="GKB237" s="26"/>
      <c r="GKF237" s="23"/>
      <c r="GKK237" s="26"/>
      <c r="GKO237" s="23"/>
      <c r="GKT237" s="26"/>
      <c r="GKX237" s="23"/>
      <c r="GLC237" s="26"/>
      <c r="GLG237" s="23"/>
      <c r="GLL237" s="26"/>
      <c r="GLP237" s="23"/>
      <c r="GLU237" s="26"/>
      <c r="GLY237" s="23"/>
      <c r="GMD237" s="26"/>
      <c r="GMH237" s="23"/>
      <c r="GMM237" s="26"/>
      <c r="GMQ237" s="23"/>
      <c r="GMV237" s="26"/>
      <c r="GMZ237" s="23"/>
      <c r="GNE237" s="26"/>
      <c r="GNI237" s="23"/>
      <c r="GNN237" s="26"/>
      <c r="GNR237" s="23"/>
      <c r="GNW237" s="26"/>
      <c r="GOA237" s="23"/>
      <c r="GOF237" s="26"/>
      <c r="GOJ237" s="23"/>
      <c r="GOO237" s="26"/>
      <c r="GOS237" s="23"/>
      <c r="GOX237" s="26"/>
      <c r="GPB237" s="23"/>
      <c r="GPG237" s="26"/>
      <c r="GPK237" s="23"/>
      <c r="GPP237" s="26"/>
      <c r="GPT237" s="23"/>
      <c r="GPY237" s="26"/>
      <c r="GQC237" s="23"/>
      <c r="GQH237" s="26"/>
      <c r="GQL237" s="23"/>
      <c r="GQQ237" s="26"/>
      <c r="GQU237" s="23"/>
      <c r="GQZ237" s="26"/>
      <c r="GRD237" s="23"/>
      <c r="GRI237" s="26"/>
      <c r="GRM237" s="23"/>
      <c r="GRR237" s="26"/>
      <c r="GRV237" s="23"/>
      <c r="GSA237" s="26"/>
      <c r="GSE237" s="23"/>
      <c r="GSJ237" s="26"/>
      <c r="GSN237" s="23"/>
      <c r="GSS237" s="26"/>
      <c r="GSW237" s="23"/>
      <c r="GTB237" s="26"/>
      <c r="GTF237" s="23"/>
      <c r="GTK237" s="26"/>
      <c r="GTO237" s="23"/>
      <c r="GTT237" s="26"/>
      <c r="GTX237" s="23"/>
      <c r="GUC237" s="26"/>
      <c r="GUG237" s="23"/>
      <c r="GUL237" s="26"/>
      <c r="GUP237" s="23"/>
      <c r="GUU237" s="26"/>
      <c r="GUY237" s="23"/>
      <c r="GVD237" s="26"/>
      <c r="GVH237" s="23"/>
      <c r="GVM237" s="26"/>
      <c r="GVQ237" s="23"/>
      <c r="GVV237" s="26"/>
      <c r="GVZ237" s="23"/>
      <c r="GWE237" s="26"/>
      <c r="GWI237" s="23"/>
      <c r="GWN237" s="26"/>
      <c r="GWR237" s="23"/>
      <c r="GWW237" s="26"/>
      <c r="GXA237" s="23"/>
      <c r="GXF237" s="26"/>
      <c r="GXJ237" s="23"/>
      <c r="GXO237" s="26"/>
      <c r="GXS237" s="23"/>
      <c r="GXX237" s="26"/>
      <c r="GYB237" s="23"/>
      <c r="GYG237" s="26"/>
      <c r="GYK237" s="23"/>
      <c r="GYP237" s="26"/>
      <c r="GYT237" s="23"/>
      <c r="GYY237" s="26"/>
      <c r="GZC237" s="23"/>
      <c r="GZH237" s="26"/>
      <c r="GZL237" s="23"/>
      <c r="GZQ237" s="26"/>
      <c r="GZU237" s="23"/>
      <c r="GZZ237" s="26"/>
      <c r="HAD237" s="23"/>
      <c r="HAI237" s="26"/>
      <c r="HAM237" s="23"/>
      <c r="HAR237" s="26"/>
      <c r="HAV237" s="23"/>
      <c r="HBA237" s="26"/>
      <c r="HBE237" s="23"/>
      <c r="HBJ237" s="26"/>
      <c r="HBN237" s="23"/>
      <c r="HBS237" s="26"/>
      <c r="HBW237" s="23"/>
      <c r="HCB237" s="26"/>
      <c r="HCF237" s="23"/>
      <c r="HCK237" s="26"/>
      <c r="HCO237" s="23"/>
      <c r="HCT237" s="26"/>
      <c r="HCX237" s="23"/>
      <c r="HDC237" s="26"/>
      <c r="HDG237" s="23"/>
      <c r="HDL237" s="26"/>
      <c r="HDP237" s="23"/>
      <c r="HDU237" s="26"/>
      <c r="HDY237" s="23"/>
      <c r="HED237" s="26"/>
      <c r="HEH237" s="23"/>
      <c r="HEM237" s="26"/>
      <c r="HEQ237" s="23"/>
      <c r="HEV237" s="26"/>
      <c r="HEZ237" s="23"/>
      <c r="HFE237" s="26"/>
      <c r="HFI237" s="23"/>
      <c r="HFN237" s="26"/>
      <c r="HFR237" s="23"/>
      <c r="HFW237" s="26"/>
      <c r="HGA237" s="23"/>
      <c r="HGF237" s="26"/>
      <c r="HGJ237" s="23"/>
      <c r="HGO237" s="26"/>
      <c r="HGS237" s="23"/>
      <c r="HGX237" s="26"/>
      <c r="HHB237" s="23"/>
      <c r="HHG237" s="26"/>
      <c r="HHK237" s="23"/>
      <c r="HHP237" s="26"/>
      <c r="HHT237" s="23"/>
      <c r="HHY237" s="26"/>
      <c r="HIC237" s="23"/>
      <c r="HIH237" s="26"/>
      <c r="HIL237" s="23"/>
      <c r="HIQ237" s="26"/>
      <c r="HIU237" s="23"/>
      <c r="HIZ237" s="26"/>
      <c r="HJD237" s="23"/>
      <c r="HJI237" s="26"/>
      <c r="HJM237" s="23"/>
      <c r="HJR237" s="26"/>
      <c r="HJV237" s="23"/>
      <c r="HKA237" s="26"/>
      <c r="HKE237" s="23"/>
      <c r="HKJ237" s="26"/>
      <c r="HKN237" s="23"/>
      <c r="HKS237" s="26"/>
      <c r="HKW237" s="23"/>
      <c r="HLB237" s="26"/>
      <c r="HLF237" s="23"/>
      <c r="HLK237" s="26"/>
      <c r="HLO237" s="23"/>
      <c r="HLT237" s="26"/>
      <c r="HLX237" s="23"/>
      <c r="HMC237" s="26"/>
      <c r="HMG237" s="23"/>
      <c r="HML237" s="26"/>
      <c r="HMP237" s="23"/>
      <c r="HMU237" s="26"/>
      <c r="HMY237" s="23"/>
      <c r="HND237" s="26"/>
      <c r="HNH237" s="23"/>
      <c r="HNM237" s="26"/>
      <c r="HNQ237" s="23"/>
      <c r="HNV237" s="26"/>
      <c r="HNZ237" s="23"/>
      <c r="HOE237" s="26"/>
      <c r="HOI237" s="23"/>
      <c r="HON237" s="26"/>
      <c r="HOR237" s="23"/>
      <c r="HOW237" s="26"/>
      <c r="HPA237" s="23"/>
      <c r="HPF237" s="26"/>
      <c r="HPJ237" s="23"/>
      <c r="HPO237" s="26"/>
      <c r="HPS237" s="23"/>
      <c r="HPX237" s="26"/>
      <c r="HQB237" s="23"/>
      <c r="HQG237" s="26"/>
      <c r="HQK237" s="23"/>
      <c r="HQP237" s="26"/>
      <c r="HQT237" s="23"/>
      <c r="HQY237" s="26"/>
      <c r="HRC237" s="23"/>
      <c r="HRH237" s="26"/>
      <c r="HRL237" s="23"/>
      <c r="HRQ237" s="26"/>
      <c r="HRU237" s="23"/>
      <c r="HRZ237" s="26"/>
      <c r="HSD237" s="23"/>
      <c r="HSI237" s="26"/>
      <c r="HSM237" s="23"/>
      <c r="HSR237" s="26"/>
      <c r="HSV237" s="23"/>
      <c r="HTA237" s="26"/>
      <c r="HTE237" s="23"/>
      <c r="HTJ237" s="26"/>
      <c r="HTN237" s="23"/>
      <c r="HTS237" s="26"/>
      <c r="HTW237" s="23"/>
      <c r="HUB237" s="26"/>
      <c r="HUF237" s="23"/>
      <c r="HUK237" s="26"/>
      <c r="HUO237" s="23"/>
      <c r="HUT237" s="26"/>
      <c r="HUX237" s="23"/>
      <c r="HVC237" s="26"/>
      <c r="HVG237" s="23"/>
      <c r="HVL237" s="26"/>
      <c r="HVP237" s="23"/>
      <c r="HVU237" s="26"/>
      <c r="HVY237" s="23"/>
      <c r="HWD237" s="26"/>
      <c r="HWH237" s="23"/>
      <c r="HWM237" s="26"/>
      <c r="HWQ237" s="23"/>
      <c r="HWV237" s="26"/>
      <c r="HWZ237" s="23"/>
      <c r="HXE237" s="26"/>
      <c r="HXI237" s="23"/>
      <c r="HXN237" s="26"/>
      <c r="HXR237" s="23"/>
      <c r="HXW237" s="26"/>
      <c r="HYA237" s="23"/>
      <c r="HYF237" s="26"/>
      <c r="HYJ237" s="23"/>
      <c r="HYO237" s="26"/>
      <c r="HYS237" s="23"/>
      <c r="HYX237" s="26"/>
      <c r="HZB237" s="23"/>
      <c r="HZG237" s="26"/>
      <c r="HZK237" s="23"/>
      <c r="HZP237" s="26"/>
      <c r="HZT237" s="23"/>
      <c r="HZY237" s="26"/>
      <c r="IAC237" s="23"/>
      <c r="IAH237" s="26"/>
      <c r="IAL237" s="23"/>
      <c r="IAQ237" s="26"/>
      <c r="IAU237" s="23"/>
      <c r="IAZ237" s="26"/>
      <c r="IBD237" s="23"/>
      <c r="IBI237" s="26"/>
      <c r="IBM237" s="23"/>
      <c r="IBR237" s="26"/>
      <c r="IBV237" s="23"/>
      <c r="ICA237" s="26"/>
      <c r="ICE237" s="23"/>
      <c r="ICJ237" s="26"/>
      <c r="ICN237" s="23"/>
      <c r="ICS237" s="26"/>
      <c r="ICW237" s="23"/>
      <c r="IDB237" s="26"/>
      <c r="IDF237" s="23"/>
      <c r="IDK237" s="26"/>
      <c r="IDO237" s="23"/>
      <c r="IDT237" s="26"/>
      <c r="IDX237" s="23"/>
      <c r="IEC237" s="26"/>
      <c r="IEG237" s="23"/>
      <c r="IEL237" s="26"/>
      <c r="IEP237" s="23"/>
      <c r="IEU237" s="26"/>
      <c r="IEY237" s="23"/>
      <c r="IFD237" s="26"/>
      <c r="IFH237" s="23"/>
      <c r="IFM237" s="26"/>
      <c r="IFQ237" s="23"/>
      <c r="IFV237" s="26"/>
      <c r="IFZ237" s="23"/>
      <c r="IGE237" s="26"/>
      <c r="IGI237" s="23"/>
      <c r="IGN237" s="26"/>
      <c r="IGR237" s="23"/>
      <c r="IGW237" s="26"/>
      <c r="IHA237" s="23"/>
      <c r="IHF237" s="26"/>
      <c r="IHJ237" s="23"/>
      <c r="IHO237" s="26"/>
      <c r="IHS237" s="23"/>
      <c r="IHX237" s="26"/>
      <c r="IIB237" s="23"/>
      <c r="IIG237" s="26"/>
      <c r="IIK237" s="23"/>
      <c r="IIP237" s="26"/>
      <c r="IIT237" s="23"/>
      <c r="IIY237" s="26"/>
      <c r="IJC237" s="23"/>
      <c r="IJH237" s="26"/>
      <c r="IJL237" s="23"/>
      <c r="IJQ237" s="26"/>
      <c r="IJU237" s="23"/>
      <c r="IJZ237" s="26"/>
      <c r="IKD237" s="23"/>
      <c r="IKI237" s="26"/>
      <c r="IKM237" s="23"/>
      <c r="IKR237" s="26"/>
      <c r="IKV237" s="23"/>
      <c r="ILA237" s="26"/>
      <c r="ILE237" s="23"/>
      <c r="ILJ237" s="26"/>
      <c r="ILN237" s="23"/>
      <c r="ILS237" s="26"/>
      <c r="ILW237" s="23"/>
      <c r="IMB237" s="26"/>
      <c r="IMF237" s="23"/>
      <c r="IMK237" s="26"/>
      <c r="IMO237" s="23"/>
      <c r="IMT237" s="26"/>
      <c r="IMX237" s="23"/>
      <c r="INC237" s="26"/>
      <c r="ING237" s="23"/>
      <c r="INL237" s="26"/>
      <c r="INP237" s="23"/>
      <c r="INU237" s="26"/>
      <c r="INY237" s="23"/>
      <c r="IOD237" s="26"/>
      <c r="IOH237" s="23"/>
      <c r="IOM237" s="26"/>
      <c r="IOQ237" s="23"/>
      <c r="IOV237" s="26"/>
      <c r="IOZ237" s="23"/>
      <c r="IPE237" s="26"/>
      <c r="IPI237" s="23"/>
      <c r="IPN237" s="26"/>
      <c r="IPR237" s="23"/>
      <c r="IPW237" s="26"/>
      <c r="IQA237" s="23"/>
      <c r="IQF237" s="26"/>
      <c r="IQJ237" s="23"/>
      <c r="IQO237" s="26"/>
      <c r="IQS237" s="23"/>
      <c r="IQX237" s="26"/>
      <c r="IRB237" s="23"/>
      <c r="IRG237" s="26"/>
      <c r="IRK237" s="23"/>
      <c r="IRP237" s="26"/>
      <c r="IRT237" s="23"/>
      <c r="IRY237" s="26"/>
      <c r="ISC237" s="23"/>
      <c r="ISH237" s="26"/>
      <c r="ISL237" s="23"/>
      <c r="ISQ237" s="26"/>
      <c r="ISU237" s="23"/>
      <c r="ISZ237" s="26"/>
      <c r="ITD237" s="23"/>
      <c r="ITI237" s="26"/>
      <c r="ITM237" s="23"/>
      <c r="ITR237" s="26"/>
      <c r="ITV237" s="23"/>
      <c r="IUA237" s="26"/>
      <c r="IUE237" s="23"/>
      <c r="IUJ237" s="26"/>
      <c r="IUN237" s="23"/>
      <c r="IUS237" s="26"/>
      <c r="IUW237" s="23"/>
      <c r="IVB237" s="26"/>
      <c r="IVF237" s="23"/>
      <c r="IVK237" s="26"/>
      <c r="IVO237" s="23"/>
      <c r="IVT237" s="26"/>
      <c r="IVX237" s="23"/>
      <c r="IWC237" s="26"/>
      <c r="IWG237" s="23"/>
      <c r="IWL237" s="26"/>
      <c r="IWP237" s="23"/>
      <c r="IWU237" s="26"/>
      <c r="IWY237" s="23"/>
      <c r="IXD237" s="26"/>
      <c r="IXH237" s="23"/>
      <c r="IXM237" s="26"/>
      <c r="IXQ237" s="23"/>
      <c r="IXV237" s="26"/>
      <c r="IXZ237" s="23"/>
      <c r="IYE237" s="26"/>
      <c r="IYI237" s="23"/>
      <c r="IYN237" s="26"/>
      <c r="IYR237" s="23"/>
      <c r="IYW237" s="26"/>
      <c r="IZA237" s="23"/>
      <c r="IZF237" s="26"/>
      <c r="IZJ237" s="23"/>
      <c r="IZO237" s="26"/>
      <c r="IZS237" s="23"/>
      <c r="IZX237" s="26"/>
      <c r="JAB237" s="23"/>
      <c r="JAG237" s="26"/>
      <c r="JAK237" s="23"/>
      <c r="JAP237" s="26"/>
      <c r="JAT237" s="23"/>
      <c r="JAY237" s="26"/>
      <c r="JBC237" s="23"/>
      <c r="JBH237" s="26"/>
      <c r="JBL237" s="23"/>
      <c r="JBQ237" s="26"/>
      <c r="JBU237" s="23"/>
      <c r="JBZ237" s="26"/>
      <c r="JCD237" s="23"/>
      <c r="JCI237" s="26"/>
      <c r="JCM237" s="23"/>
      <c r="JCR237" s="26"/>
      <c r="JCV237" s="23"/>
      <c r="JDA237" s="26"/>
      <c r="JDE237" s="23"/>
      <c r="JDJ237" s="26"/>
      <c r="JDN237" s="23"/>
      <c r="JDS237" s="26"/>
      <c r="JDW237" s="23"/>
      <c r="JEB237" s="26"/>
      <c r="JEF237" s="23"/>
      <c r="JEK237" s="26"/>
      <c r="JEO237" s="23"/>
      <c r="JET237" s="26"/>
      <c r="JEX237" s="23"/>
      <c r="JFC237" s="26"/>
      <c r="JFG237" s="23"/>
      <c r="JFL237" s="26"/>
      <c r="JFP237" s="23"/>
      <c r="JFU237" s="26"/>
      <c r="JFY237" s="23"/>
      <c r="JGD237" s="26"/>
      <c r="JGH237" s="23"/>
      <c r="JGM237" s="26"/>
      <c r="JGQ237" s="23"/>
      <c r="JGV237" s="26"/>
      <c r="JGZ237" s="23"/>
      <c r="JHE237" s="26"/>
      <c r="JHI237" s="23"/>
      <c r="JHN237" s="26"/>
      <c r="JHR237" s="23"/>
      <c r="JHW237" s="26"/>
      <c r="JIA237" s="23"/>
      <c r="JIF237" s="26"/>
      <c r="JIJ237" s="23"/>
      <c r="JIO237" s="26"/>
      <c r="JIS237" s="23"/>
      <c r="JIX237" s="26"/>
      <c r="JJB237" s="23"/>
      <c r="JJG237" s="26"/>
      <c r="JJK237" s="23"/>
      <c r="JJP237" s="26"/>
      <c r="JJT237" s="23"/>
      <c r="JJY237" s="26"/>
      <c r="JKC237" s="23"/>
      <c r="JKH237" s="26"/>
      <c r="JKL237" s="23"/>
      <c r="JKQ237" s="26"/>
      <c r="JKU237" s="23"/>
      <c r="JKZ237" s="26"/>
      <c r="JLD237" s="23"/>
      <c r="JLI237" s="26"/>
      <c r="JLM237" s="23"/>
      <c r="JLR237" s="26"/>
      <c r="JLV237" s="23"/>
      <c r="JMA237" s="26"/>
      <c r="JME237" s="23"/>
      <c r="JMJ237" s="26"/>
      <c r="JMN237" s="23"/>
      <c r="JMS237" s="26"/>
      <c r="JMW237" s="23"/>
      <c r="JNB237" s="26"/>
      <c r="JNF237" s="23"/>
      <c r="JNK237" s="26"/>
      <c r="JNO237" s="23"/>
      <c r="JNT237" s="26"/>
      <c r="JNX237" s="23"/>
      <c r="JOC237" s="26"/>
      <c r="JOG237" s="23"/>
      <c r="JOL237" s="26"/>
      <c r="JOP237" s="23"/>
      <c r="JOU237" s="26"/>
      <c r="JOY237" s="23"/>
      <c r="JPD237" s="26"/>
      <c r="JPH237" s="23"/>
      <c r="JPM237" s="26"/>
      <c r="JPQ237" s="23"/>
      <c r="JPV237" s="26"/>
      <c r="JPZ237" s="23"/>
      <c r="JQE237" s="26"/>
      <c r="JQI237" s="23"/>
      <c r="JQN237" s="26"/>
      <c r="JQR237" s="23"/>
      <c r="JQW237" s="26"/>
      <c r="JRA237" s="23"/>
      <c r="JRF237" s="26"/>
      <c r="JRJ237" s="23"/>
      <c r="JRO237" s="26"/>
      <c r="JRS237" s="23"/>
      <c r="JRX237" s="26"/>
      <c r="JSB237" s="23"/>
      <c r="JSG237" s="26"/>
      <c r="JSK237" s="23"/>
      <c r="JSP237" s="26"/>
      <c r="JST237" s="23"/>
      <c r="JSY237" s="26"/>
      <c r="JTC237" s="23"/>
      <c r="JTH237" s="26"/>
      <c r="JTL237" s="23"/>
      <c r="JTQ237" s="26"/>
      <c r="JTU237" s="23"/>
      <c r="JTZ237" s="26"/>
      <c r="JUD237" s="23"/>
      <c r="JUI237" s="26"/>
      <c r="JUM237" s="23"/>
      <c r="JUR237" s="26"/>
      <c r="JUV237" s="23"/>
      <c r="JVA237" s="26"/>
      <c r="JVE237" s="23"/>
      <c r="JVJ237" s="26"/>
      <c r="JVN237" s="23"/>
      <c r="JVS237" s="26"/>
      <c r="JVW237" s="23"/>
      <c r="JWB237" s="26"/>
      <c r="JWF237" s="23"/>
      <c r="JWK237" s="26"/>
      <c r="JWO237" s="23"/>
      <c r="JWT237" s="26"/>
      <c r="JWX237" s="23"/>
      <c r="JXC237" s="26"/>
      <c r="JXG237" s="23"/>
      <c r="JXL237" s="26"/>
      <c r="JXP237" s="23"/>
      <c r="JXU237" s="26"/>
      <c r="JXY237" s="23"/>
      <c r="JYD237" s="26"/>
      <c r="JYH237" s="23"/>
      <c r="JYM237" s="26"/>
      <c r="JYQ237" s="23"/>
      <c r="JYV237" s="26"/>
      <c r="JYZ237" s="23"/>
      <c r="JZE237" s="26"/>
      <c r="JZI237" s="23"/>
      <c r="JZN237" s="26"/>
      <c r="JZR237" s="23"/>
      <c r="JZW237" s="26"/>
      <c r="KAA237" s="23"/>
      <c r="KAF237" s="26"/>
      <c r="KAJ237" s="23"/>
      <c r="KAO237" s="26"/>
      <c r="KAS237" s="23"/>
      <c r="KAX237" s="26"/>
      <c r="KBB237" s="23"/>
      <c r="KBG237" s="26"/>
      <c r="KBK237" s="23"/>
      <c r="KBP237" s="26"/>
      <c r="KBT237" s="23"/>
      <c r="KBY237" s="26"/>
      <c r="KCC237" s="23"/>
      <c r="KCH237" s="26"/>
      <c r="KCL237" s="23"/>
      <c r="KCQ237" s="26"/>
      <c r="KCU237" s="23"/>
      <c r="KCZ237" s="26"/>
      <c r="KDD237" s="23"/>
      <c r="KDI237" s="26"/>
      <c r="KDM237" s="23"/>
      <c r="KDR237" s="26"/>
      <c r="KDV237" s="23"/>
      <c r="KEA237" s="26"/>
      <c r="KEE237" s="23"/>
      <c r="KEJ237" s="26"/>
      <c r="KEN237" s="23"/>
      <c r="KES237" s="26"/>
      <c r="KEW237" s="23"/>
      <c r="KFB237" s="26"/>
      <c r="KFF237" s="23"/>
      <c r="KFK237" s="26"/>
      <c r="KFO237" s="23"/>
      <c r="KFT237" s="26"/>
      <c r="KFX237" s="23"/>
      <c r="KGC237" s="26"/>
      <c r="KGG237" s="23"/>
      <c r="KGL237" s="26"/>
      <c r="KGP237" s="23"/>
      <c r="KGU237" s="26"/>
      <c r="KGY237" s="23"/>
      <c r="KHD237" s="26"/>
      <c r="KHH237" s="23"/>
      <c r="KHM237" s="26"/>
      <c r="KHQ237" s="23"/>
      <c r="KHV237" s="26"/>
      <c r="KHZ237" s="23"/>
      <c r="KIE237" s="26"/>
      <c r="KII237" s="23"/>
      <c r="KIN237" s="26"/>
      <c r="KIR237" s="23"/>
      <c r="KIW237" s="26"/>
      <c r="KJA237" s="23"/>
      <c r="KJF237" s="26"/>
      <c r="KJJ237" s="23"/>
      <c r="KJO237" s="26"/>
      <c r="KJS237" s="23"/>
      <c r="KJX237" s="26"/>
      <c r="KKB237" s="23"/>
      <c r="KKG237" s="26"/>
      <c r="KKK237" s="23"/>
      <c r="KKP237" s="26"/>
      <c r="KKT237" s="23"/>
      <c r="KKY237" s="26"/>
      <c r="KLC237" s="23"/>
      <c r="KLH237" s="26"/>
      <c r="KLL237" s="23"/>
      <c r="KLQ237" s="26"/>
      <c r="KLU237" s="23"/>
      <c r="KLZ237" s="26"/>
      <c r="KMD237" s="23"/>
      <c r="KMI237" s="26"/>
      <c r="KMM237" s="23"/>
      <c r="KMR237" s="26"/>
      <c r="KMV237" s="23"/>
      <c r="KNA237" s="26"/>
      <c r="KNE237" s="23"/>
      <c r="KNJ237" s="26"/>
      <c r="KNN237" s="23"/>
      <c r="KNS237" s="26"/>
      <c r="KNW237" s="23"/>
      <c r="KOB237" s="26"/>
      <c r="KOF237" s="23"/>
      <c r="KOK237" s="26"/>
      <c r="KOO237" s="23"/>
      <c r="KOT237" s="26"/>
      <c r="KOX237" s="23"/>
      <c r="KPC237" s="26"/>
      <c r="KPG237" s="23"/>
      <c r="KPL237" s="26"/>
      <c r="KPP237" s="23"/>
      <c r="KPU237" s="26"/>
      <c r="KPY237" s="23"/>
      <c r="KQD237" s="26"/>
      <c r="KQH237" s="23"/>
      <c r="KQM237" s="26"/>
      <c r="KQQ237" s="23"/>
      <c r="KQV237" s="26"/>
      <c r="KQZ237" s="23"/>
      <c r="KRE237" s="26"/>
      <c r="KRI237" s="23"/>
      <c r="KRN237" s="26"/>
      <c r="KRR237" s="23"/>
      <c r="KRW237" s="26"/>
      <c r="KSA237" s="23"/>
      <c r="KSF237" s="26"/>
      <c r="KSJ237" s="23"/>
      <c r="KSO237" s="26"/>
      <c r="KSS237" s="23"/>
      <c r="KSX237" s="26"/>
      <c r="KTB237" s="23"/>
      <c r="KTG237" s="26"/>
      <c r="KTK237" s="23"/>
      <c r="KTP237" s="26"/>
      <c r="KTT237" s="23"/>
      <c r="KTY237" s="26"/>
      <c r="KUC237" s="23"/>
      <c r="KUH237" s="26"/>
      <c r="KUL237" s="23"/>
      <c r="KUQ237" s="26"/>
      <c r="KUU237" s="23"/>
      <c r="KUZ237" s="26"/>
      <c r="KVD237" s="23"/>
      <c r="KVI237" s="26"/>
      <c r="KVM237" s="23"/>
      <c r="KVR237" s="26"/>
      <c r="KVV237" s="23"/>
      <c r="KWA237" s="26"/>
      <c r="KWE237" s="23"/>
      <c r="KWJ237" s="26"/>
      <c r="KWN237" s="23"/>
      <c r="KWS237" s="26"/>
      <c r="KWW237" s="23"/>
      <c r="KXB237" s="26"/>
      <c r="KXF237" s="23"/>
      <c r="KXK237" s="26"/>
      <c r="KXO237" s="23"/>
      <c r="KXT237" s="26"/>
      <c r="KXX237" s="23"/>
      <c r="KYC237" s="26"/>
      <c r="KYG237" s="23"/>
      <c r="KYL237" s="26"/>
      <c r="KYP237" s="23"/>
      <c r="KYU237" s="26"/>
      <c r="KYY237" s="23"/>
      <c r="KZD237" s="26"/>
      <c r="KZH237" s="23"/>
      <c r="KZM237" s="26"/>
      <c r="KZQ237" s="23"/>
      <c r="KZV237" s="26"/>
      <c r="KZZ237" s="23"/>
      <c r="LAE237" s="26"/>
      <c r="LAI237" s="23"/>
      <c r="LAN237" s="26"/>
      <c r="LAR237" s="23"/>
      <c r="LAW237" s="26"/>
      <c r="LBA237" s="23"/>
      <c r="LBF237" s="26"/>
      <c r="LBJ237" s="23"/>
      <c r="LBO237" s="26"/>
      <c r="LBS237" s="23"/>
      <c r="LBX237" s="26"/>
      <c r="LCB237" s="23"/>
      <c r="LCG237" s="26"/>
      <c r="LCK237" s="23"/>
      <c r="LCP237" s="26"/>
      <c r="LCT237" s="23"/>
      <c r="LCY237" s="26"/>
      <c r="LDC237" s="23"/>
      <c r="LDH237" s="26"/>
      <c r="LDL237" s="23"/>
      <c r="LDQ237" s="26"/>
      <c r="LDU237" s="23"/>
      <c r="LDZ237" s="26"/>
      <c r="LED237" s="23"/>
      <c r="LEI237" s="26"/>
      <c r="LEM237" s="23"/>
      <c r="LER237" s="26"/>
      <c r="LEV237" s="23"/>
      <c r="LFA237" s="26"/>
      <c r="LFE237" s="23"/>
      <c r="LFJ237" s="26"/>
      <c r="LFN237" s="23"/>
      <c r="LFS237" s="26"/>
      <c r="LFW237" s="23"/>
      <c r="LGB237" s="26"/>
      <c r="LGF237" s="23"/>
      <c r="LGK237" s="26"/>
      <c r="LGO237" s="23"/>
      <c r="LGT237" s="26"/>
      <c r="LGX237" s="23"/>
      <c r="LHC237" s="26"/>
      <c r="LHG237" s="23"/>
      <c r="LHL237" s="26"/>
      <c r="LHP237" s="23"/>
      <c r="LHU237" s="26"/>
      <c r="LHY237" s="23"/>
      <c r="LID237" s="26"/>
      <c r="LIH237" s="23"/>
      <c r="LIM237" s="26"/>
      <c r="LIQ237" s="23"/>
      <c r="LIV237" s="26"/>
      <c r="LIZ237" s="23"/>
      <c r="LJE237" s="26"/>
      <c r="LJI237" s="23"/>
      <c r="LJN237" s="26"/>
      <c r="LJR237" s="23"/>
      <c r="LJW237" s="26"/>
      <c r="LKA237" s="23"/>
      <c r="LKF237" s="26"/>
      <c r="LKJ237" s="23"/>
      <c r="LKO237" s="26"/>
      <c r="LKS237" s="23"/>
      <c r="LKX237" s="26"/>
      <c r="LLB237" s="23"/>
      <c r="LLG237" s="26"/>
      <c r="LLK237" s="23"/>
      <c r="LLP237" s="26"/>
      <c r="LLT237" s="23"/>
      <c r="LLY237" s="26"/>
      <c r="LMC237" s="23"/>
      <c r="LMH237" s="26"/>
      <c r="LML237" s="23"/>
      <c r="LMQ237" s="26"/>
      <c r="LMU237" s="23"/>
      <c r="LMZ237" s="26"/>
      <c r="LND237" s="23"/>
      <c r="LNI237" s="26"/>
      <c r="LNM237" s="23"/>
      <c r="LNR237" s="26"/>
      <c r="LNV237" s="23"/>
      <c r="LOA237" s="26"/>
      <c r="LOE237" s="23"/>
      <c r="LOJ237" s="26"/>
      <c r="LON237" s="23"/>
      <c r="LOS237" s="26"/>
      <c r="LOW237" s="23"/>
      <c r="LPB237" s="26"/>
      <c r="LPF237" s="23"/>
      <c r="LPK237" s="26"/>
      <c r="LPO237" s="23"/>
      <c r="LPT237" s="26"/>
      <c r="LPX237" s="23"/>
      <c r="LQC237" s="26"/>
      <c r="LQG237" s="23"/>
      <c r="LQL237" s="26"/>
      <c r="LQP237" s="23"/>
      <c r="LQU237" s="26"/>
      <c r="LQY237" s="23"/>
      <c r="LRD237" s="26"/>
      <c r="LRH237" s="23"/>
      <c r="LRM237" s="26"/>
      <c r="LRQ237" s="23"/>
      <c r="LRV237" s="26"/>
      <c r="LRZ237" s="23"/>
      <c r="LSE237" s="26"/>
      <c r="LSI237" s="23"/>
      <c r="LSN237" s="26"/>
      <c r="LSR237" s="23"/>
      <c r="LSW237" s="26"/>
      <c r="LTA237" s="23"/>
      <c r="LTF237" s="26"/>
      <c r="LTJ237" s="23"/>
      <c r="LTO237" s="26"/>
      <c r="LTS237" s="23"/>
      <c r="LTX237" s="26"/>
      <c r="LUB237" s="23"/>
      <c r="LUG237" s="26"/>
      <c r="LUK237" s="23"/>
      <c r="LUP237" s="26"/>
      <c r="LUT237" s="23"/>
      <c r="LUY237" s="26"/>
      <c r="LVC237" s="23"/>
      <c r="LVH237" s="26"/>
      <c r="LVL237" s="23"/>
      <c r="LVQ237" s="26"/>
      <c r="LVU237" s="23"/>
      <c r="LVZ237" s="26"/>
      <c r="LWD237" s="23"/>
      <c r="LWI237" s="26"/>
      <c r="LWM237" s="23"/>
      <c r="LWR237" s="26"/>
      <c r="LWV237" s="23"/>
      <c r="LXA237" s="26"/>
      <c r="LXE237" s="23"/>
      <c r="LXJ237" s="26"/>
      <c r="LXN237" s="23"/>
      <c r="LXS237" s="26"/>
      <c r="LXW237" s="23"/>
      <c r="LYB237" s="26"/>
      <c r="LYF237" s="23"/>
      <c r="LYK237" s="26"/>
      <c r="LYO237" s="23"/>
      <c r="LYT237" s="26"/>
      <c r="LYX237" s="23"/>
      <c r="LZC237" s="26"/>
      <c r="LZG237" s="23"/>
      <c r="LZL237" s="26"/>
      <c r="LZP237" s="23"/>
      <c r="LZU237" s="26"/>
      <c r="LZY237" s="23"/>
      <c r="MAD237" s="26"/>
      <c r="MAH237" s="23"/>
      <c r="MAM237" s="26"/>
      <c r="MAQ237" s="23"/>
      <c r="MAV237" s="26"/>
      <c r="MAZ237" s="23"/>
      <c r="MBE237" s="26"/>
      <c r="MBI237" s="23"/>
      <c r="MBN237" s="26"/>
      <c r="MBR237" s="23"/>
      <c r="MBW237" s="26"/>
      <c r="MCA237" s="23"/>
      <c r="MCF237" s="26"/>
      <c r="MCJ237" s="23"/>
      <c r="MCO237" s="26"/>
      <c r="MCS237" s="23"/>
      <c r="MCX237" s="26"/>
      <c r="MDB237" s="23"/>
      <c r="MDG237" s="26"/>
      <c r="MDK237" s="23"/>
      <c r="MDP237" s="26"/>
      <c r="MDT237" s="23"/>
      <c r="MDY237" s="26"/>
      <c r="MEC237" s="23"/>
      <c r="MEH237" s="26"/>
      <c r="MEL237" s="23"/>
      <c r="MEQ237" s="26"/>
      <c r="MEU237" s="23"/>
      <c r="MEZ237" s="26"/>
      <c r="MFD237" s="23"/>
      <c r="MFI237" s="26"/>
      <c r="MFM237" s="23"/>
      <c r="MFR237" s="26"/>
      <c r="MFV237" s="23"/>
      <c r="MGA237" s="26"/>
      <c r="MGE237" s="23"/>
      <c r="MGJ237" s="26"/>
      <c r="MGN237" s="23"/>
      <c r="MGS237" s="26"/>
      <c r="MGW237" s="23"/>
      <c r="MHB237" s="26"/>
      <c r="MHF237" s="23"/>
      <c r="MHK237" s="26"/>
      <c r="MHO237" s="23"/>
      <c r="MHT237" s="26"/>
      <c r="MHX237" s="23"/>
      <c r="MIC237" s="26"/>
      <c r="MIG237" s="23"/>
      <c r="MIL237" s="26"/>
      <c r="MIP237" s="23"/>
      <c r="MIU237" s="26"/>
      <c r="MIY237" s="23"/>
      <c r="MJD237" s="26"/>
      <c r="MJH237" s="23"/>
      <c r="MJM237" s="26"/>
      <c r="MJQ237" s="23"/>
      <c r="MJV237" s="26"/>
      <c r="MJZ237" s="23"/>
      <c r="MKE237" s="26"/>
      <c r="MKI237" s="23"/>
      <c r="MKN237" s="26"/>
      <c r="MKR237" s="23"/>
      <c r="MKW237" s="26"/>
      <c r="MLA237" s="23"/>
      <c r="MLF237" s="26"/>
      <c r="MLJ237" s="23"/>
      <c r="MLO237" s="26"/>
      <c r="MLS237" s="23"/>
      <c r="MLX237" s="26"/>
      <c r="MMB237" s="23"/>
      <c r="MMG237" s="26"/>
      <c r="MMK237" s="23"/>
      <c r="MMP237" s="26"/>
      <c r="MMT237" s="23"/>
      <c r="MMY237" s="26"/>
      <c r="MNC237" s="23"/>
      <c r="MNH237" s="26"/>
      <c r="MNL237" s="23"/>
      <c r="MNQ237" s="26"/>
      <c r="MNU237" s="23"/>
      <c r="MNZ237" s="26"/>
      <c r="MOD237" s="23"/>
      <c r="MOI237" s="26"/>
      <c r="MOM237" s="23"/>
      <c r="MOR237" s="26"/>
      <c r="MOV237" s="23"/>
      <c r="MPA237" s="26"/>
      <c r="MPE237" s="23"/>
      <c r="MPJ237" s="26"/>
      <c r="MPN237" s="23"/>
      <c r="MPS237" s="26"/>
      <c r="MPW237" s="23"/>
      <c r="MQB237" s="26"/>
      <c r="MQF237" s="23"/>
      <c r="MQK237" s="26"/>
      <c r="MQO237" s="23"/>
      <c r="MQT237" s="26"/>
      <c r="MQX237" s="23"/>
      <c r="MRC237" s="26"/>
      <c r="MRG237" s="23"/>
      <c r="MRL237" s="26"/>
      <c r="MRP237" s="23"/>
      <c r="MRU237" s="26"/>
      <c r="MRY237" s="23"/>
      <c r="MSD237" s="26"/>
      <c r="MSH237" s="23"/>
      <c r="MSM237" s="26"/>
      <c r="MSQ237" s="23"/>
      <c r="MSV237" s="26"/>
      <c r="MSZ237" s="23"/>
      <c r="MTE237" s="26"/>
      <c r="MTI237" s="23"/>
      <c r="MTN237" s="26"/>
      <c r="MTR237" s="23"/>
      <c r="MTW237" s="26"/>
      <c r="MUA237" s="23"/>
      <c r="MUF237" s="26"/>
      <c r="MUJ237" s="23"/>
      <c r="MUO237" s="26"/>
      <c r="MUS237" s="23"/>
      <c r="MUX237" s="26"/>
      <c r="MVB237" s="23"/>
      <c r="MVG237" s="26"/>
      <c r="MVK237" s="23"/>
      <c r="MVP237" s="26"/>
      <c r="MVT237" s="23"/>
      <c r="MVY237" s="26"/>
      <c r="MWC237" s="23"/>
      <c r="MWH237" s="26"/>
      <c r="MWL237" s="23"/>
      <c r="MWQ237" s="26"/>
      <c r="MWU237" s="23"/>
      <c r="MWZ237" s="26"/>
      <c r="MXD237" s="23"/>
      <c r="MXI237" s="26"/>
      <c r="MXM237" s="23"/>
      <c r="MXR237" s="26"/>
      <c r="MXV237" s="23"/>
      <c r="MYA237" s="26"/>
      <c r="MYE237" s="23"/>
      <c r="MYJ237" s="26"/>
      <c r="MYN237" s="23"/>
      <c r="MYS237" s="26"/>
      <c r="MYW237" s="23"/>
      <c r="MZB237" s="26"/>
      <c r="MZF237" s="23"/>
      <c r="MZK237" s="26"/>
      <c r="MZO237" s="23"/>
      <c r="MZT237" s="26"/>
      <c r="MZX237" s="23"/>
      <c r="NAC237" s="26"/>
      <c r="NAG237" s="23"/>
      <c r="NAL237" s="26"/>
      <c r="NAP237" s="23"/>
      <c r="NAU237" s="26"/>
      <c r="NAY237" s="23"/>
      <c r="NBD237" s="26"/>
      <c r="NBH237" s="23"/>
      <c r="NBM237" s="26"/>
      <c r="NBQ237" s="23"/>
      <c r="NBV237" s="26"/>
      <c r="NBZ237" s="23"/>
      <c r="NCE237" s="26"/>
      <c r="NCI237" s="23"/>
      <c r="NCN237" s="26"/>
      <c r="NCR237" s="23"/>
      <c r="NCW237" s="26"/>
      <c r="NDA237" s="23"/>
      <c r="NDF237" s="26"/>
      <c r="NDJ237" s="23"/>
      <c r="NDO237" s="26"/>
      <c r="NDS237" s="23"/>
      <c r="NDX237" s="26"/>
      <c r="NEB237" s="23"/>
      <c r="NEG237" s="26"/>
      <c r="NEK237" s="23"/>
      <c r="NEP237" s="26"/>
      <c r="NET237" s="23"/>
      <c r="NEY237" s="26"/>
      <c r="NFC237" s="23"/>
      <c r="NFH237" s="26"/>
      <c r="NFL237" s="23"/>
      <c r="NFQ237" s="26"/>
      <c r="NFU237" s="23"/>
      <c r="NFZ237" s="26"/>
      <c r="NGD237" s="23"/>
      <c r="NGI237" s="26"/>
      <c r="NGM237" s="23"/>
      <c r="NGR237" s="26"/>
      <c r="NGV237" s="23"/>
      <c r="NHA237" s="26"/>
      <c r="NHE237" s="23"/>
      <c r="NHJ237" s="26"/>
      <c r="NHN237" s="23"/>
      <c r="NHS237" s="26"/>
      <c r="NHW237" s="23"/>
      <c r="NIB237" s="26"/>
      <c r="NIF237" s="23"/>
      <c r="NIK237" s="26"/>
      <c r="NIO237" s="23"/>
      <c r="NIT237" s="26"/>
      <c r="NIX237" s="23"/>
      <c r="NJC237" s="26"/>
      <c r="NJG237" s="23"/>
      <c r="NJL237" s="26"/>
      <c r="NJP237" s="23"/>
      <c r="NJU237" s="26"/>
      <c r="NJY237" s="23"/>
      <c r="NKD237" s="26"/>
      <c r="NKH237" s="23"/>
      <c r="NKM237" s="26"/>
      <c r="NKQ237" s="23"/>
      <c r="NKV237" s="26"/>
      <c r="NKZ237" s="23"/>
      <c r="NLE237" s="26"/>
      <c r="NLI237" s="23"/>
      <c r="NLN237" s="26"/>
      <c r="NLR237" s="23"/>
      <c r="NLW237" s="26"/>
      <c r="NMA237" s="23"/>
      <c r="NMF237" s="26"/>
      <c r="NMJ237" s="23"/>
      <c r="NMO237" s="26"/>
      <c r="NMS237" s="23"/>
      <c r="NMX237" s="26"/>
      <c r="NNB237" s="23"/>
      <c r="NNG237" s="26"/>
      <c r="NNK237" s="23"/>
      <c r="NNP237" s="26"/>
      <c r="NNT237" s="23"/>
      <c r="NNY237" s="26"/>
      <c r="NOC237" s="23"/>
      <c r="NOH237" s="26"/>
      <c r="NOL237" s="23"/>
      <c r="NOQ237" s="26"/>
      <c r="NOU237" s="23"/>
      <c r="NOZ237" s="26"/>
      <c r="NPD237" s="23"/>
      <c r="NPI237" s="26"/>
      <c r="NPM237" s="23"/>
      <c r="NPR237" s="26"/>
      <c r="NPV237" s="23"/>
      <c r="NQA237" s="26"/>
      <c r="NQE237" s="23"/>
      <c r="NQJ237" s="26"/>
      <c r="NQN237" s="23"/>
      <c r="NQS237" s="26"/>
      <c r="NQW237" s="23"/>
      <c r="NRB237" s="26"/>
      <c r="NRF237" s="23"/>
      <c r="NRK237" s="26"/>
      <c r="NRO237" s="23"/>
      <c r="NRT237" s="26"/>
      <c r="NRX237" s="23"/>
      <c r="NSC237" s="26"/>
      <c r="NSG237" s="23"/>
      <c r="NSL237" s="26"/>
      <c r="NSP237" s="23"/>
      <c r="NSU237" s="26"/>
      <c r="NSY237" s="23"/>
      <c r="NTD237" s="26"/>
      <c r="NTH237" s="23"/>
      <c r="NTM237" s="26"/>
      <c r="NTQ237" s="23"/>
      <c r="NTV237" s="26"/>
      <c r="NTZ237" s="23"/>
      <c r="NUE237" s="26"/>
      <c r="NUI237" s="23"/>
      <c r="NUN237" s="26"/>
      <c r="NUR237" s="23"/>
      <c r="NUW237" s="26"/>
      <c r="NVA237" s="23"/>
      <c r="NVF237" s="26"/>
      <c r="NVJ237" s="23"/>
      <c r="NVO237" s="26"/>
      <c r="NVS237" s="23"/>
      <c r="NVX237" s="26"/>
      <c r="NWB237" s="23"/>
      <c r="NWG237" s="26"/>
      <c r="NWK237" s="23"/>
      <c r="NWP237" s="26"/>
      <c r="NWT237" s="23"/>
      <c r="NWY237" s="26"/>
      <c r="NXC237" s="23"/>
      <c r="NXH237" s="26"/>
      <c r="NXL237" s="23"/>
      <c r="NXQ237" s="26"/>
      <c r="NXU237" s="23"/>
      <c r="NXZ237" s="26"/>
      <c r="NYD237" s="23"/>
      <c r="NYI237" s="26"/>
      <c r="NYM237" s="23"/>
      <c r="NYR237" s="26"/>
      <c r="NYV237" s="23"/>
      <c r="NZA237" s="26"/>
      <c r="NZE237" s="23"/>
      <c r="NZJ237" s="26"/>
      <c r="NZN237" s="23"/>
      <c r="NZS237" s="26"/>
      <c r="NZW237" s="23"/>
      <c r="OAB237" s="26"/>
      <c r="OAF237" s="23"/>
      <c r="OAK237" s="26"/>
      <c r="OAO237" s="23"/>
      <c r="OAT237" s="26"/>
      <c r="OAX237" s="23"/>
      <c r="OBC237" s="26"/>
      <c r="OBG237" s="23"/>
      <c r="OBL237" s="26"/>
      <c r="OBP237" s="23"/>
      <c r="OBU237" s="26"/>
      <c r="OBY237" s="23"/>
      <c r="OCD237" s="26"/>
      <c r="OCH237" s="23"/>
      <c r="OCM237" s="26"/>
      <c r="OCQ237" s="23"/>
      <c r="OCV237" s="26"/>
      <c r="OCZ237" s="23"/>
      <c r="ODE237" s="26"/>
      <c r="ODI237" s="23"/>
      <c r="ODN237" s="26"/>
      <c r="ODR237" s="23"/>
      <c r="ODW237" s="26"/>
      <c r="OEA237" s="23"/>
      <c r="OEF237" s="26"/>
      <c r="OEJ237" s="23"/>
      <c r="OEO237" s="26"/>
      <c r="OES237" s="23"/>
      <c r="OEX237" s="26"/>
      <c r="OFB237" s="23"/>
      <c r="OFG237" s="26"/>
      <c r="OFK237" s="23"/>
      <c r="OFP237" s="26"/>
      <c r="OFT237" s="23"/>
      <c r="OFY237" s="26"/>
      <c r="OGC237" s="23"/>
      <c r="OGH237" s="26"/>
      <c r="OGL237" s="23"/>
      <c r="OGQ237" s="26"/>
      <c r="OGU237" s="23"/>
      <c r="OGZ237" s="26"/>
      <c r="OHD237" s="23"/>
      <c r="OHI237" s="26"/>
      <c r="OHM237" s="23"/>
      <c r="OHR237" s="26"/>
      <c r="OHV237" s="23"/>
      <c r="OIA237" s="26"/>
      <c r="OIE237" s="23"/>
      <c r="OIJ237" s="26"/>
      <c r="OIN237" s="23"/>
      <c r="OIS237" s="26"/>
      <c r="OIW237" s="23"/>
      <c r="OJB237" s="26"/>
      <c r="OJF237" s="23"/>
      <c r="OJK237" s="26"/>
      <c r="OJO237" s="23"/>
      <c r="OJT237" s="26"/>
      <c r="OJX237" s="23"/>
      <c r="OKC237" s="26"/>
      <c r="OKG237" s="23"/>
      <c r="OKL237" s="26"/>
      <c r="OKP237" s="23"/>
      <c r="OKU237" s="26"/>
      <c r="OKY237" s="23"/>
      <c r="OLD237" s="26"/>
      <c r="OLH237" s="23"/>
      <c r="OLM237" s="26"/>
      <c r="OLQ237" s="23"/>
      <c r="OLV237" s="26"/>
      <c r="OLZ237" s="23"/>
      <c r="OME237" s="26"/>
      <c r="OMI237" s="23"/>
      <c r="OMN237" s="26"/>
      <c r="OMR237" s="23"/>
      <c r="OMW237" s="26"/>
      <c r="ONA237" s="23"/>
      <c r="ONF237" s="26"/>
      <c r="ONJ237" s="23"/>
      <c r="ONO237" s="26"/>
      <c r="ONS237" s="23"/>
      <c r="ONX237" s="26"/>
      <c r="OOB237" s="23"/>
      <c r="OOG237" s="26"/>
      <c r="OOK237" s="23"/>
      <c r="OOP237" s="26"/>
      <c r="OOT237" s="23"/>
      <c r="OOY237" s="26"/>
      <c r="OPC237" s="23"/>
      <c r="OPH237" s="26"/>
      <c r="OPL237" s="23"/>
      <c r="OPQ237" s="26"/>
      <c r="OPU237" s="23"/>
      <c r="OPZ237" s="26"/>
      <c r="OQD237" s="23"/>
      <c r="OQI237" s="26"/>
      <c r="OQM237" s="23"/>
      <c r="OQR237" s="26"/>
      <c r="OQV237" s="23"/>
      <c r="ORA237" s="26"/>
      <c r="ORE237" s="23"/>
      <c r="ORJ237" s="26"/>
      <c r="ORN237" s="23"/>
      <c r="ORS237" s="26"/>
      <c r="ORW237" s="23"/>
      <c r="OSB237" s="26"/>
      <c r="OSF237" s="23"/>
      <c r="OSK237" s="26"/>
      <c r="OSO237" s="23"/>
      <c r="OST237" s="26"/>
      <c r="OSX237" s="23"/>
      <c r="OTC237" s="26"/>
      <c r="OTG237" s="23"/>
      <c r="OTL237" s="26"/>
      <c r="OTP237" s="23"/>
      <c r="OTU237" s="26"/>
      <c r="OTY237" s="23"/>
      <c r="OUD237" s="26"/>
      <c r="OUH237" s="23"/>
      <c r="OUM237" s="26"/>
      <c r="OUQ237" s="23"/>
      <c r="OUV237" s="26"/>
      <c r="OUZ237" s="23"/>
      <c r="OVE237" s="26"/>
      <c r="OVI237" s="23"/>
      <c r="OVN237" s="26"/>
      <c r="OVR237" s="23"/>
      <c r="OVW237" s="26"/>
      <c r="OWA237" s="23"/>
      <c r="OWF237" s="26"/>
      <c r="OWJ237" s="23"/>
      <c r="OWO237" s="26"/>
      <c r="OWS237" s="23"/>
      <c r="OWX237" s="26"/>
      <c r="OXB237" s="23"/>
      <c r="OXG237" s="26"/>
      <c r="OXK237" s="23"/>
      <c r="OXP237" s="26"/>
      <c r="OXT237" s="23"/>
      <c r="OXY237" s="26"/>
      <c r="OYC237" s="23"/>
      <c r="OYH237" s="26"/>
      <c r="OYL237" s="23"/>
      <c r="OYQ237" s="26"/>
      <c r="OYU237" s="23"/>
      <c r="OYZ237" s="26"/>
      <c r="OZD237" s="23"/>
      <c r="OZI237" s="26"/>
      <c r="OZM237" s="23"/>
      <c r="OZR237" s="26"/>
      <c r="OZV237" s="23"/>
      <c r="PAA237" s="26"/>
      <c r="PAE237" s="23"/>
      <c r="PAJ237" s="26"/>
      <c r="PAN237" s="23"/>
      <c r="PAS237" s="26"/>
      <c r="PAW237" s="23"/>
      <c r="PBB237" s="26"/>
      <c r="PBF237" s="23"/>
      <c r="PBK237" s="26"/>
      <c r="PBO237" s="23"/>
      <c r="PBT237" s="26"/>
      <c r="PBX237" s="23"/>
      <c r="PCC237" s="26"/>
      <c r="PCG237" s="23"/>
      <c r="PCL237" s="26"/>
      <c r="PCP237" s="23"/>
      <c r="PCU237" s="26"/>
      <c r="PCY237" s="23"/>
      <c r="PDD237" s="26"/>
      <c r="PDH237" s="23"/>
      <c r="PDM237" s="26"/>
      <c r="PDQ237" s="23"/>
      <c r="PDV237" s="26"/>
      <c r="PDZ237" s="23"/>
      <c r="PEE237" s="26"/>
      <c r="PEI237" s="23"/>
      <c r="PEN237" s="26"/>
      <c r="PER237" s="23"/>
      <c r="PEW237" s="26"/>
      <c r="PFA237" s="23"/>
      <c r="PFF237" s="26"/>
      <c r="PFJ237" s="23"/>
      <c r="PFO237" s="26"/>
      <c r="PFS237" s="23"/>
      <c r="PFX237" s="26"/>
      <c r="PGB237" s="23"/>
      <c r="PGG237" s="26"/>
      <c r="PGK237" s="23"/>
      <c r="PGP237" s="26"/>
      <c r="PGT237" s="23"/>
      <c r="PGY237" s="26"/>
      <c r="PHC237" s="23"/>
      <c r="PHH237" s="26"/>
      <c r="PHL237" s="23"/>
      <c r="PHQ237" s="26"/>
      <c r="PHU237" s="23"/>
      <c r="PHZ237" s="26"/>
      <c r="PID237" s="23"/>
      <c r="PII237" s="26"/>
      <c r="PIM237" s="23"/>
      <c r="PIR237" s="26"/>
      <c r="PIV237" s="23"/>
      <c r="PJA237" s="26"/>
      <c r="PJE237" s="23"/>
      <c r="PJJ237" s="26"/>
      <c r="PJN237" s="23"/>
      <c r="PJS237" s="26"/>
      <c r="PJW237" s="23"/>
      <c r="PKB237" s="26"/>
      <c r="PKF237" s="23"/>
      <c r="PKK237" s="26"/>
      <c r="PKO237" s="23"/>
      <c r="PKT237" s="26"/>
      <c r="PKX237" s="23"/>
      <c r="PLC237" s="26"/>
      <c r="PLG237" s="23"/>
      <c r="PLL237" s="26"/>
      <c r="PLP237" s="23"/>
      <c r="PLU237" s="26"/>
      <c r="PLY237" s="23"/>
      <c r="PMD237" s="26"/>
      <c r="PMH237" s="23"/>
      <c r="PMM237" s="26"/>
      <c r="PMQ237" s="23"/>
      <c r="PMV237" s="26"/>
      <c r="PMZ237" s="23"/>
      <c r="PNE237" s="26"/>
      <c r="PNI237" s="23"/>
      <c r="PNN237" s="26"/>
      <c r="PNR237" s="23"/>
      <c r="PNW237" s="26"/>
      <c r="POA237" s="23"/>
      <c r="POF237" s="26"/>
      <c r="POJ237" s="23"/>
      <c r="POO237" s="26"/>
      <c r="POS237" s="23"/>
      <c r="POX237" s="26"/>
      <c r="PPB237" s="23"/>
      <c r="PPG237" s="26"/>
      <c r="PPK237" s="23"/>
      <c r="PPP237" s="26"/>
      <c r="PPT237" s="23"/>
      <c r="PPY237" s="26"/>
      <c r="PQC237" s="23"/>
      <c r="PQH237" s="26"/>
      <c r="PQL237" s="23"/>
      <c r="PQQ237" s="26"/>
      <c r="PQU237" s="23"/>
      <c r="PQZ237" s="26"/>
      <c r="PRD237" s="23"/>
      <c r="PRI237" s="26"/>
      <c r="PRM237" s="23"/>
      <c r="PRR237" s="26"/>
      <c r="PRV237" s="23"/>
      <c r="PSA237" s="26"/>
      <c r="PSE237" s="23"/>
      <c r="PSJ237" s="26"/>
      <c r="PSN237" s="23"/>
      <c r="PSS237" s="26"/>
      <c r="PSW237" s="23"/>
      <c r="PTB237" s="26"/>
      <c r="PTF237" s="23"/>
      <c r="PTK237" s="26"/>
      <c r="PTO237" s="23"/>
      <c r="PTT237" s="26"/>
      <c r="PTX237" s="23"/>
      <c r="PUC237" s="26"/>
      <c r="PUG237" s="23"/>
      <c r="PUL237" s="26"/>
      <c r="PUP237" s="23"/>
      <c r="PUU237" s="26"/>
      <c r="PUY237" s="23"/>
      <c r="PVD237" s="26"/>
      <c r="PVH237" s="23"/>
      <c r="PVM237" s="26"/>
      <c r="PVQ237" s="23"/>
      <c r="PVV237" s="26"/>
      <c r="PVZ237" s="23"/>
      <c r="PWE237" s="26"/>
      <c r="PWI237" s="23"/>
      <c r="PWN237" s="26"/>
      <c r="PWR237" s="23"/>
      <c r="PWW237" s="26"/>
      <c r="PXA237" s="23"/>
      <c r="PXF237" s="26"/>
      <c r="PXJ237" s="23"/>
      <c r="PXO237" s="26"/>
      <c r="PXS237" s="23"/>
      <c r="PXX237" s="26"/>
      <c r="PYB237" s="23"/>
      <c r="PYG237" s="26"/>
      <c r="PYK237" s="23"/>
      <c r="PYP237" s="26"/>
      <c r="PYT237" s="23"/>
      <c r="PYY237" s="26"/>
      <c r="PZC237" s="23"/>
      <c r="PZH237" s="26"/>
      <c r="PZL237" s="23"/>
      <c r="PZQ237" s="26"/>
      <c r="PZU237" s="23"/>
      <c r="PZZ237" s="26"/>
      <c r="QAD237" s="23"/>
      <c r="QAI237" s="26"/>
      <c r="QAM237" s="23"/>
      <c r="QAR237" s="26"/>
      <c r="QAV237" s="23"/>
      <c r="QBA237" s="26"/>
      <c r="QBE237" s="23"/>
      <c r="QBJ237" s="26"/>
      <c r="QBN237" s="23"/>
      <c r="QBS237" s="26"/>
      <c r="QBW237" s="23"/>
      <c r="QCB237" s="26"/>
      <c r="QCF237" s="23"/>
      <c r="QCK237" s="26"/>
      <c r="QCO237" s="23"/>
      <c r="QCT237" s="26"/>
      <c r="QCX237" s="23"/>
      <c r="QDC237" s="26"/>
      <c r="QDG237" s="23"/>
      <c r="QDL237" s="26"/>
      <c r="QDP237" s="23"/>
      <c r="QDU237" s="26"/>
      <c r="QDY237" s="23"/>
      <c r="QED237" s="26"/>
      <c r="QEH237" s="23"/>
      <c r="QEM237" s="26"/>
      <c r="QEQ237" s="23"/>
      <c r="QEV237" s="26"/>
      <c r="QEZ237" s="23"/>
      <c r="QFE237" s="26"/>
      <c r="QFI237" s="23"/>
      <c r="QFN237" s="26"/>
      <c r="QFR237" s="23"/>
      <c r="QFW237" s="26"/>
      <c r="QGA237" s="23"/>
      <c r="QGF237" s="26"/>
      <c r="QGJ237" s="23"/>
      <c r="QGO237" s="26"/>
      <c r="QGS237" s="23"/>
      <c r="QGX237" s="26"/>
      <c r="QHB237" s="23"/>
      <c r="QHG237" s="26"/>
      <c r="QHK237" s="23"/>
      <c r="QHP237" s="26"/>
      <c r="QHT237" s="23"/>
      <c r="QHY237" s="26"/>
      <c r="QIC237" s="23"/>
      <c r="QIH237" s="26"/>
      <c r="QIL237" s="23"/>
      <c r="QIQ237" s="26"/>
      <c r="QIU237" s="23"/>
      <c r="QIZ237" s="26"/>
      <c r="QJD237" s="23"/>
      <c r="QJI237" s="26"/>
      <c r="QJM237" s="23"/>
      <c r="QJR237" s="26"/>
      <c r="QJV237" s="23"/>
      <c r="QKA237" s="26"/>
      <c r="QKE237" s="23"/>
      <c r="QKJ237" s="26"/>
      <c r="QKN237" s="23"/>
      <c r="QKS237" s="26"/>
      <c r="QKW237" s="23"/>
      <c r="QLB237" s="26"/>
      <c r="QLF237" s="23"/>
      <c r="QLK237" s="26"/>
      <c r="QLO237" s="23"/>
      <c r="QLT237" s="26"/>
      <c r="QLX237" s="23"/>
      <c r="QMC237" s="26"/>
      <c r="QMG237" s="23"/>
      <c r="QML237" s="26"/>
      <c r="QMP237" s="23"/>
      <c r="QMU237" s="26"/>
      <c r="QMY237" s="23"/>
      <c r="QND237" s="26"/>
      <c r="QNH237" s="23"/>
      <c r="QNM237" s="26"/>
      <c r="QNQ237" s="23"/>
      <c r="QNV237" s="26"/>
      <c r="QNZ237" s="23"/>
      <c r="QOE237" s="26"/>
      <c r="QOI237" s="23"/>
      <c r="QON237" s="26"/>
      <c r="QOR237" s="23"/>
      <c r="QOW237" s="26"/>
      <c r="QPA237" s="23"/>
      <c r="QPF237" s="26"/>
      <c r="QPJ237" s="23"/>
      <c r="QPO237" s="26"/>
      <c r="QPS237" s="23"/>
      <c r="QPX237" s="26"/>
      <c r="QQB237" s="23"/>
      <c r="QQG237" s="26"/>
      <c r="QQK237" s="23"/>
      <c r="QQP237" s="26"/>
      <c r="QQT237" s="23"/>
      <c r="QQY237" s="26"/>
      <c r="QRC237" s="23"/>
      <c r="QRH237" s="26"/>
      <c r="QRL237" s="23"/>
      <c r="QRQ237" s="26"/>
      <c r="QRU237" s="23"/>
      <c r="QRZ237" s="26"/>
      <c r="QSD237" s="23"/>
      <c r="QSI237" s="26"/>
      <c r="QSM237" s="23"/>
      <c r="QSR237" s="26"/>
      <c r="QSV237" s="23"/>
      <c r="QTA237" s="26"/>
      <c r="QTE237" s="23"/>
      <c r="QTJ237" s="26"/>
      <c r="QTN237" s="23"/>
      <c r="QTS237" s="26"/>
      <c r="QTW237" s="23"/>
      <c r="QUB237" s="26"/>
      <c r="QUF237" s="23"/>
      <c r="QUK237" s="26"/>
      <c r="QUO237" s="23"/>
      <c r="QUT237" s="26"/>
      <c r="QUX237" s="23"/>
      <c r="QVC237" s="26"/>
      <c r="QVG237" s="23"/>
      <c r="QVL237" s="26"/>
      <c r="QVP237" s="23"/>
      <c r="QVU237" s="26"/>
      <c r="QVY237" s="23"/>
      <c r="QWD237" s="26"/>
      <c r="QWH237" s="23"/>
      <c r="QWM237" s="26"/>
      <c r="QWQ237" s="23"/>
      <c r="QWV237" s="26"/>
      <c r="QWZ237" s="23"/>
      <c r="QXE237" s="26"/>
      <c r="QXI237" s="23"/>
      <c r="QXN237" s="26"/>
      <c r="QXR237" s="23"/>
      <c r="QXW237" s="26"/>
      <c r="QYA237" s="23"/>
      <c r="QYF237" s="26"/>
      <c r="QYJ237" s="23"/>
      <c r="QYO237" s="26"/>
      <c r="QYS237" s="23"/>
      <c r="QYX237" s="26"/>
      <c r="QZB237" s="23"/>
      <c r="QZG237" s="26"/>
      <c r="QZK237" s="23"/>
      <c r="QZP237" s="26"/>
      <c r="QZT237" s="23"/>
      <c r="QZY237" s="26"/>
      <c r="RAC237" s="23"/>
      <c r="RAH237" s="26"/>
      <c r="RAL237" s="23"/>
      <c r="RAQ237" s="26"/>
      <c r="RAU237" s="23"/>
      <c r="RAZ237" s="26"/>
      <c r="RBD237" s="23"/>
      <c r="RBI237" s="26"/>
      <c r="RBM237" s="23"/>
      <c r="RBR237" s="26"/>
      <c r="RBV237" s="23"/>
      <c r="RCA237" s="26"/>
      <c r="RCE237" s="23"/>
      <c r="RCJ237" s="26"/>
      <c r="RCN237" s="23"/>
      <c r="RCS237" s="26"/>
      <c r="RCW237" s="23"/>
      <c r="RDB237" s="26"/>
      <c r="RDF237" s="23"/>
      <c r="RDK237" s="26"/>
      <c r="RDO237" s="23"/>
      <c r="RDT237" s="26"/>
      <c r="RDX237" s="23"/>
      <c r="REC237" s="26"/>
      <c r="REG237" s="23"/>
      <c r="REL237" s="26"/>
      <c r="REP237" s="23"/>
      <c r="REU237" s="26"/>
      <c r="REY237" s="23"/>
      <c r="RFD237" s="26"/>
      <c r="RFH237" s="23"/>
      <c r="RFM237" s="26"/>
      <c r="RFQ237" s="23"/>
      <c r="RFV237" s="26"/>
      <c r="RFZ237" s="23"/>
      <c r="RGE237" s="26"/>
      <c r="RGI237" s="23"/>
      <c r="RGN237" s="26"/>
      <c r="RGR237" s="23"/>
      <c r="RGW237" s="26"/>
      <c r="RHA237" s="23"/>
      <c r="RHF237" s="26"/>
      <c r="RHJ237" s="23"/>
      <c r="RHO237" s="26"/>
      <c r="RHS237" s="23"/>
      <c r="RHX237" s="26"/>
      <c r="RIB237" s="23"/>
      <c r="RIG237" s="26"/>
      <c r="RIK237" s="23"/>
      <c r="RIP237" s="26"/>
      <c r="RIT237" s="23"/>
      <c r="RIY237" s="26"/>
      <c r="RJC237" s="23"/>
      <c r="RJH237" s="26"/>
      <c r="RJL237" s="23"/>
      <c r="RJQ237" s="26"/>
      <c r="RJU237" s="23"/>
      <c r="RJZ237" s="26"/>
      <c r="RKD237" s="23"/>
      <c r="RKI237" s="26"/>
      <c r="RKM237" s="23"/>
      <c r="RKR237" s="26"/>
      <c r="RKV237" s="23"/>
      <c r="RLA237" s="26"/>
      <c r="RLE237" s="23"/>
      <c r="RLJ237" s="26"/>
      <c r="RLN237" s="23"/>
      <c r="RLS237" s="26"/>
      <c r="RLW237" s="23"/>
      <c r="RMB237" s="26"/>
      <c r="RMF237" s="23"/>
      <c r="RMK237" s="26"/>
      <c r="RMO237" s="23"/>
      <c r="RMT237" s="26"/>
      <c r="RMX237" s="23"/>
      <c r="RNC237" s="26"/>
      <c r="RNG237" s="23"/>
      <c r="RNL237" s="26"/>
      <c r="RNP237" s="23"/>
      <c r="RNU237" s="26"/>
      <c r="RNY237" s="23"/>
      <c r="ROD237" s="26"/>
      <c r="ROH237" s="23"/>
      <c r="ROM237" s="26"/>
      <c r="ROQ237" s="23"/>
      <c r="ROV237" s="26"/>
      <c r="ROZ237" s="23"/>
      <c r="RPE237" s="26"/>
      <c r="RPI237" s="23"/>
      <c r="RPN237" s="26"/>
      <c r="RPR237" s="23"/>
      <c r="RPW237" s="26"/>
      <c r="RQA237" s="23"/>
      <c r="RQF237" s="26"/>
      <c r="RQJ237" s="23"/>
      <c r="RQO237" s="26"/>
      <c r="RQS237" s="23"/>
      <c r="RQX237" s="26"/>
      <c r="RRB237" s="23"/>
      <c r="RRG237" s="26"/>
      <c r="RRK237" s="23"/>
      <c r="RRP237" s="26"/>
      <c r="RRT237" s="23"/>
      <c r="RRY237" s="26"/>
      <c r="RSC237" s="23"/>
      <c r="RSH237" s="26"/>
      <c r="RSL237" s="23"/>
      <c r="RSQ237" s="26"/>
      <c r="RSU237" s="23"/>
      <c r="RSZ237" s="26"/>
      <c r="RTD237" s="23"/>
      <c r="RTI237" s="26"/>
      <c r="RTM237" s="23"/>
      <c r="RTR237" s="26"/>
      <c r="RTV237" s="23"/>
      <c r="RUA237" s="26"/>
      <c r="RUE237" s="23"/>
      <c r="RUJ237" s="26"/>
      <c r="RUN237" s="23"/>
      <c r="RUS237" s="26"/>
      <c r="RUW237" s="23"/>
      <c r="RVB237" s="26"/>
      <c r="RVF237" s="23"/>
      <c r="RVK237" s="26"/>
      <c r="RVO237" s="23"/>
      <c r="RVT237" s="26"/>
      <c r="RVX237" s="23"/>
      <c r="RWC237" s="26"/>
      <c r="RWG237" s="23"/>
      <c r="RWL237" s="26"/>
      <c r="RWP237" s="23"/>
      <c r="RWU237" s="26"/>
      <c r="RWY237" s="23"/>
      <c r="RXD237" s="26"/>
      <c r="RXH237" s="23"/>
      <c r="RXM237" s="26"/>
      <c r="RXQ237" s="23"/>
      <c r="RXV237" s="26"/>
      <c r="RXZ237" s="23"/>
      <c r="RYE237" s="26"/>
      <c r="RYI237" s="23"/>
      <c r="RYN237" s="26"/>
      <c r="RYR237" s="23"/>
      <c r="RYW237" s="26"/>
      <c r="RZA237" s="23"/>
      <c r="RZF237" s="26"/>
      <c r="RZJ237" s="23"/>
      <c r="RZO237" s="26"/>
      <c r="RZS237" s="23"/>
      <c r="RZX237" s="26"/>
      <c r="SAB237" s="23"/>
      <c r="SAG237" s="26"/>
      <c r="SAK237" s="23"/>
      <c r="SAP237" s="26"/>
      <c r="SAT237" s="23"/>
      <c r="SAY237" s="26"/>
      <c r="SBC237" s="23"/>
      <c r="SBH237" s="26"/>
      <c r="SBL237" s="23"/>
      <c r="SBQ237" s="26"/>
      <c r="SBU237" s="23"/>
      <c r="SBZ237" s="26"/>
      <c r="SCD237" s="23"/>
      <c r="SCI237" s="26"/>
      <c r="SCM237" s="23"/>
      <c r="SCR237" s="26"/>
      <c r="SCV237" s="23"/>
      <c r="SDA237" s="26"/>
      <c r="SDE237" s="23"/>
      <c r="SDJ237" s="26"/>
      <c r="SDN237" s="23"/>
      <c r="SDS237" s="26"/>
      <c r="SDW237" s="23"/>
      <c r="SEB237" s="26"/>
      <c r="SEF237" s="23"/>
      <c r="SEK237" s="26"/>
      <c r="SEO237" s="23"/>
      <c r="SET237" s="26"/>
      <c r="SEX237" s="23"/>
      <c r="SFC237" s="26"/>
      <c r="SFG237" s="23"/>
      <c r="SFL237" s="26"/>
      <c r="SFP237" s="23"/>
      <c r="SFU237" s="26"/>
      <c r="SFY237" s="23"/>
      <c r="SGD237" s="26"/>
      <c r="SGH237" s="23"/>
      <c r="SGM237" s="26"/>
      <c r="SGQ237" s="23"/>
      <c r="SGV237" s="26"/>
      <c r="SGZ237" s="23"/>
      <c r="SHE237" s="26"/>
      <c r="SHI237" s="23"/>
      <c r="SHN237" s="26"/>
      <c r="SHR237" s="23"/>
      <c r="SHW237" s="26"/>
      <c r="SIA237" s="23"/>
      <c r="SIF237" s="26"/>
      <c r="SIJ237" s="23"/>
      <c r="SIO237" s="26"/>
      <c r="SIS237" s="23"/>
      <c r="SIX237" s="26"/>
      <c r="SJB237" s="23"/>
      <c r="SJG237" s="26"/>
      <c r="SJK237" s="23"/>
      <c r="SJP237" s="26"/>
      <c r="SJT237" s="23"/>
      <c r="SJY237" s="26"/>
      <c r="SKC237" s="23"/>
      <c r="SKH237" s="26"/>
      <c r="SKL237" s="23"/>
      <c r="SKQ237" s="26"/>
      <c r="SKU237" s="23"/>
      <c r="SKZ237" s="26"/>
      <c r="SLD237" s="23"/>
      <c r="SLI237" s="26"/>
      <c r="SLM237" s="23"/>
      <c r="SLR237" s="26"/>
      <c r="SLV237" s="23"/>
      <c r="SMA237" s="26"/>
      <c r="SME237" s="23"/>
      <c r="SMJ237" s="26"/>
      <c r="SMN237" s="23"/>
      <c r="SMS237" s="26"/>
      <c r="SMW237" s="23"/>
      <c r="SNB237" s="26"/>
      <c r="SNF237" s="23"/>
      <c r="SNK237" s="26"/>
      <c r="SNO237" s="23"/>
      <c r="SNT237" s="26"/>
      <c r="SNX237" s="23"/>
      <c r="SOC237" s="26"/>
      <c r="SOG237" s="23"/>
      <c r="SOL237" s="26"/>
      <c r="SOP237" s="23"/>
      <c r="SOU237" s="26"/>
      <c r="SOY237" s="23"/>
      <c r="SPD237" s="26"/>
      <c r="SPH237" s="23"/>
      <c r="SPM237" s="26"/>
      <c r="SPQ237" s="23"/>
      <c r="SPV237" s="26"/>
      <c r="SPZ237" s="23"/>
      <c r="SQE237" s="26"/>
      <c r="SQI237" s="23"/>
      <c r="SQN237" s="26"/>
      <c r="SQR237" s="23"/>
      <c r="SQW237" s="26"/>
      <c r="SRA237" s="23"/>
      <c r="SRF237" s="26"/>
      <c r="SRJ237" s="23"/>
      <c r="SRO237" s="26"/>
      <c r="SRS237" s="23"/>
      <c r="SRX237" s="26"/>
      <c r="SSB237" s="23"/>
      <c r="SSG237" s="26"/>
      <c r="SSK237" s="23"/>
      <c r="SSP237" s="26"/>
      <c r="SST237" s="23"/>
      <c r="SSY237" s="26"/>
      <c r="STC237" s="23"/>
      <c r="STH237" s="26"/>
      <c r="STL237" s="23"/>
      <c r="STQ237" s="26"/>
      <c r="STU237" s="23"/>
      <c r="STZ237" s="26"/>
      <c r="SUD237" s="23"/>
      <c r="SUI237" s="26"/>
      <c r="SUM237" s="23"/>
      <c r="SUR237" s="26"/>
      <c r="SUV237" s="23"/>
      <c r="SVA237" s="26"/>
      <c r="SVE237" s="23"/>
      <c r="SVJ237" s="26"/>
      <c r="SVN237" s="23"/>
      <c r="SVS237" s="26"/>
      <c r="SVW237" s="23"/>
      <c r="SWB237" s="26"/>
      <c r="SWF237" s="23"/>
      <c r="SWK237" s="26"/>
      <c r="SWO237" s="23"/>
      <c r="SWT237" s="26"/>
      <c r="SWX237" s="23"/>
      <c r="SXC237" s="26"/>
      <c r="SXG237" s="23"/>
      <c r="SXL237" s="26"/>
      <c r="SXP237" s="23"/>
      <c r="SXU237" s="26"/>
      <c r="SXY237" s="23"/>
      <c r="SYD237" s="26"/>
      <c r="SYH237" s="23"/>
      <c r="SYM237" s="26"/>
      <c r="SYQ237" s="23"/>
      <c r="SYV237" s="26"/>
      <c r="SYZ237" s="23"/>
      <c r="SZE237" s="26"/>
      <c r="SZI237" s="23"/>
      <c r="SZN237" s="26"/>
      <c r="SZR237" s="23"/>
      <c r="SZW237" s="26"/>
      <c r="TAA237" s="23"/>
      <c r="TAF237" s="26"/>
      <c r="TAJ237" s="23"/>
      <c r="TAO237" s="26"/>
      <c r="TAS237" s="23"/>
      <c r="TAX237" s="26"/>
      <c r="TBB237" s="23"/>
      <c r="TBG237" s="26"/>
      <c r="TBK237" s="23"/>
      <c r="TBP237" s="26"/>
      <c r="TBT237" s="23"/>
      <c r="TBY237" s="26"/>
      <c r="TCC237" s="23"/>
      <c r="TCH237" s="26"/>
      <c r="TCL237" s="23"/>
      <c r="TCQ237" s="26"/>
      <c r="TCU237" s="23"/>
      <c r="TCZ237" s="26"/>
      <c r="TDD237" s="23"/>
      <c r="TDI237" s="26"/>
      <c r="TDM237" s="23"/>
      <c r="TDR237" s="26"/>
      <c r="TDV237" s="23"/>
      <c r="TEA237" s="26"/>
      <c r="TEE237" s="23"/>
      <c r="TEJ237" s="26"/>
      <c r="TEN237" s="23"/>
      <c r="TES237" s="26"/>
      <c r="TEW237" s="23"/>
      <c r="TFB237" s="26"/>
      <c r="TFF237" s="23"/>
      <c r="TFK237" s="26"/>
      <c r="TFO237" s="23"/>
      <c r="TFT237" s="26"/>
      <c r="TFX237" s="23"/>
      <c r="TGC237" s="26"/>
      <c r="TGG237" s="23"/>
      <c r="TGL237" s="26"/>
      <c r="TGP237" s="23"/>
      <c r="TGU237" s="26"/>
      <c r="TGY237" s="23"/>
      <c r="THD237" s="26"/>
      <c r="THH237" s="23"/>
      <c r="THM237" s="26"/>
      <c r="THQ237" s="23"/>
      <c r="THV237" s="26"/>
      <c r="THZ237" s="23"/>
      <c r="TIE237" s="26"/>
      <c r="TII237" s="23"/>
      <c r="TIN237" s="26"/>
      <c r="TIR237" s="23"/>
      <c r="TIW237" s="26"/>
      <c r="TJA237" s="23"/>
      <c r="TJF237" s="26"/>
      <c r="TJJ237" s="23"/>
      <c r="TJO237" s="26"/>
      <c r="TJS237" s="23"/>
      <c r="TJX237" s="26"/>
      <c r="TKB237" s="23"/>
      <c r="TKG237" s="26"/>
      <c r="TKK237" s="23"/>
      <c r="TKP237" s="26"/>
      <c r="TKT237" s="23"/>
      <c r="TKY237" s="26"/>
      <c r="TLC237" s="23"/>
      <c r="TLH237" s="26"/>
      <c r="TLL237" s="23"/>
      <c r="TLQ237" s="26"/>
      <c r="TLU237" s="23"/>
      <c r="TLZ237" s="26"/>
      <c r="TMD237" s="23"/>
      <c r="TMI237" s="26"/>
      <c r="TMM237" s="23"/>
      <c r="TMR237" s="26"/>
      <c r="TMV237" s="23"/>
      <c r="TNA237" s="26"/>
      <c r="TNE237" s="23"/>
      <c r="TNJ237" s="26"/>
      <c r="TNN237" s="23"/>
      <c r="TNS237" s="26"/>
      <c r="TNW237" s="23"/>
      <c r="TOB237" s="26"/>
      <c r="TOF237" s="23"/>
      <c r="TOK237" s="26"/>
      <c r="TOO237" s="23"/>
      <c r="TOT237" s="26"/>
      <c r="TOX237" s="23"/>
      <c r="TPC237" s="26"/>
      <c r="TPG237" s="23"/>
      <c r="TPL237" s="26"/>
      <c r="TPP237" s="23"/>
      <c r="TPU237" s="26"/>
      <c r="TPY237" s="23"/>
      <c r="TQD237" s="26"/>
      <c r="TQH237" s="23"/>
      <c r="TQM237" s="26"/>
      <c r="TQQ237" s="23"/>
      <c r="TQV237" s="26"/>
      <c r="TQZ237" s="23"/>
      <c r="TRE237" s="26"/>
      <c r="TRI237" s="23"/>
      <c r="TRN237" s="26"/>
      <c r="TRR237" s="23"/>
      <c r="TRW237" s="26"/>
      <c r="TSA237" s="23"/>
      <c r="TSF237" s="26"/>
      <c r="TSJ237" s="23"/>
      <c r="TSO237" s="26"/>
      <c r="TSS237" s="23"/>
      <c r="TSX237" s="26"/>
      <c r="TTB237" s="23"/>
      <c r="TTG237" s="26"/>
      <c r="TTK237" s="23"/>
      <c r="TTP237" s="26"/>
      <c r="TTT237" s="23"/>
      <c r="TTY237" s="26"/>
      <c r="TUC237" s="23"/>
      <c r="TUH237" s="26"/>
      <c r="TUL237" s="23"/>
      <c r="TUQ237" s="26"/>
      <c r="TUU237" s="23"/>
      <c r="TUZ237" s="26"/>
      <c r="TVD237" s="23"/>
      <c r="TVI237" s="26"/>
      <c r="TVM237" s="23"/>
      <c r="TVR237" s="26"/>
      <c r="TVV237" s="23"/>
      <c r="TWA237" s="26"/>
      <c r="TWE237" s="23"/>
      <c r="TWJ237" s="26"/>
      <c r="TWN237" s="23"/>
      <c r="TWS237" s="26"/>
      <c r="TWW237" s="23"/>
      <c r="TXB237" s="26"/>
      <c r="TXF237" s="23"/>
      <c r="TXK237" s="26"/>
      <c r="TXO237" s="23"/>
      <c r="TXT237" s="26"/>
      <c r="TXX237" s="23"/>
      <c r="TYC237" s="26"/>
      <c r="TYG237" s="23"/>
      <c r="TYL237" s="26"/>
      <c r="TYP237" s="23"/>
      <c r="TYU237" s="26"/>
      <c r="TYY237" s="23"/>
      <c r="TZD237" s="26"/>
      <c r="TZH237" s="23"/>
      <c r="TZM237" s="26"/>
      <c r="TZQ237" s="23"/>
      <c r="TZV237" s="26"/>
      <c r="TZZ237" s="23"/>
      <c r="UAE237" s="26"/>
      <c r="UAI237" s="23"/>
      <c r="UAN237" s="26"/>
      <c r="UAR237" s="23"/>
      <c r="UAW237" s="26"/>
      <c r="UBA237" s="23"/>
      <c r="UBF237" s="26"/>
      <c r="UBJ237" s="23"/>
      <c r="UBO237" s="26"/>
      <c r="UBS237" s="23"/>
      <c r="UBX237" s="26"/>
      <c r="UCB237" s="23"/>
      <c r="UCG237" s="26"/>
      <c r="UCK237" s="23"/>
      <c r="UCP237" s="26"/>
      <c r="UCT237" s="23"/>
      <c r="UCY237" s="26"/>
      <c r="UDC237" s="23"/>
      <c r="UDH237" s="26"/>
      <c r="UDL237" s="23"/>
      <c r="UDQ237" s="26"/>
      <c r="UDU237" s="23"/>
      <c r="UDZ237" s="26"/>
      <c r="UED237" s="23"/>
      <c r="UEI237" s="26"/>
      <c r="UEM237" s="23"/>
      <c r="UER237" s="26"/>
      <c r="UEV237" s="23"/>
      <c r="UFA237" s="26"/>
      <c r="UFE237" s="23"/>
      <c r="UFJ237" s="26"/>
      <c r="UFN237" s="23"/>
      <c r="UFS237" s="26"/>
      <c r="UFW237" s="23"/>
      <c r="UGB237" s="26"/>
      <c r="UGF237" s="23"/>
      <c r="UGK237" s="26"/>
      <c r="UGO237" s="23"/>
      <c r="UGT237" s="26"/>
      <c r="UGX237" s="23"/>
      <c r="UHC237" s="26"/>
      <c r="UHG237" s="23"/>
      <c r="UHL237" s="26"/>
      <c r="UHP237" s="23"/>
      <c r="UHU237" s="26"/>
      <c r="UHY237" s="23"/>
      <c r="UID237" s="26"/>
      <c r="UIH237" s="23"/>
      <c r="UIM237" s="26"/>
      <c r="UIQ237" s="23"/>
      <c r="UIV237" s="26"/>
      <c r="UIZ237" s="23"/>
      <c r="UJE237" s="26"/>
      <c r="UJI237" s="23"/>
      <c r="UJN237" s="26"/>
      <c r="UJR237" s="23"/>
      <c r="UJW237" s="26"/>
      <c r="UKA237" s="23"/>
      <c r="UKF237" s="26"/>
      <c r="UKJ237" s="23"/>
      <c r="UKO237" s="26"/>
      <c r="UKS237" s="23"/>
      <c r="UKX237" s="26"/>
      <c r="ULB237" s="23"/>
      <c r="ULG237" s="26"/>
      <c r="ULK237" s="23"/>
      <c r="ULP237" s="26"/>
      <c r="ULT237" s="23"/>
      <c r="ULY237" s="26"/>
      <c r="UMC237" s="23"/>
      <c r="UMH237" s="26"/>
      <c r="UML237" s="23"/>
      <c r="UMQ237" s="26"/>
      <c r="UMU237" s="23"/>
      <c r="UMZ237" s="26"/>
      <c r="UND237" s="23"/>
      <c r="UNI237" s="26"/>
      <c r="UNM237" s="23"/>
      <c r="UNR237" s="26"/>
      <c r="UNV237" s="23"/>
      <c r="UOA237" s="26"/>
      <c r="UOE237" s="23"/>
      <c r="UOJ237" s="26"/>
      <c r="UON237" s="23"/>
      <c r="UOS237" s="26"/>
      <c r="UOW237" s="23"/>
      <c r="UPB237" s="26"/>
      <c r="UPF237" s="23"/>
      <c r="UPK237" s="26"/>
      <c r="UPO237" s="23"/>
      <c r="UPT237" s="26"/>
      <c r="UPX237" s="23"/>
      <c r="UQC237" s="26"/>
      <c r="UQG237" s="23"/>
      <c r="UQL237" s="26"/>
      <c r="UQP237" s="23"/>
      <c r="UQU237" s="26"/>
      <c r="UQY237" s="23"/>
      <c r="URD237" s="26"/>
      <c r="URH237" s="23"/>
      <c r="URM237" s="26"/>
      <c r="URQ237" s="23"/>
      <c r="URV237" s="26"/>
      <c r="URZ237" s="23"/>
      <c r="USE237" s="26"/>
      <c r="USI237" s="23"/>
      <c r="USN237" s="26"/>
      <c r="USR237" s="23"/>
      <c r="USW237" s="26"/>
      <c r="UTA237" s="23"/>
      <c r="UTF237" s="26"/>
      <c r="UTJ237" s="23"/>
      <c r="UTO237" s="26"/>
      <c r="UTS237" s="23"/>
      <c r="UTX237" s="26"/>
      <c r="UUB237" s="23"/>
      <c r="UUG237" s="26"/>
      <c r="UUK237" s="23"/>
      <c r="UUP237" s="26"/>
      <c r="UUT237" s="23"/>
      <c r="UUY237" s="26"/>
      <c r="UVC237" s="23"/>
      <c r="UVH237" s="26"/>
      <c r="UVL237" s="23"/>
      <c r="UVQ237" s="26"/>
      <c r="UVU237" s="23"/>
      <c r="UVZ237" s="26"/>
      <c r="UWD237" s="23"/>
      <c r="UWI237" s="26"/>
      <c r="UWM237" s="23"/>
      <c r="UWR237" s="26"/>
      <c r="UWV237" s="23"/>
      <c r="UXA237" s="26"/>
      <c r="UXE237" s="23"/>
      <c r="UXJ237" s="26"/>
      <c r="UXN237" s="23"/>
      <c r="UXS237" s="26"/>
      <c r="UXW237" s="23"/>
      <c r="UYB237" s="26"/>
      <c r="UYF237" s="23"/>
      <c r="UYK237" s="26"/>
      <c r="UYO237" s="23"/>
      <c r="UYT237" s="26"/>
      <c r="UYX237" s="23"/>
      <c r="UZC237" s="26"/>
      <c r="UZG237" s="23"/>
      <c r="UZL237" s="26"/>
      <c r="UZP237" s="23"/>
      <c r="UZU237" s="26"/>
      <c r="UZY237" s="23"/>
      <c r="VAD237" s="26"/>
      <c r="VAH237" s="23"/>
      <c r="VAM237" s="26"/>
      <c r="VAQ237" s="23"/>
      <c r="VAV237" s="26"/>
      <c r="VAZ237" s="23"/>
      <c r="VBE237" s="26"/>
      <c r="VBI237" s="23"/>
      <c r="VBN237" s="26"/>
      <c r="VBR237" s="23"/>
      <c r="VBW237" s="26"/>
      <c r="VCA237" s="23"/>
      <c r="VCF237" s="26"/>
      <c r="VCJ237" s="23"/>
      <c r="VCO237" s="26"/>
      <c r="VCS237" s="23"/>
      <c r="VCX237" s="26"/>
      <c r="VDB237" s="23"/>
      <c r="VDG237" s="26"/>
      <c r="VDK237" s="23"/>
      <c r="VDP237" s="26"/>
      <c r="VDT237" s="23"/>
      <c r="VDY237" s="26"/>
      <c r="VEC237" s="23"/>
      <c r="VEH237" s="26"/>
      <c r="VEL237" s="23"/>
      <c r="VEQ237" s="26"/>
      <c r="VEU237" s="23"/>
      <c r="VEZ237" s="26"/>
      <c r="VFD237" s="23"/>
      <c r="VFI237" s="26"/>
      <c r="VFM237" s="23"/>
      <c r="VFR237" s="26"/>
      <c r="VFV237" s="23"/>
      <c r="VGA237" s="26"/>
      <c r="VGE237" s="23"/>
      <c r="VGJ237" s="26"/>
      <c r="VGN237" s="23"/>
      <c r="VGS237" s="26"/>
      <c r="VGW237" s="23"/>
      <c r="VHB237" s="26"/>
      <c r="VHF237" s="23"/>
      <c r="VHK237" s="26"/>
      <c r="VHO237" s="23"/>
      <c r="VHT237" s="26"/>
      <c r="VHX237" s="23"/>
      <c r="VIC237" s="26"/>
      <c r="VIG237" s="23"/>
      <c r="VIL237" s="26"/>
      <c r="VIP237" s="23"/>
      <c r="VIU237" s="26"/>
      <c r="VIY237" s="23"/>
      <c r="VJD237" s="26"/>
      <c r="VJH237" s="23"/>
      <c r="VJM237" s="26"/>
      <c r="VJQ237" s="23"/>
      <c r="VJV237" s="26"/>
      <c r="VJZ237" s="23"/>
      <c r="VKE237" s="26"/>
      <c r="VKI237" s="23"/>
      <c r="VKN237" s="26"/>
      <c r="VKR237" s="23"/>
      <c r="VKW237" s="26"/>
      <c r="VLA237" s="23"/>
      <c r="VLF237" s="26"/>
      <c r="VLJ237" s="23"/>
      <c r="VLO237" s="26"/>
      <c r="VLS237" s="23"/>
      <c r="VLX237" s="26"/>
      <c r="VMB237" s="23"/>
      <c r="VMG237" s="26"/>
      <c r="VMK237" s="23"/>
      <c r="VMP237" s="26"/>
      <c r="VMT237" s="23"/>
      <c r="VMY237" s="26"/>
      <c r="VNC237" s="23"/>
      <c r="VNH237" s="26"/>
      <c r="VNL237" s="23"/>
      <c r="VNQ237" s="26"/>
      <c r="VNU237" s="23"/>
      <c r="VNZ237" s="26"/>
      <c r="VOD237" s="23"/>
      <c r="VOI237" s="26"/>
      <c r="VOM237" s="23"/>
      <c r="VOR237" s="26"/>
      <c r="VOV237" s="23"/>
      <c r="VPA237" s="26"/>
      <c r="VPE237" s="23"/>
      <c r="VPJ237" s="26"/>
      <c r="VPN237" s="23"/>
      <c r="VPS237" s="26"/>
      <c r="VPW237" s="23"/>
      <c r="VQB237" s="26"/>
      <c r="VQF237" s="23"/>
      <c r="VQK237" s="26"/>
      <c r="VQO237" s="23"/>
      <c r="VQT237" s="26"/>
      <c r="VQX237" s="23"/>
      <c r="VRC237" s="26"/>
      <c r="VRG237" s="23"/>
      <c r="VRL237" s="26"/>
      <c r="VRP237" s="23"/>
      <c r="VRU237" s="26"/>
      <c r="VRY237" s="23"/>
      <c r="VSD237" s="26"/>
      <c r="VSH237" s="23"/>
      <c r="VSM237" s="26"/>
      <c r="VSQ237" s="23"/>
      <c r="VSV237" s="26"/>
      <c r="VSZ237" s="23"/>
      <c r="VTE237" s="26"/>
      <c r="VTI237" s="23"/>
      <c r="VTN237" s="26"/>
      <c r="VTR237" s="23"/>
      <c r="VTW237" s="26"/>
      <c r="VUA237" s="23"/>
      <c r="VUF237" s="26"/>
      <c r="VUJ237" s="23"/>
      <c r="VUO237" s="26"/>
      <c r="VUS237" s="23"/>
      <c r="VUX237" s="26"/>
      <c r="VVB237" s="23"/>
      <c r="VVG237" s="26"/>
      <c r="VVK237" s="23"/>
      <c r="VVP237" s="26"/>
      <c r="VVT237" s="23"/>
      <c r="VVY237" s="26"/>
      <c r="VWC237" s="23"/>
      <c r="VWH237" s="26"/>
      <c r="VWL237" s="23"/>
      <c r="VWQ237" s="26"/>
      <c r="VWU237" s="23"/>
      <c r="VWZ237" s="26"/>
      <c r="VXD237" s="23"/>
      <c r="VXI237" s="26"/>
      <c r="VXM237" s="23"/>
      <c r="VXR237" s="26"/>
      <c r="VXV237" s="23"/>
      <c r="VYA237" s="26"/>
      <c r="VYE237" s="23"/>
      <c r="VYJ237" s="26"/>
      <c r="VYN237" s="23"/>
      <c r="VYS237" s="26"/>
      <c r="VYW237" s="23"/>
      <c r="VZB237" s="26"/>
      <c r="VZF237" s="23"/>
      <c r="VZK237" s="26"/>
      <c r="VZO237" s="23"/>
      <c r="VZT237" s="26"/>
      <c r="VZX237" s="23"/>
      <c r="WAC237" s="26"/>
      <c r="WAG237" s="23"/>
      <c r="WAL237" s="26"/>
      <c r="WAP237" s="23"/>
      <c r="WAU237" s="26"/>
      <c r="WAY237" s="23"/>
      <c r="WBD237" s="26"/>
      <c r="WBH237" s="23"/>
      <c r="WBM237" s="26"/>
      <c r="WBQ237" s="23"/>
      <c r="WBV237" s="26"/>
      <c r="WBZ237" s="23"/>
      <c r="WCE237" s="26"/>
      <c r="WCI237" s="23"/>
      <c r="WCN237" s="26"/>
      <c r="WCR237" s="23"/>
      <c r="WCW237" s="26"/>
      <c r="WDA237" s="23"/>
      <c r="WDF237" s="26"/>
      <c r="WDJ237" s="23"/>
      <c r="WDO237" s="26"/>
      <c r="WDS237" s="23"/>
      <c r="WDX237" s="26"/>
      <c r="WEB237" s="23"/>
      <c r="WEG237" s="26"/>
      <c r="WEK237" s="23"/>
      <c r="WEP237" s="26"/>
      <c r="WET237" s="23"/>
      <c r="WEY237" s="26"/>
      <c r="WFC237" s="23"/>
      <c r="WFH237" s="26"/>
      <c r="WFL237" s="23"/>
      <c r="WFQ237" s="26"/>
      <c r="WFU237" s="23"/>
      <c r="WFZ237" s="26"/>
      <c r="WGD237" s="23"/>
      <c r="WGI237" s="26"/>
      <c r="WGM237" s="23"/>
      <c r="WGR237" s="26"/>
      <c r="WGV237" s="23"/>
      <c r="WHA237" s="26"/>
      <c r="WHE237" s="23"/>
      <c r="WHJ237" s="26"/>
      <c r="WHN237" s="23"/>
      <c r="WHS237" s="26"/>
      <c r="WHW237" s="23"/>
      <c r="WIB237" s="26"/>
      <c r="WIF237" s="23"/>
      <c r="WIK237" s="26"/>
      <c r="WIO237" s="23"/>
      <c r="WIT237" s="26"/>
      <c r="WIX237" s="23"/>
      <c r="WJC237" s="26"/>
      <c r="WJG237" s="23"/>
      <c r="WJL237" s="26"/>
      <c r="WJP237" s="23"/>
      <c r="WJU237" s="26"/>
      <c r="WJY237" s="23"/>
      <c r="WKD237" s="26"/>
      <c r="WKH237" s="23"/>
      <c r="WKM237" s="26"/>
      <c r="WKQ237" s="23"/>
      <c r="WKV237" s="26"/>
      <c r="WKZ237" s="23"/>
      <c r="WLE237" s="26"/>
      <c r="WLI237" s="23"/>
      <c r="WLN237" s="26"/>
      <c r="WLR237" s="23"/>
      <c r="WLW237" s="26"/>
      <c r="WMA237" s="23"/>
      <c r="WMF237" s="26"/>
      <c r="WMJ237" s="23"/>
      <c r="WMO237" s="26"/>
      <c r="WMS237" s="23"/>
      <c r="WMX237" s="26"/>
      <c r="WNB237" s="23"/>
      <c r="WNG237" s="26"/>
      <c r="WNK237" s="23"/>
      <c r="WNP237" s="26"/>
      <c r="WNT237" s="23"/>
      <c r="WNY237" s="26"/>
      <c r="WOC237" s="23"/>
      <c r="WOH237" s="26"/>
      <c r="WOL237" s="23"/>
      <c r="WOQ237" s="26"/>
      <c r="WOU237" s="23"/>
      <c r="WOZ237" s="26"/>
      <c r="WPD237" s="23"/>
      <c r="WPI237" s="26"/>
      <c r="WPM237" s="23"/>
      <c r="WPR237" s="26"/>
      <c r="WPV237" s="23"/>
      <c r="WQA237" s="26"/>
      <c r="WQE237" s="23"/>
      <c r="WQJ237" s="26"/>
      <c r="WQN237" s="23"/>
      <c r="WQS237" s="26"/>
      <c r="WQW237" s="23"/>
      <c r="WRB237" s="26"/>
      <c r="WRF237" s="23"/>
      <c r="WRK237" s="26"/>
      <c r="WRO237" s="23"/>
      <c r="WRT237" s="26"/>
      <c r="WRX237" s="23"/>
      <c r="WSC237" s="26"/>
      <c r="WSG237" s="23"/>
      <c r="WSL237" s="26"/>
      <c r="WSP237" s="23"/>
      <c r="WSU237" s="26"/>
      <c r="WSY237" s="23"/>
      <c r="WTD237" s="26"/>
      <c r="WTH237" s="23"/>
      <c r="WTM237" s="26"/>
      <c r="WTQ237" s="23"/>
      <c r="WTV237" s="26"/>
      <c r="WTZ237" s="23"/>
      <c r="WUE237" s="26"/>
      <c r="WUI237" s="23"/>
      <c r="WUN237" s="26"/>
      <c r="WUR237" s="23"/>
      <c r="WUW237" s="26"/>
      <c r="WVA237" s="23"/>
      <c r="WVF237" s="26"/>
      <c r="WVJ237" s="23"/>
      <c r="WVO237" s="26"/>
      <c r="WVS237" s="23"/>
      <c r="WVX237" s="26"/>
      <c r="WWB237" s="23"/>
      <c r="WWG237" s="26"/>
      <c r="WWK237" s="23"/>
      <c r="WWP237" s="26"/>
      <c r="WWT237" s="23"/>
      <c r="WWY237" s="26"/>
      <c r="WXC237" s="23"/>
      <c r="WXH237" s="26"/>
      <c r="WXL237" s="23"/>
      <c r="WXQ237" s="26"/>
      <c r="WXU237" s="23"/>
      <c r="WXZ237" s="26"/>
      <c r="WYD237" s="23"/>
      <c r="WYI237" s="26"/>
      <c r="WYM237" s="23"/>
      <c r="WYR237" s="26"/>
      <c r="WYV237" s="23"/>
      <c r="WZA237" s="26"/>
      <c r="WZE237" s="23"/>
      <c r="WZJ237" s="26"/>
      <c r="WZN237" s="23"/>
      <c r="WZS237" s="26"/>
      <c r="WZW237" s="23"/>
      <c r="XAB237" s="26"/>
      <c r="XAF237" s="23"/>
      <c r="XAK237" s="26"/>
      <c r="XAO237" s="23"/>
      <c r="XAT237" s="26"/>
      <c r="XAX237" s="23"/>
      <c r="XBC237" s="26"/>
      <c r="XBG237" s="23"/>
      <c r="XBL237" s="26"/>
      <c r="XBP237" s="23"/>
      <c r="XBU237" s="26"/>
      <c r="XBY237" s="23"/>
      <c r="XCD237" s="26"/>
      <c r="XCH237" s="23"/>
      <c r="XCM237" s="26"/>
      <c r="XCQ237" s="23"/>
      <c r="XCV237" s="26"/>
      <c r="XCZ237" s="23"/>
      <c r="XDE237" s="26"/>
      <c r="XDI237" s="23"/>
      <c r="XDN237" s="26"/>
      <c r="XDR237" s="23"/>
      <c r="XDW237" s="26"/>
      <c r="XEA237" s="23"/>
      <c r="XEF237" s="26"/>
      <c r="XEJ237" s="23"/>
      <c r="XEO237" s="26"/>
      <c r="XES237" s="23"/>
      <c r="XEX237" s="26"/>
      <c r="XFB237" s="23"/>
    </row>
    <row r="238" spans="2:1024 1028:2045 2050:3071 3076:4093 4097:5119 5123:6140 6145:7166 7171:8192 8197:9214 9218:10240 10244:11261 11266:12287 12292:13309 13313:14335 14339:15356 15361:16382" x14ac:dyDescent="0.3">
      <c r="B238" s="23"/>
      <c r="K238" s="23"/>
      <c r="P238" s="26"/>
      <c r="T238" s="23"/>
      <c r="Y238" s="26"/>
      <c r="AC238" s="23"/>
      <c r="AH238" s="26"/>
      <c r="AL238" s="23"/>
      <c r="AQ238" s="26"/>
      <c r="AU238" s="23"/>
      <c r="AZ238" s="26"/>
      <c r="BD238" s="23"/>
      <c r="BI238" s="26"/>
      <c r="BM238" s="23"/>
      <c r="BR238" s="26"/>
      <c r="BV238" s="23"/>
      <c r="CA238" s="26"/>
      <c r="CE238" s="23"/>
      <c r="CJ238" s="26"/>
      <c r="CN238" s="23"/>
      <c r="CS238" s="26"/>
      <c r="CW238" s="23"/>
      <c r="DB238" s="26"/>
      <c r="DF238" s="23"/>
      <c r="DK238" s="26"/>
      <c r="DO238" s="23"/>
      <c r="DT238" s="26"/>
      <c r="DX238" s="23"/>
      <c r="EC238" s="26"/>
      <c r="EG238" s="23"/>
      <c r="EL238" s="26"/>
      <c r="EP238" s="23"/>
      <c r="EU238" s="26"/>
      <c r="EY238" s="23"/>
      <c r="FD238" s="26"/>
      <c r="FH238" s="23"/>
      <c r="FM238" s="26"/>
      <c r="FQ238" s="23"/>
      <c r="FV238" s="26"/>
      <c r="FZ238" s="23"/>
      <c r="GE238" s="26"/>
      <c r="GI238" s="23"/>
      <c r="GN238" s="26"/>
      <c r="GR238" s="23"/>
      <c r="GW238" s="26"/>
      <c r="HA238" s="23"/>
      <c r="HF238" s="26"/>
      <c r="HJ238" s="23"/>
      <c r="HO238" s="26"/>
      <c r="HS238" s="23"/>
      <c r="HX238" s="26"/>
      <c r="IB238" s="23"/>
      <c r="IG238" s="26"/>
      <c r="IK238" s="23"/>
      <c r="IP238" s="26"/>
      <c r="IT238" s="23"/>
      <c r="IY238" s="26"/>
      <c r="JC238" s="23"/>
      <c r="JH238" s="26"/>
      <c r="JL238" s="23"/>
      <c r="JQ238" s="26"/>
      <c r="JU238" s="23"/>
      <c r="JZ238" s="26"/>
      <c r="KD238" s="23"/>
      <c r="KI238" s="26"/>
      <c r="KM238" s="23"/>
      <c r="KR238" s="26"/>
      <c r="KV238" s="23"/>
      <c r="LA238" s="26"/>
      <c r="LE238" s="23"/>
      <c r="LJ238" s="26"/>
      <c r="LN238" s="23"/>
      <c r="LS238" s="26"/>
      <c r="LW238" s="23"/>
      <c r="MB238" s="26"/>
      <c r="MF238" s="23"/>
      <c r="MK238" s="26"/>
      <c r="MO238" s="23"/>
      <c r="MT238" s="26"/>
      <c r="MX238" s="23"/>
      <c r="NC238" s="26"/>
      <c r="NG238" s="23"/>
      <c r="NL238" s="26"/>
      <c r="NP238" s="23"/>
      <c r="NU238" s="26"/>
      <c r="NY238" s="23"/>
      <c r="OD238" s="26"/>
      <c r="OH238" s="23"/>
      <c r="OM238" s="26"/>
      <c r="OQ238" s="23"/>
      <c r="OV238" s="26"/>
      <c r="OZ238" s="23"/>
      <c r="PE238" s="26"/>
      <c r="PI238" s="23"/>
      <c r="PN238" s="26"/>
      <c r="PR238" s="23"/>
      <c r="PW238" s="26"/>
      <c r="QA238" s="23"/>
      <c r="QF238" s="26"/>
      <c r="QJ238" s="23"/>
      <c r="QO238" s="26"/>
      <c r="QS238" s="23"/>
      <c r="QX238" s="26"/>
      <c r="RB238" s="23"/>
      <c r="RG238" s="26"/>
      <c r="RK238" s="23"/>
      <c r="RP238" s="26"/>
      <c r="RT238" s="23"/>
      <c r="RY238" s="26"/>
      <c r="SC238" s="23"/>
      <c r="SH238" s="26"/>
      <c r="SL238" s="23"/>
      <c r="SQ238" s="26"/>
      <c r="SU238" s="23"/>
      <c r="SZ238" s="26"/>
      <c r="TD238" s="23"/>
      <c r="TI238" s="26"/>
      <c r="TM238" s="23"/>
      <c r="TR238" s="26"/>
      <c r="TV238" s="23"/>
      <c r="UA238" s="26"/>
      <c r="UE238" s="23"/>
      <c r="UJ238" s="26"/>
      <c r="UN238" s="23"/>
      <c r="US238" s="26"/>
      <c r="UW238" s="23"/>
      <c r="VB238" s="26"/>
      <c r="VF238" s="23"/>
      <c r="VK238" s="26"/>
      <c r="VO238" s="23"/>
      <c r="VT238" s="26"/>
      <c r="VX238" s="23"/>
      <c r="WC238" s="26"/>
      <c r="WG238" s="23"/>
      <c r="WL238" s="26"/>
      <c r="WP238" s="23"/>
      <c r="WU238" s="26"/>
      <c r="WY238" s="23"/>
      <c r="XD238" s="26"/>
      <c r="XH238" s="23"/>
      <c r="XM238" s="26"/>
      <c r="XQ238" s="23"/>
      <c r="XV238" s="26"/>
      <c r="XZ238" s="23"/>
      <c r="YE238" s="26"/>
      <c r="YI238" s="23"/>
      <c r="YN238" s="26"/>
      <c r="YR238" s="23"/>
      <c r="YW238" s="26"/>
      <c r="ZA238" s="23"/>
      <c r="ZF238" s="26"/>
      <c r="ZJ238" s="23"/>
      <c r="ZO238" s="26"/>
      <c r="ZS238" s="23"/>
      <c r="ZX238" s="26"/>
      <c r="AAB238" s="23"/>
      <c r="AAG238" s="26"/>
      <c r="AAK238" s="23"/>
      <c r="AAP238" s="26"/>
      <c r="AAT238" s="23"/>
      <c r="AAY238" s="26"/>
      <c r="ABC238" s="23"/>
      <c r="ABH238" s="26"/>
      <c r="ABL238" s="23"/>
      <c r="ABQ238" s="26"/>
      <c r="ABU238" s="23"/>
      <c r="ABZ238" s="26"/>
      <c r="ACD238" s="23"/>
      <c r="ACI238" s="26"/>
      <c r="ACM238" s="23"/>
      <c r="ACR238" s="26"/>
      <c r="ACV238" s="23"/>
      <c r="ADA238" s="26"/>
      <c r="ADE238" s="23"/>
      <c r="ADJ238" s="26"/>
      <c r="ADN238" s="23"/>
      <c r="ADS238" s="26"/>
      <c r="ADW238" s="23"/>
      <c r="AEB238" s="26"/>
      <c r="AEF238" s="23"/>
      <c r="AEK238" s="26"/>
      <c r="AEO238" s="23"/>
      <c r="AET238" s="26"/>
      <c r="AEX238" s="23"/>
      <c r="AFC238" s="26"/>
      <c r="AFG238" s="23"/>
      <c r="AFL238" s="26"/>
      <c r="AFP238" s="23"/>
      <c r="AFU238" s="26"/>
      <c r="AFY238" s="23"/>
      <c r="AGD238" s="26"/>
      <c r="AGH238" s="23"/>
      <c r="AGM238" s="26"/>
      <c r="AGQ238" s="23"/>
      <c r="AGV238" s="26"/>
      <c r="AGZ238" s="23"/>
      <c r="AHE238" s="26"/>
      <c r="AHI238" s="23"/>
      <c r="AHN238" s="26"/>
      <c r="AHR238" s="23"/>
      <c r="AHW238" s="26"/>
      <c r="AIA238" s="23"/>
      <c r="AIF238" s="26"/>
      <c r="AIJ238" s="23"/>
      <c r="AIO238" s="26"/>
      <c r="AIS238" s="23"/>
      <c r="AIX238" s="26"/>
      <c r="AJB238" s="23"/>
      <c r="AJG238" s="26"/>
      <c r="AJK238" s="23"/>
      <c r="AJP238" s="26"/>
      <c r="AJT238" s="23"/>
      <c r="AJY238" s="26"/>
      <c r="AKC238" s="23"/>
      <c r="AKH238" s="26"/>
      <c r="AKL238" s="23"/>
      <c r="AKQ238" s="26"/>
      <c r="AKU238" s="23"/>
      <c r="AKZ238" s="26"/>
      <c r="ALD238" s="23"/>
      <c r="ALI238" s="26"/>
      <c r="ALM238" s="23"/>
      <c r="ALR238" s="26"/>
      <c r="ALV238" s="23"/>
      <c r="AMA238" s="26"/>
      <c r="AME238" s="23"/>
      <c r="AMJ238" s="26"/>
      <c r="AMN238" s="23"/>
      <c r="AMS238" s="26"/>
      <c r="AMW238" s="23"/>
      <c r="ANB238" s="26"/>
      <c r="ANF238" s="23"/>
      <c r="ANK238" s="26"/>
      <c r="ANO238" s="23"/>
      <c r="ANT238" s="26"/>
      <c r="ANX238" s="23"/>
      <c r="AOC238" s="26"/>
      <c r="AOG238" s="23"/>
      <c r="AOL238" s="26"/>
      <c r="AOP238" s="23"/>
      <c r="AOU238" s="26"/>
      <c r="AOY238" s="23"/>
      <c r="APD238" s="26"/>
      <c r="APH238" s="23"/>
      <c r="APM238" s="26"/>
      <c r="APQ238" s="23"/>
      <c r="APV238" s="26"/>
      <c r="APZ238" s="23"/>
      <c r="AQE238" s="26"/>
      <c r="AQI238" s="23"/>
      <c r="AQN238" s="26"/>
      <c r="AQR238" s="23"/>
      <c r="AQW238" s="26"/>
      <c r="ARA238" s="23"/>
      <c r="ARF238" s="26"/>
      <c r="ARJ238" s="23"/>
      <c r="ARO238" s="26"/>
      <c r="ARS238" s="23"/>
      <c r="ARX238" s="26"/>
      <c r="ASB238" s="23"/>
      <c r="ASG238" s="26"/>
      <c r="ASK238" s="23"/>
      <c r="ASP238" s="26"/>
      <c r="AST238" s="23"/>
      <c r="ASY238" s="26"/>
      <c r="ATC238" s="23"/>
      <c r="ATH238" s="26"/>
      <c r="ATL238" s="23"/>
      <c r="ATQ238" s="26"/>
      <c r="ATU238" s="23"/>
      <c r="ATZ238" s="26"/>
      <c r="AUD238" s="23"/>
      <c r="AUI238" s="26"/>
      <c r="AUM238" s="23"/>
      <c r="AUR238" s="26"/>
      <c r="AUV238" s="23"/>
      <c r="AVA238" s="26"/>
      <c r="AVE238" s="23"/>
      <c r="AVJ238" s="26"/>
      <c r="AVN238" s="23"/>
      <c r="AVS238" s="26"/>
      <c r="AVW238" s="23"/>
      <c r="AWB238" s="26"/>
      <c r="AWF238" s="23"/>
      <c r="AWK238" s="26"/>
      <c r="AWO238" s="23"/>
      <c r="AWT238" s="26"/>
      <c r="AWX238" s="23"/>
      <c r="AXC238" s="26"/>
      <c r="AXG238" s="23"/>
      <c r="AXL238" s="26"/>
      <c r="AXP238" s="23"/>
      <c r="AXU238" s="26"/>
      <c r="AXY238" s="23"/>
      <c r="AYD238" s="26"/>
      <c r="AYH238" s="23"/>
      <c r="AYM238" s="26"/>
      <c r="AYQ238" s="23"/>
      <c r="AYV238" s="26"/>
      <c r="AYZ238" s="23"/>
      <c r="AZE238" s="26"/>
      <c r="AZI238" s="23"/>
      <c r="AZN238" s="26"/>
      <c r="AZR238" s="23"/>
      <c r="AZW238" s="26"/>
      <c r="BAA238" s="23"/>
      <c r="BAF238" s="26"/>
      <c r="BAJ238" s="23"/>
      <c r="BAO238" s="26"/>
      <c r="BAS238" s="23"/>
      <c r="BAX238" s="26"/>
      <c r="BBB238" s="23"/>
      <c r="BBG238" s="26"/>
      <c r="BBK238" s="23"/>
      <c r="BBP238" s="26"/>
      <c r="BBT238" s="23"/>
      <c r="BBY238" s="26"/>
      <c r="BCC238" s="23"/>
      <c r="BCH238" s="26"/>
      <c r="BCL238" s="23"/>
      <c r="BCQ238" s="26"/>
      <c r="BCU238" s="23"/>
      <c r="BCZ238" s="26"/>
      <c r="BDD238" s="23"/>
      <c r="BDI238" s="26"/>
      <c r="BDM238" s="23"/>
      <c r="BDR238" s="26"/>
      <c r="BDV238" s="23"/>
      <c r="BEA238" s="26"/>
      <c r="BEE238" s="23"/>
      <c r="BEJ238" s="26"/>
      <c r="BEN238" s="23"/>
      <c r="BES238" s="26"/>
      <c r="BEW238" s="23"/>
      <c r="BFB238" s="26"/>
      <c r="BFF238" s="23"/>
      <c r="BFK238" s="26"/>
      <c r="BFO238" s="23"/>
      <c r="BFT238" s="26"/>
      <c r="BFX238" s="23"/>
      <c r="BGC238" s="26"/>
      <c r="BGG238" s="23"/>
      <c r="BGL238" s="26"/>
      <c r="BGP238" s="23"/>
      <c r="BGU238" s="26"/>
      <c r="BGY238" s="23"/>
      <c r="BHD238" s="26"/>
      <c r="BHH238" s="23"/>
      <c r="BHM238" s="26"/>
      <c r="BHQ238" s="23"/>
      <c r="BHV238" s="26"/>
      <c r="BHZ238" s="23"/>
      <c r="BIE238" s="26"/>
      <c r="BII238" s="23"/>
      <c r="BIN238" s="26"/>
      <c r="BIR238" s="23"/>
      <c r="BIW238" s="26"/>
      <c r="BJA238" s="23"/>
      <c r="BJF238" s="26"/>
      <c r="BJJ238" s="23"/>
      <c r="BJO238" s="26"/>
      <c r="BJS238" s="23"/>
      <c r="BJX238" s="26"/>
      <c r="BKB238" s="23"/>
      <c r="BKG238" s="26"/>
      <c r="BKK238" s="23"/>
      <c r="BKP238" s="26"/>
      <c r="BKT238" s="23"/>
      <c r="BKY238" s="26"/>
      <c r="BLC238" s="23"/>
      <c r="BLH238" s="26"/>
      <c r="BLL238" s="23"/>
      <c r="BLQ238" s="26"/>
      <c r="BLU238" s="23"/>
      <c r="BLZ238" s="26"/>
      <c r="BMD238" s="23"/>
      <c r="BMI238" s="26"/>
      <c r="BMM238" s="23"/>
      <c r="BMR238" s="26"/>
      <c r="BMV238" s="23"/>
      <c r="BNA238" s="26"/>
      <c r="BNE238" s="23"/>
      <c r="BNJ238" s="26"/>
      <c r="BNN238" s="23"/>
      <c r="BNS238" s="26"/>
      <c r="BNW238" s="23"/>
      <c r="BOB238" s="26"/>
      <c r="BOF238" s="23"/>
      <c r="BOK238" s="26"/>
      <c r="BOO238" s="23"/>
      <c r="BOT238" s="26"/>
      <c r="BOX238" s="23"/>
      <c r="BPC238" s="26"/>
      <c r="BPG238" s="23"/>
      <c r="BPL238" s="26"/>
      <c r="BPP238" s="23"/>
      <c r="BPU238" s="26"/>
      <c r="BPY238" s="23"/>
      <c r="BQD238" s="26"/>
      <c r="BQH238" s="23"/>
      <c r="BQM238" s="26"/>
      <c r="BQQ238" s="23"/>
      <c r="BQV238" s="26"/>
      <c r="BQZ238" s="23"/>
      <c r="BRE238" s="26"/>
      <c r="BRI238" s="23"/>
      <c r="BRN238" s="26"/>
      <c r="BRR238" s="23"/>
      <c r="BRW238" s="26"/>
      <c r="BSA238" s="23"/>
      <c r="BSF238" s="26"/>
      <c r="BSJ238" s="23"/>
      <c r="BSO238" s="26"/>
      <c r="BSS238" s="23"/>
      <c r="BSX238" s="26"/>
      <c r="BTB238" s="23"/>
      <c r="BTG238" s="26"/>
      <c r="BTK238" s="23"/>
      <c r="BTP238" s="26"/>
      <c r="BTT238" s="23"/>
      <c r="BTY238" s="26"/>
      <c r="BUC238" s="23"/>
      <c r="BUH238" s="26"/>
      <c r="BUL238" s="23"/>
      <c r="BUQ238" s="26"/>
      <c r="BUU238" s="23"/>
      <c r="BUZ238" s="26"/>
      <c r="BVD238" s="23"/>
      <c r="BVI238" s="26"/>
      <c r="BVM238" s="23"/>
      <c r="BVR238" s="26"/>
      <c r="BVV238" s="23"/>
      <c r="BWA238" s="26"/>
      <c r="BWE238" s="23"/>
      <c r="BWJ238" s="26"/>
      <c r="BWN238" s="23"/>
      <c r="BWS238" s="26"/>
      <c r="BWW238" s="23"/>
      <c r="BXB238" s="26"/>
      <c r="BXF238" s="23"/>
      <c r="BXK238" s="26"/>
      <c r="BXO238" s="23"/>
      <c r="BXT238" s="26"/>
      <c r="BXX238" s="23"/>
      <c r="BYC238" s="26"/>
      <c r="BYG238" s="23"/>
      <c r="BYL238" s="26"/>
      <c r="BYP238" s="23"/>
      <c r="BYU238" s="26"/>
      <c r="BYY238" s="23"/>
      <c r="BZD238" s="26"/>
      <c r="BZH238" s="23"/>
      <c r="BZM238" s="26"/>
      <c r="BZQ238" s="23"/>
      <c r="BZV238" s="26"/>
      <c r="BZZ238" s="23"/>
      <c r="CAE238" s="26"/>
      <c r="CAI238" s="23"/>
      <c r="CAN238" s="26"/>
      <c r="CAR238" s="23"/>
      <c r="CAW238" s="26"/>
      <c r="CBA238" s="23"/>
      <c r="CBF238" s="26"/>
      <c r="CBJ238" s="23"/>
      <c r="CBO238" s="26"/>
      <c r="CBS238" s="23"/>
      <c r="CBX238" s="26"/>
      <c r="CCB238" s="23"/>
      <c r="CCG238" s="26"/>
      <c r="CCK238" s="23"/>
      <c r="CCP238" s="26"/>
      <c r="CCT238" s="23"/>
      <c r="CCY238" s="26"/>
      <c r="CDC238" s="23"/>
      <c r="CDH238" s="26"/>
      <c r="CDL238" s="23"/>
      <c r="CDQ238" s="26"/>
      <c r="CDU238" s="23"/>
      <c r="CDZ238" s="26"/>
      <c r="CED238" s="23"/>
      <c r="CEI238" s="26"/>
      <c r="CEM238" s="23"/>
      <c r="CER238" s="26"/>
      <c r="CEV238" s="23"/>
      <c r="CFA238" s="26"/>
      <c r="CFE238" s="23"/>
      <c r="CFJ238" s="26"/>
      <c r="CFN238" s="23"/>
      <c r="CFS238" s="26"/>
      <c r="CFW238" s="23"/>
      <c r="CGB238" s="26"/>
      <c r="CGF238" s="23"/>
      <c r="CGK238" s="26"/>
      <c r="CGO238" s="23"/>
      <c r="CGT238" s="26"/>
      <c r="CGX238" s="23"/>
      <c r="CHC238" s="26"/>
      <c r="CHG238" s="23"/>
      <c r="CHL238" s="26"/>
      <c r="CHP238" s="23"/>
      <c r="CHU238" s="26"/>
      <c r="CHY238" s="23"/>
      <c r="CID238" s="26"/>
      <c r="CIH238" s="23"/>
      <c r="CIM238" s="26"/>
      <c r="CIQ238" s="23"/>
      <c r="CIV238" s="26"/>
      <c r="CIZ238" s="23"/>
      <c r="CJE238" s="26"/>
      <c r="CJI238" s="23"/>
      <c r="CJN238" s="26"/>
      <c r="CJR238" s="23"/>
      <c r="CJW238" s="26"/>
      <c r="CKA238" s="23"/>
      <c r="CKF238" s="26"/>
      <c r="CKJ238" s="23"/>
      <c r="CKO238" s="26"/>
      <c r="CKS238" s="23"/>
      <c r="CKX238" s="26"/>
      <c r="CLB238" s="23"/>
      <c r="CLG238" s="26"/>
      <c r="CLK238" s="23"/>
      <c r="CLP238" s="26"/>
      <c r="CLT238" s="23"/>
      <c r="CLY238" s="26"/>
      <c r="CMC238" s="23"/>
      <c r="CMH238" s="26"/>
      <c r="CML238" s="23"/>
      <c r="CMQ238" s="26"/>
      <c r="CMU238" s="23"/>
      <c r="CMZ238" s="26"/>
      <c r="CND238" s="23"/>
      <c r="CNI238" s="26"/>
      <c r="CNM238" s="23"/>
      <c r="CNR238" s="26"/>
      <c r="CNV238" s="23"/>
      <c r="COA238" s="26"/>
      <c r="COE238" s="23"/>
      <c r="COJ238" s="26"/>
      <c r="CON238" s="23"/>
      <c r="COS238" s="26"/>
      <c r="COW238" s="23"/>
      <c r="CPB238" s="26"/>
      <c r="CPF238" s="23"/>
      <c r="CPK238" s="26"/>
      <c r="CPO238" s="23"/>
      <c r="CPT238" s="26"/>
      <c r="CPX238" s="23"/>
      <c r="CQC238" s="26"/>
      <c r="CQG238" s="23"/>
      <c r="CQL238" s="26"/>
      <c r="CQP238" s="23"/>
      <c r="CQU238" s="26"/>
      <c r="CQY238" s="23"/>
      <c r="CRD238" s="26"/>
      <c r="CRH238" s="23"/>
      <c r="CRM238" s="26"/>
      <c r="CRQ238" s="23"/>
      <c r="CRV238" s="26"/>
      <c r="CRZ238" s="23"/>
      <c r="CSE238" s="26"/>
      <c r="CSI238" s="23"/>
      <c r="CSN238" s="26"/>
      <c r="CSR238" s="23"/>
      <c r="CSW238" s="26"/>
      <c r="CTA238" s="23"/>
      <c r="CTF238" s="26"/>
      <c r="CTJ238" s="23"/>
      <c r="CTO238" s="26"/>
      <c r="CTS238" s="23"/>
      <c r="CTX238" s="26"/>
      <c r="CUB238" s="23"/>
      <c r="CUG238" s="26"/>
      <c r="CUK238" s="23"/>
      <c r="CUP238" s="26"/>
      <c r="CUT238" s="23"/>
      <c r="CUY238" s="26"/>
      <c r="CVC238" s="23"/>
      <c r="CVH238" s="26"/>
      <c r="CVL238" s="23"/>
      <c r="CVQ238" s="26"/>
      <c r="CVU238" s="23"/>
      <c r="CVZ238" s="26"/>
      <c r="CWD238" s="23"/>
      <c r="CWI238" s="26"/>
      <c r="CWM238" s="23"/>
      <c r="CWR238" s="26"/>
      <c r="CWV238" s="23"/>
      <c r="CXA238" s="26"/>
      <c r="CXE238" s="23"/>
      <c r="CXJ238" s="26"/>
      <c r="CXN238" s="23"/>
      <c r="CXS238" s="26"/>
      <c r="CXW238" s="23"/>
      <c r="CYB238" s="26"/>
      <c r="CYF238" s="23"/>
      <c r="CYK238" s="26"/>
      <c r="CYO238" s="23"/>
      <c r="CYT238" s="26"/>
      <c r="CYX238" s="23"/>
      <c r="CZC238" s="26"/>
      <c r="CZG238" s="23"/>
      <c r="CZL238" s="26"/>
      <c r="CZP238" s="23"/>
      <c r="CZU238" s="26"/>
      <c r="CZY238" s="23"/>
      <c r="DAD238" s="26"/>
      <c r="DAH238" s="23"/>
      <c r="DAM238" s="26"/>
      <c r="DAQ238" s="23"/>
      <c r="DAV238" s="26"/>
      <c r="DAZ238" s="23"/>
      <c r="DBE238" s="26"/>
      <c r="DBI238" s="23"/>
      <c r="DBN238" s="26"/>
      <c r="DBR238" s="23"/>
      <c r="DBW238" s="26"/>
      <c r="DCA238" s="23"/>
      <c r="DCF238" s="26"/>
      <c r="DCJ238" s="23"/>
      <c r="DCO238" s="26"/>
      <c r="DCS238" s="23"/>
      <c r="DCX238" s="26"/>
      <c r="DDB238" s="23"/>
      <c r="DDG238" s="26"/>
      <c r="DDK238" s="23"/>
      <c r="DDP238" s="26"/>
      <c r="DDT238" s="23"/>
      <c r="DDY238" s="26"/>
      <c r="DEC238" s="23"/>
      <c r="DEH238" s="26"/>
      <c r="DEL238" s="23"/>
      <c r="DEQ238" s="26"/>
      <c r="DEU238" s="23"/>
      <c r="DEZ238" s="26"/>
      <c r="DFD238" s="23"/>
      <c r="DFI238" s="26"/>
      <c r="DFM238" s="23"/>
      <c r="DFR238" s="26"/>
      <c r="DFV238" s="23"/>
      <c r="DGA238" s="26"/>
      <c r="DGE238" s="23"/>
      <c r="DGJ238" s="26"/>
      <c r="DGN238" s="23"/>
      <c r="DGS238" s="26"/>
      <c r="DGW238" s="23"/>
      <c r="DHB238" s="26"/>
      <c r="DHF238" s="23"/>
      <c r="DHK238" s="26"/>
      <c r="DHO238" s="23"/>
      <c r="DHT238" s="26"/>
      <c r="DHX238" s="23"/>
      <c r="DIC238" s="26"/>
      <c r="DIG238" s="23"/>
      <c r="DIL238" s="26"/>
      <c r="DIP238" s="23"/>
      <c r="DIU238" s="26"/>
      <c r="DIY238" s="23"/>
      <c r="DJD238" s="26"/>
      <c r="DJH238" s="23"/>
      <c r="DJM238" s="26"/>
      <c r="DJQ238" s="23"/>
      <c r="DJV238" s="26"/>
      <c r="DJZ238" s="23"/>
      <c r="DKE238" s="26"/>
      <c r="DKI238" s="23"/>
      <c r="DKN238" s="26"/>
      <c r="DKR238" s="23"/>
      <c r="DKW238" s="26"/>
      <c r="DLA238" s="23"/>
      <c r="DLF238" s="26"/>
      <c r="DLJ238" s="23"/>
      <c r="DLO238" s="26"/>
      <c r="DLS238" s="23"/>
      <c r="DLX238" s="26"/>
      <c r="DMB238" s="23"/>
      <c r="DMG238" s="26"/>
      <c r="DMK238" s="23"/>
      <c r="DMP238" s="26"/>
      <c r="DMT238" s="23"/>
      <c r="DMY238" s="26"/>
      <c r="DNC238" s="23"/>
      <c r="DNH238" s="26"/>
      <c r="DNL238" s="23"/>
      <c r="DNQ238" s="26"/>
      <c r="DNU238" s="23"/>
      <c r="DNZ238" s="26"/>
      <c r="DOD238" s="23"/>
      <c r="DOI238" s="26"/>
      <c r="DOM238" s="23"/>
      <c r="DOR238" s="26"/>
      <c r="DOV238" s="23"/>
      <c r="DPA238" s="26"/>
      <c r="DPE238" s="23"/>
      <c r="DPJ238" s="26"/>
      <c r="DPN238" s="23"/>
      <c r="DPS238" s="26"/>
      <c r="DPW238" s="23"/>
      <c r="DQB238" s="26"/>
      <c r="DQF238" s="23"/>
      <c r="DQK238" s="26"/>
      <c r="DQO238" s="23"/>
      <c r="DQT238" s="26"/>
      <c r="DQX238" s="23"/>
      <c r="DRC238" s="26"/>
      <c r="DRG238" s="23"/>
      <c r="DRL238" s="26"/>
      <c r="DRP238" s="23"/>
      <c r="DRU238" s="26"/>
      <c r="DRY238" s="23"/>
      <c r="DSD238" s="26"/>
      <c r="DSH238" s="23"/>
      <c r="DSM238" s="26"/>
      <c r="DSQ238" s="23"/>
      <c r="DSV238" s="26"/>
      <c r="DSZ238" s="23"/>
      <c r="DTE238" s="26"/>
      <c r="DTI238" s="23"/>
      <c r="DTN238" s="26"/>
      <c r="DTR238" s="23"/>
      <c r="DTW238" s="26"/>
      <c r="DUA238" s="23"/>
      <c r="DUF238" s="26"/>
      <c r="DUJ238" s="23"/>
      <c r="DUO238" s="26"/>
      <c r="DUS238" s="23"/>
      <c r="DUX238" s="26"/>
      <c r="DVB238" s="23"/>
      <c r="DVG238" s="26"/>
      <c r="DVK238" s="23"/>
      <c r="DVP238" s="26"/>
      <c r="DVT238" s="23"/>
      <c r="DVY238" s="26"/>
      <c r="DWC238" s="23"/>
      <c r="DWH238" s="26"/>
      <c r="DWL238" s="23"/>
      <c r="DWQ238" s="26"/>
      <c r="DWU238" s="23"/>
      <c r="DWZ238" s="26"/>
      <c r="DXD238" s="23"/>
      <c r="DXI238" s="26"/>
      <c r="DXM238" s="23"/>
      <c r="DXR238" s="26"/>
      <c r="DXV238" s="23"/>
      <c r="DYA238" s="26"/>
      <c r="DYE238" s="23"/>
      <c r="DYJ238" s="26"/>
      <c r="DYN238" s="23"/>
      <c r="DYS238" s="26"/>
      <c r="DYW238" s="23"/>
      <c r="DZB238" s="26"/>
      <c r="DZF238" s="23"/>
      <c r="DZK238" s="26"/>
      <c r="DZO238" s="23"/>
      <c r="DZT238" s="26"/>
      <c r="DZX238" s="23"/>
      <c r="EAC238" s="26"/>
      <c r="EAG238" s="23"/>
      <c r="EAL238" s="26"/>
      <c r="EAP238" s="23"/>
      <c r="EAU238" s="26"/>
      <c r="EAY238" s="23"/>
      <c r="EBD238" s="26"/>
      <c r="EBH238" s="23"/>
      <c r="EBM238" s="26"/>
      <c r="EBQ238" s="23"/>
      <c r="EBV238" s="26"/>
      <c r="EBZ238" s="23"/>
      <c r="ECE238" s="26"/>
      <c r="ECI238" s="23"/>
      <c r="ECN238" s="26"/>
      <c r="ECR238" s="23"/>
      <c r="ECW238" s="26"/>
      <c r="EDA238" s="23"/>
      <c r="EDF238" s="26"/>
      <c r="EDJ238" s="23"/>
      <c r="EDO238" s="26"/>
      <c r="EDS238" s="23"/>
      <c r="EDX238" s="26"/>
      <c r="EEB238" s="23"/>
      <c r="EEG238" s="26"/>
      <c r="EEK238" s="23"/>
      <c r="EEP238" s="26"/>
      <c r="EET238" s="23"/>
      <c r="EEY238" s="26"/>
      <c r="EFC238" s="23"/>
      <c r="EFH238" s="26"/>
      <c r="EFL238" s="23"/>
      <c r="EFQ238" s="26"/>
      <c r="EFU238" s="23"/>
      <c r="EFZ238" s="26"/>
      <c r="EGD238" s="23"/>
      <c r="EGI238" s="26"/>
      <c r="EGM238" s="23"/>
      <c r="EGR238" s="26"/>
      <c r="EGV238" s="23"/>
      <c r="EHA238" s="26"/>
      <c r="EHE238" s="23"/>
      <c r="EHJ238" s="26"/>
      <c r="EHN238" s="23"/>
      <c r="EHS238" s="26"/>
      <c r="EHW238" s="23"/>
      <c r="EIB238" s="26"/>
      <c r="EIF238" s="23"/>
      <c r="EIK238" s="26"/>
      <c r="EIO238" s="23"/>
      <c r="EIT238" s="26"/>
      <c r="EIX238" s="23"/>
      <c r="EJC238" s="26"/>
      <c r="EJG238" s="23"/>
      <c r="EJL238" s="26"/>
      <c r="EJP238" s="23"/>
      <c r="EJU238" s="26"/>
      <c r="EJY238" s="23"/>
      <c r="EKD238" s="26"/>
      <c r="EKH238" s="23"/>
      <c r="EKM238" s="26"/>
      <c r="EKQ238" s="23"/>
      <c r="EKV238" s="26"/>
      <c r="EKZ238" s="23"/>
      <c r="ELE238" s="26"/>
      <c r="ELI238" s="23"/>
      <c r="ELN238" s="26"/>
      <c r="ELR238" s="23"/>
      <c r="ELW238" s="26"/>
      <c r="EMA238" s="23"/>
      <c r="EMF238" s="26"/>
      <c r="EMJ238" s="23"/>
      <c r="EMO238" s="26"/>
      <c r="EMS238" s="23"/>
      <c r="EMX238" s="26"/>
      <c r="ENB238" s="23"/>
      <c r="ENG238" s="26"/>
      <c r="ENK238" s="23"/>
      <c r="ENP238" s="26"/>
      <c r="ENT238" s="23"/>
      <c r="ENY238" s="26"/>
      <c r="EOC238" s="23"/>
      <c r="EOH238" s="26"/>
      <c r="EOL238" s="23"/>
      <c r="EOQ238" s="26"/>
      <c r="EOU238" s="23"/>
      <c r="EOZ238" s="26"/>
      <c r="EPD238" s="23"/>
      <c r="EPI238" s="26"/>
      <c r="EPM238" s="23"/>
      <c r="EPR238" s="26"/>
      <c r="EPV238" s="23"/>
      <c r="EQA238" s="26"/>
      <c r="EQE238" s="23"/>
      <c r="EQJ238" s="26"/>
      <c r="EQN238" s="23"/>
      <c r="EQS238" s="26"/>
      <c r="EQW238" s="23"/>
      <c r="ERB238" s="26"/>
      <c r="ERF238" s="23"/>
      <c r="ERK238" s="26"/>
      <c r="ERO238" s="23"/>
      <c r="ERT238" s="26"/>
      <c r="ERX238" s="23"/>
      <c r="ESC238" s="26"/>
      <c r="ESG238" s="23"/>
      <c r="ESL238" s="26"/>
      <c r="ESP238" s="23"/>
      <c r="ESU238" s="26"/>
      <c r="ESY238" s="23"/>
      <c r="ETD238" s="26"/>
      <c r="ETH238" s="23"/>
      <c r="ETM238" s="26"/>
      <c r="ETQ238" s="23"/>
      <c r="ETV238" s="26"/>
      <c r="ETZ238" s="23"/>
      <c r="EUE238" s="26"/>
      <c r="EUI238" s="23"/>
      <c r="EUN238" s="26"/>
      <c r="EUR238" s="23"/>
      <c r="EUW238" s="26"/>
      <c r="EVA238" s="23"/>
      <c r="EVF238" s="26"/>
      <c r="EVJ238" s="23"/>
      <c r="EVO238" s="26"/>
      <c r="EVS238" s="23"/>
      <c r="EVX238" s="26"/>
      <c r="EWB238" s="23"/>
      <c r="EWG238" s="26"/>
      <c r="EWK238" s="23"/>
      <c r="EWP238" s="26"/>
      <c r="EWT238" s="23"/>
      <c r="EWY238" s="26"/>
      <c r="EXC238" s="23"/>
      <c r="EXH238" s="26"/>
      <c r="EXL238" s="23"/>
      <c r="EXQ238" s="26"/>
      <c r="EXU238" s="23"/>
      <c r="EXZ238" s="26"/>
      <c r="EYD238" s="23"/>
      <c r="EYI238" s="26"/>
      <c r="EYM238" s="23"/>
      <c r="EYR238" s="26"/>
      <c r="EYV238" s="23"/>
      <c r="EZA238" s="26"/>
      <c r="EZE238" s="23"/>
      <c r="EZJ238" s="26"/>
      <c r="EZN238" s="23"/>
      <c r="EZS238" s="26"/>
      <c r="EZW238" s="23"/>
      <c r="FAB238" s="26"/>
      <c r="FAF238" s="23"/>
      <c r="FAK238" s="26"/>
      <c r="FAO238" s="23"/>
      <c r="FAT238" s="26"/>
      <c r="FAX238" s="23"/>
      <c r="FBC238" s="26"/>
      <c r="FBG238" s="23"/>
      <c r="FBL238" s="26"/>
      <c r="FBP238" s="23"/>
      <c r="FBU238" s="26"/>
      <c r="FBY238" s="23"/>
      <c r="FCD238" s="26"/>
      <c r="FCH238" s="23"/>
      <c r="FCM238" s="26"/>
      <c r="FCQ238" s="23"/>
      <c r="FCV238" s="26"/>
      <c r="FCZ238" s="23"/>
      <c r="FDE238" s="26"/>
      <c r="FDI238" s="23"/>
      <c r="FDN238" s="26"/>
      <c r="FDR238" s="23"/>
      <c r="FDW238" s="26"/>
      <c r="FEA238" s="23"/>
      <c r="FEF238" s="26"/>
      <c r="FEJ238" s="23"/>
      <c r="FEO238" s="26"/>
      <c r="FES238" s="23"/>
      <c r="FEX238" s="26"/>
      <c r="FFB238" s="23"/>
      <c r="FFG238" s="26"/>
      <c r="FFK238" s="23"/>
      <c r="FFP238" s="26"/>
      <c r="FFT238" s="23"/>
      <c r="FFY238" s="26"/>
      <c r="FGC238" s="23"/>
      <c r="FGH238" s="26"/>
      <c r="FGL238" s="23"/>
      <c r="FGQ238" s="26"/>
      <c r="FGU238" s="23"/>
      <c r="FGZ238" s="26"/>
      <c r="FHD238" s="23"/>
      <c r="FHI238" s="26"/>
      <c r="FHM238" s="23"/>
      <c r="FHR238" s="26"/>
      <c r="FHV238" s="23"/>
      <c r="FIA238" s="26"/>
      <c r="FIE238" s="23"/>
      <c r="FIJ238" s="26"/>
      <c r="FIN238" s="23"/>
      <c r="FIS238" s="26"/>
      <c r="FIW238" s="23"/>
      <c r="FJB238" s="26"/>
      <c r="FJF238" s="23"/>
      <c r="FJK238" s="26"/>
      <c r="FJO238" s="23"/>
      <c r="FJT238" s="26"/>
      <c r="FJX238" s="23"/>
      <c r="FKC238" s="26"/>
      <c r="FKG238" s="23"/>
      <c r="FKL238" s="26"/>
      <c r="FKP238" s="23"/>
      <c r="FKU238" s="26"/>
      <c r="FKY238" s="23"/>
      <c r="FLD238" s="26"/>
      <c r="FLH238" s="23"/>
      <c r="FLM238" s="26"/>
      <c r="FLQ238" s="23"/>
      <c r="FLV238" s="26"/>
      <c r="FLZ238" s="23"/>
      <c r="FME238" s="26"/>
      <c r="FMI238" s="23"/>
      <c r="FMN238" s="26"/>
      <c r="FMR238" s="23"/>
      <c r="FMW238" s="26"/>
      <c r="FNA238" s="23"/>
      <c r="FNF238" s="26"/>
      <c r="FNJ238" s="23"/>
      <c r="FNO238" s="26"/>
      <c r="FNS238" s="23"/>
      <c r="FNX238" s="26"/>
      <c r="FOB238" s="23"/>
      <c r="FOG238" s="26"/>
      <c r="FOK238" s="23"/>
      <c r="FOP238" s="26"/>
      <c r="FOT238" s="23"/>
      <c r="FOY238" s="26"/>
      <c r="FPC238" s="23"/>
      <c r="FPH238" s="26"/>
      <c r="FPL238" s="23"/>
      <c r="FPQ238" s="26"/>
      <c r="FPU238" s="23"/>
      <c r="FPZ238" s="26"/>
      <c r="FQD238" s="23"/>
      <c r="FQI238" s="26"/>
      <c r="FQM238" s="23"/>
      <c r="FQR238" s="26"/>
      <c r="FQV238" s="23"/>
      <c r="FRA238" s="26"/>
      <c r="FRE238" s="23"/>
      <c r="FRJ238" s="26"/>
      <c r="FRN238" s="23"/>
      <c r="FRS238" s="26"/>
      <c r="FRW238" s="23"/>
      <c r="FSB238" s="26"/>
      <c r="FSF238" s="23"/>
      <c r="FSK238" s="26"/>
      <c r="FSO238" s="23"/>
      <c r="FST238" s="26"/>
      <c r="FSX238" s="23"/>
      <c r="FTC238" s="26"/>
      <c r="FTG238" s="23"/>
      <c r="FTL238" s="26"/>
      <c r="FTP238" s="23"/>
      <c r="FTU238" s="26"/>
      <c r="FTY238" s="23"/>
      <c r="FUD238" s="26"/>
      <c r="FUH238" s="23"/>
      <c r="FUM238" s="26"/>
      <c r="FUQ238" s="23"/>
      <c r="FUV238" s="26"/>
      <c r="FUZ238" s="23"/>
      <c r="FVE238" s="26"/>
      <c r="FVI238" s="23"/>
      <c r="FVN238" s="26"/>
      <c r="FVR238" s="23"/>
      <c r="FVW238" s="26"/>
      <c r="FWA238" s="23"/>
      <c r="FWF238" s="26"/>
      <c r="FWJ238" s="23"/>
      <c r="FWO238" s="26"/>
      <c r="FWS238" s="23"/>
      <c r="FWX238" s="26"/>
      <c r="FXB238" s="23"/>
      <c r="FXG238" s="26"/>
      <c r="FXK238" s="23"/>
      <c r="FXP238" s="26"/>
      <c r="FXT238" s="23"/>
      <c r="FXY238" s="26"/>
      <c r="FYC238" s="23"/>
      <c r="FYH238" s="26"/>
      <c r="FYL238" s="23"/>
      <c r="FYQ238" s="26"/>
      <c r="FYU238" s="23"/>
      <c r="FYZ238" s="26"/>
      <c r="FZD238" s="23"/>
      <c r="FZI238" s="26"/>
      <c r="FZM238" s="23"/>
      <c r="FZR238" s="26"/>
      <c r="FZV238" s="23"/>
      <c r="GAA238" s="26"/>
      <c r="GAE238" s="23"/>
      <c r="GAJ238" s="26"/>
      <c r="GAN238" s="23"/>
      <c r="GAS238" s="26"/>
      <c r="GAW238" s="23"/>
      <c r="GBB238" s="26"/>
      <c r="GBF238" s="23"/>
      <c r="GBK238" s="26"/>
      <c r="GBO238" s="23"/>
      <c r="GBT238" s="26"/>
      <c r="GBX238" s="23"/>
      <c r="GCC238" s="26"/>
      <c r="GCG238" s="23"/>
      <c r="GCL238" s="26"/>
      <c r="GCP238" s="23"/>
      <c r="GCU238" s="26"/>
      <c r="GCY238" s="23"/>
      <c r="GDD238" s="26"/>
      <c r="GDH238" s="23"/>
      <c r="GDM238" s="26"/>
      <c r="GDQ238" s="23"/>
      <c r="GDV238" s="26"/>
      <c r="GDZ238" s="23"/>
      <c r="GEE238" s="26"/>
      <c r="GEI238" s="23"/>
      <c r="GEN238" s="26"/>
      <c r="GER238" s="23"/>
      <c r="GEW238" s="26"/>
      <c r="GFA238" s="23"/>
      <c r="GFF238" s="26"/>
      <c r="GFJ238" s="23"/>
      <c r="GFO238" s="26"/>
      <c r="GFS238" s="23"/>
      <c r="GFX238" s="26"/>
      <c r="GGB238" s="23"/>
      <c r="GGG238" s="26"/>
      <c r="GGK238" s="23"/>
      <c r="GGP238" s="26"/>
      <c r="GGT238" s="23"/>
      <c r="GGY238" s="26"/>
      <c r="GHC238" s="23"/>
      <c r="GHH238" s="26"/>
      <c r="GHL238" s="23"/>
      <c r="GHQ238" s="26"/>
      <c r="GHU238" s="23"/>
      <c r="GHZ238" s="26"/>
      <c r="GID238" s="23"/>
      <c r="GII238" s="26"/>
      <c r="GIM238" s="23"/>
      <c r="GIR238" s="26"/>
      <c r="GIV238" s="23"/>
      <c r="GJA238" s="26"/>
      <c r="GJE238" s="23"/>
      <c r="GJJ238" s="26"/>
      <c r="GJN238" s="23"/>
      <c r="GJS238" s="26"/>
      <c r="GJW238" s="23"/>
      <c r="GKB238" s="26"/>
      <c r="GKF238" s="23"/>
      <c r="GKK238" s="26"/>
      <c r="GKO238" s="23"/>
      <c r="GKT238" s="26"/>
      <c r="GKX238" s="23"/>
      <c r="GLC238" s="26"/>
      <c r="GLG238" s="23"/>
      <c r="GLL238" s="26"/>
      <c r="GLP238" s="23"/>
      <c r="GLU238" s="26"/>
      <c r="GLY238" s="23"/>
      <c r="GMD238" s="26"/>
      <c r="GMH238" s="23"/>
      <c r="GMM238" s="26"/>
      <c r="GMQ238" s="23"/>
      <c r="GMV238" s="26"/>
      <c r="GMZ238" s="23"/>
      <c r="GNE238" s="26"/>
      <c r="GNI238" s="23"/>
      <c r="GNN238" s="26"/>
      <c r="GNR238" s="23"/>
      <c r="GNW238" s="26"/>
      <c r="GOA238" s="23"/>
      <c r="GOF238" s="26"/>
      <c r="GOJ238" s="23"/>
      <c r="GOO238" s="26"/>
      <c r="GOS238" s="23"/>
      <c r="GOX238" s="26"/>
      <c r="GPB238" s="23"/>
      <c r="GPG238" s="26"/>
      <c r="GPK238" s="23"/>
      <c r="GPP238" s="26"/>
      <c r="GPT238" s="23"/>
      <c r="GPY238" s="26"/>
      <c r="GQC238" s="23"/>
      <c r="GQH238" s="26"/>
      <c r="GQL238" s="23"/>
      <c r="GQQ238" s="26"/>
      <c r="GQU238" s="23"/>
      <c r="GQZ238" s="26"/>
      <c r="GRD238" s="23"/>
      <c r="GRI238" s="26"/>
      <c r="GRM238" s="23"/>
      <c r="GRR238" s="26"/>
      <c r="GRV238" s="23"/>
      <c r="GSA238" s="26"/>
      <c r="GSE238" s="23"/>
      <c r="GSJ238" s="26"/>
      <c r="GSN238" s="23"/>
      <c r="GSS238" s="26"/>
      <c r="GSW238" s="23"/>
      <c r="GTB238" s="26"/>
      <c r="GTF238" s="23"/>
      <c r="GTK238" s="26"/>
      <c r="GTO238" s="23"/>
      <c r="GTT238" s="26"/>
      <c r="GTX238" s="23"/>
      <c r="GUC238" s="26"/>
      <c r="GUG238" s="23"/>
      <c r="GUL238" s="26"/>
      <c r="GUP238" s="23"/>
      <c r="GUU238" s="26"/>
      <c r="GUY238" s="23"/>
      <c r="GVD238" s="26"/>
      <c r="GVH238" s="23"/>
      <c r="GVM238" s="26"/>
      <c r="GVQ238" s="23"/>
      <c r="GVV238" s="26"/>
      <c r="GVZ238" s="23"/>
      <c r="GWE238" s="26"/>
      <c r="GWI238" s="23"/>
      <c r="GWN238" s="26"/>
      <c r="GWR238" s="23"/>
      <c r="GWW238" s="26"/>
      <c r="GXA238" s="23"/>
      <c r="GXF238" s="26"/>
      <c r="GXJ238" s="23"/>
      <c r="GXO238" s="26"/>
      <c r="GXS238" s="23"/>
      <c r="GXX238" s="26"/>
      <c r="GYB238" s="23"/>
      <c r="GYG238" s="26"/>
      <c r="GYK238" s="23"/>
      <c r="GYP238" s="26"/>
      <c r="GYT238" s="23"/>
      <c r="GYY238" s="26"/>
      <c r="GZC238" s="23"/>
      <c r="GZH238" s="26"/>
      <c r="GZL238" s="23"/>
      <c r="GZQ238" s="26"/>
      <c r="GZU238" s="23"/>
      <c r="GZZ238" s="26"/>
      <c r="HAD238" s="23"/>
      <c r="HAI238" s="26"/>
      <c r="HAM238" s="23"/>
      <c r="HAR238" s="26"/>
      <c r="HAV238" s="23"/>
      <c r="HBA238" s="26"/>
      <c r="HBE238" s="23"/>
      <c r="HBJ238" s="26"/>
      <c r="HBN238" s="23"/>
      <c r="HBS238" s="26"/>
      <c r="HBW238" s="23"/>
      <c r="HCB238" s="26"/>
      <c r="HCF238" s="23"/>
      <c r="HCK238" s="26"/>
      <c r="HCO238" s="23"/>
      <c r="HCT238" s="26"/>
      <c r="HCX238" s="23"/>
      <c r="HDC238" s="26"/>
      <c r="HDG238" s="23"/>
      <c r="HDL238" s="26"/>
      <c r="HDP238" s="23"/>
      <c r="HDU238" s="26"/>
      <c r="HDY238" s="23"/>
      <c r="HED238" s="26"/>
      <c r="HEH238" s="23"/>
      <c r="HEM238" s="26"/>
      <c r="HEQ238" s="23"/>
      <c r="HEV238" s="26"/>
      <c r="HEZ238" s="23"/>
      <c r="HFE238" s="26"/>
      <c r="HFI238" s="23"/>
      <c r="HFN238" s="26"/>
      <c r="HFR238" s="23"/>
      <c r="HFW238" s="26"/>
      <c r="HGA238" s="23"/>
      <c r="HGF238" s="26"/>
      <c r="HGJ238" s="23"/>
      <c r="HGO238" s="26"/>
      <c r="HGS238" s="23"/>
      <c r="HGX238" s="26"/>
      <c r="HHB238" s="23"/>
      <c r="HHG238" s="26"/>
      <c r="HHK238" s="23"/>
      <c r="HHP238" s="26"/>
      <c r="HHT238" s="23"/>
      <c r="HHY238" s="26"/>
      <c r="HIC238" s="23"/>
      <c r="HIH238" s="26"/>
      <c r="HIL238" s="23"/>
      <c r="HIQ238" s="26"/>
      <c r="HIU238" s="23"/>
      <c r="HIZ238" s="26"/>
      <c r="HJD238" s="23"/>
      <c r="HJI238" s="26"/>
      <c r="HJM238" s="23"/>
      <c r="HJR238" s="26"/>
      <c r="HJV238" s="23"/>
      <c r="HKA238" s="26"/>
      <c r="HKE238" s="23"/>
      <c r="HKJ238" s="26"/>
      <c r="HKN238" s="23"/>
      <c r="HKS238" s="26"/>
      <c r="HKW238" s="23"/>
      <c r="HLB238" s="26"/>
      <c r="HLF238" s="23"/>
      <c r="HLK238" s="26"/>
      <c r="HLO238" s="23"/>
      <c r="HLT238" s="26"/>
      <c r="HLX238" s="23"/>
      <c r="HMC238" s="26"/>
      <c r="HMG238" s="23"/>
      <c r="HML238" s="26"/>
      <c r="HMP238" s="23"/>
      <c r="HMU238" s="26"/>
      <c r="HMY238" s="23"/>
      <c r="HND238" s="26"/>
      <c r="HNH238" s="23"/>
      <c r="HNM238" s="26"/>
      <c r="HNQ238" s="23"/>
      <c r="HNV238" s="26"/>
      <c r="HNZ238" s="23"/>
      <c r="HOE238" s="26"/>
      <c r="HOI238" s="23"/>
      <c r="HON238" s="26"/>
      <c r="HOR238" s="23"/>
      <c r="HOW238" s="26"/>
      <c r="HPA238" s="23"/>
      <c r="HPF238" s="26"/>
      <c r="HPJ238" s="23"/>
      <c r="HPO238" s="26"/>
      <c r="HPS238" s="23"/>
      <c r="HPX238" s="26"/>
      <c r="HQB238" s="23"/>
      <c r="HQG238" s="26"/>
      <c r="HQK238" s="23"/>
      <c r="HQP238" s="26"/>
      <c r="HQT238" s="23"/>
      <c r="HQY238" s="26"/>
      <c r="HRC238" s="23"/>
      <c r="HRH238" s="26"/>
      <c r="HRL238" s="23"/>
      <c r="HRQ238" s="26"/>
      <c r="HRU238" s="23"/>
      <c r="HRZ238" s="26"/>
      <c r="HSD238" s="23"/>
      <c r="HSI238" s="26"/>
      <c r="HSM238" s="23"/>
      <c r="HSR238" s="26"/>
      <c r="HSV238" s="23"/>
      <c r="HTA238" s="26"/>
      <c r="HTE238" s="23"/>
      <c r="HTJ238" s="26"/>
      <c r="HTN238" s="23"/>
      <c r="HTS238" s="26"/>
      <c r="HTW238" s="23"/>
      <c r="HUB238" s="26"/>
      <c r="HUF238" s="23"/>
      <c r="HUK238" s="26"/>
      <c r="HUO238" s="23"/>
      <c r="HUT238" s="26"/>
      <c r="HUX238" s="23"/>
      <c r="HVC238" s="26"/>
      <c r="HVG238" s="23"/>
      <c r="HVL238" s="26"/>
      <c r="HVP238" s="23"/>
      <c r="HVU238" s="26"/>
      <c r="HVY238" s="23"/>
      <c r="HWD238" s="26"/>
      <c r="HWH238" s="23"/>
      <c r="HWM238" s="26"/>
      <c r="HWQ238" s="23"/>
      <c r="HWV238" s="26"/>
      <c r="HWZ238" s="23"/>
      <c r="HXE238" s="26"/>
      <c r="HXI238" s="23"/>
      <c r="HXN238" s="26"/>
      <c r="HXR238" s="23"/>
      <c r="HXW238" s="26"/>
      <c r="HYA238" s="23"/>
      <c r="HYF238" s="26"/>
      <c r="HYJ238" s="23"/>
      <c r="HYO238" s="26"/>
      <c r="HYS238" s="23"/>
      <c r="HYX238" s="26"/>
      <c r="HZB238" s="23"/>
      <c r="HZG238" s="26"/>
      <c r="HZK238" s="23"/>
      <c r="HZP238" s="26"/>
      <c r="HZT238" s="23"/>
      <c r="HZY238" s="26"/>
      <c r="IAC238" s="23"/>
      <c r="IAH238" s="26"/>
      <c r="IAL238" s="23"/>
      <c r="IAQ238" s="26"/>
      <c r="IAU238" s="23"/>
      <c r="IAZ238" s="26"/>
      <c r="IBD238" s="23"/>
      <c r="IBI238" s="26"/>
      <c r="IBM238" s="23"/>
      <c r="IBR238" s="26"/>
      <c r="IBV238" s="23"/>
      <c r="ICA238" s="26"/>
      <c r="ICE238" s="23"/>
      <c r="ICJ238" s="26"/>
      <c r="ICN238" s="23"/>
      <c r="ICS238" s="26"/>
      <c r="ICW238" s="23"/>
      <c r="IDB238" s="26"/>
      <c r="IDF238" s="23"/>
      <c r="IDK238" s="26"/>
      <c r="IDO238" s="23"/>
      <c r="IDT238" s="26"/>
      <c r="IDX238" s="23"/>
      <c r="IEC238" s="26"/>
      <c r="IEG238" s="23"/>
      <c r="IEL238" s="26"/>
      <c r="IEP238" s="23"/>
      <c r="IEU238" s="26"/>
      <c r="IEY238" s="23"/>
      <c r="IFD238" s="26"/>
      <c r="IFH238" s="23"/>
      <c r="IFM238" s="26"/>
      <c r="IFQ238" s="23"/>
      <c r="IFV238" s="26"/>
      <c r="IFZ238" s="23"/>
      <c r="IGE238" s="26"/>
      <c r="IGI238" s="23"/>
      <c r="IGN238" s="26"/>
      <c r="IGR238" s="23"/>
      <c r="IGW238" s="26"/>
      <c r="IHA238" s="23"/>
      <c r="IHF238" s="26"/>
      <c r="IHJ238" s="23"/>
      <c r="IHO238" s="26"/>
      <c r="IHS238" s="23"/>
      <c r="IHX238" s="26"/>
      <c r="IIB238" s="23"/>
      <c r="IIG238" s="26"/>
      <c r="IIK238" s="23"/>
      <c r="IIP238" s="26"/>
      <c r="IIT238" s="23"/>
      <c r="IIY238" s="26"/>
      <c r="IJC238" s="23"/>
      <c r="IJH238" s="26"/>
      <c r="IJL238" s="23"/>
      <c r="IJQ238" s="26"/>
      <c r="IJU238" s="23"/>
      <c r="IJZ238" s="26"/>
      <c r="IKD238" s="23"/>
      <c r="IKI238" s="26"/>
      <c r="IKM238" s="23"/>
      <c r="IKR238" s="26"/>
      <c r="IKV238" s="23"/>
      <c r="ILA238" s="26"/>
      <c r="ILE238" s="23"/>
      <c r="ILJ238" s="26"/>
      <c r="ILN238" s="23"/>
      <c r="ILS238" s="26"/>
      <c r="ILW238" s="23"/>
      <c r="IMB238" s="26"/>
      <c r="IMF238" s="23"/>
      <c r="IMK238" s="26"/>
      <c r="IMO238" s="23"/>
      <c r="IMT238" s="26"/>
      <c r="IMX238" s="23"/>
      <c r="INC238" s="26"/>
      <c r="ING238" s="23"/>
      <c r="INL238" s="26"/>
      <c r="INP238" s="23"/>
      <c r="INU238" s="26"/>
      <c r="INY238" s="23"/>
      <c r="IOD238" s="26"/>
      <c r="IOH238" s="23"/>
      <c r="IOM238" s="26"/>
      <c r="IOQ238" s="23"/>
      <c r="IOV238" s="26"/>
      <c r="IOZ238" s="23"/>
      <c r="IPE238" s="26"/>
      <c r="IPI238" s="23"/>
      <c r="IPN238" s="26"/>
      <c r="IPR238" s="23"/>
      <c r="IPW238" s="26"/>
      <c r="IQA238" s="23"/>
      <c r="IQF238" s="26"/>
      <c r="IQJ238" s="23"/>
      <c r="IQO238" s="26"/>
      <c r="IQS238" s="23"/>
      <c r="IQX238" s="26"/>
      <c r="IRB238" s="23"/>
      <c r="IRG238" s="26"/>
      <c r="IRK238" s="23"/>
      <c r="IRP238" s="26"/>
      <c r="IRT238" s="23"/>
      <c r="IRY238" s="26"/>
      <c r="ISC238" s="23"/>
      <c r="ISH238" s="26"/>
      <c r="ISL238" s="23"/>
      <c r="ISQ238" s="26"/>
      <c r="ISU238" s="23"/>
      <c r="ISZ238" s="26"/>
      <c r="ITD238" s="23"/>
      <c r="ITI238" s="26"/>
      <c r="ITM238" s="23"/>
      <c r="ITR238" s="26"/>
      <c r="ITV238" s="23"/>
      <c r="IUA238" s="26"/>
      <c r="IUE238" s="23"/>
      <c r="IUJ238" s="26"/>
      <c r="IUN238" s="23"/>
      <c r="IUS238" s="26"/>
      <c r="IUW238" s="23"/>
      <c r="IVB238" s="26"/>
      <c r="IVF238" s="23"/>
      <c r="IVK238" s="26"/>
      <c r="IVO238" s="23"/>
      <c r="IVT238" s="26"/>
      <c r="IVX238" s="23"/>
      <c r="IWC238" s="26"/>
      <c r="IWG238" s="23"/>
      <c r="IWL238" s="26"/>
      <c r="IWP238" s="23"/>
      <c r="IWU238" s="26"/>
      <c r="IWY238" s="23"/>
      <c r="IXD238" s="26"/>
      <c r="IXH238" s="23"/>
      <c r="IXM238" s="26"/>
      <c r="IXQ238" s="23"/>
      <c r="IXV238" s="26"/>
      <c r="IXZ238" s="23"/>
      <c r="IYE238" s="26"/>
      <c r="IYI238" s="23"/>
      <c r="IYN238" s="26"/>
      <c r="IYR238" s="23"/>
      <c r="IYW238" s="26"/>
      <c r="IZA238" s="23"/>
      <c r="IZF238" s="26"/>
      <c r="IZJ238" s="23"/>
      <c r="IZO238" s="26"/>
      <c r="IZS238" s="23"/>
      <c r="IZX238" s="26"/>
      <c r="JAB238" s="23"/>
      <c r="JAG238" s="26"/>
      <c r="JAK238" s="23"/>
      <c r="JAP238" s="26"/>
      <c r="JAT238" s="23"/>
      <c r="JAY238" s="26"/>
      <c r="JBC238" s="23"/>
      <c r="JBH238" s="26"/>
      <c r="JBL238" s="23"/>
      <c r="JBQ238" s="26"/>
      <c r="JBU238" s="23"/>
      <c r="JBZ238" s="26"/>
      <c r="JCD238" s="23"/>
      <c r="JCI238" s="26"/>
      <c r="JCM238" s="23"/>
      <c r="JCR238" s="26"/>
      <c r="JCV238" s="23"/>
      <c r="JDA238" s="26"/>
      <c r="JDE238" s="23"/>
      <c r="JDJ238" s="26"/>
      <c r="JDN238" s="23"/>
      <c r="JDS238" s="26"/>
      <c r="JDW238" s="23"/>
      <c r="JEB238" s="26"/>
      <c r="JEF238" s="23"/>
      <c r="JEK238" s="26"/>
      <c r="JEO238" s="23"/>
      <c r="JET238" s="26"/>
      <c r="JEX238" s="23"/>
      <c r="JFC238" s="26"/>
      <c r="JFG238" s="23"/>
      <c r="JFL238" s="26"/>
      <c r="JFP238" s="23"/>
      <c r="JFU238" s="26"/>
      <c r="JFY238" s="23"/>
      <c r="JGD238" s="26"/>
      <c r="JGH238" s="23"/>
      <c r="JGM238" s="26"/>
      <c r="JGQ238" s="23"/>
      <c r="JGV238" s="26"/>
      <c r="JGZ238" s="23"/>
      <c r="JHE238" s="26"/>
      <c r="JHI238" s="23"/>
      <c r="JHN238" s="26"/>
      <c r="JHR238" s="23"/>
      <c r="JHW238" s="26"/>
      <c r="JIA238" s="23"/>
      <c r="JIF238" s="26"/>
      <c r="JIJ238" s="23"/>
      <c r="JIO238" s="26"/>
      <c r="JIS238" s="23"/>
      <c r="JIX238" s="26"/>
      <c r="JJB238" s="23"/>
      <c r="JJG238" s="26"/>
      <c r="JJK238" s="23"/>
      <c r="JJP238" s="26"/>
      <c r="JJT238" s="23"/>
      <c r="JJY238" s="26"/>
      <c r="JKC238" s="23"/>
      <c r="JKH238" s="26"/>
      <c r="JKL238" s="23"/>
      <c r="JKQ238" s="26"/>
      <c r="JKU238" s="23"/>
      <c r="JKZ238" s="26"/>
      <c r="JLD238" s="23"/>
      <c r="JLI238" s="26"/>
      <c r="JLM238" s="23"/>
      <c r="JLR238" s="26"/>
      <c r="JLV238" s="23"/>
      <c r="JMA238" s="26"/>
      <c r="JME238" s="23"/>
      <c r="JMJ238" s="26"/>
      <c r="JMN238" s="23"/>
      <c r="JMS238" s="26"/>
      <c r="JMW238" s="23"/>
      <c r="JNB238" s="26"/>
      <c r="JNF238" s="23"/>
      <c r="JNK238" s="26"/>
      <c r="JNO238" s="23"/>
      <c r="JNT238" s="26"/>
      <c r="JNX238" s="23"/>
      <c r="JOC238" s="26"/>
      <c r="JOG238" s="23"/>
      <c r="JOL238" s="26"/>
      <c r="JOP238" s="23"/>
      <c r="JOU238" s="26"/>
      <c r="JOY238" s="23"/>
      <c r="JPD238" s="26"/>
      <c r="JPH238" s="23"/>
      <c r="JPM238" s="26"/>
      <c r="JPQ238" s="23"/>
      <c r="JPV238" s="26"/>
      <c r="JPZ238" s="23"/>
      <c r="JQE238" s="26"/>
      <c r="JQI238" s="23"/>
      <c r="JQN238" s="26"/>
      <c r="JQR238" s="23"/>
      <c r="JQW238" s="26"/>
      <c r="JRA238" s="23"/>
      <c r="JRF238" s="26"/>
      <c r="JRJ238" s="23"/>
      <c r="JRO238" s="26"/>
      <c r="JRS238" s="23"/>
      <c r="JRX238" s="26"/>
      <c r="JSB238" s="23"/>
      <c r="JSG238" s="26"/>
      <c r="JSK238" s="23"/>
      <c r="JSP238" s="26"/>
      <c r="JST238" s="23"/>
      <c r="JSY238" s="26"/>
      <c r="JTC238" s="23"/>
      <c r="JTH238" s="26"/>
      <c r="JTL238" s="23"/>
      <c r="JTQ238" s="26"/>
      <c r="JTU238" s="23"/>
      <c r="JTZ238" s="26"/>
      <c r="JUD238" s="23"/>
      <c r="JUI238" s="26"/>
      <c r="JUM238" s="23"/>
      <c r="JUR238" s="26"/>
      <c r="JUV238" s="23"/>
      <c r="JVA238" s="26"/>
      <c r="JVE238" s="23"/>
      <c r="JVJ238" s="26"/>
      <c r="JVN238" s="23"/>
      <c r="JVS238" s="26"/>
      <c r="JVW238" s="23"/>
      <c r="JWB238" s="26"/>
      <c r="JWF238" s="23"/>
      <c r="JWK238" s="26"/>
      <c r="JWO238" s="23"/>
      <c r="JWT238" s="26"/>
      <c r="JWX238" s="23"/>
      <c r="JXC238" s="26"/>
      <c r="JXG238" s="23"/>
      <c r="JXL238" s="26"/>
      <c r="JXP238" s="23"/>
      <c r="JXU238" s="26"/>
      <c r="JXY238" s="23"/>
      <c r="JYD238" s="26"/>
      <c r="JYH238" s="23"/>
      <c r="JYM238" s="26"/>
      <c r="JYQ238" s="23"/>
      <c r="JYV238" s="26"/>
      <c r="JYZ238" s="23"/>
      <c r="JZE238" s="26"/>
      <c r="JZI238" s="23"/>
      <c r="JZN238" s="26"/>
      <c r="JZR238" s="23"/>
      <c r="JZW238" s="26"/>
      <c r="KAA238" s="23"/>
      <c r="KAF238" s="26"/>
      <c r="KAJ238" s="23"/>
      <c r="KAO238" s="26"/>
      <c r="KAS238" s="23"/>
      <c r="KAX238" s="26"/>
      <c r="KBB238" s="23"/>
      <c r="KBG238" s="26"/>
      <c r="KBK238" s="23"/>
      <c r="KBP238" s="26"/>
      <c r="KBT238" s="23"/>
      <c r="KBY238" s="26"/>
      <c r="KCC238" s="23"/>
      <c r="KCH238" s="26"/>
      <c r="KCL238" s="23"/>
      <c r="KCQ238" s="26"/>
      <c r="KCU238" s="23"/>
      <c r="KCZ238" s="26"/>
      <c r="KDD238" s="23"/>
      <c r="KDI238" s="26"/>
      <c r="KDM238" s="23"/>
      <c r="KDR238" s="26"/>
      <c r="KDV238" s="23"/>
      <c r="KEA238" s="26"/>
      <c r="KEE238" s="23"/>
      <c r="KEJ238" s="26"/>
      <c r="KEN238" s="23"/>
      <c r="KES238" s="26"/>
      <c r="KEW238" s="23"/>
      <c r="KFB238" s="26"/>
      <c r="KFF238" s="23"/>
      <c r="KFK238" s="26"/>
      <c r="KFO238" s="23"/>
      <c r="KFT238" s="26"/>
      <c r="KFX238" s="23"/>
      <c r="KGC238" s="26"/>
      <c r="KGG238" s="23"/>
      <c r="KGL238" s="26"/>
      <c r="KGP238" s="23"/>
      <c r="KGU238" s="26"/>
      <c r="KGY238" s="23"/>
      <c r="KHD238" s="26"/>
      <c r="KHH238" s="23"/>
      <c r="KHM238" s="26"/>
      <c r="KHQ238" s="23"/>
      <c r="KHV238" s="26"/>
      <c r="KHZ238" s="23"/>
      <c r="KIE238" s="26"/>
      <c r="KII238" s="23"/>
      <c r="KIN238" s="26"/>
      <c r="KIR238" s="23"/>
      <c r="KIW238" s="26"/>
      <c r="KJA238" s="23"/>
      <c r="KJF238" s="26"/>
      <c r="KJJ238" s="23"/>
      <c r="KJO238" s="26"/>
      <c r="KJS238" s="23"/>
      <c r="KJX238" s="26"/>
      <c r="KKB238" s="23"/>
      <c r="KKG238" s="26"/>
      <c r="KKK238" s="23"/>
      <c r="KKP238" s="26"/>
      <c r="KKT238" s="23"/>
      <c r="KKY238" s="26"/>
      <c r="KLC238" s="23"/>
      <c r="KLH238" s="26"/>
      <c r="KLL238" s="23"/>
      <c r="KLQ238" s="26"/>
      <c r="KLU238" s="23"/>
      <c r="KLZ238" s="26"/>
      <c r="KMD238" s="23"/>
      <c r="KMI238" s="26"/>
      <c r="KMM238" s="23"/>
      <c r="KMR238" s="26"/>
      <c r="KMV238" s="23"/>
      <c r="KNA238" s="26"/>
      <c r="KNE238" s="23"/>
      <c r="KNJ238" s="26"/>
      <c r="KNN238" s="23"/>
      <c r="KNS238" s="26"/>
      <c r="KNW238" s="23"/>
      <c r="KOB238" s="26"/>
      <c r="KOF238" s="23"/>
      <c r="KOK238" s="26"/>
      <c r="KOO238" s="23"/>
      <c r="KOT238" s="26"/>
      <c r="KOX238" s="23"/>
      <c r="KPC238" s="26"/>
      <c r="KPG238" s="23"/>
      <c r="KPL238" s="26"/>
      <c r="KPP238" s="23"/>
      <c r="KPU238" s="26"/>
      <c r="KPY238" s="23"/>
      <c r="KQD238" s="26"/>
      <c r="KQH238" s="23"/>
      <c r="KQM238" s="26"/>
      <c r="KQQ238" s="23"/>
      <c r="KQV238" s="26"/>
      <c r="KQZ238" s="23"/>
      <c r="KRE238" s="26"/>
      <c r="KRI238" s="23"/>
      <c r="KRN238" s="26"/>
      <c r="KRR238" s="23"/>
      <c r="KRW238" s="26"/>
      <c r="KSA238" s="23"/>
      <c r="KSF238" s="26"/>
      <c r="KSJ238" s="23"/>
      <c r="KSO238" s="26"/>
      <c r="KSS238" s="23"/>
      <c r="KSX238" s="26"/>
      <c r="KTB238" s="23"/>
      <c r="KTG238" s="26"/>
      <c r="KTK238" s="23"/>
      <c r="KTP238" s="26"/>
      <c r="KTT238" s="23"/>
      <c r="KTY238" s="26"/>
      <c r="KUC238" s="23"/>
      <c r="KUH238" s="26"/>
      <c r="KUL238" s="23"/>
      <c r="KUQ238" s="26"/>
      <c r="KUU238" s="23"/>
      <c r="KUZ238" s="26"/>
      <c r="KVD238" s="23"/>
      <c r="KVI238" s="26"/>
      <c r="KVM238" s="23"/>
      <c r="KVR238" s="26"/>
      <c r="KVV238" s="23"/>
      <c r="KWA238" s="26"/>
      <c r="KWE238" s="23"/>
      <c r="KWJ238" s="26"/>
      <c r="KWN238" s="23"/>
      <c r="KWS238" s="26"/>
      <c r="KWW238" s="23"/>
      <c r="KXB238" s="26"/>
      <c r="KXF238" s="23"/>
      <c r="KXK238" s="26"/>
      <c r="KXO238" s="23"/>
      <c r="KXT238" s="26"/>
      <c r="KXX238" s="23"/>
      <c r="KYC238" s="26"/>
      <c r="KYG238" s="23"/>
      <c r="KYL238" s="26"/>
      <c r="KYP238" s="23"/>
      <c r="KYU238" s="26"/>
      <c r="KYY238" s="23"/>
      <c r="KZD238" s="26"/>
      <c r="KZH238" s="23"/>
      <c r="KZM238" s="26"/>
      <c r="KZQ238" s="23"/>
      <c r="KZV238" s="26"/>
      <c r="KZZ238" s="23"/>
      <c r="LAE238" s="26"/>
      <c r="LAI238" s="23"/>
      <c r="LAN238" s="26"/>
      <c r="LAR238" s="23"/>
      <c r="LAW238" s="26"/>
      <c r="LBA238" s="23"/>
      <c r="LBF238" s="26"/>
      <c r="LBJ238" s="23"/>
      <c r="LBO238" s="26"/>
      <c r="LBS238" s="23"/>
      <c r="LBX238" s="26"/>
      <c r="LCB238" s="23"/>
      <c r="LCG238" s="26"/>
      <c r="LCK238" s="23"/>
      <c r="LCP238" s="26"/>
      <c r="LCT238" s="23"/>
      <c r="LCY238" s="26"/>
      <c r="LDC238" s="23"/>
      <c r="LDH238" s="26"/>
      <c r="LDL238" s="23"/>
      <c r="LDQ238" s="26"/>
      <c r="LDU238" s="23"/>
      <c r="LDZ238" s="26"/>
      <c r="LED238" s="23"/>
      <c r="LEI238" s="26"/>
      <c r="LEM238" s="23"/>
      <c r="LER238" s="26"/>
      <c r="LEV238" s="23"/>
      <c r="LFA238" s="26"/>
      <c r="LFE238" s="23"/>
      <c r="LFJ238" s="26"/>
      <c r="LFN238" s="23"/>
      <c r="LFS238" s="26"/>
      <c r="LFW238" s="23"/>
      <c r="LGB238" s="26"/>
      <c r="LGF238" s="23"/>
      <c r="LGK238" s="26"/>
      <c r="LGO238" s="23"/>
      <c r="LGT238" s="26"/>
      <c r="LGX238" s="23"/>
      <c r="LHC238" s="26"/>
      <c r="LHG238" s="23"/>
      <c r="LHL238" s="26"/>
      <c r="LHP238" s="23"/>
      <c r="LHU238" s="26"/>
      <c r="LHY238" s="23"/>
      <c r="LID238" s="26"/>
      <c r="LIH238" s="23"/>
      <c r="LIM238" s="26"/>
      <c r="LIQ238" s="23"/>
      <c r="LIV238" s="26"/>
      <c r="LIZ238" s="23"/>
      <c r="LJE238" s="26"/>
      <c r="LJI238" s="23"/>
      <c r="LJN238" s="26"/>
      <c r="LJR238" s="23"/>
      <c r="LJW238" s="26"/>
      <c r="LKA238" s="23"/>
      <c r="LKF238" s="26"/>
      <c r="LKJ238" s="23"/>
      <c r="LKO238" s="26"/>
      <c r="LKS238" s="23"/>
      <c r="LKX238" s="26"/>
      <c r="LLB238" s="23"/>
      <c r="LLG238" s="26"/>
      <c r="LLK238" s="23"/>
      <c r="LLP238" s="26"/>
      <c r="LLT238" s="23"/>
      <c r="LLY238" s="26"/>
      <c r="LMC238" s="23"/>
      <c r="LMH238" s="26"/>
      <c r="LML238" s="23"/>
      <c r="LMQ238" s="26"/>
      <c r="LMU238" s="23"/>
      <c r="LMZ238" s="26"/>
      <c r="LND238" s="23"/>
      <c r="LNI238" s="26"/>
      <c r="LNM238" s="23"/>
      <c r="LNR238" s="26"/>
      <c r="LNV238" s="23"/>
      <c r="LOA238" s="26"/>
      <c r="LOE238" s="23"/>
      <c r="LOJ238" s="26"/>
      <c r="LON238" s="23"/>
      <c r="LOS238" s="26"/>
      <c r="LOW238" s="23"/>
      <c r="LPB238" s="26"/>
      <c r="LPF238" s="23"/>
      <c r="LPK238" s="26"/>
      <c r="LPO238" s="23"/>
      <c r="LPT238" s="26"/>
      <c r="LPX238" s="23"/>
      <c r="LQC238" s="26"/>
      <c r="LQG238" s="23"/>
      <c r="LQL238" s="26"/>
      <c r="LQP238" s="23"/>
      <c r="LQU238" s="26"/>
      <c r="LQY238" s="23"/>
      <c r="LRD238" s="26"/>
      <c r="LRH238" s="23"/>
      <c r="LRM238" s="26"/>
      <c r="LRQ238" s="23"/>
      <c r="LRV238" s="26"/>
      <c r="LRZ238" s="23"/>
      <c r="LSE238" s="26"/>
      <c r="LSI238" s="23"/>
      <c r="LSN238" s="26"/>
      <c r="LSR238" s="23"/>
      <c r="LSW238" s="26"/>
      <c r="LTA238" s="23"/>
      <c r="LTF238" s="26"/>
      <c r="LTJ238" s="23"/>
      <c r="LTO238" s="26"/>
      <c r="LTS238" s="23"/>
      <c r="LTX238" s="26"/>
      <c r="LUB238" s="23"/>
      <c r="LUG238" s="26"/>
      <c r="LUK238" s="23"/>
      <c r="LUP238" s="26"/>
      <c r="LUT238" s="23"/>
      <c r="LUY238" s="26"/>
      <c r="LVC238" s="23"/>
      <c r="LVH238" s="26"/>
      <c r="LVL238" s="23"/>
      <c r="LVQ238" s="26"/>
      <c r="LVU238" s="23"/>
      <c r="LVZ238" s="26"/>
      <c r="LWD238" s="23"/>
      <c r="LWI238" s="26"/>
      <c r="LWM238" s="23"/>
      <c r="LWR238" s="26"/>
      <c r="LWV238" s="23"/>
      <c r="LXA238" s="26"/>
      <c r="LXE238" s="23"/>
      <c r="LXJ238" s="26"/>
      <c r="LXN238" s="23"/>
      <c r="LXS238" s="26"/>
      <c r="LXW238" s="23"/>
      <c r="LYB238" s="26"/>
      <c r="LYF238" s="23"/>
      <c r="LYK238" s="26"/>
      <c r="LYO238" s="23"/>
      <c r="LYT238" s="26"/>
      <c r="LYX238" s="23"/>
      <c r="LZC238" s="26"/>
      <c r="LZG238" s="23"/>
      <c r="LZL238" s="26"/>
      <c r="LZP238" s="23"/>
      <c r="LZU238" s="26"/>
      <c r="LZY238" s="23"/>
      <c r="MAD238" s="26"/>
      <c r="MAH238" s="23"/>
      <c r="MAM238" s="26"/>
      <c r="MAQ238" s="23"/>
      <c r="MAV238" s="26"/>
      <c r="MAZ238" s="23"/>
      <c r="MBE238" s="26"/>
      <c r="MBI238" s="23"/>
      <c r="MBN238" s="26"/>
      <c r="MBR238" s="23"/>
      <c r="MBW238" s="26"/>
      <c r="MCA238" s="23"/>
      <c r="MCF238" s="26"/>
      <c r="MCJ238" s="23"/>
      <c r="MCO238" s="26"/>
      <c r="MCS238" s="23"/>
      <c r="MCX238" s="26"/>
      <c r="MDB238" s="23"/>
      <c r="MDG238" s="26"/>
      <c r="MDK238" s="23"/>
      <c r="MDP238" s="26"/>
      <c r="MDT238" s="23"/>
      <c r="MDY238" s="26"/>
      <c r="MEC238" s="23"/>
      <c r="MEH238" s="26"/>
      <c r="MEL238" s="23"/>
      <c r="MEQ238" s="26"/>
      <c r="MEU238" s="23"/>
      <c r="MEZ238" s="26"/>
      <c r="MFD238" s="23"/>
      <c r="MFI238" s="26"/>
      <c r="MFM238" s="23"/>
      <c r="MFR238" s="26"/>
      <c r="MFV238" s="23"/>
      <c r="MGA238" s="26"/>
      <c r="MGE238" s="23"/>
      <c r="MGJ238" s="26"/>
      <c r="MGN238" s="23"/>
      <c r="MGS238" s="26"/>
      <c r="MGW238" s="23"/>
      <c r="MHB238" s="26"/>
      <c r="MHF238" s="23"/>
      <c r="MHK238" s="26"/>
      <c r="MHO238" s="23"/>
      <c r="MHT238" s="26"/>
      <c r="MHX238" s="23"/>
      <c r="MIC238" s="26"/>
      <c r="MIG238" s="23"/>
      <c r="MIL238" s="26"/>
      <c r="MIP238" s="23"/>
      <c r="MIU238" s="26"/>
      <c r="MIY238" s="23"/>
      <c r="MJD238" s="26"/>
      <c r="MJH238" s="23"/>
      <c r="MJM238" s="26"/>
      <c r="MJQ238" s="23"/>
      <c r="MJV238" s="26"/>
      <c r="MJZ238" s="23"/>
      <c r="MKE238" s="26"/>
      <c r="MKI238" s="23"/>
      <c r="MKN238" s="26"/>
      <c r="MKR238" s="23"/>
      <c r="MKW238" s="26"/>
      <c r="MLA238" s="23"/>
      <c r="MLF238" s="26"/>
      <c r="MLJ238" s="23"/>
      <c r="MLO238" s="26"/>
      <c r="MLS238" s="23"/>
      <c r="MLX238" s="26"/>
      <c r="MMB238" s="23"/>
      <c r="MMG238" s="26"/>
      <c r="MMK238" s="23"/>
      <c r="MMP238" s="26"/>
      <c r="MMT238" s="23"/>
      <c r="MMY238" s="26"/>
      <c r="MNC238" s="23"/>
      <c r="MNH238" s="26"/>
      <c r="MNL238" s="23"/>
      <c r="MNQ238" s="26"/>
      <c r="MNU238" s="23"/>
      <c r="MNZ238" s="26"/>
      <c r="MOD238" s="23"/>
      <c r="MOI238" s="26"/>
      <c r="MOM238" s="23"/>
      <c r="MOR238" s="26"/>
      <c r="MOV238" s="23"/>
      <c r="MPA238" s="26"/>
      <c r="MPE238" s="23"/>
      <c r="MPJ238" s="26"/>
      <c r="MPN238" s="23"/>
      <c r="MPS238" s="26"/>
      <c r="MPW238" s="23"/>
      <c r="MQB238" s="26"/>
      <c r="MQF238" s="23"/>
      <c r="MQK238" s="26"/>
      <c r="MQO238" s="23"/>
      <c r="MQT238" s="26"/>
      <c r="MQX238" s="23"/>
      <c r="MRC238" s="26"/>
      <c r="MRG238" s="23"/>
      <c r="MRL238" s="26"/>
      <c r="MRP238" s="23"/>
      <c r="MRU238" s="26"/>
      <c r="MRY238" s="23"/>
      <c r="MSD238" s="26"/>
      <c r="MSH238" s="23"/>
      <c r="MSM238" s="26"/>
      <c r="MSQ238" s="23"/>
      <c r="MSV238" s="26"/>
      <c r="MSZ238" s="23"/>
      <c r="MTE238" s="26"/>
      <c r="MTI238" s="23"/>
      <c r="MTN238" s="26"/>
      <c r="MTR238" s="23"/>
      <c r="MTW238" s="26"/>
      <c r="MUA238" s="23"/>
      <c r="MUF238" s="26"/>
      <c r="MUJ238" s="23"/>
      <c r="MUO238" s="26"/>
      <c r="MUS238" s="23"/>
      <c r="MUX238" s="26"/>
      <c r="MVB238" s="23"/>
      <c r="MVG238" s="26"/>
      <c r="MVK238" s="23"/>
      <c r="MVP238" s="26"/>
      <c r="MVT238" s="23"/>
      <c r="MVY238" s="26"/>
      <c r="MWC238" s="23"/>
      <c r="MWH238" s="26"/>
      <c r="MWL238" s="23"/>
      <c r="MWQ238" s="26"/>
      <c r="MWU238" s="23"/>
      <c r="MWZ238" s="26"/>
      <c r="MXD238" s="23"/>
      <c r="MXI238" s="26"/>
      <c r="MXM238" s="23"/>
      <c r="MXR238" s="26"/>
      <c r="MXV238" s="23"/>
      <c r="MYA238" s="26"/>
      <c r="MYE238" s="23"/>
      <c r="MYJ238" s="26"/>
      <c r="MYN238" s="23"/>
      <c r="MYS238" s="26"/>
      <c r="MYW238" s="23"/>
      <c r="MZB238" s="26"/>
      <c r="MZF238" s="23"/>
      <c r="MZK238" s="26"/>
      <c r="MZO238" s="23"/>
      <c r="MZT238" s="26"/>
      <c r="MZX238" s="23"/>
      <c r="NAC238" s="26"/>
      <c r="NAG238" s="23"/>
      <c r="NAL238" s="26"/>
      <c r="NAP238" s="23"/>
      <c r="NAU238" s="26"/>
      <c r="NAY238" s="23"/>
      <c r="NBD238" s="26"/>
      <c r="NBH238" s="23"/>
      <c r="NBM238" s="26"/>
      <c r="NBQ238" s="23"/>
      <c r="NBV238" s="26"/>
      <c r="NBZ238" s="23"/>
      <c r="NCE238" s="26"/>
      <c r="NCI238" s="23"/>
      <c r="NCN238" s="26"/>
      <c r="NCR238" s="23"/>
      <c r="NCW238" s="26"/>
      <c r="NDA238" s="23"/>
      <c r="NDF238" s="26"/>
      <c r="NDJ238" s="23"/>
      <c r="NDO238" s="26"/>
      <c r="NDS238" s="23"/>
      <c r="NDX238" s="26"/>
      <c r="NEB238" s="23"/>
      <c r="NEG238" s="26"/>
      <c r="NEK238" s="23"/>
      <c r="NEP238" s="26"/>
      <c r="NET238" s="23"/>
      <c r="NEY238" s="26"/>
      <c r="NFC238" s="23"/>
      <c r="NFH238" s="26"/>
      <c r="NFL238" s="23"/>
      <c r="NFQ238" s="26"/>
      <c r="NFU238" s="23"/>
      <c r="NFZ238" s="26"/>
      <c r="NGD238" s="23"/>
      <c r="NGI238" s="26"/>
      <c r="NGM238" s="23"/>
      <c r="NGR238" s="26"/>
      <c r="NGV238" s="23"/>
      <c r="NHA238" s="26"/>
      <c r="NHE238" s="23"/>
      <c r="NHJ238" s="26"/>
      <c r="NHN238" s="23"/>
      <c r="NHS238" s="26"/>
      <c r="NHW238" s="23"/>
      <c r="NIB238" s="26"/>
      <c r="NIF238" s="23"/>
      <c r="NIK238" s="26"/>
      <c r="NIO238" s="23"/>
      <c r="NIT238" s="26"/>
      <c r="NIX238" s="23"/>
      <c r="NJC238" s="26"/>
      <c r="NJG238" s="23"/>
      <c r="NJL238" s="26"/>
      <c r="NJP238" s="23"/>
      <c r="NJU238" s="26"/>
      <c r="NJY238" s="23"/>
      <c r="NKD238" s="26"/>
      <c r="NKH238" s="23"/>
      <c r="NKM238" s="26"/>
      <c r="NKQ238" s="23"/>
      <c r="NKV238" s="26"/>
      <c r="NKZ238" s="23"/>
      <c r="NLE238" s="26"/>
      <c r="NLI238" s="23"/>
      <c r="NLN238" s="26"/>
      <c r="NLR238" s="23"/>
      <c r="NLW238" s="26"/>
      <c r="NMA238" s="23"/>
      <c r="NMF238" s="26"/>
      <c r="NMJ238" s="23"/>
      <c r="NMO238" s="26"/>
      <c r="NMS238" s="23"/>
      <c r="NMX238" s="26"/>
      <c r="NNB238" s="23"/>
      <c r="NNG238" s="26"/>
      <c r="NNK238" s="23"/>
      <c r="NNP238" s="26"/>
      <c r="NNT238" s="23"/>
      <c r="NNY238" s="26"/>
      <c r="NOC238" s="23"/>
      <c r="NOH238" s="26"/>
      <c r="NOL238" s="23"/>
      <c r="NOQ238" s="26"/>
      <c r="NOU238" s="23"/>
      <c r="NOZ238" s="26"/>
      <c r="NPD238" s="23"/>
      <c r="NPI238" s="26"/>
      <c r="NPM238" s="23"/>
      <c r="NPR238" s="26"/>
      <c r="NPV238" s="23"/>
      <c r="NQA238" s="26"/>
      <c r="NQE238" s="23"/>
      <c r="NQJ238" s="26"/>
      <c r="NQN238" s="23"/>
      <c r="NQS238" s="26"/>
      <c r="NQW238" s="23"/>
      <c r="NRB238" s="26"/>
      <c r="NRF238" s="23"/>
      <c r="NRK238" s="26"/>
      <c r="NRO238" s="23"/>
      <c r="NRT238" s="26"/>
      <c r="NRX238" s="23"/>
      <c r="NSC238" s="26"/>
      <c r="NSG238" s="23"/>
      <c r="NSL238" s="26"/>
      <c r="NSP238" s="23"/>
      <c r="NSU238" s="26"/>
      <c r="NSY238" s="23"/>
      <c r="NTD238" s="26"/>
      <c r="NTH238" s="23"/>
      <c r="NTM238" s="26"/>
      <c r="NTQ238" s="23"/>
      <c r="NTV238" s="26"/>
      <c r="NTZ238" s="23"/>
      <c r="NUE238" s="26"/>
      <c r="NUI238" s="23"/>
      <c r="NUN238" s="26"/>
      <c r="NUR238" s="23"/>
      <c r="NUW238" s="26"/>
      <c r="NVA238" s="23"/>
      <c r="NVF238" s="26"/>
      <c r="NVJ238" s="23"/>
      <c r="NVO238" s="26"/>
      <c r="NVS238" s="23"/>
      <c r="NVX238" s="26"/>
      <c r="NWB238" s="23"/>
      <c r="NWG238" s="26"/>
      <c r="NWK238" s="23"/>
      <c r="NWP238" s="26"/>
      <c r="NWT238" s="23"/>
      <c r="NWY238" s="26"/>
      <c r="NXC238" s="23"/>
      <c r="NXH238" s="26"/>
      <c r="NXL238" s="23"/>
      <c r="NXQ238" s="26"/>
      <c r="NXU238" s="23"/>
      <c r="NXZ238" s="26"/>
      <c r="NYD238" s="23"/>
      <c r="NYI238" s="26"/>
      <c r="NYM238" s="23"/>
      <c r="NYR238" s="26"/>
      <c r="NYV238" s="23"/>
      <c r="NZA238" s="26"/>
      <c r="NZE238" s="23"/>
      <c r="NZJ238" s="26"/>
      <c r="NZN238" s="23"/>
      <c r="NZS238" s="26"/>
      <c r="NZW238" s="23"/>
      <c r="OAB238" s="26"/>
      <c r="OAF238" s="23"/>
      <c r="OAK238" s="26"/>
      <c r="OAO238" s="23"/>
      <c r="OAT238" s="26"/>
      <c r="OAX238" s="23"/>
      <c r="OBC238" s="26"/>
      <c r="OBG238" s="23"/>
      <c r="OBL238" s="26"/>
      <c r="OBP238" s="23"/>
      <c r="OBU238" s="26"/>
      <c r="OBY238" s="23"/>
      <c r="OCD238" s="26"/>
      <c r="OCH238" s="23"/>
      <c r="OCM238" s="26"/>
      <c r="OCQ238" s="23"/>
      <c r="OCV238" s="26"/>
      <c r="OCZ238" s="23"/>
      <c r="ODE238" s="26"/>
      <c r="ODI238" s="23"/>
      <c r="ODN238" s="26"/>
      <c r="ODR238" s="23"/>
      <c r="ODW238" s="26"/>
      <c r="OEA238" s="23"/>
      <c r="OEF238" s="26"/>
      <c r="OEJ238" s="23"/>
      <c r="OEO238" s="26"/>
      <c r="OES238" s="23"/>
      <c r="OEX238" s="26"/>
      <c r="OFB238" s="23"/>
      <c r="OFG238" s="26"/>
      <c r="OFK238" s="23"/>
      <c r="OFP238" s="26"/>
      <c r="OFT238" s="23"/>
      <c r="OFY238" s="26"/>
      <c r="OGC238" s="23"/>
      <c r="OGH238" s="26"/>
      <c r="OGL238" s="23"/>
      <c r="OGQ238" s="26"/>
      <c r="OGU238" s="23"/>
      <c r="OGZ238" s="26"/>
      <c r="OHD238" s="23"/>
      <c r="OHI238" s="26"/>
      <c r="OHM238" s="23"/>
      <c r="OHR238" s="26"/>
      <c r="OHV238" s="23"/>
      <c r="OIA238" s="26"/>
      <c r="OIE238" s="23"/>
      <c r="OIJ238" s="26"/>
      <c r="OIN238" s="23"/>
      <c r="OIS238" s="26"/>
      <c r="OIW238" s="23"/>
      <c r="OJB238" s="26"/>
      <c r="OJF238" s="23"/>
      <c r="OJK238" s="26"/>
      <c r="OJO238" s="23"/>
      <c r="OJT238" s="26"/>
      <c r="OJX238" s="23"/>
      <c r="OKC238" s="26"/>
      <c r="OKG238" s="23"/>
      <c r="OKL238" s="26"/>
      <c r="OKP238" s="23"/>
      <c r="OKU238" s="26"/>
      <c r="OKY238" s="23"/>
      <c r="OLD238" s="26"/>
      <c r="OLH238" s="23"/>
      <c r="OLM238" s="26"/>
      <c r="OLQ238" s="23"/>
      <c r="OLV238" s="26"/>
      <c r="OLZ238" s="23"/>
      <c r="OME238" s="26"/>
      <c r="OMI238" s="23"/>
      <c r="OMN238" s="26"/>
      <c r="OMR238" s="23"/>
      <c r="OMW238" s="26"/>
      <c r="ONA238" s="23"/>
      <c r="ONF238" s="26"/>
      <c r="ONJ238" s="23"/>
      <c r="ONO238" s="26"/>
      <c r="ONS238" s="23"/>
      <c r="ONX238" s="26"/>
      <c r="OOB238" s="23"/>
      <c r="OOG238" s="26"/>
      <c r="OOK238" s="23"/>
      <c r="OOP238" s="26"/>
      <c r="OOT238" s="23"/>
      <c r="OOY238" s="26"/>
      <c r="OPC238" s="23"/>
      <c r="OPH238" s="26"/>
      <c r="OPL238" s="23"/>
      <c r="OPQ238" s="26"/>
      <c r="OPU238" s="23"/>
      <c r="OPZ238" s="26"/>
      <c r="OQD238" s="23"/>
      <c r="OQI238" s="26"/>
      <c r="OQM238" s="23"/>
      <c r="OQR238" s="26"/>
      <c r="OQV238" s="23"/>
      <c r="ORA238" s="26"/>
      <c r="ORE238" s="23"/>
      <c r="ORJ238" s="26"/>
      <c r="ORN238" s="23"/>
      <c r="ORS238" s="26"/>
      <c r="ORW238" s="23"/>
      <c r="OSB238" s="26"/>
      <c r="OSF238" s="23"/>
      <c r="OSK238" s="26"/>
      <c r="OSO238" s="23"/>
      <c r="OST238" s="26"/>
      <c r="OSX238" s="23"/>
      <c r="OTC238" s="26"/>
      <c r="OTG238" s="23"/>
      <c r="OTL238" s="26"/>
      <c r="OTP238" s="23"/>
      <c r="OTU238" s="26"/>
      <c r="OTY238" s="23"/>
      <c r="OUD238" s="26"/>
      <c r="OUH238" s="23"/>
      <c r="OUM238" s="26"/>
      <c r="OUQ238" s="23"/>
      <c r="OUV238" s="26"/>
      <c r="OUZ238" s="23"/>
      <c r="OVE238" s="26"/>
      <c r="OVI238" s="23"/>
      <c r="OVN238" s="26"/>
      <c r="OVR238" s="23"/>
      <c r="OVW238" s="26"/>
      <c r="OWA238" s="23"/>
      <c r="OWF238" s="26"/>
      <c r="OWJ238" s="23"/>
      <c r="OWO238" s="26"/>
      <c r="OWS238" s="23"/>
      <c r="OWX238" s="26"/>
      <c r="OXB238" s="23"/>
      <c r="OXG238" s="26"/>
      <c r="OXK238" s="23"/>
      <c r="OXP238" s="26"/>
      <c r="OXT238" s="23"/>
      <c r="OXY238" s="26"/>
      <c r="OYC238" s="23"/>
      <c r="OYH238" s="26"/>
      <c r="OYL238" s="23"/>
      <c r="OYQ238" s="26"/>
      <c r="OYU238" s="23"/>
      <c r="OYZ238" s="26"/>
      <c r="OZD238" s="23"/>
      <c r="OZI238" s="26"/>
      <c r="OZM238" s="23"/>
      <c r="OZR238" s="26"/>
      <c r="OZV238" s="23"/>
      <c r="PAA238" s="26"/>
      <c r="PAE238" s="23"/>
      <c r="PAJ238" s="26"/>
      <c r="PAN238" s="23"/>
      <c r="PAS238" s="26"/>
      <c r="PAW238" s="23"/>
      <c r="PBB238" s="26"/>
      <c r="PBF238" s="23"/>
      <c r="PBK238" s="26"/>
      <c r="PBO238" s="23"/>
      <c r="PBT238" s="26"/>
      <c r="PBX238" s="23"/>
      <c r="PCC238" s="26"/>
      <c r="PCG238" s="23"/>
      <c r="PCL238" s="26"/>
      <c r="PCP238" s="23"/>
      <c r="PCU238" s="26"/>
      <c r="PCY238" s="23"/>
      <c r="PDD238" s="26"/>
      <c r="PDH238" s="23"/>
      <c r="PDM238" s="26"/>
      <c r="PDQ238" s="23"/>
      <c r="PDV238" s="26"/>
      <c r="PDZ238" s="23"/>
      <c r="PEE238" s="26"/>
      <c r="PEI238" s="23"/>
      <c r="PEN238" s="26"/>
      <c r="PER238" s="23"/>
      <c r="PEW238" s="26"/>
      <c r="PFA238" s="23"/>
      <c r="PFF238" s="26"/>
      <c r="PFJ238" s="23"/>
      <c r="PFO238" s="26"/>
      <c r="PFS238" s="23"/>
      <c r="PFX238" s="26"/>
      <c r="PGB238" s="23"/>
      <c r="PGG238" s="26"/>
      <c r="PGK238" s="23"/>
      <c r="PGP238" s="26"/>
      <c r="PGT238" s="23"/>
      <c r="PGY238" s="26"/>
      <c r="PHC238" s="23"/>
      <c r="PHH238" s="26"/>
      <c r="PHL238" s="23"/>
      <c r="PHQ238" s="26"/>
      <c r="PHU238" s="23"/>
      <c r="PHZ238" s="26"/>
      <c r="PID238" s="23"/>
      <c r="PII238" s="26"/>
      <c r="PIM238" s="23"/>
      <c r="PIR238" s="26"/>
      <c r="PIV238" s="23"/>
      <c r="PJA238" s="26"/>
      <c r="PJE238" s="23"/>
      <c r="PJJ238" s="26"/>
      <c r="PJN238" s="23"/>
      <c r="PJS238" s="26"/>
      <c r="PJW238" s="23"/>
      <c r="PKB238" s="26"/>
      <c r="PKF238" s="23"/>
      <c r="PKK238" s="26"/>
      <c r="PKO238" s="23"/>
      <c r="PKT238" s="26"/>
      <c r="PKX238" s="23"/>
      <c r="PLC238" s="26"/>
      <c r="PLG238" s="23"/>
      <c r="PLL238" s="26"/>
      <c r="PLP238" s="23"/>
      <c r="PLU238" s="26"/>
      <c r="PLY238" s="23"/>
      <c r="PMD238" s="26"/>
      <c r="PMH238" s="23"/>
      <c r="PMM238" s="26"/>
      <c r="PMQ238" s="23"/>
      <c r="PMV238" s="26"/>
      <c r="PMZ238" s="23"/>
      <c r="PNE238" s="26"/>
      <c r="PNI238" s="23"/>
      <c r="PNN238" s="26"/>
      <c r="PNR238" s="23"/>
      <c r="PNW238" s="26"/>
      <c r="POA238" s="23"/>
      <c r="POF238" s="26"/>
      <c r="POJ238" s="23"/>
      <c r="POO238" s="26"/>
      <c r="POS238" s="23"/>
      <c r="POX238" s="26"/>
      <c r="PPB238" s="23"/>
      <c r="PPG238" s="26"/>
      <c r="PPK238" s="23"/>
      <c r="PPP238" s="26"/>
      <c r="PPT238" s="23"/>
      <c r="PPY238" s="26"/>
      <c r="PQC238" s="23"/>
      <c r="PQH238" s="26"/>
      <c r="PQL238" s="23"/>
      <c r="PQQ238" s="26"/>
      <c r="PQU238" s="23"/>
      <c r="PQZ238" s="26"/>
      <c r="PRD238" s="23"/>
      <c r="PRI238" s="26"/>
      <c r="PRM238" s="23"/>
      <c r="PRR238" s="26"/>
      <c r="PRV238" s="23"/>
      <c r="PSA238" s="26"/>
      <c r="PSE238" s="23"/>
      <c r="PSJ238" s="26"/>
      <c r="PSN238" s="23"/>
      <c r="PSS238" s="26"/>
      <c r="PSW238" s="23"/>
      <c r="PTB238" s="26"/>
      <c r="PTF238" s="23"/>
      <c r="PTK238" s="26"/>
      <c r="PTO238" s="23"/>
      <c r="PTT238" s="26"/>
      <c r="PTX238" s="23"/>
      <c r="PUC238" s="26"/>
      <c r="PUG238" s="23"/>
      <c r="PUL238" s="26"/>
      <c r="PUP238" s="23"/>
      <c r="PUU238" s="26"/>
      <c r="PUY238" s="23"/>
      <c r="PVD238" s="26"/>
      <c r="PVH238" s="23"/>
      <c r="PVM238" s="26"/>
      <c r="PVQ238" s="23"/>
      <c r="PVV238" s="26"/>
      <c r="PVZ238" s="23"/>
      <c r="PWE238" s="26"/>
      <c r="PWI238" s="23"/>
      <c r="PWN238" s="26"/>
      <c r="PWR238" s="23"/>
      <c r="PWW238" s="26"/>
      <c r="PXA238" s="23"/>
      <c r="PXF238" s="26"/>
      <c r="PXJ238" s="23"/>
      <c r="PXO238" s="26"/>
      <c r="PXS238" s="23"/>
      <c r="PXX238" s="26"/>
      <c r="PYB238" s="23"/>
      <c r="PYG238" s="26"/>
      <c r="PYK238" s="23"/>
      <c r="PYP238" s="26"/>
      <c r="PYT238" s="23"/>
      <c r="PYY238" s="26"/>
      <c r="PZC238" s="23"/>
      <c r="PZH238" s="26"/>
      <c r="PZL238" s="23"/>
      <c r="PZQ238" s="26"/>
      <c r="PZU238" s="23"/>
      <c r="PZZ238" s="26"/>
      <c r="QAD238" s="23"/>
      <c r="QAI238" s="26"/>
      <c r="QAM238" s="23"/>
      <c r="QAR238" s="26"/>
      <c r="QAV238" s="23"/>
      <c r="QBA238" s="26"/>
      <c r="QBE238" s="23"/>
      <c r="QBJ238" s="26"/>
      <c r="QBN238" s="23"/>
      <c r="QBS238" s="26"/>
      <c r="QBW238" s="23"/>
      <c r="QCB238" s="26"/>
      <c r="QCF238" s="23"/>
      <c r="QCK238" s="26"/>
      <c r="QCO238" s="23"/>
      <c r="QCT238" s="26"/>
      <c r="QCX238" s="23"/>
      <c r="QDC238" s="26"/>
      <c r="QDG238" s="23"/>
      <c r="QDL238" s="26"/>
      <c r="QDP238" s="23"/>
      <c r="QDU238" s="26"/>
      <c r="QDY238" s="23"/>
      <c r="QED238" s="26"/>
      <c r="QEH238" s="23"/>
      <c r="QEM238" s="26"/>
      <c r="QEQ238" s="23"/>
      <c r="QEV238" s="26"/>
      <c r="QEZ238" s="23"/>
      <c r="QFE238" s="26"/>
      <c r="QFI238" s="23"/>
      <c r="QFN238" s="26"/>
      <c r="QFR238" s="23"/>
      <c r="QFW238" s="26"/>
      <c r="QGA238" s="23"/>
      <c r="QGF238" s="26"/>
      <c r="QGJ238" s="23"/>
      <c r="QGO238" s="26"/>
      <c r="QGS238" s="23"/>
      <c r="QGX238" s="26"/>
      <c r="QHB238" s="23"/>
      <c r="QHG238" s="26"/>
      <c r="QHK238" s="23"/>
      <c r="QHP238" s="26"/>
      <c r="QHT238" s="23"/>
      <c r="QHY238" s="26"/>
      <c r="QIC238" s="23"/>
      <c r="QIH238" s="26"/>
      <c r="QIL238" s="23"/>
      <c r="QIQ238" s="26"/>
      <c r="QIU238" s="23"/>
      <c r="QIZ238" s="26"/>
      <c r="QJD238" s="23"/>
      <c r="QJI238" s="26"/>
      <c r="QJM238" s="23"/>
      <c r="QJR238" s="26"/>
      <c r="QJV238" s="23"/>
      <c r="QKA238" s="26"/>
      <c r="QKE238" s="23"/>
      <c r="QKJ238" s="26"/>
      <c r="QKN238" s="23"/>
      <c r="QKS238" s="26"/>
      <c r="QKW238" s="23"/>
      <c r="QLB238" s="26"/>
      <c r="QLF238" s="23"/>
      <c r="QLK238" s="26"/>
      <c r="QLO238" s="23"/>
      <c r="QLT238" s="26"/>
      <c r="QLX238" s="23"/>
      <c r="QMC238" s="26"/>
      <c r="QMG238" s="23"/>
      <c r="QML238" s="26"/>
      <c r="QMP238" s="23"/>
      <c r="QMU238" s="26"/>
      <c r="QMY238" s="23"/>
      <c r="QND238" s="26"/>
      <c r="QNH238" s="23"/>
      <c r="QNM238" s="26"/>
      <c r="QNQ238" s="23"/>
      <c r="QNV238" s="26"/>
      <c r="QNZ238" s="23"/>
      <c r="QOE238" s="26"/>
      <c r="QOI238" s="23"/>
      <c r="QON238" s="26"/>
      <c r="QOR238" s="23"/>
      <c r="QOW238" s="26"/>
      <c r="QPA238" s="23"/>
      <c r="QPF238" s="26"/>
      <c r="QPJ238" s="23"/>
      <c r="QPO238" s="26"/>
      <c r="QPS238" s="23"/>
      <c r="QPX238" s="26"/>
      <c r="QQB238" s="23"/>
      <c r="QQG238" s="26"/>
      <c r="QQK238" s="23"/>
      <c r="QQP238" s="26"/>
      <c r="QQT238" s="23"/>
      <c r="QQY238" s="26"/>
      <c r="QRC238" s="23"/>
      <c r="QRH238" s="26"/>
      <c r="QRL238" s="23"/>
      <c r="QRQ238" s="26"/>
      <c r="QRU238" s="23"/>
      <c r="QRZ238" s="26"/>
      <c r="QSD238" s="23"/>
      <c r="QSI238" s="26"/>
      <c r="QSM238" s="23"/>
      <c r="QSR238" s="26"/>
      <c r="QSV238" s="23"/>
      <c r="QTA238" s="26"/>
      <c r="QTE238" s="23"/>
      <c r="QTJ238" s="26"/>
      <c r="QTN238" s="23"/>
      <c r="QTS238" s="26"/>
      <c r="QTW238" s="23"/>
      <c r="QUB238" s="26"/>
      <c r="QUF238" s="23"/>
      <c r="QUK238" s="26"/>
      <c r="QUO238" s="23"/>
      <c r="QUT238" s="26"/>
      <c r="QUX238" s="23"/>
      <c r="QVC238" s="26"/>
      <c r="QVG238" s="23"/>
      <c r="QVL238" s="26"/>
      <c r="QVP238" s="23"/>
      <c r="QVU238" s="26"/>
      <c r="QVY238" s="23"/>
      <c r="QWD238" s="26"/>
      <c r="QWH238" s="23"/>
      <c r="QWM238" s="26"/>
      <c r="QWQ238" s="23"/>
      <c r="QWV238" s="26"/>
      <c r="QWZ238" s="23"/>
      <c r="QXE238" s="26"/>
      <c r="QXI238" s="23"/>
      <c r="QXN238" s="26"/>
      <c r="QXR238" s="23"/>
      <c r="QXW238" s="26"/>
      <c r="QYA238" s="23"/>
      <c r="QYF238" s="26"/>
      <c r="QYJ238" s="23"/>
      <c r="QYO238" s="26"/>
      <c r="QYS238" s="23"/>
      <c r="QYX238" s="26"/>
      <c r="QZB238" s="23"/>
      <c r="QZG238" s="26"/>
      <c r="QZK238" s="23"/>
      <c r="QZP238" s="26"/>
      <c r="QZT238" s="23"/>
      <c r="QZY238" s="26"/>
      <c r="RAC238" s="23"/>
      <c r="RAH238" s="26"/>
      <c r="RAL238" s="23"/>
      <c r="RAQ238" s="26"/>
      <c r="RAU238" s="23"/>
      <c r="RAZ238" s="26"/>
      <c r="RBD238" s="23"/>
      <c r="RBI238" s="26"/>
      <c r="RBM238" s="23"/>
      <c r="RBR238" s="26"/>
      <c r="RBV238" s="23"/>
      <c r="RCA238" s="26"/>
      <c r="RCE238" s="23"/>
      <c r="RCJ238" s="26"/>
      <c r="RCN238" s="23"/>
      <c r="RCS238" s="26"/>
      <c r="RCW238" s="23"/>
      <c r="RDB238" s="26"/>
      <c r="RDF238" s="23"/>
      <c r="RDK238" s="26"/>
      <c r="RDO238" s="23"/>
      <c r="RDT238" s="26"/>
      <c r="RDX238" s="23"/>
      <c r="REC238" s="26"/>
      <c r="REG238" s="23"/>
      <c r="REL238" s="26"/>
      <c r="REP238" s="23"/>
      <c r="REU238" s="26"/>
      <c r="REY238" s="23"/>
      <c r="RFD238" s="26"/>
      <c r="RFH238" s="23"/>
      <c r="RFM238" s="26"/>
      <c r="RFQ238" s="23"/>
      <c r="RFV238" s="26"/>
      <c r="RFZ238" s="23"/>
      <c r="RGE238" s="26"/>
      <c r="RGI238" s="23"/>
      <c r="RGN238" s="26"/>
      <c r="RGR238" s="23"/>
      <c r="RGW238" s="26"/>
      <c r="RHA238" s="23"/>
      <c r="RHF238" s="26"/>
      <c r="RHJ238" s="23"/>
      <c r="RHO238" s="26"/>
      <c r="RHS238" s="23"/>
      <c r="RHX238" s="26"/>
      <c r="RIB238" s="23"/>
      <c r="RIG238" s="26"/>
      <c r="RIK238" s="23"/>
      <c r="RIP238" s="26"/>
      <c r="RIT238" s="23"/>
      <c r="RIY238" s="26"/>
      <c r="RJC238" s="23"/>
      <c r="RJH238" s="26"/>
      <c r="RJL238" s="23"/>
      <c r="RJQ238" s="26"/>
      <c r="RJU238" s="23"/>
      <c r="RJZ238" s="26"/>
      <c r="RKD238" s="23"/>
      <c r="RKI238" s="26"/>
      <c r="RKM238" s="23"/>
      <c r="RKR238" s="26"/>
      <c r="RKV238" s="23"/>
      <c r="RLA238" s="26"/>
      <c r="RLE238" s="23"/>
      <c r="RLJ238" s="26"/>
      <c r="RLN238" s="23"/>
      <c r="RLS238" s="26"/>
      <c r="RLW238" s="23"/>
      <c r="RMB238" s="26"/>
      <c r="RMF238" s="23"/>
      <c r="RMK238" s="26"/>
      <c r="RMO238" s="23"/>
      <c r="RMT238" s="26"/>
      <c r="RMX238" s="23"/>
      <c r="RNC238" s="26"/>
      <c r="RNG238" s="23"/>
      <c r="RNL238" s="26"/>
      <c r="RNP238" s="23"/>
      <c r="RNU238" s="26"/>
      <c r="RNY238" s="23"/>
      <c r="ROD238" s="26"/>
      <c r="ROH238" s="23"/>
      <c r="ROM238" s="26"/>
      <c r="ROQ238" s="23"/>
      <c r="ROV238" s="26"/>
      <c r="ROZ238" s="23"/>
      <c r="RPE238" s="26"/>
      <c r="RPI238" s="23"/>
      <c r="RPN238" s="26"/>
      <c r="RPR238" s="23"/>
      <c r="RPW238" s="26"/>
      <c r="RQA238" s="23"/>
      <c r="RQF238" s="26"/>
      <c r="RQJ238" s="23"/>
      <c r="RQO238" s="26"/>
      <c r="RQS238" s="23"/>
      <c r="RQX238" s="26"/>
      <c r="RRB238" s="23"/>
      <c r="RRG238" s="26"/>
      <c r="RRK238" s="23"/>
      <c r="RRP238" s="26"/>
      <c r="RRT238" s="23"/>
      <c r="RRY238" s="26"/>
      <c r="RSC238" s="23"/>
      <c r="RSH238" s="26"/>
      <c r="RSL238" s="23"/>
      <c r="RSQ238" s="26"/>
      <c r="RSU238" s="23"/>
      <c r="RSZ238" s="26"/>
      <c r="RTD238" s="23"/>
      <c r="RTI238" s="26"/>
      <c r="RTM238" s="23"/>
      <c r="RTR238" s="26"/>
      <c r="RTV238" s="23"/>
      <c r="RUA238" s="26"/>
      <c r="RUE238" s="23"/>
      <c r="RUJ238" s="26"/>
      <c r="RUN238" s="23"/>
      <c r="RUS238" s="26"/>
      <c r="RUW238" s="23"/>
      <c r="RVB238" s="26"/>
      <c r="RVF238" s="23"/>
      <c r="RVK238" s="26"/>
      <c r="RVO238" s="23"/>
      <c r="RVT238" s="26"/>
      <c r="RVX238" s="23"/>
      <c r="RWC238" s="26"/>
      <c r="RWG238" s="23"/>
      <c r="RWL238" s="26"/>
      <c r="RWP238" s="23"/>
      <c r="RWU238" s="26"/>
      <c r="RWY238" s="23"/>
      <c r="RXD238" s="26"/>
      <c r="RXH238" s="23"/>
      <c r="RXM238" s="26"/>
      <c r="RXQ238" s="23"/>
      <c r="RXV238" s="26"/>
      <c r="RXZ238" s="23"/>
      <c r="RYE238" s="26"/>
      <c r="RYI238" s="23"/>
      <c r="RYN238" s="26"/>
      <c r="RYR238" s="23"/>
      <c r="RYW238" s="26"/>
      <c r="RZA238" s="23"/>
      <c r="RZF238" s="26"/>
      <c r="RZJ238" s="23"/>
      <c r="RZO238" s="26"/>
      <c r="RZS238" s="23"/>
      <c r="RZX238" s="26"/>
      <c r="SAB238" s="23"/>
      <c r="SAG238" s="26"/>
      <c r="SAK238" s="23"/>
      <c r="SAP238" s="26"/>
      <c r="SAT238" s="23"/>
      <c r="SAY238" s="26"/>
      <c r="SBC238" s="23"/>
      <c r="SBH238" s="26"/>
      <c r="SBL238" s="23"/>
      <c r="SBQ238" s="26"/>
      <c r="SBU238" s="23"/>
      <c r="SBZ238" s="26"/>
      <c r="SCD238" s="23"/>
      <c r="SCI238" s="26"/>
      <c r="SCM238" s="23"/>
      <c r="SCR238" s="26"/>
      <c r="SCV238" s="23"/>
      <c r="SDA238" s="26"/>
      <c r="SDE238" s="23"/>
      <c r="SDJ238" s="26"/>
      <c r="SDN238" s="23"/>
      <c r="SDS238" s="26"/>
      <c r="SDW238" s="23"/>
      <c r="SEB238" s="26"/>
      <c r="SEF238" s="23"/>
      <c r="SEK238" s="26"/>
      <c r="SEO238" s="23"/>
      <c r="SET238" s="26"/>
      <c r="SEX238" s="23"/>
      <c r="SFC238" s="26"/>
      <c r="SFG238" s="23"/>
      <c r="SFL238" s="26"/>
      <c r="SFP238" s="23"/>
      <c r="SFU238" s="26"/>
      <c r="SFY238" s="23"/>
      <c r="SGD238" s="26"/>
      <c r="SGH238" s="23"/>
      <c r="SGM238" s="26"/>
      <c r="SGQ238" s="23"/>
      <c r="SGV238" s="26"/>
      <c r="SGZ238" s="23"/>
      <c r="SHE238" s="26"/>
      <c r="SHI238" s="23"/>
      <c r="SHN238" s="26"/>
      <c r="SHR238" s="23"/>
      <c r="SHW238" s="26"/>
      <c r="SIA238" s="23"/>
      <c r="SIF238" s="26"/>
      <c r="SIJ238" s="23"/>
      <c r="SIO238" s="26"/>
      <c r="SIS238" s="23"/>
      <c r="SIX238" s="26"/>
      <c r="SJB238" s="23"/>
      <c r="SJG238" s="26"/>
      <c r="SJK238" s="23"/>
      <c r="SJP238" s="26"/>
      <c r="SJT238" s="23"/>
      <c r="SJY238" s="26"/>
      <c r="SKC238" s="23"/>
      <c r="SKH238" s="26"/>
      <c r="SKL238" s="23"/>
      <c r="SKQ238" s="26"/>
      <c r="SKU238" s="23"/>
      <c r="SKZ238" s="26"/>
      <c r="SLD238" s="23"/>
      <c r="SLI238" s="26"/>
      <c r="SLM238" s="23"/>
      <c r="SLR238" s="26"/>
      <c r="SLV238" s="23"/>
      <c r="SMA238" s="26"/>
      <c r="SME238" s="23"/>
      <c r="SMJ238" s="26"/>
      <c r="SMN238" s="23"/>
      <c r="SMS238" s="26"/>
      <c r="SMW238" s="23"/>
      <c r="SNB238" s="26"/>
      <c r="SNF238" s="23"/>
      <c r="SNK238" s="26"/>
      <c r="SNO238" s="23"/>
      <c r="SNT238" s="26"/>
      <c r="SNX238" s="23"/>
      <c r="SOC238" s="26"/>
      <c r="SOG238" s="23"/>
      <c r="SOL238" s="26"/>
      <c r="SOP238" s="23"/>
      <c r="SOU238" s="26"/>
      <c r="SOY238" s="23"/>
      <c r="SPD238" s="26"/>
      <c r="SPH238" s="23"/>
      <c r="SPM238" s="26"/>
      <c r="SPQ238" s="23"/>
      <c r="SPV238" s="26"/>
      <c r="SPZ238" s="23"/>
      <c r="SQE238" s="26"/>
      <c r="SQI238" s="23"/>
      <c r="SQN238" s="26"/>
      <c r="SQR238" s="23"/>
      <c r="SQW238" s="26"/>
      <c r="SRA238" s="23"/>
      <c r="SRF238" s="26"/>
      <c r="SRJ238" s="23"/>
      <c r="SRO238" s="26"/>
      <c r="SRS238" s="23"/>
      <c r="SRX238" s="26"/>
      <c r="SSB238" s="23"/>
      <c r="SSG238" s="26"/>
      <c r="SSK238" s="23"/>
      <c r="SSP238" s="26"/>
      <c r="SST238" s="23"/>
      <c r="SSY238" s="26"/>
      <c r="STC238" s="23"/>
      <c r="STH238" s="26"/>
      <c r="STL238" s="23"/>
      <c r="STQ238" s="26"/>
      <c r="STU238" s="23"/>
      <c r="STZ238" s="26"/>
      <c r="SUD238" s="23"/>
      <c r="SUI238" s="26"/>
      <c r="SUM238" s="23"/>
      <c r="SUR238" s="26"/>
      <c r="SUV238" s="23"/>
      <c r="SVA238" s="26"/>
      <c r="SVE238" s="23"/>
      <c r="SVJ238" s="26"/>
      <c r="SVN238" s="23"/>
      <c r="SVS238" s="26"/>
      <c r="SVW238" s="23"/>
      <c r="SWB238" s="26"/>
      <c r="SWF238" s="23"/>
      <c r="SWK238" s="26"/>
      <c r="SWO238" s="23"/>
      <c r="SWT238" s="26"/>
      <c r="SWX238" s="23"/>
      <c r="SXC238" s="26"/>
      <c r="SXG238" s="23"/>
      <c r="SXL238" s="26"/>
      <c r="SXP238" s="23"/>
      <c r="SXU238" s="26"/>
      <c r="SXY238" s="23"/>
      <c r="SYD238" s="26"/>
      <c r="SYH238" s="23"/>
      <c r="SYM238" s="26"/>
      <c r="SYQ238" s="23"/>
      <c r="SYV238" s="26"/>
      <c r="SYZ238" s="23"/>
      <c r="SZE238" s="26"/>
      <c r="SZI238" s="23"/>
      <c r="SZN238" s="26"/>
      <c r="SZR238" s="23"/>
      <c r="SZW238" s="26"/>
      <c r="TAA238" s="23"/>
      <c r="TAF238" s="26"/>
      <c r="TAJ238" s="23"/>
      <c r="TAO238" s="26"/>
      <c r="TAS238" s="23"/>
      <c r="TAX238" s="26"/>
      <c r="TBB238" s="23"/>
      <c r="TBG238" s="26"/>
      <c r="TBK238" s="23"/>
      <c r="TBP238" s="26"/>
      <c r="TBT238" s="23"/>
      <c r="TBY238" s="26"/>
      <c r="TCC238" s="23"/>
      <c r="TCH238" s="26"/>
      <c r="TCL238" s="23"/>
      <c r="TCQ238" s="26"/>
      <c r="TCU238" s="23"/>
      <c r="TCZ238" s="26"/>
      <c r="TDD238" s="23"/>
      <c r="TDI238" s="26"/>
      <c r="TDM238" s="23"/>
      <c r="TDR238" s="26"/>
      <c r="TDV238" s="23"/>
      <c r="TEA238" s="26"/>
      <c r="TEE238" s="23"/>
      <c r="TEJ238" s="26"/>
      <c r="TEN238" s="23"/>
      <c r="TES238" s="26"/>
      <c r="TEW238" s="23"/>
      <c r="TFB238" s="26"/>
      <c r="TFF238" s="23"/>
      <c r="TFK238" s="26"/>
      <c r="TFO238" s="23"/>
      <c r="TFT238" s="26"/>
      <c r="TFX238" s="23"/>
      <c r="TGC238" s="26"/>
      <c r="TGG238" s="23"/>
      <c r="TGL238" s="26"/>
      <c r="TGP238" s="23"/>
      <c r="TGU238" s="26"/>
      <c r="TGY238" s="23"/>
      <c r="THD238" s="26"/>
      <c r="THH238" s="23"/>
      <c r="THM238" s="26"/>
      <c r="THQ238" s="23"/>
      <c r="THV238" s="26"/>
      <c r="THZ238" s="23"/>
      <c r="TIE238" s="26"/>
      <c r="TII238" s="23"/>
      <c r="TIN238" s="26"/>
      <c r="TIR238" s="23"/>
      <c r="TIW238" s="26"/>
      <c r="TJA238" s="23"/>
      <c r="TJF238" s="26"/>
      <c r="TJJ238" s="23"/>
      <c r="TJO238" s="26"/>
      <c r="TJS238" s="23"/>
      <c r="TJX238" s="26"/>
      <c r="TKB238" s="23"/>
      <c r="TKG238" s="26"/>
      <c r="TKK238" s="23"/>
      <c r="TKP238" s="26"/>
      <c r="TKT238" s="23"/>
      <c r="TKY238" s="26"/>
      <c r="TLC238" s="23"/>
      <c r="TLH238" s="26"/>
      <c r="TLL238" s="23"/>
      <c r="TLQ238" s="26"/>
      <c r="TLU238" s="23"/>
      <c r="TLZ238" s="26"/>
      <c r="TMD238" s="23"/>
      <c r="TMI238" s="26"/>
      <c r="TMM238" s="23"/>
      <c r="TMR238" s="26"/>
      <c r="TMV238" s="23"/>
      <c r="TNA238" s="26"/>
      <c r="TNE238" s="23"/>
      <c r="TNJ238" s="26"/>
      <c r="TNN238" s="23"/>
      <c r="TNS238" s="26"/>
      <c r="TNW238" s="23"/>
      <c r="TOB238" s="26"/>
      <c r="TOF238" s="23"/>
      <c r="TOK238" s="26"/>
      <c r="TOO238" s="23"/>
      <c r="TOT238" s="26"/>
      <c r="TOX238" s="23"/>
      <c r="TPC238" s="26"/>
      <c r="TPG238" s="23"/>
      <c r="TPL238" s="26"/>
      <c r="TPP238" s="23"/>
      <c r="TPU238" s="26"/>
      <c r="TPY238" s="23"/>
      <c r="TQD238" s="26"/>
      <c r="TQH238" s="23"/>
      <c r="TQM238" s="26"/>
      <c r="TQQ238" s="23"/>
      <c r="TQV238" s="26"/>
      <c r="TQZ238" s="23"/>
      <c r="TRE238" s="26"/>
      <c r="TRI238" s="23"/>
      <c r="TRN238" s="26"/>
      <c r="TRR238" s="23"/>
      <c r="TRW238" s="26"/>
      <c r="TSA238" s="23"/>
      <c r="TSF238" s="26"/>
      <c r="TSJ238" s="23"/>
      <c r="TSO238" s="26"/>
      <c r="TSS238" s="23"/>
      <c r="TSX238" s="26"/>
      <c r="TTB238" s="23"/>
      <c r="TTG238" s="26"/>
      <c r="TTK238" s="23"/>
      <c r="TTP238" s="26"/>
      <c r="TTT238" s="23"/>
      <c r="TTY238" s="26"/>
      <c r="TUC238" s="23"/>
      <c r="TUH238" s="26"/>
      <c r="TUL238" s="23"/>
      <c r="TUQ238" s="26"/>
      <c r="TUU238" s="23"/>
      <c r="TUZ238" s="26"/>
      <c r="TVD238" s="23"/>
      <c r="TVI238" s="26"/>
      <c r="TVM238" s="23"/>
      <c r="TVR238" s="26"/>
      <c r="TVV238" s="23"/>
      <c r="TWA238" s="26"/>
      <c r="TWE238" s="23"/>
      <c r="TWJ238" s="26"/>
      <c r="TWN238" s="23"/>
      <c r="TWS238" s="26"/>
      <c r="TWW238" s="23"/>
      <c r="TXB238" s="26"/>
      <c r="TXF238" s="23"/>
      <c r="TXK238" s="26"/>
      <c r="TXO238" s="23"/>
      <c r="TXT238" s="26"/>
      <c r="TXX238" s="23"/>
      <c r="TYC238" s="26"/>
      <c r="TYG238" s="23"/>
      <c r="TYL238" s="26"/>
      <c r="TYP238" s="23"/>
      <c r="TYU238" s="26"/>
      <c r="TYY238" s="23"/>
      <c r="TZD238" s="26"/>
      <c r="TZH238" s="23"/>
      <c r="TZM238" s="26"/>
      <c r="TZQ238" s="23"/>
      <c r="TZV238" s="26"/>
      <c r="TZZ238" s="23"/>
      <c r="UAE238" s="26"/>
      <c r="UAI238" s="23"/>
      <c r="UAN238" s="26"/>
      <c r="UAR238" s="23"/>
      <c r="UAW238" s="26"/>
      <c r="UBA238" s="23"/>
      <c r="UBF238" s="26"/>
      <c r="UBJ238" s="23"/>
      <c r="UBO238" s="26"/>
      <c r="UBS238" s="23"/>
      <c r="UBX238" s="26"/>
      <c r="UCB238" s="23"/>
      <c r="UCG238" s="26"/>
      <c r="UCK238" s="23"/>
      <c r="UCP238" s="26"/>
      <c r="UCT238" s="23"/>
      <c r="UCY238" s="26"/>
      <c r="UDC238" s="23"/>
      <c r="UDH238" s="26"/>
      <c r="UDL238" s="23"/>
      <c r="UDQ238" s="26"/>
      <c r="UDU238" s="23"/>
      <c r="UDZ238" s="26"/>
      <c r="UED238" s="23"/>
      <c r="UEI238" s="26"/>
      <c r="UEM238" s="23"/>
      <c r="UER238" s="26"/>
      <c r="UEV238" s="23"/>
      <c r="UFA238" s="26"/>
      <c r="UFE238" s="23"/>
      <c r="UFJ238" s="26"/>
      <c r="UFN238" s="23"/>
      <c r="UFS238" s="26"/>
      <c r="UFW238" s="23"/>
      <c r="UGB238" s="26"/>
      <c r="UGF238" s="23"/>
      <c r="UGK238" s="26"/>
      <c r="UGO238" s="23"/>
      <c r="UGT238" s="26"/>
      <c r="UGX238" s="23"/>
      <c r="UHC238" s="26"/>
      <c r="UHG238" s="23"/>
      <c r="UHL238" s="26"/>
      <c r="UHP238" s="23"/>
      <c r="UHU238" s="26"/>
      <c r="UHY238" s="23"/>
      <c r="UID238" s="26"/>
      <c r="UIH238" s="23"/>
      <c r="UIM238" s="26"/>
      <c r="UIQ238" s="23"/>
      <c r="UIV238" s="26"/>
      <c r="UIZ238" s="23"/>
      <c r="UJE238" s="26"/>
      <c r="UJI238" s="23"/>
      <c r="UJN238" s="26"/>
      <c r="UJR238" s="23"/>
      <c r="UJW238" s="26"/>
      <c r="UKA238" s="23"/>
      <c r="UKF238" s="26"/>
      <c r="UKJ238" s="23"/>
      <c r="UKO238" s="26"/>
      <c r="UKS238" s="23"/>
      <c r="UKX238" s="26"/>
      <c r="ULB238" s="23"/>
      <c r="ULG238" s="26"/>
      <c r="ULK238" s="23"/>
      <c r="ULP238" s="26"/>
      <c r="ULT238" s="23"/>
      <c r="ULY238" s="26"/>
      <c r="UMC238" s="23"/>
      <c r="UMH238" s="26"/>
      <c r="UML238" s="23"/>
      <c r="UMQ238" s="26"/>
      <c r="UMU238" s="23"/>
      <c r="UMZ238" s="26"/>
      <c r="UND238" s="23"/>
      <c r="UNI238" s="26"/>
      <c r="UNM238" s="23"/>
      <c r="UNR238" s="26"/>
      <c r="UNV238" s="23"/>
      <c r="UOA238" s="26"/>
      <c r="UOE238" s="23"/>
      <c r="UOJ238" s="26"/>
      <c r="UON238" s="23"/>
      <c r="UOS238" s="26"/>
      <c r="UOW238" s="23"/>
      <c r="UPB238" s="26"/>
      <c r="UPF238" s="23"/>
      <c r="UPK238" s="26"/>
      <c r="UPO238" s="23"/>
      <c r="UPT238" s="26"/>
      <c r="UPX238" s="23"/>
      <c r="UQC238" s="26"/>
      <c r="UQG238" s="23"/>
      <c r="UQL238" s="26"/>
      <c r="UQP238" s="23"/>
      <c r="UQU238" s="26"/>
      <c r="UQY238" s="23"/>
      <c r="URD238" s="26"/>
      <c r="URH238" s="23"/>
      <c r="URM238" s="26"/>
      <c r="URQ238" s="23"/>
      <c r="URV238" s="26"/>
      <c r="URZ238" s="23"/>
      <c r="USE238" s="26"/>
      <c r="USI238" s="23"/>
      <c r="USN238" s="26"/>
      <c r="USR238" s="23"/>
      <c r="USW238" s="26"/>
      <c r="UTA238" s="23"/>
      <c r="UTF238" s="26"/>
      <c r="UTJ238" s="23"/>
      <c r="UTO238" s="26"/>
      <c r="UTS238" s="23"/>
      <c r="UTX238" s="26"/>
      <c r="UUB238" s="23"/>
      <c r="UUG238" s="26"/>
      <c r="UUK238" s="23"/>
      <c r="UUP238" s="26"/>
      <c r="UUT238" s="23"/>
      <c r="UUY238" s="26"/>
      <c r="UVC238" s="23"/>
      <c r="UVH238" s="26"/>
      <c r="UVL238" s="23"/>
      <c r="UVQ238" s="26"/>
      <c r="UVU238" s="23"/>
      <c r="UVZ238" s="26"/>
      <c r="UWD238" s="23"/>
      <c r="UWI238" s="26"/>
      <c r="UWM238" s="23"/>
      <c r="UWR238" s="26"/>
      <c r="UWV238" s="23"/>
      <c r="UXA238" s="26"/>
      <c r="UXE238" s="23"/>
      <c r="UXJ238" s="26"/>
      <c r="UXN238" s="23"/>
      <c r="UXS238" s="26"/>
      <c r="UXW238" s="23"/>
      <c r="UYB238" s="26"/>
      <c r="UYF238" s="23"/>
      <c r="UYK238" s="26"/>
      <c r="UYO238" s="23"/>
      <c r="UYT238" s="26"/>
      <c r="UYX238" s="23"/>
      <c r="UZC238" s="26"/>
      <c r="UZG238" s="23"/>
      <c r="UZL238" s="26"/>
      <c r="UZP238" s="23"/>
      <c r="UZU238" s="26"/>
      <c r="UZY238" s="23"/>
      <c r="VAD238" s="26"/>
      <c r="VAH238" s="23"/>
      <c r="VAM238" s="26"/>
      <c r="VAQ238" s="23"/>
      <c r="VAV238" s="26"/>
      <c r="VAZ238" s="23"/>
      <c r="VBE238" s="26"/>
      <c r="VBI238" s="23"/>
      <c r="VBN238" s="26"/>
      <c r="VBR238" s="23"/>
      <c r="VBW238" s="26"/>
      <c r="VCA238" s="23"/>
      <c r="VCF238" s="26"/>
      <c r="VCJ238" s="23"/>
      <c r="VCO238" s="26"/>
      <c r="VCS238" s="23"/>
      <c r="VCX238" s="26"/>
      <c r="VDB238" s="23"/>
      <c r="VDG238" s="26"/>
      <c r="VDK238" s="23"/>
      <c r="VDP238" s="26"/>
      <c r="VDT238" s="23"/>
      <c r="VDY238" s="26"/>
      <c r="VEC238" s="23"/>
      <c r="VEH238" s="26"/>
      <c r="VEL238" s="23"/>
      <c r="VEQ238" s="26"/>
      <c r="VEU238" s="23"/>
      <c r="VEZ238" s="26"/>
      <c r="VFD238" s="23"/>
      <c r="VFI238" s="26"/>
      <c r="VFM238" s="23"/>
      <c r="VFR238" s="26"/>
      <c r="VFV238" s="23"/>
      <c r="VGA238" s="26"/>
      <c r="VGE238" s="23"/>
      <c r="VGJ238" s="26"/>
      <c r="VGN238" s="23"/>
      <c r="VGS238" s="26"/>
      <c r="VGW238" s="23"/>
      <c r="VHB238" s="26"/>
      <c r="VHF238" s="23"/>
      <c r="VHK238" s="26"/>
      <c r="VHO238" s="23"/>
      <c r="VHT238" s="26"/>
      <c r="VHX238" s="23"/>
      <c r="VIC238" s="26"/>
      <c r="VIG238" s="23"/>
      <c r="VIL238" s="26"/>
      <c r="VIP238" s="23"/>
      <c r="VIU238" s="26"/>
      <c r="VIY238" s="23"/>
      <c r="VJD238" s="26"/>
      <c r="VJH238" s="23"/>
      <c r="VJM238" s="26"/>
      <c r="VJQ238" s="23"/>
      <c r="VJV238" s="26"/>
      <c r="VJZ238" s="23"/>
      <c r="VKE238" s="26"/>
      <c r="VKI238" s="23"/>
      <c r="VKN238" s="26"/>
      <c r="VKR238" s="23"/>
      <c r="VKW238" s="26"/>
      <c r="VLA238" s="23"/>
      <c r="VLF238" s="26"/>
      <c r="VLJ238" s="23"/>
      <c r="VLO238" s="26"/>
      <c r="VLS238" s="23"/>
      <c r="VLX238" s="26"/>
      <c r="VMB238" s="23"/>
      <c r="VMG238" s="26"/>
      <c r="VMK238" s="23"/>
      <c r="VMP238" s="26"/>
      <c r="VMT238" s="23"/>
      <c r="VMY238" s="26"/>
      <c r="VNC238" s="23"/>
      <c r="VNH238" s="26"/>
      <c r="VNL238" s="23"/>
      <c r="VNQ238" s="26"/>
      <c r="VNU238" s="23"/>
      <c r="VNZ238" s="26"/>
      <c r="VOD238" s="23"/>
      <c r="VOI238" s="26"/>
      <c r="VOM238" s="23"/>
      <c r="VOR238" s="26"/>
      <c r="VOV238" s="23"/>
      <c r="VPA238" s="26"/>
      <c r="VPE238" s="23"/>
      <c r="VPJ238" s="26"/>
      <c r="VPN238" s="23"/>
      <c r="VPS238" s="26"/>
      <c r="VPW238" s="23"/>
      <c r="VQB238" s="26"/>
      <c r="VQF238" s="23"/>
      <c r="VQK238" s="26"/>
      <c r="VQO238" s="23"/>
      <c r="VQT238" s="26"/>
      <c r="VQX238" s="23"/>
      <c r="VRC238" s="26"/>
      <c r="VRG238" s="23"/>
      <c r="VRL238" s="26"/>
      <c r="VRP238" s="23"/>
      <c r="VRU238" s="26"/>
      <c r="VRY238" s="23"/>
      <c r="VSD238" s="26"/>
      <c r="VSH238" s="23"/>
      <c r="VSM238" s="26"/>
      <c r="VSQ238" s="23"/>
      <c r="VSV238" s="26"/>
      <c r="VSZ238" s="23"/>
      <c r="VTE238" s="26"/>
      <c r="VTI238" s="23"/>
      <c r="VTN238" s="26"/>
      <c r="VTR238" s="23"/>
      <c r="VTW238" s="26"/>
      <c r="VUA238" s="23"/>
      <c r="VUF238" s="26"/>
      <c r="VUJ238" s="23"/>
      <c r="VUO238" s="26"/>
      <c r="VUS238" s="23"/>
      <c r="VUX238" s="26"/>
      <c r="VVB238" s="23"/>
      <c r="VVG238" s="26"/>
      <c r="VVK238" s="23"/>
      <c r="VVP238" s="26"/>
      <c r="VVT238" s="23"/>
      <c r="VVY238" s="26"/>
      <c r="VWC238" s="23"/>
      <c r="VWH238" s="26"/>
      <c r="VWL238" s="23"/>
      <c r="VWQ238" s="26"/>
      <c r="VWU238" s="23"/>
      <c r="VWZ238" s="26"/>
      <c r="VXD238" s="23"/>
      <c r="VXI238" s="26"/>
      <c r="VXM238" s="23"/>
      <c r="VXR238" s="26"/>
      <c r="VXV238" s="23"/>
      <c r="VYA238" s="26"/>
      <c r="VYE238" s="23"/>
      <c r="VYJ238" s="26"/>
      <c r="VYN238" s="23"/>
      <c r="VYS238" s="26"/>
      <c r="VYW238" s="23"/>
      <c r="VZB238" s="26"/>
      <c r="VZF238" s="23"/>
      <c r="VZK238" s="26"/>
      <c r="VZO238" s="23"/>
      <c r="VZT238" s="26"/>
      <c r="VZX238" s="23"/>
      <c r="WAC238" s="26"/>
      <c r="WAG238" s="23"/>
      <c r="WAL238" s="26"/>
      <c r="WAP238" s="23"/>
      <c r="WAU238" s="26"/>
      <c r="WAY238" s="23"/>
      <c r="WBD238" s="26"/>
      <c r="WBH238" s="23"/>
      <c r="WBM238" s="26"/>
      <c r="WBQ238" s="23"/>
      <c r="WBV238" s="26"/>
      <c r="WBZ238" s="23"/>
      <c r="WCE238" s="26"/>
      <c r="WCI238" s="23"/>
      <c r="WCN238" s="26"/>
      <c r="WCR238" s="23"/>
      <c r="WCW238" s="26"/>
      <c r="WDA238" s="23"/>
      <c r="WDF238" s="26"/>
      <c r="WDJ238" s="23"/>
      <c r="WDO238" s="26"/>
      <c r="WDS238" s="23"/>
      <c r="WDX238" s="26"/>
      <c r="WEB238" s="23"/>
      <c r="WEG238" s="26"/>
      <c r="WEK238" s="23"/>
      <c r="WEP238" s="26"/>
      <c r="WET238" s="23"/>
      <c r="WEY238" s="26"/>
      <c r="WFC238" s="23"/>
      <c r="WFH238" s="26"/>
      <c r="WFL238" s="23"/>
      <c r="WFQ238" s="26"/>
      <c r="WFU238" s="23"/>
      <c r="WFZ238" s="26"/>
      <c r="WGD238" s="23"/>
      <c r="WGI238" s="26"/>
      <c r="WGM238" s="23"/>
      <c r="WGR238" s="26"/>
      <c r="WGV238" s="23"/>
      <c r="WHA238" s="26"/>
      <c r="WHE238" s="23"/>
      <c r="WHJ238" s="26"/>
      <c r="WHN238" s="23"/>
      <c r="WHS238" s="26"/>
      <c r="WHW238" s="23"/>
      <c r="WIB238" s="26"/>
      <c r="WIF238" s="23"/>
      <c r="WIK238" s="26"/>
      <c r="WIO238" s="23"/>
      <c r="WIT238" s="26"/>
      <c r="WIX238" s="23"/>
      <c r="WJC238" s="26"/>
      <c r="WJG238" s="23"/>
      <c r="WJL238" s="26"/>
      <c r="WJP238" s="23"/>
      <c r="WJU238" s="26"/>
      <c r="WJY238" s="23"/>
      <c r="WKD238" s="26"/>
      <c r="WKH238" s="23"/>
      <c r="WKM238" s="26"/>
      <c r="WKQ238" s="23"/>
      <c r="WKV238" s="26"/>
      <c r="WKZ238" s="23"/>
      <c r="WLE238" s="26"/>
      <c r="WLI238" s="23"/>
      <c r="WLN238" s="26"/>
      <c r="WLR238" s="23"/>
      <c r="WLW238" s="26"/>
      <c r="WMA238" s="23"/>
      <c r="WMF238" s="26"/>
      <c r="WMJ238" s="23"/>
      <c r="WMO238" s="26"/>
      <c r="WMS238" s="23"/>
      <c r="WMX238" s="26"/>
      <c r="WNB238" s="23"/>
      <c r="WNG238" s="26"/>
      <c r="WNK238" s="23"/>
      <c r="WNP238" s="26"/>
      <c r="WNT238" s="23"/>
      <c r="WNY238" s="26"/>
      <c r="WOC238" s="23"/>
      <c r="WOH238" s="26"/>
      <c r="WOL238" s="23"/>
      <c r="WOQ238" s="26"/>
      <c r="WOU238" s="23"/>
      <c r="WOZ238" s="26"/>
      <c r="WPD238" s="23"/>
      <c r="WPI238" s="26"/>
      <c r="WPM238" s="23"/>
      <c r="WPR238" s="26"/>
      <c r="WPV238" s="23"/>
      <c r="WQA238" s="26"/>
      <c r="WQE238" s="23"/>
      <c r="WQJ238" s="26"/>
      <c r="WQN238" s="23"/>
      <c r="WQS238" s="26"/>
      <c r="WQW238" s="23"/>
      <c r="WRB238" s="26"/>
      <c r="WRF238" s="23"/>
      <c r="WRK238" s="26"/>
      <c r="WRO238" s="23"/>
      <c r="WRT238" s="26"/>
      <c r="WRX238" s="23"/>
      <c r="WSC238" s="26"/>
      <c r="WSG238" s="23"/>
      <c r="WSL238" s="26"/>
      <c r="WSP238" s="23"/>
      <c r="WSU238" s="26"/>
      <c r="WSY238" s="23"/>
      <c r="WTD238" s="26"/>
      <c r="WTH238" s="23"/>
      <c r="WTM238" s="26"/>
      <c r="WTQ238" s="23"/>
      <c r="WTV238" s="26"/>
      <c r="WTZ238" s="23"/>
      <c r="WUE238" s="26"/>
      <c r="WUI238" s="23"/>
      <c r="WUN238" s="26"/>
      <c r="WUR238" s="23"/>
      <c r="WUW238" s="26"/>
      <c r="WVA238" s="23"/>
      <c r="WVF238" s="26"/>
      <c r="WVJ238" s="23"/>
      <c r="WVO238" s="26"/>
      <c r="WVS238" s="23"/>
      <c r="WVX238" s="26"/>
      <c r="WWB238" s="23"/>
      <c r="WWG238" s="26"/>
      <c r="WWK238" s="23"/>
      <c r="WWP238" s="26"/>
      <c r="WWT238" s="23"/>
      <c r="WWY238" s="26"/>
      <c r="WXC238" s="23"/>
      <c r="WXH238" s="26"/>
      <c r="WXL238" s="23"/>
      <c r="WXQ238" s="26"/>
      <c r="WXU238" s="23"/>
      <c r="WXZ238" s="26"/>
      <c r="WYD238" s="23"/>
      <c r="WYI238" s="26"/>
      <c r="WYM238" s="23"/>
      <c r="WYR238" s="26"/>
      <c r="WYV238" s="23"/>
      <c r="WZA238" s="26"/>
      <c r="WZE238" s="23"/>
      <c r="WZJ238" s="26"/>
      <c r="WZN238" s="23"/>
      <c r="WZS238" s="26"/>
      <c r="WZW238" s="23"/>
      <c r="XAB238" s="26"/>
      <c r="XAF238" s="23"/>
      <c r="XAK238" s="26"/>
      <c r="XAO238" s="23"/>
      <c r="XAT238" s="26"/>
      <c r="XAX238" s="23"/>
      <c r="XBC238" s="26"/>
      <c r="XBG238" s="23"/>
      <c r="XBL238" s="26"/>
      <c r="XBP238" s="23"/>
      <c r="XBU238" s="26"/>
      <c r="XBY238" s="23"/>
      <c r="XCD238" s="26"/>
      <c r="XCH238" s="23"/>
      <c r="XCM238" s="26"/>
      <c r="XCQ238" s="23"/>
      <c r="XCV238" s="26"/>
      <c r="XCZ238" s="23"/>
      <c r="XDE238" s="26"/>
      <c r="XDI238" s="23"/>
      <c r="XDN238" s="26"/>
      <c r="XDR238" s="23"/>
      <c r="XDW238" s="26"/>
      <c r="XEA238" s="23"/>
      <c r="XEF238" s="26"/>
      <c r="XEJ238" s="23"/>
      <c r="XEO238" s="26"/>
      <c r="XES238" s="23"/>
      <c r="XEX238" s="26"/>
      <c r="XFB238" s="23"/>
    </row>
    <row r="239" spans="2:1024 1028:2045 2050:3071 3076:4093 4097:5119 5123:6140 6145:7166 7171:8192 8197:9214 9218:10240 10244:11261 11266:12287 12292:13309 13313:14335 14339:15356 15361:16382" x14ac:dyDescent="0.3">
      <c r="B239" s="23"/>
      <c r="K239" s="23"/>
      <c r="P239" s="26"/>
      <c r="T239" s="23"/>
      <c r="Y239" s="26"/>
      <c r="AC239" s="23"/>
      <c r="AH239" s="26"/>
      <c r="AL239" s="23"/>
      <c r="AQ239" s="26"/>
      <c r="AU239" s="23"/>
      <c r="AZ239" s="26"/>
      <c r="BD239" s="23"/>
      <c r="BI239" s="26"/>
      <c r="BM239" s="23"/>
      <c r="BR239" s="26"/>
      <c r="BV239" s="23"/>
      <c r="CA239" s="26"/>
      <c r="CE239" s="23"/>
      <c r="CJ239" s="26"/>
      <c r="CN239" s="23"/>
      <c r="CS239" s="26"/>
      <c r="CW239" s="23"/>
      <c r="DB239" s="26"/>
      <c r="DF239" s="23"/>
      <c r="DK239" s="26"/>
      <c r="DO239" s="23"/>
      <c r="DT239" s="26"/>
      <c r="DX239" s="23"/>
      <c r="EC239" s="26"/>
      <c r="EG239" s="23"/>
      <c r="EL239" s="26"/>
      <c r="EP239" s="23"/>
      <c r="EU239" s="26"/>
      <c r="EY239" s="23"/>
      <c r="FD239" s="26"/>
      <c r="FH239" s="23"/>
      <c r="FM239" s="26"/>
      <c r="FQ239" s="23"/>
      <c r="FV239" s="26"/>
      <c r="FZ239" s="23"/>
      <c r="GE239" s="26"/>
      <c r="GI239" s="23"/>
      <c r="GN239" s="26"/>
      <c r="GR239" s="23"/>
      <c r="GW239" s="26"/>
      <c r="HA239" s="23"/>
      <c r="HF239" s="26"/>
      <c r="HJ239" s="23"/>
      <c r="HO239" s="26"/>
      <c r="HS239" s="23"/>
      <c r="HX239" s="26"/>
      <c r="IB239" s="23"/>
      <c r="IG239" s="26"/>
      <c r="IK239" s="23"/>
      <c r="IP239" s="26"/>
      <c r="IT239" s="23"/>
      <c r="IY239" s="26"/>
      <c r="JC239" s="23"/>
      <c r="JH239" s="26"/>
      <c r="JL239" s="23"/>
      <c r="JQ239" s="26"/>
      <c r="JU239" s="23"/>
      <c r="JZ239" s="26"/>
      <c r="KD239" s="23"/>
      <c r="KI239" s="26"/>
      <c r="KM239" s="23"/>
      <c r="KR239" s="26"/>
      <c r="KV239" s="23"/>
      <c r="LA239" s="26"/>
      <c r="LE239" s="23"/>
      <c r="LJ239" s="26"/>
      <c r="LN239" s="23"/>
      <c r="LS239" s="26"/>
      <c r="LW239" s="23"/>
      <c r="MB239" s="26"/>
      <c r="MF239" s="23"/>
      <c r="MK239" s="26"/>
      <c r="MO239" s="23"/>
      <c r="MT239" s="26"/>
      <c r="MX239" s="23"/>
      <c r="NC239" s="26"/>
      <c r="NG239" s="23"/>
      <c r="NL239" s="26"/>
      <c r="NP239" s="23"/>
      <c r="NU239" s="26"/>
      <c r="NY239" s="23"/>
      <c r="OD239" s="26"/>
      <c r="OH239" s="23"/>
      <c r="OM239" s="26"/>
      <c r="OQ239" s="23"/>
      <c r="OV239" s="26"/>
      <c r="OZ239" s="23"/>
      <c r="PE239" s="26"/>
      <c r="PI239" s="23"/>
      <c r="PN239" s="26"/>
      <c r="PR239" s="23"/>
      <c r="PW239" s="26"/>
      <c r="QA239" s="23"/>
      <c r="QF239" s="26"/>
      <c r="QJ239" s="23"/>
      <c r="QO239" s="26"/>
      <c r="QS239" s="23"/>
      <c r="QX239" s="26"/>
      <c r="RB239" s="23"/>
      <c r="RG239" s="26"/>
      <c r="RK239" s="23"/>
      <c r="RP239" s="26"/>
      <c r="RT239" s="23"/>
      <c r="RY239" s="26"/>
      <c r="SC239" s="23"/>
      <c r="SH239" s="26"/>
      <c r="SL239" s="23"/>
      <c r="SQ239" s="26"/>
      <c r="SU239" s="23"/>
      <c r="SZ239" s="26"/>
      <c r="TD239" s="23"/>
      <c r="TI239" s="26"/>
      <c r="TM239" s="23"/>
      <c r="TR239" s="26"/>
      <c r="TV239" s="23"/>
      <c r="UA239" s="26"/>
      <c r="UE239" s="23"/>
      <c r="UJ239" s="26"/>
      <c r="UN239" s="23"/>
      <c r="US239" s="26"/>
      <c r="UW239" s="23"/>
      <c r="VB239" s="26"/>
      <c r="VF239" s="23"/>
      <c r="VK239" s="26"/>
      <c r="VO239" s="23"/>
      <c r="VT239" s="26"/>
      <c r="VX239" s="23"/>
      <c r="WC239" s="26"/>
      <c r="WG239" s="23"/>
      <c r="WL239" s="26"/>
      <c r="WP239" s="23"/>
      <c r="WU239" s="26"/>
      <c r="WY239" s="23"/>
      <c r="XD239" s="26"/>
      <c r="XH239" s="23"/>
      <c r="XM239" s="26"/>
      <c r="XQ239" s="23"/>
      <c r="XV239" s="26"/>
      <c r="XZ239" s="23"/>
      <c r="YE239" s="26"/>
      <c r="YI239" s="23"/>
      <c r="YN239" s="26"/>
      <c r="YR239" s="23"/>
      <c r="YW239" s="26"/>
      <c r="ZA239" s="23"/>
      <c r="ZF239" s="26"/>
      <c r="ZJ239" s="23"/>
      <c r="ZO239" s="26"/>
      <c r="ZS239" s="23"/>
      <c r="ZX239" s="26"/>
      <c r="AAB239" s="23"/>
      <c r="AAG239" s="26"/>
      <c r="AAK239" s="23"/>
      <c r="AAP239" s="26"/>
      <c r="AAT239" s="23"/>
      <c r="AAY239" s="26"/>
      <c r="ABC239" s="23"/>
      <c r="ABH239" s="26"/>
      <c r="ABL239" s="23"/>
      <c r="ABQ239" s="26"/>
      <c r="ABU239" s="23"/>
      <c r="ABZ239" s="26"/>
      <c r="ACD239" s="23"/>
      <c r="ACI239" s="26"/>
      <c r="ACM239" s="23"/>
      <c r="ACR239" s="26"/>
      <c r="ACV239" s="23"/>
      <c r="ADA239" s="26"/>
      <c r="ADE239" s="23"/>
      <c r="ADJ239" s="26"/>
      <c r="ADN239" s="23"/>
      <c r="ADS239" s="26"/>
      <c r="ADW239" s="23"/>
      <c r="AEB239" s="26"/>
      <c r="AEF239" s="23"/>
      <c r="AEK239" s="26"/>
      <c r="AEO239" s="23"/>
      <c r="AET239" s="26"/>
      <c r="AEX239" s="23"/>
      <c r="AFC239" s="26"/>
      <c r="AFG239" s="23"/>
      <c r="AFL239" s="26"/>
      <c r="AFP239" s="23"/>
      <c r="AFU239" s="26"/>
      <c r="AFY239" s="23"/>
      <c r="AGD239" s="26"/>
      <c r="AGH239" s="23"/>
      <c r="AGM239" s="26"/>
      <c r="AGQ239" s="23"/>
      <c r="AGV239" s="26"/>
      <c r="AGZ239" s="23"/>
      <c r="AHE239" s="26"/>
      <c r="AHI239" s="23"/>
      <c r="AHN239" s="26"/>
      <c r="AHR239" s="23"/>
      <c r="AHW239" s="26"/>
      <c r="AIA239" s="23"/>
      <c r="AIF239" s="26"/>
      <c r="AIJ239" s="23"/>
      <c r="AIO239" s="26"/>
      <c r="AIS239" s="23"/>
      <c r="AIX239" s="26"/>
      <c r="AJB239" s="23"/>
      <c r="AJG239" s="26"/>
      <c r="AJK239" s="23"/>
      <c r="AJP239" s="26"/>
      <c r="AJT239" s="23"/>
      <c r="AJY239" s="26"/>
      <c r="AKC239" s="23"/>
      <c r="AKH239" s="26"/>
      <c r="AKL239" s="23"/>
      <c r="AKQ239" s="26"/>
      <c r="AKU239" s="23"/>
      <c r="AKZ239" s="26"/>
      <c r="ALD239" s="23"/>
      <c r="ALI239" s="26"/>
      <c r="ALM239" s="23"/>
      <c r="ALR239" s="26"/>
      <c r="ALV239" s="23"/>
      <c r="AMA239" s="26"/>
      <c r="AME239" s="23"/>
      <c r="AMJ239" s="26"/>
      <c r="AMN239" s="23"/>
      <c r="AMS239" s="26"/>
      <c r="AMW239" s="23"/>
      <c r="ANB239" s="26"/>
      <c r="ANF239" s="23"/>
      <c r="ANK239" s="26"/>
      <c r="ANO239" s="23"/>
      <c r="ANT239" s="26"/>
      <c r="ANX239" s="23"/>
      <c r="AOC239" s="26"/>
      <c r="AOG239" s="23"/>
      <c r="AOL239" s="26"/>
      <c r="AOP239" s="23"/>
      <c r="AOU239" s="26"/>
      <c r="AOY239" s="23"/>
      <c r="APD239" s="26"/>
      <c r="APH239" s="23"/>
      <c r="APM239" s="26"/>
      <c r="APQ239" s="23"/>
      <c r="APV239" s="26"/>
      <c r="APZ239" s="23"/>
      <c r="AQE239" s="26"/>
      <c r="AQI239" s="23"/>
      <c r="AQN239" s="26"/>
      <c r="AQR239" s="23"/>
      <c r="AQW239" s="26"/>
      <c r="ARA239" s="23"/>
      <c r="ARF239" s="26"/>
      <c r="ARJ239" s="23"/>
      <c r="ARO239" s="26"/>
      <c r="ARS239" s="23"/>
      <c r="ARX239" s="26"/>
      <c r="ASB239" s="23"/>
      <c r="ASG239" s="26"/>
      <c r="ASK239" s="23"/>
      <c r="ASP239" s="26"/>
      <c r="AST239" s="23"/>
      <c r="ASY239" s="26"/>
      <c r="ATC239" s="23"/>
      <c r="ATH239" s="26"/>
      <c r="ATL239" s="23"/>
      <c r="ATQ239" s="26"/>
      <c r="ATU239" s="23"/>
      <c r="ATZ239" s="26"/>
      <c r="AUD239" s="23"/>
      <c r="AUI239" s="26"/>
      <c r="AUM239" s="23"/>
      <c r="AUR239" s="26"/>
      <c r="AUV239" s="23"/>
      <c r="AVA239" s="26"/>
      <c r="AVE239" s="23"/>
      <c r="AVJ239" s="26"/>
      <c r="AVN239" s="23"/>
      <c r="AVS239" s="26"/>
      <c r="AVW239" s="23"/>
      <c r="AWB239" s="26"/>
      <c r="AWF239" s="23"/>
      <c r="AWK239" s="26"/>
      <c r="AWO239" s="23"/>
      <c r="AWT239" s="26"/>
      <c r="AWX239" s="23"/>
      <c r="AXC239" s="26"/>
      <c r="AXG239" s="23"/>
      <c r="AXL239" s="26"/>
      <c r="AXP239" s="23"/>
      <c r="AXU239" s="26"/>
      <c r="AXY239" s="23"/>
      <c r="AYD239" s="26"/>
      <c r="AYH239" s="23"/>
      <c r="AYM239" s="26"/>
      <c r="AYQ239" s="23"/>
      <c r="AYV239" s="26"/>
      <c r="AYZ239" s="23"/>
      <c r="AZE239" s="26"/>
      <c r="AZI239" s="23"/>
      <c r="AZN239" s="26"/>
      <c r="AZR239" s="23"/>
      <c r="AZW239" s="26"/>
      <c r="BAA239" s="23"/>
      <c r="BAF239" s="26"/>
      <c r="BAJ239" s="23"/>
      <c r="BAO239" s="26"/>
      <c r="BAS239" s="23"/>
      <c r="BAX239" s="26"/>
      <c r="BBB239" s="23"/>
      <c r="BBG239" s="26"/>
      <c r="BBK239" s="23"/>
      <c r="BBP239" s="26"/>
      <c r="BBT239" s="23"/>
      <c r="BBY239" s="26"/>
      <c r="BCC239" s="23"/>
      <c r="BCH239" s="26"/>
      <c r="BCL239" s="23"/>
      <c r="BCQ239" s="26"/>
      <c r="BCU239" s="23"/>
      <c r="BCZ239" s="26"/>
      <c r="BDD239" s="23"/>
      <c r="BDI239" s="26"/>
      <c r="BDM239" s="23"/>
      <c r="BDR239" s="26"/>
      <c r="BDV239" s="23"/>
      <c r="BEA239" s="26"/>
      <c r="BEE239" s="23"/>
      <c r="BEJ239" s="26"/>
      <c r="BEN239" s="23"/>
      <c r="BES239" s="26"/>
      <c r="BEW239" s="23"/>
      <c r="BFB239" s="26"/>
      <c r="BFF239" s="23"/>
      <c r="BFK239" s="26"/>
      <c r="BFO239" s="23"/>
      <c r="BFT239" s="26"/>
      <c r="BFX239" s="23"/>
      <c r="BGC239" s="26"/>
      <c r="BGG239" s="23"/>
      <c r="BGL239" s="26"/>
      <c r="BGP239" s="23"/>
      <c r="BGU239" s="26"/>
      <c r="BGY239" s="23"/>
      <c r="BHD239" s="26"/>
      <c r="BHH239" s="23"/>
      <c r="BHM239" s="26"/>
      <c r="BHQ239" s="23"/>
      <c r="BHV239" s="26"/>
      <c r="BHZ239" s="23"/>
      <c r="BIE239" s="26"/>
      <c r="BII239" s="23"/>
      <c r="BIN239" s="26"/>
      <c r="BIR239" s="23"/>
      <c r="BIW239" s="26"/>
      <c r="BJA239" s="23"/>
      <c r="BJF239" s="26"/>
      <c r="BJJ239" s="23"/>
      <c r="BJO239" s="26"/>
      <c r="BJS239" s="23"/>
      <c r="BJX239" s="26"/>
      <c r="BKB239" s="23"/>
      <c r="BKG239" s="26"/>
      <c r="BKK239" s="23"/>
      <c r="BKP239" s="26"/>
      <c r="BKT239" s="23"/>
      <c r="BKY239" s="26"/>
      <c r="BLC239" s="23"/>
      <c r="BLH239" s="26"/>
      <c r="BLL239" s="23"/>
      <c r="BLQ239" s="26"/>
      <c r="BLU239" s="23"/>
      <c r="BLZ239" s="26"/>
      <c r="BMD239" s="23"/>
      <c r="BMI239" s="26"/>
      <c r="BMM239" s="23"/>
      <c r="BMR239" s="26"/>
      <c r="BMV239" s="23"/>
      <c r="BNA239" s="26"/>
      <c r="BNE239" s="23"/>
      <c r="BNJ239" s="26"/>
      <c r="BNN239" s="23"/>
      <c r="BNS239" s="26"/>
      <c r="BNW239" s="23"/>
      <c r="BOB239" s="26"/>
      <c r="BOF239" s="23"/>
      <c r="BOK239" s="26"/>
      <c r="BOO239" s="23"/>
      <c r="BOT239" s="26"/>
      <c r="BOX239" s="23"/>
      <c r="BPC239" s="26"/>
      <c r="BPG239" s="23"/>
      <c r="BPL239" s="26"/>
      <c r="BPP239" s="23"/>
      <c r="BPU239" s="26"/>
      <c r="BPY239" s="23"/>
      <c r="BQD239" s="26"/>
      <c r="BQH239" s="23"/>
      <c r="BQM239" s="26"/>
      <c r="BQQ239" s="23"/>
      <c r="BQV239" s="26"/>
      <c r="BQZ239" s="23"/>
      <c r="BRE239" s="26"/>
      <c r="BRI239" s="23"/>
      <c r="BRN239" s="26"/>
      <c r="BRR239" s="23"/>
      <c r="BRW239" s="26"/>
      <c r="BSA239" s="23"/>
      <c r="BSF239" s="26"/>
      <c r="BSJ239" s="23"/>
      <c r="BSO239" s="26"/>
      <c r="BSS239" s="23"/>
      <c r="BSX239" s="26"/>
      <c r="BTB239" s="23"/>
      <c r="BTG239" s="26"/>
      <c r="BTK239" s="23"/>
      <c r="BTP239" s="26"/>
      <c r="BTT239" s="23"/>
      <c r="BTY239" s="26"/>
      <c r="BUC239" s="23"/>
      <c r="BUH239" s="26"/>
      <c r="BUL239" s="23"/>
      <c r="BUQ239" s="26"/>
      <c r="BUU239" s="23"/>
      <c r="BUZ239" s="26"/>
      <c r="BVD239" s="23"/>
      <c r="BVI239" s="26"/>
      <c r="BVM239" s="23"/>
      <c r="BVR239" s="26"/>
      <c r="BVV239" s="23"/>
      <c r="BWA239" s="26"/>
      <c r="BWE239" s="23"/>
      <c r="BWJ239" s="26"/>
      <c r="BWN239" s="23"/>
      <c r="BWS239" s="26"/>
      <c r="BWW239" s="23"/>
      <c r="BXB239" s="26"/>
      <c r="BXF239" s="23"/>
      <c r="BXK239" s="26"/>
      <c r="BXO239" s="23"/>
      <c r="BXT239" s="26"/>
      <c r="BXX239" s="23"/>
      <c r="BYC239" s="26"/>
      <c r="BYG239" s="23"/>
      <c r="BYL239" s="26"/>
      <c r="BYP239" s="23"/>
      <c r="BYU239" s="26"/>
      <c r="BYY239" s="23"/>
      <c r="BZD239" s="26"/>
      <c r="BZH239" s="23"/>
      <c r="BZM239" s="26"/>
      <c r="BZQ239" s="23"/>
      <c r="BZV239" s="26"/>
      <c r="BZZ239" s="23"/>
      <c r="CAE239" s="26"/>
      <c r="CAI239" s="23"/>
      <c r="CAN239" s="26"/>
      <c r="CAR239" s="23"/>
      <c r="CAW239" s="26"/>
      <c r="CBA239" s="23"/>
      <c r="CBF239" s="26"/>
      <c r="CBJ239" s="23"/>
      <c r="CBO239" s="26"/>
      <c r="CBS239" s="23"/>
      <c r="CBX239" s="26"/>
      <c r="CCB239" s="23"/>
      <c r="CCG239" s="26"/>
      <c r="CCK239" s="23"/>
      <c r="CCP239" s="26"/>
      <c r="CCT239" s="23"/>
      <c r="CCY239" s="26"/>
      <c r="CDC239" s="23"/>
      <c r="CDH239" s="26"/>
      <c r="CDL239" s="23"/>
      <c r="CDQ239" s="26"/>
      <c r="CDU239" s="23"/>
      <c r="CDZ239" s="26"/>
      <c r="CED239" s="23"/>
      <c r="CEI239" s="26"/>
      <c r="CEM239" s="23"/>
      <c r="CER239" s="26"/>
      <c r="CEV239" s="23"/>
      <c r="CFA239" s="26"/>
      <c r="CFE239" s="23"/>
      <c r="CFJ239" s="26"/>
      <c r="CFN239" s="23"/>
      <c r="CFS239" s="26"/>
      <c r="CFW239" s="23"/>
      <c r="CGB239" s="26"/>
      <c r="CGF239" s="23"/>
      <c r="CGK239" s="26"/>
      <c r="CGO239" s="23"/>
      <c r="CGT239" s="26"/>
      <c r="CGX239" s="23"/>
      <c r="CHC239" s="26"/>
      <c r="CHG239" s="23"/>
      <c r="CHL239" s="26"/>
      <c r="CHP239" s="23"/>
      <c r="CHU239" s="26"/>
      <c r="CHY239" s="23"/>
      <c r="CID239" s="26"/>
      <c r="CIH239" s="23"/>
      <c r="CIM239" s="26"/>
      <c r="CIQ239" s="23"/>
      <c r="CIV239" s="26"/>
      <c r="CIZ239" s="23"/>
      <c r="CJE239" s="26"/>
      <c r="CJI239" s="23"/>
      <c r="CJN239" s="26"/>
      <c r="CJR239" s="23"/>
      <c r="CJW239" s="26"/>
      <c r="CKA239" s="23"/>
      <c r="CKF239" s="26"/>
      <c r="CKJ239" s="23"/>
      <c r="CKO239" s="26"/>
      <c r="CKS239" s="23"/>
      <c r="CKX239" s="26"/>
      <c r="CLB239" s="23"/>
      <c r="CLG239" s="26"/>
      <c r="CLK239" s="23"/>
      <c r="CLP239" s="26"/>
      <c r="CLT239" s="23"/>
      <c r="CLY239" s="26"/>
      <c r="CMC239" s="23"/>
      <c r="CMH239" s="26"/>
      <c r="CML239" s="23"/>
      <c r="CMQ239" s="26"/>
      <c r="CMU239" s="23"/>
      <c r="CMZ239" s="26"/>
      <c r="CND239" s="23"/>
      <c r="CNI239" s="26"/>
      <c r="CNM239" s="23"/>
      <c r="CNR239" s="26"/>
      <c r="CNV239" s="23"/>
      <c r="COA239" s="26"/>
      <c r="COE239" s="23"/>
      <c r="COJ239" s="26"/>
      <c r="CON239" s="23"/>
      <c r="COS239" s="26"/>
      <c r="COW239" s="23"/>
      <c r="CPB239" s="26"/>
      <c r="CPF239" s="23"/>
      <c r="CPK239" s="26"/>
      <c r="CPO239" s="23"/>
      <c r="CPT239" s="26"/>
      <c r="CPX239" s="23"/>
      <c r="CQC239" s="26"/>
      <c r="CQG239" s="23"/>
      <c r="CQL239" s="26"/>
      <c r="CQP239" s="23"/>
      <c r="CQU239" s="26"/>
      <c r="CQY239" s="23"/>
      <c r="CRD239" s="26"/>
      <c r="CRH239" s="23"/>
      <c r="CRM239" s="26"/>
      <c r="CRQ239" s="23"/>
      <c r="CRV239" s="26"/>
      <c r="CRZ239" s="23"/>
      <c r="CSE239" s="26"/>
      <c r="CSI239" s="23"/>
      <c r="CSN239" s="26"/>
      <c r="CSR239" s="23"/>
      <c r="CSW239" s="26"/>
      <c r="CTA239" s="23"/>
      <c r="CTF239" s="26"/>
      <c r="CTJ239" s="23"/>
      <c r="CTO239" s="26"/>
      <c r="CTS239" s="23"/>
      <c r="CTX239" s="26"/>
      <c r="CUB239" s="23"/>
      <c r="CUG239" s="26"/>
      <c r="CUK239" s="23"/>
      <c r="CUP239" s="26"/>
      <c r="CUT239" s="23"/>
      <c r="CUY239" s="26"/>
      <c r="CVC239" s="23"/>
      <c r="CVH239" s="26"/>
      <c r="CVL239" s="23"/>
      <c r="CVQ239" s="26"/>
      <c r="CVU239" s="23"/>
      <c r="CVZ239" s="26"/>
      <c r="CWD239" s="23"/>
      <c r="CWI239" s="26"/>
      <c r="CWM239" s="23"/>
      <c r="CWR239" s="26"/>
      <c r="CWV239" s="23"/>
      <c r="CXA239" s="26"/>
      <c r="CXE239" s="23"/>
      <c r="CXJ239" s="26"/>
      <c r="CXN239" s="23"/>
      <c r="CXS239" s="26"/>
      <c r="CXW239" s="23"/>
      <c r="CYB239" s="26"/>
      <c r="CYF239" s="23"/>
      <c r="CYK239" s="26"/>
      <c r="CYO239" s="23"/>
      <c r="CYT239" s="26"/>
      <c r="CYX239" s="23"/>
      <c r="CZC239" s="26"/>
      <c r="CZG239" s="23"/>
      <c r="CZL239" s="26"/>
      <c r="CZP239" s="23"/>
      <c r="CZU239" s="26"/>
      <c r="CZY239" s="23"/>
      <c r="DAD239" s="26"/>
      <c r="DAH239" s="23"/>
      <c r="DAM239" s="26"/>
      <c r="DAQ239" s="23"/>
      <c r="DAV239" s="26"/>
      <c r="DAZ239" s="23"/>
      <c r="DBE239" s="26"/>
      <c r="DBI239" s="23"/>
      <c r="DBN239" s="26"/>
      <c r="DBR239" s="23"/>
      <c r="DBW239" s="26"/>
      <c r="DCA239" s="23"/>
      <c r="DCF239" s="26"/>
      <c r="DCJ239" s="23"/>
      <c r="DCO239" s="26"/>
      <c r="DCS239" s="23"/>
      <c r="DCX239" s="26"/>
      <c r="DDB239" s="23"/>
      <c r="DDG239" s="26"/>
      <c r="DDK239" s="23"/>
      <c r="DDP239" s="26"/>
      <c r="DDT239" s="23"/>
      <c r="DDY239" s="26"/>
      <c r="DEC239" s="23"/>
      <c r="DEH239" s="26"/>
      <c r="DEL239" s="23"/>
      <c r="DEQ239" s="26"/>
      <c r="DEU239" s="23"/>
      <c r="DEZ239" s="26"/>
      <c r="DFD239" s="23"/>
      <c r="DFI239" s="26"/>
      <c r="DFM239" s="23"/>
      <c r="DFR239" s="26"/>
      <c r="DFV239" s="23"/>
      <c r="DGA239" s="26"/>
      <c r="DGE239" s="23"/>
      <c r="DGJ239" s="26"/>
      <c r="DGN239" s="23"/>
      <c r="DGS239" s="26"/>
      <c r="DGW239" s="23"/>
      <c r="DHB239" s="26"/>
      <c r="DHF239" s="23"/>
      <c r="DHK239" s="26"/>
      <c r="DHO239" s="23"/>
      <c r="DHT239" s="26"/>
      <c r="DHX239" s="23"/>
      <c r="DIC239" s="26"/>
      <c r="DIG239" s="23"/>
      <c r="DIL239" s="26"/>
      <c r="DIP239" s="23"/>
      <c r="DIU239" s="26"/>
      <c r="DIY239" s="23"/>
      <c r="DJD239" s="26"/>
      <c r="DJH239" s="23"/>
      <c r="DJM239" s="26"/>
      <c r="DJQ239" s="23"/>
      <c r="DJV239" s="26"/>
      <c r="DJZ239" s="23"/>
      <c r="DKE239" s="26"/>
      <c r="DKI239" s="23"/>
      <c r="DKN239" s="26"/>
      <c r="DKR239" s="23"/>
      <c r="DKW239" s="26"/>
      <c r="DLA239" s="23"/>
      <c r="DLF239" s="26"/>
      <c r="DLJ239" s="23"/>
      <c r="DLO239" s="26"/>
      <c r="DLS239" s="23"/>
      <c r="DLX239" s="26"/>
      <c r="DMB239" s="23"/>
      <c r="DMG239" s="26"/>
      <c r="DMK239" s="23"/>
      <c r="DMP239" s="26"/>
      <c r="DMT239" s="23"/>
      <c r="DMY239" s="26"/>
      <c r="DNC239" s="23"/>
      <c r="DNH239" s="26"/>
      <c r="DNL239" s="23"/>
      <c r="DNQ239" s="26"/>
      <c r="DNU239" s="23"/>
      <c r="DNZ239" s="26"/>
      <c r="DOD239" s="23"/>
      <c r="DOI239" s="26"/>
      <c r="DOM239" s="23"/>
      <c r="DOR239" s="26"/>
      <c r="DOV239" s="23"/>
      <c r="DPA239" s="26"/>
      <c r="DPE239" s="23"/>
      <c r="DPJ239" s="26"/>
      <c r="DPN239" s="23"/>
      <c r="DPS239" s="26"/>
      <c r="DPW239" s="23"/>
      <c r="DQB239" s="26"/>
      <c r="DQF239" s="23"/>
      <c r="DQK239" s="26"/>
      <c r="DQO239" s="23"/>
      <c r="DQT239" s="26"/>
      <c r="DQX239" s="23"/>
      <c r="DRC239" s="26"/>
      <c r="DRG239" s="23"/>
      <c r="DRL239" s="26"/>
      <c r="DRP239" s="23"/>
      <c r="DRU239" s="26"/>
      <c r="DRY239" s="23"/>
      <c r="DSD239" s="26"/>
      <c r="DSH239" s="23"/>
      <c r="DSM239" s="26"/>
      <c r="DSQ239" s="23"/>
      <c r="DSV239" s="26"/>
      <c r="DSZ239" s="23"/>
      <c r="DTE239" s="26"/>
      <c r="DTI239" s="23"/>
      <c r="DTN239" s="26"/>
      <c r="DTR239" s="23"/>
      <c r="DTW239" s="26"/>
      <c r="DUA239" s="23"/>
      <c r="DUF239" s="26"/>
      <c r="DUJ239" s="23"/>
      <c r="DUO239" s="26"/>
      <c r="DUS239" s="23"/>
      <c r="DUX239" s="26"/>
      <c r="DVB239" s="23"/>
      <c r="DVG239" s="26"/>
      <c r="DVK239" s="23"/>
      <c r="DVP239" s="26"/>
      <c r="DVT239" s="23"/>
      <c r="DVY239" s="26"/>
      <c r="DWC239" s="23"/>
      <c r="DWH239" s="26"/>
      <c r="DWL239" s="23"/>
      <c r="DWQ239" s="26"/>
      <c r="DWU239" s="23"/>
      <c r="DWZ239" s="26"/>
      <c r="DXD239" s="23"/>
      <c r="DXI239" s="26"/>
      <c r="DXM239" s="23"/>
      <c r="DXR239" s="26"/>
      <c r="DXV239" s="23"/>
      <c r="DYA239" s="26"/>
      <c r="DYE239" s="23"/>
      <c r="DYJ239" s="26"/>
      <c r="DYN239" s="23"/>
      <c r="DYS239" s="26"/>
      <c r="DYW239" s="23"/>
      <c r="DZB239" s="26"/>
      <c r="DZF239" s="23"/>
      <c r="DZK239" s="26"/>
      <c r="DZO239" s="23"/>
      <c r="DZT239" s="26"/>
      <c r="DZX239" s="23"/>
      <c r="EAC239" s="26"/>
      <c r="EAG239" s="23"/>
      <c r="EAL239" s="26"/>
      <c r="EAP239" s="23"/>
      <c r="EAU239" s="26"/>
      <c r="EAY239" s="23"/>
      <c r="EBD239" s="26"/>
      <c r="EBH239" s="23"/>
      <c r="EBM239" s="26"/>
      <c r="EBQ239" s="23"/>
      <c r="EBV239" s="26"/>
      <c r="EBZ239" s="23"/>
      <c r="ECE239" s="26"/>
      <c r="ECI239" s="23"/>
      <c r="ECN239" s="26"/>
      <c r="ECR239" s="23"/>
      <c r="ECW239" s="26"/>
      <c r="EDA239" s="23"/>
      <c r="EDF239" s="26"/>
      <c r="EDJ239" s="23"/>
      <c r="EDO239" s="26"/>
      <c r="EDS239" s="23"/>
      <c r="EDX239" s="26"/>
      <c r="EEB239" s="23"/>
      <c r="EEG239" s="26"/>
      <c r="EEK239" s="23"/>
      <c r="EEP239" s="26"/>
      <c r="EET239" s="23"/>
      <c r="EEY239" s="26"/>
      <c r="EFC239" s="23"/>
      <c r="EFH239" s="26"/>
      <c r="EFL239" s="23"/>
      <c r="EFQ239" s="26"/>
      <c r="EFU239" s="23"/>
      <c r="EFZ239" s="26"/>
      <c r="EGD239" s="23"/>
      <c r="EGI239" s="26"/>
      <c r="EGM239" s="23"/>
      <c r="EGR239" s="26"/>
      <c r="EGV239" s="23"/>
      <c r="EHA239" s="26"/>
      <c r="EHE239" s="23"/>
      <c r="EHJ239" s="26"/>
      <c r="EHN239" s="23"/>
      <c r="EHS239" s="26"/>
      <c r="EHW239" s="23"/>
      <c r="EIB239" s="26"/>
      <c r="EIF239" s="23"/>
      <c r="EIK239" s="26"/>
      <c r="EIO239" s="23"/>
      <c r="EIT239" s="26"/>
      <c r="EIX239" s="23"/>
      <c r="EJC239" s="26"/>
      <c r="EJG239" s="23"/>
      <c r="EJL239" s="26"/>
      <c r="EJP239" s="23"/>
      <c r="EJU239" s="26"/>
      <c r="EJY239" s="23"/>
      <c r="EKD239" s="26"/>
      <c r="EKH239" s="23"/>
      <c r="EKM239" s="26"/>
      <c r="EKQ239" s="23"/>
      <c r="EKV239" s="26"/>
      <c r="EKZ239" s="23"/>
      <c r="ELE239" s="26"/>
      <c r="ELI239" s="23"/>
      <c r="ELN239" s="26"/>
      <c r="ELR239" s="23"/>
      <c r="ELW239" s="26"/>
      <c r="EMA239" s="23"/>
      <c r="EMF239" s="26"/>
      <c r="EMJ239" s="23"/>
      <c r="EMO239" s="26"/>
      <c r="EMS239" s="23"/>
      <c r="EMX239" s="26"/>
      <c r="ENB239" s="23"/>
      <c r="ENG239" s="26"/>
      <c r="ENK239" s="23"/>
      <c r="ENP239" s="26"/>
      <c r="ENT239" s="23"/>
      <c r="ENY239" s="26"/>
      <c r="EOC239" s="23"/>
      <c r="EOH239" s="26"/>
      <c r="EOL239" s="23"/>
      <c r="EOQ239" s="26"/>
      <c r="EOU239" s="23"/>
      <c r="EOZ239" s="26"/>
      <c r="EPD239" s="23"/>
      <c r="EPI239" s="26"/>
      <c r="EPM239" s="23"/>
      <c r="EPR239" s="26"/>
      <c r="EPV239" s="23"/>
      <c r="EQA239" s="26"/>
      <c r="EQE239" s="23"/>
      <c r="EQJ239" s="26"/>
      <c r="EQN239" s="23"/>
      <c r="EQS239" s="26"/>
      <c r="EQW239" s="23"/>
      <c r="ERB239" s="26"/>
      <c r="ERF239" s="23"/>
      <c r="ERK239" s="26"/>
      <c r="ERO239" s="23"/>
      <c r="ERT239" s="26"/>
      <c r="ERX239" s="23"/>
      <c r="ESC239" s="26"/>
      <c r="ESG239" s="23"/>
      <c r="ESL239" s="26"/>
      <c r="ESP239" s="23"/>
      <c r="ESU239" s="26"/>
      <c r="ESY239" s="23"/>
      <c r="ETD239" s="26"/>
      <c r="ETH239" s="23"/>
      <c r="ETM239" s="26"/>
      <c r="ETQ239" s="23"/>
      <c r="ETV239" s="26"/>
      <c r="ETZ239" s="23"/>
      <c r="EUE239" s="26"/>
      <c r="EUI239" s="23"/>
      <c r="EUN239" s="26"/>
      <c r="EUR239" s="23"/>
      <c r="EUW239" s="26"/>
      <c r="EVA239" s="23"/>
      <c r="EVF239" s="26"/>
      <c r="EVJ239" s="23"/>
      <c r="EVO239" s="26"/>
      <c r="EVS239" s="23"/>
      <c r="EVX239" s="26"/>
      <c r="EWB239" s="23"/>
      <c r="EWG239" s="26"/>
      <c r="EWK239" s="23"/>
      <c r="EWP239" s="26"/>
      <c r="EWT239" s="23"/>
      <c r="EWY239" s="26"/>
      <c r="EXC239" s="23"/>
      <c r="EXH239" s="26"/>
      <c r="EXL239" s="23"/>
      <c r="EXQ239" s="26"/>
      <c r="EXU239" s="23"/>
      <c r="EXZ239" s="26"/>
      <c r="EYD239" s="23"/>
      <c r="EYI239" s="26"/>
      <c r="EYM239" s="23"/>
      <c r="EYR239" s="26"/>
      <c r="EYV239" s="23"/>
      <c r="EZA239" s="26"/>
      <c r="EZE239" s="23"/>
      <c r="EZJ239" s="26"/>
      <c r="EZN239" s="23"/>
      <c r="EZS239" s="26"/>
      <c r="EZW239" s="23"/>
      <c r="FAB239" s="26"/>
      <c r="FAF239" s="23"/>
      <c r="FAK239" s="26"/>
      <c r="FAO239" s="23"/>
      <c r="FAT239" s="26"/>
      <c r="FAX239" s="23"/>
      <c r="FBC239" s="26"/>
      <c r="FBG239" s="23"/>
      <c r="FBL239" s="26"/>
      <c r="FBP239" s="23"/>
      <c r="FBU239" s="26"/>
      <c r="FBY239" s="23"/>
      <c r="FCD239" s="26"/>
      <c r="FCH239" s="23"/>
      <c r="FCM239" s="26"/>
      <c r="FCQ239" s="23"/>
      <c r="FCV239" s="26"/>
      <c r="FCZ239" s="23"/>
      <c r="FDE239" s="26"/>
      <c r="FDI239" s="23"/>
      <c r="FDN239" s="26"/>
      <c r="FDR239" s="23"/>
      <c r="FDW239" s="26"/>
      <c r="FEA239" s="23"/>
      <c r="FEF239" s="26"/>
      <c r="FEJ239" s="23"/>
      <c r="FEO239" s="26"/>
      <c r="FES239" s="23"/>
      <c r="FEX239" s="26"/>
      <c r="FFB239" s="23"/>
      <c r="FFG239" s="26"/>
      <c r="FFK239" s="23"/>
      <c r="FFP239" s="26"/>
      <c r="FFT239" s="23"/>
      <c r="FFY239" s="26"/>
      <c r="FGC239" s="23"/>
      <c r="FGH239" s="26"/>
      <c r="FGL239" s="23"/>
      <c r="FGQ239" s="26"/>
      <c r="FGU239" s="23"/>
      <c r="FGZ239" s="26"/>
      <c r="FHD239" s="23"/>
      <c r="FHI239" s="26"/>
      <c r="FHM239" s="23"/>
      <c r="FHR239" s="26"/>
      <c r="FHV239" s="23"/>
      <c r="FIA239" s="26"/>
      <c r="FIE239" s="23"/>
      <c r="FIJ239" s="26"/>
      <c r="FIN239" s="23"/>
      <c r="FIS239" s="26"/>
      <c r="FIW239" s="23"/>
      <c r="FJB239" s="26"/>
      <c r="FJF239" s="23"/>
      <c r="FJK239" s="26"/>
      <c r="FJO239" s="23"/>
      <c r="FJT239" s="26"/>
      <c r="FJX239" s="23"/>
      <c r="FKC239" s="26"/>
      <c r="FKG239" s="23"/>
      <c r="FKL239" s="26"/>
      <c r="FKP239" s="23"/>
      <c r="FKU239" s="26"/>
      <c r="FKY239" s="23"/>
      <c r="FLD239" s="26"/>
      <c r="FLH239" s="23"/>
      <c r="FLM239" s="26"/>
      <c r="FLQ239" s="23"/>
      <c r="FLV239" s="26"/>
      <c r="FLZ239" s="23"/>
      <c r="FME239" s="26"/>
      <c r="FMI239" s="23"/>
      <c r="FMN239" s="26"/>
      <c r="FMR239" s="23"/>
      <c r="FMW239" s="26"/>
      <c r="FNA239" s="23"/>
      <c r="FNF239" s="26"/>
      <c r="FNJ239" s="23"/>
      <c r="FNO239" s="26"/>
      <c r="FNS239" s="23"/>
      <c r="FNX239" s="26"/>
      <c r="FOB239" s="23"/>
      <c r="FOG239" s="26"/>
      <c r="FOK239" s="23"/>
      <c r="FOP239" s="26"/>
      <c r="FOT239" s="23"/>
      <c r="FOY239" s="26"/>
      <c r="FPC239" s="23"/>
      <c r="FPH239" s="26"/>
      <c r="FPL239" s="23"/>
      <c r="FPQ239" s="26"/>
      <c r="FPU239" s="23"/>
      <c r="FPZ239" s="26"/>
      <c r="FQD239" s="23"/>
      <c r="FQI239" s="26"/>
      <c r="FQM239" s="23"/>
      <c r="FQR239" s="26"/>
      <c r="FQV239" s="23"/>
      <c r="FRA239" s="26"/>
      <c r="FRE239" s="23"/>
      <c r="FRJ239" s="26"/>
      <c r="FRN239" s="23"/>
      <c r="FRS239" s="26"/>
      <c r="FRW239" s="23"/>
      <c r="FSB239" s="26"/>
      <c r="FSF239" s="23"/>
      <c r="FSK239" s="26"/>
      <c r="FSO239" s="23"/>
      <c r="FST239" s="26"/>
      <c r="FSX239" s="23"/>
      <c r="FTC239" s="26"/>
      <c r="FTG239" s="23"/>
      <c r="FTL239" s="26"/>
      <c r="FTP239" s="23"/>
      <c r="FTU239" s="26"/>
      <c r="FTY239" s="23"/>
      <c r="FUD239" s="26"/>
      <c r="FUH239" s="23"/>
      <c r="FUM239" s="26"/>
      <c r="FUQ239" s="23"/>
      <c r="FUV239" s="26"/>
      <c r="FUZ239" s="23"/>
      <c r="FVE239" s="26"/>
      <c r="FVI239" s="23"/>
      <c r="FVN239" s="26"/>
      <c r="FVR239" s="23"/>
      <c r="FVW239" s="26"/>
      <c r="FWA239" s="23"/>
      <c r="FWF239" s="26"/>
      <c r="FWJ239" s="23"/>
      <c r="FWO239" s="26"/>
      <c r="FWS239" s="23"/>
      <c r="FWX239" s="26"/>
      <c r="FXB239" s="23"/>
      <c r="FXG239" s="26"/>
      <c r="FXK239" s="23"/>
      <c r="FXP239" s="26"/>
      <c r="FXT239" s="23"/>
      <c r="FXY239" s="26"/>
      <c r="FYC239" s="23"/>
      <c r="FYH239" s="26"/>
      <c r="FYL239" s="23"/>
      <c r="FYQ239" s="26"/>
      <c r="FYU239" s="23"/>
      <c r="FYZ239" s="26"/>
      <c r="FZD239" s="23"/>
      <c r="FZI239" s="26"/>
      <c r="FZM239" s="23"/>
      <c r="FZR239" s="26"/>
      <c r="FZV239" s="23"/>
      <c r="GAA239" s="26"/>
      <c r="GAE239" s="23"/>
      <c r="GAJ239" s="26"/>
      <c r="GAN239" s="23"/>
      <c r="GAS239" s="26"/>
      <c r="GAW239" s="23"/>
      <c r="GBB239" s="26"/>
      <c r="GBF239" s="23"/>
      <c r="GBK239" s="26"/>
      <c r="GBO239" s="23"/>
      <c r="GBT239" s="26"/>
      <c r="GBX239" s="23"/>
      <c r="GCC239" s="26"/>
      <c r="GCG239" s="23"/>
      <c r="GCL239" s="26"/>
      <c r="GCP239" s="23"/>
      <c r="GCU239" s="26"/>
      <c r="GCY239" s="23"/>
      <c r="GDD239" s="26"/>
      <c r="GDH239" s="23"/>
      <c r="GDM239" s="26"/>
      <c r="GDQ239" s="23"/>
      <c r="GDV239" s="26"/>
      <c r="GDZ239" s="23"/>
      <c r="GEE239" s="26"/>
      <c r="GEI239" s="23"/>
      <c r="GEN239" s="26"/>
      <c r="GER239" s="23"/>
      <c r="GEW239" s="26"/>
      <c r="GFA239" s="23"/>
      <c r="GFF239" s="26"/>
      <c r="GFJ239" s="23"/>
      <c r="GFO239" s="26"/>
      <c r="GFS239" s="23"/>
      <c r="GFX239" s="26"/>
      <c r="GGB239" s="23"/>
      <c r="GGG239" s="26"/>
      <c r="GGK239" s="23"/>
      <c r="GGP239" s="26"/>
      <c r="GGT239" s="23"/>
      <c r="GGY239" s="26"/>
      <c r="GHC239" s="23"/>
      <c r="GHH239" s="26"/>
      <c r="GHL239" s="23"/>
      <c r="GHQ239" s="26"/>
      <c r="GHU239" s="23"/>
      <c r="GHZ239" s="26"/>
      <c r="GID239" s="23"/>
      <c r="GII239" s="26"/>
      <c r="GIM239" s="23"/>
      <c r="GIR239" s="26"/>
      <c r="GIV239" s="23"/>
      <c r="GJA239" s="26"/>
      <c r="GJE239" s="23"/>
      <c r="GJJ239" s="26"/>
      <c r="GJN239" s="23"/>
      <c r="GJS239" s="26"/>
      <c r="GJW239" s="23"/>
      <c r="GKB239" s="26"/>
      <c r="GKF239" s="23"/>
      <c r="GKK239" s="26"/>
      <c r="GKO239" s="23"/>
      <c r="GKT239" s="26"/>
      <c r="GKX239" s="23"/>
      <c r="GLC239" s="26"/>
      <c r="GLG239" s="23"/>
      <c r="GLL239" s="26"/>
      <c r="GLP239" s="23"/>
      <c r="GLU239" s="26"/>
      <c r="GLY239" s="23"/>
      <c r="GMD239" s="26"/>
      <c r="GMH239" s="23"/>
      <c r="GMM239" s="26"/>
      <c r="GMQ239" s="23"/>
      <c r="GMV239" s="26"/>
      <c r="GMZ239" s="23"/>
      <c r="GNE239" s="26"/>
      <c r="GNI239" s="23"/>
      <c r="GNN239" s="26"/>
      <c r="GNR239" s="23"/>
      <c r="GNW239" s="26"/>
      <c r="GOA239" s="23"/>
      <c r="GOF239" s="26"/>
      <c r="GOJ239" s="23"/>
      <c r="GOO239" s="26"/>
      <c r="GOS239" s="23"/>
      <c r="GOX239" s="26"/>
      <c r="GPB239" s="23"/>
      <c r="GPG239" s="26"/>
      <c r="GPK239" s="23"/>
      <c r="GPP239" s="26"/>
      <c r="GPT239" s="23"/>
      <c r="GPY239" s="26"/>
      <c r="GQC239" s="23"/>
      <c r="GQH239" s="26"/>
      <c r="GQL239" s="23"/>
      <c r="GQQ239" s="26"/>
      <c r="GQU239" s="23"/>
      <c r="GQZ239" s="26"/>
      <c r="GRD239" s="23"/>
      <c r="GRI239" s="26"/>
      <c r="GRM239" s="23"/>
      <c r="GRR239" s="26"/>
      <c r="GRV239" s="23"/>
      <c r="GSA239" s="26"/>
      <c r="GSE239" s="23"/>
      <c r="GSJ239" s="26"/>
      <c r="GSN239" s="23"/>
      <c r="GSS239" s="26"/>
      <c r="GSW239" s="23"/>
      <c r="GTB239" s="26"/>
      <c r="GTF239" s="23"/>
      <c r="GTK239" s="26"/>
      <c r="GTO239" s="23"/>
      <c r="GTT239" s="26"/>
      <c r="GTX239" s="23"/>
      <c r="GUC239" s="26"/>
      <c r="GUG239" s="23"/>
      <c r="GUL239" s="26"/>
      <c r="GUP239" s="23"/>
      <c r="GUU239" s="26"/>
      <c r="GUY239" s="23"/>
      <c r="GVD239" s="26"/>
      <c r="GVH239" s="23"/>
      <c r="GVM239" s="26"/>
      <c r="GVQ239" s="23"/>
      <c r="GVV239" s="26"/>
      <c r="GVZ239" s="23"/>
      <c r="GWE239" s="26"/>
      <c r="GWI239" s="23"/>
      <c r="GWN239" s="26"/>
      <c r="GWR239" s="23"/>
      <c r="GWW239" s="26"/>
      <c r="GXA239" s="23"/>
      <c r="GXF239" s="26"/>
      <c r="GXJ239" s="23"/>
      <c r="GXO239" s="26"/>
      <c r="GXS239" s="23"/>
      <c r="GXX239" s="26"/>
      <c r="GYB239" s="23"/>
      <c r="GYG239" s="26"/>
      <c r="GYK239" s="23"/>
      <c r="GYP239" s="26"/>
      <c r="GYT239" s="23"/>
      <c r="GYY239" s="26"/>
      <c r="GZC239" s="23"/>
      <c r="GZH239" s="26"/>
      <c r="GZL239" s="23"/>
      <c r="GZQ239" s="26"/>
      <c r="GZU239" s="23"/>
      <c r="GZZ239" s="26"/>
      <c r="HAD239" s="23"/>
      <c r="HAI239" s="26"/>
      <c r="HAM239" s="23"/>
      <c r="HAR239" s="26"/>
      <c r="HAV239" s="23"/>
      <c r="HBA239" s="26"/>
      <c r="HBE239" s="23"/>
      <c r="HBJ239" s="26"/>
      <c r="HBN239" s="23"/>
      <c r="HBS239" s="26"/>
      <c r="HBW239" s="23"/>
      <c r="HCB239" s="26"/>
      <c r="HCF239" s="23"/>
      <c r="HCK239" s="26"/>
      <c r="HCO239" s="23"/>
      <c r="HCT239" s="26"/>
      <c r="HCX239" s="23"/>
      <c r="HDC239" s="26"/>
      <c r="HDG239" s="23"/>
      <c r="HDL239" s="26"/>
      <c r="HDP239" s="23"/>
      <c r="HDU239" s="26"/>
      <c r="HDY239" s="23"/>
      <c r="HED239" s="26"/>
      <c r="HEH239" s="23"/>
      <c r="HEM239" s="26"/>
      <c r="HEQ239" s="23"/>
      <c r="HEV239" s="26"/>
      <c r="HEZ239" s="23"/>
      <c r="HFE239" s="26"/>
      <c r="HFI239" s="23"/>
      <c r="HFN239" s="26"/>
      <c r="HFR239" s="23"/>
      <c r="HFW239" s="26"/>
      <c r="HGA239" s="23"/>
      <c r="HGF239" s="26"/>
      <c r="HGJ239" s="23"/>
      <c r="HGO239" s="26"/>
      <c r="HGS239" s="23"/>
      <c r="HGX239" s="26"/>
      <c r="HHB239" s="23"/>
      <c r="HHG239" s="26"/>
      <c r="HHK239" s="23"/>
      <c r="HHP239" s="26"/>
      <c r="HHT239" s="23"/>
      <c r="HHY239" s="26"/>
      <c r="HIC239" s="23"/>
      <c r="HIH239" s="26"/>
      <c r="HIL239" s="23"/>
      <c r="HIQ239" s="26"/>
      <c r="HIU239" s="23"/>
      <c r="HIZ239" s="26"/>
      <c r="HJD239" s="23"/>
      <c r="HJI239" s="26"/>
      <c r="HJM239" s="23"/>
      <c r="HJR239" s="26"/>
      <c r="HJV239" s="23"/>
      <c r="HKA239" s="26"/>
      <c r="HKE239" s="23"/>
      <c r="HKJ239" s="26"/>
      <c r="HKN239" s="23"/>
      <c r="HKS239" s="26"/>
      <c r="HKW239" s="23"/>
      <c r="HLB239" s="26"/>
      <c r="HLF239" s="23"/>
      <c r="HLK239" s="26"/>
      <c r="HLO239" s="23"/>
      <c r="HLT239" s="26"/>
      <c r="HLX239" s="23"/>
      <c r="HMC239" s="26"/>
      <c r="HMG239" s="23"/>
      <c r="HML239" s="26"/>
      <c r="HMP239" s="23"/>
      <c r="HMU239" s="26"/>
      <c r="HMY239" s="23"/>
      <c r="HND239" s="26"/>
      <c r="HNH239" s="23"/>
      <c r="HNM239" s="26"/>
      <c r="HNQ239" s="23"/>
      <c r="HNV239" s="26"/>
      <c r="HNZ239" s="23"/>
      <c r="HOE239" s="26"/>
      <c r="HOI239" s="23"/>
      <c r="HON239" s="26"/>
      <c r="HOR239" s="23"/>
      <c r="HOW239" s="26"/>
      <c r="HPA239" s="23"/>
      <c r="HPF239" s="26"/>
      <c r="HPJ239" s="23"/>
      <c r="HPO239" s="26"/>
      <c r="HPS239" s="23"/>
      <c r="HPX239" s="26"/>
      <c r="HQB239" s="23"/>
      <c r="HQG239" s="26"/>
      <c r="HQK239" s="23"/>
      <c r="HQP239" s="26"/>
      <c r="HQT239" s="23"/>
      <c r="HQY239" s="26"/>
      <c r="HRC239" s="23"/>
      <c r="HRH239" s="26"/>
      <c r="HRL239" s="23"/>
      <c r="HRQ239" s="26"/>
      <c r="HRU239" s="23"/>
      <c r="HRZ239" s="26"/>
      <c r="HSD239" s="23"/>
      <c r="HSI239" s="26"/>
      <c r="HSM239" s="23"/>
      <c r="HSR239" s="26"/>
      <c r="HSV239" s="23"/>
      <c r="HTA239" s="26"/>
      <c r="HTE239" s="23"/>
      <c r="HTJ239" s="26"/>
      <c r="HTN239" s="23"/>
      <c r="HTS239" s="26"/>
      <c r="HTW239" s="23"/>
      <c r="HUB239" s="26"/>
      <c r="HUF239" s="23"/>
      <c r="HUK239" s="26"/>
      <c r="HUO239" s="23"/>
      <c r="HUT239" s="26"/>
      <c r="HUX239" s="23"/>
      <c r="HVC239" s="26"/>
      <c r="HVG239" s="23"/>
      <c r="HVL239" s="26"/>
      <c r="HVP239" s="23"/>
      <c r="HVU239" s="26"/>
      <c r="HVY239" s="23"/>
      <c r="HWD239" s="26"/>
      <c r="HWH239" s="23"/>
      <c r="HWM239" s="26"/>
      <c r="HWQ239" s="23"/>
      <c r="HWV239" s="26"/>
      <c r="HWZ239" s="23"/>
      <c r="HXE239" s="26"/>
      <c r="HXI239" s="23"/>
      <c r="HXN239" s="26"/>
      <c r="HXR239" s="23"/>
      <c r="HXW239" s="26"/>
      <c r="HYA239" s="23"/>
      <c r="HYF239" s="26"/>
      <c r="HYJ239" s="23"/>
      <c r="HYO239" s="26"/>
      <c r="HYS239" s="23"/>
      <c r="HYX239" s="26"/>
      <c r="HZB239" s="23"/>
      <c r="HZG239" s="26"/>
      <c r="HZK239" s="23"/>
      <c r="HZP239" s="26"/>
      <c r="HZT239" s="23"/>
      <c r="HZY239" s="26"/>
      <c r="IAC239" s="23"/>
      <c r="IAH239" s="26"/>
      <c r="IAL239" s="23"/>
      <c r="IAQ239" s="26"/>
      <c r="IAU239" s="23"/>
      <c r="IAZ239" s="26"/>
      <c r="IBD239" s="23"/>
      <c r="IBI239" s="26"/>
      <c r="IBM239" s="23"/>
      <c r="IBR239" s="26"/>
      <c r="IBV239" s="23"/>
      <c r="ICA239" s="26"/>
      <c r="ICE239" s="23"/>
      <c r="ICJ239" s="26"/>
      <c r="ICN239" s="23"/>
      <c r="ICS239" s="26"/>
      <c r="ICW239" s="23"/>
      <c r="IDB239" s="26"/>
      <c r="IDF239" s="23"/>
      <c r="IDK239" s="26"/>
      <c r="IDO239" s="23"/>
      <c r="IDT239" s="26"/>
      <c r="IDX239" s="23"/>
      <c r="IEC239" s="26"/>
      <c r="IEG239" s="23"/>
      <c r="IEL239" s="26"/>
      <c r="IEP239" s="23"/>
      <c r="IEU239" s="26"/>
      <c r="IEY239" s="23"/>
      <c r="IFD239" s="26"/>
      <c r="IFH239" s="23"/>
      <c r="IFM239" s="26"/>
      <c r="IFQ239" s="23"/>
      <c r="IFV239" s="26"/>
      <c r="IFZ239" s="23"/>
      <c r="IGE239" s="26"/>
      <c r="IGI239" s="23"/>
      <c r="IGN239" s="26"/>
      <c r="IGR239" s="23"/>
      <c r="IGW239" s="26"/>
      <c r="IHA239" s="23"/>
      <c r="IHF239" s="26"/>
      <c r="IHJ239" s="23"/>
      <c r="IHO239" s="26"/>
      <c r="IHS239" s="23"/>
      <c r="IHX239" s="26"/>
      <c r="IIB239" s="23"/>
      <c r="IIG239" s="26"/>
      <c r="IIK239" s="23"/>
      <c r="IIP239" s="26"/>
      <c r="IIT239" s="23"/>
      <c r="IIY239" s="26"/>
      <c r="IJC239" s="23"/>
      <c r="IJH239" s="26"/>
      <c r="IJL239" s="23"/>
      <c r="IJQ239" s="26"/>
      <c r="IJU239" s="23"/>
      <c r="IJZ239" s="26"/>
      <c r="IKD239" s="23"/>
      <c r="IKI239" s="26"/>
      <c r="IKM239" s="23"/>
      <c r="IKR239" s="26"/>
      <c r="IKV239" s="23"/>
      <c r="ILA239" s="26"/>
      <c r="ILE239" s="23"/>
      <c r="ILJ239" s="26"/>
      <c r="ILN239" s="23"/>
      <c r="ILS239" s="26"/>
      <c r="ILW239" s="23"/>
      <c r="IMB239" s="26"/>
      <c r="IMF239" s="23"/>
      <c r="IMK239" s="26"/>
      <c r="IMO239" s="23"/>
      <c r="IMT239" s="26"/>
      <c r="IMX239" s="23"/>
      <c r="INC239" s="26"/>
      <c r="ING239" s="23"/>
      <c r="INL239" s="26"/>
      <c r="INP239" s="23"/>
      <c r="INU239" s="26"/>
      <c r="INY239" s="23"/>
      <c r="IOD239" s="26"/>
      <c r="IOH239" s="23"/>
      <c r="IOM239" s="26"/>
      <c r="IOQ239" s="23"/>
      <c r="IOV239" s="26"/>
      <c r="IOZ239" s="23"/>
      <c r="IPE239" s="26"/>
      <c r="IPI239" s="23"/>
      <c r="IPN239" s="26"/>
      <c r="IPR239" s="23"/>
      <c r="IPW239" s="26"/>
      <c r="IQA239" s="23"/>
      <c r="IQF239" s="26"/>
      <c r="IQJ239" s="23"/>
      <c r="IQO239" s="26"/>
      <c r="IQS239" s="23"/>
      <c r="IQX239" s="26"/>
      <c r="IRB239" s="23"/>
      <c r="IRG239" s="26"/>
      <c r="IRK239" s="23"/>
      <c r="IRP239" s="26"/>
      <c r="IRT239" s="23"/>
      <c r="IRY239" s="26"/>
      <c r="ISC239" s="23"/>
      <c r="ISH239" s="26"/>
      <c r="ISL239" s="23"/>
      <c r="ISQ239" s="26"/>
      <c r="ISU239" s="23"/>
      <c r="ISZ239" s="26"/>
      <c r="ITD239" s="23"/>
      <c r="ITI239" s="26"/>
      <c r="ITM239" s="23"/>
      <c r="ITR239" s="26"/>
      <c r="ITV239" s="23"/>
      <c r="IUA239" s="26"/>
      <c r="IUE239" s="23"/>
      <c r="IUJ239" s="26"/>
      <c r="IUN239" s="23"/>
      <c r="IUS239" s="26"/>
      <c r="IUW239" s="23"/>
      <c r="IVB239" s="26"/>
      <c r="IVF239" s="23"/>
      <c r="IVK239" s="26"/>
      <c r="IVO239" s="23"/>
      <c r="IVT239" s="26"/>
      <c r="IVX239" s="23"/>
      <c r="IWC239" s="26"/>
      <c r="IWG239" s="23"/>
      <c r="IWL239" s="26"/>
      <c r="IWP239" s="23"/>
      <c r="IWU239" s="26"/>
      <c r="IWY239" s="23"/>
      <c r="IXD239" s="26"/>
      <c r="IXH239" s="23"/>
      <c r="IXM239" s="26"/>
      <c r="IXQ239" s="23"/>
      <c r="IXV239" s="26"/>
      <c r="IXZ239" s="23"/>
      <c r="IYE239" s="26"/>
      <c r="IYI239" s="23"/>
      <c r="IYN239" s="26"/>
      <c r="IYR239" s="23"/>
      <c r="IYW239" s="26"/>
      <c r="IZA239" s="23"/>
      <c r="IZF239" s="26"/>
      <c r="IZJ239" s="23"/>
      <c r="IZO239" s="26"/>
      <c r="IZS239" s="23"/>
      <c r="IZX239" s="26"/>
      <c r="JAB239" s="23"/>
      <c r="JAG239" s="26"/>
      <c r="JAK239" s="23"/>
      <c r="JAP239" s="26"/>
      <c r="JAT239" s="23"/>
      <c r="JAY239" s="26"/>
      <c r="JBC239" s="23"/>
      <c r="JBH239" s="26"/>
      <c r="JBL239" s="23"/>
      <c r="JBQ239" s="26"/>
      <c r="JBU239" s="23"/>
      <c r="JBZ239" s="26"/>
      <c r="JCD239" s="23"/>
      <c r="JCI239" s="26"/>
      <c r="JCM239" s="23"/>
      <c r="JCR239" s="26"/>
      <c r="JCV239" s="23"/>
      <c r="JDA239" s="26"/>
      <c r="JDE239" s="23"/>
      <c r="JDJ239" s="26"/>
      <c r="JDN239" s="23"/>
      <c r="JDS239" s="26"/>
      <c r="JDW239" s="23"/>
      <c r="JEB239" s="26"/>
      <c r="JEF239" s="23"/>
      <c r="JEK239" s="26"/>
      <c r="JEO239" s="23"/>
      <c r="JET239" s="26"/>
      <c r="JEX239" s="23"/>
      <c r="JFC239" s="26"/>
      <c r="JFG239" s="23"/>
      <c r="JFL239" s="26"/>
      <c r="JFP239" s="23"/>
      <c r="JFU239" s="26"/>
      <c r="JFY239" s="23"/>
      <c r="JGD239" s="26"/>
      <c r="JGH239" s="23"/>
      <c r="JGM239" s="26"/>
      <c r="JGQ239" s="23"/>
      <c r="JGV239" s="26"/>
      <c r="JGZ239" s="23"/>
      <c r="JHE239" s="26"/>
      <c r="JHI239" s="23"/>
      <c r="JHN239" s="26"/>
      <c r="JHR239" s="23"/>
      <c r="JHW239" s="26"/>
      <c r="JIA239" s="23"/>
      <c r="JIF239" s="26"/>
      <c r="JIJ239" s="23"/>
      <c r="JIO239" s="26"/>
      <c r="JIS239" s="23"/>
      <c r="JIX239" s="26"/>
      <c r="JJB239" s="23"/>
      <c r="JJG239" s="26"/>
      <c r="JJK239" s="23"/>
      <c r="JJP239" s="26"/>
      <c r="JJT239" s="23"/>
      <c r="JJY239" s="26"/>
      <c r="JKC239" s="23"/>
      <c r="JKH239" s="26"/>
      <c r="JKL239" s="23"/>
      <c r="JKQ239" s="26"/>
      <c r="JKU239" s="23"/>
      <c r="JKZ239" s="26"/>
      <c r="JLD239" s="23"/>
      <c r="JLI239" s="26"/>
      <c r="JLM239" s="23"/>
      <c r="JLR239" s="26"/>
      <c r="JLV239" s="23"/>
      <c r="JMA239" s="26"/>
      <c r="JME239" s="23"/>
      <c r="JMJ239" s="26"/>
      <c r="JMN239" s="23"/>
      <c r="JMS239" s="26"/>
      <c r="JMW239" s="23"/>
      <c r="JNB239" s="26"/>
      <c r="JNF239" s="23"/>
      <c r="JNK239" s="26"/>
      <c r="JNO239" s="23"/>
      <c r="JNT239" s="26"/>
      <c r="JNX239" s="23"/>
      <c r="JOC239" s="26"/>
      <c r="JOG239" s="23"/>
      <c r="JOL239" s="26"/>
      <c r="JOP239" s="23"/>
      <c r="JOU239" s="26"/>
      <c r="JOY239" s="23"/>
      <c r="JPD239" s="26"/>
      <c r="JPH239" s="23"/>
      <c r="JPM239" s="26"/>
      <c r="JPQ239" s="23"/>
      <c r="JPV239" s="26"/>
      <c r="JPZ239" s="23"/>
      <c r="JQE239" s="26"/>
      <c r="JQI239" s="23"/>
      <c r="JQN239" s="26"/>
      <c r="JQR239" s="23"/>
      <c r="JQW239" s="26"/>
      <c r="JRA239" s="23"/>
      <c r="JRF239" s="26"/>
      <c r="JRJ239" s="23"/>
      <c r="JRO239" s="26"/>
      <c r="JRS239" s="23"/>
      <c r="JRX239" s="26"/>
      <c r="JSB239" s="23"/>
      <c r="JSG239" s="26"/>
      <c r="JSK239" s="23"/>
      <c r="JSP239" s="26"/>
      <c r="JST239" s="23"/>
      <c r="JSY239" s="26"/>
      <c r="JTC239" s="23"/>
      <c r="JTH239" s="26"/>
      <c r="JTL239" s="23"/>
      <c r="JTQ239" s="26"/>
      <c r="JTU239" s="23"/>
      <c r="JTZ239" s="26"/>
      <c r="JUD239" s="23"/>
      <c r="JUI239" s="26"/>
      <c r="JUM239" s="23"/>
      <c r="JUR239" s="26"/>
      <c r="JUV239" s="23"/>
      <c r="JVA239" s="26"/>
      <c r="JVE239" s="23"/>
      <c r="JVJ239" s="26"/>
      <c r="JVN239" s="23"/>
      <c r="JVS239" s="26"/>
      <c r="JVW239" s="23"/>
      <c r="JWB239" s="26"/>
      <c r="JWF239" s="23"/>
      <c r="JWK239" s="26"/>
      <c r="JWO239" s="23"/>
      <c r="JWT239" s="26"/>
      <c r="JWX239" s="23"/>
      <c r="JXC239" s="26"/>
      <c r="JXG239" s="23"/>
      <c r="JXL239" s="26"/>
      <c r="JXP239" s="23"/>
      <c r="JXU239" s="26"/>
      <c r="JXY239" s="23"/>
      <c r="JYD239" s="26"/>
      <c r="JYH239" s="23"/>
      <c r="JYM239" s="26"/>
      <c r="JYQ239" s="23"/>
      <c r="JYV239" s="26"/>
      <c r="JYZ239" s="23"/>
      <c r="JZE239" s="26"/>
      <c r="JZI239" s="23"/>
      <c r="JZN239" s="26"/>
      <c r="JZR239" s="23"/>
      <c r="JZW239" s="26"/>
      <c r="KAA239" s="23"/>
      <c r="KAF239" s="26"/>
      <c r="KAJ239" s="23"/>
      <c r="KAO239" s="26"/>
      <c r="KAS239" s="23"/>
      <c r="KAX239" s="26"/>
      <c r="KBB239" s="23"/>
      <c r="KBG239" s="26"/>
      <c r="KBK239" s="23"/>
      <c r="KBP239" s="26"/>
      <c r="KBT239" s="23"/>
      <c r="KBY239" s="26"/>
      <c r="KCC239" s="23"/>
      <c r="KCH239" s="26"/>
      <c r="KCL239" s="23"/>
      <c r="KCQ239" s="26"/>
      <c r="KCU239" s="23"/>
      <c r="KCZ239" s="26"/>
      <c r="KDD239" s="23"/>
      <c r="KDI239" s="26"/>
      <c r="KDM239" s="23"/>
      <c r="KDR239" s="26"/>
      <c r="KDV239" s="23"/>
      <c r="KEA239" s="26"/>
      <c r="KEE239" s="23"/>
      <c r="KEJ239" s="26"/>
      <c r="KEN239" s="23"/>
      <c r="KES239" s="26"/>
      <c r="KEW239" s="23"/>
      <c r="KFB239" s="26"/>
      <c r="KFF239" s="23"/>
      <c r="KFK239" s="26"/>
      <c r="KFO239" s="23"/>
      <c r="KFT239" s="26"/>
      <c r="KFX239" s="23"/>
      <c r="KGC239" s="26"/>
      <c r="KGG239" s="23"/>
      <c r="KGL239" s="26"/>
      <c r="KGP239" s="23"/>
      <c r="KGU239" s="26"/>
      <c r="KGY239" s="23"/>
      <c r="KHD239" s="26"/>
      <c r="KHH239" s="23"/>
      <c r="KHM239" s="26"/>
      <c r="KHQ239" s="23"/>
      <c r="KHV239" s="26"/>
      <c r="KHZ239" s="23"/>
      <c r="KIE239" s="26"/>
      <c r="KII239" s="23"/>
      <c r="KIN239" s="26"/>
      <c r="KIR239" s="23"/>
      <c r="KIW239" s="26"/>
      <c r="KJA239" s="23"/>
      <c r="KJF239" s="26"/>
      <c r="KJJ239" s="23"/>
      <c r="KJO239" s="26"/>
      <c r="KJS239" s="23"/>
      <c r="KJX239" s="26"/>
      <c r="KKB239" s="23"/>
      <c r="KKG239" s="26"/>
      <c r="KKK239" s="23"/>
      <c r="KKP239" s="26"/>
      <c r="KKT239" s="23"/>
      <c r="KKY239" s="26"/>
      <c r="KLC239" s="23"/>
      <c r="KLH239" s="26"/>
      <c r="KLL239" s="23"/>
      <c r="KLQ239" s="26"/>
      <c r="KLU239" s="23"/>
      <c r="KLZ239" s="26"/>
      <c r="KMD239" s="23"/>
      <c r="KMI239" s="26"/>
      <c r="KMM239" s="23"/>
      <c r="KMR239" s="26"/>
      <c r="KMV239" s="23"/>
      <c r="KNA239" s="26"/>
      <c r="KNE239" s="23"/>
      <c r="KNJ239" s="26"/>
      <c r="KNN239" s="23"/>
      <c r="KNS239" s="26"/>
      <c r="KNW239" s="23"/>
      <c r="KOB239" s="26"/>
      <c r="KOF239" s="23"/>
      <c r="KOK239" s="26"/>
      <c r="KOO239" s="23"/>
      <c r="KOT239" s="26"/>
      <c r="KOX239" s="23"/>
      <c r="KPC239" s="26"/>
      <c r="KPG239" s="23"/>
      <c r="KPL239" s="26"/>
      <c r="KPP239" s="23"/>
      <c r="KPU239" s="26"/>
      <c r="KPY239" s="23"/>
      <c r="KQD239" s="26"/>
      <c r="KQH239" s="23"/>
      <c r="KQM239" s="26"/>
      <c r="KQQ239" s="23"/>
      <c r="KQV239" s="26"/>
      <c r="KQZ239" s="23"/>
      <c r="KRE239" s="26"/>
      <c r="KRI239" s="23"/>
      <c r="KRN239" s="26"/>
      <c r="KRR239" s="23"/>
      <c r="KRW239" s="26"/>
      <c r="KSA239" s="23"/>
      <c r="KSF239" s="26"/>
      <c r="KSJ239" s="23"/>
      <c r="KSO239" s="26"/>
      <c r="KSS239" s="23"/>
      <c r="KSX239" s="26"/>
      <c r="KTB239" s="23"/>
      <c r="KTG239" s="26"/>
      <c r="KTK239" s="23"/>
      <c r="KTP239" s="26"/>
      <c r="KTT239" s="23"/>
      <c r="KTY239" s="26"/>
      <c r="KUC239" s="23"/>
      <c r="KUH239" s="26"/>
      <c r="KUL239" s="23"/>
      <c r="KUQ239" s="26"/>
      <c r="KUU239" s="23"/>
      <c r="KUZ239" s="26"/>
      <c r="KVD239" s="23"/>
      <c r="KVI239" s="26"/>
      <c r="KVM239" s="23"/>
      <c r="KVR239" s="26"/>
      <c r="KVV239" s="23"/>
      <c r="KWA239" s="26"/>
      <c r="KWE239" s="23"/>
      <c r="KWJ239" s="26"/>
      <c r="KWN239" s="23"/>
      <c r="KWS239" s="26"/>
      <c r="KWW239" s="23"/>
      <c r="KXB239" s="26"/>
      <c r="KXF239" s="23"/>
      <c r="KXK239" s="26"/>
      <c r="KXO239" s="23"/>
      <c r="KXT239" s="26"/>
      <c r="KXX239" s="23"/>
      <c r="KYC239" s="26"/>
      <c r="KYG239" s="23"/>
      <c r="KYL239" s="26"/>
      <c r="KYP239" s="23"/>
      <c r="KYU239" s="26"/>
      <c r="KYY239" s="23"/>
      <c r="KZD239" s="26"/>
      <c r="KZH239" s="23"/>
      <c r="KZM239" s="26"/>
      <c r="KZQ239" s="23"/>
      <c r="KZV239" s="26"/>
      <c r="KZZ239" s="23"/>
      <c r="LAE239" s="26"/>
      <c r="LAI239" s="23"/>
      <c r="LAN239" s="26"/>
      <c r="LAR239" s="23"/>
      <c r="LAW239" s="26"/>
      <c r="LBA239" s="23"/>
      <c r="LBF239" s="26"/>
      <c r="LBJ239" s="23"/>
      <c r="LBO239" s="26"/>
      <c r="LBS239" s="23"/>
      <c r="LBX239" s="26"/>
      <c r="LCB239" s="23"/>
      <c r="LCG239" s="26"/>
      <c r="LCK239" s="23"/>
      <c r="LCP239" s="26"/>
      <c r="LCT239" s="23"/>
      <c r="LCY239" s="26"/>
      <c r="LDC239" s="23"/>
      <c r="LDH239" s="26"/>
      <c r="LDL239" s="23"/>
      <c r="LDQ239" s="26"/>
      <c r="LDU239" s="23"/>
      <c r="LDZ239" s="26"/>
      <c r="LED239" s="23"/>
      <c r="LEI239" s="26"/>
      <c r="LEM239" s="23"/>
      <c r="LER239" s="26"/>
      <c r="LEV239" s="23"/>
      <c r="LFA239" s="26"/>
      <c r="LFE239" s="23"/>
      <c r="LFJ239" s="26"/>
      <c r="LFN239" s="23"/>
      <c r="LFS239" s="26"/>
      <c r="LFW239" s="23"/>
      <c r="LGB239" s="26"/>
      <c r="LGF239" s="23"/>
      <c r="LGK239" s="26"/>
      <c r="LGO239" s="23"/>
      <c r="LGT239" s="26"/>
      <c r="LGX239" s="23"/>
      <c r="LHC239" s="26"/>
      <c r="LHG239" s="23"/>
      <c r="LHL239" s="26"/>
      <c r="LHP239" s="23"/>
      <c r="LHU239" s="26"/>
      <c r="LHY239" s="23"/>
      <c r="LID239" s="26"/>
      <c r="LIH239" s="23"/>
      <c r="LIM239" s="26"/>
      <c r="LIQ239" s="23"/>
      <c r="LIV239" s="26"/>
      <c r="LIZ239" s="23"/>
      <c r="LJE239" s="26"/>
      <c r="LJI239" s="23"/>
      <c r="LJN239" s="26"/>
      <c r="LJR239" s="23"/>
      <c r="LJW239" s="26"/>
      <c r="LKA239" s="23"/>
      <c r="LKF239" s="26"/>
      <c r="LKJ239" s="23"/>
      <c r="LKO239" s="26"/>
      <c r="LKS239" s="23"/>
      <c r="LKX239" s="26"/>
      <c r="LLB239" s="23"/>
      <c r="LLG239" s="26"/>
      <c r="LLK239" s="23"/>
      <c r="LLP239" s="26"/>
      <c r="LLT239" s="23"/>
      <c r="LLY239" s="26"/>
      <c r="LMC239" s="23"/>
      <c r="LMH239" s="26"/>
      <c r="LML239" s="23"/>
      <c r="LMQ239" s="26"/>
      <c r="LMU239" s="23"/>
      <c r="LMZ239" s="26"/>
      <c r="LND239" s="23"/>
      <c r="LNI239" s="26"/>
      <c r="LNM239" s="23"/>
      <c r="LNR239" s="26"/>
      <c r="LNV239" s="23"/>
      <c r="LOA239" s="26"/>
      <c r="LOE239" s="23"/>
      <c r="LOJ239" s="26"/>
      <c r="LON239" s="23"/>
      <c r="LOS239" s="26"/>
      <c r="LOW239" s="23"/>
      <c r="LPB239" s="26"/>
      <c r="LPF239" s="23"/>
      <c r="LPK239" s="26"/>
      <c r="LPO239" s="23"/>
      <c r="LPT239" s="26"/>
      <c r="LPX239" s="23"/>
      <c r="LQC239" s="26"/>
      <c r="LQG239" s="23"/>
      <c r="LQL239" s="26"/>
      <c r="LQP239" s="23"/>
      <c r="LQU239" s="26"/>
      <c r="LQY239" s="23"/>
      <c r="LRD239" s="26"/>
      <c r="LRH239" s="23"/>
      <c r="LRM239" s="26"/>
      <c r="LRQ239" s="23"/>
      <c r="LRV239" s="26"/>
      <c r="LRZ239" s="23"/>
      <c r="LSE239" s="26"/>
      <c r="LSI239" s="23"/>
      <c r="LSN239" s="26"/>
      <c r="LSR239" s="23"/>
      <c r="LSW239" s="26"/>
      <c r="LTA239" s="23"/>
      <c r="LTF239" s="26"/>
      <c r="LTJ239" s="23"/>
      <c r="LTO239" s="26"/>
      <c r="LTS239" s="23"/>
      <c r="LTX239" s="26"/>
      <c r="LUB239" s="23"/>
      <c r="LUG239" s="26"/>
      <c r="LUK239" s="23"/>
      <c r="LUP239" s="26"/>
      <c r="LUT239" s="23"/>
      <c r="LUY239" s="26"/>
      <c r="LVC239" s="23"/>
      <c r="LVH239" s="26"/>
      <c r="LVL239" s="23"/>
      <c r="LVQ239" s="26"/>
      <c r="LVU239" s="23"/>
      <c r="LVZ239" s="26"/>
      <c r="LWD239" s="23"/>
      <c r="LWI239" s="26"/>
      <c r="LWM239" s="23"/>
      <c r="LWR239" s="26"/>
      <c r="LWV239" s="23"/>
      <c r="LXA239" s="26"/>
      <c r="LXE239" s="23"/>
      <c r="LXJ239" s="26"/>
      <c r="LXN239" s="23"/>
      <c r="LXS239" s="26"/>
      <c r="LXW239" s="23"/>
      <c r="LYB239" s="26"/>
      <c r="LYF239" s="23"/>
      <c r="LYK239" s="26"/>
      <c r="LYO239" s="23"/>
      <c r="LYT239" s="26"/>
      <c r="LYX239" s="23"/>
      <c r="LZC239" s="26"/>
      <c r="LZG239" s="23"/>
      <c r="LZL239" s="26"/>
      <c r="LZP239" s="23"/>
      <c r="LZU239" s="26"/>
      <c r="LZY239" s="23"/>
      <c r="MAD239" s="26"/>
      <c r="MAH239" s="23"/>
      <c r="MAM239" s="26"/>
      <c r="MAQ239" s="23"/>
      <c r="MAV239" s="26"/>
      <c r="MAZ239" s="23"/>
      <c r="MBE239" s="26"/>
      <c r="MBI239" s="23"/>
      <c r="MBN239" s="26"/>
      <c r="MBR239" s="23"/>
      <c r="MBW239" s="26"/>
      <c r="MCA239" s="23"/>
      <c r="MCF239" s="26"/>
      <c r="MCJ239" s="23"/>
      <c r="MCO239" s="26"/>
      <c r="MCS239" s="23"/>
      <c r="MCX239" s="26"/>
      <c r="MDB239" s="23"/>
      <c r="MDG239" s="26"/>
      <c r="MDK239" s="23"/>
      <c r="MDP239" s="26"/>
      <c r="MDT239" s="23"/>
      <c r="MDY239" s="26"/>
      <c r="MEC239" s="23"/>
      <c r="MEH239" s="26"/>
      <c r="MEL239" s="23"/>
      <c r="MEQ239" s="26"/>
      <c r="MEU239" s="23"/>
      <c r="MEZ239" s="26"/>
      <c r="MFD239" s="23"/>
      <c r="MFI239" s="26"/>
      <c r="MFM239" s="23"/>
      <c r="MFR239" s="26"/>
      <c r="MFV239" s="23"/>
      <c r="MGA239" s="26"/>
      <c r="MGE239" s="23"/>
      <c r="MGJ239" s="26"/>
      <c r="MGN239" s="23"/>
      <c r="MGS239" s="26"/>
      <c r="MGW239" s="23"/>
      <c r="MHB239" s="26"/>
      <c r="MHF239" s="23"/>
      <c r="MHK239" s="26"/>
      <c r="MHO239" s="23"/>
      <c r="MHT239" s="26"/>
      <c r="MHX239" s="23"/>
      <c r="MIC239" s="26"/>
      <c r="MIG239" s="23"/>
      <c r="MIL239" s="26"/>
      <c r="MIP239" s="23"/>
      <c r="MIU239" s="26"/>
      <c r="MIY239" s="23"/>
      <c r="MJD239" s="26"/>
      <c r="MJH239" s="23"/>
      <c r="MJM239" s="26"/>
      <c r="MJQ239" s="23"/>
      <c r="MJV239" s="26"/>
      <c r="MJZ239" s="23"/>
      <c r="MKE239" s="26"/>
      <c r="MKI239" s="23"/>
      <c r="MKN239" s="26"/>
      <c r="MKR239" s="23"/>
      <c r="MKW239" s="26"/>
      <c r="MLA239" s="23"/>
      <c r="MLF239" s="26"/>
      <c r="MLJ239" s="23"/>
      <c r="MLO239" s="26"/>
      <c r="MLS239" s="23"/>
      <c r="MLX239" s="26"/>
      <c r="MMB239" s="23"/>
      <c r="MMG239" s="26"/>
      <c r="MMK239" s="23"/>
      <c r="MMP239" s="26"/>
      <c r="MMT239" s="23"/>
      <c r="MMY239" s="26"/>
      <c r="MNC239" s="23"/>
      <c r="MNH239" s="26"/>
      <c r="MNL239" s="23"/>
      <c r="MNQ239" s="26"/>
      <c r="MNU239" s="23"/>
      <c r="MNZ239" s="26"/>
      <c r="MOD239" s="23"/>
      <c r="MOI239" s="26"/>
      <c r="MOM239" s="23"/>
      <c r="MOR239" s="26"/>
      <c r="MOV239" s="23"/>
      <c r="MPA239" s="26"/>
      <c r="MPE239" s="23"/>
      <c r="MPJ239" s="26"/>
      <c r="MPN239" s="23"/>
      <c r="MPS239" s="26"/>
      <c r="MPW239" s="23"/>
      <c r="MQB239" s="26"/>
      <c r="MQF239" s="23"/>
      <c r="MQK239" s="26"/>
      <c r="MQO239" s="23"/>
      <c r="MQT239" s="26"/>
      <c r="MQX239" s="23"/>
      <c r="MRC239" s="26"/>
      <c r="MRG239" s="23"/>
      <c r="MRL239" s="26"/>
      <c r="MRP239" s="23"/>
      <c r="MRU239" s="26"/>
      <c r="MRY239" s="23"/>
      <c r="MSD239" s="26"/>
      <c r="MSH239" s="23"/>
      <c r="MSM239" s="26"/>
      <c r="MSQ239" s="23"/>
      <c r="MSV239" s="26"/>
      <c r="MSZ239" s="23"/>
      <c r="MTE239" s="26"/>
      <c r="MTI239" s="23"/>
      <c r="MTN239" s="26"/>
      <c r="MTR239" s="23"/>
      <c r="MTW239" s="26"/>
      <c r="MUA239" s="23"/>
      <c r="MUF239" s="26"/>
      <c r="MUJ239" s="23"/>
      <c r="MUO239" s="26"/>
      <c r="MUS239" s="23"/>
      <c r="MUX239" s="26"/>
      <c r="MVB239" s="23"/>
      <c r="MVG239" s="26"/>
      <c r="MVK239" s="23"/>
      <c r="MVP239" s="26"/>
      <c r="MVT239" s="23"/>
      <c r="MVY239" s="26"/>
      <c r="MWC239" s="23"/>
      <c r="MWH239" s="26"/>
      <c r="MWL239" s="23"/>
      <c r="MWQ239" s="26"/>
      <c r="MWU239" s="23"/>
      <c r="MWZ239" s="26"/>
      <c r="MXD239" s="23"/>
      <c r="MXI239" s="26"/>
      <c r="MXM239" s="23"/>
      <c r="MXR239" s="26"/>
      <c r="MXV239" s="23"/>
      <c r="MYA239" s="26"/>
      <c r="MYE239" s="23"/>
      <c r="MYJ239" s="26"/>
      <c r="MYN239" s="23"/>
      <c r="MYS239" s="26"/>
      <c r="MYW239" s="23"/>
      <c r="MZB239" s="26"/>
      <c r="MZF239" s="23"/>
      <c r="MZK239" s="26"/>
      <c r="MZO239" s="23"/>
      <c r="MZT239" s="26"/>
      <c r="MZX239" s="23"/>
      <c r="NAC239" s="26"/>
      <c r="NAG239" s="23"/>
      <c r="NAL239" s="26"/>
      <c r="NAP239" s="23"/>
      <c r="NAU239" s="26"/>
      <c r="NAY239" s="23"/>
      <c r="NBD239" s="26"/>
      <c r="NBH239" s="23"/>
      <c r="NBM239" s="26"/>
      <c r="NBQ239" s="23"/>
      <c r="NBV239" s="26"/>
      <c r="NBZ239" s="23"/>
      <c r="NCE239" s="26"/>
      <c r="NCI239" s="23"/>
      <c r="NCN239" s="26"/>
      <c r="NCR239" s="23"/>
      <c r="NCW239" s="26"/>
      <c r="NDA239" s="23"/>
      <c r="NDF239" s="26"/>
      <c r="NDJ239" s="23"/>
      <c r="NDO239" s="26"/>
      <c r="NDS239" s="23"/>
      <c r="NDX239" s="26"/>
      <c r="NEB239" s="23"/>
      <c r="NEG239" s="26"/>
      <c r="NEK239" s="23"/>
      <c r="NEP239" s="26"/>
      <c r="NET239" s="23"/>
      <c r="NEY239" s="26"/>
      <c r="NFC239" s="23"/>
      <c r="NFH239" s="26"/>
      <c r="NFL239" s="23"/>
      <c r="NFQ239" s="26"/>
      <c r="NFU239" s="23"/>
      <c r="NFZ239" s="26"/>
      <c r="NGD239" s="23"/>
      <c r="NGI239" s="26"/>
      <c r="NGM239" s="23"/>
      <c r="NGR239" s="26"/>
      <c r="NGV239" s="23"/>
      <c r="NHA239" s="26"/>
      <c r="NHE239" s="23"/>
      <c r="NHJ239" s="26"/>
      <c r="NHN239" s="23"/>
      <c r="NHS239" s="26"/>
      <c r="NHW239" s="23"/>
      <c r="NIB239" s="26"/>
      <c r="NIF239" s="23"/>
      <c r="NIK239" s="26"/>
      <c r="NIO239" s="23"/>
      <c r="NIT239" s="26"/>
      <c r="NIX239" s="23"/>
      <c r="NJC239" s="26"/>
      <c r="NJG239" s="23"/>
      <c r="NJL239" s="26"/>
      <c r="NJP239" s="23"/>
      <c r="NJU239" s="26"/>
      <c r="NJY239" s="23"/>
      <c r="NKD239" s="26"/>
      <c r="NKH239" s="23"/>
      <c r="NKM239" s="26"/>
      <c r="NKQ239" s="23"/>
      <c r="NKV239" s="26"/>
      <c r="NKZ239" s="23"/>
      <c r="NLE239" s="26"/>
      <c r="NLI239" s="23"/>
      <c r="NLN239" s="26"/>
      <c r="NLR239" s="23"/>
      <c r="NLW239" s="26"/>
      <c r="NMA239" s="23"/>
      <c r="NMF239" s="26"/>
      <c r="NMJ239" s="23"/>
      <c r="NMO239" s="26"/>
      <c r="NMS239" s="23"/>
      <c r="NMX239" s="26"/>
      <c r="NNB239" s="23"/>
      <c r="NNG239" s="26"/>
      <c r="NNK239" s="23"/>
      <c r="NNP239" s="26"/>
      <c r="NNT239" s="23"/>
      <c r="NNY239" s="26"/>
      <c r="NOC239" s="23"/>
      <c r="NOH239" s="26"/>
      <c r="NOL239" s="23"/>
      <c r="NOQ239" s="26"/>
      <c r="NOU239" s="23"/>
      <c r="NOZ239" s="26"/>
      <c r="NPD239" s="23"/>
      <c r="NPI239" s="26"/>
      <c r="NPM239" s="23"/>
      <c r="NPR239" s="26"/>
      <c r="NPV239" s="23"/>
      <c r="NQA239" s="26"/>
      <c r="NQE239" s="23"/>
      <c r="NQJ239" s="26"/>
      <c r="NQN239" s="23"/>
      <c r="NQS239" s="26"/>
      <c r="NQW239" s="23"/>
      <c r="NRB239" s="26"/>
      <c r="NRF239" s="23"/>
      <c r="NRK239" s="26"/>
      <c r="NRO239" s="23"/>
      <c r="NRT239" s="26"/>
      <c r="NRX239" s="23"/>
      <c r="NSC239" s="26"/>
      <c r="NSG239" s="23"/>
      <c r="NSL239" s="26"/>
      <c r="NSP239" s="23"/>
      <c r="NSU239" s="26"/>
      <c r="NSY239" s="23"/>
      <c r="NTD239" s="26"/>
      <c r="NTH239" s="23"/>
      <c r="NTM239" s="26"/>
      <c r="NTQ239" s="23"/>
      <c r="NTV239" s="26"/>
      <c r="NTZ239" s="23"/>
      <c r="NUE239" s="26"/>
      <c r="NUI239" s="23"/>
      <c r="NUN239" s="26"/>
      <c r="NUR239" s="23"/>
      <c r="NUW239" s="26"/>
      <c r="NVA239" s="23"/>
      <c r="NVF239" s="26"/>
      <c r="NVJ239" s="23"/>
      <c r="NVO239" s="26"/>
      <c r="NVS239" s="23"/>
      <c r="NVX239" s="26"/>
      <c r="NWB239" s="23"/>
      <c r="NWG239" s="26"/>
      <c r="NWK239" s="23"/>
      <c r="NWP239" s="26"/>
      <c r="NWT239" s="23"/>
      <c r="NWY239" s="26"/>
      <c r="NXC239" s="23"/>
      <c r="NXH239" s="26"/>
      <c r="NXL239" s="23"/>
      <c r="NXQ239" s="26"/>
      <c r="NXU239" s="23"/>
      <c r="NXZ239" s="26"/>
      <c r="NYD239" s="23"/>
      <c r="NYI239" s="26"/>
      <c r="NYM239" s="23"/>
      <c r="NYR239" s="26"/>
      <c r="NYV239" s="23"/>
      <c r="NZA239" s="26"/>
      <c r="NZE239" s="23"/>
      <c r="NZJ239" s="26"/>
      <c r="NZN239" s="23"/>
      <c r="NZS239" s="26"/>
      <c r="NZW239" s="23"/>
      <c r="OAB239" s="26"/>
      <c r="OAF239" s="23"/>
      <c r="OAK239" s="26"/>
      <c r="OAO239" s="23"/>
      <c r="OAT239" s="26"/>
      <c r="OAX239" s="23"/>
      <c r="OBC239" s="26"/>
      <c r="OBG239" s="23"/>
      <c r="OBL239" s="26"/>
      <c r="OBP239" s="23"/>
      <c r="OBU239" s="26"/>
      <c r="OBY239" s="23"/>
      <c r="OCD239" s="26"/>
      <c r="OCH239" s="23"/>
      <c r="OCM239" s="26"/>
      <c r="OCQ239" s="23"/>
      <c r="OCV239" s="26"/>
      <c r="OCZ239" s="23"/>
      <c r="ODE239" s="26"/>
      <c r="ODI239" s="23"/>
      <c r="ODN239" s="26"/>
      <c r="ODR239" s="23"/>
      <c r="ODW239" s="26"/>
      <c r="OEA239" s="23"/>
      <c r="OEF239" s="26"/>
      <c r="OEJ239" s="23"/>
      <c r="OEO239" s="26"/>
      <c r="OES239" s="23"/>
      <c r="OEX239" s="26"/>
      <c r="OFB239" s="23"/>
      <c r="OFG239" s="26"/>
      <c r="OFK239" s="23"/>
      <c r="OFP239" s="26"/>
      <c r="OFT239" s="23"/>
      <c r="OFY239" s="26"/>
      <c r="OGC239" s="23"/>
      <c r="OGH239" s="26"/>
      <c r="OGL239" s="23"/>
      <c r="OGQ239" s="26"/>
      <c r="OGU239" s="23"/>
      <c r="OGZ239" s="26"/>
      <c r="OHD239" s="23"/>
      <c r="OHI239" s="26"/>
      <c r="OHM239" s="23"/>
      <c r="OHR239" s="26"/>
      <c r="OHV239" s="23"/>
      <c r="OIA239" s="26"/>
      <c r="OIE239" s="23"/>
      <c r="OIJ239" s="26"/>
      <c r="OIN239" s="23"/>
      <c r="OIS239" s="26"/>
      <c r="OIW239" s="23"/>
      <c r="OJB239" s="26"/>
      <c r="OJF239" s="23"/>
      <c r="OJK239" s="26"/>
      <c r="OJO239" s="23"/>
      <c r="OJT239" s="26"/>
      <c r="OJX239" s="23"/>
      <c r="OKC239" s="26"/>
      <c r="OKG239" s="23"/>
      <c r="OKL239" s="26"/>
      <c r="OKP239" s="23"/>
      <c r="OKU239" s="26"/>
      <c r="OKY239" s="23"/>
      <c r="OLD239" s="26"/>
      <c r="OLH239" s="23"/>
      <c r="OLM239" s="26"/>
      <c r="OLQ239" s="23"/>
      <c r="OLV239" s="26"/>
      <c r="OLZ239" s="23"/>
      <c r="OME239" s="26"/>
      <c r="OMI239" s="23"/>
      <c r="OMN239" s="26"/>
      <c r="OMR239" s="23"/>
      <c r="OMW239" s="26"/>
      <c r="ONA239" s="23"/>
      <c r="ONF239" s="26"/>
      <c r="ONJ239" s="23"/>
      <c r="ONO239" s="26"/>
      <c r="ONS239" s="23"/>
      <c r="ONX239" s="26"/>
      <c r="OOB239" s="23"/>
      <c r="OOG239" s="26"/>
      <c r="OOK239" s="23"/>
      <c r="OOP239" s="26"/>
      <c r="OOT239" s="23"/>
      <c r="OOY239" s="26"/>
      <c r="OPC239" s="23"/>
      <c r="OPH239" s="26"/>
      <c r="OPL239" s="23"/>
      <c r="OPQ239" s="26"/>
      <c r="OPU239" s="23"/>
      <c r="OPZ239" s="26"/>
      <c r="OQD239" s="23"/>
      <c r="OQI239" s="26"/>
      <c r="OQM239" s="23"/>
      <c r="OQR239" s="26"/>
      <c r="OQV239" s="23"/>
      <c r="ORA239" s="26"/>
      <c r="ORE239" s="23"/>
      <c r="ORJ239" s="26"/>
      <c r="ORN239" s="23"/>
      <c r="ORS239" s="26"/>
      <c r="ORW239" s="23"/>
      <c r="OSB239" s="26"/>
      <c r="OSF239" s="23"/>
      <c r="OSK239" s="26"/>
      <c r="OSO239" s="23"/>
      <c r="OST239" s="26"/>
      <c r="OSX239" s="23"/>
      <c r="OTC239" s="26"/>
      <c r="OTG239" s="23"/>
      <c r="OTL239" s="26"/>
      <c r="OTP239" s="23"/>
      <c r="OTU239" s="26"/>
      <c r="OTY239" s="23"/>
      <c r="OUD239" s="26"/>
      <c r="OUH239" s="23"/>
      <c r="OUM239" s="26"/>
      <c r="OUQ239" s="23"/>
      <c r="OUV239" s="26"/>
      <c r="OUZ239" s="23"/>
      <c r="OVE239" s="26"/>
      <c r="OVI239" s="23"/>
      <c r="OVN239" s="26"/>
      <c r="OVR239" s="23"/>
      <c r="OVW239" s="26"/>
      <c r="OWA239" s="23"/>
      <c r="OWF239" s="26"/>
      <c r="OWJ239" s="23"/>
      <c r="OWO239" s="26"/>
      <c r="OWS239" s="23"/>
      <c r="OWX239" s="26"/>
      <c r="OXB239" s="23"/>
      <c r="OXG239" s="26"/>
      <c r="OXK239" s="23"/>
      <c r="OXP239" s="26"/>
      <c r="OXT239" s="23"/>
      <c r="OXY239" s="26"/>
      <c r="OYC239" s="23"/>
      <c r="OYH239" s="26"/>
      <c r="OYL239" s="23"/>
      <c r="OYQ239" s="26"/>
      <c r="OYU239" s="23"/>
      <c r="OYZ239" s="26"/>
      <c r="OZD239" s="23"/>
      <c r="OZI239" s="26"/>
      <c r="OZM239" s="23"/>
      <c r="OZR239" s="26"/>
      <c r="OZV239" s="23"/>
      <c r="PAA239" s="26"/>
      <c r="PAE239" s="23"/>
      <c r="PAJ239" s="26"/>
      <c r="PAN239" s="23"/>
      <c r="PAS239" s="26"/>
      <c r="PAW239" s="23"/>
      <c r="PBB239" s="26"/>
      <c r="PBF239" s="23"/>
      <c r="PBK239" s="26"/>
      <c r="PBO239" s="23"/>
      <c r="PBT239" s="26"/>
      <c r="PBX239" s="23"/>
      <c r="PCC239" s="26"/>
      <c r="PCG239" s="23"/>
      <c r="PCL239" s="26"/>
      <c r="PCP239" s="23"/>
      <c r="PCU239" s="26"/>
      <c r="PCY239" s="23"/>
      <c r="PDD239" s="26"/>
      <c r="PDH239" s="23"/>
      <c r="PDM239" s="26"/>
      <c r="PDQ239" s="23"/>
      <c r="PDV239" s="26"/>
      <c r="PDZ239" s="23"/>
      <c r="PEE239" s="26"/>
      <c r="PEI239" s="23"/>
      <c r="PEN239" s="26"/>
      <c r="PER239" s="23"/>
      <c r="PEW239" s="26"/>
      <c r="PFA239" s="23"/>
      <c r="PFF239" s="26"/>
      <c r="PFJ239" s="23"/>
      <c r="PFO239" s="26"/>
      <c r="PFS239" s="23"/>
      <c r="PFX239" s="26"/>
      <c r="PGB239" s="23"/>
      <c r="PGG239" s="26"/>
      <c r="PGK239" s="23"/>
      <c r="PGP239" s="26"/>
      <c r="PGT239" s="23"/>
      <c r="PGY239" s="26"/>
      <c r="PHC239" s="23"/>
      <c r="PHH239" s="26"/>
      <c r="PHL239" s="23"/>
      <c r="PHQ239" s="26"/>
      <c r="PHU239" s="23"/>
      <c r="PHZ239" s="26"/>
      <c r="PID239" s="23"/>
      <c r="PII239" s="26"/>
      <c r="PIM239" s="23"/>
      <c r="PIR239" s="26"/>
      <c r="PIV239" s="23"/>
      <c r="PJA239" s="26"/>
      <c r="PJE239" s="23"/>
      <c r="PJJ239" s="26"/>
      <c r="PJN239" s="23"/>
      <c r="PJS239" s="26"/>
      <c r="PJW239" s="23"/>
      <c r="PKB239" s="26"/>
      <c r="PKF239" s="23"/>
      <c r="PKK239" s="26"/>
      <c r="PKO239" s="23"/>
      <c r="PKT239" s="26"/>
      <c r="PKX239" s="23"/>
      <c r="PLC239" s="26"/>
      <c r="PLG239" s="23"/>
      <c r="PLL239" s="26"/>
      <c r="PLP239" s="23"/>
      <c r="PLU239" s="26"/>
      <c r="PLY239" s="23"/>
      <c r="PMD239" s="26"/>
      <c r="PMH239" s="23"/>
      <c r="PMM239" s="26"/>
      <c r="PMQ239" s="23"/>
      <c r="PMV239" s="26"/>
      <c r="PMZ239" s="23"/>
      <c r="PNE239" s="26"/>
      <c r="PNI239" s="23"/>
      <c r="PNN239" s="26"/>
      <c r="PNR239" s="23"/>
      <c r="PNW239" s="26"/>
      <c r="POA239" s="23"/>
      <c r="POF239" s="26"/>
      <c r="POJ239" s="23"/>
      <c r="POO239" s="26"/>
      <c r="POS239" s="23"/>
      <c r="POX239" s="26"/>
      <c r="PPB239" s="23"/>
      <c r="PPG239" s="26"/>
      <c r="PPK239" s="23"/>
      <c r="PPP239" s="26"/>
      <c r="PPT239" s="23"/>
      <c r="PPY239" s="26"/>
      <c r="PQC239" s="23"/>
      <c r="PQH239" s="26"/>
      <c r="PQL239" s="23"/>
      <c r="PQQ239" s="26"/>
      <c r="PQU239" s="23"/>
      <c r="PQZ239" s="26"/>
      <c r="PRD239" s="23"/>
      <c r="PRI239" s="26"/>
      <c r="PRM239" s="23"/>
      <c r="PRR239" s="26"/>
      <c r="PRV239" s="23"/>
      <c r="PSA239" s="26"/>
      <c r="PSE239" s="23"/>
      <c r="PSJ239" s="26"/>
      <c r="PSN239" s="23"/>
      <c r="PSS239" s="26"/>
      <c r="PSW239" s="23"/>
      <c r="PTB239" s="26"/>
      <c r="PTF239" s="23"/>
      <c r="PTK239" s="26"/>
      <c r="PTO239" s="23"/>
      <c r="PTT239" s="26"/>
      <c r="PTX239" s="23"/>
      <c r="PUC239" s="26"/>
      <c r="PUG239" s="23"/>
      <c r="PUL239" s="26"/>
      <c r="PUP239" s="23"/>
      <c r="PUU239" s="26"/>
      <c r="PUY239" s="23"/>
      <c r="PVD239" s="26"/>
      <c r="PVH239" s="23"/>
      <c r="PVM239" s="26"/>
      <c r="PVQ239" s="23"/>
      <c r="PVV239" s="26"/>
      <c r="PVZ239" s="23"/>
      <c r="PWE239" s="26"/>
      <c r="PWI239" s="23"/>
      <c r="PWN239" s="26"/>
      <c r="PWR239" s="23"/>
      <c r="PWW239" s="26"/>
      <c r="PXA239" s="23"/>
      <c r="PXF239" s="26"/>
      <c r="PXJ239" s="23"/>
      <c r="PXO239" s="26"/>
      <c r="PXS239" s="23"/>
      <c r="PXX239" s="26"/>
      <c r="PYB239" s="23"/>
      <c r="PYG239" s="26"/>
      <c r="PYK239" s="23"/>
      <c r="PYP239" s="26"/>
      <c r="PYT239" s="23"/>
      <c r="PYY239" s="26"/>
      <c r="PZC239" s="23"/>
      <c r="PZH239" s="26"/>
      <c r="PZL239" s="23"/>
      <c r="PZQ239" s="26"/>
      <c r="PZU239" s="23"/>
      <c r="PZZ239" s="26"/>
      <c r="QAD239" s="23"/>
      <c r="QAI239" s="26"/>
      <c r="QAM239" s="23"/>
      <c r="QAR239" s="26"/>
      <c r="QAV239" s="23"/>
      <c r="QBA239" s="26"/>
      <c r="QBE239" s="23"/>
      <c r="QBJ239" s="26"/>
      <c r="QBN239" s="23"/>
      <c r="QBS239" s="26"/>
      <c r="QBW239" s="23"/>
      <c r="QCB239" s="26"/>
      <c r="QCF239" s="23"/>
      <c r="QCK239" s="26"/>
      <c r="QCO239" s="23"/>
      <c r="QCT239" s="26"/>
      <c r="QCX239" s="23"/>
      <c r="QDC239" s="26"/>
      <c r="QDG239" s="23"/>
      <c r="QDL239" s="26"/>
      <c r="QDP239" s="23"/>
      <c r="QDU239" s="26"/>
      <c r="QDY239" s="23"/>
      <c r="QED239" s="26"/>
      <c r="QEH239" s="23"/>
      <c r="QEM239" s="26"/>
      <c r="QEQ239" s="23"/>
      <c r="QEV239" s="26"/>
      <c r="QEZ239" s="23"/>
      <c r="QFE239" s="26"/>
      <c r="QFI239" s="23"/>
      <c r="QFN239" s="26"/>
      <c r="QFR239" s="23"/>
      <c r="QFW239" s="26"/>
      <c r="QGA239" s="23"/>
      <c r="QGF239" s="26"/>
      <c r="QGJ239" s="23"/>
      <c r="QGO239" s="26"/>
      <c r="QGS239" s="23"/>
      <c r="QGX239" s="26"/>
      <c r="QHB239" s="23"/>
      <c r="QHG239" s="26"/>
      <c r="QHK239" s="23"/>
      <c r="QHP239" s="26"/>
      <c r="QHT239" s="23"/>
      <c r="QHY239" s="26"/>
      <c r="QIC239" s="23"/>
      <c r="QIH239" s="26"/>
      <c r="QIL239" s="23"/>
      <c r="QIQ239" s="26"/>
      <c r="QIU239" s="23"/>
      <c r="QIZ239" s="26"/>
      <c r="QJD239" s="23"/>
      <c r="QJI239" s="26"/>
      <c r="QJM239" s="23"/>
      <c r="QJR239" s="26"/>
      <c r="QJV239" s="23"/>
      <c r="QKA239" s="26"/>
      <c r="QKE239" s="23"/>
      <c r="QKJ239" s="26"/>
      <c r="QKN239" s="23"/>
      <c r="QKS239" s="26"/>
      <c r="QKW239" s="23"/>
      <c r="QLB239" s="26"/>
      <c r="QLF239" s="23"/>
      <c r="QLK239" s="26"/>
      <c r="QLO239" s="23"/>
      <c r="QLT239" s="26"/>
      <c r="QLX239" s="23"/>
      <c r="QMC239" s="26"/>
      <c r="QMG239" s="23"/>
      <c r="QML239" s="26"/>
      <c r="QMP239" s="23"/>
      <c r="QMU239" s="26"/>
      <c r="QMY239" s="23"/>
      <c r="QND239" s="26"/>
      <c r="QNH239" s="23"/>
      <c r="QNM239" s="26"/>
      <c r="QNQ239" s="23"/>
      <c r="QNV239" s="26"/>
      <c r="QNZ239" s="23"/>
      <c r="QOE239" s="26"/>
      <c r="QOI239" s="23"/>
      <c r="QON239" s="26"/>
      <c r="QOR239" s="23"/>
      <c r="QOW239" s="26"/>
      <c r="QPA239" s="23"/>
      <c r="QPF239" s="26"/>
      <c r="QPJ239" s="23"/>
      <c r="QPO239" s="26"/>
      <c r="QPS239" s="23"/>
      <c r="QPX239" s="26"/>
      <c r="QQB239" s="23"/>
      <c r="QQG239" s="26"/>
      <c r="QQK239" s="23"/>
      <c r="QQP239" s="26"/>
      <c r="QQT239" s="23"/>
      <c r="QQY239" s="26"/>
      <c r="QRC239" s="23"/>
      <c r="QRH239" s="26"/>
      <c r="QRL239" s="23"/>
      <c r="QRQ239" s="26"/>
      <c r="QRU239" s="23"/>
      <c r="QRZ239" s="26"/>
      <c r="QSD239" s="23"/>
      <c r="QSI239" s="26"/>
      <c r="QSM239" s="23"/>
      <c r="QSR239" s="26"/>
      <c r="QSV239" s="23"/>
      <c r="QTA239" s="26"/>
      <c r="QTE239" s="23"/>
      <c r="QTJ239" s="26"/>
      <c r="QTN239" s="23"/>
      <c r="QTS239" s="26"/>
      <c r="QTW239" s="23"/>
      <c r="QUB239" s="26"/>
      <c r="QUF239" s="23"/>
      <c r="QUK239" s="26"/>
      <c r="QUO239" s="23"/>
      <c r="QUT239" s="26"/>
      <c r="QUX239" s="23"/>
      <c r="QVC239" s="26"/>
      <c r="QVG239" s="23"/>
      <c r="QVL239" s="26"/>
      <c r="QVP239" s="23"/>
      <c r="QVU239" s="26"/>
      <c r="QVY239" s="23"/>
      <c r="QWD239" s="26"/>
      <c r="QWH239" s="23"/>
      <c r="QWM239" s="26"/>
      <c r="QWQ239" s="23"/>
      <c r="QWV239" s="26"/>
      <c r="QWZ239" s="23"/>
      <c r="QXE239" s="26"/>
      <c r="QXI239" s="23"/>
      <c r="QXN239" s="26"/>
      <c r="QXR239" s="23"/>
      <c r="QXW239" s="26"/>
      <c r="QYA239" s="23"/>
      <c r="QYF239" s="26"/>
      <c r="QYJ239" s="23"/>
      <c r="QYO239" s="26"/>
      <c r="QYS239" s="23"/>
      <c r="QYX239" s="26"/>
      <c r="QZB239" s="23"/>
      <c r="QZG239" s="26"/>
      <c r="QZK239" s="23"/>
      <c r="QZP239" s="26"/>
      <c r="QZT239" s="23"/>
      <c r="QZY239" s="26"/>
      <c r="RAC239" s="23"/>
      <c r="RAH239" s="26"/>
      <c r="RAL239" s="23"/>
      <c r="RAQ239" s="26"/>
      <c r="RAU239" s="23"/>
      <c r="RAZ239" s="26"/>
      <c r="RBD239" s="23"/>
      <c r="RBI239" s="26"/>
      <c r="RBM239" s="23"/>
      <c r="RBR239" s="26"/>
      <c r="RBV239" s="23"/>
      <c r="RCA239" s="26"/>
      <c r="RCE239" s="23"/>
      <c r="RCJ239" s="26"/>
      <c r="RCN239" s="23"/>
      <c r="RCS239" s="26"/>
      <c r="RCW239" s="23"/>
      <c r="RDB239" s="26"/>
      <c r="RDF239" s="23"/>
      <c r="RDK239" s="26"/>
      <c r="RDO239" s="23"/>
      <c r="RDT239" s="26"/>
      <c r="RDX239" s="23"/>
      <c r="REC239" s="26"/>
      <c r="REG239" s="23"/>
      <c r="REL239" s="26"/>
      <c r="REP239" s="23"/>
      <c r="REU239" s="26"/>
      <c r="REY239" s="23"/>
      <c r="RFD239" s="26"/>
      <c r="RFH239" s="23"/>
      <c r="RFM239" s="26"/>
      <c r="RFQ239" s="23"/>
      <c r="RFV239" s="26"/>
      <c r="RFZ239" s="23"/>
      <c r="RGE239" s="26"/>
      <c r="RGI239" s="23"/>
      <c r="RGN239" s="26"/>
      <c r="RGR239" s="23"/>
      <c r="RGW239" s="26"/>
      <c r="RHA239" s="23"/>
      <c r="RHF239" s="26"/>
      <c r="RHJ239" s="23"/>
      <c r="RHO239" s="26"/>
      <c r="RHS239" s="23"/>
      <c r="RHX239" s="26"/>
      <c r="RIB239" s="23"/>
      <c r="RIG239" s="26"/>
      <c r="RIK239" s="23"/>
      <c r="RIP239" s="26"/>
      <c r="RIT239" s="23"/>
      <c r="RIY239" s="26"/>
      <c r="RJC239" s="23"/>
      <c r="RJH239" s="26"/>
      <c r="RJL239" s="23"/>
      <c r="RJQ239" s="26"/>
      <c r="RJU239" s="23"/>
      <c r="RJZ239" s="26"/>
      <c r="RKD239" s="23"/>
      <c r="RKI239" s="26"/>
      <c r="RKM239" s="23"/>
      <c r="RKR239" s="26"/>
      <c r="RKV239" s="23"/>
      <c r="RLA239" s="26"/>
      <c r="RLE239" s="23"/>
      <c r="RLJ239" s="26"/>
      <c r="RLN239" s="23"/>
      <c r="RLS239" s="26"/>
      <c r="RLW239" s="23"/>
      <c r="RMB239" s="26"/>
      <c r="RMF239" s="23"/>
      <c r="RMK239" s="26"/>
      <c r="RMO239" s="23"/>
      <c r="RMT239" s="26"/>
      <c r="RMX239" s="23"/>
      <c r="RNC239" s="26"/>
      <c r="RNG239" s="23"/>
      <c r="RNL239" s="26"/>
      <c r="RNP239" s="23"/>
      <c r="RNU239" s="26"/>
      <c r="RNY239" s="23"/>
      <c r="ROD239" s="26"/>
      <c r="ROH239" s="23"/>
      <c r="ROM239" s="26"/>
      <c r="ROQ239" s="23"/>
      <c r="ROV239" s="26"/>
      <c r="ROZ239" s="23"/>
      <c r="RPE239" s="26"/>
      <c r="RPI239" s="23"/>
      <c r="RPN239" s="26"/>
      <c r="RPR239" s="23"/>
      <c r="RPW239" s="26"/>
      <c r="RQA239" s="23"/>
      <c r="RQF239" s="26"/>
      <c r="RQJ239" s="23"/>
      <c r="RQO239" s="26"/>
      <c r="RQS239" s="23"/>
      <c r="RQX239" s="26"/>
      <c r="RRB239" s="23"/>
      <c r="RRG239" s="26"/>
      <c r="RRK239" s="23"/>
      <c r="RRP239" s="26"/>
      <c r="RRT239" s="23"/>
      <c r="RRY239" s="26"/>
      <c r="RSC239" s="23"/>
      <c r="RSH239" s="26"/>
      <c r="RSL239" s="23"/>
      <c r="RSQ239" s="26"/>
      <c r="RSU239" s="23"/>
      <c r="RSZ239" s="26"/>
      <c r="RTD239" s="23"/>
      <c r="RTI239" s="26"/>
      <c r="RTM239" s="23"/>
      <c r="RTR239" s="26"/>
      <c r="RTV239" s="23"/>
      <c r="RUA239" s="26"/>
      <c r="RUE239" s="23"/>
      <c r="RUJ239" s="26"/>
      <c r="RUN239" s="23"/>
      <c r="RUS239" s="26"/>
      <c r="RUW239" s="23"/>
      <c r="RVB239" s="26"/>
      <c r="RVF239" s="23"/>
      <c r="RVK239" s="26"/>
      <c r="RVO239" s="23"/>
      <c r="RVT239" s="26"/>
      <c r="RVX239" s="23"/>
      <c r="RWC239" s="26"/>
      <c r="RWG239" s="23"/>
      <c r="RWL239" s="26"/>
      <c r="RWP239" s="23"/>
      <c r="RWU239" s="26"/>
      <c r="RWY239" s="23"/>
      <c r="RXD239" s="26"/>
      <c r="RXH239" s="23"/>
      <c r="RXM239" s="26"/>
      <c r="RXQ239" s="23"/>
      <c r="RXV239" s="26"/>
      <c r="RXZ239" s="23"/>
      <c r="RYE239" s="26"/>
      <c r="RYI239" s="23"/>
      <c r="RYN239" s="26"/>
      <c r="RYR239" s="23"/>
      <c r="RYW239" s="26"/>
      <c r="RZA239" s="23"/>
      <c r="RZF239" s="26"/>
      <c r="RZJ239" s="23"/>
      <c r="RZO239" s="26"/>
      <c r="RZS239" s="23"/>
      <c r="RZX239" s="26"/>
      <c r="SAB239" s="23"/>
      <c r="SAG239" s="26"/>
      <c r="SAK239" s="23"/>
      <c r="SAP239" s="26"/>
      <c r="SAT239" s="23"/>
      <c r="SAY239" s="26"/>
      <c r="SBC239" s="23"/>
      <c r="SBH239" s="26"/>
      <c r="SBL239" s="23"/>
      <c r="SBQ239" s="26"/>
      <c r="SBU239" s="23"/>
      <c r="SBZ239" s="26"/>
      <c r="SCD239" s="23"/>
      <c r="SCI239" s="26"/>
      <c r="SCM239" s="23"/>
      <c r="SCR239" s="26"/>
      <c r="SCV239" s="23"/>
      <c r="SDA239" s="26"/>
      <c r="SDE239" s="23"/>
      <c r="SDJ239" s="26"/>
      <c r="SDN239" s="23"/>
      <c r="SDS239" s="26"/>
      <c r="SDW239" s="23"/>
      <c r="SEB239" s="26"/>
      <c r="SEF239" s="23"/>
      <c r="SEK239" s="26"/>
      <c r="SEO239" s="23"/>
      <c r="SET239" s="26"/>
      <c r="SEX239" s="23"/>
      <c r="SFC239" s="26"/>
      <c r="SFG239" s="23"/>
      <c r="SFL239" s="26"/>
      <c r="SFP239" s="23"/>
      <c r="SFU239" s="26"/>
      <c r="SFY239" s="23"/>
      <c r="SGD239" s="26"/>
      <c r="SGH239" s="23"/>
      <c r="SGM239" s="26"/>
      <c r="SGQ239" s="23"/>
      <c r="SGV239" s="26"/>
      <c r="SGZ239" s="23"/>
      <c r="SHE239" s="26"/>
      <c r="SHI239" s="23"/>
      <c r="SHN239" s="26"/>
      <c r="SHR239" s="23"/>
      <c r="SHW239" s="26"/>
      <c r="SIA239" s="23"/>
      <c r="SIF239" s="26"/>
      <c r="SIJ239" s="23"/>
      <c r="SIO239" s="26"/>
      <c r="SIS239" s="23"/>
      <c r="SIX239" s="26"/>
      <c r="SJB239" s="23"/>
      <c r="SJG239" s="26"/>
      <c r="SJK239" s="23"/>
      <c r="SJP239" s="26"/>
      <c r="SJT239" s="23"/>
      <c r="SJY239" s="26"/>
      <c r="SKC239" s="23"/>
      <c r="SKH239" s="26"/>
      <c r="SKL239" s="23"/>
      <c r="SKQ239" s="26"/>
      <c r="SKU239" s="23"/>
      <c r="SKZ239" s="26"/>
      <c r="SLD239" s="23"/>
      <c r="SLI239" s="26"/>
      <c r="SLM239" s="23"/>
      <c r="SLR239" s="26"/>
      <c r="SLV239" s="23"/>
      <c r="SMA239" s="26"/>
      <c r="SME239" s="23"/>
      <c r="SMJ239" s="26"/>
      <c r="SMN239" s="23"/>
      <c r="SMS239" s="26"/>
      <c r="SMW239" s="23"/>
      <c r="SNB239" s="26"/>
      <c r="SNF239" s="23"/>
      <c r="SNK239" s="26"/>
      <c r="SNO239" s="23"/>
      <c r="SNT239" s="26"/>
      <c r="SNX239" s="23"/>
      <c r="SOC239" s="26"/>
      <c r="SOG239" s="23"/>
      <c r="SOL239" s="26"/>
      <c r="SOP239" s="23"/>
      <c r="SOU239" s="26"/>
      <c r="SOY239" s="23"/>
      <c r="SPD239" s="26"/>
      <c r="SPH239" s="23"/>
      <c r="SPM239" s="26"/>
      <c r="SPQ239" s="23"/>
      <c r="SPV239" s="26"/>
      <c r="SPZ239" s="23"/>
      <c r="SQE239" s="26"/>
      <c r="SQI239" s="23"/>
      <c r="SQN239" s="26"/>
      <c r="SQR239" s="23"/>
      <c r="SQW239" s="26"/>
      <c r="SRA239" s="23"/>
      <c r="SRF239" s="26"/>
      <c r="SRJ239" s="23"/>
      <c r="SRO239" s="26"/>
      <c r="SRS239" s="23"/>
      <c r="SRX239" s="26"/>
      <c r="SSB239" s="23"/>
      <c r="SSG239" s="26"/>
      <c r="SSK239" s="23"/>
      <c r="SSP239" s="26"/>
      <c r="SST239" s="23"/>
      <c r="SSY239" s="26"/>
      <c r="STC239" s="23"/>
      <c r="STH239" s="26"/>
      <c r="STL239" s="23"/>
      <c r="STQ239" s="26"/>
      <c r="STU239" s="23"/>
      <c r="STZ239" s="26"/>
      <c r="SUD239" s="23"/>
      <c r="SUI239" s="26"/>
      <c r="SUM239" s="23"/>
      <c r="SUR239" s="26"/>
      <c r="SUV239" s="23"/>
      <c r="SVA239" s="26"/>
      <c r="SVE239" s="23"/>
      <c r="SVJ239" s="26"/>
      <c r="SVN239" s="23"/>
      <c r="SVS239" s="26"/>
      <c r="SVW239" s="23"/>
      <c r="SWB239" s="26"/>
      <c r="SWF239" s="23"/>
      <c r="SWK239" s="26"/>
      <c r="SWO239" s="23"/>
      <c r="SWT239" s="26"/>
      <c r="SWX239" s="23"/>
      <c r="SXC239" s="26"/>
      <c r="SXG239" s="23"/>
      <c r="SXL239" s="26"/>
      <c r="SXP239" s="23"/>
      <c r="SXU239" s="26"/>
      <c r="SXY239" s="23"/>
      <c r="SYD239" s="26"/>
      <c r="SYH239" s="23"/>
      <c r="SYM239" s="26"/>
      <c r="SYQ239" s="23"/>
      <c r="SYV239" s="26"/>
      <c r="SYZ239" s="23"/>
      <c r="SZE239" s="26"/>
      <c r="SZI239" s="23"/>
      <c r="SZN239" s="26"/>
      <c r="SZR239" s="23"/>
      <c r="SZW239" s="26"/>
      <c r="TAA239" s="23"/>
      <c r="TAF239" s="26"/>
      <c r="TAJ239" s="23"/>
      <c r="TAO239" s="26"/>
      <c r="TAS239" s="23"/>
      <c r="TAX239" s="26"/>
      <c r="TBB239" s="23"/>
      <c r="TBG239" s="26"/>
      <c r="TBK239" s="23"/>
      <c r="TBP239" s="26"/>
      <c r="TBT239" s="23"/>
      <c r="TBY239" s="26"/>
      <c r="TCC239" s="23"/>
      <c r="TCH239" s="26"/>
      <c r="TCL239" s="23"/>
      <c r="TCQ239" s="26"/>
      <c r="TCU239" s="23"/>
      <c r="TCZ239" s="26"/>
      <c r="TDD239" s="23"/>
      <c r="TDI239" s="26"/>
      <c r="TDM239" s="23"/>
      <c r="TDR239" s="26"/>
      <c r="TDV239" s="23"/>
      <c r="TEA239" s="26"/>
      <c r="TEE239" s="23"/>
      <c r="TEJ239" s="26"/>
      <c r="TEN239" s="23"/>
      <c r="TES239" s="26"/>
      <c r="TEW239" s="23"/>
      <c r="TFB239" s="26"/>
      <c r="TFF239" s="23"/>
      <c r="TFK239" s="26"/>
      <c r="TFO239" s="23"/>
      <c r="TFT239" s="26"/>
      <c r="TFX239" s="23"/>
      <c r="TGC239" s="26"/>
      <c r="TGG239" s="23"/>
      <c r="TGL239" s="26"/>
      <c r="TGP239" s="23"/>
      <c r="TGU239" s="26"/>
      <c r="TGY239" s="23"/>
      <c r="THD239" s="26"/>
      <c r="THH239" s="23"/>
      <c r="THM239" s="26"/>
      <c r="THQ239" s="23"/>
      <c r="THV239" s="26"/>
      <c r="THZ239" s="23"/>
      <c r="TIE239" s="26"/>
      <c r="TII239" s="23"/>
      <c r="TIN239" s="26"/>
      <c r="TIR239" s="23"/>
      <c r="TIW239" s="26"/>
      <c r="TJA239" s="23"/>
      <c r="TJF239" s="26"/>
      <c r="TJJ239" s="23"/>
      <c r="TJO239" s="26"/>
      <c r="TJS239" s="23"/>
      <c r="TJX239" s="26"/>
      <c r="TKB239" s="23"/>
      <c r="TKG239" s="26"/>
      <c r="TKK239" s="23"/>
      <c r="TKP239" s="26"/>
      <c r="TKT239" s="23"/>
      <c r="TKY239" s="26"/>
      <c r="TLC239" s="23"/>
      <c r="TLH239" s="26"/>
      <c r="TLL239" s="23"/>
      <c r="TLQ239" s="26"/>
      <c r="TLU239" s="23"/>
      <c r="TLZ239" s="26"/>
      <c r="TMD239" s="23"/>
      <c r="TMI239" s="26"/>
      <c r="TMM239" s="23"/>
      <c r="TMR239" s="26"/>
      <c r="TMV239" s="23"/>
      <c r="TNA239" s="26"/>
      <c r="TNE239" s="23"/>
      <c r="TNJ239" s="26"/>
      <c r="TNN239" s="23"/>
      <c r="TNS239" s="26"/>
      <c r="TNW239" s="23"/>
      <c r="TOB239" s="26"/>
      <c r="TOF239" s="23"/>
      <c r="TOK239" s="26"/>
      <c r="TOO239" s="23"/>
      <c r="TOT239" s="26"/>
      <c r="TOX239" s="23"/>
      <c r="TPC239" s="26"/>
      <c r="TPG239" s="23"/>
      <c r="TPL239" s="26"/>
      <c r="TPP239" s="23"/>
      <c r="TPU239" s="26"/>
      <c r="TPY239" s="23"/>
      <c r="TQD239" s="26"/>
      <c r="TQH239" s="23"/>
      <c r="TQM239" s="26"/>
      <c r="TQQ239" s="23"/>
      <c r="TQV239" s="26"/>
      <c r="TQZ239" s="23"/>
      <c r="TRE239" s="26"/>
      <c r="TRI239" s="23"/>
      <c r="TRN239" s="26"/>
      <c r="TRR239" s="23"/>
      <c r="TRW239" s="26"/>
      <c r="TSA239" s="23"/>
      <c r="TSF239" s="26"/>
      <c r="TSJ239" s="23"/>
      <c r="TSO239" s="26"/>
      <c r="TSS239" s="23"/>
      <c r="TSX239" s="26"/>
      <c r="TTB239" s="23"/>
      <c r="TTG239" s="26"/>
      <c r="TTK239" s="23"/>
      <c r="TTP239" s="26"/>
      <c r="TTT239" s="23"/>
      <c r="TTY239" s="26"/>
      <c r="TUC239" s="23"/>
      <c r="TUH239" s="26"/>
      <c r="TUL239" s="23"/>
      <c r="TUQ239" s="26"/>
      <c r="TUU239" s="23"/>
      <c r="TUZ239" s="26"/>
      <c r="TVD239" s="23"/>
      <c r="TVI239" s="26"/>
      <c r="TVM239" s="23"/>
      <c r="TVR239" s="26"/>
      <c r="TVV239" s="23"/>
      <c r="TWA239" s="26"/>
      <c r="TWE239" s="23"/>
      <c r="TWJ239" s="26"/>
      <c r="TWN239" s="23"/>
      <c r="TWS239" s="26"/>
      <c r="TWW239" s="23"/>
      <c r="TXB239" s="26"/>
      <c r="TXF239" s="23"/>
      <c r="TXK239" s="26"/>
      <c r="TXO239" s="23"/>
      <c r="TXT239" s="26"/>
      <c r="TXX239" s="23"/>
      <c r="TYC239" s="26"/>
      <c r="TYG239" s="23"/>
      <c r="TYL239" s="26"/>
      <c r="TYP239" s="23"/>
      <c r="TYU239" s="26"/>
      <c r="TYY239" s="23"/>
      <c r="TZD239" s="26"/>
      <c r="TZH239" s="23"/>
      <c r="TZM239" s="26"/>
      <c r="TZQ239" s="23"/>
      <c r="TZV239" s="26"/>
      <c r="TZZ239" s="23"/>
      <c r="UAE239" s="26"/>
      <c r="UAI239" s="23"/>
      <c r="UAN239" s="26"/>
      <c r="UAR239" s="23"/>
      <c r="UAW239" s="26"/>
      <c r="UBA239" s="23"/>
      <c r="UBF239" s="26"/>
      <c r="UBJ239" s="23"/>
      <c r="UBO239" s="26"/>
      <c r="UBS239" s="23"/>
      <c r="UBX239" s="26"/>
      <c r="UCB239" s="23"/>
      <c r="UCG239" s="26"/>
      <c r="UCK239" s="23"/>
      <c r="UCP239" s="26"/>
      <c r="UCT239" s="23"/>
      <c r="UCY239" s="26"/>
      <c r="UDC239" s="23"/>
      <c r="UDH239" s="26"/>
      <c r="UDL239" s="23"/>
      <c r="UDQ239" s="26"/>
      <c r="UDU239" s="23"/>
      <c r="UDZ239" s="26"/>
      <c r="UED239" s="23"/>
      <c r="UEI239" s="26"/>
      <c r="UEM239" s="23"/>
      <c r="UER239" s="26"/>
      <c r="UEV239" s="23"/>
      <c r="UFA239" s="26"/>
      <c r="UFE239" s="23"/>
      <c r="UFJ239" s="26"/>
      <c r="UFN239" s="23"/>
      <c r="UFS239" s="26"/>
      <c r="UFW239" s="23"/>
      <c r="UGB239" s="26"/>
      <c r="UGF239" s="23"/>
      <c r="UGK239" s="26"/>
      <c r="UGO239" s="23"/>
      <c r="UGT239" s="26"/>
      <c r="UGX239" s="23"/>
      <c r="UHC239" s="26"/>
      <c r="UHG239" s="23"/>
      <c r="UHL239" s="26"/>
      <c r="UHP239" s="23"/>
      <c r="UHU239" s="26"/>
      <c r="UHY239" s="23"/>
      <c r="UID239" s="26"/>
      <c r="UIH239" s="23"/>
      <c r="UIM239" s="26"/>
      <c r="UIQ239" s="23"/>
      <c r="UIV239" s="26"/>
      <c r="UIZ239" s="23"/>
      <c r="UJE239" s="26"/>
      <c r="UJI239" s="23"/>
      <c r="UJN239" s="26"/>
      <c r="UJR239" s="23"/>
      <c r="UJW239" s="26"/>
      <c r="UKA239" s="23"/>
      <c r="UKF239" s="26"/>
      <c r="UKJ239" s="23"/>
      <c r="UKO239" s="26"/>
      <c r="UKS239" s="23"/>
      <c r="UKX239" s="26"/>
      <c r="ULB239" s="23"/>
      <c r="ULG239" s="26"/>
      <c r="ULK239" s="23"/>
      <c r="ULP239" s="26"/>
      <c r="ULT239" s="23"/>
      <c r="ULY239" s="26"/>
      <c r="UMC239" s="23"/>
      <c r="UMH239" s="26"/>
      <c r="UML239" s="23"/>
      <c r="UMQ239" s="26"/>
      <c r="UMU239" s="23"/>
      <c r="UMZ239" s="26"/>
      <c r="UND239" s="23"/>
      <c r="UNI239" s="26"/>
      <c r="UNM239" s="23"/>
      <c r="UNR239" s="26"/>
      <c r="UNV239" s="23"/>
      <c r="UOA239" s="26"/>
      <c r="UOE239" s="23"/>
      <c r="UOJ239" s="26"/>
      <c r="UON239" s="23"/>
      <c r="UOS239" s="26"/>
      <c r="UOW239" s="23"/>
      <c r="UPB239" s="26"/>
      <c r="UPF239" s="23"/>
      <c r="UPK239" s="26"/>
      <c r="UPO239" s="23"/>
      <c r="UPT239" s="26"/>
      <c r="UPX239" s="23"/>
      <c r="UQC239" s="26"/>
      <c r="UQG239" s="23"/>
      <c r="UQL239" s="26"/>
      <c r="UQP239" s="23"/>
      <c r="UQU239" s="26"/>
      <c r="UQY239" s="23"/>
      <c r="URD239" s="26"/>
      <c r="URH239" s="23"/>
      <c r="URM239" s="26"/>
      <c r="URQ239" s="23"/>
      <c r="URV239" s="26"/>
      <c r="URZ239" s="23"/>
      <c r="USE239" s="26"/>
      <c r="USI239" s="23"/>
      <c r="USN239" s="26"/>
      <c r="USR239" s="23"/>
      <c r="USW239" s="26"/>
      <c r="UTA239" s="23"/>
      <c r="UTF239" s="26"/>
      <c r="UTJ239" s="23"/>
      <c r="UTO239" s="26"/>
      <c r="UTS239" s="23"/>
      <c r="UTX239" s="26"/>
      <c r="UUB239" s="23"/>
      <c r="UUG239" s="26"/>
      <c r="UUK239" s="23"/>
      <c r="UUP239" s="26"/>
      <c r="UUT239" s="23"/>
      <c r="UUY239" s="26"/>
      <c r="UVC239" s="23"/>
      <c r="UVH239" s="26"/>
      <c r="UVL239" s="23"/>
      <c r="UVQ239" s="26"/>
      <c r="UVU239" s="23"/>
      <c r="UVZ239" s="26"/>
      <c r="UWD239" s="23"/>
      <c r="UWI239" s="26"/>
      <c r="UWM239" s="23"/>
      <c r="UWR239" s="26"/>
      <c r="UWV239" s="23"/>
      <c r="UXA239" s="26"/>
      <c r="UXE239" s="23"/>
      <c r="UXJ239" s="26"/>
      <c r="UXN239" s="23"/>
      <c r="UXS239" s="26"/>
      <c r="UXW239" s="23"/>
      <c r="UYB239" s="26"/>
      <c r="UYF239" s="23"/>
      <c r="UYK239" s="26"/>
      <c r="UYO239" s="23"/>
      <c r="UYT239" s="26"/>
      <c r="UYX239" s="23"/>
      <c r="UZC239" s="26"/>
      <c r="UZG239" s="23"/>
      <c r="UZL239" s="26"/>
      <c r="UZP239" s="23"/>
      <c r="UZU239" s="26"/>
      <c r="UZY239" s="23"/>
      <c r="VAD239" s="26"/>
      <c r="VAH239" s="23"/>
      <c r="VAM239" s="26"/>
      <c r="VAQ239" s="23"/>
      <c r="VAV239" s="26"/>
      <c r="VAZ239" s="23"/>
      <c r="VBE239" s="26"/>
      <c r="VBI239" s="23"/>
      <c r="VBN239" s="26"/>
      <c r="VBR239" s="23"/>
      <c r="VBW239" s="26"/>
      <c r="VCA239" s="23"/>
      <c r="VCF239" s="26"/>
      <c r="VCJ239" s="23"/>
      <c r="VCO239" s="26"/>
      <c r="VCS239" s="23"/>
      <c r="VCX239" s="26"/>
      <c r="VDB239" s="23"/>
      <c r="VDG239" s="26"/>
      <c r="VDK239" s="23"/>
      <c r="VDP239" s="26"/>
      <c r="VDT239" s="23"/>
      <c r="VDY239" s="26"/>
      <c r="VEC239" s="23"/>
      <c r="VEH239" s="26"/>
      <c r="VEL239" s="23"/>
      <c r="VEQ239" s="26"/>
      <c r="VEU239" s="23"/>
      <c r="VEZ239" s="26"/>
      <c r="VFD239" s="23"/>
      <c r="VFI239" s="26"/>
      <c r="VFM239" s="23"/>
      <c r="VFR239" s="26"/>
      <c r="VFV239" s="23"/>
      <c r="VGA239" s="26"/>
      <c r="VGE239" s="23"/>
      <c r="VGJ239" s="26"/>
      <c r="VGN239" s="23"/>
      <c r="VGS239" s="26"/>
      <c r="VGW239" s="23"/>
      <c r="VHB239" s="26"/>
      <c r="VHF239" s="23"/>
      <c r="VHK239" s="26"/>
      <c r="VHO239" s="23"/>
      <c r="VHT239" s="26"/>
      <c r="VHX239" s="23"/>
      <c r="VIC239" s="26"/>
      <c r="VIG239" s="23"/>
      <c r="VIL239" s="26"/>
      <c r="VIP239" s="23"/>
      <c r="VIU239" s="26"/>
      <c r="VIY239" s="23"/>
      <c r="VJD239" s="26"/>
      <c r="VJH239" s="23"/>
      <c r="VJM239" s="26"/>
      <c r="VJQ239" s="23"/>
      <c r="VJV239" s="26"/>
      <c r="VJZ239" s="23"/>
      <c r="VKE239" s="26"/>
      <c r="VKI239" s="23"/>
      <c r="VKN239" s="26"/>
      <c r="VKR239" s="23"/>
      <c r="VKW239" s="26"/>
      <c r="VLA239" s="23"/>
      <c r="VLF239" s="26"/>
      <c r="VLJ239" s="23"/>
      <c r="VLO239" s="26"/>
      <c r="VLS239" s="23"/>
      <c r="VLX239" s="26"/>
      <c r="VMB239" s="23"/>
      <c r="VMG239" s="26"/>
      <c r="VMK239" s="23"/>
      <c r="VMP239" s="26"/>
      <c r="VMT239" s="23"/>
      <c r="VMY239" s="26"/>
      <c r="VNC239" s="23"/>
      <c r="VNH239" s="26"/>
      <c r="VNL239" s="23"/>
      <c r="VNQ239" s="26"/>
      <c r="VNU239" s="23"/>
      <c r="VNZ239" s="26"/>
      <c r="VOD239" s="23"/>
      <c r="VOI239" s="26"/>
      <c r="VOM239" s="23"/>
      <c r="VOR239" s="26"/>
      <c r="VOV239" s="23"/>
      <c r="VPA239" s="26"/>
      <c r="VPE239" s="23"/>
      <c r="VPJ239" s="26"/>
      <c r="VPN239" s="23"/>
      <c r="VPS239" s="26"/>
      <c r="VPW239" s="23"/>
      <c r="VQB239" s="26"/>
      <c r="VQF239" s="23"/>
      <c r="VQK239" s="26"/>
      <c r="VQO239" s="23"/>
      <c r="VQT239" s="26"/>
      <c r="VQX239" s="23"/>
      <c r="VRC239" s="26"/>
      <c r="VRG239" s="23"/>
      <c r="VRL239" s="26"/>
      <c r="VRP239" s="23"/>
      <c r="VRU239" s="26"/>
      <c r="VRY239" s="23"/>
      <c r="VSD239" s="26"/>
      <c r="VSH239" s="23"/>
      <c r="VSM239" s="26"/>
      <c r="VSQ239" s="23"/>
      <c r="VSV239" s="26"/>
      <c r="VSZ239" s="23"/>
      <c r="VTE239" s="26"/>
      <c r="VTI239" s="23"/>
      <c r="VTN239" s="26"/>
      <c r="VTR239" s="23"/>
      <c r="VTW239" s="26"/>
      <c r="VUA239" s="23"/>
      <c r="VUF239" s="26"/>
      <c r="VUJ239" s="23"/>
      <c r="VUO239" s="26"/>
      <c r="VUS239" s="23"/>
      <c r="VUX239" s="26"/>
      <c r="VVB239" s="23"/>
      <c r="VVG239" s="26"/>
      <c r="VVK239" s="23"/>
      <c r="VVP239" s="26"/>
      <c r="VVT239" s="23"/>
      <c r="VVY239" s="26"/>
      <c r="VWC239" s="23"/>
      <c r="VWH239" s="26"/>
      <c r="VWL239" s="23"/>
      <c r="VWQ239" s="26"/>
      <c r="VWU239" s="23"/>
      <c r="VWZ239" s="26"/>
      <c r="VXD239" s="23"/>
      <c r="VXI239" s="26"/>
      <c r="VXM239" s="23"/>
      <c r="VXR239" s="26"/>
      <c r="VXV239" s="23"/>
      <c r="VYA239" s="26"/>
      <c r="VYE239" s="23"/>
      <c r="VYJ239" s="26"/>
      <c r="VYN239" s="23"/>
      <c r="VYS239" s="26"/>
      <c r="VYW239" s="23"/>
      <c r="VZB239" s="26"/>
      <c r="VZF239" s="23"/>
      <c r="VZK239" s="26"/>
      <c r="VZO239" s="23"/>
      <c r="VZT239" s="26"/>
      <c r="VZX239" s="23"/>
      <c r="WAC239" s="26"/>
      <c r="WAG239" s="23"/>
      <c r="WAL239" s="26"/>
      <c r="WAP239" s="23"/>
      <c r="WAU239" s="26"/>
      <c r="WAY239" s="23"/>
      <c r="WBD239" s="26"/>
      <c r="WBH239" s="23"/>
      <c r="WBM239" s="26"/>
      <c r="WBQ239" s="23"/>
      <c r="WBV239" s="26"/>
      <c r="WBZ239" s="23"/>
      <c r="WCE239" s="26"/>
      <c r="WCI239" s="23"/>
      <c r="WCN239" s="26"/>
      <c r="WCR239" s="23"/>
      <c r="WCW239" s="26"/>
      <c r="WDA239" s="23"/>
      <c r="WDF239" s="26"/>
      <c r="WDJ239" s="23"/>
      <c r="WDO239" s="26"/>
      <c r="WDS239" s="23"/>
      <c r="WDX239" s="26"/>
      <c r="WEB239" s="23"/>
      <c r="WEG239" s="26"/>
      <c r="WEK239" s="23"/>
      <c r="WEP239" s="26"/>
      <c r="WET239" s="23"/>
      <c r="WEY239" s="26"/>
      <c r="WFC239" s="23"/>
      <c r="WFH239" s="26"/>
      <c r="WFL239" s="23"/>
      <c r="WFQ239" s="26"/>
      <c r="WFU239" s="23"/>
      <c r="WFZ239" s="26"/>
      <c r="WGD239" s="23"/>
      <c r="WGI239" s="26"/>
      <c r="WGM239" s="23"/>
      <c r="WGR239" s="26"/>
      <c r="WGV239" s="23"/>
      <c r="WHA239" s="26"/>
      <c r="WHE239" s="23"/>
      <c r="WHJ239" s="26"/>
      <c r="WHN239" s="23"/>
      <c r="WHS239" s="26"/>
      <c r="WHW239" s="23"/>
      <c r="WIB239" s="26"/>
      <c r="WIF239" s="23"/>
      <c r="WIK239" s="26"/>
      <c r="WIO239" s="23"/>
      <c r="WIT239" s="26"/>
      <c r="WIX239" s="23"/>
      <c r="WJC239" s="26"/>
      <c r="WJG239" s="23"/>
      <c r="WJL239" s="26"/>
      <c r="WJP239" s="23"/>
      <c r="WJU239" s="26"/>
      <c r="WJY239" s="23"/>
      <c r="WKD239" s="26"/>
      <c r="WKH239" s="23"/>
      <c r="WKM239" s="26"/>
      <c r="WKQ239" s="23"/>
      <c r="WKV239" s="26"/>
      <c r="WKZ239" s="23"/>
      <c r="WLE239" s="26"/>
      <c r="WLI239" s="23"/>
      <c r="WLN239" s="26"/>
      <c r="WLR239" s="23"/>
      <c r="WLW239" s="26"/>
      <c r="WMA239" s="23"/>
      <c r="WMF239" s="26"/>
      <c r="WMJ239" s="23"/>
      <c r="WMO239" s="26"/>
      <c r="WMS239" s="23"/>
      <c r="WMX239" s="26"/>
      <c r="WNB239" s="23"/>
      <c r="WNG239" s="26"/>
      <c r="WNK239" s="23"/>
      <c r="WNP239" s="26"/>
      <c r="WNT239" s="23"/>
      <c r="WNY239" s="26"/>
      <c r="WOC239" s="23"/>
      <c r="WOH239" s="26"/>
      <c r="WOL239" s="23"/>
      <c r="WOQ239" s="26"/>
      <c r="WOU239" s="23"/>
      <c r="WOZ239" s="26"/>
      <c r="WPD239" s="23"/>
      <c r="WPI239" s="26"/>
      <c r="WPM239" s="23"/>
      <c r="WPR239" s="26"/>
      <c r="WPV239" s="23"/>
      <c r="WQA239" s="26"/>
      <c r="WQE239" s="23"/>
      <c r="WQJ239" s="26"/>
      <c r="WQN239" s="23"/>
      <c r="WQS239" s="26"/>
      <c r="WQW239" s="23"/>
      <c r="WRB239" s="26"/>
      <c r="WRF239" s="23"/>
      <c r="WRK239" s="26"/>
      <c r="WRO239" s="23"/>
      <c r="WRT239" s="26"/>
      <c r="WRX239" s="23"/>
      <c r="WSC239" s="26"/>
      <c r="WSG239" s="23"/>
      <c r="WSL239" s="26"/>
      <c r="WSP239" s="23"/>
      <c r="WSU239" s="26"/>
      <c r="WSY239" s="23"/>
      <c r="WTD239" s="26"/>
      <c r="WTH239" s="23"/>
      <c r="WTM239" s="26"/>
      <c r="WTQ239" s="23"/>
      <c r="WTV239" s="26"/>
      <c r="WTZ239" s="23"/>
      <c r="WUE239" s="26"/>
      <c r="WUI239" s="23"/>
      <c r="WUN239" s="26"/>
      <c r="WUR239" s="23"/>
      <c r="WUW239" s="26"/>
      <c r="WVA239" s="23"/>
      <c r="WVF239" s="26"/>
      <c r="WVJ239" s="23"/>
      <c r="WVO239" s="26"/>
      <c r="WVS239" s="23"/>
      <c r="WVX239" s="26"/>
      <c r="WWB239" s="23"/>
      <c r="WWG239" s="26"/>
      <c r="WWK239" s="23"/>
      <c r="WWP239" s="26"/>
      <c r="WWT239" s="23"/>
      <c r="WWY239" s="26"/>
      <c r="WXC239" s="23"/>
      <c r="WXH239" s="26"/>
      <c r="WXL239" s="23"/>
      <c r="WXQ239" s="26"/>
      <c r="WXU239" s="23"/>
      <c r="WXZ239" s="26"/>
      <c r="WYD239" s="23"/>
      <c r="WYI239" s="26"/>
      <c r="WYM239" s="23"/>
      <c r="WYR239" s="26"/>
      <c r="WYV239" s="23"/>
      <c r="WZA239" s="26"/>
      <c r="WZE239" s="23"/>
      <c r="WZJ239" s="26"/>
      <c r="WZN239" s="23"/>
      <c r="WZS239" s="26"/>
      <c r="WZW239" s="23"/>
      <c r="XAB239" s="26"/>
      <c r="XAF239" s="23"/>
      <c r="XAK239" s="26"/>
      <c r="XAO239" s="23"/>
      <c r="XAT239" s="26"/>
      <c r="XAX239" s="23"/>
      <c r="XBC239" s="26"/>
      <c r="XBG239" s="23"/>
      <c r="XBL239" s="26"/>
      <c r="XBP239" s="23"/>
      <c r="XBU239" s="26"/>
      <c r="XBY239" s="23"/>
      <c r="XCD239" s="26"/>
      <c r="XCH239" s="23"/>
      <c r="XCM239" s="26"/>
      <c r="XCQ239" s="23"/>
      <c r="XCV239" s="26"/>
      <c r="XCZ239" s="23"/>
      <c r="XDE239" s="26"/>
      <c r="XDI239" s="23"/>
      <c r="XDN239" s="26"/>
      <c r="XDR239" s="23"/>
      <c r="XDW239" s="26"/>
      <c r="XEA239" s="23"/>
      <c r="XEF239" s="26"/>
      <c r="XEJ239" s="23"/>
      <c r="XEO239" s="26"/>
      <c r="XES239" s="23"/>
      <c r="XEX239" s="26"/>
      <c r="XFB239" s="23"/>
    </row>
    <row r="240" spans="2:1024 1028:2045 2050:3071 3076:4093 4097:5119 5123:6140 6145:7166 7171:8192 8197:9214 9218:10240 10244:11261 11266:12287 12292:13309 13313:14335 14339:15356 15361:16382" x14ac:dyDescent="0.3">
      <c r="B240" s="23"/>
      <c r="K240" s="23"/>
      <c r="P240" s="26"/>
      <c r="T240" s="23"/>
      <c r="Y240" s="26"/>
      <c r="AC240" s="23"/>
      <c r="AH240" s="26"/>
      <c r="AL240" s="23"/>
      <c r="AQ240" s="26"/>
      <c r="AU240" s="23"/>
      <c r="AZ240" s="26"/>
      <c r="BD240" s="23"/>
      <c r="BI240" s="26"/>
      <c r="BM240" s="23"/>
      <c r="BR240" s="26"/>
      <c r="BV240" s="23"/>
      <c r="CA240" s="26"/>
      <c r="CE240" s="23"/>
      <c r="CJ240" s="26"/>
      <c r="CN240" s="23"/>
      <c r="CS240" s="26"/>
      <c r="CW240" s="23"/>
      <c r="DB240" s="26"/>
      <c r="DF240" s="23"/>
      <c r="DK240" s="26"/>
      <c r="DO240" s="23"/>
      <c r="DT240" s="26"/>
      <c r="DX240" s="23"/>
      <c r="EC240" s="26"/>
      <c r="EG240" s="23"/>
      <c r="EL240" s="26"/>
      <c r="EP240" s="23"/>
      <c r="EU240" s="26"/>
      <c r="EY240" s="23"/>
      <c r="FD240" s="26"/>
      <c r="FH240" s="23"/>
      <c r="FM240" s="26"/>
      <c r="FQ240" s="23"/>
      <c r="FV240" s="26"/>
      <c r="FZ240" s="23"/>
      <c r="GE240" s="26"/>
      <c r="GI240" s="23"/>
      <c r="GN240" s="26"/>
      <c r="GR240" s="23"/>
      <c r="GW240" s="26"/>
      <c r="HA240" s="23"/>
      <c r="HF240" s="26"/>
      <c r="HJ240" s="23"/>
      <c r="HO240" s="26"/>
      <c r="HS240" s="23"/>
      <c r="HX240" s="26"/>
      <c r="IB240" s="23"/>
      <c r="IG240" s="26"/>
      <c r="IK240" s="23"/>
      <c r="IP240" s="26"/>
      <c r="IT240" s="23"/>
      <c r="IY240" s="26"/>
      <c r="JC240" s="23"/>
      <c r="JH240" s="26"/>
      <c r="JL240" s="23"/>
      <c r="JQ240" s="26"/>
      <c r="JU240" s="23"/>
      <c r="JZ240" s="26"/>
      <c r="KD240" s="23"/>
      <c r="KI240" s="26"/>
      <c r="KM240" s="23"/>
      <c r="KR240" s="26"/>
      <c r="KV240" s="23"/>
      <c r="LA240" s="26"/>
      <c r="LE240" s="23"/>
      <c r="LJ240" s="26"/>
      <c r="LN240" s="23"/>
      <c r="LS240" s="26"/>
      <c r="LW240" s="23"/>
      <c r="MB240" s="26"/>
      <c r="MF240" s="23"/>
      <c r="MK240" s="26"/>
      <c r="MO240" s="23"/>
      <c r="MT240" s="26"/>
      <c r="MX240" s="23"/>
      <c r="NC240" s="26"/>
      <c r="NG240" s="23"/>
      <c r="NL240" s="26"/>
      <c r="NP240" s="23"/>
      <c r="NU240" s="26"/>
      <c r="NY240" s="23"/>
      <c r="OD240" s="26"/>
      <c r="OH240" s="23"/>
      <c r="OM240" s="26"/>
      <c r="OQ240" s="23"/>
      <c r="OV240" s="26"/>
      <c r="OZ240" s="23"/>
      <c r="PE240" s="26"/>
      <c r="PI240" s="23"/>
      <c r="PN240" s="26"/>
      <c r="PR240" s="23"/>
      <c r="PW240" s="26"/>
      <c r="QA240" s="23"/>
      <c r="QF240" s="26"/>
      <c r="QJ240" s="23"/>
      <c r="QO240" s="26"/>
      <c r="QS240" s="23"/>
      <c r="QX240" s="26"/>
      <c r="RB240" s="23"/>
      <c r="RG240" s="26"/>
      <c r="RK240" s="23"/>
      <c r="RP240" s="26"/>
      <c r="RT240" s="23"/>
      <c r="RY240" s="26"/>
      <c r="SC240" s="23"/>
      <c r="SH240" s="26"/>
      <c r="SL240" s="23"/>
      <c r="SQ240" s="26"/>
      <c r="SU240" s="23"/>
      <c r="SZ240" s="26"/>
      <c r="TD240" s="23"/>
      <c r="TI240" s="26"/>
      <c r="TM240" s="23"/>
      <c r="TR240" s="26"/>
      <c r="TV240" s="23"/>
      <c r="UA240" s="26"/>
      <c r="UE240" s="23"/>
      <c r="UJ240" s="26"/>
      <c r="UN240" s="23"/>
      <c r="US240" s="26"/>
      <c r="UW240" s="23"/>
      <c r="VB240" s="26"/>
      <c r="VF240" s="23"/>
      <c r="VK240" s="26"/>
      <c r="VO240" s="23"/>
      <c r="VT240" s="26"/>
      <c r="VX240" s="23"/>
      <c r="WC240" s="26"/>
      <c r="WG240" s="23"/>
      <c r="WL240" s="26"/>
      <c r="WP240" s="23"/>
      <c r="WU240" s="26"/>
      <c r="WY240" s="23"/>
      <c r="XD240" s="26"/>
      <c r="XH240" s="23"/>
      <c r="XM240" s="26"/>
      <c r="XQ240" s="23"/>
      <c r="XV240" s="26"/>
      <c r="XZ240" s="23"/>
      <c r="YE240" s="26"/>
      <c r="YI240" s="23"/>
      <c r="YN240" s="26"/>
      <c r="YR240" s="23"/>
      <c r="YW240" s="26"/>
      <c r="ZA240" s="23"/>
      <c r="ZF240" s="26"/>
      <c r="ZJ240" s="23"/>
      <c r="ZO240" s="26"/>
      <c r="ZS240" s="23"/>
      <c r="ZX240" s="26"/>
      <c r="AAB240" s="23"/>
      <c r="AAG240" s="26"/>
      <c r="AAK240" s="23"/>
      <c r="AAP240" s="26"/>
      <c r="AAT240" s="23"/>
      <c r="AAY240" s="26"/>
      <c r="ABC240" s="23"/>
      <c r="ABH240" s="26"/>
      <c r="ABL240" s="23"/>
      <c r="ABQ240" s="26"/>
      <c r="ABU240" s="23"/>
      <c r="ABZ240" s="26"/>
      <c r="ACD240" s="23"/>
      <c r="ACI240" s="26"/>
      <c r="ACM240" s="23"/>
      <c r="ACR240" s="26"/>
      <c r="ACV240" s="23"/>
      <c r="ADA240" s="26"/>
      <c r="ADE240" s="23"/>
      <c r="ADJ240" s="26"/>
      <c r="ADN240" s="23"/>
      <c r="ADS240" s="26"/>
      <c r="ADW240" s="23"/>
      <c r="AEB240" s="26"/>
      <c r="AEF240" s="23"/>
      <c r="AEK240" s="26"/>
      <c r="AEO240" s="23"/>
      <c r="AET240" s="26"/>
      <c r="AEX240" s="23"/>
      <c r="AFC240" s="26"/>
      <c r="AFG240" s="23"/>
      <c r="AFL240" s="26"/>
      <c r="AFP240" s="23"/>
      <c r="AFU240" s="26"/>
      <c r="AFY240" s="23"/>
      <c r="AGD240" s="26"/>
      <c r="AGH240" s="23"/>
      <c r="AGM240" s="26"/>
      <c r="AGQ240" s="23"/>
      <c r="AGV240" s="26"/>
      <c r="AGZ240" s="23"/>
      <c r="AHE240" s="26"/>
      <c r="AHI240" s="23"/>
      <c r="AHN240" s="26"/>
      <c r="AHR240" s="23"/>
      <c r="AHW240" s="26"/>
      <c r="AIA240" s="23"/>
      <c r="AIF240" s="26"/>
      <c r="AIJ240" s="23"/>
      <c r="AIO240" s="26"/>
      <c r="AIS240" s="23"/>
      <c r="AIX240" s="26"/>
      <c r="AJB240" s="23"/>
      <c r="AJG240" s="26"/>
      <c r="AJK240" s="23"/>
      <c r="AJP240" s="26"/>
      <c r="AJT240" s="23"/>
      <c r="AJY240" s="26"/>
      <c r="AKC240" s="23"/>
      <c r="AKH240" s="26"/>
      <c r="AKL240" s="23"/>
      <c r="AKQ240" s="26"/>
      <c r="AKU240" s="23"/>
      <c r="AKZ240" s="26"/>
      <c r="ALD240" s="23"/>
      <c r="ALI240" s="26"/>
      <c r="ALM240" s="23"/>
      <c r="ALR240" s="26"/>
      <c r="ALV240" s="23"/>
      <c r="AMA240" s="26"/>
      <c r="AME240" s="23"/>
      <c r="AMJ240" s="26"/>
      <c r="AMN240" s="23"/>
      <c r="AMS240" s="26"/>
      <c r="AMW240" s="23"/>
      <c r="ANB240" s="26"/>
      <c r="ANF240" s="23"/>
      <c r="ANK240" s="26"/>
      <c r="ANO240" s="23"/>
      <c r="ANT240" s="26"/>
      <c r="ANX240" s="23"/>
      <c r="AOC240" s="26"/>
      <c r="AOG240" s="23"/>
      <c r="AOL240" s="26"/>
      <c r="AOP240" s="23"/>
      <c r="AOU240" s="26"/>
      <c r="AOY240" s="23"/>
      <c r="APD240" s="26"/>
      <c r="APH240" s="23"/>
      <c r="APM240" s="26"/>
      <c r="APQ240" s="23"/>
      <c r="APV240" s="26"/>
      <c r="APZ240" s="23"/>
      <c r="AQE240" s="26"/>
      <c r="AQI240" s="23"/>
      <c r="AQN240" s="26"/>
      <c r="AQR240" s="23"/>
      <c r="AQW240" s="26"/>
      <c r="ARA240" s="23"/>
      <c r="ARF240" s="26"/>
      <c r="ARJ240" s="23"/>
      <c r="ARO240" s="26"/>
      <c r="ARS240" s="23"/>
      <c r="ARX240" s="26"/>
      <c r="ASB240" s="23"/>
      <c r="ASG240" s="26"/>
      <c r="ASK240" s="23"/>
      <c r="ASP240" s="26"/>
      <c r="AST240" s="23"/>
      <c r="ASY240" s="26"/>
      <c r="ATC240" s="23"/>
      <c r="ATH240" s="26"/>
      <c r="ATL240" s="23"/>
      <c r="ATQ240" s="26"/>
      <c r="ATU240" s="23"/>
      <c r="ATZ240" s="26"/>
      <c r="AUD240" s="23"/>
      <c r="AUI240" s="26"/>
      <c r="AUM240" s="23"/>
      <c r="AUR240" s="26"/>
      <c r="AUV240" s="23"/>
      <c r="AVA240" s="26"/>
      <c r="AVE240" s="23"/>
      <c r="AVJ240" s="26"/>
      <c r="AVN240" s="23"/>
      <c r="AVS240" s="26"/>
      <c r="AVW240" s="23"/>
      <c r="AWB240" s="26"/>
      <c r="AWF240" s="23"/>
      <c r="AWK240" s="26"/>
      <c r="AWO240" s="23"/>
      <c r="AWT240" s="26"/>
      <c r="AWX240" s="23"/>
      <c r="AXC240" s="26"/>
      <c r="AXG240" s="23"/>
      <c r="AXL240" s="26"/>
      <c r="AXP240" s="23"/>
      <c r="AXU240" s="26"/>
      <c r="AXY240" s="23"/>
      <c r="AYD240" s="26"/>
      <c r="AYH240" s="23"/>
      <c r="AYM240" s="26"/>
      <c r="AYQ240" s="23"/>
      <c r="AYV240" s="26"/>
      <c r="AYZ240" s="23"/>
      <c r="AZE240" s="26"/>
      <c r="AZI240" s="23"/>
      <c r="AZN240" s="26"/>
      <c r="AZR240" s="23"/>
      <c r="AZW240" s="26"/>
      <c r="BAA240" s="23"/>
      <c r="BAF240" s="26"/>
      <c r="BAJ240" s="23"/>
      <c r="BAO240" s="26"/>
      <c r="BAS240" s="23"/>
      <c r="BAX240" s="26"/>
      <c r="BBB240" s="23"/>
      <c r="BBG240" s="26"/>
      <c r="BBK240" s="23"/>
      <c r="BBP240" s="26"/>
      <c r="BBT240" s="23"/>
      <c r="BBY240" s="26"/>
      <c r="BCC240" s="23"/>
      <c r="BCH240" s="26"/>
      <c r="BCL240" s="23"/>
      <c r="BCQ240" s="26"/>
      <c r="BCU240" s="23"/>
      <c r="BCZ240" s="26"/>
      <c r="BDD240" s="23"/>
      <c r="BDI240" s="26"/>
      <c r="BDM240" s="23"/>
      <c r="BDR240" s="26"/>
      <c r="BDV240" s="23"/>
      <c r="BEA240" s="26"/>
      <c r="BEE240" s="23"/>
      <c r="BEJ240" s="26"/>
      <c r="BEN240" s="23"/>
      <c r="BES240" s="26"/>
      <c r="BEW240" s="23"/>
      <c r="BFB240" s="26"/>
      <c r="BFF240" s="23"/>
      <c r="BFK240" s="26"/>
      <c r="BFO240" s="23"/>
      <c r="BFT240" s="26"/>
      <c r="BFX240" s="23"/>
      <c r="BGC240" s="26"/>
      <c r="BGG240" s="23"/>
      <c r="BGL240" s="26"/>
      <c r="BGP240" s="23"/>
      <c r="BGU240" s="26"/>
      <c r="BGY240" s="23"/>
      <c r="BHD240" s="26"/>
      <c r="BHH240" s="23"/>
      <c r="BHM240" s="26"/>
      <c r="BHQ240" s="23"/>
      <c r="BHV240" s="26"/>
      <c r="BHZ240" s="23"/>
      <c r="BIE240" s="26"/>
      <c r="BII240" s="23"/>
      <c r="BIN240" s="26"/>
      <c r="BIR240" s="23"/>
      <c r="BIW240" s="26"/>
      <c r="BJA240" s="23"/>
      <c r="BJF240" s="26"/>
      <c r="BJJ240" s="23"/>
      <c r="BJO240" s="26"/>
      <c r="BJS240" s="23"/>
      <c r="BJX240" s="26"/>
      <c r="BKB240" s="23"/>
      <c r="BKG240" s="26"/>
      <c r="BKK240" s="23"/>
      <c r="BKP240" s="26"/>
      <c r="BKT240" s="23"/>
      <c r="BKY240" s="26"/>
      <c r="BLC240" s="23"/>
      <c r="BLH240" s="26"/>
      <c r="BLL240" s="23"/>
      <c r="BLQ240" s="26"/>
      <c r="BLU240" s="23"/>
      <c r="BLZ240" s="26"/>
      <c r="BMD240" s="23"/>
      <c r="BMI240" s="26"/>
      <c r="BMM240" s="23"/>
      <c r="BMR240" s="26"/>
      <c r="BMV240" s="23"/>
      <c r="BNA240" s="26"/>
      <c r="BNE240" s="23"/>
      <c r="BNJ240" s="26"/>
      <c r="BNN240" s="23"/>
      <c r="BNS240" s="26"/>
      <c r="BNW240" s="23"/>
      <c r="BOB240" s="26"/>
      <c r="BOF240" s="23"/>
      <c r="BOK240" s="26"/>
      <c r="BOO240" s="23"/>
      <c r="BOT240" s="26"/>
      <c r="BOX240" s="23"/>
      <c r="BPC240" s="26"/>
      <c r="BPG240" s="23"/>
      <c r="BPL240" s="26"/>
      <c r="BPP240" s="23"/>
      <c r="BPU240" s="26"/>
      <c r="BPY240" s="23"/>
      <c r="BQD240" s="26"/>
      <c r="BQH240" s="23"/>
      <c r="BQM240" s="26"/>
      <c r="BQQ240" s="23"/>
      <c r="BQV240" s="26"/>
      <c r="BQZ240" s="23"/>
      <c r="BRE240" s="26"/>
      <c r="BRI240" s="23"/>
      <c r="BRN240" s="26"/>
      <c r="BRR240" s="23"/>
      <c r="BRW240" s="26"/>
      <c r="BSA240" s="23"/>
      <c r="BSF240" s="26"/>
      <c r="BSJ240" s="23"/>
      <c r="BSO240" s="26"/>
      <c r="BSS240" s="23"/>
      <c r="BSX240" s="26"/>
      <c r="BTB240" s="23"/>
      <c r="BTG240" s="26"/>
      <c r="BTK240" s="23"/>
      <c r="BTP240" s="26"/>
      <c r="BTT240" s="23"/>
      <c r="BTY240" s="26"/>
      <c r="BUC240" s="23"/>
      <c r="BUH240" s="26"/>
      <c r="BUL240" s="23"/>
      <c r="BUQ240" s="26"/>
      <c r="BUU240" s="23"/>
      <c r="BUZ240" s="26"/>
      <c r="BVD240" s="23"/>
      <c r="BVI240" s="26"/>
      <c r="BVM240" s="23"/>
      <c r="BVR240" s="26"/>
      <c r="BVV240" s="23"/>
      <c r="BWA240" s="26"/>
      <c r="BWE240" s="23"/>
      <c r="BWJ240" s="26"/>
      <c r="BWN240" s="23"/>
      <c r="BWS240" s="26"/>
      <c r="BWW240" s="23"/>
      <c r="BXB240" s="26"/>
      <c r="BXF240" s="23"/>
      <c r="BXK240" s="26"/>
      <c r="BXO240" s="23"/>
      <c r="BXT240" s="26"/>
      <c r="BXX240" s="23"/>
      <c r="BYC240" s="26"/>
      <c r="BYG240" s="23"/>
      <c r="BYL240" s="26"/>
      <c r="BYP240" s="23"/>
      <c r="BYU240" s="26"/>
      <c r="BYY240" s="23"/>
      <c r="BZD240" s="26"/>
      <c r="BZH240" s="23"/>
      <c r="BZM240" s="26"/>
      <c r="BZQ240" s="23"/>
      <c r="BZV240" s="26"/>
      <c r="BZZ240" s="23"/>
      <c r="CAE240" s="26"/>
      <c r="CAI240" s="23"/>
      <c r="CAN240" s="26"/>
      <c r="CAR240" s="23"/>
      <c r="CAW240" s="26"/>
      <c r="CBA240" s="23"/>
      <c r="CBF240" s="26"/>
      <c r="CBJ240" s="23"/>
      <c r="CBO240" s="26"/>
      <c r="CBS240" s="23"/>
      <c r="CBX240" s="26"/>
      <c r="CCB240" s="23"/>
      <c r="CCG240" s="26"/>
      <c r="CCK240" s="23"/>
      <c r="CCP240" s="26"/>
      <c r="CCT240" s="23"/>
      <c r="CCY240" s="26"/>
      <c r="CDC240" s="23"/>
      <c r="CDH240" s="26"/>
      <c r="CDL240" s="23"/>
      <c r="CDQ240" s="26"/>
      <c r="CDU240" s="23"/>
      <c r="CDZ240" s="26"/>
      <c r="CED240" s="23"/>
      <c r="CEI240" s="26"/>
      <c r="CEM240" s="23"/>
      <c r="CER240" s="26"/>
      <c r="CEV240" s="23"/>
      <c r="CFA240" s="26"/>
      <c r="CFE240" s="23"/>
      <c r="CFJ240" s="26"/>
      <c r="CFN240" s="23"/>
      <c r="CFS240" s="26"/>
      <c r="CFW240" s="23"/>
      <c r="CGB240" s="26"/>
      <c r="CGF240" s="23"/>
      <c r="CGK240" s="26"/>
      <c r="CGO240" s="23"/>
      <c r="CGT240" s="26"/>
      <c r="CGX240" s="23"/>
      <c r="CHC240" s="26"/>
      <c r="CHG240" s="23"/>
      <c r="CHL240" s="26"/>
      <c r="CHP240" s="23"/>
      <c r="CHU240" s="26"/>
      <c r="CHY240" s="23"/>
      <c r="CID240" s="26"/>
      <c r="CIH240" s="23"/>
      <c r="CIM240" s="26"/>
      <c r="CIQ240" s="23"/>
      <c r="CIV240" s="26"/>
      <c r="CIZ240" s="23"/>
      <c r="CJE240" s="26"/>
      <c r="CJI240" s="23"/>
      <c r="CJN240" s="26"/>
      <c r="CJR240" s="23"/>
      <c r="CJW240" s="26"/>
      <c r="CKA240" s="23"/>
      <c r="CKF240" s="26"/>
      <c r="CKJ240" s="23"/>
      <c r="CKO240" s="26"/>
      <c r="CKS240" s="23"/>
      <c r="CKX240" s="26"/>
      <c r="CLB240" s="23"/>
      <c r="CLG240" s="26"/>
      <c r="CLK240" s="23"/>
      <c r="CLP240" s="26"/>
      <c r="CLT240" s="23"/>
      <c r="CLY240" s="26"/>
      <c r="CMC240" s="23"/>
      <c r="CMH240" s="26"/>
      <c r="CML240" s="23"/>
      <c r="CMQ240" s="26"/>
      <c r="CMU240" s="23"/>
      <c r="CMZ240" s="26"/>
      <c r="CND240" s="23"/>
      <c r="CNI240" s="26"/>
      <c r="CNM240" s="23"/>
      <c r="CNR240" s="26"/>
      <c r="CNV240" s="23"/>
      <c r="COA240" s="26"/>
      <c r="COE240" s="23"/>
      <c r="COJ240" s="26"/>
      <c r="CON240" s="23"/>
      <c r="COS240" s="26"/>
      <c r="COW240" s="23"/>
      <c r="CPB240" s="26"/>
      <c r="CPF240" s="23"/>
      <c r="CPK240" s="26"/>
      <c r="CPO240" s="23"/>
      <c r="CPT240" s="26"/>
      <c r="CPX240" s="23"/>
      <c r="CQC240" s="26"/>
      <c r="CQG240" s="23"/>
      <c r="CQL240" s="26"/>
      <c r="CQP240" s="23"/>
      <c r="CQU240" s="26"/>
      <c r="CQY240" s="23"/>
      <c r="CRD240" s="26"/>
      <c r="CRH240" s="23"/>
      <c r="CRM240" s="26"/>
      <c r="CRQ240" s="23"/>
      <c r="CRV240" s="26"/>
      <c r="CRZ240" s="23"/>
      <c r="CSE240" s="26"/>
      <c r="CSI240" s="23"/>
      <c r="CSN240" s="26"/>
      <c r="CSR240" s="23"/>
      <c r="CSW240" s="26"/>
      <c r="CTA240" s="23"/>
      <c r="CTF240" s="26"/>
      <c r="CTJ240" s="23"/>
      <c r="CTO240" s="26"/>
      <c r="CTS240" s="23"/>
      <c r="CTX240" s="26"/>
      <c r="CUB240" s="23"/>
      <c r="CUG240" s="26"/>
      <c r="CUK240" s="23"/>
      <c r="CUP240" s="26"/>
      <c r="CUT240" s="23"/>
      <c r="CUY240" s="26"/>
      <c r="CVC240" s="23"/>
      <c r="CVH240" s="26"/>
      <c r="CVL240" s="23"/>
      <c r="CVQ240" s="26"/>
      <c r="CVU240" s="23"/>
      <c r="CVZ240" s="26"/>
      <c r="CWD240" s="23"/>
      <c r="CWI240" s="26"/>
      <c r="CWM240" s="23"/>
      <c r="CWR240" s="26"/>
      <c r="CWV240" s="23"/>
      <c r="CXA240" s="26"/>
      <c r="CXE240" s="23"/>
      <c r="CXJ240" s="26"/>
      <c r="CXN240" s="23"/>
      <c r="CXS240" s="26"/>
      <c r="CXW240" s="23"/>
      <c r="CYB240" s="26"/>
      <c r="CYF240" s="23"/>
      <c r="CYK240" s="26"/>
      <c r="CYO240" s="23"/>
      <c r="CYT240" s="26"/>
      <c r="CYX240" s="23"/>
      <c r="CZC240" s="26"/>
      <c r="CZG240" s="23"/>
      <c r="CZL240" s="26"/>
      <c r="CZP240" s="23"/>
      <c r="CZU240" s="26"/>
      <c r="CZY240" s="23"/>
      <c r="DAD240" s="26"/>
      <c r="DAH240" s="23"/>
      <c r="DAM240" s="26"/>
      <c r="DAQ240" s="23"/>
      <c r="DAV240" s="26"/>
      <c r="DAZ240" s="23"/>
      <c r="DBE240" s="26"/>
      <c r="DBI240" s="23"/>
      <c r="DBN240" s="26"/>
      <c r="DBR240" s="23"/>
      <c r="DBW240" s="26"/>
      <c r="DCA240" s="23"/>
      <c r="DCF240" s="26"/>
      <c r="DCJ240" s="23"/>
      <c r="DCO240" s="26"/>
      <c r="DCS240" s="23"/>
      <c r="DCX240" s="26"/>
      <c r="DDB240" s="23"/>
      <c r="DDG240" s="26"/>
      <c r="DDK240" s="23"/>
      <c r="DDP240" s="26"/>
      <c r="DDT240" s="23"/>
      <c r="DDY240" s="26"/>
      <c r="DEC240" s="23"/>
      <c r="DEH240" s="26"/>
      <c r="DEL240" s="23"/>
      <c r="DEQ240" s="26"/>
      <c r="DEU240" s="23"/>
      <c r="DEZ240" s="26"/>
      <c r="DFD240" s="23"/>
      <c r="DFI240" s="26"/>
      <c r="DFM240" s="23"/>
      <c r="DFR240" s="26"/>
      <c r="DFV240" s="23"/>
      <c r="DGA240" s="26"/>
      <c r="DGE240" s="23"/>
      <c r="DGJ240" s="26"/>
      <c r="DGN240" s="23"/>
      <c r="DGS240" s="26"/>
      <c r="DGW240" s="23"/>
      <c r="DHB240" s="26"/>
      <c r="DHF240" s="23"/>
      <c r="DHK240" s="26"/>
      <c r="DHO240" s="23"/>
      <c r="DHT240" s="26"/>
      <c r="DHX240" s="23"/>
      <c r="DIC240" s="26"/>
      <c r="DIG240" s="23"/>
      <c r="DIL240" s="26"/>
      <c r="DIP240" s="23"/>
      <c r="DIU240" s="26"/>
      <c r="DIY240" s="23"/>
      <c r="DJD240" s="26"/>
      <c r="DJH240" s="23"/>
      <c r="DJM240" s="26"/>
      <c r="DJQ240" s="23"/>
      <c r="DJV240" s="26"/>
      <c r="DJZ240" s="23"/>
      <c r="DKE240" s="26"/>
      <c r="DKI240" s="23"/>
      <c r="DKN240" s="26"/>
      <c r="DKR240" s="23"/>
      <c r="DKW240" s="26"/>
      <c r="DLA240" s="23"/>
      <c r="DLF240" s="26"/>
      <c r="DLJ240" s="23"/>
      <c r="DLO240" s="26"/>
      <c r="DLS240" s="23"/>
      <c r="DLX240" s="26"/>
      <c r="DMB240" s="23"/>
      <c r="DMG240" s="26"/>
      <c r="DMK240" s="23"/>
      <c r="DMP240" s="26"/>
      <c r="DMT240" s="23"/>
      <c r="DMY240" s="26"/>
      <c r="DNC240" s="23"/>
      <c r="DNH240" s="26"/>
      <c r="DNL240" s="23"/>
      <c r="DNQ240" s="26"/>
      <c r="DNU240" s="23"/>
      <c r="DNZ240" s="26"/>
      <c r="DOD240" s="23"/>
      <c r="DOI240" s="26"/>
      <c r="DOM240" s="23"/>
      <c r="DOR240" s="26"/>
      <c r="DOV240" s="23"/>
      <c r="DPA240" s="26"/>
      <c r="DPE240" s="23"/>
      <c r="DPJ240" s="26"/>
      <c r="DPN240" s="23"/>
      <c r="DPS240" s="26"/>
      <c r="DPW240" s="23"/>
      <c r="DQB240" s="26"/>
      <c r="DQF240" s="23"/>
      <c r="DQK240" s="26"/>
      <c r="DQO240" s="23"/>
      <c r="DQT240" s="26"/>
      <c r="DQX240" s="23"/>
      <c r="DRC240" s="26"/>
      <c r="DRG240" s="23"/>
      <c r="DRL240" s="26"/>
      <c r="DRP240" s="23"/>
      <c r="DRU240" s="26"/>
      <c r="DRY240" s="23"/>
      <c r="DSD240" s="26"/>
      <c r="DSH240" s="23"/>
      <c r="DSM240" s="26"/>
      <c r="DSQ240" s="23"/>
      <c r="DSV240" s="26"/>
      <c r="DSZ240" s="23"/>
      <c r="DTE240" s="26"/>
      <c r="DTI240" s="23"/>
      <c r="DTN240" s="26"/>
      <c r="DTR240" s="23"/>
      <c r="DTW240" s="26"/>
      <c r="DUA240" s="23"/>
      <c r="DUF240" s="26"/>
      <c r="DUJ240" s="23"/>
      <c r="DUO240" s="26"/>
      <c r="DUS240" s="23"/>
      <c r="DUX240" s="26"/>
      <c r="DVB240" s="23"/>
      <c r="DVG240" s="26"/>
      <c r="DVK240" s="23"/>
      <c r="DVP240" s="26"/>
      <c r="DVT240" s="23"/>
      <c r="DVY240" s="26"/>
      <c r="DWC240" s="23"/>
      <c r="DWH240" s="26"/>
      <c r="DWL240" s="23"/>
      <c r="DWQ240" s="26"/>
      <c r="DWU240" s="23"/>
      <c r="DWZ240" s="26"/>
      <c r="DXD240" s="23"/>
      <c r="DXI240" s="26"/>
      <c r="DXM240" s="23"/>
      <c r="DXR240" s="26"/>
      <c r="DXV240" s="23"/>
      <c r="DYA240" s="26"/>
      <c r="DYE240" s="23"/>
      <c r="DYJ240" s="26"/>
      <c r="DYN240" s="23"/>
      <c r="DYS240" s="26"/>
      <c r="DYW240" s="23"/>
      <c r="DZB240" s="26"/>
      <c r="DZF240" s="23"/>
      <c r="DZK240" s="26"/>
      <c r="DZO240" s="23"/>
      <c r="DZT240" s="26"/>
      <c r="DZX240" s="23"/>
      <c r="EAC240" s="26"/>
      <c r="EAG240" s="23"/>
      <c r="EAL240" s="26"/>
      <c r="EAP240" s="23"/>
      <c r="EAU240" s="26"/>
      <c r="EAY240" s="23"/>
      <c r="EBD240" s="26"/>
      <c r="EBH240" s="23"/>
      <c r="EBM240" s="26"/>
      <c r="EBQ240" s="23"/>
      <c r="EBV240" s="26"/>
      <c r="EBZ240" s="23"/>
      <c r="ECE240" s="26"/>
      <c r="ECI240" s="23"/>
      <c r="ECN240" s="26"/>
      <c r="ECR240" s="23"/>
      <c r="ECW240" s="26"/>
      <c r="EDA240" s="23"/>
      <c r="EDF240" s="26"/>
      <c r="EDJ240" s="23"/>
      <c r="EDO240" s="26"/>
      <c r="EDS240" s="23"/>
      <c r="EDX240" s="26"/>
      <c r="EEB240" s="23"/>
      <c r="EEG240" s="26"/>
      <c r="EEK240" s="23"/>
      <c r="EEP240" s="26"/>
      <c r="EET240" s="23"/>
      <c r="EEY240" s="26"/>
      <c r="EFC240" s="23"/>
      <c r="EFH240" s="26"/>
      <c r="EFL240" s="23"/>
      <c r="EFQ240" s="26"/>
      <c r="EFU240" s="23"/>
      <c r="EFZ240" s="26"/>
      <c r="EGD240" s="23"/>
      <c r="EGI240" s="26"/>
      <c r="EGM240" s="23"/>
      <c r="EGR240" s="26"/>
      <c r="EGV240" s="23"/>
      <c r="EHA240" s="26"/>
      <c r="EHE240" s="23"/>
      <c r="EHJ240" s="26"/>
      <c r="EHN240" s="23"/>
      <c r="EHS240" s="26"/>
      <c r="EHW240" s="23"/>
      <c r="EIB240" s="26"/>
      <c r="EIF240" s="23"/>
      <c r="EIK240" s="26"/>
      <c r="EIO240" s="23"/>
      <c r="EIT240" s="26"/>
      <c r="EIX240" s="23"/>
      <c r="EJC240" s="26"/>
      <c r="EJG240" s="23"/>
      <c r="EJL240" s="26"/>
      <c r="EJP240" s="23"/>
      <c r="EJU240" s="26"/>
      <c r="EJY240" s="23"/>
      <c r="EKD240" s="26"/>
      <c r="EKH240" s="23"/>
      <c r="EKM240" s="26"/>
      <c r="EKQ240" s="23"/>
      <c r="EKV240" s="26"/>
      <c r="EKZ240" s="23"/>
      <c r="ELE240" s="26"/>
      <c r="ELI240" s="23"/>
      <c r="ELN240" s="26"/>
      <c r="ELR240" s="23"/>
      <c r="ELW240" s="26"/>
      <c r="EMA240" s="23"/>
      <c r="EMF240" s="26"/>
      <c r="EMJ240" s="23"/>
      <c r="EMO240" s="26"/>
      <c r="EMS240" s="23"/>
      <c r="EMX240" s="26"/>
      <c r="ENB240" s="23"/>
      <c r="ENG240" s="26"/>
      <c r="ENK240" s="23"/>
      <c r="ENP240" s="26"/>
      <c r="ENT240" s="23"/>
      <c r="ENY240" s="26"/>
      <c r="EOC240" s="23"/>
      <c r="EOH240" s="26"/>
      <c r="EOL240" s="23"/>
      <c r="EOQ240" s="26"/>
      <c r="EOU240" s="23"/>
      <c r="EOZ240" s="26"/>
      <c r="EPD240" s="23"/>
      <c r="EPI240" s="26"/>
      <c r="EPM240" s="23"/>
      <c r="EPR240" s="26"/>
      <c r="EPV240" s="23"/>
      <c r="EQA240" s="26"/>
      <c r="EQE240" s="23"/>
      <c r="EQJ240" s="26"/>
      <c r="EQN240" s="23"/>
      <c r="EQS240" s="26"/>
      <c r="EQW240" s="23"/>
      <c r="ERB240" s="26"/>
      <c r="ERF240" s="23"/>
      <c r="ERK240" s="26"/>
      <c r="ERO240" s="23"/>
      <c r="ERT240" s="26"/>
      <c r="ERX240" s="23"/>
      <c r="ESC240" s="26"/>
      <c r="ESG240" s="23"/>
      <c r="ESL240" s="26"/>
      <c r="ESP240" s="23"/>
      <c r="ESU240" s="26"/>
      <c r="ESY240" s="23"/>
      <c r="ETD240" s="26"/>
      <c r="ETH240" s="23"/>
      <c r="ETM240" s="26"/>
      <c r="ETQ240" s="23"/>
      <c r="ETV240" s="26"/>
      <c r="ETZ240" s="23"/>
      <c r="EUE240" s="26"/>
      <c r="EUI240" s="23"/>
      <c r="EUN240" s="26"/>
      <c r="EUR240" s="23"/>
      <c r="EUW240" s="26"/>
      <c r="EVA240" s="23"/>
      <c r="EVF240" s="26"/>
      <c r="EVJ240" s="23"/>
      <c r="EVO240" s="26"/>
      <c r="EVS240" s="23"/>
      <c r="EVX240" s="26"/>
      <c r="EWB240" s="23"/>
      <c r="EWG240" s="26"/>
      <c r="EWK240" s="23"/>
      <c r="EWP240" s="26"/>
      <c r="EWT240" s="23"/>
      <c r="EWY240" s="26"/>
      <c r="EXC240" s="23"/>
      <c r="EXH240" s="26"/>
      <c r="EXL240" s="23"/>
      <c r="EXQ240" s="26"/>
      <c r="EXU240" s="23"/>
      <c r="EXZ240" s="26"/>
      <c r="EYD240" s="23"/>
      <c r="EYI240" s="26"/>
      <c r="EYM240" s="23"/>
      <c r="EYR240" s="26"/>
      <c r="EYV240" s="23"/>
      <c r="EZA240" s="26"/>
      <c r="EZE240" s="23"/>
      <c r="EZJ240" s="26"/>
      <c r="EZN240" s="23"/>
      <c r="EZS240" s="26"/>
      <c r="EZW240" s="23"/>
      <c r="FAB240" s="26"/>
      <c r="FAF240" s="23"/>
      <c r="FAK240" s="26"/>
      <c r="FAO240" s="23"/>
      <c r="FAT240" s="26"/>
      <c r="FAX240" s="23"/>
      <c r="FBC240" s="26"/>
      <c r="FBG240" s="23"/>
      <c r="FBL240" s="26"/>
      <c r="FBP240" s="23"/>
      <c r="FBU240" s="26"/>
      <c r="FBY240" s="23"/>
      <c r="FCD240" s="26"/>
      <c r="FCH240" s="23"/>
      <c r="FCM240" s="26"/>
      <c r="FCQ240" s="23"/>
      <c r="FCV240" s="26"/>
      <c r="FCZ240" s="23"/>
      <c r="FDE240" s="26"/>
      <c r="FDI240" s="23"/>
      <c r="FDN240" s="26"/>
      <c r="FDR240" s="23"/>
      <c r="FDW240" s="26"/>
      <c r="FEA240" s="23"/>
      <c r="FEF240" s="26"/>
      <c r="FEJ240" s="23"/>
      <c r="FEO240" s="26"/>
      <c r="FES240" s="23"/>
      <c r="FEX240" s="26"/>
      <c r="FFB240" s="23"/>
      <c r="FFG240" s="26"/>
      <c r="FFK240" s="23"/>
      <c r="FFP240" s="26"/>
      <c r="FFT240" s="23"/>
      <c r="FFY240" s="26"/>
      <c r="FGC240" s="23"/>
      <c r="FGH240" s="26"/>
      <c r="FGL240" s="23"/>
      <c r="FGQ240" s="26"/>
      <c r="FGU240" s="23"/>
      <c r="FGZ240" s="26"/>
      <c r="FHD240" s="23"/>
      <c r="FHI240" s="26"/>
      <c r="FHM240" s="23"/>
      <c r="FHR240" s="26"/>
      <c r="FHV240" s="23"/>
      <c r="FIA240" s="26"/>
      <c r="FIE240" s="23"/>
      <c r="FIJ240" s="26"/>
      <c r="FIN240" s="23"/>
      <c r="FIS240" s="26"/>
      <c r="FIW240" s="23"/>
      <c r="FJB240" s="26"/>
      <c r="FJF240" s="23"/>
      <c r="FJK240" s="26"/>
      <c r="FJO240" s="23"/>
      <c r="FJT240" s="26"/>
      <c r="FJX240" s="23"/>
      <c r="FKC240" s="26"/>
      <c r="FKG240" s="23"/>
      <c r="FKL240" s="26"/>
      <c r="FKP240" s="23"/>
      <c r="FKU240" s="26"/>
      <c r="FKY240" s="23"/>
      <c r="FLD240" s="26"/>
      <c r="FLH240" s="23"/>
      <c r="FLM240" s="26"/>
      <c r="FLQ240" s="23"/>
      <c r="FLV240" s="26"/>
      <c r="FLZ240" s="23"/>
      <c r="FME240" s="26"/>
      <c r="FMI240" s="23"/>
      <c r="FMN240" s="26"/>
      <c r="FMR240" s="23"/>
      <c r="FMW240" s="26"/>
      <c r="FNA240" s="23"/>
      <c r="FNF240" s="26"/>
      <c r="FNJ240" s="23"/>
      <c r="FNO240" s="26"/>
      <c r="FNS240" s="23"/>
      <c r="FNX240" s="26"/>
      <c r="FOB240" s="23"/>
      <c r="FOG240" s="26"/>
      <c r="FOK240" s="23"/>
      <c r="FOP240" s="26"/>
      <c r="FOT240" s="23"/>
      <c r="FOY240" s="26"/>
      <c r="FPC240" s="23"/>
      <c r="FPH240" s="26"/>
      <c r="FPL240" s="23"/>
      <c r="FPQ240" s="26"/>
      <c r="FPU240" s="23"/>
      <c r="FPZ240" s="26"/>
      <c r="FQD240" s="23"/>
      <c r="FQI240" s="26"/>
      <c r="FQM240" s="23"/>
      <c r="FQR240" s="26"/>
      <c r="FQV240" s="23"/>
      <c r="FRA240" s="26"/>
      <c r="FRE240" s="23"/>
      <c r="FRJ240" s="26"/>
      <c r="FRN240" s="23"/>
      <c r="FRS240" s="26"/>
      <c r="FRW240" s="23"/>
      <c r="FSB240" s="26"/>
      <c r="FSF240" s="23"/>
      <c r="FSK240" s="26"/>
      <c r="FSO240" s="23"/>
      <c r="FST240" s="26"/>
      <c r="FSX240" s="23"/>
      <c r="FTC240" s="26"/>
      <c r="FTG240" s="23"/>
      <c r="FTL240" s="26"/>
      <c r="FTP240" s="23"/>
      <c r="FTU240" s="26"/>
      <c r="FTY240" s="23"/>
      <c r="FUD240" s="26"/>
      <c r="FUH240" s="23"/>
      <c r="FUM240" s="26"/>
      <c r="FUQ240" s="23"/>
      <c r="FUV240" s="26"/>
      <c r="FUZ240" s="23"/>
      <c r="FVE240" s="26"/>
      <c r="FVI240" s="23"/>
      <c r="FVN240" s="26"/>
      <c r="FVR240" s="23"/>
      <c r="FVW240" s="26"/>
      <c r="FWA240" s="23"/>
      <c r="FWF240" s="26"/>
      <c r="FWJ240" s="23"/>
      <c r="FWO240" s="26"/>
      <c r="FWS240" s="23"/>
      <c r="FWX240" s="26"/>
      <c r="FXB240" s="23"/>
      <c r="FXG240" s="26"/>
      <c r="FXK240" s="23"/>
      <c r="FXP240" s="26"/>
      <c r="FXT240" s="23"/>
      <c r="FXY240" s="26"/>
      <c r="FYC240" s="23"/>
      <c r="FYH240" s="26"/>
      <c r="FYL240" s="23"/>
      <c r="FYQ240" s="26"/>
      <c r="FYU240" s="23"/>
      <c r="FYZ240" s="26"/>
      <c r="FZD240" s="23"/>
      <c r="FZI240" s="26"/>
      <c r="FZM240" s="23"/>
      <c r="FZR240" s="26"/>
      <c r="FZV240" s="23"/>
      <c r="GAA240" s="26"/>
      <c r="GAE240" s="23"/>
      <c r="GAJ240" s="26"/>
      <c r="GAN240" s="23"/>
      <c r="GAS240" s="26"/>
      <c r="GAW240" s="23"/>
      <c r="GBB240" s="26"/>
      <c r="GBF240" s="23"/>
      <c r="GBK240" s="26"/>
      <c r="GBO240" s="23"/>
      <c r="GBT240" s="26"/>
      <c r="GBX240" s="23"/>
      <c r="GCC240" s="26"/>
      <c r="GCG240" s="23"/>
      <c r="GCL240" s="26"/>
      <c r="GCP240" s="23"/>
      <c r="GCU240" s="26"/>
      <c r="GCY240" s="23"/>
      <c r="GDD240" s="26"/>
      <c r="GDH240" s="23"/>
      <c r="GDM240" s="26"/>
      <c r="GDQ240" s="23"/>
      <c r="GDV240" s="26"/>
      <c r="GDZ240" s="23"/>
      <c r="GEE240" s="26"/>
      <c r="GEI240" s="23"/>
      <c r="GEN240" s="26"/>
      <c r="GER240" s="23"/>
      <c r="GEW240" s="26"/>
      <c r="GFA240" s="23"/>
      <c r="GFF240" s="26"/>
      <c r="GFJ240" s="23"/>
      <c r="GFO240" s="26"/>
      <c r="GFS240" s="23"/>
      <c r="GFX240" s="26"/>
      <c r="GGB240" s="23"/>
      <c r="GGG240" s="26"/>
      <c r="GGK240" s="23"/>
      <c r="GGP240" s="26"/>
      <c r="GGT240" s="23"/>
      <c r="GGY240" s="26"/>
      <c r="GHC240" s="23"/>
      <c r="GHH240" s="26"/>
      <c r="GHL240" s="23"/>
      <c r="GHQ240" s="26"/>
      <c r="GHU240" s="23"/>
      <c r="GHZ240" s="26"/>
      <c r="GID240" s="23"/>
      <c r="GII240" s="26"/>
      <c r="GIM240" s="23"/>
      <c r="GIR240" s="26"/>
      <c r="GIV240" s="23"/>
      <c r="GJA240" s="26"/>
      <c r="GJE240" s="23"/>
      <c r="GJJ240" s="26"/>
      <c r="GJN240" s="23"/>
      <c r="GJS240" s="26"/>
      <c r="GJW240" s="23"/>
      <c r="GKB240" s="26"/>
      <c r="GKF240" s="23"/>
      <c r="GKK240" s="26"/>
      <c r="GKO240" s="23"/>
      <c r="GKT240" s="26"/>
      <c r="GKX240" s="23"/>
      <c r="GLC240" s="26"/>
      <c r="GLG240" s="23"/>
      <c r="GLL240" s="26"/>
      <c r="GLP240" s="23"/>
      <c r="GLU240" s="26"/>
      <c r="GLY240" s="23"/>
      <c r="GMD240" s="26"/>
      <c r="GMH240" s="23"/>
      <c r="GMM240" s="26"/>
      <c r="GMQ240" s="23"/>
      <c r="GMV240" s="26"/>
      <c r="GMZ240" s="23"/>
      <c r="GNE240" s="26"/>
      <c r="GNI240" s="23"/>
      <c r="GNN240" s="26"/>
      <c r="GNR240" s="23"/>
      <c r="GNW240" s="26"/>
      <c r="GOA240" s="23"/>
      <c r="GOF240" s="26"/>
      <c r="GOJ240" s="23"/>
      <c r="GOO240" s="26"/>
      <c r="GOS240" s="23"/>
      <c r="GOX240" s="26"/>
      <c r="GPB240" s="23"/>
      <c r="GPG240" s="26"/>
      <c r="GPK240" s="23"/>
      <c r="GPP240" s="26"/>
      <c r="GPT240" s="23"/>
      <c r="GPY240" s="26"/>
      <c r="GQC240" s="23"/>
      <c r="GQH240" s="26"/>
      <c r="GQL240" s="23"/>
      <c r="GQQ240" s="26"/>
      <c r="GQU240" s="23"/>
      <c r="GQZ240" s="26"/>
      <c r="GRD240" s="23"/>
      <c r="GRI240" s="26"/>
      <c r="GRM240" s="23"/>
      <c r="GRR240" s="26"/>
      <c r="GRV240" s="23"/>
      <c r="GSA240" s="26"/>
      <c r="GSE240" s="23"/>
      <c r="GSJ240" s="26"/>
      <c r="GSN240" s="23"/>
      <c r="GSS240" s="26"/>
      <c r="GSW240" s="23"/>
      <c r="GTB240" s="26"/>
      <c r="GTF240" s="23"/>
      <c r="GTK240" s="26"/>
      <c r="GTO240" s="23"/>
      <c r="GTT240" s="26"/>
      <c r="GTX240" s="23"/>
      <c r="GUC240" s="26"/>
      <c r="GUG240" s="23"/>
      <c r="GUL240" s="26"/>
      <c r="GUP240" s="23"/>
      <c r="GUU240" s="26"/>
      <c r="GUY240" s="23"/>
      <c r="GVD240" s="26"/>
      <c r="GVH240" s="23"/>
      <c r="GVM240" s="26"/>
      <c r="GVQ240" s="23"/>
      <c r="GVV240" s="26"/>
      <c r="GVZ240" s="23"/>
      <c r="GWE240" s="26"/>
      <c r="GWI240" s="23"/>
      <c r="GWN240" s="26"/>
      <c r="GWR240" s="23"/>
      <c r="GWW240" s="26"/>
      <c r="GXA240" s="23"/>
      <c r="GXF240" s="26"/>
      <c r="GXJ240" s="23"/>
      <c r="GXO240" s="26"/>
      <c r="GXS240" s="23"/>
      <c r="GXX240" s="26"/>
      <c r="GYB240" s="23"/>
      <c r="GYG240" s="26"/>
      <c r="GYK240" s="23"/>
      <c r="GYP240" s="26"/>
      <c r="GYT240" s="23"/>
      <c r="GYY240" s="26"/>
      <c r="GZC240" s="23"/>
      <c r="GZH240" s="26"/>
      <c r="GZL240" s="23"/>
      <c r="GZQ240" s="26"/>
      <c r="GZU240" s="23"/>
      <c r="GZZ240" s="26"/>
      <c r="HAD240" s="23"/>
      <c r="HAI240" s="26"/>
      <c r="HAM240" s="23"/>
      <c r="HAR240" s="26"/>
      <c r="HAV240" s="23"/>
      <c r="HBA240" s="26"/>
      <c r="HBE240" s="23"/>
      <c r="HBJ240" s="26"/>
      <c r="HBN240" s="23"/>
      <c r="HBS240" s="26"/>
      <c r="HBW240" s="23"/>
      <c r="HCB240" s="26"/>
      <c r="HCF240" s="23"/>
      <c r="HCK240" s="26"/>
      <c r="HCO240" s="23"/>
      <c r="HCT240" s="26"/>
      <c r="HCX240" s="23"/>
      <c r="HDC240" s="26"/>
      <c r="HDG240" s="23"/>
      <c r="HDL240" s="26"/>
      <c r="HDP240" s="23"/>
      <c r="HDU240" s="26"/>
      <c r="HDY240" s="23"/>
      <c r="HED240" s="26"/>
      <c r="HEH240" s="23"/>
      <c r="HEM240" s="26"/>
      <c r="HEQ240" s="23"/>
      <c r="HEV240" s="26"/>
      <c r="HEZ240" s="23"/>
      <c r="HFE240" s="26"/>
      <c r="HFI240" s="23"/>
      <c r="HFN240" s="26"/>
      <c r="HFR240" s="23"/>
      <c r="HFW240" s="26"/>
      <c r="HGA240" s="23"/>
      <c r="HGF240" s="26"/>
      <c r="HGJ240" s="23"/>
      <c r="HGO240" s="26"/>
      <c r="HGS240" s="23"/>
      <c r="HGX240" s="26"/>
      <c r="HHB240" s="23"/>
      <c r="HHG240" s="26"/>
      <c r="HHK240" s="23"/>
      <c r="HHP240" s="26"/>
      <c r="HHT240" s="23"/>
      <c r="HHY240" s="26"/>
      <c r="HIC240" s="23"/>
      <c r="HIH240" s="26"/>
      <c r="HIL240" s="23"/>
      <c r="HIQ240" s="26"/>
      <c r="HIU240" s="23"/>
      <c r="HIZ240" s="26"/>
      <c r="HJD240" s="23"/>
      <c r="HJI240" s="26"/>
      <c r="HJM240" s="23"/>
      <c r="HJR240" s="26"/>
      <c r="HJV240" s="23"/>
      <c r="HKA240" s="26"/>
      <c r="HKE240" s="23"/>
      <c r="HKJ240" s="26"/>
      <c r="HKN240" s="23"/>
      <c r="HKS240" s="26"/>
      <c r="HKW240" s="23"/>
      <c r="HLB240" s="26"/>
      <c r="HLF240" s="23"/>
      <c r="HLK240" s="26"/>
      <c r="HLO240" s="23"/>
      <c r="HLT240" s="26"/>
      <c r="HLX240" s="23"/>
      <c r="HMC240" s="26"/>
      <c r="HMG240" s="23"/>
      <c r="HML240" s="26"/>
      <c r="HMP240" s="23"/>
      <c r="HMU240" s="26"/>
      <c r="HMY240" s="23"/>
      <c r="HND240" s="26"/>
      <c r="HNH240" s="23"/>
      <c r="HNM240" s="26"/>
      <c r="HNQ240" s="23"/>
      <c r="HNV240" s="26"/>
      <c r="HNZ240" s="23"/>
      <c r="HOE240" s="26"/>
      <c r="HOI240" s="23"/>
      <c r="HON240" s="26"/>
      <c r="HOR240" s="23"/>
      <c r="HOW240" s="26"/>
      <c r="HPA240" s="23"/>
      <c r="HPF240" s="26"/>
      <c r="HPJ240" s="23"/>
      <c r="HPO240" s="26"/>
      <c r="HPS240" s="23"/>
      <c r="HPX240" s="26"/>
      <c r="HQB240" s="23"/>
      <c r="HQG240" s="26"/>
      <c r="HQK240" s="23"/>
      <c r="HQP240" s="26"/>
      <c r="HQT240" s="23"/>
      <c r="HQY240" s="26"/>
      <c r="HRC240" s="23"/>
      <c r="HRH240" s="26"/>
      <c r="HRL240" s="23"/>
      <c r="HRQ240" s="26"/>
      <c r="HRU240" s="23"/>
      <c r="HRZ240" s="26"/>
      <c r="HSD240" s="23"/>
      <c r="HSI240" s="26"/>
      <c r="HSM240" s="23"/>
      <c r="HSR240" s="26"/>
      <c r="HSV240" s="23"/>
      <c r="HTA240" s="26"/>
      <c r="HTE240" s="23"/>
      <c r="HTJ240" s="26"/>
      <c r="HTN240" s="23"/>
      <c r="HTS240" s="26"/>
      <c r="HTW240" s="23"/>
      <c r="HUB240" s="26"/>
      <c r="HUF240" s="23"/>
      <c r="HUK240" s="26"/>
      <c r="HUO240" s="23"/>
      <c r="HUT240" s="26"/>
      <c r="HUX240" s="23"/>
      <c r="HVC240" s="26"/>
      <c r="HVG240" s="23"/>
      <c r="HVL240" s="26"/>
      <c r="HVP240" s="23"/>
      <c r="HVU240" s="26"/>
      <c r="HVY240" s="23"/>
      <c r="HWD240" s="26"/>
      <c r="HWH240" s="23"/>
      <c r="HWM240" s="26"/>
      <c r="HWQ240" s="23"/>
      <c r="HWV240" s="26"/>
      <c r="HWZ240" s="23"/>
      <c r="HXE240" s="26"/>
      <c r="HXI240" s="23"/>
      <c r="HXN240" s="26"/>
      <c r="HXR240" s="23"/>
      <c r="HXW240" s="26"/>
      <c r="HYA240" s="23"/>
      <c r="HYF240" s="26"/>
      <c r="HYJ240" s="23"/>
      <c r="HYO240" s="26"/>
      <c r="HYS240" s="23"/>
      <c r="HYX240" s="26"/>
      <c r="HZB240" s="23"/>
      <c r="HZG240" s="26"/>
      <c r="HZK240" s="23"/>
      <c r="HZP240" s="26"/>
      <c r="HZT240" s="23"/>
      <c r="HZY240" s="26"/>
      <c r="IAC240" s="23"/>
      <c r="IAH240" s="26"/>
      <c r="IAL240" s="23"/>
      <c r="IAQ240" s="26"/>
      <c r="IAU240" s="23"/>
      <c r="IAZ240" s="26"/>
      <c r="IBD240" s="23"/>
      <c r="IBI240" s="26"/>
      <c r="IBM240" s="23"/>
      <c r="IBR240" s="26"/>
      <c r="IBV240" s="23"/>
      <c r="ICA240" s="26"/>
      <c r="ICE240" s="23"/>
      <c r="ICJ240" s="26"/>
      <c r="ICN240" s="23"/>
      <c r="ICS240" s="26"/>
      <c r="ICW240" s="23"/>
      <c r="IDB240" s="26"/>
      <c r="IDF240" s="23"/>
      <c r="IDK240" s="26"/>
      <c r="IDO240" s="23"/>
      <c r="IDT240" s="26"/>
      <c r="IDX240" s="23"/>
      <c r="IEC240" s="26"/>
      <c r="IEG240" s="23"/>
      <c r="IEL240" s="26"/>
      <c r="IEP240" s="23"/>
      <c r="IEU240" s="26"/>
      <c r="IEY240" s="23"/>
      <c r="IFD240" s="26"/>
      <c r="IFH240" s="23"/>
      <c r="IFM240" s="26"/>
      <c r="IFQ240" s="23"/>
      <c r="IFV240" s="26"/>
      <c r="IFZ240" s="23"/>
      <c r="IGE240" s="26"/>
      <c r="IGI240" s="23"/>
      <c r="IGN240" s="26"/>
      <c r="IGR240" s="23"/>
      <c r="IGW240" s="26"/>
      <c r="IHA240" s="23"/>
      <c r="IHF240" s="26"/>
      <c r="IHJ240" s="23"/>
      <c r="IHO240" s="26"/>
      <c r="IHS240" s="23"/>
      <c r="IHX240" s="26"/>
      <c r="IIB240" s="23"/>
      <c r="IIG240" s="26"/>
      <c r="IIK240" s="23"/>
      <c r="IIP240" s="26"/>
      <c r="IIT240" s="23"/>
      <c r="IIY240" s="26"/>
      <c r="IJC240" s="23"/>
      <c r="IJH240" s="26"/>
      <c r="IJL240" s="23"/>
      <c r="IJQ240" s="26"/>
      <c r="IJU240" s="23"/>
      <c r="IJZ240" s="26"/>
      <c r="IKD240" s="23"/>
      <c r="IKI240" s="26"/>
      <c r="IKM240" s="23"/>
      <c r="IKR240" s="26"/>
      <c r="IKV240" s="23"/>
      <c r="ILA240" s="26"/>
      <c r="ILE240" s="23"/>
      <c r="ILJ240" s="26"/>
      <c r="ILN240" s="23"/>
      <c r="ILS240" s="26"/>
      <c r="ILW240" s="23"/>
      <c r="IMB240" s="26"/>
      <c r="IMF240" s="23"/>
      <c r="IMK240" s="26"/>
      <c r="IMO240" s="23"/>
      <c r="IMT240" s="26"/>
      <c r="IMX240" s="23"/>
      <c r="INC240" s="26"/>
      <c r="ING240" s="23"/>
      <c r="INL240" s="26"/>
      <c r="INP240" s="23"/>
      <c r="INU240" s="26"/>
      <c r="INY240" s="23"/>
      <c r="IOD240" s="26"/>
      <c r="IOH240" s="23"/>
      <c r="IOM240" s="26"/>
      <c r="IOQ240" s="23"/>
      <c r="IOV240" s="26"/>
      <c r="IOZ240" s="23"/>
      <c r="IPE240" s="26"/>
      <c r="IPI240" s="23"/>
      <c r="IPN240" s="26"/>
      <c r="IPR240" s="23"/>
      <c r="IPW240" s="26"/>
      <c r="IQA240" s="23"/>
      <c r="IQF240" s="26"/>
      <c r="IQJ240" s="23"/>
      <c r="IQO240" s="26"/>
      <c r="IQS240" s="23"/>
      <c r="IQX240" s="26"/>
      <c r="IRB240" s="23"/>
      <c r="IRG240" s="26"/>
      <c r="IRK240" s="23"/>
      <c r="IRP240" s="26"/>
      <c r="IRT240" s="23"/>
      <c r="IRY240" s="26"/>
      <c r="ISC240" s="23"/>
      <c r="ISH240" s="26"/>
      <c r="ISL240" s="23"/>
      <c r="ISQ240" s="26"/>
      <c r="ISU240" s="23"/>
      <c r="ISZ240" s="26"/>
      <c r="ITD240" s="23"/>
      <c r="ITI240" s="26"/>
      <c r="ITM240" s="23"/>
      <c r="ITR240" s="26"/>
      <c r="ITV240" s="23"/>
      <c r="IUA240" s="26"/>
      <c r="IUE240" s="23"/>
      <c r="IUJ240" s="26"/>
      <c r="IUN240" s="23"/>
      <c r="IUS240" s="26"/>
      <c r="IUW240" s="23"/>
      <c r="IVB240" s="26"/>
      <c r="IVF240" s="23"/>
      <c r="IVK240" s="26"/>
      <c r="IVO240" s="23"/>
      <c r="IVT240" s="26"/>
      <c r="IVX240" s="23"/>
      <c r="IWC240" s="26"/>
      <c r="IWG240" s="23"/>
      <c r="IWL240" s="26"/>
      <c r="IWP240" s="23"/>
      <c r="IWU240" s="26"/>
      <c r="IWY240" s="23"/>
      <c r="IXD240" s="26"/>
      <c r="IXH240" s="23"/>
      <c r="IXM240" s="26"/>
      <c r="IXQ240" s="23"/>
      <c r="IXV240" s="26"/>
      <c r="IXZ240" s="23"/>
      <c r="IYE240" s="26"/>
      <c r="IYI240" s="23"/>
      <c r="IYN240" s="26"/>
      <c r="IYR240" s="23"/>
      <c r="IYW240" s="26"/>
      <c r="IZA240" s="23"/>
      <c r="IZF240" s="26"/>
      <c r="IZJ240" s="23"/>
      <c r="IZO240" s="26"/>
      <c r="IZS240" s="23"/>
      <c r="IZX240" s="26"/>
      <c r="JAB240" s="23"/>
      <c r="JAG240" s="26"/>
      <c r="JAK240" s="23"/>
      <c r="JAP240" s="26"/>
      <c r="JAT240" s="23"/>
      <c r="JAY240" s="26"/>
      <c r="JBC240" s="23"/>
      <c r="JBH240" s="26"/>
      <c r="JBL240" s="23"/>
      <c r="JBQ240" s="26"/>
      <c r="JBU240" s="23"/>
      <c r="JBZ240" s="26"/>
      <c r="JCD240" s="23"/>
      <c r="JCI240" s="26"/>
      <c r="JCM240" s="23"/>
      <c r="JCR240" s="26"/>
      <c r="JCV240" s="23"/>
      <c r="JDA240" s="26"/>
      <c r="JDE240" s="23"/>
      <c r="JDJ240" s="26"/>
      <c r="JDN240" s="23"/>
      <c r="JDS240" s="26"/>
      <c r="JDW240" s="23"/>
      <c r="JEB240" s="26"/>
      <c r="JEF240" s="23"/>
      <c r="JEK240" s="26"/>
      <c r="JEO240" s="23"/>
      <c r="JET240" s="26"/>
      <c r="JEX240" s="23"/>
      <c r="JFC240" s="26"/>
      <c r="JFG240" s="23"/>
      <c r="JFL240" s="26"/>
      <c r="JFP240" s="23"/>
      <c r="JFU240" s="26"/>
      <c r="JFY240" s="23"/>
      <c r="JGD240" s="26"/>
      <c r="JGH240" s="23"/>
      <c r="JGM240" s="26"/>
      <c r="JGQ240" s="23"/>
      <c r="JGV240" s="26"/>
      <c r="JGZ240" s="23"/>
      <c r="JHE240" s="26"/>
      <c r="JHI240" s="23"/>
      <c r="JHN240" s="26"/>
      <c r="JHR240" s="23"/>
      <c r="JHW240" s="26"/>
      <c r="JIA240" s="23"/>
      <c r="JIF240" s="26"/>
      <c r="JIJ240" s="23"/>
      <c r="JIO240" s="26"/>
      <c r="JIS240" s="23"/>
      <c r="JIX240" s="26"/>
      <c r="JJB240" s="23"/>
      <c r="JJG240" s="26"/>
      <c r="JJK240" s="23"/>
      <c r="JJP240" s="26"/>
      <c r="JJT240" s="23"/>
      <c r="JJY240" s="26"/>
      <c r="JKC240" s="23"/>
      <c r="JKH240" s="26"/>
      <c r="JKL240" s="23"/>
      <c r="JKQ240" s="26"/>
      <c r="JKU240" s="23"/>
      <c r="JKZ240" s="26"/>
      <c r="JLD240" s="23"/>
      <c r="JLI240" s="26"/>
      <c r="JLM240" s="23"/>
      <c r="JLR240" s="26"/>
      <c r="JLV240" s="23"/>
      <c r="JMA240" s="26"/>
      <c r="JME240" s="23"/>
      <c r="JMJ240" s="26"/>
      <c r="JMN240" s="23"/>
      <c r="JMS240" s="26"/>
      <c r="JMW240" s="23"/>
      <c r="JNB240" s="26"/>
      <c r="JNF240" s="23"/>
      <c r="JNK240" s="26"/>
      <c r="JNO240" s="23"/>
      <c r="JNT240" s="26"/>
      <c r="JNX240" s="23"/>
      <c r="JOC240" s="26"/>
      <c r="JOG240" s="23"/>
      <c r="JOL240" s="26"/>
      <c r="JOP240" s="23"/>
      <c r="JOU240" s="26"/>
      <c r="JOY240" s="23"/>
      <c r="JPD240" s="26"/>
      <c r="JPH240" s="23"/>
      <c r="JPM240" s="26"/>
      <c r="JPQ240" s="23"/>
      <c r="JPV240" s="26"/>
      <c r="JPZ240" s="23"/>
      <c r="JQE240" s="26"/>
      <c r="JQI240" s="23"/>
      <c r="JQN240" s="26"/>
      <c r="JQR240" s="23"/>
      <c r="JQW240" s="26"/>
      <c r="JRA240" s="23"/>
      <c r="JRF240" s="26"/>
      <c r="JRJ240" s="23"/>
      <c r="JRO240" s="26"/>
      <c r="JRS240" s="23"/>
      <c r="JRX240" s="26"/>
      <c r="JSB240" s="23"/>
      <c r="JSG240" s="26"/>
      <c r="JSK240" s="23"/>
      <c r="JSP240" s="26"/>
      <c r="JST240" s="23"/>
      <c r="JSY240" s="26"/>
      <c r="JTC240" s="23"/>
      <c r="JTH240" s="26"/>
      <c r="JTL240" s="23"/>
      <c r="JTQ240" s="26"/>
      <c r="JTU240" s="23"/>
      <c r="JTZ240" s="26"/>
      <c r="JUD240" s="23"/>
      <c r="JUI240" s="26"/>
      <c r="JUM240" s="23"/>
      <c r="JUR240" s="26"/>
      <c r="JUV240" s="23"/>
      <c r="JVA240" s="26"/>
      <c r="JVE240" s="23"/>
      <c r="JVJ240" s="26"/>
      <c r="JVN240" s="23"/>
      <c r="JVS240" s="26"/>
      <c r="JVW240" s="23"/>
      <c r="JWB240" s="26"/>
      <c r="JWF240" s="23"/>
      <c r="JWK240" s="26"/>
      <c r="JWO240" s="23"/>
      <c r="JWT240" s="26"/>
      <c r="JWX240" s="23"/>
      <c r="JXC240" s="26"/>
      <c r="JXG240" s="23"/>
      <c r="JXL240" s="26"/>
      <c r="JXP240" s="23"/>
      <c r="JXU240" s="26"/>
      <c r="JXY240" s="23"/>
      <c r="JYD240" s="26"/>
      <c r="JYH240" s="23"/>
      <c r="JYM240" s="26"/>
      <c r="JYQ240" s="23"/>
      <c r="JYV240" s="26"/>
      <c r="JYZ240" s="23"/>
      <c r="JZE240" s="26"/>
      <c r="JZI240" s="23"/>
      <c r="JZN240" s="26"/>
      <c r="JZR240" s="23"/>
      <c r="JZW240" s="26"/>
      <c r="KAA240" s="23"/>
      <c r="KAF240" s="26"/>
      <c r="KAJ240" s="23"/>
      <c r="KAO240" s="26"/>
      <c r="KAS240" s="23"/>
      <c r="KAX240" s="26"/>
      <c r="KBB240" s="23"/>
      <c r="KBG240" s="26"/>
      <c r="KBK240" s="23"/>
      <c r="KBP240" s="26"/>
      <c r="KBT240" s="23"/>
      <c r="KBY240" s="26"/>
      <c r="KCC240" s="23"/>
      <c r="KCH240" s="26"/>
      <c r="KCL240" s="23"/>
      <c r="KCQ240" s="26"/>
      <c r="KCU240" s="23"/>
      <c r="KCZ240" s="26"/>
      <c r="KDD240" s="23"/>
      <c r="KDI240" s="26"/>
      <c r="KDM240" s="23"/>
      <c r="KDR240" s="26"/>
      <c r="KDV240" s="23"/>
      <c r="KEA240" s="26"/>
      <c r="KEE240" s="23"/>
      <c r="KEJ240" s="26"/>
      <c r="KEN240" s="23"/>
      <c r="KES240" s="26"/>
      <c r="KEW240" s="23"/>
      <c r="KFB240" s="26"/>
      <c r="KFF240" s="23"/>
      <c r="KFK240" s="26"/>
      <c r="KFO240" s="23"/>
      <c r="KFT240" s="26"/>
      <c r="KFX240" s="23"/>
      <c r="KGC240" s="26"/>
      <c r="KGG240" s="23"/>
      <c r="KGL240" s="26"/>
      <c r="KGP240" s="23"/>
      <c r="KGU240" s="26"/>
      <c r="KGY240" s="23"/>
      <c r="KHD240" s="26"/>
      <c r="KHH240" s="23"/>
      <c r="KHM240" s="26"/>
      <c r="KHQ240" s="23"/>
      <c r="KHV240" s="26"/>
      <c r="KHZ240" s="23"/>
      <c r="KIE240" s="26"/>
      <c r="KII240" s="23"/>
      <c r="KIN240" s="26"/>
      <c r="KIR240" s="23"/>
      <c r="KIW240" s="26"/>
      <c r="KJA240" s="23"/>
      <c r="KJF240" s="26"/>
      <c r="KJJ240" s="23"/>
      <c r="KJO240" s="26"/>
      <c r="KJS240" s="23"/>
      <c r="KJX240" s="26"/>
      <c r="KKB240" s="23"/>
      <c r="KKG240" s="26"/>
      <c r="KKK240" s="23"/>
      <c r="KKP240" s="26"/>
      <c r="KKT240" s="23"/>
      <c r="KKY240" s="26"/>
      <c r="KLC240" s="23"/>
      <c r="KLH240" s="26"/>
      <c r="KLL240" s="23"/>
      <c r="KLQ240" s="26"/>
      <c r="KLU240" s="23"/>
      <c r="KLZ240" s="26"/>
      <c r="KMD240" s="23"/>
      <c r="KMI240" s="26"/>
      <c r="KMM240" s="23"/>
      <c r="KMR240" s="26"/>
      <c r="KMV240" s="23"/>
      <c r="KNA240" s="26"/>
      <c r="KNE240" s="23"/>
      <c r="KNJ240" s="26"/>
      <c r="KNN240" s="23"/>
      <c r="KNS240" s="26"/>
      <c r="KNW240" s="23"/>
      <c r="KOB240" s="26"/>
      <c r="KOF240" s="23"/>
      <c r="KOK240" s="26"/>
      <c r="KOO240" s="23"/>
      <c r="KOT240" s="26"/>
      <c r="KOX240" s="23"/>
      <c r="KPC240" s="26"/>
      <c r="KPG240" s="23"/>
      <c r="KPL240" s="26"/>
      <c r="KPP240" s="23"/>
      <c r="KPU240" s="26"/>
      <c r="KPY240" s="23"/>
      <c r="KQD240" s="26"/>
      <c r="KQH240" s="23"/>
      <c r="KQM240" s="26"/>
      <c r="KQQ240" s="23"/>
      <c r="KQV240" s="26"/>
      <c r="KQZ240" s="23"/>
      <c r="KRE240" s="26"/>
      <c r="KRI240" s="23"/>
      <c r="KRN240" s="26"/>
      <c r="KRR240" s="23"/>
      <c r="KRW240" s="26"/>
      <c r="KSA240" s="23"/>
      <c r="KSF240" s="26"/>
      <c r="KSJ240" s="23"/>
      <c r="KSO240" s="26"/>
      <c r="KSS240" s="23"/>
      <c r="KSX240" s="26"/>
      <c r="KTB240" s="23"/>
      <c r="KTG240" s="26"/>
      <c r="KTK240" s="23"/>
      <c r="KTP240" s="26"/>
      <c r="KTT240" s="23"/>
      <c r="KTY240" s="26"/>
      <c r="KUC240" s="23"/>
      <c r="KUH240" s="26"/>
      <c r="KUL240" s="23"/>
      <c r="KUQ240" s="26"/>
      <c r="KUU240" s="23"/>
      <c r="KUZ240" s="26"/>
      <c r="KVD240" s="23"/>
      <c r="KVI240" s="26"/>
      <c r="KVM240" s="23"/>
      <c r="KVR240" s="26"/>
      <c r="KVV240" s="23"/>
      <c r="KWA240" s="26"/>
      <c r="KWE240" s="23"/>
      <c r="KWJ240" s="26"/>
      <c r="KWN240" s="23"/>
      <c r="KWS240" s="26"/>
      <c r="KWW240" s="23"/>
      <c r="KXB240" s="26"/>
      <c r="KXF240" s="23"/>
      <c r="KXK240" s="26"/>
      <c r="KXO240" s="23"/>
      <c r="KXT240" s="26"/>
      <c r="KXX240" s="23"/>
      <c r="KYC240" s="26"/>
      <c r="KYG240" s="23"/>
      <c r="KYL240" s="26"/>
      <c r="KYP240" s="23"/>
      <c r="KYU240" s="26"/>
      <c r="KYY240" s="23"/>
      <c r="KZD240" s="26"/>
      <c r="KZH240" s="23"/>
      <c r="KZM240" s="26"/>
      <c r="KZQ240" s="23"/>
      <c r="KZV240" s="26"/>
      <c r="KZZ240" s="23"/>
      <c r="LAE240" s="26"/>
      <c r="LAI240" s="23"/>
      <c r="LAN240" s="26"/>
      <c r="LAR240" s="23"/>
      <c r="LAW240" s="26"/>
      <c r="LBA240" s="23"/>
      <c r="LBF240" s="26"/>
      <c r="LBJ240" s="23"/>
      <c r="LBO240" s="26"/>
      <c r="LBS240" s="23"/>
      <c r="LBX240" s="26"/>
      <c r="LCB240" s="23"/>
      <c r="LCG240" s="26"/>
      <c r="LCK240" s="23"/>
      <c r="LCP240" s="26"/>
      <c r="LCT240" s="23"/>
      <c r="LCY240" s="26"/>
      <c r="LDC240" s="23"/>
      <c r="LDH240" s="26"/>
      <c r="LDL240" s="23"/>
      <c r="LDQ240" s="26"/>
      <c r="LDU240" s="23"/>
      <c r="LDZ240" s="26"/>
      <c r="LED240" s="23"/>
      <c r="LEI240" s="26"/>
      <c r="LEM240" s="23"/>
      <c r="LER240" s="26"/>
      <c r="LEV240" s="23"/>
      <c r="LFA240" s="26"/>
      <c r="LFE240" s="23"/>
      <c r="LFJ240" s="26"/>
      <c r="LFN240" s="23"/>
      <c r="LFS240" s="26"/>
      <c r="LFW240" s="23"/>
      <c r="LGB240" s="26"/>
      <c r="LGF240" s="23"/>
      <c r="LGK240" s="26"/>
      <c r="LGO240" s="23"/>
      <c r="LGT240" s="26"/>
      <c r="LGX240" s="23"/>
      <c r="LHC240" s="26"/>
      <c r="LHG240" s="23"/>
      <c r="LHL240" s="26"/>
      <c r="LHP240" s="23"/>
      <c r="LHU240" s="26"/>
      <c r="LHY240" s="23"/>
      <c r="LID240" s="26"/>
      <c r="LIH240" s="23"/>
      <c r="LIM240" s="26"/>
      <c r="LIQ240" s="23"/>
      <c r="LIV240" s="26"/>
      <c r="LIZ240" s="23"/>
      <c r="LJE240" s="26"/>
      <c r="LJI240" s="23"/>
      <c r="LJN240" s="26"/>
      <c r="LJR240" s="23"/>
      <c r="LJW240" s="26"/>
      <c r="LKA240" s="23"/>
      <c r="LKF240" s="26"/>
      <c r="LKJ240" s="23"/>
      <c r="LKO240" s="26"/>
      <c r="LKS240" s="23"/>
      <c r="LKX240" s="26"/>
      <c r="LLB240" s="23"/>
      <c r="LLG240" s="26"/>
      <c r="LLK240" s="23"/>
      <c r="LLP240" s="26"/>
      <c r="LLT240" s="23"/>
      <c r="LLY240" s="26"/>
      <c r="LMC240" s="23"/>
      <c r="LMH240" s="26"/>
      <c r="LML240" s="23"/>
      <c r="LMQ240" s="26"/>
      <c r="LMU240" s="23"/>
      <c r="LMZ240" s="26"/>
      <c r="LND240" s="23"/>
      <c r="LNI240" s="26"/>
      <c r="LNM240" s="23"/>
      <c r="LNR240" s="26"/>
      <c r="LNV240" s="23"/>
      <c r="LOA240" s="26"/>
      <c r="LOE240" s="23"/>
      <c r="LOJ240" s="26"/>
      <c r="LON240" s="23"/>
      <c r="LOS240" s="26"/>
      <c r="LOW240" s="23"/>
      <c r="LPB240" s="26"/>
      <c r="LPF240" s="23"/>
      <c r="LPK240" s="26"/>
      <c r="LPO240" s="23"/>
      <c r="LPT240" s="26"/>
      <c r="LPX240" s="23"/>
      <c r="LQC240" s="26"/>
      <c r="LQG240" s="23"/>
      <c r="LQL240" s="26"/>
      <c r="LQP240" s="23"/>
      <c r="LQU240" s="26"/>
      <c r="LQY240" s="23"/>
      <c r="LRD240" s="26"/>
      <c r="LRH240" s="23"/>
      <c r="LRM240" s="26"/>
      <c r="LRQ240" s="23"/>
      <c r="LRV240" s="26"/>
      <c r="LRZ240" s="23"/>
      <c r="LSE240" s="26"/>
      <c r="LSI240" s="23"/>
      <c r="LSN240" s="26"/>
      <c r="LSR240" s="23"/>
      <c r="LSW240" s="26"/>
      <c r="LTA240" s="23"/>
      <c r="LTF240" s="26"/>
      <c r="LTJ240" s="23"/>
      <c r="LTO240" s="26"/>
      <c r="LTS240" s="23"/>
      <c r="LTX240" s="26"/>
      <c r="LUB240" s="23"/>
      <c r="LUG240" s="26"/>
      <c r="LUK240" s="23"/>
      <c r="LUP240" s="26"/>
      <c r="LUT240" s="23"/>
      <c r="LUY240" s="26"/>
      <c r="LVC240" s="23"/>
      <c r="LVH240" s="26"/>
      <c r="LVL240" s="23"/>
      <c r="LVQ240" s="26"/>
      <c r="LVU240" s="23"/>
      <c r="LVZ240" s="26"/>
      <c r="LWD240" s="23"/>
      <c r="LWI240" s="26"/>
      <c r="LWM240" s="23"/>
      <c r="LWR240" s="26"/>
      <c r="LWV240" s="23"/>
      <c r="LXA240" s="26"/>
      <c r="LXE240" s="23"/>
      <c r="LXJ240" s="26"/>
      <c r="LXN240" s="23"/>
      <c r="LXS240" s="26"/>
      <c r="LXW240" s="23"/>
      <c r="LYB240" s="26"/>
      <c r="LYF240" s="23"/>
      <c r="LYK240" s="26"/>
      <c r="LYO240" s="23"/>
      <c r="LYT240" s="26"/>
      <c r="LYX240" s="23"/>
      <c r="LZC240" s="26"/>
      <c r="LZG240" s="23"/>
      <c r="LZL240" s="26"/>
      <c r="LZP240" s="23"/>
      <c r="LZU240" s="26"/>
      <c r="LZY240" s="23"/>
      <c r="MAD240" s="26"/>
      <c r="MAH240" s="23"/>
      <c r="MAM240" s="26"/>
      <c r="MAQ240" s="23"/>
      <c r="MAV240" s="26"/>
      <c r="MAZ240" s="23"/>
      <c r="MBE240" s="26"/>
      <c r="MBI240" s="23"/>
      <c r="MBN240" s="26"/>
      <c r="MBR240" s="23"/>
      <c r="MBW240" s="26"/>
      <c r="MCA240" s="23"/>
      <c r="MCF240" s="26"/>
      <c r="MCJ240" s="23"/>
      <c r="MCO240" s="26"/>
      <c r="MCS240" s="23"/>
      <c r="MCX240" s="26"/>
      <c r="MDB240" s="23"/>
      <c r="MDG240" s="26"/>
      <c r="MDK240" s="23"/>
      <c r="MDP240" s="26"/>
      <c r="MDT240" s="23"/>
      <c r="MDY240" s="26"/>
      <c r="MEC240" s="23"/>
      <c r="MEH240" s="26"/>
      <c r="MEL240" s="23"/>
      <c r="MEQ240" s="26"/>
      <c r="MEU240" s="23"/>
      <c r="MEZ240" s="26"/>
      <c r="MFD240" s="23"/>
      <c r="MFI240" s="26"/>
      <c r="MFM240" s="23"/>
      <c r="MFR240" s="26"/>
      <c r="MFV240" s="23"/>
      <c r="MGA240" s="26"/>
      <c r="MGE240" s="23"/>
      <c r="MGJ240" s="26"/>
      <c r="MGN240" s="23"/>
      <c r="MGS240" s="26"/>
      <c r="MGW240" s="23"/>
      <c r="MHB240" s="26"/>
      <c r="MHF240" s="23"/>
      <c r="MHK240" s="26"/>
      <c r="MHO240" s="23"/>
      <c r="MHT240" s="26"/>
      <c r="MHX240" s="23"/>
      <c r="MIC240" s="26"/>
      <c r="MIG240" s="23"/>
      <c r="MIL240" s="26"/>
      <c r="MIP240" s="23"/>
      <c r="MIU240" s="26"/>
      <c r="MIY240" s="23"/>
      <c r="MJD240" s="26"/>
      <c r="MJH240" s="23"/>
      <c r="MJM240" s="26"/>
      <c r="MJQ240" s="23"/>
      <c r="MJV240" s="26"/>
      <c r="MJZ240" s="23"/>
      <c r="MKE240" s="26"/>
      <c r="MKI240" s="23"/>
      <c r="MKN240" s="26"/>
      <c r="MKR240" s="23"/>
      <c r="MKW240" s="26"/>
      <c r="MLA240" s="23"/>
      <c r="MLF240" s="26"/>
      <c r="MLJ240" s="23"/>
      <c r="MLO240" s="26"/>
      <c r="MLS240" s="23"/>
      <c r="MLX240" s="26"/>
      <c r="MMB240" s="23"/>
      <c r="MMG240" s="26"/>
      <c r="MMK240" s="23"/>
      <c r="MMP240" s="26"/>
      <c r="MMT240" s="23"/>
      <c r="MMY240" s="26"/>
      <c r="MNC240" s="23"/>
      <c r="MNH240" s="26"/>
      <c r="MNL240" s="23"/>
      <c r="MNQ240" s="26"/>
      <c r="MNU240" s="23"/>
      <c r="MNZ240" s="26"/>
      <c r="MOD240" s="23"/>
      <c r="MOI240" s="26"/>
      <c r="MOM240" s="23"/>
      <c r="MOR240" s="26"/>
      <c r="MOV240" s="23"/>
      <c r="MPA240" s="26"/>
      <c r="MPE240" s="23"/>
      <c r="MPJ240" s="26"/>
      <c r="MPN240" s="23"/>
      <c r="MPS240" s="26"/>
      <c r="MPW240" s="23"/>
      <c r="MQB240" s="26"/>
      <c r="MQF240" s="23"/>
      <c r="MQK240" s="26"/>
      <c r="MQO240" s="23"/>
      <c r="MQT240" s="26"/>
      <c r="MQX240" s="23"/>
      <c r="MRC240" s="26"/>
      <c r="MRG240" s="23"/>
      <c r="MRL240" s="26"/>
      <c r="MRP240" s="23"/>
      <c r="MRU240" s="26"/>
      <c r="MRY240" s="23"/>
      <c r="MSD240" s="26"/>
      <c r="MSH240" s="23"/>
      <c r="MSM240" s="26"/>
      <c r="MSQ240" s="23"/>
      <c r="MSV240" s="26"/>
      <c r="MSZ240" s="23"/>
      <c r="MTE240" s="26"/>
      <c r="MTI240" s="23"/>
      <c r="MTN240" s="26"/>
      <c r="MTR240" s="23"/>
      <c r="MTW240" s="26"/>
      <c r="MUA240" s="23"/>
      <c r="MUF240" s="26"/>
      <c r="MUJ240" s="23"/>
      <c r="MUO240" s="26"/>
      <c r="MUS240" s="23"/>
      <c r="MUX240" s="26"/>
      <c r="MVB240" s="23"/>
      <c r="MVG240" s="26"/>
      <c r="MVK240" s="23"/>
      <c r="MVP240" s="26"/>
      <c r="MVT240" s="23"/>
      <c r="MVY240" s="26"/>
      <c r="MWC240" s="23"/>
      <c r="MWH240" s="26"/>
      <c r="MWL240" s="23"/>
      <c r="MWQ240" s="26"/>
      <c r="MWU240" s="23"/>
      <c r="MWZ240" s="26"/>
      <c r="MXD240" s="23"/>
      <c r="MXI240" s="26"/>
      <c r="MXM240" s="23"/>
      <c r="MXR240" s="26"/>
      <c r="MXV240" s="23"/>
      <c r="MYA240" s="26"/>
      <c r="MYE240" s="23"/>
      <c r="MYJ240" s="26"/>
      <c r="MYN240" s="23"/>
      <c r="MYS240" s="26"/>
      <c r="MYW240" s="23"/>
      <c r="MZB240" s="26"/>
      <c r="MZF240" s="23"/>
      <c r="MZK240" s="26"/>
      <c r="MZO240" s="23"/>
      <c r="MZT240" s="26"/>
      <c r="MZX240" s="23"/>
      <c r="NAC240" s="26"/>
      <c r="NAG240" s="23"/>
      <c r="NAL240" s="26"/>
      <c r="NAP240" s="23"/>
      <c r="NAU240" s="26"/>
      <c r="NAY240" s="23"/>
      <c r="NBD240" s="26"/>
      <c r="NBH240" s="23"/>
      <c r="NBM240" s="26"/>
      <c r="NBQ240" s="23"/>
      <c r="NBV240" s="26"/>
      <c r="NBZ240" s="23"/>
      <c r="NCE240" s="26"/>
      <c r="NCI240" s="23"/>
      <c r="NCN240" s="26"/>
      <c r="NCR240" s="23"/>
      <c r="NCW240" s="26"/>
      <c r="NDA240" s="23"/>
      <c r="NDF240" s="26"/>
      <c r="NDJ240" s="23"/>
      <c r="NDO240" s="26"/>
      <c r="NDS240" s="23"/>
      <c r="NDX240" s="26"/>
      <c r="NEB240" s="23"/>
      <c r="NEG240" s="26"/>
      <c r="NEK240" s="23"/>
      <c r="NEP240" s="26"/>
      <c r="NET240" s="23"/>
      <c r="NEY240" s="26"/>
      <c r="NFC240" s="23"/>
      <c r="NFH240" s="26"/>
      <c r="NFL240" s="23"/>
      <c r="NFQ240" s="26"/>
      <c r="NFU240" s="23"/>
      <c r="NFZ240" s="26"/>
      <c r="NGD240" s="23"/>
      <c r="NGI240" s="26"/>
      <c r="NGM240" s="23"/>
      <c r="NGR240" s="26"/>
      <c r="NGV240" s="23"/>
      <c r="NHA240" s="26"/>
      <c r="NHE240" s="23"/>
      <c r="NHJ240" s="26"/>
      <c r="NHN240" s="23"/>
      <c r="NHS240" s="26"/>
      <c r="NHW240" s="23"/>
      <c r="NIB240" s="26"/>
      <c r="NIF240" s="23"/>
      <c r="NIK240" s="26"/>
      <c r="NIO240" s="23"/>
      <c r="NIT240" s="26"/>
      <c r="NIX240" s="23"/>
      <c r="NJC240" s="26"/>
      <c r="NJG240" s="23"/>
      <c r="NJL240" s="26"/>
      <c r="NJP240" s="23"/>
      <c r="NJU240" s="26"/>
      <c r="NJY240" s="23"/>
      <c r="NKD240" s="26"/>
      <c r="NKH240" s="23"/>
      <c r="NKM240" s="26"/>
      <c r="NKQ240" s="23"/>
      <c r="NKV240" s="26"/>
      <c r="NKZ240" s="23"/>
      <c r="NLE240" s="26"/>
      <c r="NLI240" s="23"/>
      <c r="NLN240" s="26"/>
      <c r="NLR240" s="23"/>
      <c r="NLW240" s="26"/>
      <c r="NMA240" s="23"/>
      <c r="NMF240" s="26"/>
      <c r="NMJ240" s="23"/>
      <c r="NMO240" s="26"/>
      <c r="NMS240" s="23"/>
      <c r="NMX240" s="26"/>
      <c r="NNB240" s="23"/>
      <c r="NNG240" s="26"/>
      <c r="NNK240" s="23"/>
      <c r="NNP240" s="26"/>
      <c r="NNT240" s="23"/>
      <c r="NNY240" s="26"/>
      <c r="NOC240" s="23"/>
      <c r="NOH240" s="26"/>
      <c r="NOL240" s="23"/>
      <c r="NOQ240" s="26"/>
      <c r="NOU240" s="23"/>
      <c r="NOZ240" s="26"/>
      <c r="NPD240" s="23"/>
      <c r="NPI240" s="26"/>
      <c r="NPM240" s="23"/>
      <c r="NPR240" s="26"/>
      <c r="NPV240" s="23"/>
      <c r="NQA240" s="26"/>
      <c r="NQE240" s="23"/>
      <c r="NQJ240" s="26"/>
      <c r="NQN240" s="23"/>
      <c r="NQS240" s="26"/>
      <c r="NQW240" s="23"/>
      <c r="NRB240" s="26"/>
      <c r="NRF240" s="23"/>
      <c r="NRK240" s="26"/>
      <c r="NRO240" s="23"/>
      <c r="NRT240" s="26"/>
      <c r="NRX240" s="23"/>
      <c r="NSC240" s="26"/>
      <c r="NSG240" s="23"/>
      <c r="NSL240" s="26"/>
      <c r="NSP240" s="23"/>
      <c r="NSU240" s="26"/>
      <c r="NSY240" s="23"/>
      <c r="NTD240" s="26"/>
      <c r="NTH240" s="23"/>
      <c r="NTM240" s="26"/>
      <c r="NTQ240" s="23"/>
      <c r="NTV240" s="26"/>
      <c r="NTZ240" s="23"/>
      <c r="NUE240" s="26"/>
      <c r="NUI240" s="23"/>
      <c r="NUN240" s="26"/>
      <c r="NUR240" s="23"/>
      <c r="NUW240" s="26"/>
      <c r="NVA240" s="23"/>
      <c r="NVF240" s="26"/>
      <c r="NVJ240" s="23"/>
      <c r="NVO240" s="26"/>
      <c r="NVS240" s="23"/>
      <c r="NVX240" s="26"/>
      <c r="NWB240" s="23"/>
      <c r="NWG240" s="26"/>
      <c r="NWK240" s="23"/>
      <c r="NWP240" s="26"/>
      <c r="NWT240" s="23"/>
      <c r="NWY240" s="26"/>
      <c r="NXC240" s="23"/>
      <c r="NXH240" s="26"/>
      <c r="NXL240" s="23"/>
      <c r="NXQ240" s="26"/>
      <c r="NXU240" s="23"/>
      <c r="NXZ240" s="26"/>
      <c r="NYD240" s="23"/>
      <c r="NYI240" s="26"/>
      <c r="NYM240" s="23"/>
      <c r="NYR240" s="26"/>
      <c r="NYV240" s="23"/>
      <c r="NZA240" s="26"/>
      <c r="NZE240" s="23"/>
      <c r="NZJ240" s="26"/>
      <c r="NZN240" s="23"/>
      <c r="NZS240" s="26"/>
      <c r="NZW240" s="23"/>
      <c r="OAB240" s="26"/>
      <c r="OAF240" s="23"/>
      <c r="OAK240" s="26"/>
      <c r="OAO240" s="23"/>
      <c r="OAT240" s="26"/>
      <c r="OAX240" s="23"/>
      <c r="OBC240" s="26"/>
      <c r="OBG240" s="23"/>
      <c r="OBL240" s="26"/>
      <c r="OBP240" s="23"/>
      <c r="OBU240" s="26"/>
      <c r="OBY240" s="23"/>
      <c r="OCD240" s="26"/>
      <c r="OCH240" s="23"/>
      <c r="OCM240" s="26"/>
      <c r="OCQ240" s="23"/>
      <c r="OCV240" s="26"/>
      <c r="OCZ240" s="23"/>
      <c r="ODE240" s="26"/>
      <c r="ODI240" s="23"/>
      <c r="ODN240" s="26"/>
      <c r="ODR240" s="23"/>
      <c r="ODW240" s="26"/>
      <c r="OEA240" s="23"/>
      <c r="OEF240" s="26"/>
      <c r="OEJ240" s="23"/>
      <c r="OEO240" s="26"/>
      <c r="OES240" s="23"/>
      <c r="OEX240" s="26"/>
      <c r="OFB240" s="23"/>
      <c r="OFG240" s="26"/>
      <c r="OFK240" s="23"/>
      <c r="OFP240" s="26"/>
      <c r="OFT240" s="23"/>
      <c r="OFY240" s="26"/>
      <c r="OGC240" s="23"/>
      <c r="OGH240" s="26"/>
      <c r="OGL240" s="23"/>
      <c r="OGQ240" s="26"/>
      <c r="OGU240" s="23"/>
      <c r="OGZ240" s="26"/>
      <c r="OHD240" s="23"/>
      <c r="OHI240" s="26"/>
      <c r="OHM240" s="23"/>
      <c r="OHR240" s="26"/>
      <c r="OHV240" s="23"/>
      <c r="OIA240" s="26"/>
      <c r="OIE240" s="23"/>
      <c r="OIJ240" s="26"/>
      <c r="OIN240" s="23"/>
      <c r="OIS240" s="26"/>
      <c r="OIW240" s="23"/>
      <c r="OJB240" s="26"/>
      <c r="OJF240" s="23"/>
      <c r="OJK240" s="26"/>
      <c r="OJO240" s="23"/>
      <c r="OJT240" s="26"/>
      <c r="OJX240" s="23"/>
      <c r="OKC240" s="26"/>
      <c r="OKG240" s="23"/>
      <c r="OKL240" s="26"/>
      <c r="OKP240" s="23"/>
      <c r="OKU240" s="26"/>
      <c r="OKY240" s="23"/>
      <c r="OLD240" s="26"/>
      <c r="OLH240" s="23"/>
      <c r="OLM240" s="26"/>
      <c r="OLQ240" s="23"/>
      <c r="OLV240" s="26"/>
      <c r="OLZ240" s="23"/>
      <c r="OME240" s="26"/>
      <c r="OMI240" s="23"/>
      <c r="OMN240" s="26"/>
      <c r="OMR240" s="23"/>
      <c r="OMW240" s="26"/>
      <c r="ONA240" s="23"/>
      <c r="ONF240" s="26"/>
      <c r="ONJ240" s="23"/>
      <c r="ONO240" s="26"/>
      <c r="ONS240" s="23"/>
      <c r="ONX240" s="26"/>
      <c r="OOB240" s="23"/>
      <c r="OOG240" s="26"/>
      <c r="OOK240" s="23"/>
      <c r="OOP240" s="26"/>
      <c r="OOT240" s="23"/>
      <c r="OOY240" s="26"/>
      <c r="OPC240" s="23"/>
      <c r="OPH240" s="26"/>
      <c r="OPL240" s="23"/>
      <c r="OPQ240" s="26"/>
      <c r="OPU240" s="23"/>
      <c r="OPZ240" s="26"/>
      <c r="OQD240" s="23"/>
      <c r="OQI240" s="26"/>
      <c r="OQM240" s="23"/>
      <c r="OQR240" s="26"/>
      <c r="OQV240" s="23"/>
      <c r="ORA240" s="26"/>
      <c r="ORE240" s="23"/>
      <c r="ORJ240" s="26"/>
      <c r="ORN240" s="23"/>
      <c r="ORS240" s="26"/>
      <c r="ORW240" s="23"/>
      <c r="OSB240" s="26"/>
      <c r="OSF240" s="23"/>
      <c r="OSK240" s="26"/>
      <c r="OSO240" s="23"/>
      <c r="OST240" s="26"/>
      <c r="OSX240" s="23"/>
      <c r="OTC240" s="26"/>
      <c r="OTG240" s="23"/>
      <c r="OTL240" s="26"/>
      <c r="OTP240" s="23"/>
      <c r="OTU240" s="26"/>
      <c r="OTY240" s="23"/>
      <c r="OUD240" s="26"/>
      <c r="OUH240" s="23"/>
      <c r="OUM240" s="26"/>
      <c r="OUQ240" s="23"/>
      <c r="OUV240" s="26"/>
      <c r="OUZ240" s="23"/>
      <c r="OVE240" s="26"/>
      <c r="OVI240" s="23"/>
      <c r="OVN240" s="26"/>
      <c r="OVR240" s="23"/>
      <c r="OVW240" s="26"/>
      <c r="OWA240" s="23"/>
      <c r="OWF240" s="26"/>
      <c r="OWJ240" s="23"/>
      <c r="OWO240" s="26"/>
      <c r="OWS240" s="23"/>
      <c r="OWX240" s="26"/>
      <c r="OXB240" s="23"/>
      <c r="OXG240" s="26"/>
      <c r="OXK240" s="23"/>
      <c r="OXP240" s="26"/>
      <c r="OXT240" s="23"/>
      <c r="OXY240" s="26"/>
      <c r="OYC240" s="23"/>
      <c r="OYH240" s="26"/>
      <c r="OYL240" s="23"/>
      <c r="OYQ240" s="26"/>
      <c r="OYU240" s="23"/>
      <c r="OYZ240" s="26"/>
      <c r="OZD240" s="23"/>
      <c r="OZI240" s="26"/>
      <c r="OZM240" s="23"/>
      <c r="OZR240" s="26"/>
      <c r="OZV240" s="23"/>
      <c r="PAA240" s="26"/>
      <c r="PAE240" s="23"/>
      <c r="PAJ240" s="26"/>
      <c r="PAN240" s="23"/>
      <c r="PAS240" s="26"/>
      <c r="PAW240" s="23"/>
      <c r="PBB240" s="26"/>
      <c r="PBF240" s="23"/>
      <c r="PBK240" s="26"/>
      <c r="PBO240" s="23"/>
      <c r="PBT240" s="26"/>
      <c r="PBX240" s="23"/>
      <c r="PCC240" s="26"/>
      <c r="PCG240" s="23"/>
      <c r="PCL240" s="26"/>
      <c r="PCP240" s="23"/>
      <c r="PCU240" s="26"/>
      <c r="PCY240" s="23"/>
      <c r="PDD240" s="26"/>
      <c r="PDH240" s="23"/>
      <c r="PDM240" s="26"/>
      <c r="PDQ240" s="23"/>
      <c r="PDV240" s="26"/>
      <c r="PDZ240" s="23"/>
      <c r="PEE240" s="26"/>
      <c r="PEI240" s="23"/>
      <c r="PEN240" s="26"/>
      <c r="PER240" s="23"/>
      <c r="PEW240" s="26"/>
      <c r="PFA240" s="23"/>
      <c r="PFF240" s="26"/>
      <c r="PFJ240" s="23"/>
      <c r="PFO240" s="26"/>
      <c r="PFS240" s="23"/>
      <c r="PFX240" s="26"/>
      <c r="PGB240" s="23"/>
      <c r="PGG240" s="26"/>
      <c r="PGK240" s="23"/>
      <c r="PGP240" s="26"/>
      <c r="PGT240" s="23"/>
      <c r="PGY240" s="26"/>
      <c r="PHC240" s="23"/>
      <c r="PHH240" s="26"/>
      <c r="PHL240" s="23"/>
      <c r="PHQ240" s="26"/>
      <c r="PHU240" s="23"/>
      <c r="PHZ240" s="26"/>
      <c r="PID240" s="23"/>
      <c r="PII240" s="26"/>
      <c r="PIM240" s="23"/>
      <c r="PIR240" s="26"/>
      <c r="PIV240" s="23"/>
      <c r="PJA240" s="26"/>
      <c r="PJE240" s="23"/>
      <c r="PJJ240" s="26"/>
      <c r="PJN240" s="23"/>
      <c r="PJS240" s="26"/>
      <c r="PJW240" s="23"/>
      <c r="PKB240" s="26"/>
      <c r="PKF240" s="23"/>
      <c r="PKK240" s="26"/>
      <c r="PKO240" s="23"/>
      <c r="PKT240" s="26"/>
      <c r="PKX240" s="23"/>
      <c r="PLC240" s="26"/>
      <c r="PLG240" s="23"/>
      <c r="PLL240" s="26"/>
      <c r="PLP240" s="23"/>
      <c r="PLU240" s="26"/>
      <c r="PLY240" s="23"/>
      <c r="PMD240" s="26"/>
      <c r="PMH240" s="23"/>
      <c r="PMM240" s="26"/>
      <c r="PMQ240" s="23"/>
      <c r="PMV240" s="26"/>
      <c r="PMZ240" s="23"/>
      <c r="PNE240" s="26"/>
      <c r="PNI240" s="23"/>
      <c r="PNN240" s="26"/>
      <c r="PNR240" s="23"/>
      <c r="PNW240" s="26"/>
      <c r="POA240" s="23"/>
      <c r="POF240" s="26"/>
      <c r="POJ240" s="23"/>
      <c r="POO240" s="26"/>
      <c r="POS240" s="23"/>
      <c r="POX240" s="26"/>
      <c r="PPB240" s="23"/>
      <c r="PPG240" s="26"/>
      <c r="PPK240" s="23"/>
      <c r="PPP240" s="26"/>
      <c r="PPT240" s="23"/>
      <c r="PPY240" s="26"/>
      <c r="PQC240" s="23"/>
      <c r="PQH240" s="26"/>
      <c r="PQL240" s="23"/>
      <c r="PQQ240" s="26"/>
      <c r="PQU240" s="23"/>
      <c r="PQZ240" s="26"/>
      <c r="PRD240" s="23"/>
      <c r="PRI240" s="26"/>
      <c r="PRM240" s="23"/>
      <c r="PRR240" s="26"/>
      <c r="PRV240" s="23"/>
      <c r="PSA240" s="26"/>
      <c r="PSE240" s="23"/>
      <c r="PSJ240" s="26"/>
      <c r="PSN240" s="23"/>
      <c r="PSS240" s="26"/>
      <c r="PSW240" s="23"/>
      <c r="PTB240" s="26"/>
      <c r="PTF240" s="23"/>
      <c r="PTK240" s="26"/>
      <c r="PTO240" s="23"/>
      <c r="PTT240" s="26"/>
      <c r="PTX240" s="23"/>
      <c r="PUC240" s="26"/>
      <c r="PUG240" s="23"/>
      <c r="PUL240" s="26"/>
      <c r="PUP240" s="23"/>
      <c r="PUU240" s="26"/>
      <c r="PUY240" s="23"/>
      <c r="PVD240" s="26"/>
      <c r="PVH240" s="23"/>
      <c r="PVM240" s="26"/>
      <c r="PVQ240" s="23"/>
      <c r="PVV240" s="26"/>
      <c r="PVZ240" s="23"/>
      <c r="PWE240" s="26"/>
      <c r="PWI240" s="23"/>
      <c r="PWN240" s="26"/>
      <c r="PWR240" s="23"/>
      <c r="PWW240" s="26"/>
      <c r="PXA240" s="23"/>
      <c r="PXF240" s="26"/>
      <c r="PXJ240" s="23"/>
      <c r="PXO240" s="26"/>
      <c r="PXS240" s="23"/>
      <c r="PXX240" s="26"/>
      <c r="PYB240" s="23"/>
      <c r="PYG240" s="26"/>
      <c r="PYK240" s="23"/>
      <c r="PYP240" s="26"/>
      <c r="PYT240" s="23"/>
      <c r="PYY240" s="26"/>
      <c r="PZC240" s="23"/>
      <c r="PZH240" s="26"/>
      <c r="PZL240" s="23"/>
      <c r="PZQ240" s="26"/>
      <c r="PZU240" s="23"/>
      <c r="PZZ240" s="26"/>
      <c r="QAD240" s="23"/>
      <c r="QAI240" s="26"/>
      <c r="QAM240" s="23"/>
      <c r="QAR240" s="26"/>
      <c r="QAV240" s="23"/>
      <c r="QBA240" s="26"/>
      <c r="QBE240" s="23"/>
      <c r="QBJ240" s="26"/>
      <c r="QBN240" s="23"/>
      <c r="QBS240" s="26"/>
      <c r="QBW240" s="23"/>
      <c r="QCB240" s="26"/>
      <c r="QCF240" s="23"/>
      <c r="QCK240" s="26"/>
      <c r="QCO240" s="23"/>
      <c r="QCT240" s="26"/>
      <c r="QCX240" s="23"/>
      <c r="QDC240" s="26"/>
      <c r="QDG240" s="23"/>
      <c r="QDL240" s="26"/>
      <c r="QDP240" s="23"/>
      <c r="QDU240" s="26"/>
      <c r="QDY240" s="23"/>
      <c r="QED240" s="26"/>
      <c r="QEH240" s="23"/>
      <c r="QEM240" s="26"/>
      <c r="QEQ240" s="23"/>
      <c r="QEV240" s="26"/>
      <c r="QEZ240" s="23"/>
      <c r="QFE240" s="26"/>
      <c r="QFI240" s="23"/>
      <c r="QFN240" s="26"/>
      <c r="QFR240" s="23"/>
      <c r="QFW240" s="26"/>
      <c r="QGA240" s="23"/>
      <c r="QGF240" s="26"/>
      <c r="QGJ240" s="23"/>
      <c r="QGO240" s="26"/>
      <c r="QGS240" s="23"/>
      <c r="QGX240" s="26"/>
      <c r="QHB240" s="23"/>
      <c r="QHG240" s="26"/>
      <c r="QHK240" s="23"/>
      <c r="QHP240" s="26"/>
      <c r="QHT240" s="23"/>
      <c r="QHY240" s="26"/>
      <c r="QIC240" s="23"/>
      <c r="QIH240" s="26"/>
      <c r="QIL240" s="23"/>
      <c r="QIQ240" s="26"/>
      <c r="QIU240" s="23"/>
      <c r="QIZ240" s="26"/>
      <c r="QJD240" s="23"/>
      <c r="QJI240" s="26"/>
      <c r="QJM240" s="23"/>
      <c r="QJR240" s="26"/>
      <c r="QJV240" s="23"/>
      <c r="QKA240" s="26"/>
      <c r="QKE240" s="23"/>
      <c r="QKJ240" s="26"/>
      <c r="QKN240" s="23"/>
      <c r="QKS240" s="26"/>
      <c r="QKW240" s="23"/>
      <c r="QLB240" s="26"/>
      <c r="QLF240" s="23"/>
      <c r="QLK240" s="26"/>
      <c r="QLO240" s="23"/>
      <c r="QLT240" s="26"/>
      <c r="QLX240" s="23"/>
      <c r="QMC240" s="26"/>
      <c r="QMG240" s="23"/>
      <c r="QML240" s="26"/>
      <c r="QMP240" s="23"/>
      <c r="QMU240" s="26"/>
      <c r="QMY240" s="23"/>
      <c r="QND240" s="26"/>
      <c r="QNH240" s="23"/>
      <c r="QNM240" s="26"/>
      <c r="QNQ240" s="23"/>
      <c r="QNV240" s="26"/>
      <c r="QNZ240" s="23"/>
      <c r="QOE240" s="26"/>
      <c r="QOI240" s="23"/>
      <c r="QON240" s="26"/>
      <c r="QOR240" s="23"/>
      <c r="QOW240" s="26"/>
      <c r="QPA240" s="23"/>
      <c r="QPF240" s="26"/>
      <c r="QPJ240" s="23"/>
      <c r="QPO240" s="26"/>
      <c r="QPS240" s="23"/>
      <c r="QPX240" s="26"/>
      <c r="QQB240" s="23"/>
      <c r="QQG240" s="26"/>
      <c r="QQK240" s="23"/>
      <c r="QQP240" s="26"/>
      <c r="QQT240" s="23"/>
      <c r="QQY240" s="26"/>
      <c r="QRC240" s="23"/>
      <c r="QRH240" s="26"/>
      <c r="QRL240" s="23"/>
      <c r="QRQ240" s="26"/>
      <c r="QRU240" s="23"/>
      <c r="QRZ240" s="26"/>
      <c r="QSD240" s="23"/>
      <c r="QSI240" s="26"/>
      <c r="QSM240" s="23"/>
      <c r="QSR240" s="26"/>
      <c r="QSV240" s="23"/>
      <c r="QTA240" s="26"/>
      <c r="QTE240" s="23"/>
      <c r="QTJ240" s="26"/>
      <c r="QTN240" s="23"/>
      <c r="QTS240" s="26"/>
      <c r="QTW240" s="23"/>
      <c r="QUB240" s="26"/>
      <c r="QUF240" s="23"/>
      <c r="QUK240" s="26"/>
      <c r="QUO240" s="23"/>
      <c r="QUT240" s="26"/>
      <c r="QUX240" s="23"/>
      <c r="QVC240" s="26"/>
      <c r="QVG240" s="23"/>
      <c r="QVL240" s="26"/>
      <c r="QVP240" s="23"/>
      <c r="QVU240" s="26"/>
      <c r="QVY240" s="23"/>
      <c r="QWD240" s="26"/>
      <c r="QWH240" s="23"/>
      <c r="QWM240" s="26"/>
      <c r="QWQ240" s="23"/>
      <c r="QWV240" s="26"/>
      <c r="QWZ240" s="23"/>
      <c r="QXE240" s="26"/>
      <c r="QXI240" s="23"/>
      <c r="QXN240" s="26"/>
      <c r="QXR240" s="23"/>
      <c r="QXW240" s="26"/>
      <c r="QYA240" s="23"/>
      <c r="QYF240" s="26"/>
      <c r="QYJ240" s="23"/>
      <c r="QYO240" s="26"/>
      <c r="QYS240" s="23"/>
      <c r="QYX240" s="26"/>
      <c r="QZB240" s="23"/>
      <c r="QZG240" s="26"/>
      <c r="QZK240" s="23"/>
      <c r="QZP240" s="26"/>
      <c r="QZT240" s="23"/>
      <c r="QZY240" s="26"/>
      <c r="RAC240" s="23"/>
      <c r="RAH240" s="26"/>
      <c r="RAL240" s="23"/>
      <c r="RAQ240" s="26"/>
      <c r="RAU240" s="23"/>
      <c r="RAZ240" s="26"/>
      <c r="RBD240" s="23"/>
      <c r="RBI240" s="26"/>
      <c r="RBM240" s="23"/>
      <c r="RBR240" s="26"/>
      <c r="RBV240" s="23"/>
      <c r="RCA240" s="26"/>
      <c r="RCE240" s="23"/>
      <c r="RCJ240" s="26"/>
      <c r="RCN240" s="23"/>
      <c r="RCS240" s="26"/>
      <c r="RCW240" s="23"/>
      <c r="RDB240" s="26"/>
      <c r="RDF240" s="23"/>
      <c r="RDK240" s="26"/>
      <c r="RDO240" s="23"/>
      <c r="RDT240" s="26"/>
      <c r="RDX240" s="23"/>
      <c r="REC240" s="26"/>
      <c r="REG240" s="23"/>
      <c r="REL240" s="26"/>
      <c r="REP240" s="23"/>
      <c r="REU240" s="26"/>
      <c r="REY240" s="23"/>
      <c r="RFD240" s="26"/>
      <c r="RFH240" s="23"/>
      <c r="RFM240" s="26"/>
      <c r="RFQ240" s="23"/>
      <c r="RFV240" s="26"/>
      <c r="RFZ240" s="23"/>
      <c r="RGE240" s="26"/>
      <c r="RGI240" s="23"/>
      <c r="RGN240" s="26"/>
      <c r="RGR240" s="23"/>
      <c r="RGW240" s="26"/>
      <c r="RHA240" s="23"/>
      <c r="RHF240" s="26"/>
      <c r="RHJ240" s="23"/>
      <c r="RHO240" s="26"/>
      <c r="RHS240" s="23"/>
      <c r="RHX240" s="26"/>
      <c r="RIB240" s="23"/>
      <c r="RIG240" s="26"/>
      <c r="RIK240" s="23"/>
      <c r="RIP240" s="26"/>
      <c r="RIT240" s="23"/>
      <c r="RIY240" s="26"/>
      <c r="RJC240" s="23"/>
      <c r="RJH240" s="26"/>
      <c r="RJL240" s="23"/>
      <c r="RJQ240" s="26"/>
      <c r="RJU240" s="23"/>
      <c r="RJZ240" s="26"/>
      <c r="RKD240" s="23"/>
      <c r="RKI240" s="26"/>
      <c r="RKM240" s="23"/>
      <c r="RKR240" s="26"/>
      <c r="RKV240" s="23"/>
      <c r="RLA240" s="26"/>
      <c r="RLE240" s="23"/>
      <c r="RLJ240" s="26"/>
      <c r="RLN240" s="23"/>
      <c r="RLS240" s="26"/>
      <c r="RLW240" s="23"/>
      <c r="RMB240" s="26"/>
      <c r="RMF240" s="23"/>
      <c r="RMK240" s="26"/>
      <c r="RMO240" s="23"/>
      <c r="RMT240" s="26"/>
      <c r="RMX240" s="23"/>
      <c r="RNC240" s="26"/>
      <c r="RNG240" s="23"/>
      <c r="RNL240" s="26"/>
      <c r="RNP240" s="23"/>
      <c r="RNU240" s="26"/>
      <c r="RNY240" s="23"/>
      <c r="ROD240" s="26"/>
      <c r="ROH240" s="23"/>
      <c r="ROM240" s="26"/>
      <c r="ROQ240" s="23"/>
      <c r="ROV240" s="26"/>
      <c r="ROZ240" s="23"/>
      <c r="RPE240" s="26"/>
      <c r="RPI240" s="23"/>
      <c r="RPN240" s="26"/>
      <c r="RPR240" s="23"/>
      <c r="RPW240" s="26"/>
      <c r="RQA240" s="23"/>
      <c r="RQF240" s="26"/>
      <c r="RQJ240" s="23"/>
      <c r="RQO240" s="26"/>
      <c r="RQS240" s="23"/>
      <c r="RQX240" s="26"/>
      <c r="RRB240" s="23"/>
      <c r="RRG240" s="26"/>
      <c r="RRK240" s="23"/>
      <c r="RRP240" s="26"/>
      <c r="RRT240" s="23"/>
      <c r="RRY240" s="26"/>
      <c r="RSC240" s="23"/>
      <c r="RSH240" s="26"/>
      <c r="RSL240" s="23"/>
      <c r="RSQ240" s="26"/>
      <c r="RSU240" s="23"/>
      <c r="RSZ240" s="26"/>
      <c r="RTD240" s="23"/>
      <c r="RTI240" s="26"/>
      <c r="RTM240" s="23"/>
      <c r="RTR240" s="26"/>
      <c r="RTV240" s="23"/>
      <c r="RUA240" s="26"/>
      <c r="RUE240" s="23"/>
      <c r="RUJ240" s="26"/>
      <c r="RUN240" s="23"/>
      <c r="RUS240" s="26"/>
      <c r="RUW240" s="23"/>
      <c r="RVB240" s="26"/>
      <c r="RVF240" s="23"/>
      <c r="RVK240" s="26"/>
      <c r="RVO240" s="23"/>
      <c r="RVT240" s="26"/>
      <c r="RVX240" s="23"/>
      <c r="RWC240" s="26"/>
      <c r="RWG240" s="23"/>
      <c r="RWL240" s="26"/>
      <c r="RWP240" s="23"/>
      <c r="RWU240" s="26"/>
      <c r="RWY240" s="23"/>
      <c r="RXD240" s="26"/>
      <c r="RXH240" s="23"/>
      <c r="RXM240" s="26"/>
      <c r="RXQ240" s="23"/>
      <c r="RXV240" s="26"/>
      <c r="RXZ240" s="23"/>
      <c r="RYE240" s="26"/>
      <c r="RYI240" s="23"/>
      <c r="RYN240" s="26"/>
      <c r="RYR240" s="23"/>
      <c r="RYW240" s="26"/>
      <c r="RZA240" s="23"/>
      <c r="RZF240" s="26"/>
      <c r="RZJ240" s="23"/>
      <c r="RZO240" s="26"/>
      <c r="RZS240" s="23"/>
      <c r="RZX240" s="26"/>
      <c r="SAB240" s="23"/>
      <c r="SAG240" s="26"/>
      <c r="SAK240" s="23"/>
      <c r="SAP240" s="26"/>
      <c r="SAT240" s="23"/>
      <c r="SAY240" s="26"/>
      <c r="SBC240" s="23"/>
      <c r="SBH240" s="26"/>
      <c r="SBL240" s="23"/>
      <c r="SBQ240" s="26"/>
      <c r="SBU240" s="23"/>
      <c r="SBZ240" s="26"/>
      <c r="SCD240" s="23"/>
      <c r="SCI240" s="26"/>
      <c r="SCM240" s="23"/>
      <c r="SCR240" s="26"/>
      <c r="SCV240" s="23"/>
      <c r="SDA240" s="26"/>
      <c r="SDE240" s="23"/>
      <c r="SDJ240" s="26"/>
      <c r="SDN240" s="23"/>
      <c r="SDS240" s="26"/>
      <c r="SDW240" s="23"/>
      <c r="SEB240" s="26"/>
      <c r="SEF240" s="23"/>
      <c r="SEK240" s="26"/>
      <c r="SEO240" s="23"/>
      <c r="SET240" s="26"/>
      <c r="SEX240" s="23"/>
      <c r="SFC240" s="26"/>
      <c r="SFG240" s="23"/>
      <c r="SFL240" s="26"/>
      <c r="SFP240" s="23"/>
      <c r="SFU240" s="26"/>
      <c r="SFY240" s="23"/>
      <c r="SGD240" s="26"/>
      <c r="SGH240" s="23"/>
      <c r="SGM240" s="26"/>
      <c r="SGQ240" s="23"/>
      <c r="SGV240" s="26"/>
      <c r="SGZ240" s="23"/>
      <c r="SHE240" s="26"/>
      <c r="SHI240" s="23"/>
      <c r="SHN240" s="26"/>
      <c r="SHR240" s="23"/>
      <c r="SHW240" s="26"/>
      <c r="SIA240" s="23"/>
      <c r="SIF240" s="26"/>
      <c r="SIJ240" s="23"/>
      <c r="SIO240" s="26"/>
      <c r="SIS240" s="23"/>
      <c r="SIX240" s="26"/>
      <c r="SJB240" s="23"/>
      <c r="SJG240" s="26"/>
      <c r="SJK240" s="23"/>
      <c r="SJP240" s="26"/>
      <c r="SJT240" s="23"/>
      <c r="SJY240" s="26"/>
      <c r="SKC240" s="23"/>
      <c r="SKH240" s="26"/>
      <c r="SKL240" s="23"/>
      <c r="SKQ240" s="26"/>
      <c r="SKU240" s="23"/>
      <c r="SKZ240" s="26"/>
      <c r="SLD240" s="23"/>
      <c r="SLI240" s="26"/>
      <c r="SLM240" s="23"/>
      <c r="SLR240" s="26"/>
      <c r="SLV240" s="23"/>
      <c r="SMA240" s="26"/>
      <c r="SME240" s="23"/>
      <c r="SMJ240" s="26"/>
      <c r="SMN240" s="23"/>
      <c r="SMS240" s="26"/>
      <c r="SMW240" s="23"/>
      <c r="SNB240" s="26"/>
      <c r="SNF240" s="23"/>
      <c r="SNK240" s="26"/>
      <c r="SNO240" s="23"/>
      <c r="SNT240" s="26"/>
      <c r="SNX240" s="23"/>
      <c r="SOC240" s="26"/>
      <c r="SOG240" s="23"/>
      <c r="SOL240" s="26"/>
      <c r="SOP240" s="23"/>
      <c r="SOU240" s="26"/>
      <c r="SOY240" s="23"/>
      <c r="SPD240" s="26"/>
      <c r="SPH240" s="23"/>
      <c r="SPM240" s="26"/>
      <c r="SPQ240" s="23"/>
      <c r="SPV240" s="26"/>
      <c r="SPZ240" s="23"/>
      <c r="SQE240" s="26"/>
      <c r="SQI240" s="23"/>
      <c r="SQN240" s="26"/>
      <c r="SQR240" s="23"/>
      <c r="SQW240" s="26"/>
      <c r="SRA240" s="23"/>
      <c r="SRF240" s="26"/>
      <c r="SRJ240" s="23"/>
      <c r="SRO240" s="26"/>
      <c r="SRS240" s="23"/>
      <c r="SRX240" s="26"/>
      <c r="SSB240" s="23"/>
      <c r="SSG240" s="26"/>
      <c r="SSK240" s="23"/>
      <c r="SSP240" s="26"/>
      <c r="SST240" s="23"/>
      <c r="SSY240" s="26"/>
      <c r="STC240" s="23"/>
      <c r="STH240" s="26"/>
      <c r="STL240" s="23"/>
      <c r="STQ240" s="26"/>
      <c r="STU240" s="23"/>
      <c r="STZ240" s="26"/>
      <c r="SUD240" s="23"/>
      <c r="SUI240" s="26"/>
      <c r="SUM240" s="23"/>
      <c r="SUR240" s="26"/>
      <c r="SUV240" s="23"/>
      <c r="SVA240" s="26"/>
      <c r="SVE240" s="23"/>
      <c r="SVJ240" s="26"/>
      <c r="SVN240" s="23"/>
      <c r="SVS240" s="26"/>
      <c r="SVW240" s="23"/>
      <c r="SWB240" s="26"/>
      <c r="SWF240" s="23"/>
      <c r="SWK240" s="26"/>
      <c r="SWO240" s="23"/>
      <c r="SWT240" s="26"/>
      <c r="SWX240" s="23"/>
      <c r="SXC240" s="26"/>
      <c r="SXG240" s="23"/>
      <c r="SXL240" s="26"/>
      <c r="SXP240" s="23"/>
      <c r="SXU240" s="26"/>
      <c r="SXY240" s="23"/>
      <c r="SYD240" s="26"/>
      <c r="SYH240" s="23"/>
      <c r="SYM240" s="26"/>
      <c r="SYQ240" s="23"/>
      <c r="SYV240" s="26"/>
      <c r="SYZ240" s="23"/>
      <c r="SZE240" s="26"/>
      <c r="SZI240" s="23"/>
      <c r="SZN240" s="26"/>
      <c r="SZR240" s="23"/>
      <c r="SZW240" s="26"/>
      <c r="TAA240" s="23"/>
      <c r="TAF240" s="26"/>
      <c r="TAJ240" s="23"/>
      <c r="TAO240" s="26"/>
      <c r="TAS240" s="23"/>
      <c r="TAX240" s="26"/>
      <c r="TBB240" s="23"/>
      <c r="TBG240" s="26"/>
      <c r="TBK240" s="23"/>
      <c r="TBP240" s="26"/>
      <c r="TBT240" s="23"/>
      <c r="TBY240" s="26"/>
      <c r="TCC240" s="23"/>
      <c r="TCH240" s="26"/>
      <c r="TCL240" s="23"/>
      <c r="TCQ240" s="26"/>
      <c r="TCU240" s="23"/>
      <c r="TCZ240" s="26"/>
      <c r="TDD240" s="23"/>
      <c r="TDI240" s="26"/>
      <c r="TDM240" s="23"/>
      <c r="TDR240" s="26"/>
      <c r="TDV240" s="23"/>
      <c r="TEA240" s="26"/>
      <c r="TEE240" s="23"/>
      <c r="TEJ240" s="26"/>
      <c r="TEN240" s="23"/>
      <c r="TES240" s="26"/>
      <c r="TEW240" s="23"/>
      <c r="TFB240" s="26"/>
      <c r="TFF240" s="23"/>
      <c r="TFK240" s="26"/>
      <c r="TFO240" s="23"/>
      <c r="TFT240" s="26"/>
      <c r="TFX240" s="23"/>
      <c r="TGC240" s="26"/>
      <c r="TGG240" s="23"/>
      <c r="TGL240" s="26"/>
      <c r="TGP240" s="23"/>
      <c r="TGU240" s="26"/>
      <c r="TGY240" s="23"/>
      <c r="THD240" s="26"/>
      <c r="THH240" s="23"/>
      <c r="THM240" s="26"/>
      <c r="THQ240" s="23"/>
      <c r="THV240" s="26"/>
      <c r="THZ240" s="23"/>
      <c r="TIE240" s="26"/>
      <c r="TII240" s="23"/>
      <c r="TIN240" s="26"/>
      <c r="TIR240" s="23"/>
      <c r="TIW240" s="26"/>
      <c r="TJA240" s="23"/>
      <c r="TJF240" s="26"/>
      <c r="TJJ240" s="23"/>
      <c r="TJO240" s="26"/>
      <c r="TJS240" s="23"/>
      <c r="TJX240" s="26"/>
      <c r="TKB240" s="23"/>
      <c r="TKG240" s="26"/>
      <c r="TKK240" s="23"/>
      <c r="TKP240" s="26"/>
      <c r="TKT240" s="23"/>
      <c r="TKY240" s="26"/>
      <c r="TLC240" s="23"/>
      <c r="TLH240" s="26"/>
      <c r="TLL240" s="23"/>
      <c r="TLQ240" s="26"/>
      <c r="TLU240" s="23"/>
      <c r="TLZ240" s="26"/>
      <c r="TMD240" s="23"/>
      <c r="TMI240" s="26"/>
      <c r="TMM240" s="23"/>
      <c r="TMR240" s="26"/>
      <c r="TMV240" s="23"/>
      <c r="TNA240" s="26"/>
      <c r="TNE240" s="23"/>
      <c r="TNJ240" s="26"/>
      <c r="TNN240" s="23"/>
      <c r="TNS240" s="26"/>
      <c r="TNW240" s="23"/>
      <c r="TOB240" s="26"/>
      <c r="TOF240" s="23"/>
      <c r="TOK240" s="26"/>
      <c r="TOO240" s="23"/>
      <c r="TOT240" s="26"/>
      <c r="TOX240" s="23"/>
      <c r="TPC240" s="26"/>
      <c r="TPG240" s="23"/>
      <c r="TPL240" s="26"/>
      <c r="TPP240" s="23"/>
      <c r="TPU240" s="26"/>
      <c r="TPY240" s="23"/>
      <c r="TQD240" s="26"/>
      <c r="TQH240" s="23"/>
      <c r="TQM240" s="26"/>
      <c r="TQQ240" s="23"/>
      <c r="TQV240" s="26"/>
      <c r="TQZ240" s="23"/>
      <c r="TRE240" s="26"/>
      <c r="TRI240" s="23"/>
      <c r="TRN240" s="26"/>
      <c r="TRR240" s="23"/>
      <c r="TRW240" s="26"/>
      <c r="TSA240" s="23"/>
      <c r="TSF240" s="26"/>
      <c r="TSJ240" s="23"/>
      <c r="TSO240" s="26"/>
      <c r="TSS240" s="23"/>
      <c r="TSX240" s="26"/>
      <c r="TTB240" s="23"/>
      <c r="TTG240" s="26"/>
      <c r="TTK240" s="23"/>
      <c r="TTP240" s="26"/>
      <c r="TTT240" s="23"/>
      <c r="TTY240" s="26"/>
      <c r="TUC240" s="23"/>
      <c r="TUH240" s="26"/>
      <c r="TUL240" s="23"/>
      <c r="TUQ240" s="26"/>
      <c r="TUU240" s="23"/>
      <c r="TUZ240" s="26"/>
      <c r="TVD240" s="23"/>
      <c r="TVI240" s="26"/>
      <c r="TVM240" s="23"/>
      <c r="TVR240" s="26"/>
      <c r="TVV240" s="23"/>
      <c r="TWA240" s="26"/>
      <c r="TWE240" s="23"/>
      <c r="TWJ240" s="26"/>
      <c r="TWN240" s="23"/>
      <c r="TWS240" s="26"/>
      <c r="TWW240" s="23"/>
      <c r="TXB240" s="26"/>
      <c r="TXF240" s="23"/>
      <c r="TXK240" s="26"/>
      <c r="TXO240" s="23"/>
      <c r="TXT240" s="26"/>
      <c r="TXX240" s="23"/>
      <c r="TYC240" s="26"/>
      <c r="TYG240" s="23"/>
      <c r="TYL240" s="26"/>
      <c r="TYP240" s="23"/>
      <c r="TYU240" s="26"/>
      <c r="TYY240" s="23"/>
      <c r="TZD240" s="26"/>
      <c r="TZH240" s="23"/>
      <c r="TZM240" s="26"/>
      <c r="TZQ240" s="23"/>
      <c r="TZV240" s="26"/>
      <c r="TZZ240" s="23"/>
      <c r="UAE240" s="26"/>
      <c r="UAI240" s="23"/>
      <c r="UAN240" s="26"/>
      <c r="UAR240" s="23"/>
      <c r="UAW240" s="26"/>
      <c r="UBA240" s="23"/>
      <c r="UBF240" s="26"/>
      <c r="UBJ240" s="23"/>
      <c r="UBO240" s="26"/>
      <c r="UBS240" s="23"/>
      <c r="UBX240" s="26"/>
      <c r="UCB240" s="23"/>
      <c r="UCG240" s="26"/>
      <c r="UCK240" s="23"/>
      <c r="UCP240" s="26"/>
      <c r="UCT240" s="23"/>
      <c r="UCY240" s="26"/>
      <c r="UDC240" s="23"/>
      <c r="UDH240" s="26"/>
      <c r="UDL240" s="23"/>
      <c r="UDQ240" s="26"/>
      <c r="UDU240" s="23"/>
      <c r="UDZ240" s="26"/>
      <c r="UED240" s="23"/>
      <c r="UEI240" s="26"/>
      <c r="UEM240" s="23"/>
      <c r="UER240" s="26"/>
      <c r="UEV240" s="23"/>
      <c r="UFA240" s="26"/>
      <c r="UFE240" s="23"/>
      <c r="UFJ240" s="26"/>
      <c r="UFN240" s="23"/>
      <c r="UFS240" s="26"/>
      <c r="UFW240" s="23"/>
      <c r="UGB240" s="26"/>
      <c r="UGF240" s="23"/>
      <c r="UGK240" s="26"/>
      <c r="UGO240" s="23"/>
      <c r="UGT240" s="26"/>
      <c r="UGX240" s="23"/>
      <c r="UHC240" s="26"/>
      <c r="UHG240" s="23"/>
      <c r="UHL240" s="26"/>
      <c r="UHP240" s="23"/>
      <c r="UHU240" s="26"/>
      <c r="UHY240" s="23"/>
      <c r="UID240" s="26"/>
      <c r="UIH240" s="23"/>
      <c r="UIM240" s="26"/>
      <c r="UIQ240" s="23"/>
      <c r="UIV240" s="26"/>
      <c r="UIZ240" s="23"/>
      <c r="UJE240" s="26"/>
      <c r="UJI240" s="23"/>
      <c r="UJN240" s="26"/>
      <c r="UJR240" s="23"/>
      <c r="UJW240" s="26"/>
      <c r="UKA240" s="23"/>
      <c r="UKF240" s="26"/>
      <c r="UKJ240" s="23"/>
      <c r="UKO240" s="26"/>
      <c r="UKS240" s="23"/>
      <c r="UKX240" s="26"/>
      <c r="ULB240" s="23"/>
      <c r="ULG240" s="26"/>
      <c r="ULK240" s="23"/>
      <c r="ULP240" s="26"/>
      <c r="ULT240" s="23"/>
      <c r="ULY240" s="26"/>
      <c r="UMC240" s="23"/>
      <c r="UMH240" s="26"/>
      <c r="UML240" s="23"/>
      <c r="UMQ240" s="26"/>
      <c r="UMU240" s="23"/>
      <c r="UMZ240" s="26"/>
      <c r="UND240" s="23"/>
      <c r="UNI240" s="26"/>
      <c r="UNM240" s="23"/>
      <c r="UNR240" s="26"/>
      <c r="UNV240" s="23"/>
      <c r="UOA240" s="26"/>
      <c r="UOE240" s="23"/>
      <c r="UOJ240" s="26"/>
      <c r="UON240" s="23"/>
      <c r="UOS240" s="26"/>
      <c r="UOW240" s="23"/>
      <c r="UPB240" s="26"/>
      <c r="UPF240" s="23"/>
      <c r="UPK240" s="26"/>
      <c r="UPO240" s="23"/>
      <c r="UPT240" s="26"/>
      <c r="UPX240" s="23"/>
      <c r="UQC240" s="26"/>
      <c r="UQG240" s="23"/>
      <c r="UQL240" s="26"/>
      <c r="UQP240" s="23"/>
      <c r="UQU240" s="26"/>
      <c r="UQY240" s="23"/>
      <c r="URD240" s="26"/>
      <c r="URH240" s="23"/>
      <c r="URM240" s="26"/>
      <c r="URQ240" s="23"/>
      <c r="URV240" s="26"/>
      <c r="URZ240" s="23"/>
      <c r="USE240" s="26"/>
      <c r="USI240" s="23"/>
      <c r="USN240" s="26"/>
      <c r="USR240" s="23"/>
      <c r="USW240" s="26"/>
      <c r="UTA240" s="23"/>
      <c r="UTF240" s="26"/>
      <c r="UTJ240" s="23"/>
      <c r="UTO240" s="26"/>
      <c r="UTS240" s="23"/>
      <c r="UTX240" s="26"/>
      <c r="UUB240" s="23"/>
      <c r="UUG240" s="26"/>
      <c r="UUK240" s="23"/>
      <c r="UUP240" s="26"/>
      <c r="UUT240" s="23"/>
      <c r="UUY240" s="26"/>
      <c r="UVC240" s="23"/>
      <c r="UVH240" s="26"/>
      <c r="UVL240" s="23"/>
      <c r="UVQ240" s="26"/>
      <c r="UVU240" s="23"/>
      <c r="UVZ240" s="26"/>
      <c r="UWD240" s="23"/>
      <c r="UWI240" s="26"/>
      <c r="UWM240" s="23"/>
      <c r="UWR240" s="26"/>
      <c r="UWV240" s="23"/>
      <c r="UXA240" s="26"/>
      <c r="UXE240" s="23"/>
      <c r="UXJ240" s="26"/>
      <c r="UXN240" s="23"/>
      <c r="UXS240" s="26"/>
      <c r="UXW240" s="23"/>
      <c r="UYB240" s="26"/>
      <c r="UYF240" s="23"/>
      <c r="UYK240" s="26"/>
      <c r="UYO240" s="23"/>
      <c r="UYT240" s="26"/>
      <c r="UYX240" s="23"/>
      <c r="UZC240" s="26"/>
      <c r="UZG240" s="23"/>
      <c r="UZL240" s="26"/>
      <c r="UZP240" s="23"/>
      <c r="UZU240" s="26"/>
      <c r="UZY240" s="23"/>
      <c r="VAD240" s="26"/>
      <c r="VAH240" s="23"/>
      <c r="VAM240" s="26"/>
      <c r="VAQ240" s="23"/>
      <c r="VAV240" s="26"/>
      <c r="VAZ240" s="23"/>
      <c r="VBE240" s="26"/>
      <c r="VBI240" s="23"/>
      <c r="VBN240" s="26"/>
      <c r="VBR240" s="23"/>
      <c r="VBW240" s="26"/>
      <c r="VCA240" s="23"/>
      <c r="VCF240" s="26"/>
      <c r="VCJ240" s="23"/>
      <c r="VCO240" s="26"/>
      <c r="VCS240" s="23"/>
      <c r="VCX240" s="26"/>
      <c r="VDB240" s="23"/>
      <c r="VDG240" s="26"/>
      <c r="VDK240" s="23"/>
      <c r="VDP240" s="26"/>
      <c r="VDT240" s="23"/>
      <c r="VDY240" s="26"/>
      <c r="VEC240" s="23"/>
      <c r="VEH240" s="26"/>
      <c r="VEL240" s="23"/>
      <c r="VEQ240" s="26"/>
      <c r="VEU240" s="23"/>
      <c r="VEZ240" s="26"/>
      <c r="VFD240" s="23"/>
      <c r="VFI240" s="26"/>
      <c r="VFM240" s="23"/>
      <c r="VFR240" s="26"/>
      <c r="VFV240" s="23"/>
      <c r="VGA240" s="26"/>
      <c r="VGE240" s="23"/>
      <c r="VGJ240" s="26"/>
      <c r="VGN240" s="23"/>
      <c r="VGS240" s="26"/>
      <c r="VGW240" s="23"/>
      <c r="VHB240" s="26"/>
      <c r="VHF240" s="23"/>
      <c r="VHK240" s="26"/>
      <c r="VHO240" s="23"/>
      <c r="VHT240" s="26"/>
      <c r="VHX240" s="23"/>
      <c r="VIC240" s="26"/>
      <c r="VIG240" s="23"/>
      <c r="VIL240" s="26"/>
      <c r="VIP240" s="23"/>
      <c r="VIU240" s="26"/>
      <c r="VIY240" s="23"/>
      <c r="VJD240" s="26"/>
      <c r="VJH240" s="23"/>
      <c r="VJM240" s="26"/>
      <c r="VJQ240" s="23"/>
      <c r="VJV240" s="26"/>
      <c r="VJZ240" s="23"/>
      <c r="VKE240" s="26"/>
      <c r="VKI240" s="23"/>
      <c r="VKN240" s="26"/>
      <c r="VKR240" s="23"/>
      <c r="VKW240" s="26"/>
      <c r="VLA240" s="23"/>
      <c r="VLF240" s="26"/>
      <c r="VLJ240" s="23"/>
      <c r="VLO240" s="26"/>
      <c r="VLS240" s="23"/>
      <c r="VLX240" s="26"/>
      <c r="VMB240" s="23"/>
      <c r="VMG240" s="26"/>
      <c r="VMK240" s="23"/>
      <c r="VMP240" s="26"/>
      <c r="VMT240" s="23"/>
      <c r="VMY240" s="26"/>
      <c r="VNC240" s="23"/>
      <c r="VNH240" s="26"/>
      <c r="VNL240" s="23"/>
      <c r="VNQ240" s="26"/>
      <c r="VNU240" s="23"/>
      <c r="VNZ240" s="26"/>
      <c r="VOD240" s="23"/>
      <c r="VOI240" s="26"/>
      <c r="VOM240" s="23"/>
      <c r="VOR240" s="26"/>
      <c r="VOV240" s="23"/>
      <c r="VPA240" s="26"/>
      <c r="VPE240" s="23"/>
      <c r="VPJ240" s="26"/>
      <c r="VPN240" s="23"/>
      <c r="VPS240" s="26"/>
      <c r="VPW240" s="23"/>
      <c r="VQB240" s="26"/>
      <c r="VQF240" s="23"/>
      <c r="VQK240" s="26"/>
      <c r="VQO240" s="23"/>
      <c r="VQT240" s="26"/>
      <c r="VQX240" s="23"/>
      <c r="VRC240" s="26"/>
      <c r="VRG240" s="23"/>
      <c r="VRL240" s="26"/>
      <c r="VRP240" s="23"/>
      <c r="VRU240" s="26"/>
      <c r="VRY240" s="23"/>
      <c r="VSD240" s="26"/>
      <c r="VSH240" s="23"/>
      <c r="VSM240" s="26"/>
      <c r="VSQ240" s="23"/>
      <c r="VSV240" s="26"/>
      <c r="VSZ240" s="23"/>
      <c r="VTE240" s="26"/>
      <c r="VTI240" s="23"/>
      <c r="VTN240" s="26"/>
      <c r="VTR240" s="23"/>
      <c r="VTW240" s="26"/>
      <c r="VUA240" s="23"/>
      <c r="VUF240" s="26"/>
      <c r="VUJ240" s="23"/>
      <c r="VUO240" s="26"/>
      <c r="VUS240" s="23"/>
      <c r="VUX240" s="26"/>
      <c r="VVB240" s="23"/>
      <c r="VVG240" s="26"/>
      <c r="VVK240" s="23"/>
      <c r="VVP240" s="26"/>
      <c r="VVT240" s="23"/>
      <c r="VVY240" s="26"/>
      <c r="VWC240" s="23"/>
      <c r="VWH240" s="26"/>
      <c r="VWL240" s="23"/>
      <c r="VWQ240" s="26"/>
      <c r="VWU240" s="23"/>
      <c r="VWZ240" s="26"/>
      <c r="VXD240" s="23"/>
      <c r="VXI240" s="26"/>
      <c r="VXM240" s="23"/>
      <c r="VXR240" s="26"/>
      <c r="VXV240" s="23"/>
      <c r="VYA240" s="26"/>
      <c r="VYE240" s="23"/>
      <c r="VYJ240" s="26"/>
      <c r="VYN240" s="23"/>
      <c r="VYS240" s="26"/>
      <c r="VYW240" s="23"/>
      <c r="VZB240" s="26"/>
      <c r="VZF240" s="23"/>
      <c r="VZK240" s="26"/>
      <c r="VZO240" s="23"/>
      <c r="VZT240" s="26"/>
      <c r="VZX240" s="23"/>
      <c r="WAC240" s="26"/>
      <c r="WAG240" s="23"/>
      <c r="WAL240" s="26"/>
      <c r="WAP240" s="23"/>
      <c r="WAU240" s="26"/>
      <c r="WAY240" s="23"/>
      <c r="WBD240" s="26"/>
      <c r="WBH240" s="23"/>
      <c r="WBM240" s="26"/>
      <c r="WBQ240" s="23"/>
      <c r="WBV240" s="26"/>
      <c r="WBZ240" s="23"/>
      <c r="WCE240" s="26"/>
      <c r="WCI240" s="23"/>
      <c r="WCN240" s="26"/>
      <c r="WCR240" s="23"/>
      <c r="WCW240" s="26"/>
      <c r="WDA240" s="23"/>
      <c r="WDF240" s="26"/>
      <c r="WDJ240" s="23"/>
      <c r="WDO240" s="26"/>
      <c r="WDS240" s="23"/>
      <c r="WDX240" s="26"/>
      <c r="WEB240" s="23"/>
      <c r="WEG240" s="26"/>
      <c r="WEK240" s="23"/>
      <c r="WEP240" s="26"/>
      <c r="WET240" s="23"/>
      <c r="WEY240" s="26"/>
      <c r="WFC240" s="23"/>
      <c r="WFH240" s="26"/>
      <c r="WFL240" s="23"/>
      <c r="WFQ240" s="26"/>
      <c r="WFU240" s="23"/>
      <c r="WFZ240" s="26"/>
      <c r="WGD240" s="23"/>
      <c r="WGI240" s="26"/>
      <c r="WGM240" s="23"/>
      <c r="WGR240" s="26"/>
      <c r="WGV240" s="23"/>
      <c r="WHA240" s="26"/>
      <c r="WHE240" s="23"/>
      <c r="WHJ240" s="26"/>
      <c r="WHN240" s="23"/>
      <c r="WHS240" s="26"/>
      <c r="WHW240" s="23"/>
      <c r="WIB240" s="26"/>
      <c r="WIF240" s="23"/>
      <c r="WIK240" s="26"/>
      <c r="WIO240" s="23"/>
      <c r="WIT240" s="26"/>
      <c r="WIX240" s="23"/>
      <c r="WJC240" s="26"/>
      <c r="WJG240" s="23"/>
      <c r="WJL240" s="26"/>
      <c r="WJP240" s="23"/>
      <c r="WJU240" s="26"/>
      <c r="WJY240" s="23"/>
      <c r="WKD240" s="26"/>
      <c r="WKH240" s="23"/>
      <c r="WKM240" s="26"/>
      <c r="WKQ240" s="23"/>
      <c r="WKV240" s="26"/>
      <c r="WKZ240" s="23"/>
      <c r="WLE240" s="26"/>
      <c r="WLI240" s="23"/>
      <c r="WLN240" s="26"/>
      <c r="WLR240" s="23"/>
      <c r="WLW240" s="26"/>
      <c r="WMA240" s="23"/>
      <c r="WMF240" s="26"/>
      <c r="WMJ240" s="23"/>
      <c r="WMO240" s="26"/>
      <c r="WMS240" s="23"/>
      <c r="WMX240" s="26"/>
      <c r="WNB240" s="23"/>
      <c r="WNG240" s="26"/>
      <c r="WNK240" s="23"/>
      <c r="WNP240" s="26"/>
      <c r="WNT240" s="23"/>
      <c r="WNY240" s="26"/>
      <c r="WOC240" s="23"/>
      <c r="WOH240" s="26"/>
      <c r="WOL240" s="23"/>
      <c r="WOQ240" s="26"/>
      <c r="WOU240" s="23"/>
      <c r="WOZ240" s="26"/>
      <c r="WPD240" s="23"/>
      <c r="WPI240" s="26"/>
      <c r="WPM240" s="23"/>
      <c r="WPR240" s="26"/>
      <c r="WPV240" s="23"/>
      <c r="WQA240" s="26"/>
      <c r="WQE240" s="23"/>
      <c r="WQJ240" s="26"/>
      <c r="WQN240" s="23"/>
      <c r="WQS240" s="26"/>
      <c r="WQW240" s="23"/>
      <c r="WRB240" s="26"/>
      <c r="WRF240" s="23"/>
      <c r="WRK240" s="26"/>
      <c r="WRO240" s="23"/>
      <c r="WRT240" s="26"/>
      <c r="WRX240" s="23"/>
      <c r="WSC240" s="26"/>
      <c r="WSG240" s="23"/>
      <c r="WSL240" s="26"/>
      <c r="WSP240" s="23"/>
      <c r="WSU240" s="26"/>
      <c r="WSY240" s="23"/>
      <c r="WTD240" s="26"/>
      <c r="WTH240" s="23"/>
      <c r="WTM240" s="26"/>
      <c r="WTQ240" s="23"/>
      <c r="WTV240" s="26"/>
      <c r="WTZ240" s="23"/>
      <c r="WUE240" s="26"/>
      <c r="WUI240" s="23"/>
      <c r="WUN240" s="26"/>
      <c r="WUR240" s="23"/>
      <c r="WUW240" s="26"/>
      <c r="WVA240" s="23"/>
      <c r="WVF240" s="26"/>
      <c r="WVJ240" s="23"/>
      <c r="WVO240" s="26"/>
      <c r="WVS240" s="23"/>
      <c r="WVX240" s="26"/>
      <c r="WWB240" s="23"/>
      <c r="WWG240" s="26"/>
      <c r="WWK240" s="23"/>
      <c r="WWP240" s="26"/>
      <c r="WWT240" s="23"/>
      <c r="WWY240" s="26"/>
      <c r="WXC240" s="23"/>
      <c r="WXH240" s="26"/>
      <c r="WXL240" s="23"/>
      <c r="WXQ240" s="26"/>
      <c r="WXU240" s="23"/>
      <c r="WXZ240" s="26"/>
      <c r="WYD240" s="23"/>
      <c r="WYI240" s="26"/>
      <c r="WYM240" s="23"/>
      <c r="WYR240" s="26"/>
      <c r="WYV240" s="23"/>
      <c r="WZA240" s="26"/>
      <c r="WZE240" s="23"/>
      <c r="WZJ240" s="26"/>
      <c r="WZN240" s="23"/>
      <c r="WZS240" s="26"/>
      <c r="WZW240" s="23"/>
      <c r="XAB240" s="26"/>
      <c r="XAF240" s="23"/>
      <c r="XAK240" s="26"/>
      <c r="XAO240" s="23"/>
      <c r="XAT240" s="26"/>
      <c r="XAX240" s="23"/>
      <c r="XBC240" s="26"/>
      <c r="XBG240" s="23"/>
      <c r="XBL240" s="26"/>
      <c r="XBP240" s="23"/>
      <c r="XBU240" s="26"/>
      <c r="XBY240" s="23"/>
      <c r="XCD240" s="26"/>
      <c r="XCH240" s="23"/>
      <c r="XCM240" s="26"/>
      <c r="XCQ240" s="23"/>
      <c r="XCV240" s="26"/>
      <c r="XCZ240" s="23"/>
      <c r="XDE240" s="26"/>
      <c r="XDI240" s="23"/>
      <c r="XDN240" s="26"/>
      <c r="XDR240" s="23"/>
      <c r="XDW240" s="26"/>
      <c r="XEA240" s="23"/>
      <c r="XEF240" s="26"/>
      <c r="XEJ240" s="23"/>
      <c r="XEO240" s="26"/>
      <c r="XES240" s="23"/>
      <c r="XEX240" s="26"/>
      <c r="XFB240" s="23"/>
    </row>
    <row r="241" spans="2:1024 1028:2045 2050:3071 3076:4093 4097:5119 5123:6140 6145:7166 7171:8192 8197:9214 9218:10240 10244:11261 11266:12287 12292:13309 13313:14335 14339:15356 15361:16382" x14ac:dyDescent="0.3">
      <c r="B241" s="23"/>
      <c r="K241" s="23"/>
      <c r="P241" s="26"/>
      <c r="T241" s="23"/>
      <c r="Y241" s="26"/>
      <c r="AC241" s="23"/>
      <c r="AH241" s="26"/>
      <c r="AL241" s="23"/>
      <c r="AQ241" s="26"/>
      <c r="AU241" s="23"/>
      <c r="AZ241" s="26"/>
      <c r="BD241" s="23"/>
      <c r="BI241" s="26"/>
      <c r="BM241" s="23"/>
      <c r="BR241" s="26"/>
      <c r="BV241" s="23"/>
      <c r="CA241" s="26"/>
      <c r="CE241" s="23"/>
      <c r="CJ241" s="26"/>
      <c r="CN241" s="23"/>
      <c r="CS241" s="26"/>
      <c r="CW241" s="23"/>
      <c r="DB241" s="26"/>
      <c r="DF241" s="23"/>
      <c r="DK241" s="26"/>
      <c r="DO241" s="23"/>
      <c r="DT241" s="26"/>
      <c r="DX241" s="23"/>
      <c r="EC241" s="26"/>
      <c r="EG241" s="23"/>
      <c r="EL241" s="26"/>
      <c r="EP241" s="23"/>
      <c r="EU241" s="26"/>
      <c r="EY241" s="23"/>
      <c r="FD241" s="26"/>
      <c r="FH241" s="23"/>
      <c r="FM241" s="26"/>
      <c r="FQ241" s="23"/>
      <c r="FV241" s="26"/>
      <c r="FZ241" s="23"/>
      <c r="GE241" s="26"/>
      <c r="GI241" s="23"/>
      <c r="GN241" s="26"/>
      <c r="GR241" s="23"/>
      <c r="GW241" s="26"/>
      <c r="HA241" s="23"/>
      <c r="HF241" s="26"/>
      <c r="HJ241" s="23"/>
      <c r="HO241" s="26"/>
      <c r="HS241" s="23"/>
      <c r="HX241" s="26"/>
      <c r="IB241" s="23"/>
      <c r="IG241" s="26"/>
      <c r="IK241" s="23"/>
      <c r="IP241" s="26"/>
      <c r="IT241" s="23"/>
      <c r="IY241" s="26"/>
      <c r="JC241" s="23"/>
      <c r="JH241" s="26"/>
      <c r="JL241" s="23"/>
      <c r="JQ241" s="26"/>
      <c r="JU241" s="23"/>
      <c r="JZ241" s="26"/>
      <c r="KD241" s="23"/>
      <c r="KI241" s="26"/>
      <c r="KM241" s="23"/>
      <c r="KR241" s="26"/>
      <c r="KV241" s="23"/>
      <c r="LA241" s="26"/>
      <c r="LE241" s="23"/>
      <c r="LJ241" s="26"/>
      <c r="LN241" s="23"/>
      <c r="LS241" s="26"/>
      <c r="LW241" s="23"/>
      <c r="MB241" s="26"/>
      <c r="MF241" s="23"/>
      <c r="MK241" s="26"/>
      <c r="MO241" s="23"/>
      <c r="MT241" s="26"/>
      <c r="MX241" s="23"/>
      <c r="NC241" s="26"/>
      <c r="NG241" s="23"/>
      <c r="NL241" s="26"/>
      <c r="NP241" s="23"/>
      <c r="NU241" s="26"/>
      <c r="NY241" s="23"/>
      <c r="OD241" s="26"/>
      <c r="OH241" s="23"/>
      <c r="OM241" s="26"/>
      <c r="OQ241" s="23"/>
      <c r="OV241" s="26"/>
      <c r="OZ241" s="23"/>
      <c r="PE241" s="26"/>
      <c r="PI241" s="23"/>
      <c r="PN241" s="26"/>
      <c r="PR241" s="23"/>
      <c r="PW241" s="26"/>
      <c r="QA241" s="23"/>
      <c r="QF241" s="26"/>
      <c r="QJ241" s="23"/>
      <c r="QO241" s="26"/>
      <c r="QS241" s="23"/>
      <c r="QX241" s="26"/>
      <c r="RB241" s="23"/>
      <c r="RG241" s="26"/>
      <c r="RK241" s="23"/>
      <c r="RP241" s="26"/>
      <c r="RT241" s="23"/>
      <c r="RY241" s="26"/>
      <c r="SC241" s="23"/>
      <c r="SH241" s="26"/>
      <c r="SL241" s="23"/>
      <c r="SQ241" s="26"/>
      <c r="SU241" s="23"/>
      <c r="SZ241" s="26"/>
      <c r="TD241" s="23"/>
      <c r="TI241" s="26"/>
      <c r="TM241" s="23"/>
      <c r="TR241" s="26"/>
      <c r="TV241" s="23"/>
      <c r="UA241" s="26"/>
      <c r="UE241" s="23"/>
      <c r="UJ241" s="26"/>
      <c r="UN241" s="23"/>
      <c r="US241" s="26"/>
      <c r="UW241" s="23"/>
      <c r="VB241" s="26"/>
      <c r="VF241" s="23"/>
      <c r="VK241" s="26"/>
      <c r="VO241" s="23"/>
      <c r="VT241" s="26"/>
      <c r="VX241" s="23"/>
      <c r="WC241" s="26"/>
      <c r="WG241" s="23"/>
      <c r="WL241" s="26"/>
      <c r="WP241" s="23"/>
      <c r="WU241" s="26"/>
      <c r="WY241" s="23"/>
      <c r="XD241" s="26"/>
      <c r="XH241" s="23"/>
      <c r="XM241" s="26"/>
      <c r="XQ241" s="23"/>
      <c r="XV241" s="26"/>
      <c r="XZ241" s="23"/>
      <c r="YE241" s="26"/>
      <c r="YI241" s="23"/>
      <c r="YN241" s="26"/>
      <c r="YR241" s="23"/>
      <c r="YW241" s="26"/>
      <c r="ZA241" s="23"/>
      <c r="ZF241" s="26"/>
      <c r="ZJ241" s="23"/>
      <c r="ZO241" s="26"/>
      <c r="ZS241" s="23"/>
      <c r="ZX241" s="26"/>
      <c r="AAB241" s="23"/>
      <c r="AAG241" s="26"/>
      <c r="AAK241" s="23"/>
      <c r="AAP241" s="26"/>
      <c r="AAT241" s="23"/>
      <c r="AAY241" s="26"/>
      <c r="ABC241" s="23"/>
      <c r="ABH241" s="26"/>
      <c r="ABL241" s="23"/>
      <c r="ABQ241" s="26"/>
      <c r="ABU241" s="23"/>
      <c r="ABZ241" s="26"/>
      <c r="ACD241" s="23"/>
      <c r="ACI241" s="26"/>
      <c r="ACM241" s="23"/>
      <c r="ACR241" s="26"/>
      <c r="ACV241" s="23"/>
      <c r="ADA241" s="26"/>
      <c r="ADE241" s="23"/>
      <c r="ADJ241" s="26"/>
      <c r="ADN241" s="23"/>
      <c r="ADS241" s="26"/>
      <c r="ADW241" s="23"/>
      <c r="AEB241" s="26"/>
      <c r="AEF241" s="23"/>
      <c r="AEK241" s="26"/>
      <c r="AEO241" s="23"/>
      <c r="AET241" s="26"/>
      <c r="AEX241" s="23"/>
      <c r="AFC241" s="26"/>
      <c r="AFG241" s="23"/>
      <c r="AFL241" s="26"/>
      <c r="AFP241" s="23"/>
      <c r="AFU241" s="26"/>
      <c r="AFY241" s="23"/>
      <c r="AGD241" s="26"/>
      <c r="AGH241" s="23"/>
      <c r="AGM241" s="26"/>
      <c r="AGQ241" s="23"/>
      <c r="AGV241" s="26"/>
      <c r="AGZ241" s="23"/>
      <c r="AHE241" s="26"/>
      <c r="AHI241" s="23"/>
      <c r="AHN241" s="26"/>
      <c r="AHR241" s="23"/>
      <c r="AHW241" s="26"/>
      <c r="AIA241" s="23"/>
      <c r="AIF241" s="26"/>
      <c r="AIJ241" s="23"/>
      <c r="AIO241" s="26"/>
      <c r="AIS241" s="23"/>
      <c r="AIX241" s="26"/>
      <c r="AJB241" s="23"/>
      <c r="AJG241" s="26"/>
      <c r="AJK241" s="23"/>
      <c r="AJP241" s="26"/>
      <c r="AJT241" s="23"/>
      <c r="AJY241" s="26"/>
      <c r="AKC241" s="23"/>
      <c r="AKH241" s="26"/>
      <c r="AKL241" s="23"/>
      <c r="AKQ241" s="26"/>
      <c r="AKU241" s="23"/>
      <c r="AKZ241" s="26"/>
      <c r="ALD241" s="23"/>
      <c r="ALI241" s="26"/>
      <c r="ALM241" s="23"/>
      <c r="ALR241" s="26"/>
      <c r="ALV241" s="23"/>
      <c r="AMA241" s="26"/>
      <c r="AME241" s="23"/>
      <c r="AMJ241" s="26"/>
      <c r="AMN241" s="23"/>
      <c r="AMS241" s="26"/>
      <c r="AMW241" s="23"/>
      <c r="ANB241" s="26"/>
      <c r="ANF241" s="23"/>
      <c r="ANK241" s="26"/>
      <c r="ANO241" s="23"/>
      <c r="ANT241" s="26"/>
      <c r="ANX241" s="23"/>
      <c r="AOC241" s="26"/>
      <c r="AOG241" s="23"/>
      <c r="AOL241" s="26"/>
      <c r="AOP241" s="23"/>
      <c r="AOU241" s="26"/>
      <c r="AOY241" s="23"/>
      <c r="APD241" s="26"/>
      <c r="APH241" s="23"/>
      <c r="APM241" s="26"/>
      <c r="APQ241" s="23"/>
      <c r="APV241" s="26"/>
      <c r="APZ241" s="23"/>
      <c r="AQE241" s="26"/>
      <c r="AQI241" s="23"/>
      <c r="AQN241" s="26"/>
      <c r="AQR241" s="23"/>
      <c r="AQW241" s="26"/>
      <c r="ARA241" s="23"/>
      <c r="ARF241" s="26"/>
      <c r="ARJ241" s="23"/>
      <c r="ARO241" s="26"/>
      <c r="ARS241" s="23"/>
      <c r="ARX241" s="26"/>
      <c r="ASB241" s="23"/>
      <c r="ASG241" s="26"/>
      <c r="ASK241" s="23"/>
      <c r="ASP241" s="26"/>
      <c r="AST241" s="23"/>
      <c r="ASY241" s="26"/>
      <c r="ATC241" s="23"/>
      <c r="ATH241" s="26"/>
      <c r="ATL241" s="23"/>
      <c r="ATQ241" s="26"/>
      <c r="ATU241" s="23"/>
      <c r="ATZ241" s="26"/>
      <c r="AUD241" s="23"/>
      <c r="AUI241" s="26"/>
      <c r="AUM241" s="23"/>
      <c r="AUR241" s="26"/>
      <c r="AUV241" s="23"/>
      <c r="AVA241" s="26"/>
      <c r="AVE241" s="23"/>
      <c r="AVJ241" s="26"/>
      <c r="AVN241" s="23"/>
      <c r="AVS241" s="26"/>
      <c r="AVW241" s="23"/>
      <c r="AWB241" s="26"/>
      <c r="AWF241" s="23"/>
      <c r="AWK241" s="26"/>
      <c r="AWO241" s="23"/>
      <c r="AWT241" s="26"/>
      <c r="AWX241" s="23"/>
      <c r="AXC241" s="26"/>
      <c r="AXG241" s="23"/>
      <c r="AXL241" s="26"/>
      <c r="AXP241" s="23"/>
      <c r="AXU241" s="26"/>
      <c r="AXY241" s="23"/>
      <c r="AYD241" s="26"/>
      <c r="AYH241" s="23"/>
      <c r="AYM241" s="26"/>
      <c r="AYQ241" s="23"/>
      <c r="AYV241" s="26"/>
      <c r="AYZ241" s="23"/>
      <c r="AZE241" s="26"/>
      <c r="AZI241" s="23"/>
      <c r="AZN241" s="26"/>
      <c r="AZR241" s="23"/>
      <c r="AZW241" s="26"/>
      <c r="BAA241" s="23"/>
      <c r="BAF241" s="26"/>
      <c r="BAJ241" s="23"/>
      <c r="BAO241" s="26"/>
      <c r="BAS241" s="23"/>
      <c r="BAX241" s="26"/>
      <c r="BBB241" s="23"/>
      <c r="BBG241" s="26"/>
      <c r="BBK241" s="23"/>
      <c r="BBP241" s="26"/>
      <c r="BBT241" s="23"/>
      <c r="BBY241" s="26"/>
      <c r="BCC241" s="23"/>
      <c r="BCH241" s="26"/>
      <c r="BCL241" s="23"/>
      <c r="BCQ241" s="26"/>
      <c r="BCU241" s="23"/>
      <c r="BCZ241" s="26"/>
      <c r="BDD241" s="23"/>
      <c r="BDI241" s="26"/>
      <c r="BDM241" s="23"/>
      <c r="BDR241" s="26"/>
      <c r="BDV241" s="23"/>
      <c r="BEA241" s="26"/>
      <c r="BEE241" s="23"/>
      <c r="BEJ241" s="26"/>
      <c r="BEN241" s="23"/>
      <c r="BES241" s="26"/>
      <c r="BEW241" s="23"/>
      <c r="BFB241" s="26"/>
      <c r="BFF241" s="23"/>
      <c r="BFK241" s="26"/>
      <c r="BFO241" s="23"/>
      <c r="BFT241" s="26"/>
      <c r="BFX241" s="23"/>
      <c r="BGC241" s="26"/>
      <c r="BGG241" s="23"/>
      <c r="BGL241" s="26"/>
      <c r="BGP241" s="23"/>
      <c r="BGU241" s="26"/>
      <c r="BGY241" s="23"/>
      <c r="BHD241" s="26"/>
      <c r="BHH241" s="23"/>
      <c r="BHM241" s="26"/>
      <c r="BHQ241" s="23"/>
      <c r="BHV241" s="26"/>
      <c r="BHZ241" s="23"/>
      <c r="BIE241" s="26"/>
      <c r="BII241" s="23"/>
      <c r="BIN241" s="26"/>
      <c r="BIR241" s="23"/>
      <c r="BIW241" s="26"/>
      <c r="BJA241" s="23"/>
      <c r="BJF241" s="26"/>
      <c r="BJJ241" s="23"/>
      <c r="BJO241" s="26"/>
      <c r="BJS241" s="23"/>
      <c r="BJX241" s="26"/>
      <c r="BKB241" s="23"/>
      <c r="BKG241" s="26"/>
      <c r="BKK241" s="23"/>
      <c r="BKP241" s="26"/>
      <c r="BKT241" s="23"/>
      <c r="BKY241" s="26"/>
      <c r="BLC241" s="23"/>
      <c r="BLH241" s="26"/>
      <c r="BLL241" s="23"/>
      <c r="BLQ241" s="26"/>
      <c r="BLU241" s="23"/>
      <c r="BLZ241" s="26"/>
      <c r="BMD241" s="23"/>
      <c r="BMI241" s="26"/>
      <c r="BMM241" s="23"/>
      <c r="BMR241" s="26"/>
      <c r="BMV241" s="23"/>
      <c r="BNA241" s="26"/>
      <c r="BNE241" s="23"/>
      <c r="BNJ241" s="26"/>
      <c r="BNN241" s="23"/>
      <c r="BNS241" s="26"/>
      <c r="BNW241" s="23"/>
      <c r="BOB241" s="26"/>
      <c r="BOF241" s="23"/>
      <c r="BOK241" s="26"/>
      <c r="BOO241" s="23"/>
      <c r="BOT241" s="26"/>
      <c r="BOX241" s="23"/>
      <c r="BPC241" s="26"/>
      <c r="BPG241" s="23"/>
      <c r="BPL241" s="26"/>
      <c r="BPP241" s="23"/>
      <c r="BPU241" s="26"/>
      <c r="BPY241" s="23"/>
      <c r="BQD241" s="26"/>
      <c r="BQH241" s="23"/>
      <c r="BQM241" s="26"/>
      <c r="BQQ241" s="23"/>
      <c r="BQV241" s="26"/>
      <c r="BQZ241" s="23"/>
      <c r="BRE241" s="26"/>
      <c r="BRI241" s="23"/>
      <c r="BRN241" s="26"/>
      <c r="BRR241" s="23"/>
      <c r="BRW241" s="26"/>
      <c r="BSA241" s="23"/>
      <c r="BSF241" s="26"/>
      <c r="BSJ241" s="23"/>
      <c r="BSO241" s="26"/>
      <c r="BSS241" s="23"/>
      <c r="BSX241" s="26"/>
      <c r="BTB241" s="23"/>
      <c r="BTG241" s="26"/>
      <c r="BTK241" s="23"/>
      <c r="BTP241" s="26"/>
      <c r="BTT241" s="23"/>
      <c r="BTY241" s="26"/>
      <c r="BUC241" s="23"/>
      <c r="BUH241" s="26"/>
      <c r="BUL241" s="23"/>
      <c r="BUQ241" s="26"/>
      <c r="BUU241" s="23"/>
      <c r="BUZ241" s="26"/>
      <c r="BVD241" s="23"/>
      <c r="BVI241" s="26"/>
      <c r="BVM241" s="23"/>
      <c r="BVR241" s="26"/>
      <c r="BVV241" s="23"/>
      <c r="BWA241" s="26"/>
      <c r="BWE241" s="23"/>
      <c r="BWJ241" s="26"/>
      <c r="BWN241" s="23"/>
      <c r="BWS241" s="26"/>
      <c r="BWW241" s="23"/>
      <c r="BXB241" s="26"/>
      <c r="BXF241" s="23"/>
      <c r="BXK241" s="26"/>
      <c r="BXO241" s="23"/>
      <c r="BXT241" s="26"/>
      <c r="BXX241" s="23"/>
      <c r="BYC241" s="26"/>
      <c r="BYG241" s="23"/>
      <c r="BYL241" s="26"/>
      <c r="BYP241" s="23"/>
      <c r="BYU241" s="26"/>
      <c r="BYY241" s="23"/>
      <c r="BZD241" s="26"/>
      <c r="BZH241" s="23"/>
      <c r="BZM241" s="26"/>
      <c r="BZQ241" s="23"/>
      <c r="BZV241" s="26"/>
      <c r="BZZ241" s="23"/>
      <c r="CAE241" s="26"/>
      <c r="CAI241" s="23"/>
      <c r="CAN241" s="26"/>
      <c r="CAR241" s="23"/>
      <c r="CAW241" s="26"/>
      <c r="CBA241" s="23"/>
      <c r="CBF241" s="26"/>
      <c r="CBJ241" s="23"/>
      <c r="CBO241" s="26"/>
      <c r="CBS241" s="23"/>
      <c r="CBX241" s="26"/>
      <c r="CCB241" s="23"/>
      <c r="CCG241" s="26"/>
      <c r="CCK241" s="23"/>
      <c r="CCP241" s="26"/>
      <c r="CCT241" s="23"/>
      <c r="CCY241" s="26"/>
      <c r="CDC241" s="23"/>
      <c r="CDH241" s="26"/>
      <c r="CDL241" s="23"/>
      <c r="CDQ241" s="26"/>
      <c r="CDU241" s="23"/>
      <c r="CDZ241" s="26"/>
      <c r="CED241" s="23"/>
      <c r="CEI241" s="26"/>
      <c r="CEM241" s="23"/>
      <c r="CER241" s="26"/>
      <c r="CEV241" s="23"/>
      <c r="CFA241" s="26"/>
      <c r="CFE241" s="23"/>
      <c r="CFJ241" s="26"/>
      <c r="CFN241" s="23"/>
      <c r="CFS241" s="26"/>
      <c r="CFW241" s="23"/>
      <c r="CGB241" s="26"/>
      <c r="CGF241" s="23"/>
      <c r="CGK241" s="26"/>
      <c r="CGO241" s="23"/>
      <c r="CGT241" s="26"/>
      <c r="CGX241" s="23"/>
      <c r="CHC241" s="26"/>
      <c r="CHG241" s="23"/>
      <c r="CHL241" s="26"/>
      <c r="CHP241" s="23"/>
      <c r="CHU241" s="26"/>
      <c r="CHY241" s="23"/>
      <c r="CID241" s="26"/>
      <c r="CIH241" s="23"/>
      <c r="CIM241" s="26"/>
      <c r="CIQ241" s="23"/>
      <c r="CIV241" s="26"/>
      <c r="CIZ241" s="23"/>
      <c r="CJE241" s="26"/>
      <c r="CJI241" s="23"/>
      <c r="CJN241" s="26"/>
      <c r="CJR241" s="23"/>
      <c r="CJW241" s="26"/>
      <c r="CKA241" s="23"/>
      <c r="CKF241" s="26"/>
      <c r="CKJ241" s="23"/>
      <c r="CKO241" s="26"/>
      <c r="CKS241" s="23"/>
      <c r="CKX241" s="26"/>
      <c r="CLB241" s="23"/>
      <c r="CLG241" s="26"/>
      <c r="CLK241" s="23"/>
      <c r="CLP241" s="26"/>
      <c r="CLT241" s="23"/>
      <c r="CLY241" s="26"/>
      <c r="CMC241" s="23"/>
      <c r="CMH241" s="26"/>
      <c r="CML241" s="23"/>
      <c r="CMQ241" s="26"/>
      <c r="CMU241" s="23"/>
      <c r="CMZ241" s="26"/>
      <c r="CND241" s="23"/>
      <c r="CNI241" s="26"/>
      <c r="CNM241" s="23"/>
      <c r="CNR241" s="26"/>
      <c r="CNV241" s="23"/>
      <c r="COA241" s="26"/>
      <c r="COE241" s="23"/>
      <c r="COJ241" s="26"/>
      <c r="CON241" s="23"/>
      <c r="COS241" s="26"/>
      <c r="COW241" s="23"/>
      <c r="CPB241" s="26"/>
      <c r="CPF241" s="23"/>
      <c r="CPK241" s="26"/>
      <c r="CPO241" s="23"/>
      <c r="CPT241" s="26"/>
      <c r="CPX241" s="23"/>
      <c r="CQC241" s="26"/>
      <c r="CQG241" s="23"/>
      <c r="CQL241" s="26"/>
      <c r="CQP241" s="23"/>
      <c r="CQU241" s="26"/>
      <c r="CQY241" s="23"/>
      <c r="CRD241" s="26"/>
      <c r="CRH241" s="23"/>
      <c r="CRM241" s="26"/>
      <c r="CRQ241" s="23"/>
      <c r="CRV241" s="26"/>
      <c r="CRZ241" s="23"/>
      <c r="CSE241" s="26"/>
      <c r="CSI241" s="23"/>
      <c r="CSN241" s="26"/>
      <c r="CSR241" s="23"/>
      <c r="CSW241" s="26"/>
      <c r="CTA241" s="23"/>
      <c r="CTF241" s="26"/>
      <c r="CTJ241" s="23"/>
      <c r="CTO241" s="26"/>
      <c r="CTS241" s="23"/>
      <c r="CTX241" s="26"/>
      <c r="CUB241" s="23"/>
      <c r="CUG241" s="26"/>
      <c r="CUK241" s="23"/>
      <c r="CUP241" s="26"/>
      <c r="CUT241" s="23"/>
      <c r="CUY241" s="26"/>
      <c r="CVC241" s="23"/>
      <c r="CVH241" s="26"/>
      <c r="CVL241" s="23"/>
      <c r="CVQ241" s="26"/>
      <c r="CVU241" s="23"/>
      <c r="CVZ241" s="26"/>
      <c r="CWD241" s="23"/>
      <c r="CWI241" s="26"/>
      <c r="CWM241" s="23"/>
      <c r="CWR241" s="26"/>
      <c r="CWV241" s="23"/>
      <c r="CXA241" s="26"/>
      <c r="CXE241" s="23"/>
      <c r="CXJ241" s="26"/>
      <c r="CXN241" s="23"/>
      <c r="CXS241" s="26"/>
      <c r="CXW241" s="23"/>
      <c r="CYB241" s="26"/>
      <c r="CYF241" s="23"/>
      <c r="CYK241" s="26"/>
      <c r="CYO241" s="23"/>
      <c r="CYT241" s="26"/>
      <c r="CYX241" s="23"/>
      <c r="CZC241" s="26"/>
      <c r="CZG241" s="23"/>
      <c r="CZL241" s="26"/>
      <c r="CZP241" s="23"/>
      <c r="CZU241" s="26"/>
      <c r="CZY241" s="23"/>
      <c r="DAD241" s="26"/>
      <c r="DAH241" s="23"/>
      <c r="DAM241" s="26"/>
      <c r="DAQ241" s="23"/>
      <c r="DAV241" s="26"/>
      <c r="DAZ241" s="23"/>
      <c r="DBE241" s="26"/>
      <c r="DBI241" s="23"/>
      <c r="DBN241" s="26"/>
      <c r="DBR241" s="23"/>
      <c r="DBW241" s="26"/>
      <c r="DCA241" s="23"/>
      <c r="DCF241" s="26"/>
      <c r="DCJ241" s="23"/>
      <c r="DCO241" s="26"/>
      <c r="DCS241" s="23"/>
      <c r="DCX241" s="26"/>
      <c r="DDB241" s="23"/>
      <c r="DDG241" s="26"/>
      <c r="DDK241" s="23"/>
      <c r="DDP241" s="26"/>
      <c r="DDT241" s="23"/>
      <c r="DDY241" s="26"/>
      <c r="DEC241" s="23"/>
      <c r="DEH241" s="26"/>
      <c r="DEL241" s="23"/>
      <c r="DEQ241" s="26"/>
      <c r="DEU241" s="23"/>
      <c r="DEZ241" s="26"/>
      <c r="DFD241" s="23"/>
      <c r="DFI241" s="26"/>
      <c r="DFM241" s="23"/>
      <c r="DFR241" s="26"/>
      <c r="DFV241" s="23"/>
      <c r="DGA241" s="26"/>
      <c r="DGE241" s="23"/>
      <c r="DGJ241" s="26"/>
      <c r="DGN241" s="23"/>
      <c r="DGS241" s="26"/>
      <c r="DGW241" s="23"/>
      <c r="DHB241" s="26"/>
      <c r="DHF241" s="23"/>
      <c r="DHK241" s="26"/>
      <c r="DHO241" s="23"/>
      <c r="DHT241" s="26"/>
      <c r="DHX241" s="23"/>
      <c r="DIC241" s="26"/>
      <c r="DIG241" s="23"/>
      <c r="DIL241" s="26"/>
      <c r="DIP241" s="23"/>
      <c r="DIU241" s="26"/>
      <c r="DIY241" s="23"/>
      <c r="DJD241" s="26"/>
      <c r="DJH241" s="23"/>
      <c r="DJM241" s="26"/>
      <c r="DJQ241" s="23"/>
      <c r="DJV241" s="26"/>
      <c r="DJZ241" s="23"/>
      <c r="DKE241" s="26"/>
      <c r="DKI241" s="23"/>
      <c r="DKN241" s="26"/>
      <c r="DKR241" s="23"/>
      <c r="DKW241" s="26"/>
      <c r="DLA241" s="23"/>
      <c r="DLF241" s="26"/>
      <c r="DLJ241" s="23"/>
      <c r="DLO241" s="26"/>
      <c r="DLS241" s="23"/>
      <c r="DLX241" s="26"/>
      <c r="DMB241" s="23"/>
      <c r="DMG241" s="26"/>
      <c r="DMK241" s="23"/>
      <c r="DMP241" s="26"/>
      <c r="DMT241" s="23"/>
      <c r="DMY241" s="26"/>
      <c r="DNC241" s="23"/>
      <c r="DNH241" s="26"/>
      <c r="DNL241" s="23"/>
      <c r="DNQ241" s="26"/>
      <c r="DNU241" s="23"/>
      <c r="DNZ241" s="26"/>
      <c r="DOD241" s="23"/>
      <c r="DOI241" s="26"/>
      <c r="DOM241" s="23"/>
      <c r="DOR241" s="26"/>
      <c r="DOV241" s="23"/>
      <c r="DPA241" s="26"/>
      <c r="DPE241" s="23"/>
      <c r="DPJ241" s="26"/>
      <c r="DPN241" s="23"/>
      <c r="DPS241" s="26"/>
      <c r="DPW241" s="23"/>
      <c r="DQB241" s="26"/>
      <c r="DQF241" s="23"/>
      <c r="DQK241" s="26"/>
      <c r="DQO241" s="23"/>
      <c r="DQT241" s="26"/>
      <c r="DQX241" s="23"/>
      <c r="DRC241" s="26"/>
      <c r="DRG241" s="23"/>
      <c r="DRL241" s="26"/>
      <c r="DRP241" s="23"/>
      <c r="DRU241" s="26"/>
      <c r="DRY241" s="23"/>
      <c r="DSD241" s="26"/>
      <c r="DSH241" s="23"/>
      <c r="DSM241" s="26"/>
      <c r="DSQ241" s="23"/>
      <c r="DSV241" s="26"/>
      <c r="DSZ241" s="23"/>
      <c r="DTE241" s="26"/>
      <c r="DTI241" s="23"/>
      <c r="DTN241" s="26"/>
      <c r="DTR241" s="23"/>
      <c r="DTW241" s="26"/>
      <c r="DUA241" s="23"/>
      <c r="DUF241" s="26"/>
      <c r="DUJ241" s="23"/>
      <c r="DUO241" s="26"/>
      <c r="DUS241" s="23"/>
      <c r="DUX241" s="26"/>
      <c r="DVB241" s="23"/>
      <c r="DVG241" s="26"/>
      <c r="DVK241" s="23"/>
      <c r="DVP241" s="26"/>
      <c r="DVT241" s="23"/>
      <c r="DVY241" s="26"/>
      <c r="DWC241" s="23"/>
      <c r="DWH241" s="26"/>
      <c r="DWL241" s="23"/>
      <c r="DWQ241" s="26"/>
      <c r="DWU241" s="23"/>
      <c r="DWZ241" s="26"/>
      <c r="DXD241" s="23"/>
      <c r="DXI241" s="26"/>
      <c r="DXM241" s="23"/>
      <c r="DXR241" s="26"/>
      <c r="DXV241" s="23"/>
      <c r="DYA241" s="26"/>
      <c r="DYE241" s="23"/>
      <c r="DYJ241" s="26"/>
      <c r="DYN241" s="23"/>
      <c r="DYS241" s="26"/>
      <c r="DYW241" s="23"/>
      <c r="DZB241" s="26"/>
      <c r="DZF241" s="23"/>
      <c r="DZK241" s="26"/>
      <c r="DZO241" s="23"/>
      <c r="DZT241" s="26"/>
      <c r="DZX241" s="23"/>
      <c r="EAC241" s="26"/>
      <c r="EAG241" s="23"/>
      <c r="EAL241" s="26"/>
      <c r="EAP241" s="23"/>
      <c r="EAU241" s="26"/>
      <c r="EAY241" s="23"/>
      <c r="EBD241" s="26"/>
      <c r="EBH241" s="23"/>
      <c r="EBM241" s="26"/>
      <c r="EBQ241" s="23"/>
      <c r="EBV241" s="26"/>
      <c r="EBZ241" s="23"/>
      <c r="ECE241" s="26"/>
      <c r="ECI241" s="23"/>
      <c r="ECN241" s="26"/>
      <c r="ECR241" s="23"/>
      <c r="ECW241" s="26"/>
      <c r="EDA241" s="23"/>
      <c r="EDF241" s="26"/>
      <c r="EDJ241" s="23"/>
      <c r="EDO241" s="26"/>
      <c r="EDS241" s="23"/>
      <c r="EDX241" s="26"/>
      <c r="EEB241" s="23"/>
      <c r="EEG241" s="26"/>
      <c r="EEK241" s="23"/>
      <c r="EEP241" s="26"/>
      <c r="EET241" s="23"/>
      <c r="EEY241" s="26"/>
      <c r="EFC241" s="23"/>
      <c r="EFH241" s="26"/>
      <c r="EFL241" s="23"/>
      <c r="EFQ241" s="26"/>
      <c r="EFU241" s="23"/>
      <c r="EFZ241" s="26"/>
      <c r="EGD241" s="23"/>
      <c r="EGI241" s="26"/>
      <c r="EGM241" s="23"/>
      <c r="EGR241" s="26"/>
      <c r="EGV241" s="23"/>
      <c r="EHA241" s="26"/>
      <c r="EHE241" s="23"/>
      <c r="EHJ241" s="26"/>
      <c r="EHN241" s="23"/>
      <c r="EHS241" s="26"/>
      <c r="EHW241" s="23"/>
      <c r="EIB241" s="26"/>
      <c r="EIF241" s="23"/>
      <c r="EIK241" s="26"/>
      <c r="EIO241" s="23"/>
      <c r="EIT241" s="26"/>
      <c r="EIX241" s="23"/>
      <c r="EJC241" s="26"/>
      <c r="EJG241" s="23"/>
      <c r="EJL241" s="26"/>
      <c r="EJP241" s="23"/>
      <c r="EJU241" s="26"/>
      <c r="EJY241" s="23"/>
      <c r="EKD241" s="26"/>
      <c r="EKH241" s="23"/>
      <c r="EKM241" s="26"/>
      <c r="EKQ241" s="23"/>
      <c r="EKV241" s="26"/>
      <c r="EKZ241" s="23"/>
      <c r="ELE241" s="26"/>
      <c r="ELI241" s="23"/>
      <c r="ELN241" s="26"/>
      <c r="ELR241" s="23"/>
      <c r="ELW241" s="26"/>
      <c r="EMA241" s="23"/>
      <c r="EMF241" s="26"/>
      <c r="EMJ241" s="23"/>
      <c r="EMO241" s="26"/>
      <c r="EMS241" s="23"/>
      <c r="EMX241" s="26"/>
      <c r="ENB241" s="23"/>
      <c r="ENG241" s="26"/>
      <c r="ENK241" s="23"/>
      <c r="ENP241" s="26"/>
      <c r="ENT241" s="23"/>
      <c r="ENY241" s="26"/>
      <c r="EOC241" s="23"/>
      <c r="EOH241" s="26"/>
      <c r="EOL241" s="23"/>
      <c r="EOQ241" s="26"/>
      <c r="EOU241" s="23"/>
      <c r="EOZ241" s="26"/>
      <c r="EPD241" s="23"/>
      <c r="EPI241" s="26"/>
      <c r="EPM241" s="23"/>
      <c r="EPR241" s="26"/>
      <c r="EPV241" s="23"/>
      <c r="EQA241" s="26"/>
      <c r="EQE241" s="23"/>
      <c r="EQJ241" s="26"/>
      <c r="EQN241" s="23"/>
      <c r="EQS241" s="26"/>
      <c r="EQW241" s="23"/>
      <c r="ERB241" s="26"/>
      <c r="ERF241" s="23"/>
      <c r="ERK241" s="26"/>
      <c r="ERO241" s="23"/>
      <c r="ERT241" s="26"/>
      <c r="ERX241" s="23"/>
      <c r="ESC241" s="26"/>
      <c r="ESG241" s="23"/>
      <c r="ESL241" s="26"/>
      <c r="ESP241" s="23"/>
      <c r="ESU241" s="26"/>
      <c r="ESY241" s="23"/>
      <c r="ETD241" s="26"/>
      <c r="ETH241" s="23"/>
      <c r="ETM241" s="26"/>
      <c r="ETQ241" s="23"/>
      <c r="ETV241" s="26"/>
      <c r="ETZ241" s="23"/>
      <c r="EUE241" s="26"/>
      <c r="EUI241" s="23"/>
      <c r="EUN241" s="26"/>
      <c r="EUR241" s="23"/>
      <c r="EUW241" s="26"/>
      <c r="EVA241" s="23"/>
      <c r="EVF241" s="26"/>
      <c r="EVJ241" s="23"/>
      <c r="EVO241" s="26"/>
      <c r="EVS241" s="23"/>
      <c r="EVX241" s="26"/>
      <c r="EWB241" s="23"/>
      <c r="EWG241" s="26"/>
      <c r="EWK241" s="23"/>
      <c r="EWP241" s="26"/>
      <c r="EWT241" s="23"/>
      <c r="EWY241" s="26"/>
      <c r="EXC241" s="23"/>
      <c r="EXH241" s="26"/>
      <c r="EXL241" s="23"/>
      <c r="EXQ241" s="26"/>
      <c r="EXU241" s="23"/>
      <c r="EXZ241" s="26"/>
      <c r="EYD241" s="23"/>
      <c r="EYI241" s="26"/>
      <c r="EYM241" s="23"/>
      <c r="EYR241" s="26"/>
      <c r="EYV241" s="23"/>
      <c r="EZA241" s="26"/>
      <c r="EZE241" s="23"/>
      <c r="EZJ241" s="26"/>
      <c r="EZN241" s="23"/>
      <c r="EZS241" s="26"/>
      <c r="EZW241" s="23"/>
      <c r="FAB241" s="26"/>
      <c r="FAF241" s="23"/>
      <c r="FAK241" s="26"/>
      <c r="FAO241" s="23"/>
      <c r="FAT241" s="26"/>
      <c r="FAX241" s="23"/>
      <c r="FBC241" s="26"/>
      <c r="FBG241" s="23"/>
      <c r="FBL241" s="26"/>
      <c r="FBP241" s="23"/>
      <c r="FBU241" s="26"/>
      <c r="FBY241" s="23"/>
      <c r="FCD241" s="26"/>
      <c r="FCH241" s="23"/>
      <c r="FCM241" s="26"/>
      <c r="FCQ241" s="23"/>
      <c r="FCV241" s="26"/>
      <c r="FCZ241" s="23"/>
      <c r="FDE241" s="26"/>
      <c r="FDI241" s="23"/>
      <c r="FDN241" s="26"/>
      <c r="FDR241" s="23"/>
      <c r="FDW241" s="26"/>
      <c r="FEA241" s="23"/>
      <c r="FEF241" s="26"/>
      <c r="FEJ241" s="23"/>
      <c r="FEO241" s="26"/>
      <c r="FES241" s="23"/>
      <c r="FEX241" s="26"/>
      <c r="FFB241" s="23"/>
      <c r="FFG241" s="26"/>
      <c r="FFK241" s="23"/>
      <c r="FFP241" s="26"/>
      <c r="FFT241" s="23"/>
      <c r="FFY241" s="26"/>
      <c r="FGC241" s="23"/>
      <c r="FGH241" s="26"/>
      <c r="FGL241" s="23"/>
      <c r="FGQ241" s="26"/>
      <c r="FGU241" s="23"/>
      <c r="FGZ241" s="26"/>
      <c r="FHD241" s="23"/>
      <c r="FHI241" s="26"/>
      <c r="FHM241" s="23"/>
      <c r="FHR241" s="26"/>
      <c r="FHV241" s="23"/>
      <c r="FIA241" s="26"/>
      <c r="FIE241" s="23"/>
      <c r="FIJ241" s="26"/>
      <c r="FIN241" s="23"/>
      <c r="FIS241" s="26"/>
      <c r="FIW241" s="23"/>
      <c r="FJB241" s="26"/>
      <c r="FJF241" s="23"/>
      <c r="FJK241" s="26"/>
      <c r="FJO241" s="23"/>
      <c r="FJT241" s="26"/>
      <c r="FJX241" s="23"/>
      <c r="FKC241" s="26"/>
      <c r="FKG241" s="23"/>
      <c r="FKL241" s="26"/>
      <c r="FKP241" s="23"/>
      <c r="FKU241" s="26"/>
      <c r="FKY241" s="23"/>
      <c r="FLD241" s="26"/>
      <c r="FLH241" s="23"/>
      <c r="FLM241" s="26"/>
      <c r="FLQ241" s="23"/>
      <c r="FLV241" s="26"/>
      <c r="FLZ241" s="23"/>
      <c r="FME241" s="26"/>
      <c r="FMI241" s="23"/>
      <c r="FMN241" s="26"/>
      <c r="FMR241" s="23"/>
      <c r="FMW241" s="26"/>
      <c r="FNA241" s="23"/>
      <c r="FNF241" s="26"/>
      <c r="FNJ241" s="23"/>
      <c r="FNO241" s="26"/>
      <c r="FNS241" s="23"/>
      <c r="FNX241" s="26"/>
      <c r="FOB241" s="23"/>
      <c r="FOG241" s="26"/>
      <c r="FOK241" s="23"/>
      <c r="FOP241" s="26"/>
      <c r="FOT241" s="23"/>
      <c r="FOY241" s="26"/>
      <c r="FPC241" s="23"/>
      <c r="FPH241" s="26"/>
      <c r="FPL241" s="23"/>
      <c r="FPQ241" s="26"/>
      <c r="FPU241" s="23"/>
      <c r="FPZ241" s="26"/>
      <c r="FQD241" s="23"/>
      <c r="FQI241" s="26"/>
      <c r="FQM241" s="23"/>
      <c r="FQR241" s="26"/>
      <c r="FQV241" s="23"/>
      <c r="FRA241" s="26"/>
      <c r="FRE241" s="23"/>
      <c r="FRJ241" s="26"/>
      <c r="FRN241" s="23"/>
      <c r="FRS241" s="26"/>
      <c r="FRW241" s="23"/>
      <c r="FSB241" s="26"/>
      <c r="FSF241" s="23"/>
      <c r="FSK241" s="26"/>
      <c r="FSO241" s="23"/>
      <c r="FST241" s="26"/>
      <c r="FSX241" s="23"/>
      <c r="FTC241" s="26"/>
      <c r="FTG241" s="23"/>
      <c r="FTL241" s="26"/>
      <c r="FTP241" s="23"/>
      <c r="FTU241" s="26"/>
      <c r="FTY241" s="23"/>
      <c r="FUD241" s="26"/>
      <c r="FUH241" s="23"/>
      <c r="FUM241" s="26"/>
      <c r="FUQ241" s="23"/>
      <c r="FUV241" s="26"/>
      <c r="FUZ241" s="23"/>
      <c r="FVE241" s="26"/>
      <c r="FVI241" s="23"/>
      <c r="FVN241" s="26"/>
      <c r="FVR241" s="23"/>
      <c r="FVW241" s="26"/>
      <c r="FWA241" s="23"/>
      <c r="FWF241" s="26"/>
      <c r="FWJ241" s="23"/>
      <c r="FWO241" s="26"/>
      <c r="FWS241" s="23"/>
      <c r="FWX241" s="26"/>
      <c r="FXB241" s="23"/>
      <c r="FXG241" s="26"/>
      <c r="FXK241" s="23"/>
      <c r="FXP241" s="26"/>
      <c r="FXT241" s="23"/>
      <c r="FXY241" s="26"/>
      <c r="FYC241" s="23"/>
      <c r="FYH241" s="26"/>
      <c r="FYL241" s="23"/>
      <c r="FYQ241" s="26"/>
      <c r="FYU241" s="23"/>
      <c r="FYZ241" s="26"/>
      <c r="FZD241" s="23"/>
      <c r="FZI241" s="26"/>
      <c r="FZM241" s="23"/>
      <c r="FZR241" s="26"/>
      <c r="FZV241" s="23"/>
      <c r="GAA241" s="26"/>
      <c r="GAE241" s="23"/>
      <c r="GAJ241" s="26"/>
      <c r="GAN241" s="23"/>
      <c r="GAS241" s="26"/>
      <c r="GAW241" s="23"/>
      <c r="GBB241" s="26"/>
      <c r="GBF241" s="23"/>
      <c r="GBK241" s="26"/>
      <c r="GBO241" s="23"/>
      <c r="GBT241" s="26"/>
      <c r="GBX241" s="23"/>
      <c r="GCC241" s="26"/>
      <c r="GCG241" s="23"/>
      <c r="GCL241" s="26"/>
      <c r="GCP241" s="23"/>
      <c r="GCU241" s="26"/>
      <c r="GCY241" s="23"/>
      <c r="GDD241" s="26"/>
      <c r="GDH241" s="23"/>
      <c r="GDM241" s="26"/>
      <c r="GDQ241" s="23"/>
      <c r="GDV241" s="26"/>
      <c r="GDZ241" s="23"/>
      <c r="GEE241" s="26"/>
      <c r="GEI241" s="23"/>
      <c r="GEN241" s="26"/>
      <c r="GER241" s="23"/>
      <c r="GEW241" s="26"/>
      <c r="GFA241" s="23"/>
      <c r="GFF241" s="26"/>
      <c r="GFJ241" s="23"/>
      <c r="GFO241" s="26"/>
      <c r="GFS241" s="23"/>
      <c r="GFX241" s="26"/>
      <c r="GGB241" s="23"/>
      <c r="GGG241" s="26"/>
      <c r="GGK241" s="23"/>
      <c r="GGP241" s="26"/>
      <c r="GGT241" s="23"/>
      <c r="GGY241" s="26"/>
      <c r="GHC241" s="23"/>
      <c r="GHH241" s="26"/>
      <c r="GHL241" s="23"/>
      <c r="GHQ241" s="26"/>
      <c r="GHU241" s="23"/>
      <c r="GHZ241" s="26"/>
      <c r="GID241" s="23"/>
      <c r="GII241" s="26"/>
      <c r="GIM241" s="23"/>
      <c r="GIR241" s="26"/>
      <c r="GIV241" s="23"/>
      <c r="GJA241" s="26"/>
      <c r="GJE241" s="23"/>
      <c r="GJJ241" s="26"/>
      <c r="GJN241" s="23"/>
      <c r="GJS241" s="26"/>
      <c r="GJW241" s="23"/>
      <c r="GKB241" s="26"/>
      <c r="GKF241" s="23"/>
      <c r="GKK241" s="26"/>
      <c r="GKO241" s="23"/>
      <c r="GKT241" s="26"/>
      <c r="GKX241" s="23"/>
      <c r="GLC241" s="26"/>
      <c r="GLG241" s="23"/>
      <c r="GLL241" s="26"/>
      <c r="GLP241" s="23"/>
      <c r="GLU241" s="26"/>
      <c r="GLY241" s="23"/>
      <c r="GMD241" s="26"/>
      <c r="GMH241" s="23"/>
      <c r="GMM241" s="26"/>
      <c r="GMQ241" s="23"/>
      <c r="GMV241" s="26"/>
      <c r="GMZ241" s="23"/>
      <c r="GNE241" s="26"/>
      <c r="GNI241" s="23"/>
      <c r="GNN241" s="26"/>
      <c r="GNR241" s="23"/>
      <c r="GNW241" s="26"/>
      <c r="GOA241" s="23"/>
      <c r="GOF241" s="26"/>
      <c r="GOJ241" s="23"/>
      <c r="GOO241" s="26"/>
      <c r="GOS241" s="23"/>
      <c r="GOX241" s="26"/>
      <c r="GPB241" s="23"/>
      <c r="GPG241" s="26"/>
      <c r="GPK241" s="23"/>
      <c r="GPP241" s="26"/>
      <c r="GPT241" s="23"/>
      <c r="GPY241" s="26"/>
      <c r="GQC241" s="23"/>
      <c r="GQH241" s="26"/>
      <c r="GQL241" s="23"/>
      <c r="GQQ241" s="26"/>
      <c r="GQU241" s="23"/>
      <c r="GQZ241" s="26"/>
      <c r="GRD241" s="23"/>
      <c r="GRI241" s="26"/>
      <c r="GRM241" s="23"/>
      <c r="GRR241" s="26"/>
      <c r="GRV241" s="23"/>
      <c r="GSA241" s="26"/>
      <c r="GSE241" s="23"/>
      <c r="GSJ241" s="26"/>
      <c r="GSN241" s="23"/>
      <c r="GSS241" s="26"/>
      <c r="GSW241" s="23"/>
      <c r="GTB241" s="26"/>
      <c r="GTF241" s="23"/>
      <c r="GTK241" s="26"/>
      <c r="GTO241" s="23"/>
      <c r="GTT241" s="26"/>
      <c r="GTX241" s="23"/>
      <c r="GUC241" s="26"/>
      <c r="GUG241" s="23"/>
      <c r="GUL241" s="26"/>
      <c r="GUP241" s="23"/>
      <c r="GUU241" s="26"/>
      <c r="GUY241" s="23"/>
      <c r="GVD241" s="26"/>
      <c r="GVH241" s="23"/>
      <c r="GVM241" s="26"/>
      <c r="GVQ241" s="23"/>
      <c r="GVV241" s="26"/>
      <c r="GVZ241" s="23"/>
      <c r="GWE241" s="26"/>
      <c r="GWI241" s="23"/>
      <c r="GWN241" s="26"/>
      <c r="GWR241" s="23"/>
      <c r="GWW241" s="26"/>
      <c r="GXA241" s="23"/>
      <c r="GXF241" s="26"/>
      <c r="GXJ241" s="23"/>
      <c r="GXO241" s="26"/>
      <c r="GXS241" s="23"/>
      <c r="GXX241" s="26"/>
      <c r="GYB241" s="23"/>
      <c r="GYG241" s="26"/>
      <c r="GYK241" s="23"/>
      <c r="GYP241" s="26"/>
      <c r="GYT241" s="23"/>
      <c r="GYY241" s="26"/>
      <c r="GZC241" s="23"/>
      <c r="GZH241" s="26"/>
      <c r="GZL241" s="23"/>
      <c r="GZQ241" s="26"/>
      <c r="GZU241" s="23"/>
      <c r="GZZ241" s="26"/>
      <c r="HAD241" s="23"/>
      <c r="HAI241" s="26"/>
      <c r="HAM241" s="23"/>
      <c r="HAR241" s="26"/>
      <c r="HAV241" s="23"/>
      <c r="HBA241" s="26"/>
      <c r="HBE241" s="23"/>
      <c r="HBJ241" s="26"/>
      <c r="HBN241" s="23"/>
      <c r="HBS241" s="26"/>
      <c r="HBW241" s="23"/>
      <c r="HCB241" s="26"/>
      <c r="HCF241" s="23"/>
      <c r="HCK241" s="26"/>
      <c r="HCO241" s="23"/>
      <c r="HCT241" s="26"/>
      <c r="HCX241" s="23"/>
      <c r="HDC241" s="26"/>
      <c r="HDG241" s="23"/>
      <c r="HDL241" s="26"/>
      <c r="HDP241" s="23"/>
      <c r="HDU241" s="26"/>
      <c r="HDY241" s="23"/>
      <c r="HED241" s="26"/>
      <c r="HEH241" s="23"/>
      <c r="HEM241" s="26"/>
      <c r="HEQ241" s="23"/>
      <c r="HEV241" s="26"/>
      <c r="HEZ241" s="23"/>
      <c r="HFE241" s="26"/>
      <c r="HFI241" s="23"/>
      <c r="HFN241" s="26"/>
      <c r="HFR241" s="23"/>
      <c r="HFW241" s="26"/>
      <c r="HGA241" s="23"/>
      <c r="HGF241" s="26"/>
      <c r="HGJ241" s="23"/>
      <c r="HGO241" s="26"/>
      <c r="HGS241" s="23"/>
      <c r="HGX241" s="26"/>
      <c r="HHB241" s="23"/>
      <c r="HHG241" s="26"/>
      <c r="HHK241" s="23"/>
      <c r="HHP241" s="26"/>
      <c r="HHT241" s="23"/>
      <c r="HHY241" s="26"/>
      <c r="HIC241" s="23"/>
      <c r="HIH241" s="26"/>
      <c r="HIL241" s="23"/>
      <c r="HIQ241" s="26"/>
      <c r="HIU241" s="23"/>
      <c r="HIZ241" s="26"/>
      <c r="HJD241" s="23"/>
      <c r="HJI241" s="26"/>
      <c r="HJM241" s="23"/>
      <c r="HJR241" s="26"/>
      <c r="HJV241" s="23"/>
      <c r="HKA241" s="26"/>
      <c r="HKE241" s="23"/>
      <c r="HKJ241" s="26"/>
      <c r="HKN241" s="23"/>
      <c r="HKS241" s="26"/>
      <c r="HKW241" s="23"/>
      <c r="HLB241" s="26"/>
      <c r="HLF241" s="23"/>
      <c r="HLK241" s="26"/>
      <c r="HLO241" s="23"/>
      <c r="HLT241" s="26"/>
      <c r="HLX241" s="23"/>
      <c r="HMC241" s="26"/>
      <c r="HMG241" s="23"/>
      <c r="HML241" s="26"/>
      <c r="HMP241" s="23"/>
      <c r="HMU241" s="26"/>
      <c r="HMY241" s="23"/>
      <c r="HND241" s="26"/>
      <c r="HNH241" s="23"/>
      <c r="HNM241" s="26"/>
      <c r="HNQ241" s="23"/>
      <c r="HNV241" s="26"/>
      <c r="HNZ241" s="23"/>
      <c r="HOE241" s="26"/>
      <c r="HOI241" s="23"/>
      <c r="HON241" s="26"/>
      <c r="HOR241" s="23"/>
      <c r="HOW241" s="26"/>
      <c r="HPA241" s="23"/>
      <c r="HPF241" s="26"/>
      <c r="HPJ241" s="23"/>
      <c r="HPO241" s="26"/>
      <c r="HPS241" s="23"/>
      <c r="HPX241" s="26"/>
      <c r="HQB241" s="23"/>
      <c r="HQG241" s="26"/>
      <c r="HQK241" s="23"/>
      <c r="HQP241" s="26"/>
      <c r="HQT241" s="23"/>
      <c r="HQY241" s="26"/>
      <c r="HRC241" s="23"/>
      <c r="HRH241" s="26"/>
      <c r="HRL241" s="23"/>
      <c r="HRQ241" s="26"/>
      <c r="HRU241" s="23"/>
      <c r="HRZ241" s="26"/>
      <c r="HSD241" s="23"/>
      <c r="HSI241" s="26"/>
      <c r="HSM241" s="23"/>
      <c r="HSR241" s="26"/>
      <c r="HSV241" s="23"/>
      <c r="HTA241" s="26"/>
      <c r="HTE241" s="23"/>
      <c r="HTJ241" s="26"/>
      <c r="HTN241" s="23"/>
      <c r="HTS241" s="26"/>
      <c r="HTW241" s="23"/>
      <c r="HUB241" s="26"/>
      <c r="HUF241" s="23"/>
      <c r="HUK241" s="26"/>
      <c r="HUO241" s="23"/>
      <c r="HUT241" s="26"/>
      <c r="HUX241" s="23"/>
      <c r="HVC241" s="26"/>
      <c r="HVG241" s="23"/>
      <c r="HVL241" s="26"/>
      <c r="HVP241" s="23"/>
      <c r="HVU241" s="26"/>
      <c r="HVY241" s="23"/>
      <c r="HWD241" s="26"/>
      <c r="HWH241" s="23"/>
      <c r="HWM241" s="26"/>
      <c r="HWQ241" s="23"/>
      <c r="HWV241" s="26"/>
      <c r="HWZ241" s="23"/>
      <c r="HXE241" s="26"/>
      <c r="HXI241" s="23"/>
      <c r="HXN241" s="26"/>
      <c r="HXR241" s="23"/>
      <c r="HXW241" s="26"/>
      <c r="HYA241" s="23"/>
      <c r="HYF241" s="26"/>
      <c r="HYJ241" s="23"/>
      <c r="HYO241" s="26"/>
      <c r="HYS241" s="23"/>
      <c r="HYX241" s="26"/>
      <c r="HZB241" s="23"/>
      <c r="HZG241" s="26"/>
      <c r="HZK241" s="23"/>
      <c r="HZP241" s="26"/>
      <c r="HZT241" s="23"/>
      <c r="HZY241" s="26"/>
      <c r="IAC241" s="23"/>
      <c r="IAH241" s="26"/>
      <c r="IAL241" s="23"/>
      <c r="IAQ241" s="26"/>
      <c r="IAU241" s="23"/>
      <c r="IAZ241" s="26"/>
      <c r="IBD241" s="23"/>
      <c r="IBI241" s="26"/>
      <c r="IBM241" s="23"/>
      <c r="IBR241" s="26"/>
      <c r="IBV241" s="23"/>
      <c r="ICA241" s="26"/>
      <c r="ICE241" s="23"/>
      <c r="ICJ241" s="26"/>
      <c r="ICN241" s="23"/>
      <c r="ICS241" s="26"/>
      <c r="ICW241" s="23"/>
      <c r="IDB241" s="26"/>
      <c r="IDF241" s="23"/>
      <c r="IDK241" s="26"/>
      <c r="IDO241" s="23"/>
      <c r="IDT241" s="26"/>
      <c r="IDX241" s="23"/>
      <c r="IEC241" s="26"/>
      <c r="IEG241" s="23"/>
      <c r="IEL241" s="26"/>
      <c r="IEP241" s="23"/>
      <c r="IEU241" s="26"/>
      <c r="IEY241" s="23"/>
      <c r="IFD241" s="26"/>
      <c r="IFH241" s="23"/>
      <c r="IFM241" s="26"/>
      <c r="IFQ241" s="23"/>
      <c r="IFV241" s="26"/>
      <c r="IFZ241" s="23"/>
      <c r="IGE241" s="26"/>
      <c r="IGI241" s="23"/>
      <c r="IGN241" s="26"/>
      <c r="IGR241" s="23"/>
      <c r="IGW241" s="26"/>
      <c r="IHA241" s="23"/>
      <c r="IHF241" s="26"/>
      <c r="IHJ241" s="23"/>
      <c r="IHO241" s="26"/>
      <c r="IHS241" s="23"/>
      <c r="IHX241" s="26"/>
      <c r="IIB241" s="23"/>
      <c r="IIG241" s="26"/>
      <c r="IIK241" s="23"/>
      <c r="IIP241" s="26"/>
      <c r="IIT241" s="23"/>
      <c r="IIY241" s="26"/>
      <c r="IJC241" s="23"/>
      <c r="IJH241" s="26"/>
      <c r="IJL241" s="23"/>
      <c r="IJQ241" s="26"/>
      <c r="IJU241" s="23"/>
      <c r="IJZ241" s="26"/>
      <c r="IKD241" s="23"/>
      <c r="IKI241" s="26"/>
      <c r="IKM241" s="23"/>
      <c r="IKR241" s="26"/>
      <c r="IKV241" s="23"/>
      <c r="ILA241" s="26"/>
      <c r="ILE241" s="23"/>
      <c r="ILJ241" s="26"/>
      <c r="ILN241" s="23"/>
      <c r="ILS241" s="26"/>
      <c r="ILW241" s="23"/>
      <c r="IMB241" s="26"/>
      <c r="IMF241" s="23"/>
      <c r="IMK241" s="26"/>
      <c r="IMO241" s="23"/>
      <c r="IMT241" s="26"/>
      <c r="IMX241" s="23"/>
      <c r="INC241" s="26"/>
      <c r="ING241" s="23"/>
      <c r="INL241" s="26"/>
      <c r="INP241" s="23"/>
      <c r="INU241" s="26"/>
      <c r="INY241" s="23"/>
      <c r="IOD241" s="26"/>
      <c r="IOH241" s="23"/>
      <c r="IOM241" s="26"/>
      <c r="IOQ241" s="23"/>
      <c r="IOV241" s="26"/>
      <c r="IOZ241" s="23"/>
      <c r="IPE241" s="26"/>
      <c r="IPI241" s="23"/>
      <c r="IPN241" s="26"/>
      <c r="IPR241" s="23"/>
      <c r="IPW241" s="26"/>
      <c r="IQA241" s="23"/>
      <c r="IQF241" s="26"/>
      <c r="IQJ241" s="23"/>
      <c r="IQO241" s="26"/>
      <c r="IQS241" s="23"/>
      <c r="IQX241" s="26"/>
      <c r="IRB241" s="23"/>
      <c r="IRG241" s="26"/>
      <c r="IRK241" s="23"/>
      <c r="IRP241" s="26"/>
      <c r="IRT241" s="23"/>
      <c r="IRY241" s="26"/>
      <c r="ISC241" s="23"/>
      <c r="ISH241" s="26"/>
      <c r="ISL241" s="23"/>
      <c r="ISQ241" s="26"/>
      <c r="ISU241" s="23"/>
      <c r="ISZ241" s="26"/>
      <c r="ITD241" s="23"/>
      <c r="ITI241" s="26"/>
      <c r="ITM241" s="23"/>
      <c r="ITR241" s="26"/>
      <c r="ITV241" s="23"/>
      <c r="IUA241" s="26"/>
      <c r="IUE241" s="23"/>
      <c r="IUJ241" s="26"/>
      <c r="IUN241" s="23"/>
      <c r="IUS241" s="26"/>
      <c r="IUW241" s="23"/>
      <c r="IVB241" s="26"/>
      <c r="IVF241" s="23"/>
      <c r="IVK241" s="26"/>
      <c r="IVO241" s="23"/>
      <c r="IVT241" s="26"/>
      <c r="IVX241" s="23"/>
      <c r="IWC241" s="26"/>
      <c r="IWG241" s="23"/>
      <c r="IWL241" s="26"/>
      <c r="IWP241" s="23"/>
      <c r="IWU241" s="26"/>
      <c r="IWY241" s="23"/>
      <c r="IXD241" s="26"/>
      <c r="IXH241" s="23"/>
      <c r="IXM241" s="26"/>
      <c r="IXQ241" s="23"/>
      <c r="IXV241" s="26"/>
      <c r="IXZ241" s="23"/>
      <c r="IYE241" s="26"/>
      <c r="IYI241" s="23"/>
      <c r="IYN241" s="26"/>
      <c r="IYR241" s="23"/>
      <c r="IYW241" s="26"/>
      <c r="IZA241" s="23"/>
      <c r="IZF241" s="26"/>
      <c r="IZJ241" s="23"/>
      <c r="IZO241" s="26"/>
      <c r="IZS241" s="23"/>
      <c r="IZX241" s="26"/>
      <c r="JAB241" s="23"/>
      <c r="JAG241" s="26"/>
      <c r="JAK241" s="23"/>
      <c r="JAP241" s="26"/>
      <c r="JAT241" s="23"/>
      <c r="JAY241" s="26"/>
      <c r="JBC241" s="23"/>
      <c r="JBH241" s="26"/>
      <c r="JBL241" s="23"/>
      <c r="JBQ241" s="26"/>
      <c r="JBU241" s="23"/>
      <c r="JBZ241" s="26"/>
      <c r="JCD241" s="23"/>
      <c r="JCI241" s="26"/>
      <c r="JCM241" s="23"/>
      <c r="JCR241" s="26"/>
      <c r="JCV241" s="23"/>
      <c r="JDA241" s="26"/>
      <c r="JDE241" s="23"/>
      <c r="JDJ241" s="26"/>
      <c r="JDN241" s="23"/>
      <c r="JDS241" s="26"/>
      <c r="JDW241" s="23"/>
      <c r="JEB241" s="26"/>
      <c r="JEF241" s="23"/>
      <c r="JEK241" s="26"/>
      <c r="JEO241" s="23"/>
      <c r="JET241" s="26"/>
      <c r="JEX241" s="23"/>
      <c r="JFC241" s="26"/>
      <c r="JFG241" s="23"/>
      <c r="JFL241" s="26"/>
      <c r="JFP241" s="23"/>
      <c r="JFU241" s="26"/>
      <c r="JFY241" s="23"/>
      <c r="JGD241" s="26"/>
      <c r="JGH241" s="23"/>
      <c r="JGM241" s="26"/>
      <c r="JGQ241" s="23"/>
      <c r="JGV241" s="26"/>
      <c r="JGZ241" s="23"/>
      <c r="JHE241" s="26"/>
      <c r="JHI241" s="23"/>
      <c r="JHN241" s="26"/>
      <c r="JHR241" s="23"/>
      <c r="JHW241" s="26"/>
      <c r="JIA241" s="23"/>
      <c r="JIF241" s="26"/>
      <c r="JIJ241" s="23"/>
      <c r="JIO241" s="26"/>
      <c r="JIS241" s="23"/>
      <c r="JIX241" s="26"/>
      <c r="JJB241" s="23"/>
      <c r="JJG241" s="26"/>
      <c r="JJK241" s="23"/>
      <c r="JJP241" s="26"/>
      <c r="JJT241" s="23"/>
      <c r="JJY241" s="26"/>
      <c r="JKC241" s="23"/>
      <c r="JKH241" s="26"/>
      <c r="JKL241" s="23"/>
      <c r="JKQ241" s="26"/>
      <c r="JKU241" s="23"/>
      <c r="JKZ241" s="26"/>
      <c r="JLD241" s="23"/>
      <c r="JLI241" s="26"/>
      <c r="JLM241" s="23"/>
      <c r="JLR241" s="26"/>
      <c r="JLV241" s="23"/>
      <c r="JMA241" s="26"/>
      <c r="JME241" s="23"/>
      <c r="JMJ241" s="26"/>
      <c r="JMN241" s="23"/>
      <c r="JMS241" s="26"/>
      <c r="JMW241" s="23"/>
      <c r="JNB241" s="26"/>
      <c r="JNF241" s="23"/>
      <c r="JNK241" s="26"/>
      <c r="JNO241" s="23"/>
      <c r="JNT241" s="26"/>
      <c r="JNX241" s="23"/>
      <c r="JOC241" s="26"/>
      <c r="JOG241" s="23"/>
      <c r="JOL241" s="26"/>
      <c r="JOP241" s="23"/>
      <c r="JOU241" s="26"/>
      <c r="JOY241" s="23"/>
      <c r="JPD241" s="26"/>
      <c r="JPH241" s="23"/>
      <c r="JPM241" s="26"/>
      <c r="JPQ241" s="23"/>
      <c r="JPV241" s="26"/>
      <c r="JPZ241" s="23"/>
      <c r="JQE241" s="26"/>
      <c r="JQI241" s="23"/>
      <c r="JQN241" s="26"/>
      <c r="JQR241" s="23"/>
      <c r="JQW241" s="26"/>
      <c r="JRA241" s="23"/>
      <c r="JRF241" s="26"/>
      <c r="JRJ241" s="23"/>
      <c r="JRO241" s="26"/>
      <c r="JRS241" s="23"/>
      <c r="JRX241" s="26"/>
      <c r="JSB241" s="23"/>
      <c r="JSG241" s="26"/>
      <c r="JSK241" s="23"/>
      <c r="JSP241" s="26"/>
      <c r="JST241" s="23"/>
      <c r="JSY241" s="26"/>
      <c r="JTC241" s="23"/>
      <c r="JTH241" s="26"/>
      <c r="JTL241" s="23"/>
      <c r="JTQ241" s="26"/>
      <c r="JTU241" s="23"/>
      <c r="JTZ241" s="26"/>
      <c r="JUD241" s="23"/>
      <c r="JUI241" s="26"/>
      <c r="JUM241" s="23"/>
      <c r="JUR241" s="26"/>
      <c r="JUV241" s="23"/>
      <c r="JVA241" s="26"/>
      <c r="JVE241" s="23"/>
      <c r="JVJ241" s="26"/>
      <c r="JVN241" s="23"/>
      <c r="JVS241" s="26"/>
      <c r="JVW241" s="23"/>
      <c r="JWB241" s="26"/>
      <c r="JWF241" s="23"/>
      <c r="JWK241" s="26"/>
      <c r="JWO241" s="23"/>
      <c r="JWT241" s="26"/>
      <c r="JWX241" s="23"/>
      <c r="JXC241" s="26"/>
      <c r="JXG241" s="23"/>
      <c r="JXL241" s="26"/>
      <c r="JXP241" s="23"/>
      <c r="JXU241" s="26"/>
      <c r="JXY241" s="23"/>
      <c r="JYD241" s="26"/>
      <c r="JYH241" s="23"/>
      <c r="JYM241" s="26"/>
      <c r="JYQ241" s="23"/>
      <c r="JYV241" s="26"/>
      <c r="JYZ241" s="23"/>
      <c r="JZE241" s="26"/>
      <c r="JZI241" s="23"/>
      <c r="JZN241" s="26"/>
      <c r="JZR241" s="23"/>
      <c r="JZW241" s="26"/>
      <c r="KAA241" s="23"/>
      <c r="KAF241" s="26"/>
      <c r="KAJ241" s="23"/>
      <c r="KAO241" s="26"/>
      <c r="KAS241" s="23"/>
      <c r="KAX241" s="26"/>
      <c r="KBB241" s="23"/>
      <c r="KBG241" s="26"/>
      <c r="KBK241" s="23"/>
      <c r="KBP241" s="26"/>
      <c r="KBT241" s="23"/>
      <c r="KBY241" s="26"/>
      <c r="KCC241" s="23"/>
      <c r="KCH241" s="26"/>
      <c r="KCL241" s="23"/>
      <c r="KCQ241" s="26"/>
      <c r="KCU241" s="23"/>
      <c r="KCZ241" s="26"/>
      <c r="KDD241" s="23"/>
      <c r="KDI241" s="26"/>
      <c r="KDM241" s="23"/>
      <c r="KDR241" s="26"/>
      <c r="KDV241" s="23"/>
      <c r="KEA241" s="26"/>
      <c r="KEE241" s="23"/>
      <c r="KEJ241" s="26"/>
      <c r="KEN241" s="23"/>
      <c r="KES241" s="26"/>
      <c r="KEW241" s="23"/>
      <c r="KFB241" s="26"/>
      <c r="KFF241" s="23"/>
      <c r="KFK241" s="26"/>
      <c r="KFO241" s="23"/>
      <c r="KFT241" s="26"/>
      <c r="KFX241" s="23"/>
      <c r="KGC241" s="26"/>
      <c r="KGG241" s="23"/>
      <c r="KGL241" s="26"/>
      <c r="KGP241" s="23"/>
      <c r="KGU241" s="26"/>
      <c r="KGY241" s="23"/>
      <c r="KHD241" s="26"/>
      <c r="KHH241" s="23"/>
      <c r="KHM241" s="26"/>
      <c r="KHQ241" s="23"/>
      <c r="KHV241" s="26"/>
      <c r="KHZ241" s="23"/>
      <c r="KIE241" s="26"/>
      <c r="KII241" s="23"/>
      <c r="KIN241" s="26"/>
      <c r="KIR241" s="23"/>
      <c r="KIW241" s="26"/>
      <c r="KJA241" s="23"/>
      <c r="KJF241" s="26"/>
      <c r="KJJ241" s="23"/>
      <c r="KJO241" s="26"/>
      <c r="KJS241" s="23"/>
      <c r="KJX241" s="26"/>
      <c r="KKB241" s="23"/>
      <c r="KKG241" s="26"/>
      <c r="KKK241" s="23"/>
      <c r="KKP241" s="26"/>
      <c r="KKT241" s="23"/>
      <c r="KKY241" s="26"/>
      <c r="KLC241" s="23"/>
      <c r="KLH241" s="26"/>
      <c r="KLL241" s="23"/>
      <c r="KLQ241" s="26"/>
      <c r="KLU241" s="23"/>
      <c r="KLZ241" s="26"/>
      <c r="KMD241" s="23"/>
      <c r="KMI241" s="26"/>
      <c r="KMM241" s="23"/>
      <c r="KMR241" s="26"/>
      <c r="KMV241" s="23"/>
      <c r="KNA241" s="26"/>
      <c r="KNE241" s="23"/>
      <c r="KNJ241" s="26"/>
      <c r="KNN241" s="23"/>
      <c r="KNS241" s="26"/>
      <c r="KNW241" s="23"/>
      <c r="KOB241" s="26"/>
      <c r="KOF241" s="23"/>
      <c r="KOK241" s="26"/>
      <c r="KOO241" s="23"/>
      <c r="KOT241" s="26"/>
      <c r="KOX241" s="23"/>
      <c r="KPC241" s="26"/>
      <c r="KPG241" s="23"/>
      <c r="KPL241" s="26"/>
      <c r="KPP241" s="23"/>
      <c r="KPU241" s="26"/>
      <c r="KPY241" s="23"/>
      <c r="KQD241" s="26"/>
      <c r="KQH241" s="23"/>
      <c r="KQM241" s="26"/>
      <c r="KQQ241" s="23"/>
      <c r="KQV241" s="26"/>
      <c r="KQZ241" s="23"/>
      <c r="KRE241" s="26"/>
      <c r="KRI241" s="23"/>
      <c r="KRN241" s="26"/>
      <c r="KRR241" s="23"/>
      <c r="KRW241" s="26"/>
      <c r="KSA241" s="23"/>
      <c r="KSF241" s="26"/>
      <c r="KSJ241" s="23"/>
      <c r="KSO241" s="26"/>
      <c r="KSS241" s="23"/>
      <c r="KSX241" s="26"/>
      <c r="KTB241" s="23"/>
      <c r="KTG241" s="26"/>
      <c r="KTK241" s="23"/>
      <c r="KTP241" s="26"/>
      <c r="KTT241" s="23"/>
      <c r="KTY241" s="26"/>
      <c r="KUC241" s="23"/>
      <c r="KUH241" s="26"/>
      <c r="KUL241" s="23"/>
      <c r="KUQ241" s="26"/>
      <c r="KUU241" s="23"/>
      <c r="KUZ241" s="26"/>
      <c r="KVD241" s="23"/>
      <c r="KVI241" s="26"/>
      <c r="KVM241" s="23"/>
      <c r="KVR241" s="26"/>
      <c r="KVV241" s="23"/>
      <c r="KWA241" s="26"/>
      <c r="KWE241" s="23"/>
      <c r="KWJ241" s="26"/>
      <c r="KWN241" s="23"/>
      <c r="KWS241" s="26"/>
      <c r="KWW241" s="23"/>
      <c r="KXB241" s="26"/>
      <c r="KXF241" s="23"/>
      <c r="KXK241" s="26"/>
      <c r="KXO241" s="23"/>
      <c r="KXT241" s="26"/>
      <c r="KXX241" s="23"/>
      <c r="KYC241" s="26"/>
      <c r="KYG241" s="23"/>
      <c r="KYL241" s="26"/>
      <c r="KYP241" s="23"/>
      <c r="KYU241" s="26"/>
      <c r="KYY241" s="23"/>
      <c r="KZD241" s="26"/>
      <c r="KZH241" s="23"/>
      <c r="KZM241" s="26"/>
      <c r="KZQ241" s="23"/>
      <c r="KZV241" s="26"/>
      <c r="KZZ241" s="23"/>
      <c r="LAE241" s="26"/>
      <c r="LAI241" s="23"/>
      <c r="LAN241" s="26"/>
      <c r="LAR241" s="23"/>
      <c r="LAW241" s="26"/>
      <c r="LBA241" s="23"/>
      <c r="LBF241" s="26"/>
      <c r="LBJ241" s="23"/>
      <c r="LBO241" s="26"/>
      <c r="LBS241" s="23"/>
      <c r="LBX241" s="26"/>
      <c r="LCB241" s="23"/>
      <c r="LCG241" s="26"/>
      <c r="LCK241" s="23"/>
      <c r="LCP241" s="26"/>
      <c r="LCT241" s="23"/>
      <c r="LCY241" s="26"/>
      <c r="LDC241" s="23"/>
      <c r="LDH241" s="26"/>
      <c r="LDL241" s="23"/>
      <c r="LDQ241" s="26"/>
      <c r="LDU241" s="23"/>
      <c r="LDZ241" s="26"/>
      <c r="LED241" s="23"/>
      <c r="LEI241" s="26"/>
      <c r="LEM241" s="23"/>
      <c r="LER241" s="26"/>
      <c r="LEV241" s="23"/>
      <c r="LFA241" s="26"/>
      <c r="LFE241" s="23"/>
      <c r="LFJ241" s="26"/>
      <c r="LFN241" s="23"/>
      <c r="LFS241" s="26"/>
      <c r="LFW241" s="23"/>
      <c r="LGB241" s="26"/>
      <c r="LGF241" s="23"/>
      <c r="LGK241" s="26"/>
      <c r="LGO241" s="23"/>
      <c r="LGT241" s="26"/>
      <c r="LGX241" s="23"/>
      <c r="LHC241" s="26"/>
      <c r="LHG241" s="23"/>
      <c r="LHL241" s="26"/>
      <c r="LHP241" s="23"/>
      <c r="LHU241" s="26"/>
      <c r="LHY241" s="23"/>
      <c r="LID241" s="26"/>
      <c r="LIH241" s="23"/>
      <c r="LIM241" s="26"/>
      <c r="LIQ241" s="23"/>
      <c r="LIV241" s="26"/>
      <c r="LIZ241" s="23"/>
      <c r="LJE241" s="26"/>
      <c r="LJI241" s="23"/>
      <c r="LJN241" s="26"/>
      <c r="LJR241" s="23"/>
      <c r="LJW241" s="26"/>
      <c r="LKA241" s="23"/>
      <c r="LKF241" s="26"/>
      <c r="LKJ241" s="23"/>
      <c r="LKO241" s="26"/>
      <c r="LKS241" s="23"/>
      <c r="LKX241" s="26"/>
      <c r="LLB241" s="23"/>
      <c r="LLG241" s="26"/>
      <c r="LLK241" s="23"/>
      <c r="LLP241" s="26"/>
      <c r="LLT241" s="23"/>
      <c r="LLY241" s="26"/>
      <c r="LMC241" s="23"/>
      <c r="LMH241" s="26"/>
      <c r="LML241" s="23"/>
      <c r="LMQ241" s="26"/>
      <c r="LMU241" s="23"/>
      <c r="LMZ241" s="26"/>
      <c r="LND241" s="23"/>
      <c r="LNI241" s="26"/>
      <c r="LNM241" s="23"/>
      <c r="LNR241" s="26"/>
      <c r="LNV241" s="23"/>
      <c r="LOA241" s="26"/>
      <c r="LOE241" s="23"/>
      <c r="LOJ241" s="26"/>
      <c r="LON241" s="23"/>
      <c r="LOS241" s="26"/>
      <c r="LOW241" s="23"/>
      <c r="LPB241" s="26"/>
      <c r="LPF241" s="23"/>
      <c r="LPK241" s="26"/>
      <c r="LPO241" s="23"/>
      <c r="LPT241" s="26"/>
      <c r="LPX241" s="23"/>
      <c r="LQC241" s="26"/>
      <c r="LQG241" s="23"/>
      <c r="LQL241" s="26"/>
      <c r="LQP241" s="23"/>
      <c r="LQU241" s="26"/>
      <c r="LQY241" s="23"/>
      <c r="LRD241" s="26"/>
      <c r="LRH241" s="23"/>
      <c r="LRM241" s="26"/>
      <c r="LRQ241" s="23"/>
      <c r="LRV241" s="26"/>
      <c r="LRZ241" s="23"/>
      <c r="LSE241" s="26"/>
      <c r="LSI241" s="23"/>
      <c r="LSN241" s="26"/>
      <c r="LSR241" s="23"/>
      <c r="LSW241" s="26"/>
      <c r="LTA241" s="23"/>
      <c r="LTF241" s="26"/>
      <c r="LTJ241" s="23"/>
      <c r="LTO241" s="26"/>
      <c r="LTS241" s="23"/>
      <c r="LTX241" s="26"/>
      <c r="LUB241" s="23"/>
      <c r="LUG241" s="26"/>
      <c r="LUK241" s="23"/>
      <c r="LUP241" s="26"/>
      <c r="LUT241" s="23"/>
      <c r="LUY241" s="26"/>
      <c r="LVC241" s="23"/>
      <c r="LVH241" s="26"/>
      <c r="LVL241" s="23"/>
      <c r="LVQ241" s="26"/>
      <c r="LVU241" s="23"/>
      <c r="LVZ241" s="26"/>
      <c r="LWD241" s="23"/>
      <c r="LWI241" s="26"/>
      <c r="LWM241" s="23"/>
      <c r="LWR241" s="26"/>
      <c r="LWV241" s="23"/>
      <c r="LXA241" s="26"/>
      <c r="LXE241" s="23"/>
      <c r="LXJ241" s="26"/>
      <c r="LXN241" s="23"/>
      <c r="LXS241" s="26"/>
      <c r="LXW241" s="23"/>
      <c r="LYB241" s="26"/>
      <c r="LYF241" s="23"/>
      <c r="LYK241" s="26"/>
      <c r="LYO241" s="23"/>
      <c r="LYT241" s="26"/>
      <c r="LYX241" s="23"/>
      <c r="LZC241" s="26"/>
      <c r="LZG241" s="23"/>
      <c r="LZL241" s="26"/>
      <c r="LZP241" s="23"/>
      <c r="LZU241" s="26"/>
      <c r="LZY241" s="23"/>
      <c r="MAD241" s="26"/>
      <c r="MAH241" s="23"/>
      <c r="MAM241" s="26"/>
      <c r="MAQ241" s="23"/>
      <c r="MAV241" s="26"/>
      <c r="MAZ241" s="23"/>
      <c r="MBE241" s="26"/>
      <c r="MBI241" s="23"/>
      <c r="MBN241" s="26"/>
      <c r="MBR241" s="23"/>
      <c r="MBW241" s="26"/>
      <c r="MCA241" s="23"/>
      <c r="MCF241" s="26"/>
      <c r="MCJ241" s="23"/>
      <c r="MCO241" s="26"/>
      <c r="MCS241" s="23"/>
      <c r="MCX241" s="26"/>
      <c r="MDB241" s="23"/>
      <c r="MDG241" s="26"/>
      <c r="MDK241" s="23"/>
      <c r="MDP241" s="26"/>
      <c r="MDT241" s="23"/>
      <c r="MDY241" s="26"/>
      <c r="MEC241" s="23"/>
      <c r="MEH241" s="26"/>
      <c r="MEL241" s="23"/>
      <c r="MEQ241" s="26"/>
      <c r="MEU241" s="23"/>
      <c r="MEZ241" s="26"/>
      <c r="MFD241" s="23"/>
      <c r="MFI241" s="26"/>
      <c r="MFM241" s="23"/>
      <c r="MFR241" s="26"/>
      <c r="MFV241" s="23"/>
      <c r="MGA241" s="26"/>
      <c r="MGE241" s="23"/>
      <c r="MGJ241" s="26"/>
      <c r="MGN241" s="23"/>
      <c r="MGS241" s="26"/>
      <c r="MGW241" s="23"/>
      <c r="MHB241" s="26"/>
      <c r="MHF241" s="23"/>
      <c r="MHK241" s="26"/>
      <c r="MHO241" s="23"/>
      <c r="MHT241" s="26"/>
      <c r="MHX241" s="23"/>
      <c r="MIC241" s="26"/>
      <c r="MIG241" s="23"/>
      <c r="MIL241" s="26"/>
      <c r="MIP241" s="23"/>
      <c r="MIU241" s="26"/>
      <c r="MIY241" s="23"/>
      <c r="MJD241" s="26"/>
      <c r="MJH241" s="23"/>
      <c r="MJM241" s="26"/>
      <c r="MJQ241" s="23"/>
      <c r="MJV241" s="26"/>
      <c r="MJZ241" s="23"/>
      <c r="MKE241" s="26"/>
      <c r="MKI241" s="23"/>
      <c r="MKN241" s="26"/>
      <c r="MKR241" s="23"/>
      <c r="MKW241" s="26"/>
      <c r="MLA241" s="23"/>
      <c r="MLF241" s="26"/>
      <c r="MLJ241" s="23"/>
      <c r="MLO241" s="26"/>
      <c r="MLS241" s="23"/>
      <c r="MLX241" s="26"/>
      <c r="MMB241" s="23"/>
      <c r="MMG241" s="26"/>
      <c r="MMK241" s="23"/>
      <c r="MMP241" s="26"/>
      <c r="MMT241" s="23"/>
      <c r="MMY241" s="26"/>
      <c r="MNC241" s="23"/>
      <c r="MNH241" s="26"/>
      <c r="MNL241" s="23"/>
      <c r="MNQ241" s="26"/>
      <c r="MNU241" s="23"/>
      <c r="MNZ241" s="26"/>
      <c r="MOD241" s="23"/>
      <c r="MOI241" s="26"/>
      <c r="MOM241" s="23"/>
      <c r="MOR241" s="26"/>
      <c r="MOV241" s="23"/>
      <c r="MPA241" s="26"/>
      <c r="MPE241" s="23"/>
      <c r="MPJ241" s="26"/>
      <c r="MPN241" s="23"/>
      <c r="MPS241" s="26"/>
      <c r="MPW241" s="23"/>
      <c r="MQB241" s="26"/>
      <c r="MQF241" s="23"/>
      <c r="MQK241" s="26"/>
      <c r="MQO241" s="23"/>
      <c r="MQT241" s="26"/>
      <c r="MQX241" s="23"/>
      <c r="MRC241" s="26"/>
      <c r="MRG241" s="23"/>
      <c r="MRL241" s="26"/>
      <c r="MRP241" s="23"/>
      <c r="MRU241" s="26"/>
      <c r="MRY241" s="23"/>
      <c r="MSD241" s="26"/>
      <c r="MSH241" s="23"/>
      <c r="MSM241" s="26"/>
      <c r="MSQ241" s="23"/>
      <c r="MSV241" s="26"/>
      <c r="MSZ241" s="23"/>
      <c r="MTE241" s="26"/>
      <c r="MTI241" s="23"/>
      <c r="MTN241" s="26"/>
      <c r="MTR241" s="23"/>
      <c r="MTW241" s="26"/>
      <c r="MUA241" s="23"/>
      <c r="MUF241" s="26"/>
      <c r="MUJ241" s="23"/>
      <c r="MUO241" s="26"/>
      <c r="MUS241" s="23"/>
      <c r="MUX241" s="26"/>
      <c r="MVB241" s="23"/>
      <c r="MVG241" s="26"/>
      <c r="MVK241" s="23"/>
      <c r="MVP241" s="26"/>
      <c r="MVT241" s="23"/>
      <c r="MVY241" s="26"/>
      <c r="MWC241" s="23"/>
      <c r="MWH241" s="26"/>
      <c r="MWL241" s="23"/>
      <c r="MWQ241" s="26"/>
      <c r="MWU241" s="23"/>
      <c r="MWZ241" s="26"/>
      <c r="MXD241" s="23"/>
      <c r="MXI241" s="26"/>
      <c r="MXM241" s="23"/>
      <c r="MXR241" s="26"/>
      <c r="MXV241" s="23"/>
      <c r="MYA241" s="26"/>
      <c r="MYE241" s="23"/>
      <c r="MYJ241" s="26"/>
      <c r="MYN241" s="23"/>
      <c r="MYS241" s="26"/>
      <c r="MYW241" s="23"/>
      <c r="MZB241" s="26"/>
      <c r="MZF241" s="23"/>
      <c r="MZK241" s="26"/>
      <c r="MZO241" s="23"/>
      <c r="MZT241" s="26"/>
      <c r="MZX241" s="23"/>
      <c r="NAC241" s="26"/>
      <c r="NAG241" s="23"/>
      <c r="NAL241" s="26"/>
      <c r="NAP241" s="23"/>
      <c r="NAU241" s="26"/>
      <c r="NAY241" s="23"/>
      <c r="NBD241" s="26"/>
      <c r="NBH241" s="23"/>
      <c r="NBM241" s="26"/>
      <c r="NBQ241" s="23"/>
      <c r="NBV241" s="26"/>
      <c r="NBZ241" s="23"/>
      <c r="NCE241" s="26"/>
      <c r="NCI241" s="23"/>
      <c r="NCN241" s="26"/>
      <c r="NCR241" s="23"/>
      <c r="NCW241" s="26"/>
      <c r="NDA241" s="23"/>
      <c r="NDF241" s="26"/>
      <c r="NDJ241" s="23"/>
      <c r="NDO241" s="26"/>
      <c r="NDS241" s="23"/>
      <c r="NDX241" s="26"/>
      <c r="NEB241" s="23"/>
      <c r="NEG241" s="26"/>
      <c r="NEK241" s="23"/>
      <c r="NEP241" s="26"/>
      <c r="NET241" s="23"/>
      <c r="NEY241" s="26"/>
      <c r="NFC241" s="23"/>
      <c r="NFH241" s="26"/>
      <c r="NFL241" s="23"/>
      <c r="NFQ241" s="26"/>
      <c r="NFU241" s="23"/>
      <c r="NFZ241" s="26"/>
      <c r="NGD241" s="23"/>
      <c r="NGI241" s="26"/>
      <c r="NGM241" s="23"/>
      <c r="NGR241" s="26"/>
      <c r="NGV241" s="23"/>
      <c r="NHA241" s="26"/>
      <c r="NHE241" s="23"/>
      <c r="NHJ241" s="26"/>
      <c r="NHN241" s="23"/>
      <c r="NHS241" s="26"/>
      <c r="NHW241" s="23"/>
      <c r="NIB241" s="26"/>
      <c r="NIF241" s="23"/>
      <c r="NIK241" s="26"/>
      <c r="NIO241" s="23"/>
      <c r="NIT241" s="26"/>
      <c r="NIX241" s="23"/>
      <c r="NJC241" s="26"/>
      <c r="NJG241" s="23"/>
      <c r="NJL241" s="26"/>
      <c r="NJP241" s="23"/>
      <c r="NJU241" s="26"/>
      <c r="NJY241" s="23"/>
      <c r="NKD241" s="26"/>
      <c r="NKH241" s="23"/>
      <c r="NKM241" s="26"/>
      <c r="NKQ241" s="23"/>
      <c r="NKV241" s="26"/>
      <c r="NKZ241" s="23"/>
      <c r="NLE241" s="26"/>
      <c r="NLI241" s="23"/>
      <c r="NLN241" s="26"/>
      <c r="NLR241" s="23"/>
      <c r="NLW241" s="26"/>
      <c r="NMA241" s="23"/>
      <c r="NMF241" s="26"/>
      <c r="NMJ241" s="23"/>
      <c r="NMO241" s="26"/>
      <c r="NMS241" s="23"/>
      <c r="NMX241" s="26"/>
      <c r="NNB241" s="23"/>
      <c r="NNG241" s="26"/>
      <c r="NNK241" s="23"/>
      <c r="NNP241" s="26"/>
      <c r="NNT241" s="23"/>
      <c r="NNY241" s="26"/>
      <c r="NOC241" s="23"/>
      <c r="NOH241" s="26"/>
      <c r="NOL241" s="23"/>
      <c r="NOQ241" s="26"/>
      <c r="NOU241" s="23"/>
      <c r="NOZ241" s="26"/>
      <c r="NPD241" s="23"/>
      <c r="NPI241" s="26"/>
      <c r="NPM241" s="23"/>
      <c r="NPR241" s="26"/>
      <c r="NPV241" s="23"/>
      <c r="NQA241" s="26"/>
      <c r="NQE241" s="23"/>
      <c r="NQJ241" s="26"/>
      <c r="NQN241" s="23"/>
      <c r="NQS241" s="26"/>
      <c r="NQW241" s="23"/>
      <c r="NRB241" s="26"/>
      <c r="NRF241" s="23"/>
      <c r="NRK241" s="26"/>
      <c r="NRO241" s="23"/>
      <c r="NRT241" s="26"/>
      <c r="NRX241" s="23"/>
      <c r="NSC241" s="26"/>
      <c r="NSG241" s="23"/>
      <c r="NSL241" s="26"/>
      <c r="NSP241" s="23"/>
      <c r="NSU241" s="26"/>
      <c r="NSY241" s="23"/>
      <c r="NTD241" s="26"/>
      <c r="NTH241" s="23"/>
      <c r="NTM241" s="26"/>
      <c r="NTQ241" s="23"/>
      <c r="NTV241" s="26"/>
      <c r="NTZ241" s="23"/>
      <c r="NUE241" s="26"/>
      <c r="NUI241" s="23"/>
      <c r="NUN241" s="26"/>
      <c r="NUR241" s="23"/>
      <c r="NUW241" s="26"/>
      <c r="NVA241" s="23"/>
      <c r="NVF241" s="26"/>
      <c r="NVJ241" s="23"/>
      <c r="NVO241" s="26"/>
      <c r="NVS241" s="23"/>
      <c r="NVX241" s="26"/>
      <c r="NWB241" s="23"/>
      <c r="NWG241" s="26"/>
      <c r="NWK241" s="23"/>
      <c r="NWP241" s="26"/>
      <c r="NWT241" s="23"/>
      <c r="NWY241" s="26"/>
      <c r="NXC241" s="23"/>
      <c r="NXH241" s="26"/>
      <c r="NXL241" s="23"/>
      <c r="NXQ241" s="26"/>
      <c r="NXU241" s="23"/>
      <c r="NXZ241" s="26"/>
      <c r="NYD241" s="23"/>
      <c r="NYI241" s="26"/>
      <c r="NYM241" s="23"/>
      <c r="NYR241" s="26"/>
      <c r="NYV241" s="23"/>
      <c r="NZA241" s="26"/>
      <c r="NZE241" s="23"/>
      <c r="NZJ241" s="26"/>
      <c r="NZN241" s="23"/>
      <c r="NZS241" s="26"/>
      <c r="NZW241" s="23"/>
      <c r="OAB241" s="26"/>
      <c r="OAF241" s="23"/>
      <c r="OAK241" s="26"/>
      <c r="OAO241" s="23"/>
      <c r="OAT241" s="26"/>
      <c r="OAX241" s="23"/>
      <c r="OBC241" s="26"/>
      <c r="OBG241" s="23"/>
      <c r="OBL241" s="26"/>
      <c r="OBP241" s="23"/>
      <c r="OBU241" s="26"/>
      <c r="OBY241" s="23"/>
      <c r="OCD241" s="26"/>
      <c r="OCH241" s="23"/>
      <c r="OCM241" s="26"/>
      <c r="OCQ241" s="23"/>
      <c r="OCV241" s="26"/>
      <c r="OCZ241" s="23"/>
      <c r="ODE241" s="26"/>
      <c r="ODI241" s="23"/>
      <c r="ODN241" s="26"/>
      <c r="ODR241" s="23"/>
      <c r="ODW241" s="26"/>
      <c r="OEA241" s="23"/>
      <c r="OEF241" s="26"/>
      <c r="OEJ241" s="23"/>
      <c r="OEO241" s="26"/>
      <c r="OES241" s="23"/>
      <c r="OEX241" s="26"/>
      <c r="OFB241" s="23"/>
      <c r="OFG241" s="26"/>
      <c r="OFK241" s="23"/>
      <c r="OFP241" s="26"/>
      <c r="OFT241" s="23"/>
      <c r="OFY241" s="26"/>
      <c r="OGC241" s="23"/>
      <c r="OGH241" s="26"/>
      <c r="OGL241" s="23"/>
      <c r="OGQ241" s="26"/>
      <c r="OGU241" s="23"/>
      <c r="OGZ241" s="26"/>
      <c r="OHD241" s="23"/>
      <c r="OHI241" s="26"/>
      <c r="OHM241" s="23"/>
      <c r="OHR241" s="26"/>
      <c r="OHV241" s="23"/>
      <c r="OIA241" s="26"/>
      <c r="OIE241" s="23"/>
      <c r="OIJ241" s="26"/>
      <c r="OIN241" s="23"/>
      <c r="OIS241" s="26"/>
      <c r="OIW241" s="23"/>
      <c r="OJB241" s="26"/>
      <c r="OJF241" s="23"/>
      <c r="OJK241" s="26"/>
      <c r="OJO241" s="23"/>
      <c r="OJT241" s="26"/>
      <c r="OJX241" s="23"/>
      <c r="OKC241" s="26"/>
      <c r="OKG241" s="23"/>
      <c r="OKL241" s="26"/>
      <c r="OKP241" s="23"/>
      <c r="OKU241" s="26"/>
      <c r="OKY241" s="23"/>
      <c r="OLD241" s="26"/>
      <c r="OLH241" s="23"/>
      <c r="OLM241" s="26"/>
      <c r="OLQ241" s="23"/>
      <c r="OLV241" s="26"/>
      <c r="OLZ241" s="23"/>
      <c r="OME241" s="26"/>
      <c r="OMI241" s="23"/>
      <c r="OMN241" s="26"/>
      <c r="OMR241" s="23"/>
      <c r="OMW241" s="26"/>
      <c r="ONA241" s="23"/>
      <c r="ONF241" s="26"/>
      <c r="ONJ241" s="23"/>
      <c r="ONO241" s="26"/>
      <c r="ONS241" s="23"/>
      <c r="ONX241" s="26"/>
      <c r="OOB241" s="23"/>
      <c r="OOG241" s="26"/>
      <c r="OOK241" s="23"/>
      <c r="OOP241" s="26"/>
      <c r="OOT241" s="23"/>
      <c r="OOY241" s="26"/>
      <c r="OPC241" s="23"/>
      <c r="OPH241" s="26"/>
      <c r="OPL241" s="23"/>
      <c r="OPQ241" s="26"/>
      <c r="OPU241" s="23"/>
      <c r="OPZ241" s="26"/>
      <c r="OQD241" s="23"/>
      <c r="OQI241" s="26"/>
      <c r="OQM241" s="23"/>
      <c r="OQR241" s="26"/>
      <c r="OQV241" s="23"/>
      <c r="ORA241" s="26"/>
      <c r="ORE241" s="23"/>
      <c r="ORJ241" s="26"/>
      <c r="ORN241" s="23"/>
      <c r="ORS241" s="26"/>
      <c r="ORW241" s="23"/>
      <c r="OSB241" s="26"/>
      <c r="OSF241" s="23"/>
      <c r="OSK241" s="26"/>
      <c r="OSO241" s="23"/>
      <c r="OST241" s="26"/>
      <c r="OSX241" s="23"/>
      <c r="OTC241" s="26"/>
      <c r="OTG241" s="23"/>
      <c r="OTL241" s="26"/>
      <c r="OTP241" s="23"/>
      <c r="OTU241" s="26"/>
      <c r="OTY241" s="23"/>
      <c r="OUD241" s="26"/>
      <c r="OUH241" s="23"/>
      <c r="OUM241" s="26"/>
      <c r="OUQ241" s="23"/>
      <c r="OUV241" s="26"/>
      <c r="OUZ241" s="23"/>
      <c r="OVE241" s="26"/>
      <c r="OVI241" s="23"/>
      <c r="OVN241" s="26"/>
      <c r="OVR241" s="23"/>
      <c r="OVW241" s="26"/>
      <c r="OWA241" s="23"/>
      <c r="OWF241" s="26"/>
      <c r="OWJ241" s="23"/>
      <c r="OWO241" s="26"/>
      <c r="OWS241" s="23"/>
      <c r="OWX241" s="26"/>
      <c r="OXB241" s="23"/>
      <c r="OXG241" s="26"/>
      <c r="OXK241" s="23"/>
      <c r="OXP241" s="26"/>
      <c r="OXT241" s="23"/>
      <c r="OXY241" s="26"/>
      <c r="OYC241" s="23"/>
      <c r="OYH241" s="26"/>
      <c r="OYL241" s="23"/>
      <c r="OYQ241" s="26"/>
      <c r="OYU241" s="23"/>
      <c r="OYZ241" s="26"/>
      <c r="OZD241" s="23"/>
      <c r="OZI241" s="26"/>
      <c r="OZM241" s="23"/>
      <c r="OZR241" s="26"/>
      <c r="OZV241" s="23"/>
      <c r="PAA241" s="26"/>
      <c r="PAE241" s="23"/>
      <c r="PAJ241" s="26"/>
      <c r="PAN241" s="23"/>
      <c r="PAS241" s="26"/>
      <c r="PAW241" s="23"/>
      <c r="PBB241" s="26"/>
      <c r="PBF241" s="23"/>
      <c r="PBK241" s="26"/>
      <c r="PBO241" s="23"/>
      <c r="PBT241" s="26"/>
      <c r="PBX241" s="23"/>
      <c r="PCC241" s="26"/>
      <c r="PCG241" s="23"/>
      <c r="PCL241" s="26"/>
      <c r="PCP241" s="23"/>
      <c r="PCU241" s="26"/>
      <c r="PCY241" s="23"/>
      <c r="PDD241" s="26"/>
      <c r="PDH241" s="23"/>
      <c r="PDM241" s="26"/>
      <c r="PDQ241" s="23"/>
      <c r="PDV241" s="26"/>
      <c r="PDZ241" s="23"/>
      <c r="PEE241" s="26"/>
      <c r="PEI241" s="23"/>
      <c r="PEN241" s="26"/>
      <c r="PER241" s="23"/>
      <c r="PEW241" s="26"/>
      <c r="PFA241" s="23"/>
      <c r="PFF241" s="26"/>
      <c r="PFJ241" s="23"/>
      <c r="PFO241" s="26"/>
      <c r="PFS241" s="23"/>
      <c r="PFX241" s="26"/>
      <c r="PGB241" s="23"/>
      <c r="PGG241" s="26"/>
      <c r="PGK241" s="23"/>
      <c r="PGP241" s="26"/>
      <c r="PGT241" s="23"/>
      <c r="PGY241" s="26"/>
      <c r="PHC241" s="23"/>
      <c r="PHH241" s="26"/>
      <c r="PHL241" s="23"/>
      <c r="PHQ241" s="26"/>
      <c r="PHU241" s="23"/>
      <c r="PHZ241" s="26"/>
      <c r="PID241" s="23"/>
      <c r="PII241" s="26"/>
      <c r="PIM241" s="23"/>
      <c r="PIR241" s="26"/>
      <c r="PIV241" s="23"/>
      <c r="PJA241" s="26"/>
      <c r="PJE241" s="23"/>
      <c r="PJJ241" s="26"/>
      <c r="PJN241" s="23"/>
      <c r="PJS241" s="26"/>
      <c r="PJW241" s="23"/>
      <c r="PKB241" s="26"/>
      <c r="PKF241" s="23"/>
      <c r="PKK241" s="26"/>
      <c r="PKO241" s="23"/>
      <c r="PKT241" s="26"/>
      <c r="PKX241" s="23"/>
      <c r="PLC241" s="26"/>
      <c r="PLG241" s="23"/>
      <c r="PLL241" s="26"/>
      <c r="PLP241" s="23"/>
      <c r="PLU241" s="26"/>
      <c r="PLY241" s="23"/>
      <c r="PMD241" s="26"/>
      <c r="PMH241" s="23"/>
      <c r="PMM241" s="26"/>
      <c r="PMQ241" s="23"/>
      <c r="PMV241" s="26"/>
      <c r="PMZ241" s="23"/>
      <c r="PNE241" s="26"/>
      <c r="PNI241" s="23"/>
      <c r="PNN241" s="26"/>
      <c r="PNR241" s="23"/>
      <c r="PNW241" s="26"/>
      <c r="POA241" s="23"/>
      <c r="POF241" s="26"/>
      <c r="POJ241" s="23"/>
      <c r="POO241" s="26"/>
      <c r="POS241" s="23"/>
      <c r="POX241" s="26"/>
      <c r="PPB241" s="23"/>
      <c r="PPG241" s="26"/>
      <c r="PPK241" s="23"/>
      <c r="PPP241" s="26"/>
      <c r="PPT241" s="23"/>
      <c r="PPY241" s="26"/>
      <c r="PQC241" s="23"/>
      <c r="PQH241" s="26"/>
      <c r="PQL241" s="23"/>
      <c r="PQQ241" s="26"/>
      <c r="PQU241" s="23"/>
      <c r="PQZ241" s="26"/>
      <c r="PRD241" s="23"/>
      <c r="PRI241" s="26"/>
      <c r="PRM241" s="23"/>
      <c r="PRR241" s="26"/>
      <c r="PRV241" s="23"/>
      <c r="PSA241" s="26"/>
      <c r="PSE241" s="23"/>
      <c r="PSJ241" s="26"/>
      <c r="PSN241" s="23"/>
      <c r="PSS241" s="26"/>
      <c r="PSW241" s="23"/>
      <c r="PTB241" s="26"/>
      <c r="PTF241" s="23"/>
      <c r="PTK241" s="26"/>
      <c r="PTO241" s="23"/>
      <c r="PTT241" s="26"/>
      <c r="PTX241" s="23"/>
      <c r="PUC241" s="26"/>
      <c r="PUG241" s="23"/>
      <c r="PUL241" s="26"/>
      <c r="PUP241" s="23"/>
      <c r="PUU241" s="26"/>
      <c r="PUY241" s="23"/>
      <c r="PVD241" s="26"/>
      <c r="PVH241" s="23"/>
      <c r="PVM241" s="26"/>
      <c r="PVQ241" s="23"/>
      <c r="PVV241" s="26"/>
      <c r="PVZ241" s="23"/>
      <c r="PWE241" s="26"/>
      <c r="PWI241" s="23"/>
      <c r="PWN241" s="26"/>
      <c r="PWR241" s="23"/>
      <c r="PWW241" s="26"/>
      <c r="PXA241" s="23"/>
      <c r="PXF241" s="26"/>
      <c r="PXJ241" s="23"/>
      <c r="PXO241" s="26"/>
      <c r="PXS241" s="23"/>
      <c r="PXX241" s="26"/>
      <c r="PYB241" s="23"/>
      <c r="PYG241" s="26"/>
      <c r="PYK241" s="23"/>
      <c r="PYP241" s="26"/>
      <c r="PYT241" s="23"/>
      <c r="PYY241" s="26"/>
      <c r="PZC241" s="23"/>
      <c r="PZH241" s="26"/>
      <c r="PZL241" s="23"/>
      <c r="PZQ241" s="26"/>
      <c r="PZU241" s="23"/>
      <c r="PZZ241" s="26"/>
      <c r="QAD241" s="23"/>
      <c r="QAI241" s="26"/>
      <c r="QAM241" s="23"/>
      <c r="QAR241" s="26"/>
      <c r="QAV241" s="23"/>
      <c r="QBA241" s="26"/>
      <c r="QBE241" s="23"/>
      <c r="QBJ241" s="26"/>
      <c r="QBN241" s="23"/>
      <c r="QBS241" s="26"/>
      <c r="QBW241" s="23"/>
      <c r="QCB241" s="26"/>
      <c r="QCF241" s="23"/>
      <c r="QCK241" s="26"/>
      <c r="QCO241" s="23"/>
      <c r="QCT241" s="26"/>
      <c r="QCX241" s="23"/>
      <c r="QDC241" s="26"/>
      <c r="QDG241" s="23"/>
      <c r="QDL241" s="26"/>
      <c r="QDP241" s="23"/>
      <c r="QDU241" s="26"/>
      <c r="QDY241" s="23"/>
      <c r="QED241" s="26"/>
      <c r="QEH241" s="23"/>
      <c r="QEM241" s="26"/>
      <c r="QEQ241" s="23"/>
      <c r="QEV241" s="26"/>
      <c r="QEZ241" s="23"/>
      <c r="QFE241" s="26"/>
      <c r="QFI241" s="23"/>
      <c r="QFN241" s="26"/>
      <c r="QFR241" s="23"/>
      <c r="QFW241" s="26"/>
      <c r="QGA241" s="23"/>
      <c r="QGF241" s="26"/>
      <c r="QGJ241" s="23"/>
      <c r="QGO241" s="26"/>
      <c r="QGS241" s="23"/>
      <c r="QGX241" s="26"/>
      <c r="QHB241" s="23"/>
      <c r="QHG241" s="26"/>
      <c r="QHK241" s="23"/>
      <c r="QHP241" s="26"/>
      <c r="QHT241" s="23"/>
      <c r="QHY241" s="26"/>
      <c r="QIC241" s="23"/>
      <c r="QIH241" s="26"/>
      <c r="QIL241" s="23"/>
      <c r="QIQ241" s="26"/>
      <c r="QIU241" s="23"/>
      <c r="QIZ241" s="26"/>
      <c r="QJD241" s="23"/>
      <c r="QJI241" s="26"/>
      <c r="QJM241" s="23"/>
      <c r="QJR241" s="26"/>
      <c r="QJV241" s="23"/>
      <c r="QKA241" s="26"/>
      <c r="QKE241" s="23"/>
      <c r="QKJ241" s="26"/>
      <c r="QKN241" s="23"/>
      <c r="QKS241" s="26"/>
      <c r="QKW241" s="23"/>
      <c r="QLB241" s="26"/>
      <c r="QLF241" s="23"/>
      <c r="QLK241" s="26"/>
      <c r="QLO241" s="23"/>
      <c r="QLT241" s="26"/>
      <c r="QLX241" s="23"/>
      <c r="QMC241" s="26"/>
      <c r="QMG241" s="23"/>
      <c r="QML241" s="26"/>
      <c r="QMP241" s="23"/>
      <c r="QMU241" s="26"/>
      <c r="QMY241" s="23"/>
      <c r="QND241" s="26"/>
      <c r="QNH241" s="23"/>
      <c r="QNM241" s="26"/>
      <c r="QNQ241" s="23"/>
      <c r="QNV241" s="26"/>
      <c r="QNZ241" s="23"/>
      <c r="QOE241" s="26"/>
      <c r="QOI241" s="23"/>
      <c r="QON241" s="26"/>
      <c r="QOR241" s="23"/>
      <c r="QOW241" s="26"/>
      <c r="QPA241" s="23"/>
      <c r="QPF241" s="26"/>
      <c r="QPJ241" s="23"/>
      <c r="QPO241" s="26"/>
      <c r="QPS241" s="23"/>
      <c r="QPX241" s="26"/>
      <c r="QQB241" s="23"/>
      <c r="QQG241" s="26"/>
      <c r="QQK241" s="23"/>
      <c r="QQP241" s="26"/>
      <c r="QQT241" s="23"/>
      <c r="QQY241" s="26"/>
      <c r="QRC241" s="23"/>
      <c r="QRH241" s="26"/>
      <c r="QRL241" s="23"/>
      <c r="QRQ241" s="26"/>
      <c r="QRU241" s="23"/>
      <c r="QRZ241" s="26"/>
      <c r="QSD241" s="23"/>
      <c r="QSI241" s="26"/>
      <c r="QSM241" s="23"/>
      <c r="QSR241" s="26"/>
      <c r="QSV241" s="23"/>
      <c r="QTA241" s="26"/>
      <c r="QTE241" s="23"/>
      <c r="QTJ241" s="26"/>
      <c r="QTN241" s="23"/>
      <c r="QTS241" s="26"/>
      <c r="QTW241" s="23"/>
      <c r="QUB241" s="26"/>
      <c r="QUF241" s="23"/>
      <c r="QUK241" s="26"/>
      <c r="QUO241" s="23"/>
      <c r="QUT241" s="26"/>
      <c r="QUX241" s="23"/>
      <c r="QVC241" s="26"/>
      <c r="QVG241" s="23"/>
      <c r="QVL241" s="26"/>
      <c r="QVP241" s="23"/>
      <c r="QVU241" s="26"/>
      <c r="QVY241" s="23"/>
      <c r="QWD241" s="26"/>
      <c r="QWH241" s="23"/>
      <c r="QWM241" s="26"/>
      <c r="QWQ241" s="23"/>
      <c r="QWV241" s="26"/>
      <c r="QWZ241" s="23"/>
      <c r="QXE241" s="26"/>
      <c r="QXI241" s="23"/>
      <c r="QXN241" s="26"/>
      <c r="QXR241" s="23"/>
      <c r="QXW241" s="26"/>
      <c r="QYA241" s="23"/>
      <c r="QYF241" s="26"/>
      <c r="QYJ241" s="23"/>
      <c r="QYO241" s="26"/>
      <c r="QYS241" s="23"/>
      <c r="QYX241" s="26"/>
      <c r="QZB241" s="23"/>
      <c r="QZG241" s="26"/>
      <c r="QZK241" s="23"/>
      <c r="QZP241" s="26"/>
      <c r="QZT241" s="23"/>
      <c r="QZY241" s="26"/>
      <c r="RAC241" s="23"/>
      <c r="RAH241" s="26"/>
      <c r="RAL241" s="23"/>
      <c r="RAQ241" s="26"/>
      <c r="RAU241" s="23"/>
      <c r="RAZ241" s="26"/>
      <c r="RBD241" s="23"/>
      <c r="RBI241" s="26"/>
      <c r="RBM241" s="23"/>
      <c r="RBR241" s="26"/>
      <c r="RBV241" s="23"/>
      <c r="RCA241" s="26"/>
      <c r="RCE241" s="23"/>
      <c r="RCJ241" s="26"/>
      <c r="RCN241" s="23"/>
      <c r="RCS241" s="26"/>
      <c r="RCW241" s="23"/>
      <c r="RDB241" s="26"/>
      <c r="RDF241" s="23"/>
      <c r="RDK241" s="26"/>
      <c r="RDO241" s="23"/>
      <c r="RDT241" s="26"/>
      <c r="RDX241" s="23"/>
      <c r="REC241" s="26"/>
      <c r="REG241" s="23"/>
      <c r="REL241" s="26"/>
      <c r="REP241" s="23"/>
      <c r="REU241" s="26"/>
      <c r="REY241" s="23"/>
      <c r="RFD241" s="26"/>
      <c r="RFH241" s="23"/>
      <c r="RFM241" s="26"/>
      <c r="RFQ241" s="23"/>
      <c r="RFV241" s="26"/>
      <c r="RFZ241" s="23"/>
      <c r="RGE241" s="26"/>
      <c r="RGI241" s="23"/>
      <c r="RGN241" s="26"/>
      <c r="RGR241" s="23"/>
      <c r="RGW241" s="26"/>
      <c r="RHA241" s="23"/>
      <c r="RHF241" s="26"/>
      <c r="RHJ241" s="23"/>
      <c r="RHO241" s="26"/>
      <c r="RHS241" s="23"/>
      <c r="RHX241" s="26"/>
      <c r="RIB241" s="23"/>
      <c r="RIG241" s="26"/>
      <c r="RIK241" s="23"/>
      <c r="RIP241" s="26"/>
      <c r="RIT241" s="23"/>
      <c r="RIY241" s="26"/>
      <c r="RJC241" s="23"/>
      <c r="RJH241" s="26"/>
      <c r="RJL241" s="23"/>
      <c r="RJQ241" s="26"/>
      <c r="RJU241" s="23"/>
      <c r="RJZ241" s="26"/>
      <c r="RKD241" s="23"/>
      <c r="RKI241" s="26"/>
      <c r="RKM241" s="23"/>
      <c r="RKR241" s="26"/>
      <c r="RKV241" s="23"/>
      <c r="RLA241" s="26"/>
      <c r="RLE241" s="23"/>
      <c r="RLJ241" s="26"/>
      <c r="RLN241" s="23"/>
      <c r="RLS241" s="26"/>
      <c r="RLW241" s="23"/>
      <c r="RMB241" s="26"/>
      <c r="RMF241" s="23"/>
      <c r="RMK241" s="26"/>
      <c r="RMO241" s="23"/>
      <c r="RMT241" s="26"/>
      <c r="RMX241" s="23"/>
      <c r="RNC241" s="26"/>
      <c r="RNG241" s="23"/>
      <c r="RNL241" s="26"/>
      <c r="RNP241" s="23"/>
      <c r="RNU241" s="26"/>
      <c r="RNY241" s="23"/>
      <c r="ROD241" s="26"/>
      <c r="ROH241" s="23"/>
      <c r="ROM241" s="26"/>
      <c r="ROQ241" s="23"/>
      <c r="ROV241" s="26"/>
      <c r="ROZ241" s="23"/>
      <c r="RPE241" s="26"/>
      <c r="RPI241" s="23"/>
      <c r="RPN241" s="26"/>
      <c r="RPR241" s="23"/>
      <c r="RPW241" s="26"/>
      <c r="RQA241" s="23"/>
      <c r="RQF241" s="26"/>
      <c r="RQJ241" s="23"/>
      <c r="RQO241" s="26"/>
      <c r="RQS241" s="23"/>
      <c r="RQX241" s="26"/>
      <c r="RRB241" s="23"/>
      <c r="RRG241" s="26"/>
      <c r="RRK241" s="23"/>
      <c r="RRP241" s="26"/>
      <c r="RRT241" s="23"/>
      <c r="RRY241" s="26"/>
      <c r="RSC241" s="23"/>
      <c r="RSH241" s="26"/>
      <c r="RSL241" s="23"/>
      <c r="RSQ241" s="26"/>
      <c r="RSU241" s="23"/>
      <c r="RSZ241" s="26"/>
      <c r="RTD241" s="23"/>
      <c r="RTI241" s="26"/>
      <c r="RTM241" s="23"/>
      <c r="RTR241" s="26"/>
      <c r="RTV241" s="23"/>
      <c r="RUA241" s="26"/>
      <c r="RUE241" s="23"/>
      <c r="RUJ241" s="26"/>
      <c r="RUN241" s="23"/>
      <c r="RUS241" s="26"/>
      <c r="RUW241" s="23"/>
      <c r="RVB241" s="26"/>
      <c r="RVF241" s="23"/>
      <c r="RVK241" s="26"/>
      <c r="RVO241" s="23"/>
      <c r="RVT241" s="26"/>
      <c r="RVX241" s="23"/>
      <c r="RWC241" s="26"/>
      <c r="RWG241" s="23"/>
      <c r="RWL241" s="26"/>
      <c r="RWP241" s="23"/>
      <c r="RWU241" s="26"/>
      <c r="RWY241" s="23"/>
      <c r="RXD241" s="26"/>
      <c r="RXH241" s="23"/>
      <c r="RXM241" s="26"/>
      <c r="RXQ241" s="23"/>
      <c r="RXV241" s="26"/>
      <c r="RXZ241" s="23"/>
      <c r="RYE241" s="26"/>
      <c r="RYI241" s="23"/>
      <c r="RYN241" s="26"/>
      <c r="RYR241" s="23"/>
      <c r="RYW241" s="26"/>
      <c r="RZA241" s="23"/>
      <c r="RZF241" s="26"/>
      <c r="RZJ241" s="23"/>
      <c r="RZO241" s="26"/>
      <c r="RZS241" s="23"/>
      <c r="RZX241" s="26"/>
      <c r="SAB241" s="23"/>
      <c r="SAG241" s="26"/>
      <c r="SAK241" s="23"/>
      <c r="SAP241" s="26"/>
      <c r="SAT241" s="23"/>
      <c r="SAY241" s="26"/>
      <c r="SBC241" s="23"/>
      <c r="SBH241" s="26"/>
      <c r="SBL241" s="23"/>
      <c r="SBQ241" s="26"/>
      <c r="SBU241" s="23"/>
      <c r="SBZ241" s="26"/>
      <c r="SCD241" s="23"/>
      <c r="SCI241" s="26"/>
      <c r="SCM241" s="23"/>
      <c r="SCR241" s="26"/>
      <c r="SCV241" s="23"/>
      <c r="SDA241" s="26"/>
      <c r="SDE241" s="23"/>
      <c r="SDJ241" s="26"/>
      <c r="SDN241" s="23"/>
      <c r="SDS241" s="26"/>
      <c r="SDW241" s="23"/>
      <c r="SEB241" s="26"/>
      <c r="SEF241" s="23"/>
      <c r="SEK241" s="26"/>
      <c r="SEO241" s="23"/>
      <c r="SET241" s="26"/>
      <c r="SEX241" s="23"/>
      <c r="SFC241" s="26"/>
      <c r="SFG241" s="23"/>
      <c r="SFL241" s="26"/>
      <c r="SFP241" s="23"/>
      <c r="SFU241" s="26"/>
      <c r="SFY241" s="23"/>
      <c r="SGD241" s="26"/>
      <c r="SGH241" s="23"/>
      <c r="SGM241" s="26"/>
      <c r="SGQ241" s="23"/>
      <c r="SGV241" s="26"/>
      <c r="SGZ241" s="23"/>
      <c r="SHE241" s="26"/>
      <c r="SHI241" s="23"/>
      <c r="SHN241" s="26"/>
      <c r="SHR241" s="23"/>
      <c r="SHW241" s="26"/>
      <c r="SIA241" s="23"/>
      <c r="SIF241" s="26"/>
      <c r="SIJ241" s="23"/>
      <c r="SIO241" s="26"/>
      <c r="SIS241" s="23"/>
      <c r="SIX241" s="26"/>
      <c r="SJB241" s="23"/>
      <c r="SJG241" s="26"/>
      <c r="SJK241" s="23"/>
      <c r="SJP241" s="26"/>
      <c r="SJT241" s="23"/>
      <c r="SJY241" s="26"/>
      <c r="SKC241" s="23"/>
      <c r="SKH241" s="26"/>
      <c r="SKL241" s="23"/>
      <c r="SKQ241" s="26"/>
      <c r="SKU241" s="23"/>
      <c r="SKZ241" s="26"/>
      <c r="SLD241" s="23"/>
      <c r="SLI241" s="26"/>
      <c r="SLM241" s="23"/>
      <c r="SLR241" s="26"/>
      <c r="SLV241" s="23"/>
      <c r="SMA241" s="26"/>
      <c r="SME241" s="23"/>
      <c r="SMJ241" s="26"/>
      <c r="SMN241" s="23"/>
      <c r="SMS241" s="26"/>
      <c r="SMW241" s="23"/>
      <c r="SNB241" s="26"/>
      <c r="SNF241" s="23"/>
      <c r="SNK241" s="26"/>
      <c r="SNO241" s="23"/>
      <c r="SNT241" s="26"/>
      <c r="SNX241" s="23"/>
      <c r="SOC241" s="26"/>
      <c r="SOG241" s="23"/>
      <c r="SOL241" s="26"/>
      <c r="SOP241" s="23"/>
      <c r="SOU241" s="26"/>
      <c r="SOY241" s="23"/>
      <c r="SPD241" s="26"/>
      <c r="SPH241" s="23"/>
      <c r="SPM241" s="26"/>
      <c r="SPQ241" s="23"/>
      <c r="SPV241" s="26"/>
      <c r="SPZ241" s="23"/>
      <c r="SQE241" s="26"/>
      <c r="SQI241" s="23"/>
      <c r="SQN241" s="26"/>
      <c r="SQR241" s="23"/>
      <c r="SQW241" s="26"/>
      <c r="SRA241" s="23"/>
      <c r="SRF241" s="26"/>
      <c r="SRJ241" s="23"/>
      <c r="SRO241" s="26"/>
      <c r="SRS241" s="23"/>
      <c r="SRX241" s="26"/>
      <c r="SSB241" s="23"/>
      <c r="SSG241" s="26"/>
      <c r="SSK241" s="23"/>
      <c r="SSP241" s="26"/>
      <c r="SST241" s="23"/>
      <c r="SSY241" s="26"/>
      <c r="STC241" s="23"/>
      <c r="STH241" s="26"/>
      <c r="STL241" s="23"/>
      <c r="STQ241" s="26"/>
      <c r="STU241" s="23"/>
      <c r="STZ241" s="26"/>
      <c r="SUD241" s="23"/>
      <c r="SUI241" s="26"/>
      <c r="SUM241" s="23"/>
      <c r="SUR241" s="26"/>
      <c r="SUV241" s="23"/>
      <c r="SVA241" s="26"/>
      <c r="SVE241" s="23"/>
      <c r="SVJ241" s="26"/>
      <c r="SVN241" s="23"/>
      <c r="SVS241" s="26"/>
      <c r="SVW241" s="23"/>
      <c r="SWB241" s="26"/>
      <c r="SWF241" s="23"/>
      <c r="SWK241" s="26"/>
      <c r="SWO241" s="23"/>
      <c r="SWT241" s="26"/>
      <c r="SWX241" s="23"/>
      <c r="SXC241" s="26"/>
      <c r="SXG241" s="23"/>
      <c r="SXL241" s="26"/>
      <c r="SXP241" s="23"/>
      <c r="SXU241" s="26"/>
      <c r="SXY241" s="23"/>
      <c r="SYD241" s="26"/>
      <c r="SYH241" s="23"/>
      <c r="SYM241" s="26"/>
      <c r="SYQ241" s="23"/>
      <c r="SYV241" s="26"/>
      <c r="SYZ241" s="23"/>
      <c r="SZE241" s="26"/>
      <c r="SZI241" s="23"/>
      <c r="SZN241" s="26"/>
      <c r="SZR241" s="23"/>
      <c r="SZW241" s="26"/>
      <c r="TAA241" s="23"/>
      <c r="TAF241" s="26"/>
      <c r="TAJ241" s="23"/>
      <c r="TAO241" s="26"/>
      <c r="TAS241" s="23"/>
      <c r="TAX241" s="26"/>
      <c r="TBB241" s="23"/>
      <c r="TBG241" s="26"/>
      <c r="TBK241" s="23"/>
      <c r="TBP241" s="26"/>
      <c r="TBT241" s="23"/>
      <c r="TBY241" s="26"/>
      <c r="TCC241" s="23"/>
      <c r="TCH241" s="26"/>
      <c r="TCL241" s="23"/>
      <c r="TCQ241" s="26"/>
      <c r="TCU241" s="23"/>
      <c r="TCZ241" s="26"/>
      <c r="TDD241" s="23"/>
      <c r="TDI241" s="26"/>
      <c r="TDM241" s="23"/>
      <c r="TDR241" s="26"/>
      <c r="TDV241" s="23"/>
      <c r="TEA241" s="26"/>
      <c r="TEE241" s="23"/>
      <c r="TEJ241" s="26"/>
      <c r="TEN241" s="23"/>
      <c r="TES241" s="26"/>
      <c r="TEW241" s="23"/>
      <c r="TFB241" s="26"/>
      <c r="TFF241" s="23"/>
      <c r="TFK241" s="26"/>
      <c r="TFO241" s="23"/>
      <c r="TFT241" s="26"/>
      <c r="TFX241" s="23"/>
      <c r="TGC241" s="26"/>
      <c r="TGG241" s="23"/>
      <c r="TGL241" s="26"/>
      <c r="TGP241" s="23"/>
      <c r="TGU241" s="26"/>
      <c r="TGY241" s="23"/>
      <c r="THD241" s="26"/>
      <c r="THH241" s="23"/>
      <c r="THM241" s="26"/>
      <c r="THQ241" s="23"/>
      <c r="THV241" s="26"/>
      <c r="THZ241" s="23"/>
      <c r="TIE241" s="26"/>
      <c r="TII241" s="23"/>
      <c r="TIN241" s="26"/>
      <c r="TIR241" s="23"/>
      <c r="TIW241" s="26"/>
      <c r="TJA241" s="23"/>
      <c r="TJF241" s="26"/>
      <c r="TJJ241" s="23"/>
      <c r="TJO241" s="26"/>
      <c r="TJS241" s="23"/>
      <c r="TJX241" s="26"/>
      <c r="TKB241" s="23"/>
      <c r="TKG241" s="26"/>
      <c r="TKK241" s="23"/>
      <c r="TKP241" s="26"/>
      <c r="TKT241" s="23"/>
      <c r="TKY241" s="26"/>
      <c r="TLC241" s="23"/>
      <c r="TLH241" s="26"/>
      <c r="TLL241" s="23"/>
      <c r="TLQ241" s="26"/>
      <c r="TLU241" s="23"/>
      <c r="TLZ241" s="26"/>
      <c r="TMD241" s="23"/>
      <c r="TMI241" s="26"/>
      <c r="TMM241" s="23"/>
      <c r="TMR241" s="26"/>
      <c r="TMV241" s="23"/>
      <c r="TNA241" s="26"/>
      <c r="TNE241" s="23"/>
      <c r="TNJ241" s="26"/>
      <c r="TNN241" s="23"/>
      <c r="TNS241" s="26"/>
      <c r="TNW241" s="23"/>
      <c r="TOB241" s="26"/>
      <c r="TOF241" s="23"/>
      <c r="TOK241" s="26"/>
      <c r="TOO241" s="23"/>
      <c r="TOT241" s="26"/>
      <c r="TOX241" s="23"/>
      <c r="TPC241" s="26"/>
      <c r="TPG241" s="23"/>
      <c r="TPL241" s="26"/>
      <c r="TPP241" s="23"/>
      <c r="TPU241" s="26"/>
      <c r="TPY241" s="23"/>
      <c r="TQD241" s="26"/>
      <c r="TQH241" s="23"/>
      <c r="TQM241" s="26"/>
      <c r="TQQ241" s="23"/>
      <c r="TQV241" s="26"/>
      <c r="TQZ241" s="23"/>
      <c r="TRE241" s="26"/>
      <c r="TRI241" s="23"/>
      <c r="TRN241" s="26"/>
      <c r="TRR241" s="23"/>
      <c r="TRW241" s="26"/>
      <c r="TSA241" s="23"/>
      <c r="TSF241" s="26"/>
      <c r="TSJ241" s="23"/>
      <c r="TSO241" s="26"/>
      <c r="TSS241" s="23"/>
      <c r="TSX241" s="26"/>
      <c r="TTB241" s="23"/>
      <c r="TTG241" s="26"/>
      <c r="TTK241" s="23"/>
      <c r="TTP241" s="26"/>
      <c r="TTT241" s="23"/>
      <c r="TTY241" s="26"/>
      <c r="TUC241" s="23"/>
      <c r="TUH241" s="26"/>
      <c r="TUL241" s="23"/>
      <c r="TUQ241" s="26"/>
      <c r="TUU241" s="23"/>
      <c r="TUZ241" s="26"/>
      <c r="TVD241" s="23"/>
      <c r="TVI241" s="26"/>
      <c r="TVM241" s="23"/>
      <c r="TVR241" s="26"/>
      <c r="TVV241" s="23"/>
      <c r="TWA241" s="26"/>
      <c r="TWE241" s="23"/>
      <c r="TWJ241" s="26"/>
      <c r="TWN241" s="23"/>
      <c r="TWS241" s="26"/>
      <c r="TWW241" s="23"/>
      <c r="TXB241" s="26"/>
      <c r="TXF241" s="23"/>
      <c r="TXK241" s="26"/>
      <c r="TXO241" s="23"/>
      <c r="TXT241" s="26"/>
      <c r="TXX241" s="23"/>
      <c r="TYC241" s="26"/>
      <c r="TYG241" s="23"/>
      <c r="TYL241" s="26"/>
      <c r="TYP241" s="23"/>
      <c r="TYU241" s="26"/>
      <c r="TYY241" s="23"/>
      <c r="TZD241" s="26"/>
      <c r="TZH241" s="23"/>
      <c r="TZM241" s="26"/>
      <c r="TZQ241" s="23"/>
      <c r="TZV241" s="26"/>
      <c r="TZZ241" s="23"/>
      <c r="UAE241" s="26"/>
      <c r="UAI241" s="23"/>
      <c r="UAN241" s="26"/>
      <c r="UAR241" s="23"/>
      <c r="UAW241" s="26"/>
      <c r="UBA241" s="23"/>
      <c r="UBF241" s="26"/>
      <c r="UBJ241" s="23"/>
      <c r="UBO241" s="26"/>
      <c r="UBS241" s="23"/>
      <c r="UBX241" s="26"/>
      <c r="UCB241" s="23"/>
      <c r="UCG241" s="26"/>
      <c r="UCK241" s="23"/>
      <c r="UCP241" s="26"/>
      <c r="UCT241" s="23"/>
      <c r="UCY241" s="26"/>
      <c r="UDC241" s="23"/>
      <c r="UDH241" s="26"/>
      <c r="UDL241" s="23"/>
      <c r="UDQ241" s="26"/>
      <c r="UDU241" s="23"/>
      <c r="UDZ241" s="26"/>
      <c r="UED241" s="23"/>
      <c r="UEI241" s="26"/>
      <c r="UEM241" s="23"/>
      <c r="UER241" s="26"/>
      <c r="UEV241" s="23"/>
      <c r="UFA241" s="26"/>
      <c r="UFE241" s="23"/>
      <c r="UFJ241" s="26"/>
      <c r="UFN241" s="23"/>
      <c r="UFS241" s="26"/>
      <c r="UFW241" s="23"/>
      <c r="UGB241" s="26"/>
      <c r="UGF241" s="23"/>
      <c r="UGK241" s="26"/>
      <c r="UGO241" s="23"/>
      <c r="UGT241" s="26"/>
      <c r="UGX241" s="23"/>
      <c r="UHC241" s="26"/>
      <c r="UHG241" s="23"/>
      <c r="UHL241" s="26"/>
      <c r="UHP241" s="23"/>
      <c r="UHU241" s="26"/>
      <c r="UHY241" s="23"/>
      <c r="UID241" s="26"/>
      <c r="UIH241" s="23"/>
      <c r="UIM241" s="26"/>
      <c r="UIQ241" s="23"/>
      <c r="UIV241" s="26"/>
      <c r="UIZ241" s="23"/>
      <c r="UJE241" s="26"/>
      <c r="UJI241" s="23"/>
      <c r="UJN241" s="26"/>
      <c r="UJR241" s="23"/>
      <c r="UJW241" s="26"/>
      <c r="UKA241" s="23"/>
      <c r="UKF241" s="26"/>
      <c r="UKJ241" s="23"/>
      <c r="UKO241" s="26"/>
      <c r="UKS241" s="23"/>
      <c r="UKX241" s="26"/>
      <c r="ULB241" s="23"/>
      <c r="ULG241" s="26"/>
      <c r="ULK241" s="23"/>
      <c r="ULP241" s="26"/>
      <c r="ULT241" s="23"/>
      <c r="ULY241" s="26"/>
      <c r="UMC241" s="23"/>
      <c r="UMH241" s="26"/>
      <c r="UML241" s="23"/>
      <c r="UMQ241" s="26"/>
      <c r="UMU241" s="23"/>
      <c r="UMZ241" s="26"/>
      <c r="UND241" s="23"/>
      <c r="UNI241" s="26"/>
      <c r="UNM241" s="23"/>
      <c r="UNR241" s="26"/>
      <c r="UNV241" s="23"/>
      <c r="UOA241" s="26"/>
      <c r="UOE241" s="23"/>
      <c r="UOJ241" s="26"/>
      <c r="UON241" s="23"/>
      <c r="UOS241" s="26"/>
      <c r="UOW241" s="23"/>
      <c r="UPB241" s="26"/>
      <c r="UPF241" s="23"/>
      <c r="UPK241" s="26"/>
      <c r="UPO241" s="23"/>
      <c r="UPT241" s="26"/>
      <c r="UPX241" s="23"/>
      <c r="UQC241" s="26"/>
      <c r="UQG241" s="23"/>
      <c r="UQL241" s="26"/>
      <c r="UQP241" s="23"/>
      <c r="UQU241" s="26"/>
      <c r="UQY241" s="23"/>
      <c r="URD241" s="26"/>
      <c r="URH241" s="23"/>
      <c r="URM241" s="26"/>
      <c r="URQ241" s="23"/>
      <c r="URV241" s="26"/>
      <c r="URZ241" s="23"/>
      <c r="USE241" s="26"/>
      <c r="USI241" s="23"/>
      <c r="USN241" s="26"/>
      <c r="USR241" s="23"/>
      <c r="USW241" s="26"/>
      <c r="UTA241" s="23"/>
      <c r="UTF241" s="26"/>
      <c r="UTJ241" s="23"/>
      <c r="UTO241" s="26"/>
      <c r="UTS241" s="23"/>
      <c r="UTX241" s="26"/>
      <c r="UUB241" s="23"/>
      <c r="UUG241" s="26"/>
      <c r="UUK241" s="23"/>
      <c r="UUP241" s="26"/>
      <c r="UUT241" s="23"/>
      <c r="UUY241" s="26"/>
      <c r="UVC241" s="23"/>
      <c r="UVH241" s="26"/>
      <c r="UVL241" s="23"/>
      <c r="UVQ241" s="26"/>
      <c r="UVU241" s="23"/>
      <c r="UVZ241" s="26"/>
      <c r="UWD241" s="23"/>
      <c r="UWI241" s="26"/>
      <c r="UWM241" s="23"/>
      <c r="UWR241" s="26"/>
      <c r="UWV241" s="23"/>
      <c r="UXA241" s="26"/>
      <c r="UXE241" s="23"/>
      <c r="UXJ241" s="26"/>
      <c r="UXN241" s="23"/>
      <c r="UXS241" s="26"/>
      <c r="UXW241" s="23"/>
      <c r="UYB241" s="26"/>
      <c r="UYF241" s="23"/>
      <c r="UYK241" s="26"/>
      <c r="UYO241" s="23"/>
      <c r="UYT241" s="26"/>
      <c r="UYX241" s="23"/>
      <c r="UZC241" s="26"/>
      <c r="UZG241" s="23"/>
      <c r="UZL241" s="26"/>
      <c r="UZP241" s="23"/>
      <c r="UZU241" s="26"/>
      <c r="UZY241" s="23"/>
      <c r="VAD241" s="26"/>
      <c r="VAH241" s="23"/>
      <c r="VAM241" s="26"/>
      <c r="VAQ241" s="23"/>
      <c r="VAV241" s="26"/>
      <c r="VAZ241" s="23"/>
      <c r="VBE241" s="26"/>
      <c r="VBI241" s="23"/>
      <c r="VBN241" s="26"/>
      <c r="VBR241" s="23"/>
      <c r="VBW241" s="26"/>
      <c r="VCA241" s="23"/>
      <c r="VCF241" s="26"/>
      <c r="VCJ241" s="23"/>
      <c r="VCO241" s="26"/>
      <c r="VCS241" s="23"/>
      <c r="VCX241" s="26"/>
      <c r="VDB241" s="23"/>
      <c r="VDG241" s="26"/>
      <c r="VDK241" s="23"/>
      <c r="VDP241" s="26"/>
      <c r="VDT241" s="23"/>
      <c r="VDY241" s="26"/>
      <c r="VEC241" s="23"/>
      <c r="VEH241" s="26"/>
      <c r="VEL241" s="23"/>
      <c r="VEQ241" s="26"/>
      <c r="VEU241" s="23"/>
      <c r="VEZ241" s="26"/>
      <c r="VFD241" s="23"/>
      <c r="VFI241" s="26"/>
      <c r="VFM241" s="23"/>
      <c r="VFR241" s="26"/>
      <c r="VFV241" s="23"/>
      <c r="VGA241" s="26"/>
      <c r="VGE241" s="23"/>
      <c r="VGJ241" s="26"/>
      <c r="VGN241" s="23"/>
      <c r="VGS241" s="26"/>
      <c r="VGW241" s="23"/>
      <c r="VHB241" s="26"/>
      <c r="VHF241" s="23"/>
      <c r="VHK241" s="26"/>
      <c r="VHO241" s="23"/>
      <c r="VHT241" s="26"/>
      <c r="VHX241" s="23"/>
      <c r="VIC241" s="26"/>
      <c r="VIG241" s="23"/>
      <c r="VIL241" s="26"/>
      <c r="VIP241" s="23"/>
      <c r="VIU241" s="26"/>
      <c r="VIY241" s="23"/>
      <c r="VJD241" s="26"/>
      <c r="VJH241" s="23"/>
      <c r="VJM241" s="26"/>
      <c r="VJQ241" s="23"/>
      <c r="VJV241" s="26"/>
      <c r="VJZ241" s="23"/>
      <c r="VKE241" s="26"/>
      <c r="VKI241" s="23"/>
      <c r="VKN241" s="26"/>
      <c r="VKR241" s="23"/>
      <c r="VKW241" s="26"/>
      <c r="VLA241" s="23"/>
      <c r="VLF241" s="26"/>
      <c r="VLJ241" s="23"/>
      <c r="VLO241" s="26"/>
      <c r="VLS241" s="23"/>
      <c r="VLX241" s="26"/>
      <c r="VMB241" s="23"/>
      <c r="VMG241" s="26"/>
      <c r="VMK241" s="23"/>
      <c r="VMP241" s="26"/>
      <c r="VMT241" s="23"/>
      <c r="VMY241" s="26"/>
      <c r="VNC241" s="23"/>
      <c r="VNH241" s="26"/>
      <c r="VNL241" s="23"/>
      <c r="VNQ241" s="26"/>
      <c r="VNU241" s="23"/>
      <c r="VNZ241" s="26"/>
      <c r="VOD241" s="23"/>
      <c r="VOI241" s="26"/>
      <c r="VOM241" s="23"/>
      <c r="VOR241" s="26"/>
      <c r="VOV241" s="23"/>
      <c r="VPA241" s="26"/>
      <c r="VPE241" s="23"/>
      <c r="VPJ241" s="26"/>
      <c r="VPN241" s="23"/>
      <c r="VPS241" s="26"/>
      <c r="VPW241" s="23"/>
      <c r="VQB241" s="26"/>
      <c r="VQF241" s="23"/>
      <c r="VQK241" s="26"/>
      <c r="VQO241" s="23"/>
      <c r="VQT241" s="26"/>
      <c r="VQX241" s="23"/>
      <c r="VRC241" s="26"/>
      <c r="VRG241" s="23"/>
      <c r="VRL241" s="26"/>
      <c r="VRP241" s="23"/>
      <c r="VRU241" s="26"/>
      <c r="VRY241" s="23"/>
      <c r="VSD241" s="26"/>
      <c r="VSH241" s="23"/>
      <c r="VSM241" s="26"/>
      <c r="VSQ241" s="23"/>
      <c r="VSV241" s="26"/>
      <c r="VSZ241" s="23"/>
      <c r="VTE241" s="26"/>
      <c r="VTI241" s="23"/>
      <c r="VTN241" s="26"/>
      <c r="VTR241" s="23"/>
      <c r="VTW241" s="26"/>
      <c r="VUA241" s="23"/>
      <c r="VUF241" s="26"/>
      <c r="VUJ241" s="23"/>
      <c r="VUO241" s="26"/>
      <c r="VUS241" s="23"/>
      <c r="VUX241" s="26"/>
      <c r="VVB241" s="23"/>
      <c r="VVG241" s="26"/>
      <c r="VVK241" s="23"/>
      <c r="VVP241" s="26"/>
      <c r="VVT241" s="23"/>
      <c r="VVY241" s="26"/>
      <c r="VWC241" s="23"/>
      <c r="VWH241" s="26"/>
      <c r="VWL241" s="23"/>
      <c r="VWQ241" s="26"/>
      <c r="VWU241" s="23"/>
      <c r="VWZ241" s="26"/>
      <c r="VXD241" s="23"/>
      <c r="VXI241" s="26"/>
      <c r="VXM241" s="23"/>
      <c r="VXR241" s="26"/>
      <c r="VXV241" s="23"/>
      <c r="VYA241" s="26"/>
      <c r="VYE241" s="23"/>
      <c r="VYJ241" s="26"/>
      <c r="VYN241" s="23"/>
      <c r="VYS241" s="26"/>
      <c r="VYW241" s="23"/>
      <c r="VZB241" s="26"/>
      <c r="VZF241" s="23"/>
      <c r="VZK241" s="26"/>
      <c r="VZO241" s="23"/>
      <c r="VZT241" s="26"/>
      <c r="VZX241" s="23"/>
      <c r="WAC241" s="26"/>
      <c r="WAG241" s="23"/>
      <c r="WAL241" s="26"/>
      <c r="WAP241" s="23"/>
      <c r="WAU241" s="26"/>
      <c r="WAY241" s="23"/>
      <c r="WBD241" s="26"/>
      <c r="WBH241" s="23"/>
      <c r="WBM241" s="26"/>
      <c r="WBQ241" s="23"/>
      <c r="WBV241" s="26"/>
      <c r="WBZ241" s="23"/>
      <c r="WCE241" s="26"/>
      <c r="WCI241" s="23"/>
      <c r="WCN241" s="26"/>
      <c r="WCR241" s="23"/>
      <c r="WCW241" s="26"/>
      <c r="WDA241" s="23"/>
      <c r="WDF241" s="26"/>
      <c r="WDJ241" s="23"/>
      <c r="WDO241" s="26"/>
      <c r="WDS241" s="23"/>
      <c r="WDX241" s="26"/>
      <c r="WEB241" s="23"/>
      <c r="WEG241" s="26"/>
      <c r="WEK241" s="23"/>
      <c r="WEP241" s="26"/>
      <c r="WET241" s="23"/>
      <c r="WEY241" s="26"/>
      <c r="WFC241" s="23"/>
      <c r="WFH241" s="26"/>
      <c r="WFL241" s="23"/>
      <c r="WFQ241" s="26"/>
      <c r="WFU241" s="23"/>
      <c r="WFZ241" s="26"/>
      <c r="WGD241" s="23"/>
      <c r="WGI241" s="26"/>
      <c r="WGM241" s="23"/>
      <c r="WGR241" s="26"/>
      <c r="WGV241" s="23"/>
      <c r="WHA241" s="26"/>
      <c r="WHE241" s="23"/>
      <c r="WHJ241" s="26"/>
      <c r="WHN241" s="23"/>
      <c r="WHS241" s="26"/>
      <c r="WHW241" s="23"/>
      <c r="WIB241" s="26"/>
      <c r="WIF241" s="23"/>
      <c r="WIK241" s="26"/>
      <c r="WIO241" s="23"/>
      <c r="WIT241" s="26"/>
      <c r="WIX241" s="23"/>
      <c r="WJC241" s="26"/>
      <c r="WJG241" s="23"/>
      <c r="WJL241" s="26"/>
      <c r="WJP241" s="23"/>
      <c r="WJU241" s="26"/>
      <c r="WJY241" s="23"/>
      <c r="WKD241" s="26"/>
      <c r="WKH241" s="23"/>
      <c r="WKM241" s="26"/>
      <c r="WKQ241" s="23"/>
      <c r="WKV241" s="26"/>
      <c r="WKZ241" s="23"/>
      <c r="WLE241" s="26"/>
      <c r="WLI241" s="23"/>
      <c r="WLN241" s="26"/>
      <c r="WLR241" s="23"/>
      <c r="WLW241" s="26"/>
      <c r="WMA241" s="23"/>
      <c r="WMF241" s="26"/>
      <c r="WMJ241" s="23"/>
      <c r="WMO241" s="26"/>
      <c r="WMS241" s="23"/>
      <c r="WMX241" s="26"/>
      <c r="WNB241" s="23"/>
      <c r="WNG241" s="26"/>
      <c r="WNK241" s="23"/>
      <c r="WNP241" s="26"/>
      <c r="WNT241" s="23"/>
      <c r="WNY241" s="26"/>
      <c r="WOC241" s="23"/>
      <c r="WOH241" s="26"/>
      <c r="WOL241" s="23"/>
      <c r="WOQ241" s="26"/>
      <c r="WOU241" s="23"/>
      <c r="WOZ241" s="26"/>
      <c r="WPD241" s="23"/>
      <c r="WPI241" s="26"/>
      <c r="WPM241" s="23"/>
      <c r="WPR241" s="26"/>
      <c r="WPV241" s="23"/>
      <c r="WQA241" s="26"/>
      <c r="WQE241" s="23"/>
      <c r="WQJ241" s="26"/>
      <c r="WQN241" s="23"/>
      <c r="WQS241" s="26"/>
      <c r="WQW241" s="23"/>
      <c r="WRB241" s="26"/>
      <c r="WRF241" s="23"/>
      <c r="WRK241" s="26"/>
      <c r="WRO241" s="23"/>
      <c r="WRT241" s="26"/>
      <c r="WRX241" s="23"/>
      <c r="WSC241" s="26"/>
      <c r="WSG241" s="23"/>
      <c r="WSL241" s="26"/>
      <c r="WSP241" s="23"/>
      <c r="WSU241" s="26"/>
      <c r="WSY241" s="23"/>
      <c r="WTD241" s="26"/>
      <c r="WTH241" s="23"/>
      <c r="WTM241" s="26"/>
      <c r="WTQ241" s="23"/>
      <c r="WTV241" s="26"/>
      <c r="WTZ241" s="23"/>
      <c r="WUE241" s="26"/>
      <c r="WUI241" s="23"/>
      <c r="WUN241" s="26"/>
      <c r="WUR241" s="23"/>
      <c r="WUW241" s="26"/>
      <c r="WVA241" s="23"/>
      <c r="WVF241" s="26"/>
      <c r="WVJ241" s="23"/>
      <c r="WVO241" s="26"/>
      <c r="WVS241" s="23"/>
      <c r="WVX241" s="26"/>
      <c r="WWB241" s="23"/>
      <c r="WWG241" s="26"/>
      <c r="WWK241" s="23"/>
      <c r="WWP241" s="26"/>
      <c r="WWT241" s="23"/>
      <c r="WWY241" s="26"/>
      <c r="WXC241" s="23"/>
      <c r="WXH241" s="26"/>
      <c r="WXL241" s="23"/>
      <c r="WXQ241" s="26"/>
      <c r="WXU241" s="23"/>
      <c r="WXZ241" s="26"/>
      <c r="WYD241" s="23"/>
      <c r="WYI241" s="26"/>
      <c r="WYM241" s="23"/>
      <c r="WYR241" s="26"/>
      <c r="WYV241" s="23"/>
      <c r="WZA241" s="26"/>
      <c r="WZE241" s="23"/>
      <c r="WZJ241" s="26"/>
      <c r="WZN241" s="23"/>
      <c r="WZS241" s="26"/>
      <c r="WZW241" s="23"/>
      <c r="XAB241" s="26"/>
      <c r="XAF241" s="23"/>
      <c r="XAK241" s="26"/>
      <c r="XAO241" s="23"/>
      <c r="XAT241" s="26"/>
      <c r="XAX241" s="23"/>
      <c r="XBC241" s="26"/>
      <c r="XBG241" s="23"/>
      <c r="XBL241" s="26"/>
      <c r="XBP241" s="23"/>
      <c r="XBU241" s="26"/>
      <c r="XBY241" s="23"/>
      <c r="XCD241" s="26"/>
      <c r="XCH241" s="23"/>
      <c r="XCM241" s="26"/>
      <c r="XCQ241" s="23"/>
      <c r="XCV241" s="26"/>
      <c r="XCZ241" s="23"/>
      <c r="XDE241" s="26"/>
      <c r="XDI241" s="23"/>
      <c r="XDN241" s="26"/>
      <c r="XDR241" s="23"/>
      <c r="XDW241" s="26"/>
      <c r="XEA241" s="23"/>
      <c r="XEF241" s="26"/>
      <c r="XEJ241" s="23"/>
      <c r="XEO241" s="26"/>
      <c r="XES241" s="23"/>
      <c r="XEX241" s="26"/>
      <c r="XFB241" s="23"/>
    </row>
    <row r="242" spans="2:1024 1028:2045 2050:3071 3076:4093 4097:5119 5123:6140 6145:7166 7171:8192 8197:9214 9218:10240 10244:11261 11266:12287 12292:13309 13313:14335 14339:15356 15361:16382" x14ac:dyDescent="0.3">
      <c r="B242" s="23"/>
      <c r="K242" s="23"/>
      <c r="P242" s="26"/>
      <c r="T242" s="23"/>
      <c r="Y242" s="26"/>
      <c r="AC242" s="23"/>
      <c r="AH242" s="26"/>
      <c r="AL242" s="23"/>
      <c r="AQ242" s="26"/>
      <c r="AU242" s="23"/>
      <c r="AZ242" s="26"/>
      <c r="BD242" s="23"/>
      <c r="BI242" s="26"/>
      <c r="BM242" s="23"/>
      <c r="BR242" s="26"/>
      <c r="BV242" s="23"/>
      <c r="CA242" s="26"/>
      <c r="CE242" s="23"/>
      <c r="CJ242" s="26"/>
      <c r="CN242" s="23"/>
      <c r="CS242" s="26"/>
      <c r="CW242" s="23"/>
      <c r="DB242" s="26"/>
      <c r="DF242" s="23"/>
      <c r="DK242" s="26"/>
      <c r="DO242" s="23"/>
      <c r="DT242" s="26"/>
      <c r="DX242" s="23"/>
      <c r="EC242" s="26"/>
      <c r="EG242" s="23"/>
      <c r="EL242" s="26"/>
      <c r="EP242" s="23"/>
      <c r="EU242" s="26"/>
      <c r="EY242" s="23"/>
      <c r="FD242" s="26"/>
      <c r="FH242" s="23"/>
      <c r="FM242" s="26"/>
      <c r="FQ242" s="23"/>
      <c r="FV242" s="26"/>
      <c r="FZ242" s="23"/>
      <c r="GE242" s="26"/>
      <c r="GI242" s="23"/>
      <c r="GN242" s="26"/>
      <c r="GR242" s="23"/>
      <c r="GW242" s="26"/>
      <c r="HA242" s="23"/>
      <c r="HF242" s="26"/>
      <c r="HJ242" s="23"/>
      <c r="HO242" s="26"/>
      <c r="HS242" s="23"/>
      <c r="HX242" s="26"/>
      <c r="IB242" s="23"/>
      <c r="IG242" s="26"/>
      <c r="IK242" s="23"/>
      <c r="IP242" s="26"/>
      <c r="IT242" s="23"/>
      <c r="IY242" s="26"/>
      <c r="JC242" s="23"/>
      <c r="JH242" s="26"/>
      <c r="JL242" s="23"/>
      <c r="JQ242" s="26"/>
      <c r="JU242" s="23"/>
      <c r="JZ242" s="26"/>
      <c r="KD242" s="23"/>
      <c r="KI242" s="26"/>
      <c r="KM242" s="23"/>
      <c r="KR242" s="26"/>
      <c r="KV242" s="23"/>
      <c r="LA242" s="26"/>
      <c r="LE242" s="23"/>
      <c r="LJ242" s="26"/>
      <c r="LN242" s="23"/>
      <c r="LS242" s="26"/>
      <c r="LW242" s="23"/>
      <c r="MB242" s="26"/>
      <c r="MF242" s="23"/>
      <c r="MK242" s="26"/>
      <c r="MO242" s="23"/>
      <c r="MT242" s="26"/>
      <c r="MX242" s="23"/>
      <c r="NC242" s="26"/>
      <c r="NG242" s="23"/>
      <c r="NL242" s="26"/>
      <c r="NP242" s="23"/>
      <c r="NU242" s="26"/>
      <c r="NY242" s="23"/>
      <c r="OD242" s="26"/>
      <c r="OH242" s="23"/>
      <c r="OM242" s="26"/>
      <c r="OQ242" s="23"/>
      <c r="OV242" s="26"/>
      <c r="OZ242" s="23"/>
      <c r="PE242" s="26"/>
      <c r="PI242" s="23"/>
      <c r="PN242" s="26"/>
      <c r="PR242" s="23"/>
      <c r="PW242" s="26"/>
      <c r="QA242" s="23"/>
      <c r="QF242" s="26"/>
      <c r="QJ242" s="23"/>
      <c r="QO242" s="26"/>
      <c r="QS242" s="23"/>
      <c r="QX242" s="26"/>
      <c r="RB242" s="23"/>
      <c r="RG242" s="26"/>
      <c r="RK242" s="23"/>
      <c r="RP242" s="26"/>
      <c r="RT242" s="23"/>
      <c r="RY242" s="26"/>
      <c r="SC242" s="23"/>
      <c r="SH242" s="26"/>
      <c r="SL242" s="23"/>
      <c r="SQ242" s="26"/>
      <c r="SU242" s="23"/>
      <c r="SZ242" s="26"/>
      <c r="TD242" s="23"/>
      <c r="TI242" s="26"/>
      <c r="TM242" s="23"/>
      <c r="TR242" s="26"/>
      <c r="TV242" s="23"/>
      <c r="UA242" s="26"/>
      <c r="UE242" s="23"/>
      <c r="UJ242" s="26"/>
      <c r="UN242" s="23"/>
      <c r="US242" s="26"/>
      <c r="UW242" s="23"/>
      <c r="VB242" s="26"/>
      <c r="VF242" s="23"/>
      <c r="VK242" s="26"/>
      <c r="VO242" s="23"/>
      <c r="VT242" s="26"/>
      <c r="VX242" s="23"/>
      <c r="WC242" s="26"/>
      <c r="WG242" s="23"/>
      <c r="WL242" s="26"/>
      <c r="WP242" s="23"/>
      <c r="WU242" s="26"/>
      <c r="WY242" s="23"/>
      <c r="XD242" s="26"/>
      <c r="XH242" s="23"/>
      <c r="XM242" s="26"/>
      <c r="XQ242" s="23"/>
      <c r="XV242" s="26"/>
      <c r="XZ242" s="23"/>
      <c r="YE242" s="26"/>
      <c r="YI242" s="23"/>
      <c r="YN242" s="26"/>
      <c r="YR242" s="23"/>
      <c r="YW242" s="26"/>
      <c r="ZA242" s="23"/>
      <c r="ZF242" s="26"/>
      <c r="ZJ242" s="23"/>
      <c r="ZO242" s="26"/>
      <c r="ZS242" s="23"/>
      <c r="ZX242" s="26"/>
      <c r="AAB242" s="23"/>
      <c r="AAG242" s="26"/>
      <c r="AAK242" s="23"/>
      <c r="AAP242" s="26"/>
      <c r="AAT242" s="23"/>
      <c r="AAY242" s="26"/>
      <c r="ABC242" s="23"/>
      <c r="ABH242" s="26"/>
      <c r="ABL242" s="23"/>
      <c r="ABQ242" s="26"/>
      <c r="ABU242" s="23"/>
      <c r="ABZ242" s="26"/>
      <c r="ACD242" s="23"/>
      <c r="ACI242" s="26"/>
      <c r="ACM242" s="23"/>
      <c r="ACR242" s="26"/>
      <c r="ACV242" s="23"/>
      <c r="ADA242" s="26"/>
      <c r="ADE242" s="23"/>
      <c r="ADJ242" s="26"/>
      <c r="ADN242" s="23"/>
      <c r="ADS242" s="26"/>
      <c r="ADW242" s="23"/>
      <c r="AEB242" s="26"/>
      <c r="AEF242" s="23"/>
      <c r="AEK242" s="26"/>
      <c r="AEO242" s="23"/>
      <c r="AET242" s="26"/>
      <c r="AEX242" s="23"/>
      <c r="AFC242" s="26"/>
      <c r="AFG242" s="23"/>
      <c r="AFL242" s="26"/>
      <c r="AFP242" s="23"/>
      <c r="AFU242" s="26"/>
      <c r="AFY242" s="23"/>
      <c r="AGD242" s="26"/>
      <c r="AGH242" s="23"/>
      <c r="AGM242" s="26"/>
      <c r="AGQ242" s="23"/>
      <c r="AGV242" s="26"/>
      <c r="AGZ242" s="23"/>
      <c r="AHE242" s="26"/>
      <c r="AHI242" s="23"/>
      <c r="AHN242" s="26"/>
      <c r="AHR242" s="23"/>
      <c r="AHW242" s="26"/>
      <c r="AIA242" s="23"/>
      <c r="AIF242" s="26"/>
      <c r="AIJ242" s="23"/>
      <c r="AIO242" s="26"/>
      <c r="AIS242" s="23"/>
      <c r="AIX242" s="26"/>
      <c r="AJB242" s="23"/>
      <c r="AJG242" s="26"/>
      <c r="AJK242" s="23"/>
      <c r="AJP242" s="26"/>
      <c r="AJT242" s="23"/>
      <c r="AJY242" s="26"/>
      <c r="AKC242" s="23"/>
      <c r="AKH242" s="26"/>
      <c r="AKL242" s="23"/>
      <c r="AKQ242" s="26"/>
      <c r="AKU242" s="23"/>
      <c r="AKZ242" s="26"/>
      <c r="ALD242" s="23"/>
      <c r="ALI242" s="26"/>
      <c r="ALM242" s="23"/>
      <c r="ALR242" s="26"/>
      <c r="ALV242" s="23"/>
      <c r="AMA242" s="26"/>
      <c r="AME242" s="23"/>
      <c r="AMJ242" s="26"/>
      <c r="AMN242" s="23"/>
      <c r="AMS242" s="26"/>
      <c r="AMW242" s="23"/>
      <c r="ANB242" s="26"/>
      <c r="ANF242" s="23"/>
      <c r="ANK242" s="26"/>
      <c r="ANO242" s="23"/>
      <c r="ANT242" s="26"/>
      <c r="ANX242" s="23"/>
      <c r="AOC242" s="26"/>
      <c r="AOG242" s="23"/>
      <c r="AOL242" s="26"/>
      <c r="AOP242" s="23"/>
      <c r="AOU242" s="26"/>
      <c r="AOY242" s="23"/>
      <c r="APD242" s="26"/>
      <c r="APH242" s="23"/>
      <c r="APM242" s="26"/>
      <c r="APQ242" s="23"/>
      <c r="APV242" s="26"/>
      <c r="APZ242" s="23"/>
      <c r="AQE242" s="26"/>
      <c r="AQI242" s="23"/>
      <c r="AQN242" s="26"/>
      <c r="AQR242" s="23"/>
      <c r="AQW242" s="26"/>
      <c r="ARA242" s="23"/>
      <c r="ARF242" s="26"/>
      <c r="ARJ242" s="23"/>
      <c r="ARO242" s="26"/>
      <c r="ARS242" s="23"/>
      <c r="ARX242" s="26"/>
      <c r="ASB242" s="23"/>
      <c r="ASG242" s="26"/>
      <c r="ASK242" s="23"/>
      <c r="ASP242" s="26"/>
      <c r="AST242" s="23"/>
      <c r="ASY242" s="26"/>
      <c r="ATC242" s="23"/>
      <c r="ATH242" s="26"/>
      <c r="ATL242" s="23"/>
      <c r="ATQ242" s="26"/>
      <c r="ATU242" s="23"/>
      <c r="ATZ242" s="26"/>
      <c r="AUD242" s="23"/>
      <c r="AUI242" s="26"/>
      <c r="AUM242" s="23"/>
      <c r="AUR242" s="26"/>
      <c r="AUV242" s="23"/>
      <c r="AVA242" s="26"/>
      <c r="AVE242" s="23"/>
      <c r="AVJ242" s="26"/>
      <c r="AVN242" s="23"/>
      <c r="AVS242" s="26"/>
      <c r="AVW242" s="23"/>
      <c r="AWB242" s="26"/>
      <c r="AWF242" s="23"/>
      <c r="AWK242" s="26"/>
      <c r="AWO242" s="23"/>
      <c r="AWT242" s="26"/>
      <c r="AWX242" s="23"/>
      <c r="AXC242" s="26"/>
      <c r="AXG242" s="23"/>
      <c r="AXL242" s="26"/>
      <c r="AXP242" s="23"/>
      <c r="AXU242" s="26"/>
      <c r="AXY242" s="23"/>
      <c r="AYD242" s="26"/>
      <c r="AYH242" s="23"/>
      <c r="AYM242" s="26"/>
      <c r="AYQ242" s="23"/>
      <c r="AYV242" s="26"/>
      <c r="AYZ242" s="23"/>
      <c r="AZE242" s="26"/>
      <c r="AZI242" s="23"/>
      <c r="AZN242" s="26"/>
      <c r="AZR242" s="23"/>
      <c r="AZW242" s="26"/>
      <c r="BAA242" s="23"/>
      <c r="BAF242" s="26"/>
      <c r="BAJ242" s="23"/>
      <c r="BAO242" s="26"/>
      <c r="BAS242" s="23"/>
      <c r="BAX242" s="26"/>
      <c r="BBB242" s="23"/>
      <c r="BBG242" s="26"/>
      <c r="BBK242" s="23"/>
      <c r="BBP242" s="26"/>
      <c r="BBT242" s="23"/>
      <c r="BBY242" s="26"/>
      <c r="BCC242" s="23"/>
      <c r="BCH242" s="26"/>
      <c r="BCL242" s="23"/>
      <c r="BCQ242" s="26"/>
      <c r="BCU242" s="23"/>
      <c r="BCZ242" s="26"/>
      <c r="BDD242" s="23"/>
      <c r="BDI242" s="26"/>
      <c r="BDM242" s="23"/>
      <c r="BDR242" s="26"/>
      <c r="BDV242" s="23"/>
      <c r="BEA242" s="26"/>
      <c r="BEE242" s="23"/>
      <c r="BEJ242" s="26"/>
      <c r="BEN242" s="23"/>
      <c r="BES242" s="26"/>
      <c r="BEW242" s="23"/>
      <c r="BFB242" s="26"/>
      <c r="BFF242" s="23"/>
      <c r="BFK242" s="26"/>
      <c r="BFO242" s="23"/>
      <c r="BFT242" s="26"/>
      <c r="BFX242" s="23"/>
      <c r="BGC242" s="26"/>
      <c r="BGG242" s="23"/>
      <c r="BGL242" s="26"/>
      <c r="BGP242" s="23"/>
      <c r="BGU242" s="26"/>
      <c r="BGY242" s="23"/>
      <c r="BHD242" s="26"/>
      <c r="BHH242" s="23"/>
      <c r="BHM242" s="26"/>
      <c r="BHQ242" s="23"/>
      <c r="BHV242" s="26"/>
      <c r="BHZ242" s="23"/>
      <c r="BIE242" s="26"/>
      <c r="BII242" s="23"/>
      <c r="BIN242" s="26"/>
      <c r="BIR242" s="23"/>
      <c r="BIW242" s="26"/>
      <c r="BJA242" s="23"/>
      <c r="BJF242" s="26"/>
      <c r="BJJ242" s="23"/>
      <c r="BJO242" s="26"/>
      <c r="BJS242" s="23"/>
      <c r="BJX242" s="26"/>
      <c r="BKB242" s="23"/>
      <c r="BKG242" s="26"/>
      <c r="BKK242" s="23"/>
      <c r="BKP242" s="26"/>
      <c r="BKT242" s="23"/>
      <c r="BKY242" s="26"/>
      <c r="BLC242" s="23"/>
      <c r="BLH242" s="26"/>
      <c r="BLL242" s="23"/>
      <c r="BLQ242" s="26"/>
      <c r="BLU242" s="23"/>
      <c r="BLZ242" s="26"/>
      <c r="BMD242" s="23"/>
      <c r="BMI242" s="26"/>
      <c r="BMM242" s="23"/>
      <c r="BMR242" s="26"/>
      <c r="BMV242" s="23"/>
      <c r="BNA242" s="26"/>
      <c r="BNE242" s="23"/>
      <c r="BNJ242" s="26"/>
      <c r="BNN242" s="23"/>
      <c r="BNS242" s="26"/>
      <c r="BNW242" s="23"/>
      <c r="BOB242" s="26"/>
      <c r="BOF242" s="23"/>
      <c r="BOK242" s="26"/>
      <c r="BOO242" s="23"/>
      <c r="BOT242" s="26"/>
      <c r="BOX242" s="23"/>
      <c r="BPC242" s="26"/>
      <c r="BPG242" s="23"/>
      <c r="BPL242" s="26"/>
      <c r="BPP242" s="23"/>
      <c r="BPU242" s="26"/>
      <c r="BPY242" s="23"/>
      <c r="BQD242" s="26"/>
      <c r="BQH242" s="23"/>
      <c r="BQM242" s="26"/>
      <c r="BQQ242" s="23"/>
      <c r="BQV242" s="26"/>
      <c r="BQZ242" s="23"/>
      <c r="BRE242" s="26"/>
      <c r="BRI242" s="23"/>
      <c r="BRN242" s="26"/>
      <c r="BRR242" s="23"/>
      <c r="BRW242" s="26"/>
      <c r="BSA242" s="23"/>
      <c r="BSF242" s="26"/>
      <c r="BSJ242" s="23"/>
      <c r="BSO242" s="26"/>
      <c r="BSS242" s="23"/>
      <c r="BSX242" s="26"/>
      <c r="BTB242" s="23"/>
      <c r="BTG242" s="26"/>
      <c r="BTK242" s="23"/>
      <c r="BTP242" s="26"/>
      <c r="BTT242" s="23"/>
      <c r="BTY242" s="26"/>
      <c r="BUC242" s="23"/>
      <c r="BUH242" s="26"/>
      <c r="BUL242" s="23"/>
      <c r="BUQ242" s="26"/>
      <c r="BUU242" s="23"/>
      <c r="BUZ242" s="26"/>
      <c r="BVD242" s="23"/>
      <c r="BVI242" s="26"/>
      <c r="BVM242" s="23"/>
      <c r="BVR242" s="26"/>
      <c r="BVV242" s="23"/>
      <c r="BWA242" s="26"/>
      <c r="BWE242" s="23"/>
      <c r="BWJ242" s="26"/>
      <c r="BWN242" s="23"/>
      <c r="BWS242" s="26"/>
      <c r="BWW242" s="23"/>
      <c r="BXB242" s="26"/>
      <c r="BXF242" s="23"/>
      <c r="BXK242" s="26"/>
      <c r="BXO242" s="23"/>
      <c r="BXT242" s="26"/>
      <c r="BXX242" s="23"/>
      <c r="BYC242" s="26"/>
      <c r="BYG242" s="23"/>
      <c r="BYL242" s="26"/>
      <c r="BYP242" s="23"/>
      <c r="BYU242" s="26"/>
      <c r="BYY242" s="23"/>
      <c r="BZD242" s="26"/>
      <c r="BZH242" s="23"/>
      <c r="BZM242" s="26"/>
      <c r="BZQ242" s="23"/>
      <c r="BZV242" s="26"/>
      <c r="BZZ242" s="23"/>
      <c r="CAE242" s="26"/>
      <c r="CAI242" s="23"/>
      <c r="CAN242" s="26"/>
      <c r="CAR242" s="23"/>
      <c r="CAW242" s="26"/>
      <c r="CBA242" s="23"/>
      <c r="CBF242" s="26"/>
      <c r="CBJ242" s="23"/>
      <c r="CBO242" s="26"/>
      <c r="CBS242" s="23"/>
      <c r="CBX242" s="26"/>
      <c r="CCB242" s="23"/>
      <c r="CCG242" s="26"/>
      <c r="CCK242" s="23"/>
      <c r="CCP242" s="26"/>
      <c r="CCT242" s="23"/>
      <c r="CCY242" s="26"/>
      <c r="CDC242" s="23"/>
      <c r="CDH242" s="26"/>
      <c r="CDL242" s="23"/>
      <c r="CDQ242" s="26"/>
      <c r="CDU242" s="23"/>
      <c r="CDZ242" s="26"/>
      <c r="CED242" s="23"/>
      <c r="CEI242" s="26"/>
      <c r="CEM242" s="23"/>
      <c r="CER242" s="26"/>
      <c r="CEV242" s="23"/>
      <c r="CFA242" s="26"/>
      <c r="CFE242" s="23"/>
      <c r="CFJ242" s="26"/>
      <c r="CFN242" s="23"/>
      <c r="CFS242" s="26"/>
      <c r="CFW242" s="23"/>
      <c r="CGB242" s="26"/>
      <c r="CGF242" s="23"/>
      <c r="CGK242" s="26"/>
      <c r="CGO242" s="23"/>
      <c r="CGT242" s="26"/>
      <c r="CGX242" s="23"/>
      <c r="CHC242" s="26"/>
      <c r="CHG242" s="23"/>
      <c r="CHL242" s="26"/>
      <c r="CHP242" s="23"/>
      <c r="CHU242" s="26"/>
      <c r="CHY242" s="23"/>
      <c r="CID242" s="26"/>
      <c r="CIH242" s="23"/>
      <c r="CIM242" s="26"/>
      <c r="CIQ242" s="23"/>
      <c r="CIV242" s="26"/>
      <c r="CIZ242" s="23"/>
      <c r="CJE242" s="26"/>
      <c r="CJI242" s="23"/>
      <c r="CJN242" s="26"/>
      <c r="CJR242" s="23"/>
      <c r="CJW242" s="26"/>
      <c r="CKA242" s="23"/>
      <c r="CKF242" s="26"/>
      <c r="CKJ242" s="23"/>
      <c r="CKO242" s="26"/>
      <c r="CKS242" s="23"/>
      <c r="CKX242" s="26"/>
      <c r="CLB242" s="23"/>
      <c r="CLG242" s="26"/>
      <c r="CLK242" s="23"/>
      <c r="CLP242" s="26"/>
      <c r="CLT242" s="23"/>
      <c r="CLY242" s="26"/>
      <c r="CMC242" s="23"/>
      <c r="CMH242" s="26"/>
      <c r="CML242" s="23"/>
      <c r="CMQ242" s="26"/>
      <c r="CMU242" s="23"/>
      <c r="CMZ242" s="26"/>
      <c r="CND242" s="23"/>
      <c r="CNI242" s="26"/>
      <c r="CNM242" s="23"/>
      <c r="CNR242" s="26"/>
      <c r="CNV242" s="23"/>
      <c r="COA242" s="26"/>
      <c r="COE242" s="23"/>
      <c r="COJ242" s="26"/>
      <c r="CON242" s="23"/>
      <c r="COS242" s="26"/>
      <c r="COW242" s="23"/>
      <c r="CPB242" s="26"/>
      <c r="CPF242" s="23"/>
      <c r="CPK242" s="26"/>
      <c r="CPO242" s="23"/>
      <c r="CPT242" s="26"/>
      <c r="CPX242" s="23"/>
      <c r="CQC242" s="26"/>
      <c r="CQG242" s="23"/>
      <c r="CQL242" s="26"/>
      <c r="CQP242" s="23"/>
      <c r="CQU242" s="26"/>
      <c r="CQY242" s="23"/>
      <c r="CRD242" s="26"/>
      <c r="CRH242" s="23"/>
      <c r="CRM242" s="26"/>
      <c r="CRQ242" s="23"/>
      <c r="CRV242" s="26"/>
      <c r="CRZ242" s="23"/>
      <c r="CSE242" s="26"/>
      <c r="CSI242" s="23"/>
      <c r="CSN242" s="26"/>
      <c r="CSR242" s="23"/>
      <c r="CSW242" s="26"/>
      <c r="CTA242" s="23"/>
      <c r="CTF242" s="26"/>
      <c r="CTJ242" s="23"/>
      <c r="CTO242" s="26"/>
      <c r="CTS242" s="23"/>
      <c r="CTX242" s="26"/>
      <c r="CUB242" s="23"/>
      <c r="CUG242" s="26"/>
      <c r="CUK242" s="23"/>
      <c r="CUP242" s="26"/>
      <c r="CUT242" s="23"/>
      <c r="CUY242" s="26"/>
      <c r="CVC242" s="23"/>
      <c r="CVH242" s="26"/>
      <c r="CVL242" s="23"/>
      <c r="CVQ242" s="26"/>
      <c r="CVU242" s="23"/>
      <c r="CVZ242" s="26"/>
      <c r="CWD242" s="23"/>
      <c r="CWI242" s="26"/>
      <c r="CWM242" s="23"/>
      <c r="CWR242" s="26"/>
      <c r="CWV242" s="23"/>
      <c r="CXA242" s="26"/>
      <c r="CXE242" s="23"/>
      <c r="CXJ242" s="26"/>
      <c r="CXN242" s="23"/>
      <c r="CXS242" s="26"/>
      <c r="CXW242" s="23"/>
      <c r="CYB242" s="26"/>
      <c r="CYF242" s="23"/>
      <c r="CYK242" s="26"/>
      <c r="CYO242" s="23"/>
      <c r="CYT242" s="26"/>
      <c r="CYX242" s="23"/>
      <c r="CZC242" s="26"/>
      <c r="CZG242" s="23"/>
      <c r="CZL242" s="26"/>
      <c r="CZP242" s="23"/>
      <c r="CZU242" s="26"/>
      <c r="CZY242" s="23"/>
      <c r="DAD242" s="26"/>
      <c r="DAH242" s="23"/>
      <c r="DAM242" s="26"/>
      <c r="DAQ242" s="23"/>
      <c r="DAV242" s="26"/>
      <c r="DAZ242" s="23"/>
      <c r="DBE242" s="26"/>
      <c r="DBI242" s="23"/>
      <c r="DBN242" s="26"/>
      <c r="DBR242" s="23"/>
      <c r="DBW242" s="26"/>
      <c r="DCA242" s="23"/>
      <c r="DCF242" s="26"/>
      <c r="DCJ242" s="23"/>
      <c r="DCO242" s="26"/>
      <c r="DCS242" s="23"/>
      <c r="DCX242" s="26"/>
      <c r="DDB242" s="23"/>
      <c r="DDG242" s="26"/>
      <c r="DDK242" s="23"/>
      <c r="DDP242" s="26"/>
      <c r="DDT242" s="23"/>
      <c r="DDY242" s="26"/>
      <c r="DEC242" s="23"/>
      <c r="DEH242" s="26"/>
      <c r="DEL242" s="23"/>
      <c r="DEQ242" s="26"/>
      <c r="DEU242" s="23"/>
      <c r="DEZ242" s="26"/>
      <c r="DFD242" s="23"/>
      <c r="DFI242" s="26"/>
      <c r="DFM242" s="23"/>
      <c r="DFR242" s="26"/>
      <c r="DFV242" s="23"/>
      <c r="DGA242" s="26"/>
      <c r="DGE242" s="23"/>
      <c r="DGJ242" s="26"/>
      <c r="DGN242" s="23"/>
      <c r="DGS242" s="26"/>
      <c r="DGW242" s="23"/>
      <c r="DHB242" s="26"/>
      <c r="DHF242" s="23"/>
      <c r="DHK242" s="26"/>
      <c r="DHO242" s="23"/>
      <c r="DHT242" s="26"/>
      <c r="DHX242" s="23"/>
      <c r="DIC242" s="26"/>
      <c r="DIG242" s="23"/>
      <c r="DIL242" s="26"/>
      <c r="DIP242" s="23"/>
      <c r="DIU242" s="26"/>
      <c r="DIY242" s="23"/>
      <c r="DJD242" s="26"/>
      <c r="DJH242" s="23"/>
      <c r="DJM242" s="26"/>
      <c r="DJQ242" s="23"/>
      <c r="DJV242" s="26"/>
      <c r="DJZ242" s="23"/>
      <c r="DKE242" s="26"/>
      <c r="DKI242" s="23"/>
      <c r="DKN242" s="26"/>
      <c r="DKR242" s="23"/>
      <c r="DKW242" s="26"/>
      <c r="DLA242" s="23"/>
      <c r="DLF242" s="26"/>
      <c r="DLJ242" s="23"/>
      <c r="DLO242" s="26"/>
      <c r="DLS242" s="23"/>
      <c r="DLX242" s="26"/>
      <c r="DMB242" s="23"/>
      <c r="DMG242" s="26"/>
      <c r="DMK242" s="23"/>
      <c r="DMP242" s="26"/>
      <c r="DMT242" s="23"/>
      <c r="DMY242" s="26"/>
      <c r="DNC242" s="23"/>
      <c r="DNH242" s="26"/>
      <c r="DNL242" s="23"/>
      <c r="DNQ242" s="26"/>
      <c r="DNU242" s="23"/>
      <c r="DNZ242" s="26"/>
      <c r="DOD242" s="23"/>
      <c r="DOI242" s="26"/>
      <c r="DOM242" s="23"/>
      <c r="DOR242" s="26"/>
      <c r="DOV242" s="23"/>
      <c r="DPA242" s="26"/>
      <c r="DPE242" s="23"/>
      <c r="DPJ242" s="26"/>
      <c r="DPN242" s="23"/>
      <c r="DPS242" s="26"/>
      <c r="DPW242" s="23"/>
      <c r="DQB242" s="26"/>
      <c r="DQF242" s="23"/>
      <c r="DQK242" s="26"/>
      <c r="DQO242" s="23"/>
      <c r="DQT242" s="26"/>
      <c r="DQX242" s="23"/>
      <c r="DRC242" s="26"/>
      <c r="DRG242" s="23"/>
      <c r="DRL242" s="26"/>
      <c r="DRP242" s="23"/>
      <c r="DRU242" s="26"/>
      <c r="DRY242" s="23"/>
      <c r="DSD242" s="26"/>
      <c r="DSH242" s="23"/>
      <c r="DSM242" s="26"/>
      <c r="DSQ242" s="23"/>
      <c r="DSV242" s="26"/>
      <c r="DSZ242" s="23"/>
      <c r="DTE242" s="26"/>
      <c r="DTI242" s="23"/>
      <c r="DTN242" s="26"/>
      <c r="DTR242" s="23"/>
      <c r="DTW242" s="26"/>
      <c r="DUA242" s="23"/>
      <c r="DUF242" s="26"/>
      <c r="DUJ242" s="23"/>
      <c r="DUO242" s="26"/>
      <c r="DUS242" s="23"/>
      <c r="DUX242" s="26"/>
      <c r="DVB242" s="23"/>
      <c r="DVG242" s="26"/>
      <c r="DVK242" s="23"/>
      <c r="DVP242" s="26"/>
      <c r="DVT242" s="23"/>
      <c r="DVY242" s="26"/>
      <c r="DWC242" s="23"/>
      <c r="DWH242" s="26"/>
      <c r="DWL242" s="23"/>
      <c r="DWQ242" s="26"/>
      <c r="DWU242" s="23"/>
      <c r="DWZ242" s="26"/>
      <c r="DXD242" s="23"/>
      <c r="DXI242" s="26"/>
      <c r="DXM242" s="23"/>
      <c r="DXR242" s="26"/>
      <c r="DXV242" s="23"/>
      <c r="DYA242" s="26"/>
      <c r="DYE242" s="23"/>
      <c r="DYJ242" s="26"/>
      <c r="DYN242" s="23"/>
      <c r="DYS242" s="26"/>
      <c r="DYW242" s="23"/>
      <c r="DZB242" s="26"/>
      <c r="DZF242" s="23"/>
      <c r="DZK242" s="26"/>
      <c r="DZO242" s="23"/>
      <c r="DZT242" s="26"/>
      <c r="DZX242" s="23"/>
      <c r="EAC242" s="26"/>
      <c r="EAG242" s="23"/>
      <c r="EAL242" s="26"/>
      <c r="EAP242" s="23"/>
      <c r="EAU242" s="26"/>
      <c r="EAY242" s="23"/>
      <c r="EBD242" s="26"/>
      <c r="EBH242" s="23"/>
      <c r="EBM242" s="26"/>
      <c r="EBQ242" s="23"/>
      <c r="EBV242" s="26"/>
      <c r="EBZ242" s="23"/>
      <c r="ECE242" s="26"/>
      <c r="ECI242" s="23"/>
      <c r="ECN242" s="26"/>
      <c r="ECR242" s="23"/>
      <c r="ECW242" s="26"/>
      <c r="EDA242" s="23"/>
      <c r="EDF242" s="26"/>
      <c r="EDJ242" s="23"/>
      <c r="EDO242" s="26"/>
      <c r="EDS242" s="23"/>
      <c r="EDX242" s="26"/>
      <c r="EEB242" s="23"/>
      <c r="EEG242" s="26"/>
      <c r="EEK242" s="23"/>
      <c r="EEP242" s="26"/>
      <c r="EET242" s="23"/>
      <c r="EEY242" s="26"/>
      <c r="EFC242" s="23"/>
      <c r="EFH242" s="26"/>
      <c r="EFL242" s="23"/>
      <c r="EFQ242" s="26"/>
      <c r="EFU242" s="23"/>
      <c r="EFZ242" s="26"/>
      <c r="EGD242" s="23"/>
      <c r="EGI242" s="26"/>
      <c r="EGM242" s="23"/>
      <c r="EGR242" s="26"/>
      <c r="EGV242" s="23"/>
      <c r="EHA242" s="26"/>
      <c r="EHE242" s="23"/>
      <c r="EHJ242" s="26"/>
      <c r="EHN242" s="23"/>
      <c r="EHS242" s="26"/>
      <c r="EHW242" s="23"/>
      <c r="EIB242" s="26"/>
      <c r="EIF242" s="23"/>
      <c r="EIK242" s="26"/>
      <c r="EIO242" s="23"/>
      <c r="EIT242" s="26"/>
      <c r="EIX242" s="23"/>
      <c r="EJC242" s="26"/>
      <c r="EJG242" s="23"/>
      <c r="EJL242" s="26"/>
      <c r="EJP242" s="23"/>
      <c r="EJU242" s="26"/>
      <c r="EJY242" s="23"/>
      <c r="EKD242" s="26"/>
      <c r="EKH242" s="23"/>
      <c r="EKM242" s="26"/>
      <c r="EKQ242" s="23"/>
      <c r="EKV242" s="26"/>
      <c r="EKZ242" s="23"/>
      <c r="ELE242" s="26"/>
      <c r="ELI242" s="23"/>
      <c r="ELN242" s="26"/>
      <c r="ELR242" s="23"/>
      <c r="ELW242" s="26"/>
      <c r="EMA242" s="23"/>
      <c r="EMF242" s="26"/>
      <c r="EMJ242" s="23"/>
      <c r="EMO242" s="26"/>
      <c r="EMS242" s="23"/>
      <c r="EMX242" s="26"/>
      <c r="ENB242" s="23"/>
      <c r="ENG242" s="26"/>
      <c r="ENK242" s="23"/>
      <c r="ENP242" s="26"/>
      <c r="ENT242" s="23"/>
      <c r="ENY242" s="26"/>
      <c r="EOC242" s="23"/>
      <c r="EOH242" s="26"/>
      <c r="EOL242" s="23"/>
      <c r="EOQ242" s="26"/>
      <c r="EOU242" s="23"/>
      <c r="EOZ242" s="26"/>
      <c r="EPD242" s="23"/>
      <c r="EPI242" s="26"/>
      <c r="EPM242" s="23"/>
      <c r="EPR242" s="26"/>
      <c r="EPV242" s="23"/>
      <c r="EQA242" s="26"/>
      <c r="EQE242" s="23"/>
      <c r="EQJ242" s="26"/>
      <c r="EQN242" s="23"/>
      <c r="EQS242" s="26"/>
      <c r="EQW242" s="23"/>
      <c r="ERB242" s="26"/>
      <c r="ERF242" s="23"/>
      <c r="ERK242" s="26"/>
      <c r="ERO242" s="23"/>
      <c r="ERT242" s="26"/>
      <c r="ERX242" s="23"/>
      <c r="ESC242" s="26"/>
      <c r="ESG242" s="23"/>
      <c r="ESL242" s="26"/>
      <c r="ESP242" s="23"/>
      <c r="ESU242" s="26"/>
      <c r="ESY242" s="23"/>
      <c r="ETD242" s="26"/>
      <c r="ETH242" s="23"/>
      <c r="ETM242" s="26"/>
      <c r="ETQ242" s="23"/>
      <c r="ETV242" s="26"/>
      <c r="ETZ242" s="23"/>
      <c r="EUE242" s="26"/>
      <c r="EUI242" s="23"/>
      <c r="EUN242" s="26"/>
      <c r="EUR242" s="23"/>
      <c r="EUW242" s="26"/>
      <c r="EVA242" s="23"/>
      <c r="EVF242" s="26"/>
      <c r="EVJ242" s="23"/>
      <c r="EVO242" s="26"/>
      <c r="EVS242" s="23"/>
      <c r="EVX242" s="26"/>
      <c r="EWB242" s="23"/>
      <c r="EWG242" s="26"/>
      <c r="EWK242" s="23"/>
      <c r="EWP242" s="26"/>
      <c r="EWT242" s="23"/>
      <c r="EWY242" s="26"/>
      <c r="EXC242" s="23"/>
      <c r="EXH242" s="26"/>
      <c r="EXL242" s="23"/>
      <c r="EXQ242" s="26"/>
      <c r="EXU242" s="23"/>
      <c r="EXZ242" s="26"/>
      <c r="EYD242" s="23"/>
      <c r="EYI242" s="26"/>
      <c r="EYM242" s="23"/>
      <c r="EYR242" s="26"/>
      <c r="EYV242" s="23"/>
      <c r="EZA242" s="26"/>
      <c r="EZE242" s="23"/>
      <c r="EZJ242" s="26"/>
      <c r="EZN242" s="23"/>
      <c r="EZS242" s="26"/>
      <c r="EZW242" s="23"/>
      <c r="FAB242" s="26"/>
      <c r="FAF242" s="23"/>
      <c r="FAK242" s="26"/>
      <c r="FAO242" s="23"/>
      <c r="FAT242" s="26"/>
      <c r="FAX242" s="23"/>
      <c r="FBC242" s="26"/>
      <c r="FBG242" s="23"/>
      <c r="FBL242" s="26"/>
      <c r="FBP242" s="23"/>
      <c r="FBU242" s="26"/>
      <c r="FBY242" s="23"/>
      <c r="FCD242" s="26"/>
      <c r="FCH242" s="23"/>
      <c r="FCM242" s="26"/>
      <c r="FCQ242" s="23"/>
      <c r="FCV242" s="26"/>
      <c r="FCZ242" s="23"/>
      <c r="FDE242" s="26"/>
      <c r="FDI242" s="23"/>
      <c r="FDN242" s="26"/>
      <c r="FDR242" s="23"/>
      <c r="FDW242" s="26"/>
      <c r="FEA242" s="23"/>
      <c r="FEF242" s="26"/>
      <c r="FEJ242" s="23"/>
      <c r="FEO242" s="26"/>
      <c r="FES242" s="23"/>
      <c r="FEX242" s="26"/>
      <c r="FFB242" s="23"/>
      <c r="FFG242" s="26"/>
      <c r="FFK242" s="23"/>
      <c r="FFP242" s="26"/>
      <c r="FFT242" s="23"/>
      <c r="FFY242" s="26"/>
      <c r="FGC242" s="23"/>
      <c r="FGH242" s="26"/>
      <c r="FGL242" s="23"/>
      <c r="FGQ242" s="26"/>
      <c r="FGU242" s="23"/>
      <c r="FGZ242" s="26"/>
      <c r="FHD242" s="23"/>
      <c r="FHI242" s="26"/>
      <c r="FHM242" s="23"/>
      <c r="FHR242" s="26"/>
      <c r="FHV242" s="23"/>
      <c r="FIA242" s="26"/>
      <c r="FIE242" s="23"/>
      <c r="FIJ242" s="26"/>
      <c r="FIN242" s="23"/>
      <c r="FIS242" s="26"/>
      <c r="FIW242" s="23"/>
      <c r="FJB242" s="26"/>
      <c r="FJF242" s="23"/>
      <c r="FJK242" s="26"/>
      <c r="FJO242" s="23"/>
      <c r="FJT242" s="26"/>
      <c r="FJX242" s="23"/>
      <c r="FKC242" s="26"/>
      <c r="FKG242" s="23"/>
      <c r="FKL242" s="26"/>
      <c r="FKP242" s="23"/>
      <c r="FKU242" s="26"/>
      <c r="FKY242" s="23"/>
      <c r="FLD242" s="26"/>
      <c r="FLH242" s="23"/>
      <c r="FLM242" s="26"/>
      <c r="FLQ242" s="23"/>
      <c r="FLV242" s="26"/>
      <c r="FLZ242" s="23"/>
      <c r="FME242" s="26"/>
      <c r="FMI242" s="23"/>
      <c r="FMN242" s="26"/>
      <c r="FMR242" s="23"/>
      <c r="FMW242" s="26"/>
      <c r="FNA242" s="23"/>
      <c r="FNF242" s="26"/>
      <c r="FNJ242" s="23"/>
      <c r="FNO242" s="26"/>
      <c r="FNS242" s="23"/>
      <c r="FNX242" s="26"/>
      <c r="FOB242" s="23"/>
      <c r="FOG242" s="26"/>
      <c r="FOK242" s="23"/>
      <c r="FOP242" s="26"/>
      <c r="FOT242" s="23"/>
      <c r="FOY242" s="26"/>
      <c r="FPC242" s="23"/>
      <c r="FPH242" s="26"/>
      <c r="FPL242" s="23"/>
      <c r="FPQ242" s="26"/>
      <c r="FPU242" s="23"/>
      <c r="FPZ242" s="26"/>
      <c r="FQD242" s="23"/>
      <c r="FQI242" s="26"/>
      <c r="FQM242" s="23"/>
      <c r="FQR242" s="26"/>
      <c r="FQV242" s="23"/>
      <c r="FRA242" s="26"/>
      <c r="FRE242" s="23"/>
      <c r="FRJ242" s="26"/>
      <c r="FRN242" s="23"/>
      <c r="FRS242" s="26"/>
      <c r="FRW242" s="23"/>
      <c r="FSB242" s="26"/>
      <c r="FSF242" s="23"/>
      <c r="FSK242" s="26"/>
      <c r="FSO242" s="23"/>
      <c r="FST242" s="26"/>
      <c r="FSX242" s="23"/>
      <c r="FTC242" s="26"/>
      <c r="FTG242" s="23"/>
      <c r="FTL242" s="26"/>
      <c r="FTP242" s="23"/>
      <c r="FTU242" s="26"/>
      <c r="FTY242" s="23"/>
      <c r="FUD242" s="26"/>
      <c r="FUH242" s="23"/>
      <c r="FUM242" s="26"/>
      <c r="FUQ242" s="23"/>
      <c r="FUV242" s="26"/>
      <c r="FUZ242" s="23"/>
      <c r="FVE242" s="26"/>
      <c r="FVI242" s="23"/>
      <c r="FVN242" s="26"/>
      <c r="FVR242" s="23"/>
      <c r="FVW242" s="26"/>
      <c r="FWA242" s="23"/>
      <c r="FWF242" s="26"/>
      <c r="FWJ242" s="23"/>
      <c r="FWO242" s="26"/>
      <c r="FWS242" s="23"/>
      <c r="FWX242" s="26"/>
      <c r="FXB242" s="23"/>
      <c r="FXG242" s="26"/>
      <c r="FXK242" s="23"/>
      <c r="FXP242" s="26"/>
      <c r="FXT242" s="23"/>
      <c r="FXY242" s="26"/>
      <c r="FYC242" s="23"/>
      <c r="FYH242" s="26"/>
      <c r="FYL242" s="23"/>
      <c r="FYQ242" s="26"/>
      <c r="FYU242" s="23"/>
      <c r="FYZ242" s="26"/>
      <c r="FZD242" s="23"/>
      <c r="FZI242" s="26"/>
      <c r="FZM242" s="23"/>
      <c r="FZR242" s="26"/>
      <c r="FZV242" s="23"/>
      <c r="GAA242" s="26"/>
      <c r="GAE242" s="23"/>
      <c r="GAJ242" s="26"/>
      <c r="GAN242" s="23"/>
      <c r="GAS242" s="26"/>
      <c r="GAW242" s="23"/>
      <c r="GBB242" s="26"/>
      <c r="GBF242" s="23"/>
      <c r="GBK242" s="26"/>
      <c r="GBO242" s="23"/>
      <c r="GBT242" s="26"/>
      <c r="GBX242" s="23"/>
      <c r="GCC242" s="26"/>
      <c r="GCG242" s="23"/>
      <c r="GCL242" s="26"/>
      <c r="GCP242" s="23"/>
      <c r="GCU242" s="26"/>
      <c r="GCY242" s="23"/>
      <c r="GDD242" s="26"/>
      <c r="GDH242" s="23"/>
      <c r="GDM242" s="26"/>
      <c r="GDQ242" s="23"/>
      <c r="GDV242" s="26"/>
      <c r="GDZ242" s="23"/>
      <c r="GEE242" s="26"/>
      <c r="GEI242" s="23"/>
      <c r="GEN242" s="26"/>
      <c r="GER242" s="23"/>
      <c r="GEW242" s="26"/>
      <c r="GFA242" s="23"/>
      <c r="GFF242" s="26"/>
      <c r="GFJ242" s="23"/>
      <c r="GFO242" s="26"/>
      <c r="GFS242" s="23"/>
      <c r="GFX242" s="26"/>
      <c r="GGB242" s="23"/>
      <c r="GGG242" s="26"/>
      <c r="GGK242" s="23"/>
      <c r="GGP242" s="26"/>
      <c r="GGT242" s="23"/>
      <c r="GGY242" s="26"/>
      <c r="GHC242" s="23"/>
      <c r="GHH242" s="26"/>
      <c r="GHL242" s="23"/>
      <c r="GHQ242" s="26"/>
      <c r="GHU242" s="23"/>
      <c r="GHZ242" s="26"/>
      <c r="GID242" s="23"/>
      <c r="GII242" s="26"/>
      <c r="GIM242" s="23"/>
      <c r="GIR242" s="26"/>
      <c r="GIV242" s="23"/>
      <c r="GJA242" s="26"/>
      <c r="GJE242" s="23"/>
      <c r="GJJ242" s="26"/>
      <c r="GJN242" s="23"/>
      <c r="GJS242" s="26"/>
      <c r="GJW242" s="23"/>
      <c r="GKB242" s="26"/>
      <c r="GKF242" s="23"/>
      <c r="GKK242" s="26"/>
      <c r="GKO242" s="23"/>
      <c r="GKT242" s="26"/>
      <c r="GKX242" s="23"/>
      <c r="GLC242" s="26"/>
      <c r="GLG242" s="23"/>
      <c r="GLL242" s="26"/>
      <c r="GLP242" s="23"/>
      <c r="GLU242" s="26"/>
      <c r="GLY242" s="23"/>
      <c r="GMD242" s="26"/>
      <c r="GMH242" s="23"/>
      <c r="GMM242" s="26"/>
      <c r="GMQ242" s="23"/>
      <c r="GMV242" s="26"/>
      <c r="GMZ242" s="23"/>
      <c r="GNE242" s="26"/>
      <c r="GNI242" s="23"/>
      <c r="GNN242" s="26"/>
      <c r="GNR242" s="23"/>
      <c r="GNW242" s="26"/>
      <c r="GOA242" s="23"/>
      <c r="GOF242" s="26"/>
      <c r="GOJ242" s="23"/>
      <c r="GOO242" s="26"/>
      <c r="GOS242" s="23"/>
      <c r="GOX242" s="26"/>
      <c r="GPB242" s="23"/>
      <c r="GPG242" s="26"/>
      <c r="GPK242" s="23"/>
      <c r="GPP242" s="26"/>
      <c r="GPT242" s="23"/>
      <c r="GPY242" s="26"/>
      <c r="GQC242" s="23"/>
      <c r="GQH242" s="26"/>
      <c r="GQL242" s="23"/>
      <c r="GQQ242" s="26"/>
      <c r="GQU242" s="23"/>
      <c r="GQZ242" s="26"/>
      <c r="GRD242" s="23"/>
      <c r="GRI242" s="26"/>
      <c r="GRM242" s="23"/>
      <c r="GRR242" s="26"/>
      <c r="GRV242" s="23"/>
      <c r="GSA242" s="26"/>
      <c r="GSE242" s="23"/>
      <c r="GSJ242" s="26"/>
      <c r="GSN242" s="23"/>
      <c r="GSS242" s="26"/>
      <c r="GSW242" s="23"/>
      <c r="GTB242" s="26"/>
      <c r="GTF242" s="23"/>
      <c r="GTK242" s="26"/>
      <c r="GTO242" s="23"/>
      <c r="GTT242" s="26"/>
      <c r="GTX242" s="23"/>
      <c r="GUC242" s="26"/>
      <c r="GUG242" s="23"/>
      <c r="GUL242" s="26"/>
      <c r="GUP242" s="23"/>
      <c r="GUU242" s="26"/>
      <c r="GUY242" s="23"/>
      <c r="GVD242" s="26"/>
      <c r="GVH242" s="23"/>
      <c r="GVM242" s="26"/>
      <c r="GVQ242" s="23"/>
      <c r="GVV242" s="26"/>
      <c r="GVZ242" s="23"/>
      <c r="GWE242" s="26"/>
      <c r="GWI242" s="23"/>
      <c r="GWN242" s="26"/>
      <c r="GWR242" s="23"/>
      <c r="GWW242" s="26"/>
      <c r="GXA242" s="23"/>
      <c r="GXF242" s="26"/>
      <c r="GXJ242" s="23"/>
      <c r="GXO242" s="26"/>
      <c r="GXS242" s="23"/>
      <c r="GXX242" s="26"/>
      <c r="GYB242" s="23"/>
      <c r="GYG242" s="26"/>
      <c r="GYK242" s="23"/>
      <c r="GYP242" s="26"/>
      <c r="GYT242" s="23"/>
      <c r="GYY242" s="26"/>
      <c r="GZC242" s="23"/>
      <c r="GZH242" s="26"/>
      <c r="GZL242" s="23"/>
      <c r="GZQ242" s="26"/>
      <c r="GZU242" s="23"/>
      <c r="GZZ242" s="26"/>
      <c r="HAD242" s="23"/>
      <c r="HAI242" s="26"/>
      <c r="HAM242" s="23"/>
      <c r="HAR242" s="26"/>
      <c r="HAV242" s="23"/>
      <c r="HBA242" s="26"/>
      <c r="HBE242" s="23"/>
      <c r="HBJ242" s="26"/>
      <c r="HBN242" s="23"/>
      <c r="HBS242" s="26"/>
      <c r="HBW242" s="23"/>
      <c r="HCB242" s="26"/>
      <c r="HCF242" s="23"/>
      <c r="HCK242" s="26"/>
      <c r="HCO242" s="23"/>
      <c r="HCT242" s="26"/>
      <c r="HCX242" s="23"/>
      <c r="HDC242" s="26"/>
      <c r="HDG242" s="23"/>
      <c r="HDL242" s="26"/>
      <c r="HDP242" s="23"/>
      <c r="HDU242" s="26"/>
      <c r="HDY242" s="23"/>
      <c r="HED242" s="26"/>
      <c r="HEH242" s="23"/>
      <c r="HEM242" s="26"/>
      <c r="HEQ242" s="23"/>
      <c r="HEV242" s="26"/>
      <c r="HEZ242" s="23"/>
      <c r="HFE242" s="26"/>
      <c r="HFI242" s="23"/>
      <c r="HFN242" s="26"/>
      <c r="HFR242" s="23"/>
      <c r="HFW242" s="26"/>
      <c r="HGA242" s="23"/>
      <c r="HGF242" s="26"/>
      <c r="HGJ242" s="23"/>
      <c r="HGO242" s="26"/>
      <c r="HGS242" s="23"/>
      <c r="HGX242" s="26"/>
      <c r="HHB242" s="23"/>
      <c r="HHG242" s="26"/>
      <c r="HHK242" s="23"/>
      <c r="HHP242" s="26"/>
      <c r="HHT242" s="23"/>
      <c r="HHY242" s="26"/>
      <c r="HIC242" s="23"/>
      <c r="HIH242" s="26"/>
      <c r="HIL242" s="23"/>
      <c r="HIQ242" s="26"/>
      <c r="HIU242" s="23"/>
      <c r="HIZ242" s="26"/>
      <c r="HJD242" s="23"/>
      <c r="HJI242" s="26"/>
      <c r="HJM242" s="23"/>
      <c r="HJR242" s="26"/>
      <c r="HJV242" s="23"/>
      <c r="HKA242" s="26"/>
      <c r="HKE242" s="23"/>
      <c r="HKJ242" s="26"/>
      <c r="HKN242" s="23"/>
      <c r="HKS242" s="26"/>
      <c r="HKW242" s="23"/>
      <c r="HLB242" s="26"/>
      <c r="HLF242" s="23"/>
      <c r="HLK242" s="26"/>
      <c r="HLO242" s="23"/>
      <c r="HLT242" s="26"/>
      <c r="HLX242" s="23"/>
      <c r="HMC242" s="26"/>
      <c r="HMG242" s="23"/>
      <c r="HML242" s="26"/>
      <c r="HMP242" s="23"/>
      <c r="HMU242" s="26"/>
      <c r="HMY242" s="23"/>
      <c r="HND242" s="26"/>
      <c r="HNH242" s="23"/>
      <c r="HNM242" s="26"/>
      <c r="HNQ242" s="23"/>
      <c r="HNV242" s="26"/>
      <c r="HNZ242" s="23"/>
      <c r="HOE242" s="26"/>
      <c r="HOI242" s="23"/>
      <c r="HON242" s="26"/>
      <c r="HOR242" s="23"/>
      <c r="HOW242" s="26"/>
      <c r="HPA242" s="23"/>
      <c r="HPF242" s="26"/>
      <c r="HPJ242" s="23"/>
      <c r="HPO242" s="26"/>
      <c r="HPS242" s="23"/>
      <c r="HPX242" s="26"/>
      <c r="HQB242" s="23"/>
      <c r="HQG242" s="26"/>
      <c r="HQK242" s="23"/>
      <c r="HQP242" s="26"/>
      <c r="HQT242" s="23"/>
      <c r="HQY242" s="26"/>
      <c r="HRC242" s="23"/>
      <c r="HRH242" s="26"/>
      <c r="HRL242" s="23"/>
      <c r="HRQ242" s="26"/>
      <c r="HRU242" s="23"/>
      <c r="HRZ242" s="26"/>
      <c r="HSD242" s="23"/>
      <c r="HSI242" s="26"/>
      <c r="HSM242" s="23"/>
      <c r="HSR242" s="26"/>
      <c r="HSV242" s="23"/>
      <c r="HTA242" s="26"/>
      <c r="HTE242" s="23"/>
      <c r="HTJ242" s="26"/>
      <c r="HTN242" s="23"/>
      <c r="HTS242" s="26"/>
      <c r="HTW242" s="23"/>
      <c r="HUB242" s="26"/>
      <c r="HUF242" s="23"/>
      <c r="HUK242" s="26"/>
      <c r="HUO242" s="23"/>
      <c r="HUT242" s="26"/>
      <c r="HUX242" s="23"/>
      <c r="HVC242" s="26"/>
      <c r="HVG242" s="23"/>
      <c r="HVL242" s="26"/>
      <c r="HVP242" s="23"/>
      <c r="HVU242" s="26"/>
      <c r="HVY242" s="23"/>
      <c r="HWD242" s="26"/>
      <c r="HWH242" s="23"/>
      <c r="HWM242" s="26"/>
      <c r="HWQ242" s="23"/>
      <c r="HWV242" s="26"/>
      <c r="HWZ242" s="23"/>
      <c r="HXE242" s="26"/>
      <c r="HXI242" s="23"/>
      <c r="HXN242" s="26"/>
      <c r="HXR242" s="23"/>
      <c r="HXW242" s="26"/>
      <c r="HYA242" s="23"/>
      <c r="HYF242" s="26"/>
      <c r="HYJ242" s="23"/>
      <c r="HYO242" s="26"/>
      <c r="HYS242" s="23"/>
      <c r="HYX242" s="26"/>
      <c r="HZB242" s="23"/>
      <c r="HZG242" s="26"/>
      <c r="HZK242" s="23"/>
      <c r="HZP242" s="26"/>
      <c r="HZT242" s="23"/>
      <c r="HZY242" s="26"/>
      <c r="IAC242" s="23"/>
      <c r="IAH242" s="26"/>
      <c r="IAL242" s="23"/>
      <c r="IAQ242" s="26"/>
      <c r="IAU242" s="23"/>
      <c r="IAZ242" s="26"/>
      <c r="IBD242" s="23"/>
      <c r="IBI242" s="26"/>
      <c r="IBM242" s="23"/>
      <c r="IBR242" s="26"/>
      <c r="IBV242" s="23"/>
      <c r="ICA242" s="26"/>
      <c r="ICE242" s="23"/>
      <c r="ICJ242" s="26"/>
      <c r="ICN242" s="23"/>
      <c r="ICS242" s="26"/>
      <c r="ICW242" s="23"/>
      <c r="IDB242" s="26"/>
      <c r="IDF242" s="23"/>
      <c r="IDK242" s="26"/>
      <c r="IDO242" s="23"/>
      <c r="IDT242" s="26"/>
      <c r="IDX242" s="23"/>
      <c r="IEC242" s="26"/>
      <c r="IEG242" s="23"/>
      <c r="IEL242" s="26"/>
      <c r="IEP242" s="23"/>
      <c r="IEU242" s="26"/>
      <c r="IEY242" s="23"/>
      <c r="IFD242" s="26"/>
      <c r="IFH242" s="23"/>
      <c r="IFM242" s="26"/>
      <c r="IFQ242" s="23"/>
      <c r="IFV242" s="26"/>
      <c r="IFZ242" s="23"/>
      <c r="IGE242" s="26"/>
      <c r="IGI242" s="23"/>
      <c r="IGN242" s="26"/>
      <c r="IGR242" s="23"/>
      <c r="IGW242" s="26"/>
      <c r="IHA242" s="23"/>
      <c r="IHF242" s="26"/>
      <c r="IHJ242" s="23"/>
      <c r="IHO242" s="26"/>
      <c r="IHS242" s="23"/>
      <c r="IHX242" s="26"/>
      <c r="IIB242" s="23"/>
      <c r="IIG242" s="26"/>
      <c r="IIK242" s="23"/>
      <c r="IIP242" s="26"/>
      <c r="IIT242" s="23"/>
      <c r="IIY242" s="26"/>
      <c r="IJC242" s="23"/>
      <c r="IJH242" s="26"/>
      <c r="IJL242" s="23"/>
      <c r="IJQ242" s="26"/>
      <c r="IJU242" s="23"/>
      <c r="IJZ242" s="26"/>
      <c r="IKD242" s="23"/>
      <c r="IKI242" s="26"/>
      <c r="IKM242" s="23"/>
      <c r="IKR242" s="26"/>
      <c r="IKV242" s="23"/>
      <c r="ILA242" s="26"/>
      <c r="ILE242" s="23"/>
      <c r="ILJ242" s="26"/>
      <c r="ILN242" s="23"/>
      <c r="ILS242" s="26"/>
      <c r="ILW242" s="23"/>
      <c r="IMB242" s="26"/>
      <c r="IMF242" s="23"/>
      <c r="IMK242" s="26"/>
      <c r="IMO242" s="23"/>
      <c r="IMT242" s="26"/>
      <c r="IMX242" s="23"/>
      <c r="INC242" s="26"/>
      <c r="ING242" s="23"/>
      <c r="INL242" s="26"/>
      <c r="INP242" s="23"/>
      <c r="INU242" s="26"/>
      <c r="INY242" s="23"/>
      <c r="IOD242" s="26"/>
      <c r="IOH242" s="23"/>
      <c r="IOM242" s="26"/>
      <c r="IOQ242" s="23"/>
      <c r="IOV242" s="26"/>
      <c r="IOZ242" s="23"/>
      <c r="IPE242" s="26"/>
      <c r="IPI242" s="23"/>
      <c r="IPN242" s="26"/>
      <c r="IPR242" s="23"/>
      <c r="IPW242" s="26"/>
      <c r="IQA242" s="23"/>
      <c r="IQF242" s="26"/>
      <c r="IQJ242" s="23"/>
      <c r="IQO242" s="26"/>
      <c r="IQS242" s="23"/>
      <c r="IQX242" s="26"/>
      <c r="IRB242" s="23"/>
      <c r="IRG242" s="26"/>
      <c r="IRK242" s="23"/>
      <c r="IRP242" s="26"/>
      <c r="IRT242" s="23"/>
      <c r="IRY242" s="26"/>
      <c r="ISC242" s="23"/>
      <c r="ISH242" s="26"/>
      <c r="ISL242" s="23"/>
      <c r="ISQ242" s="26"/>
      <c r="ISU242" s="23"/>
      <c r="ISZ242" s="26"/>
      <c r="ITD242" s="23"/>
      <c r="ITI242" s="26"/>
      <c r="ITM242" s="23"/>
      <c r="ITR242" s="26"/>
      <c r="ITV242" s="23"/>
      <c r="IUA242" s="26"/>
      <c r="IUE242" s="23"/>
      <c r="IUJ242" s="26"/>
      <c r="IUN242" s="23"/>
      <c r="IUS242" s="26"/>
      <c r="IUW242" s="23"/>
      <c r="IVB242" s="26"/>
      <c r="IVF242" s="23"/>
      <c r="IVK242" s="26"/>
      <c r="IVO242" s="23"/>
      <c r="IVT242" s="26"/>
      <c r="IVX242" s="23"/>
      <c r="IWC242" s="26"/>
      <c r="IWG242" s="23"/>
      <c r="IWL242" s="26"/>
      <c r="IWP242" s="23"/>
      <c r="IWU242" s="26"/>
      <c r="IWY242" s="23"/>
      <c r="IXD242" s="26"/>
      <c r="IXH242" s="23"/>
      <c r="IXM242" s="26"/>
      <c r="IXQ242" s="23"/>
      <c r="IXV242" s="26"/>
      <c r="IXZ242" s="23"/>
      <c r="IYE242" s="26"/>
      <c r="IYI242" s="23"/>
      <c r="IYN242" s="26"/>
      <c r="IYR242" s="23"/>
      <c r="IYW242" s="26"/>
      <c r="IZA242" s="23"/>
      <c r="IZF242" s="26"/>
      <c r="IZJ242" s="23"/>
      <c r="IZO242" s="26"/>
      <c r="IZS242" s="23"/>
      <c r="IZX242" s="26"/>
      <c r="JAB242" s="23"/>
      <c r="JAG242" s="26"/>
      <c r="JAK242" s="23"/>
      <c r="JAP242" s="26"/>
      <c r="JAT242" s="23"/>
      <c r="JAY242" s="26"/>
      <c r="JBC242" s="23"/>
      <c r="JBH242" s="26"/>
      <c r="JBL242" s="23"/>
      <c r="JBQ242" s="26"/>
      <c r="JBU242" s="23"/>
      <c r="JBZ242" s="26"/>
      <c r="JCD242" s="23"/>
      <c r="JCI242" s="26"/>
      <c r="JCM242" s="23"/>
      <c r="JCR242" s="26"/>
      <c r="JCV242" s="23"/>
      <c r="JDA242" s="26"/>
      <c r="JDE242" s="23"/>
      <c r="JDJ242" s="26"/>
      <c r="JDN242" s="23"/>
      <c r="JDS242" s="26"/>
      <c r="JDW242" s="23"/>
      <c r="JEB242" s="26"/>
      <c r="JEF242" s="23"/>
      <c r="JEK242" s="26"/>
      <c r="JEO242" s="23"/>
      <c r="JET242" s="26"/>
      <c r="JEX242" s="23"/>
      <c r="JFC242" s="26"/>
      <c r="JFG242" s="23"/>
      <c r="JFL242" s="26"/>
      <c r="JFP242" s="23"/>
      <c r="JFU242" s="26"/>
      <c r="JFY242" s="23"/>
      <c r="JGD242" s="26"/>
      <c r="JGH242" s="23"/>
      <c r="JGM242" s="26"/>
      <c r="JGQ242" s="23"/>
      <c r="JGV242" s="26"/>
      <c r="JGZ242" s="23"/>
      <c r="JHE242" s="26"/>
      <c r="JHI242" s="23"/>
      <c r="JHN242" s="26"/>
      <c r="JHR242" s="23"/>
      <c r="JHW242" s="26"/>
      <c r="JIA242" s="23"/>
      <c r="JIF242" s="26"/>
      <c r="JIJ242" s="23"/>
      <c r="JIO242" s="26"/>
      <c r="JIS242" s="23"/>
      <c r="JIX242" s="26"/>
      <c r="JJB242" s="23"/>
      <c r="JJG242" s="26"/>
      <c r="JJK242" s="23"/>
      <c r="JJP242" s="26"/>
      <c r="JJT242" s="23"/>
      <c r="JJY242" s="26"/>
      <c r="JKC242" s="23"/>
      <c r="JKH242" s="26"/>
      <c r="JKL242" s="23"/>
      <c r="JKQ242" s="26"/>
      <c r="JKU242" s="23"/>
      <c r="JKZ242" s="26"/>
      <c r="JLD242" s="23"/>
      <c r="JLI242" s="26"/>
      <c r="JLM242" s="23"/>
      <c r="JLR242" s="26"/>
      <c r="JLV242" s="23"/>
      <c r="JMA242" s="26"/>
      <c r="JME242" s="23"/>
      <c r="JMJ242" s="26"/>
      <c r="JMN242" s="23"/>
      <c r="JMS242" s="26"/>
      <c r="JMW242" s="23"/>
      <c r="JNB242" s="26"/>
      <c r="JNF242" s="23"/>
      <c r="JNK242" s="26"/>
      <c r="JNO242" s="23"/>
      <c r="JNT242" s="26"/>
      <c r="JNX242" s="23"/>
      <c r="JOC242" s="26"/>
      <c r="JOG242" s="23"/>
      <c r="JOL242" s="26"/>
      <c r="JOP242" s="23"/>
      <c r="JOU242" s="26"/>
      <c r="JOY242" s="23"/>
      <c r="JPD242" s="26"/>
      <c r="JPH242" s="23"/>
      <c r="JPM242" s="26"/>
      <c r="JPQ242" s="23"/>
      <c r="JPV242" s="26"/>
      <c r="JPZ242" s="23"/>
      <c r="JQE242" s="26"/>
      <c r="JQI242" s="23"/>
      <c r="JQN242" s="26"/>
      <c r="JQR242" s="23"/>
      <c r="JQW242" s="26"/>
      <c r="JRA242" s="23"/>
      <c r="JRF242" s="26"/>
      <c r="JRJ242" s="23"/>
      <c r="JRO242" s="26"/>
      <c r="JRS242" s="23"/>
      <c r="JRX242" s="26"/>
      <c r="JSB242" s="23"/>
      <c r="JSG242" s="26"/>
      <c r="JSK242" s="23"/>
      <c r="JSP242" s="26"/>
      <c r="JST242" s="23"/>
      <c r="JSY242" s="26"/>
      <c r="JTC242" s="23"/>
      <c r="JTH242" s="26"/>
      <c r="JTL242" s="23"/>
      <c r="JTQ242" s="26"/>
      <c r="JTU242" s="23"/>
      <c r="JTZ242" s="26"/>
      <c r="JUD242" s="23"/>
      <c r="JUI242" s="26"/>
      <c r="JUM242" s="23"/>
      <c r="JUR242" s="26"/>
      <c r="JUV242" s="23"/>
      <c r="JVA242" s="26"/>
      <c r="JVE242" s="23"/>
      <c r="JVJ242" s="26"/>
      <c r="JVN242" s="23"/>
      <c r="JVS242" s="26"/>
      <c r="JVW242" s="23"/>
      <c r="JWB242" s="26"/>
      <c r="JWF242" s="23"/>
      <c r="JWK242" s="26"/>
      <c r="JWO242" s="23"/>
      <c r="JWT242" s="26"/>
      <c r="JWX242" s="23"/>
      <c r="JXC242" s="26"/>
      <c r="JXG242" s="23"/>
      <c r="JXL242" s="26"/>
      <c r="JXP242" s="23"/>
      <c r="JXU242" s="26"/>
      <c r="JXY242" s="23"/>
      <c r="JYD242" s="26"/>
      <c r="JYH242" s="23"/>
      <c r="JYM242" s="26"/>
      <c r="JYQ242" s="23"/>
      <c r="JYV242" s="26"/>
      <c r="JYZ242" s="23"/>
      <c r="JZE242" s="26"/>
      <c r="JZI242" s="23"/>
      <c r="JZN242" s="26"/>
      <c r="JZR242" s="23"/>
      <c r="JZW242" s="26"/>
      <c r="KAA242" s="23"/>
      <c r="KAF242" s="26"/>
      <c r="KAJ242" s="23"/>
      <c r="KAO242" s="26"/>
      <c r="KAS242" s="23"/>
      <c r="KAX242" s="26"/>
      <c r="KBB242" s="23"/>
      <c r="KBG242" s="26"/>
      <c r="KBK242" s="23"/>
      <c r="KBP242" s="26"/>
      <c r="KBT242" s="23"/>
      <c r="KBY242" s="26"/>
      <c r="KCC242" s="23"/>
      <c r="KCH242" s="26"/>
      <c r="KCL242" s="23"/>
      <c r="KCQ242" s="26"/>
      <c r="KCU242" s="23"/>
      <c r="KCZ242" s="26"/>
      <c r="KDD242" s="23"/>
      <c r="KDI242" s="26"/>
      <c r="KDM242" s="23"/>
      <c r="KDR242" s="26"/>
      <c r="KDV242" s="23"/>
      <c r="KEA242" s="26"/>
      <c r="KEE242" s="23"/>
      <c r="KEJ242" s="26"/>
      <c r="KEN242" s="23"/>
      <c r="KES242" s="26"/>
      <c r="KEW242" s="23"/>
      <c r="KFB242" s="26"/>
      <c r="KFF242" s="23"/>
      <c r="KFK242" s="26"/>
      <c r="KFO242" s="23"/>
      <c r="KFT242" s="26"/>
      <c r="KFX242" s="23"/>
      <c r="KGC242" s="26"/>
      <c r="KGG242" s="23"/>
      <c r="KGL242" s="26"/>
      <c r="KGP242" s="23"/>
      <c r="KGU242" s="26"/>
      <c r="KGY242" s="23"/>
      <c r="KHD242" s="26"/>
      <c r="KHH242" s="23"/>
      <c r="KHM242" s="26"/>
      <c r="KHQ242" s="23"/>
      <c r="KHV242" s="26"/>
      <c r="KHZ242" s="23"/>
      <c r="KIE242" s="26"/>
      <c r="KII242" s="23"/>
      <c r="KIN242" s="26"/>
      <c r="KIR242" s="23"/>
      <c r="KIW242" s="26"/>
      <c r="KJA242" s="23"/>
      <c r="KJF242" s="26"/>
      <c r="KJJ242" s="23"/>
      <c r="KJO242" s="26"/>
      <c r="KJS242" s="23"/>
      <c r="KJX242" s="26"/>
      <c r="KKB242" s="23"/>
      <c r="KKG242" s="26"/>
      <c r="KKK242" s="23"/>
      <c r="KKP242" s="26"/>
      <c r="KKT242" s="23"/>
      <c r="KKY242" s="26"/>
      <c r="KLC242" s="23"/>
      <c r="KLH242" s="26"/>
      <c r="KLL242" s="23"/>
      <c r="KLQ242" s="26"/>
      <c r="KLU242" s="23"/>
      <c r="KLZ242" s="26"/>
      <c r="KMD242" s="23"/>
      <c r="KMI242" s="26"/>
      <c r="KMM242" s="23"/>
      <c r="KMR242" s="26"/>
      <c r="KMV242" s="23"/>
      <c r="KNA242" s="26"/>
      <c r="KNE242" s="23"/>
      <c r="KNJ242" s="26"/>
      <c r="KNN242" s="23"/>
      <c r="KNS242" s="26"/>
      <c r="KNW242" s="23"/>
      <c r="KOB242" s="26"/>
      <c r="KOF242" s="23"/>
      <c r="KOK242" s="26"/>
      <c r="KOO242" s="23"/>
      <c r="KOT242" s="26"/>
      <c r="KOX242" s="23"/>
      <c r="KPC242" s="26"/>
      <c r="KPG242" s="23"/>
      <c r="KPL242" s="26"/>
      <c r="KPP242" s="23"/>
      <c r="KPU242" s="26"/>
      <c r="KPY242" s="23"/>
      <c r="KQD242" s="26"/>
      <c r="KQH242" s="23"/>
      <c r="KQM242" s="26"/>
      <c r="KQQ242" s="23"/>
      <c r="KQV242" s="26"/>
      <c r="KQZ242" s="23"/>
      <c r="KRE242" s="26"/>
      <c r="KRI242" s="23"/>
      <c r="KRN242" s="26"/>
      <c r="KRR242" s="23"/>
      <c r="KRW242" s="26"/>
      <c r="KSA242" s="23"/>
      <c r="KSF242" s="26"/>
      <c r="KSJ242" s="23"/>
      <c r="KSO242" s="26"/>
      <c r="KSS242" s="23"/>
      <c r="KSX242" s="26"/>
      <c r="KTB242" s="23"/>
      <c r="KTG242" s="26"/>
      <c r="KTK242" s="23"/>
      <c r="KTP242" s="26"/>
      <c r="KTT242" s="23"/>
      <c r="KTY242" s="26"/>
      <c r="KUC242" s="23"/>
      <c r="KUH242" s="26"/>
      <c r="KUL242" s="23"/>
      <c r="KUQ242" s="26"/>
      <c r="KUU242" s="23"/>
      <c r="KUZ242" s="26"/>
      <c r="KVD242" s="23"/>
      <c r="KVI242" s="26"/>
      <c r="KVM242" s="23"/>
      <c r="KVR242" s="26"/>
      <c r="KVV242" s="23"/>
      <c r="KWA242" s="26"/>
      <c r="KWE242" s="23"/>
      <c r="KWJ242" s="26"/>
      <c r="KWN242" s="23"/>
      <c r="KWS242" s="26"/>
      <c r="KWW242" s="23"/>
      <c r="KXB242" s="26"/>
      <c r="KXF242" s="23"/>
      <c r="KXK242" s="26"/>
      <c r="KXO242" s="23"/>
      <c r="KXT242" s="26"/>
      <c r="KXX242" s="23"/>
      <c r="KYC242" s="26"/>
      <c r="KYG242" s="23"/>
      <c r="KYL242" s="26"/>
      <c r="KYP242" s="23"/>
      <c r="KYU242" s="26"/>
      <c r="KYY242" s="23"/>
      <c r="KZD242" s="26"/>
      <c r="KZH242" s="23"/>
      <c r="KZM242" s="26"/>
      <c r="KZQ242" s="23"/>
      <c r="KZV242" s="26"/>
      <c r="KZZ242" s="23"/>
      <c r="LAE242" s="26"/>
      <c r="LAI242" s="23"/>
      <c r="LAN242" s="26"/>
      <c r="LAR242" s="23"/>
      <c r="LAW242" s="26"/>
      <c r="LBA242" s="23"/>
      <c r="LBF242" s="26"/>
      <c r="LBJ242" s="23"/>
      <c r="LBO242" s="26"/>
      <c r="LBS242" s="23"/>
      <c r="LBX242" s="26"/>
      <c r="LCB242" s="23"/>
      <c r="LCG242" s="26"/>
      <c r="LCK242" s="23"/>
      <c r="LCP242" s="26"/>
      <c r="LCT242" s="23"/>
      <c r="LCY242" s="26"/>
      <c r="LDC242" s="23"/>
      <c r="LDH242" s="26"/>
      <c r="LDL242" s="23"/>
      <c r="LDQ242" s="26"/>
      <c r="LDU242" s="23"/>
      <c r="LDZ242" s="26"/>
      <c r="LED242" s="23"/>
      <c r="LEI242" s="26"/>
      <c r="LEM242" s="23"/>
      <c r="LER242" s="26"/>
      <c r="LEV242" s="23"/>
      <c r="LFA242" s="26"/>
      <c r="LFE242" s="23"/>
      <c r="LFJ242" s="26"/>
      <c r="LFN242" s="23"/>
      <c r="LFS242" s="26"/>
      <c r="LFW242" s="23"/>
      <c r="LGB242" s="26"/>
      <c r="LGF242" s="23"/>
      <c r="LGK242" s="26"/>
      <c r="LGO242" s="23"/>
      <c r="LGT242" s="26"/>
      <c r="LGX242" s="23"/>
      <c r="LHC242" s="26"/>
      <c r="LHG242" s="23"/>
      <c r="LHL242" s="26"/>
      <c r="LHP242" s="23"/>
      <c r="LHU242" s="26"/>
      <c r="LHY242" s="23"/>
      <c r="LID242" s="26"/>
      <c r="LIH242" s="23"/>
      <c r="LIM242" s="26"/>
      <c r="LIQ242" s="23"/>
      <c r="LIV242" s="26"/>
      <c r="LIZ242" s="23"/>
      <c r="LJE242" s="26"/>
      <c r="LJI242" s="23"/>
      <c r="LJN242" s="26"/>
      <c r="LJR242" s="23"/>
      <c r="LJW242" s="26"/>
      <c r="LKA242" s="23"/>
      <c r="LKF242" s="26"/>
      <c r="LKJ242" s="23"/>
      <c r="LKO242" s="26"/>
      <c r="LKS242" s="23"/>
      <c r="LKX242" s="26"/>
      <c r="LLB242" s="23"/>
      <c r="LLG242" s="26"/>
      <c r="LLK242" s="23"/>
      <c r="LLP242" s="26"/>
      <c r="LLT242" s="23"/>
      <c r="LLY242" s="26"/>
      <c r="LMC242" s="23"/>
      <c r="LMH242" s="26"/>
      <c r="LML242" s="23"/>
      <c r="LMQ242" s="26"/>
      <c r="LMU242" s="23"/>
      <c r="LMZ242" s="26"/>
      <c r="LND242" s="23"/>
      <c r="LNI242" s="26"/>
      <c r="LNM242" s="23"/>
      <c r="LNR242" s="26"/>
      <c r="LNV242" s="23"/>
      <c r="LOA242" s="26"/>
      <c r="LOE242" s="23"/>
      <c r="LOJ242" s="26"/>
      <c r="LON242" s="23"/>
      <c r="LOS242" s="26"/>
      <c r="LOW242" s="23"/>
      <c r="LPB242" s="26"/>
      <c r="LPF242" s="23"/>
      <c r="LPK242" s="26"/>
      <c r="LPO242" s="23"/>
      <c r="LPT242" s="26"/>
      <c r="LPX242" s="23"/>
      <c r="LQC242" s="26"/>
      <c r="LQG242" s="23"/>
      <c r="LQL242" s="26"/>
      <c r="LQP242" s="23"/>
      <c r="LQU242" s="26"/>
      <c r="LQY242" s="23"/>
      <c r="LRD242" s="26"/>
      <c r="LRH242" s="23"/>
      <c r="LRM242" s="26"/>
      <c r="LRQ242" s="23"/>
      <c r="LRV242" s="26"/>
      <c r="LRZ242" s="23"/>
      <c r="LSE242" s="26"/>
      <c r="LSI242" s="23"/>
      <c r="LSN242" s="26"/>
      <c r="LSR242" s="23"/>
      <c r="LSW242" s="26"/>
      <c r="LTA242" s="23"/>
      <c r="LTF242" s="26"/>
      <c r="LTJ242" s="23"/>
      <c r="LTO242" s="26"/>
      <c r="LTS242" s="23"/>
      <c r="LTX242" s="26"/>
      <c r="LUB242" s="23"/>
      <c r="LUG242" s="26"/>
      <c r="LUK242" s="23"/>
      <c r="LUP242" s="26"/>
      <c r="LUT242" s="23"/>
      <c r="LUY242" s="26"/>
      <c r="LVC242" s="23"/>
      <c r="LVH242" s="26"/>
      <c r="LVL242" s="23"/>
      <c r="LVQ242" s="26"/>
      <c r="LVU242" s="23"/>
      <c r="LVZ242" s="26"/>
      <c r="LWD242" s="23"/>
      <c r="LWI242" s="26"/>
      <c r="LWM242" s="23"/>
      <c r="LWR242" s="26"/>
      <c r="LWV242" s="23"/>
      <c r="LXA242" s="26"/>
      <c r="LXE242" s="23"/>
      <c r="LXJ242" s="26"/>
      <c r="LXN242" s="23"/>
      <c r="LXS242" s="26"/>
      <c r="LXW242" s="23"/>
      <c r="LYB242" s="26"/>
      <c r="LYF242" s="23"/>
      <c r="LYK242" s="26"/>
      <c r="LYO242" s="23"/>
      <c r="LYT242" s="26"/>
      <c r="LYX242" s="23"/>
      <c r="LZC242" s="26"/>
      <c r="LZG242" s="23"/>
      <c r="LZL242" s="26"/>
      <c r="LZP242" s="23"/>
      <c r="LZU242" s="26"/>
      <c r="LZY242" s="23"/>
      <c r="MAD242" s="26"/>
      <c r="MAH242" s="23"/>
      <c r="MAM242" s="26"/>
      <c r="MAQ242" s="23"/>
      <c r="MAV242" s="26"/>
      <c r="MAZ242" s="23"/>
      <c r="MBE242" s="26"/>
      <c r="MBI242" s="23"/>
      <c r="MBN242" s="26"/>
      <c r="MBR242" s="23"/>
      <c r="MBW242" s="26"/>
      <c r="MCA242" s="23"/>
      <c r="MCF242" s="26"/>
      <c r="MCJ242" s="23"/>
      <c r="MCO242" s="26"/>
      <c r="MCS242" s="23"/>
      <c r="MCX242" s="26"/>
      <c r="MDB242" s="23"/>
      <c r="MDG242" s="26"/>
      <c r="MDK242" s="23"/>
      <c r="MDP242" s="26"/>
      <c r="MDT242" s="23"/>
      <c r="MDY242" s="26"/>
      <c r="MEC242" s="23"/>
      <c r="MEH242" s="26"/>
      <c r="MEL242" s="23"/>
      <c r="MEQ242" s="26"/>
      <c r="MEU242" s="23"/>
      <c r="MEZ242" s="26"/>
      <c r="MFD242" s="23"/>
      <c r="MFI242" s="26"/>
      <c r="MFM242" s="23"/>
      <c r="MFR242" s="26"/>
      <c r="MFV242" s="23"/>
      <c r="MGA242" s="26"/>
      <c r="MGE242" s="23"/>
      <c r="MGJ242" s="26"/>
      <c r="MGN242" s="23"/>
      <c r="MGS242" s="26"/>
      <c r="MGW242" s="23"/>
      <c r="MHB242" s="26"/>
      <c r="MHF242" s="23"/>
      <c r="MHK242" s="26"/>
      <c r="MHO242" s="23"/>
      <c r="MHT242" s="26"/>
      <c r="MHX242" s="23"/>
      <c r="MIC242" s="26"/>
      <c r="MIG242" s="23"/>
      <c r="MIL242" s="26"/>
      <c r="MIP242" s="23"/>
      <c r="MIU242" s="26"/>
      <c r="MIY242" s="23"/>
      <c r="MJD242" s="26"/>
      <c r="MJH242" s="23"/>
      <c r="MJM242" s="26"/>
      <c r="MJQ242" s="23"/>
      <c r="MJV242" s="26"/>
      <c r="MJZ242" s="23"/>
      <c r="MKE242" s="26"/>
      <c r="MKI242" s="23"/>
      <c r="MKN242" s="26"/>
      <c r="MKR242" s="23"/>
      <c r="MKW242" s="26"/>
      <c r="MLA242" s="23"/>
      <c r="MLF242" s="26"/>
      <c r="MLJ242" s="23"/>
      <c r="MLO242" s="26"/>
      <c r="MLS242" s="23"/>
      <c r="MLX242" s="26"/>
      <c r="MMB242" s="23"/>
      <c r="MMG242" s="26"/>
      <c r="MMK242" s="23"/>
      <c r="MMP242" s="26"/>
      <c r="MMT242" s="23"/>
      <c r="MMY242" s="26"/>
      <c r="MNC242" s="23"/>
      <c r="MNH242" s="26"/>
      <c r="MNL242" s="23"/>
      <c r="MNQ242" s="26"/>
      <c r="MNU242" s="23"/>
      <c r="MNZ242" s="26"/>
      <c r="MOD242" s="23"/>
      <c r="MOI242" s="26"/>
      <c r="MOM242" s="23"/>
      <c r="MOR242" s="26"/>
      <c r="MOV242" s="23"/>
      <c r="MPA242" s="26"/>
      <c r="MPE242" s="23"/>
      <c r="MPJ242" s="26"/>
      <c r="MPN242" s="23"/>
      <c r="MPS242" s="26"/>
      <c r="MPW242" s="23"/>
      <c r="MQB242" s="26"/>
      <c r="MQF242" s="23"/>
      <c r="MQK242" s="26"/>
      <c r="MQO242" s="23"/>
      <c r="MQT242" s="26"/>
      <c r="MQX242" s="23"/>
      <c r="MRC242" s="26"/>
      <c r="MRG242" s="23"/>
      <c r="MRL242" s="26"/>
      <c r="MRP242" s="23"/>
      <c r="MRU242" s="26"/>
      <c r="MRY242" s="23"/>
      <c r="MSD242" s="26"/>
      <c r="MSH242" s="23"/>
      <c r="MSM242" s="26"/>
      <c r="MSQ242" s="23"/>
      <c r="MSV242" s="26"/>
      <c r="MSZ242" s="23"/>
      <c r="MTE242" s="26"/>
      <c r="MTI242" s="23"/>
      <c r="MTN242" s="26"/>
      <c r="MTR242" s="23"/>
      <c r="MTW242" s="26"/>
      <c r="MUA242" s="23"/>
      <c r="MUF242" s="26"/>
      <c r="MUJ242" s="23"/>
      <c r="MUO242" s="26"/>
      <c r="MUS242" s="23"/>
      <c r="MUX242" s="26"/>
      <c r="MVB242" s="23"/>
      <c r="MVG242" s="26"/>
      <c r="MVK242" s="23"/>
      <c r="MVP242" s="26"/>
      <c r="MVT242" s="23"/>
      <c r="MVY242" s="26"/>
      <c r="MWC242" s="23"/>
      <c r="MWH242" s="26"/>
      <c r="MWL242" s="23"/>
      <c r="MWQ242" s="26"/>
      <c r="MWU242" s="23"/>
      <c r="MWZ242" s="26"/>
      <c r="MXD242" s="23"/>
      <c r="MXI242" s="26"/>
      <c r="MXM242" s="23"/>
      <c r="MXR242" s="26"/>
      <c r="MXV242" s="23"/>
      <c r="MYA242" s="26"/>
      <c r="MYE242" s="23"/>
      <c r="MYJ242" s="26"/>
      <c r="MYN242" s="23"/>
      <c r="MYS242" s="26"/>
      <c r="MYW242" s="23"/>
      <c r="MZB242" s="26"/>
      <c r="MZF242" s="23"/>
      <c r="MZK242" s="26"/>
      <c r="MZO242" s="23"/>
      <c r="MZT242" s="26"/>
      <c r="MZX242" s="23"/>
      <c r="NAC242" s="26"/>
      <c r="NAG242" s="23"/>
      <c r="NAL242" s="26"/>
      <c r="NAP242" s="23"/>
      <c r="NAU242" s="26"/>
      <c r="NAY242" s="23"/>
      <c r="NBD242" s="26"/>
      <c r="NBH242" s="23"/>
      <c r="NBM242" s="26"/>
      <c r="NBQ242" s="23"/>
      <c r="NBV242" s="26"/>
      <c r="NBZ242" s="23"/>
      <c r="NCE242" s="26"/>
      <c r="NCI242" s="23"/>
      <c r="NCN242" s="26"/>
      <c r="NCR242" s="23"/>
      <c r="NCW242" s="26"/>
      <c r="NDA242" s="23"/>
      <c r="NDF242" s="26"/>
      <c r="NDJ242" s="23"/>
      <c r="NDO242" s="26"/>
      <c r="NDS242" s="23"/>
      <c r="NDX242" s="26"/>
      <c r="NEB242" s="23"/>
      <c r="NEG242" s="26"/>
      <c r="NEK242" s="23"/>
      <c r="NEP242" s="26"/>
      <c r="NET242" s="23"/>
      <c r="NEY242" s="26"/>
      <c r="NFC242" s="23"/>
      <c r="NFH242" s="26"/>
      <c r="NFL242" s="23"/>
      <c r="NFQ242" s="26"/>
      <c r="NFU242" s="23"/>
      <c r="NFZ242" s="26"/>
      <c r="NGD242" s="23"/>
      <c r="NGI242" s="26"/>
      <c r="NGM242" s="23"/>
      <c r="NGR242" s="26"/>
      <c r="NGV242" s="23"/>
      <c r="NHA242" s="26"/>
      <c r="NHE242" s="23"/>
      <c r="NHJ242" s="26"/>
      <c r="NHN242" s="23"/>
      <c r="NHS242" s="26"/>
      <c r="NHW242" s="23"/>
      <c r="NIB242" s="26"/>
      <c r="NIF242" s="23"/>
      <c r="NIK242" s="26"/>
      <c r="NIO242" s="23"/>
      <c r="NIT242" s="26"/>
      <c r="NIX242" s="23"/>
      <c r="NJC242" s="26"/>
      <c r="NJG242" s="23"/>
      <c r="NJL242" s="26"/>
      <c r="NJP242" s="23"/>
      <c r="NJU242" s="26"/>
      <c r="NJY242" s="23"/>
      <c r="NKD242" s="26"/>
      <c r="NKH242" s="23"/>
      <c r="NKM242" s="26"/>
      <c r="NKQ242" s="23"/>
      <c r="NKV242" s="26"/>
      <c r="NKZ242" s="23"/>
      <c r="NLE242" s="26"/>
      <c r="NLI242" s="23"/>
      <c r="NLN242" s="26"/>
      <c r="NLR242" s="23"/>
      <c r="NLW242" s="26"/>
      <c r="NMA242" s="23"/>
      <c r="NMF242" s="26"/>
      <c r="NMJ242" s="23"/>
      <c r="NMO242" s="26"/>
      <c r="NMS242" s="23"/>
      <c r="NMX242" s="26"/>
      <c r="NNB242" s="23"/>
      <c r="NNG242" s="26"/>
      <c r="NNK242" s="23"/>
      <c r="NNP242" s="26"/>
      <c r="NNT242" s="23"/>
      <c r="NNY242" s="26"/>
      <c r="NOC242" s="23"/>
      <c r="NOH242" s="26"/>
      <c r="NOL242" s="23"/>
      <c r="NOQ242" s="26"/>
      <c r="NOU242" s="23"/>
      <c r="NOZ242" s="26"/>
      <c r="NPD242" s="23"/>
      <c r="NPI242" s="26"/>
      <c r="NPM242" s="23"/>
      <c r="NPR242" s="26"/>
      <c r="NPV242" s="23"/>
      <c r="NQA242" s="26"/>
      <c r="NQE242" s="23"/>
      <c r="NQJ242" s="26"/>
      <c r="NQN242" s="23"/>
      <c r="NQS242" s="26"/>
      <c r="NQW242" s="23"/>
      <c r="NRB242" s="26"/>
      <c r="NRF242" s="23"/>
      <c r="NRK242" s="26"/>
      <c r="NRO242" s="23"/>
      <c r="NRT242" s="26"/>
      <c r="NRX242" s="23"/>
      <c r="NSC242" s="26"/>
      <c r="NSG242" s="23"/>
      <c r="NSL242" s="26"/>
      <c r="NSP242" s="23"/>
      <c r="NSU242" s="26"/>
      <c r="NSY242" s="23"/>
      <c r="NTD242" s="26"/>
      <c r="NTH242" s="23"/>
      <c r="NTM242" s="26"/>
      <c r="NTQ242" s="23"/>
      <c r="NTV242" s="26"/>
      <c r="NTZ242" s="23"/>
      <c r="NUE242" s="26"/>
      <c r="NUI242" s="23"/>
      <c r="NUN242" s="26"/>
      <c r="NUR242" s="23"/>
      <c r="NUW242" s="26"/>
      <c r="NVA242" s="23"/>
      <c r="NVF242" s="26"/>
      <c r="NVJ242" s="23"/>
      <c r="NVO242" s="26"/>
      <c r="NVS242" s="23"/>
      <c r="NVX242" s="26"/>
      <c r="NWB242" s="23"/>
      <c r="NWG242" s="26"/>
      <c r="NWK242" s="23"/>
      <c r="NWP242" s="26"/>
      <c r="NWT242" s="23"/>
      <c r="NWY242" s="26"/>
      <c r="NXC242" s="23"/>
      <c r="NXH242" s="26"/>
      <c r="NXL242" s="23"/>
      <c r="NXQ242" s="26"/>
      <c r="NXU242" s="23"/>
      <c r="NXZ242" s="26"/>
      <c r="NYD242" s="23"/>
      <c r="NYI242" s="26"/>
      <c r="NYM242" s="23"/>
      <c r="NYR242" s="26"/>
      <c r="NYV242" s="23"/>
      <c r="NZA242" s="26"/>
      <c r="NZE242" s="23"/>
      <c r="NZJ242" s="26"/>
      <c r="NZN242" s="23"/>
      <c r="NZS242" s="26"/>
      <c r="NZW242" s="23"/>
      <c r="OAB242" s="26"/>
      <c r="OAF242" s="23"/>
      <c r="OAK242" s="26"/>
      <c r="OAO242" s="23"/>
      <c r="OAT242" s="26"/>
      <c r="OAX242" s="23"/>
      <c r="OBC242" s="26"/>
      <c r="OBG242" s="23"/>
      <c r="OBL242" s="26"/>
      <c r="OBP242" s="23"/>
      <c r="OBU242" s="26"/>
      <c r="OBY242" s="23"/>
      <c r="OCD242" s="26"/>
      <c r="OCH242" s="23"/>
      <c r="OCM242" s="26"/>
      <c r="OCQ242" s="23"/>
      <c r="OCV242" s="26"/>
      <c r="OCZ242" s="23"/>
      <c r="ODE242" s="26"/>
      <c r="ODI242" s="23"/>
      <c r="ODN242" s="26"/>
      <c r="ODR242" s="23"/>
      <c r="ODW242" s="26"/>
      <c r="OEA242" s="23"/>
      <c r="OEF242" s="26"/>
      <c r="OEJ242" s="23"/>
      <c r="OEO242" s="26"/>
      <c r="OES242" s="23"/>
      <c r="OEX242" s="26"/>
      <c r="OFB242" s="23"/>
      <c r="OFG242" s="26"/>
      <c r="OFK242" s="23"/>
      <c r="OFP242" s="26"/>
      <c r="OFT242" s="23"/>
      <c r="OFY242" s="26"/>
      <c r="OGC242" s="23"/>
      <c r="OGH242" s="26"/>
      <c r="OGL242" s="23"/>
      <c r="OGQ242" s="26"/>
      <c r="OGU242" s="23"/>
      <c r="OGZ242" s="26"/>
      <c r="OHD242" s="23"/>
      <c r="OHI242" s="26"/>
      <c r="OHM242" s="23"/>
      <c r="OHR242" s="26"/>
      <c r="OHV242" s="23"/>
      <c r="OIA242" s="26"/>
      <c r="OIE242" s="23"/>
      <c r="OIJ242" s="26"/>
      <c r="OIN242" s="23"/>
      <c r="OIS242" s="26"/>
      <c r="OIW242" s="23"/>
      <c r="OJB242" s="26"/>
      <c r="OJF242" s="23"/>
      <c r="OJK242" s="26"/>
      <c r="OJO242" s="23"/>
      <c r="OJT242" s="26"/>
      <c r="OJX242" s="23"/>
      <c r="OKC242" s="26"/>
      <c r="OKG242" s="23"/>
      <c r="OKL242" s="26"/>
      <c r="OKP242" s="23"/>
      <c r="OKU242" s="26"/>
      <c r="OKY242" s="23"/>
      <c r="OLD242" s="26"/>
      <c r="OLH242" s="23"/>
      <c r="OLM242" s="26"/>
      <c r="OLQ242" s="23"/>
      <c r="OLV242" s="26"/>
      <c r="OLZ242" s="23"/>
      <c r="OME242" s="26"/>
      <c r="OMI242" s="23"/>
      <c r="OMN242" s="26"/>
      <c r="OMR242" s="23"/>
      <c r="OMW242" s="26"/>
      <c r="ONA242" s="23"/>
      <c r="ONF242" s="26"/>
      <c r="ONJ242" s="23"/>
      <c r="ONO242" s="26"/>
      <c r="ONS242" s="23"/>
      <c r="ONX242" s="26"/>
      <c r="OOB242" s="23"/>
      <c r="OOG242" s="26"/>
      <c r="OOK242" s="23"/>
      <c r="OOP242" s="26"/>
      <c r="OOT242" s="23"/>
      <c r="OOY242" s="26"/>
      <c r="OPC242" s="23"/>
      <c r="OPH242" s="26"/>
      <c r="OPL242" s="23"/>
      <c r="OPQ242" s="26"/>
      <c r="OPU242" s="23"/>
      <c r="OPZ242" s="26"/>
      <c r="OQD242" s="23"/>
      <c r="OQI242" s="26"/>
      <c r="OQM242" s="23"/>
      <c r="OQR242" s="26"/>
      <c r="OQV242" s="23"/>
      <c r="ORA242" s="26"/>
      <c r="ORE242" s="23"/>
      <c r="ORJ242" s="26"/>
      <c r="ORN242" s="23"/>
      <c r="ORS242" s="26"/>
      <c r="ORW242" s="23"/>
      <c r="OSB242" s="26"/>
      <c r="OSF242" s="23"/>
      <c r="OSK242" s="26"/>
      <c r="OSO242" s="23"/>
      <c r="OST242" s="26"/>
      <c r="OSX242" s="23"/>
      <c r="OTC242" s="26"/>
      <c r="OTG242" s="23"/>
      <c r="OTL242" s="26"/>
      <c r="OTP242" s="23"/>
      <c r="OTU242" s="26"/>
      <c r="OTY242" s="23"/>
      <c r="OUD242" s="26"/>
      <c r="OUH242" s="23"/>
      <c r="OUM242" s="26"/>
      <c r="OUQ242" s="23"/>
      <c r="OUV242" s="26"/>
      <c r="OUZ242" s="23"/>
      <c r="OVE242" s="26"/>
      <c r="OVI242" s="23"/>
      <c r="OVN242" s="26"/>
      <c r="OVR242" s="23"/>
      <c r="OVW242" s="26"/>
      <c r="OWA242" s="23"/>
      <c r="OWF242" s="26"/>
      <c r="OWJ242" s="23"/>
      <c r="OWO242" s="26"/>
      <c r="OWS242" s="23"/>
      <c r="OWX242" s="26"/>
      <c r="OXB242" s="23"/>
      <c r="OXG242" s="26"/>
      <c r="OXK242" s="23"/>
      <c r="OXP242" s="26"/>
      <c r="OXT242" s="23"/>
      <c r="OXY242" s="26"/>
      <c r="OYC242" s="23"/>
      <c r="OYH242" s="26"/>
      <c r="OYL242" s="23"/>
      <c r="OYQ242" s="26"/>
      <c r="OYU242" s="23"/>
      <c r="OYZ242" s="26"/>
      <c r="OZD242" s="23"/>
      <c r="OZI242" s="26"/>
      <c r="OZM242" s="23"/>
      <c r="OZR242" s="26"/>
      <c r="OZV242" s="23"/>
      <c r="PAA242" s="26"/>
      <c r="PAE242" s="23"/>
      <c r="PAJ242" s="26"/>
      <c r="PAN242" s="23"/>
      <c r="PAS242" s="26"/>
      <c r="PAW242" s="23"/>
      <c r="PBB242" s="26"/>
      <c r="PBF242" s="23"/>
      <c r="PBK242" s="26"/>
      <c r="PBO242" s="23"/>
      <c r="PBT242" s="26"/>
      <c r="PBX242" s="23"/>
      <c r="PCC242" s="26"/>
      <c r="PCG242" s="23"/>
      <c r="PCL242" s="26"/>
      <c r="PCP242" s="23"/>
      <c r="PCU242" s="26"/>
      <c r="PCY242" s="23"/>
      <c r="PDD242" s="26"/>
      <c r="PDH242" s="23"/>
      <c r="PDM242" s="26"/>
      <c r="PDQ242" s="23"/>
      <c r="PDV242" s="26"/>
      <c r="PDZ242" s="23"/>
      <c r="PEE242" s="26"/>
      <c r="PEI242" s="23"/>
      <c r="PEN242" s="26"/>
      <c r="PER242" s="23"/>
      <c r="PEW242" s="26"/>
      <c r="PFA242" s="23"/>
      <c r="PFF242" s="26"/>
      <c r="PFJ242" s="23"/>
      <c r="PFO242" s="26"/>
      <c r="PFS242" s="23"/>
      <c r="PFX242" s="26"/>
      <c r="PGB242" s="23"/>
      <c r="PGG242" s="26"/>
      <c r="PGK242" s="23"/>
      <c r="PGP242" s="26"/>
      <c r="PGT242" s="23"/>
      <c r="PGY242" s="26"/>
      <c r="PHC242" s="23"/>
      <c r="PHH242" s="26"/>
      <c r="PHL242" s="23"/>
      <c r="PHQ242" s="26"/>
      <c r="PHU242" s="23"/>
      <c r="PHZ242" s="26"/>
      <c r="PID242" s="23"/>
      <c r="PII242" s="26"/>
      <c r="PIM242" s="23"/>
      <c r="PIR242" s="26"/>
      <c r="PIV242" s="23"/>
      <c r="PJA242" s="26"/>
      <c r="PJE242" s="23"/>
      <c r="PJJ242" s="26"/>
      <c r="PJN242" s="23"/>
      <c r="PJS242" s="26"/>
      <c r="PJW242" s="23"/>
      <c r="PKB242" s="26"/>
      <c r="PKF242" s="23"/>
      <c r="PKK242" s="26"/>
      <c r="PKO242" s="23"/>
      <c r="PKT242" s="26"/>
      <c r="PKX242" s="23"/>
      <c r="PLC242" s="26"/>
      <c r="PLG242" s="23"/>
      <c r="PLL242" s="26"/>
      <c r="PLP242" s="23"/>
      <c r="PLU242" s="26"/>
      <c r="PLY242" s="23"/>
      <c r="PMD242" s="26"/>
      <c r="PMH242" s="23"/>
      <c r="PMM242" s="26"/>
      <c r="PMQ242" s="23"/>
      <c r="PMV242" s="26"/>
      <c r="PMZ242" s="23"/>
      <c r="PNE242" s="26"/>
      <c r="PNI242" s="23"/>
      <c r="PNN242" s="26"/>
      <c r="PNR242" s="23"/>
      <c r="PNW242" s="26"/>
      <c r="POA242" s="23"/>
      <c r="POF242" s="26"/>
      <c r="POJ242" s="23"/>
      <c r="POO242" s="26"/>
      <c r="POS242" s="23"/>
      <c r="POX242" s="26"/>
      <c r="PPB242" s="23"/>
      <c r="PPG242" s="26"/>
      <c r="PPK242" s="23"/>
      <c r="PPP242" s="26"/>
      <c r="PPT242" s="23"/>
      <c r="PPY242" s="26"/>
      <c r="PQC242" s="23"/>
      <c r="PQH242" s="26"/>
      <c r="PQL242" s="23"/>
      <c r="PQQ242" s="26"/>
      <c r="PQU242" s="23"/>
      <c r="PQZ242" s="26"/>
      <c r="PRD242" s="23"/>
      <c r="PRI242" s="26"/>
      <c r="PRM242" s="23"/>
      <c r="PRR242" s="26"/>
      <c r="PRV242" s="23"/>
      <c r="PSA242" s="26"/>
      <c r="PSE242" s="23"/>
      <c r="PSJ242" s="26"/>
      <c r="PSN242" s="23"/>
      <c r="PSS242" s="26"/>
      <c r="PSW242" s="23"/>
      <c r="PTB242" s="26"/>
      <c r="PTF242" s="23"/>
      <c r="PTK242" s="26"/>
      <c r="PTO242" s="23"/>
      <c r="PTT242" s="26"/>
      <c r="PTX242" s="23"/>
      <c r="PUC242" s="26"/>
      <c r="PUG242" s="23"/>
      <c r="PUL242" s="26"/>
      <c r="PUP242" s="23"/>
      <c r="PUU242" s="26"/>
      <c r="PUY242" s="23"/>
      <c r="PVD242" s="26"/>
      <c r="PVH242" s="23"/>
      <c r="PVM242" s="26"/>
      <c r="PVQ242" s="23"/>
      <c r="PVV242" s="26"/>
      <c r="PVZ242" s="23"/>
      <c r="PWE242" s="26"/>
      <c r="PWI242" s="23"/>
      <c r="PWN242" s="26"/>
      <c r="PWR242" s="23"/>
      <c r="PWW242" s="26"/>
      <c r="PXA242" s="23"/>
      <c r="PXF242" s="26"/>
      <c r="PXJ242" s="23"/>
      <c r="PXO242" s="26"/>
      <c r="PXS242" s="23"/>
      <c r="PXX242" s="26"/>
      <c r="PYB242" s="23"/>
      <c r="PYG242" s="26"/>
      <c r="PYK242" s="23"/>
      <c r="PYP242" s="26"/>
      <c r="PYT242" s="23"/>
      <c r="PYY242" s="26"/>
      <c r="PZC242" s="23"/>
      <c r="PZH242" s="26"/>
      <c r="PZL242" s="23"/>
      <c r="PZQ242" s="26"/>
      <c r="PZU242" s="23"/>
      <c r="PZZ242" s="26"/>
      <c r="QAD242" s="23"/>
      <c r="QAI242" s="26"/>
      <c r="QAM242" s="23"/>
      <c r="QAR242" s="26"/>
      <c r="QAV242" s="23"/>
      <c r="QBA242" s="26"/>
      <c r="QBE242" s="23"/>
      <c r="QBJ242" s="26"/>
      <c r="QBN242" s="23"/>
      <c r="QBS242" s="26"/>
      <c r="QBW242" s="23"/>
      <c r="QCB242" s="26"/>
      <c r="QCF242" s="23"/>
      <c r="QCK242" s="26"/>
      <c r="QCO242" s="23"/>
      <c r="QCT242" s="26"/>
      <c r="QCX242" s="23"/>
      <c r="QDC242" s="26"/>
      <c r="QDG242" s="23"/>
      <c r="QDL242" s="26"/>
      <c r="QDP242" s="23"/>
      <c r="QDU242" s="26"/>
      <c r="QDY242" s="23"/>
      <c r="QED242" s="26"/>
      <c r="QEH242" s="23"/>
      <c r="QEM242" s="26"/>
      <c r="QEQ242" s="23"/>
      <c r="QEV242" s="26"/>
      <c r="QEZ242" s="23"/>
      <c r="QFE242" s="26"/>
      <c r="QFI242" s="23"/>
      <c r="QFN242" s="26"/>
      <c r="QFR242" s="23"/>
      <c r="QFW242" s="26"/>
      <c r="QGA242" s="23"/>
      <c r="QGF242" s="26"/>
      <c r="QGJ242" s="23"/>
      <c r="QGO242" s="26"/>
      <c r="QGS242" s="23"/>
      <c r="QGX242" s="26"/>
      <c r="QHB242" s="23"/>
      <c r="QHG242" s="26"/>
      <c r="QHK242" s="23"/>
      <c r="QHP242" s="26"/>
      <c r="QHT242" s="23"/>
      <c r="QHY242" s="26"/>
      <c r="QIC242" s="23"/>
      <c r="QIH242" s="26"/>
      <c r="QIL242" s="23"/>
      <c r="QIQ242" s="26"/>
      <c r="QIU242" s="23"/>
      <c r="QIZ242" s="26"/>
      <c r="QJD242" s="23"/>
      <c r="QJI242" s="26"/>
      <c r="QJM242" s="23"/>
      <c r="QJR242" s="26"/>
      <c r="QJV242" s="23"/>
      <c r="QKA242" s="26"/>
      <c r="QKE242" s="23"/>
      <c r="QKJ242" s="26"/>
      <c r="QKN242" s="23"/>
      <c r="QKS242" s="26"/>
      <c r="QKW242" s="23"/>
      <c r="QLB242" s="26"/>
      <c r="QLF242" s="23"/>
      <c r="QLK242" s="26"/>
      <c r="QLO242" s="23"/>
      <c r="QLT242" s="26"/>
      <c r="QLX242" s="23"/>
      <c r="QMC242" s="26"/>
      <c r="QMG242" s="23"/>
      <c r="QML242" s="26"/>
      <c r="QMP242" s="23"/>
      <c r="QMU242" s="26"/>
      <c r="QMY242" s="23"/>
      <c r="QND242" s="26"/>
      <c r="QNH242" s="23"/>
      <c r="QNM242" s="26"/>
      <c r="QNQ242" s="23"/>
      <c r="QNV242" s="26"/>
      <c r="QNZ242" s="23"/>
      <c r="QOE242" s="26"/>
      <c r="QOI242" s="23"/>
      <c r="QON242" s="26"/>
      <c r="QOR242" s="23"/>
      <c r="QOW242" s="26"/>
      <c r="QPA242" s="23"/>
      <c r="QPF242" s="26"/>
      <c r="QPJ242" s="23"/>
      <c r="QPO242" s="26"/>
      <c r="QPS242" s="23"/>
      <c r="QPX242" s="26"/>
      <c r="QQB242" s="23"/>
      <c r="QQG242" s="26"/>
      <c r="QQK242" s="23"/>
      <c r="QQP242" s="26"/>
      <c r="QQT242" s="23"/>
      <c r="QQY242" s="26"/>
      <c r="QRC242" s="23"/>
      <c r="QRH242" s="26"/>
      <c r="QRL242" s="23"/>
      <c r="QRQ242" s="26"/>
      <c r="QRU242" s="23"/>
      <c r="QRZ242" s="26"/>
      <c r="QSD242" s="23"/>
      <c r="QSI242" s="26"/>
      <c r="QSM242" s="23"/>
      <c r="QSR242" s="26"/>
      <c r="QSV242" s="23"/>
      <c r="QTA242" s="26"/>
      <c r="QTE242" s="23"/>
      <c r="QTJ242" s="26"/>
      <c r="QTN242" s="23"/>
      <c r="QTS242" s="26"/>
      <c r="QTW242" s="23"/>
      <c r="QUB242" s="26"/>
      <c r="QUF242" s="23"/>
      <c r="QUK242" s="26"/>
      <c r="QUO242" s="23"/>
      <c r="QUT242" s="26"/>
      <c r="QUX242" s="23"/>
      <c r="QVC242" s="26"/>
      <c r="QVG242" s="23"/>
      <c r="QVL242" s="26"/>
      <c r="QVP242" s="23"/>
      <c r="QVU242" s="26"/>
      <c r="QVY242" s="23"/>
      <c r="QWD242" s="26"/>
      <c r="QWH242" s="23"/>
      <c r="QWM242" s="26"/>
      <c r="QWQ242" s="23"/>
      <c r="QWV242" s="26"/>
      <c r="QWZ242" s="23"/>
      <c r="QXE242" s="26"/>
      <c r="QXI242" s="23"/>
      <c r="QXN242" s="26"/>
      <c r="QXR242" s="23"/>
      <c r="QXW242" s="26"/>
      <c r="QYA242" s="23"/>
      <c r="QYF242" s="26"/>
      <c r="QYJ242" s="23"/>
      <c r="QYO242" s="26"/>
      <c r="QYS242" s="23"/>
      <c r="QYX242" s="26"/>
      <c r="QZB242" s="23"/>
      <c r="QZG242" s="26"/>
      <c r="QZK242" s="23"/>
      <c r="QZP242" s="26"/>
      <c r="QZT242" s="23"/>
      <c r="QZY242" s="26"/>
      <c r="RAC242" s="23"/>
      <c r="RAH242" s="26"/>
      <c r="RAL242" s="23"/>
      <c r="RAQ242" s="26"/>
      <c r="RAU242" s="23"/>
      <c r="RAZ242" s="26"/>
      <c r="RBD242" s="23"/>
      <c r="RBI242" s="26"/>
      <c r="RBM242" s="23"/>
      <c r="RBR242" s="26"/>
      <c r="RBV242" s="23"/>
      <c r="RCA242" s="26"/>
      <c r="RCE242" s="23"/>
      <c r="RCJ242" s="26"/>
      <c r="RCN242" s="23"/>
      <c r="RCS242" s="26"/>
      <c r="RCW242" s="23"/>
      <c r="RDB242" s="26"/>
      <c r="RDF242" s="23"/>
      <c r="RDK242" s="26"/>
      <c r="RDO242" s="23"/>
      <c r="RDT242" s="26"/>
      <c r="RDX242" s="23"/>
      <c r="REC242" s="26"/>
      <c r="REG242" s="23"/>
      <c r="REL242" s="26"/>
      <c r="REP242" s="23"/>
      <c r="REU242" s="26"/>
      <c r="REY242" s="23"/>
      <c r="RFD242" s="26"/>
      <c r="RFH242" s="23"/>
      <c r="RFM242" s="26"/>
      <c r="RFQ242" s="23"/>
      <c r="RFV242" s="26"/>
      <c r="RFZ242" s="23"/>
      <c r="RGE242" s="26"/>
      <c r="RGI242" s="23"/>
      <c r="RGN242" s="26"/>
      <c r="RGR242" s="23"/>
      <c r="RGW242" s="26"/>
      <c r="RHA242" s="23"/>
      <c r="RHF242" s="26"/>
      <c r="RHJ242" s="23"/>
      <c r="RHO242" s="26"/>
      <c r="RHS242" s="23"/>
      <c r="RHX242" s="26"/>
      <c r="RIB242" s="23"/>
      <c r="RIG242" s="26"/>
      <c r="RIK242" s="23"/>
      <c r="RIP242" s="26"/>
      <c r="RIT242" s="23"/>
      <c r="RIY242" s="26"/>
      <c r="RJC242" s="23"/>
      <c r="RJH242" s="26"/>
      <c r="RJL242" s="23"/>
      <c r="RJQ242" s="26"/>
      <c r="RJU242" s="23"/>
      <c r="RJZ242" s="26"/>
      <c r="RKD242" s="23"/>
      <c r="RKI242" s="26"/>
      <c r="RKM242" s="23"/>
      <c r="RKR242" s="26"/>
      <c r="RKV242" s="23"/>
      <c r="RLA242" s="26"/>
      <c r="RLE242" s="23"/>
      <c r="RLJ242" s="26"/>
      <c r="RLN242" s="23"/>
      <c r="RLS242" s="26"/>
      <c r="RLW242" s="23"/>
      <c r="RMB242" s="26"/>
      <c r="RMF242" s="23"/>
      <c r="RMK242" s="26"/>
      <c r="RMO242" s="23"/>
      <c r="RMT242" s="26"/>
      <c r="RMX242" s="23"/>
      <c r="RNC242" s="26"/>
      <c r="RNG242" s="23"/>
      <c r="RNL242" s="26"/>
      <c r="RNP242" s="23"/>
      <c r="RNU242" s="26"/>
      <c r="RNY242" s="23"/>
      <c r="ROD242" s="26"/>
      <c r="ROH242" s="23"/>
      <c r="ROM242" s="26"/>
      <c r="ROQ242" s="23"/>
      <c r="ROV242" s="26"/>
      <c r="ROZ242" s="23"/>
      <c r="RPE242" s="26"/>
      <c r="RPI242" s="23"/>
      <c r="RPN242" s="26"/>
      <c r="RPR242" s="23"/>
      <c r="RPW242" s="26"/>
      <c r="RQA242" s="23"/>
      <c r="RQF242" s="26"/>
      <c r="RQJ242" s="23"/>
      <c r="RQO242" s="26"/>
      <c r="RQS242" s="23"/>
      <c r="RQX242" s="26"/>
      <c r="RRB242" s="23"/>
      <c r="RRG242" s="26"/>
      <c r="RRK242" s="23"/>
      <c r="RRP242" s="26"/>
      <c r="RRT242" s="23"/>
      <c r="RRY242" s="26"/>
      <c r="RSC242" s="23"/>
      <c r="RSH242" s="26"/>
      <c r="RSL242" s="23"/>
      <c r="RSQ242" s="26"/>
      <c r="RSU242" s="23"/>
      <c r="RSZ242" s="26"/>
      <c r="RTD242" s="23"/>
      <c r="RTI242" s="26"/>
      <c r="RTM242" s="23"/>
      <c r="RTR242" s="26"/>
      <c r="RTV242" s="23"/>
      <c r="RUA242" s="26"/>
      <c r="RUE242" s="23"/>
      <c r="RUJ242" s="26"/>
      <c r="RUN242" s="23"/>
      <c r="RUS242" s="26"/>
      <c r="RUW242" s="23"/>
      <c r="RVB242" s="26"/>
      <c r="RVF242" s="23"/>
      <c r="RVK242" s="26"/>
      <c r="RVO242" s="23"/>
      <c r="RVT242" s="26"/>
      <c r="RVX242" s="23"/>
      <c r="RWC242" s="26"/>
      <c r="RWG242" s="23"/>
      <c r="RWL242" s="26"/>
      <c r="RWP242" s="23"/>
      <c r="RWU242" s="26"/>
      <c r="RWY242" s="23"/>
      <c r="RXD242" s="26"/>
      <c r="RXH242" s="23"/>
      <c r="RXM242" s="26"/>
      <c r="RXQ242" s="23"/>
      <c r="RXV242" s="26"/>
      <c r="RXZ242" s="23"/>
      <c r="RYE242" s="26"/>
      <c r="RYI242" s="23"/>
      <c r="RYN242" s="26"/>
      <c r="RYR242" s="23"/>
      <c r="RYW242" s="26"/>
      <c r="RZA242" s="23"/>
      <c r="RZF242" s="26"/>
      <c r="RZJ242" s="23"/>
      <c r="RZO242" s="26"/>
      <c r="RZS242" s="23"/>
      <c r="RZX242" s="26"/>
      <c r="SAB242" s="23"/>
      <c r="SAG242" s="26"/>
      <c r="SAK242" s="23"/>
      <c r="SAP242" s="26"/>
      <c r="SAT242" s="23"/>
      <c r="SAY242" s="26"/>
      <c r="SBC242" s="23"/>
      <c r="SBH242" s="26"/>
      <c r="SBL242" s="23"/>
      <c r="SBQ242" s="26"/>
      <c r="SBU242" s="23"/>
      <c r="SBZ242" s="26"/>
      <c r="SCD242" s="23"/>
      <c r="SCI242" s="26"/>
      <c r="SCM242" s="23"/>
      <c r="SCR242" s="26"/>
      <c r="SCV242" s="23"/>
      <c r="SDA242" s="26"/>
      <c r="SDE242" s="23"/>
      <c r="SDJ242" s="26"/>
      <c r="SDN242" s="23"/>
      <c r="SDS242" s="26"/>
      <c r="SDW242" s="23"/>
      <c r="SEB242" s="26"/>
      <c r="SEF242" s="23"/>
      <c r="SEK242" s="26"/>
      <c r="SEO242" s="23"/>
      <c r="SET242" s="26"/>
      <c r="SEX242" s="23"/>
      <c r="SFC242" s="26"/>
      <c r="SFG242" s="23"/>
      <c r="SFL242" s="26"/>
      <c r="SFP242" s="23"/>
      <c r="SFU242" s="26"/>
      <c r="SFY242" s="23"/>
      <c r="SGD242" s="26"/>
      <c r="SGH242" s="23"/>
      <c r="SGM242" s="26"/>
      <c r="SGQ242" s="23"/>
      <c r="SGV242" s="26"/>
      <c r="SGZ242" s="23"/>
      <c r="SHE242" s="26"/>
      <c r="SHI242" s="23"/>
      <c r="SHN242" s="26"/>
      <c r="SHR242" s="23"/>
      <c r="SHW242" s="26"/>
      <c r="SIA242" s="23"/>
      <c r="SIF242" s="26"/>
      <c r="SIJ242" s="23"/>
      <c r="SIO242" s="26"/>
      <c r="SIS242" s="23"/>
      <c r="SIX242" s="26"/>
      <c r="SJB242" s="23"/>
      <c r="SJG242" s="26"/>
      <c r="SJK242" s="23"/>
      <c r="SJP242" s="26"/>
      <c r="SJT242" s="23"/>
      <c r="SJY242" s="26"/>
      <c r="SKC242" s="23"/>
      <c r="SKH242" s="26"/>
      <c r="SKL242" s="23"/>
      <c r="SKQ242" s="26"/>
      <c r="SKU242" s="23"/>
      <c r="SKZ242" s="26"/>
      <c r="SLD242" s="23"/>
      <c r="SLI242" s="26"/>
      <c r="SLM242" s="23"/>
      <c r="SLR242" s="26"/>
      <c r="SLV242" s="23"/>
      <c r="SMA242" s="26"/>
      <c r="SME242" s="23"/>
      <c r="SMJ242" s="26"/>
      <c r="SMN242" s="23"/>
      <c r="SMS242" s="26"/>
      <c r="SMW242" s="23"/>
      <c r="SNB242" s="26"/>
      <c r="SNF242" s="23"/>
      <c r="SNK242" s="26"/>
      <c r="SNO242" s="23"/>
      <c r="SNT242" s="26"/>
      <c r="SNX242" s="23"/>
      <c r="SOC242" s="26"/>
      <c r="SOG242" s="23"/>
      <c r="SOL242" s="26"/>
      <c r="SOP242" s="23"/>
      <c r="SOU242" s="26"/>
      <c r="SOY242" s="23"/>
      <c r="SPD242" s="26"/>
      <c r="SPH242" s="23"/>
      <c r="SPM242" s="26"/>
      <c r="SPQ242" s="23"/>
      <c r="SPV242" s="26"/>
      <c r="SPZ242" s="23"/>
      <c r="SQE242" s="26"/>
      <c r="SQI242" s="23"/>
      <c r="SQN242" s="26"/>
      <c r="SQR242" s="23"/>
      <c r="SQW242" s="26"/>
      <c r="SRA242" s="23"/>
      <c r="SRF242" s="26"/>
      <c r="SRJ242" s="23"/>
      <c r="SRO242" s="26"/>
      <c r="SRS242" s="23"/>
      <c r="SRX242" s="26"/>
      <c r="SSB242" s="23"/>
      <c r="SSG242" s="26"/>
      <c r="SSK242" s="23"/>
      <c r="SSP242" s="26"/>
      <c r="SST242" s="23"/>
      <c r="SSY242" s="26"/>
      <c r="STC242" s="23"/>
      <c r="STH242" s="26"/>
      <c r="STL242" s="23"/>
      <c r="STQ242" s="26"/>
      <c r="STU242" s="23"/>
      <c r="STZ242" s="26"/>
      <c r="SUD242" s="23"/>
      <c r="SUI242" s="26"/>
      <c r="SUM242" s="23"/>
      <c r="SUR242" s="26"/>
      <c r="SUV242" s="23"/>
      <c r="SVA242" s="26"/>
      <c r="SVE242" s="23"/>
      <c r="SVJ242" s="26"/>
      <c r="SVN242" s="23"/>
      <c r="SVS242" s="26"/>
      <c r="SVW242" s="23"/>
      <c r="SWB242" s="26"/>
      <c r="SWF242" s="23"/>
      <c r="SWK242" s="26"/>
      <c r="SWO242" s="23"/>
      <c r="SWT242" s="26"/>
      <c r="SWX242" s="23"/>
      <c r="SXC242" s="26"/>
      <c r="SXG242" s="23"/>
      <c r="SXL242" s="26"/>
      <c r="SXP242" s="23"/>
      <c r="SXU242" s="26"/>
      <c r="SXY242" s="23"/>
      <c r="SYD242" s="26"/>
      <c r="SYH242" s="23"/>
      <c r="SYM242" s="26"/>
      <c r="SYQ242" s="23"/>
      <c r="SYV242" s="26"/>
      <c r="SYZ242" s="23"/>
      <c r="SZE242" s="26"/>
      <c r="SZI242" s="23"/>
      <c r="SZN242" s="26"/>
      <c r="SZR242" s="23"/>
      <c r="SZW242" s="26"/>
      <c r="TAA242" s="23"/>
      <c r="TAF242" s="26"/>
      <c r="TAJ242" s="23"/>
      <c r="TAO242" s="26"/>
      <c r="TAS242" s="23"/>
      <c r="TAX242" s="26"/>
      <c r="TBB242" s="23"/>
      <c r="TBG242" s="26"/>
      <c r="TBK242" s="23"/>
      <c r="TBP242" s="26"/>
      <c r="TBT242" s="23"/>
      <c r="TBY242" s="26"/>
      <c r="TCC242" s="23"/>
      <c r="TCH242" s="26"/>
      <c r="TCL242" s="23"/>
      <c r="TCQ242" s="26"/>
      <c r="TCU242" s="23"/>
      <c r="TCZ242" s="26"/>
      <c r="TDD242" s="23"/>
      <c r="TDI242" s="26"/>
      <c r="TDM242" s="23"/>
      <c r="TDR242" s="26"/>
      <c r="TDV242" s="23"/>
      <c r="TEA242" s="26"/>
      <c r="TEE242" s="23"/>
      <c r="TEJ242" s="26"/>
      <c r="TEN242" s="23"/>
      <c r="TES242" s="26"/>
      <c r="TEW242" s="23"/>
      <c r="TFB242" s="26"/>
      <c r="TFF242" s="23"/>
      <c r="TFK242" s="26"/>
      <c r="TFO242" s="23"/>
      <c r="TFT242" s="26"/>
      <c r="TFX242" s="23"/>
      <c r="TGC242" s="26"/>
      <c r="TGG242" s="23"/>
      <c r="TGL242" s="26"/>
      <c r="TGP242" s="23"/>
      <c r="TGU242" s="26"/>
      <c r="TGY242" s="23"/>
      <c r="THD242" s="26"/>
      <c r="THH242" s="23"/>
      <c r="THM242" s="26"/>
      <c r="THQ242" s="23"/>
      <c r="THV242" s="26"/>
      <c r="THZ242" s="23"/>
      <c r="TIE242" s="26"/>
      <c r="TII242" s="23"/>
      <c r="TIN242" s="26"/>
      <c r="TIR242" s="23"/>
      <c r="TIW242" s="26"/>
      <c r="TJA242" s="23"/>
      <c r="TJF242" s="26"/>
      <c r="TJJ242" s="23"/>
      <c r="TJO242" s="26"/>
      <c r="TJS242" s="23"/>
      <c r="TJX242" s="26"/>
      <c r="TKB242" s="23"/>
      <c r="TKG242" s="26"/>
      <c r="TKK242" s="23"/>
      <c r="TKP242" s="26"/>
      <c r="TKT242" s="23"/>
      <c r="TKY242" s="26"/>
      <c r="TLC242" s="23"/>
      <c r="TLH242" s="26"/>
      <c r="TLL242" s="23"/>
      <c r="TLQ242" s="26"/>
      <c r="TLU242" s="23"/>
      <c r="TLZ242" s="26"/>
      <c r="TMD242" s="23"/>
      <c r="TMI242" s="26"/>
      <c r="TMM242" s="23"/>
      <c r="TMR242" s="26"/>
      <c r="TMV242" s="23"/>
      <c r="TNA242" s="26"/>
      <c r="TNE242" s="23"/>
      <c r="TNJ242" s="26"/>
      <c r="TNN242" s="23"/>
      <c r="TNS242" s="26"/>
      <c r="TNW242" s="23"/>
      <c r="TOB242" s="26"/>
      <c r="TOF242" s="23"/>
      <c r="TOK242" s="26"/>
      <c r="TOO242" s="23"/>
      <c r="TOT242" s="26"/>
      <c r="TOX242" s="23"/>
      <c r="TPC242" s="26"/>
      <c r="TPG242" s="23"/>
      <c r="TPL242" s="26"/>
      <c r="TPP242" s="23"/>
      <c r="TPU242" s="26"/>
      <c r="TPY242" s="23"/>
      <c r="TQD242" s="26"/>
      <c r="TQH242" s="23"/>
      <c r="TQM242" s="26"/>
      <c r="TQQ242" s="23"/>
      <c r="TQV242" s="26"/>
      <c r="TQZ242" s="23"/>
      <c r="TRE242" s="26"/>
      <c r="TRI242" s="23"/>
      <c r="TRN242" s="26"/>
      <c r="TRR242" s="23"/>
      <c r="TRW242" s="26"/>
      <c r="TSA242" s="23"/>
      <c r="TSF242" s="26"/>
      <c r="TSJ242" s="23"/>
      <c r="TSO242" s="26"/>
      <c r="TSS242" s="23"/>
      <c r="TSX242" s="26"/>
      <c r="TTB242" s="23"/>
      <c r="TTG242" s="26"/>
      <c r="TTK242" s="23"/>
      <c r="TTP242" s="26"/>
      <c r="TTT242" s="23"/>
      <c r="TTY242" s="26"/>
      <c r="TUC242" s="23"/>
      <c r="TUH242" s="26"/>
      <c r="TUL242" s="23"/>
      <c r="TUQ242" s="26"/>
      <c r="TUU242" s="23"/>
      <c r="TUZ242" s="26"/>
      <c r="TVD242" s="23"/>
      <c r="TVI242" s="26"/>
      <c r="TVM242" s="23"/>
      <c r="TVR242" s="26"/>
      <c r="TVV242" s="23"/>
      <c r="TWA242" s="26"/>
      <c r="TWE242" s="23"/>
      <c r="TWJ242" s="26"/>
      <c r="TWN242" s="23"/>
      <c r="TWS242" s="26"/>
      <c r="TWW242" s="23"/>
      <c r="TXB242" s="26"/>
      <c r="TXF242" s="23"/>
      <c r="TXK242" s="26"/>
      <c r="TXO242" s="23"/>
      <c r="TXT242" s="26"/>
      <c r="TXX242" s="23"/>
      <c r="TYC242" s="26"/>
      <c r="TYG242" s="23"/>
      <c r="TYL242" s="26"/>
      <c r="TYP242" s="23"/>
      <c r="TYU242" s="26"/>
      <c r="TYY242" s="23"/>
      <c r="TZD242" s="26"/>
      <c r="TZH242" s="23"/>
      <c r="TZM242" s="26"/>
      <c r="TZQ242" s="23"/>
      <c r="TZV242" s="26"/>
      <c r="TZZ242" s="23"/>
      <c r="UAE242" s="26"/>
      <c r="UAI242" s="23"/>
      <c r="UAN242" s="26"/>
      <c r="UAR242" s="23"/>
      <c r="UAW242" s="26"/>
      <c r="UBA242" s="23"/>
      <c r="UBF242" s="26"/>
      <c r="UBJ242" s="23"/>
      <c r="UBO242" s="26"/>
      <c r="UBS242" s="23"/>
      <c r="UBX242" s="26"/>
      <c r="UCB242" s="23"/>
      <c r="UCG242" s="26"/>
      <c r="UCK242" s="23"/>
      <c r="UCP242" s="26"/>
      <c r="UCT242" s="23"/>
      <c r="UCY242" s="26"/>
      <c r="UDC242" s="23"/>
      <c r="UDH242" s="26"/>
      <c r="UDL242" s="23"/>
      <c r="UDQ242" s="26"/>
      <c r="UDU242" s="23"/>
      <c r="UDZ242" s="26"/>
      <c r="UED242" s="23"/>
      <c r="UEI242" s="26"/>
      <c r="UEM242" s="23"/>
      <c r="UER242" s="26"/>
      <c r="UEV242" s="23"/>
      <c r="UFA242" s="26"/>
      <c r="UFE242" s="23"/>
      <c r="UFJ242" s="26"/>
      <c r="UFN242" s="23"/>
      <c r="UFS242" s="26"/>
      <c r="UFW242" s="23"/>
      <c r="UGB242" s="26"/>
      <c r="UGF242" s="23"/>
      <c r="UGK242" s="26"/>
      <c r="UGO242" s="23"/>
      <c r="UGT242" s="26"/>
      <c r="UGX242" s="23"/>
      <c r="UHC242" s="26"/>
      <c r="UHG242" s="23"/>
      <c r="UHL242" s="26"/>
      <c r="UHP242" s="23"/>
      <c r="UHU242" s="26"/>
      <c r="UHY242" s="23"/>
      <c r="UID242" s="26"/>
      <c r="UIH242" s="23"/>
      <c r="UIM242" s="26"/>
      <c r="UIQ242" s="23"/>
      <c r="UIV242" s="26"/>
      <c r="UIZ242" s="23"/>
      <c r="UJE242" s="26"/>
      <c r="UJI242" s="23"/>
      <c r="UJN242" s="26"/>
      <c r="UJR242" s="23"/>
      <c r="UJW242" s="26"/>
      <c r="UKA242" s="23"/>
      <c r="UKF242" s="26"/>
      <c r="UKJ242" s="23"/>
      <c r="UKO242" s="26"/>
      <c r="UKS242" s="23"/>
      <c r="UKX242" s="26"/>
      <c r="ULB242" s="23"/>
      <c r="ULG242" s="26"/>
      <c r="ULK242" s="23"/>
      <c r="ULP242" s="26"/>
      <c r="ULT242" s="23"/>
      <c r="ULY242" s="26"/>
      <c r="UMC242" s="23"/>
      <c r="UMH242" s="26"/>
      <c r="UML242" s="23"/>
      <c r="UMQ242" s="26"/>
      <c r="UMU242" s="23"/>
      <c r="UMZ242" s="26"/>
      <c r="UND242" s="23"/>
      <c r="UNI242" s="26"/>
      <c r="UNM242" s="23"/>
      <c r="UNR242" s="26"/>
      <c r="UNV242" s="23"/>
      <c r="UOA242" s="26"/>
      <c r="UOE242" s="23"/>
      <c r="UOJ242" s="26"/>
      <c r="UON242" s="23"/>
      <c r="UOS242" s="26"/>
      <c r="UOW242" s="23"/>
      <c r="UPB242" s="26"/>
      <c r="UPF242" s="23"/>
      <c r="UPK242" s="26"/>
      <c r="UPO242" s="23"/>
      <c r="UPT242" s="26"/>
      <c r="UPX242" s="23"/>
      <c r="UQC242" s="26"/>
      <c r="UQG242" s="23"/>
      <c r="UQL242" s="26"/>
      <c r="UQP242" s="23"/>
      <c r="UQU242" s="26"/>
      <c r="UQY242" s="23"/>
      <c r="URD242" s="26"/>
      <c r="URH242" s="23"/>
      <c r="URM242" s="26"/>
      <c r="URQ242" s="23"/>
      <c r="URV242" s="26"/>
      <c r="URZ242" s="23"/>
      <c r="USE242" s="26"/>
      <c r="USI242" s="23"/>
      <c r="USN242" s="26"/>
      <c r="USR242" s="23"/>
      <c r="USW242" s="26"/>
      <c r="UTA242" s="23"/>
      <c r="UTF242" s="26"/>
      <c r="UTJ242" s="23"/>
      <c r="UTO242" s="26"/>
      <c r="UTS242" s="23"/>
      <c r="UTX242" s="26"/>
      <c r="UUB242" s="23"/>
      <c r="UUG242" s="26"/>
      <c r="UUK242" s="23"/>
      <c r="UUP242" s="26"/>
      <c r="UUT242" s="23"/>
      <c r="UUY242" s="26"/>
      <c r="UVC242" s="23"/>
      <c r="UVH242" s="26"/>
      <c r="UVL242" s="23"/>
      <c r="UVQ242" s="26"/>
      <c r="UVU242" s="23"/>
      <c r="UVZ242" s="26"/>
      <c r="UWD242" s="23"/>
      <c r="UWI242" s="26"/>
      <c r="UWM242" s="23"/>
      <c r="UWR242" s="26"/>
      <c r="UWV242" s="23"/>
      <c r="UXA242" s="26"/>
      <c r="UXE242" s="23"/>
      <c r="UXJ242" s="26"/>
      <c r="UXN242" s="23"/>
      <c r="UXS242" s="26"/>
      <c r="UXW242" s="23"/>
      <c r="UYB242" s="26"/>
      <c r="UYF242" s="23"/>
      <c r="UYK242" s="26"/>
      <c r="UYO242" s="23"/>
      <c r="UYT242" s="26"/>
      <c r="UYX242" s="23"/>
      <c r="UZC242" s="26"/>
      <c r="UZG242" s="23"/>
      <c r="UZL242" s="26"/>
      <c r="UZP242" s="23"/>
      <c r="UZU242" s="26"/>
      <c r="UZY242" s="23"/>
      <c r="VAD242" s="26"/>
      <c r="VAH242" s="23"/>
      <c r="VAM242" s="26"/>
      <c r="VAQ242" s="23"/>
      <c r="VAV242" s="26"/>
      <c r="VAZ242" s="23"/>
      <c r="VBE242" s="26"/>
      <c r="VBI242" s="23"/>
      <c r="VBN242" s="26"/>
      <c r="VBR242" s="23"/>
      <c r="VBW242" s="26"/>
      <c r="VCA242" s="23"/>
      <c r="VCF242" s="26"/>
      <c r="VCJ242" s="23"/>
      <c r="VCO242" s="26"/>
      <c r="VCS242" s="23"/>
      <c r="VCX242" s="26"/>
      <c r="VDB242" s="23"/>
      <c r="VDG242" s="26"/>
      <c r="VDK242" s="23"/>
      <c r="VDP242" s="26"/>
      <c r="VDT242" s="23"/>
      <c r="VDY242" s="26"/>
      <c r="VEC242" s="23"/>
      <c r="VEH242" s="26"/>
      <c r="VEL242" s="23"/>
      <c r="VEQ242" s="26"/>
      <c r="VEU242" s="23"/>
      <c r="VEZ242" s="26"/>
      <c r="VFD242" s="23"/>
      <c r="VFI242" s="26"/>
      <c r="VFM242" s="23"/>
      <c r="VFR242" s="26"/>
      <c r="VFV242" s="23"/>
      <c r="VGA242" s="26"/>
      <c r="VGE242" s="23"/>
      <c r="VGJ242" s="26"/>
      <c r="VGN242" s="23"/>
      <c r="VGS242" s="26"/>
      <c r="VGW242" s="23"/>
      <c r="VHB242" s="26"/>
      <c r="VHF242" s="23"/>
      <c r="VHK242" s="26"/>
      <c r="VHO242" s="23"/>
      <c r="VHT242" s="26"/>
      <c r="VHX242" s="23"/>
      <c r="VIC242" s="26"/>
      <c r="VIG242" s="23"/>
      <c r="VIL242" s="26"/>
      <c r="VIP242" s="23"/>
      <c r="VIU242" s="26"/>
      <c r="VIY242" s="23"/>
      <c r="VJD242" s="26"/>
      <c r="VJH242" s="23"/>
      <c r="VJM242" s="26"/>
      <c r="VJQ242" s="23"/>
      <c r="VJV242" s="26"/>
      <c r="VJZ242" s="23"/>
      <c r="VKE242" s="26"/>
      <c r="VKI242" s="23"/>
      <c r="VKN242" s="26"/>
      <c r="VKR242" s="23"/>
      <c r="VKW242" s="26"/>
      <c r="VLA242" s="23"/>
      <c r="VLF242" s="26"/>
      <c r="VLJ242" s="23"/>
      <c r="VLO242" s="26"/>
      <c r="VLS242" s="23"/>
      <c r="VLX242" s="26"/>
      <c r="VMB242" s="23"/>
      <c r="VMG242" s="26"/>
      <c r="VMK242" s="23"/>
      <c r="VMP242" s="26"/>
      <c r="VMT242" s="23"/>
      <c r="VMY242" s="26"/>
      <c r="VNC242" s="23"/>
      <c r="VNH242" s="26"/>
      <c r="VNL242" s="23"/>
      <c r="VNQ242" s="26"/>
      <c r="VNU242" s="23"/>
      <c r="VNZ242" s="26"/>
      <c r="VOD242" s="23"/>
      <c r="VOI242" s="26"/>
      <c r="VOM242" s="23"/>
      <c r="VOR242" s="26"/>
      <c r="VOV242" s="23"/>
      <c r="VPA242" s="26"/>
      <c r="VPE242" s="23"/>
      <c r="VPJ242" s="26"/>
      <c r="VPN242" s="23"/>
      <c r="VPS242" s="26"/>
      <c r="VPW242" s="23"/>
      <c r="VQB242" s="26"/>
      <c r="VQF242" s="23"/>
      <c r="VQK242" s="26"/>
      <c r="VQO242" s="23"/>
      <c r="VQT242" s="26"/>
      <c r="VQX242" s="23"/>
      <c r="VRC242" s="26"/>
      <c r="VRG242" s="23"/>
      <c r="VRL242" s="26"/>
      <c r="VRP242" s="23"/>
      <c r="VRU242" s="26"/>
      <c r="VRY242" s="23"/>
      <c r="VSD242" s="26"/>
      <c r="VSH242" s="23"/>
      <c r="VSM242" s="26"/>
      <c r="VSQ242" s="23"/>
      <c r="VSV242" s="26"/>
      <c r="VSZ242" s="23"/>
      <c r="VTE242" s="26"/>
      <c r="VTI242" s="23"/>
      <c r="VTN242" s="26"/>
      <c r="VTR242" s="23"/>
      <c r="VTW242" s="26"/>
      <c r="VUA242" s="23"/>
      <c r="VUF242" s="26"/>
      <c r="VUJ242" s="23"/>
      <c r="VUO242" s="26"/>
      <c r="VUS242" s="23"/>
      <c r="VUX242" s="26"/>
      <c r="VVB242" s="23"/>
      <c r="VVG242" s="26"/>
      <c r="VVK242" s="23"/>
      <c r="VVP242" s="26"/>
      <c r="VVT242" s="23"/>
      <c r="VVY242" s="26"/>
      <c r="VWC242" s="23"/>
      <c r="VWH242" s="26"/>
      <c r="VWL242" s="23"/>
      <c r="VWQ242" s="26"/>
      <c r="VWU242" s="23"/>
      <c r="VWZ242" s="26"/>
      <c r="VXD242" s="23"/>
      <c r="VXI242" s="26"/>
      <c r="VXM242" s="23"/>
      <c r="VXR242" s="26"/>
      <c r="VXV242" s="23"/>
      <c r="VYA242" s="26"/>
      <c r="VYE242" s="23"/>
      <c r="VYJ242" s="26"/>
      <c r="VYN242" s="23"/>
      <c r="VYS242" s="26"/>
      <c r="VYW242" s="23"/>
      <c r="VZB242" s="26"/>
      <c r="VZF242" s="23"/>
      <c r="VZK242" s="26"/>
      <c r="VZO242" s="23"/>
      <c r="VZT242" s="26"/>
      <c r="VZX242" s="23"/>
      <c r="WAC242" s="26"/>
      <c r="WAG242" s="23"/>
      <c r="WAL242" s="26"/>
      <c r="WAP242" s="23"/>
      <c r="WAU242" s="26"/>
      <c r="WAY242" s="23"/>
      <c r="WBD242" s="26"/>
      <c r="WBH242" s="23"/>
      <c r="WBM242" s="26"/>
      <c r="WBQ242" s="23"/>
      <c r="WBV242" s="26"/>
      <c r="WBZ242" s="23"/>
      <c r="WCE242" s="26"/>
      <c r="WCI242" s="23"/>
      <c r="WCN242" s="26"/>
      <c r="WCR242" s="23"/>
      <c r="WCW242" s="26"/>
      <c r="WDA242" s="23"/>
      <c r="WDF242" s="26"/>
      <c r="WDJ242" s="23"/>
      <c r="WDO242" s="26"/>
      <c r="WDS242" s="23"/>
      <c r="WDX242" s="26"/>
      <c r="WEB242" s="23"/>
      <c r="WEG242" s="26"/>
      <c r="WEK242" s="23"/>
      <c r="WEP242" s="26"/>
      <c r="WET242" s="23"/>
      <c r="WEY242" s="26"/>
      <c r="WFC242" s="23"/>
      <c r="WFH242" s="26"/>
      <c r="WFL242" s="23"/>
      <c r="WFQ242" s="26"/>
      <c r="WFU242" s="23"/>
      <c r="WFZ242" s="26"/>
      <c r="WGD242" s="23"/>
      <c r="WGI242" s="26"/>
      <c r="WGM242" s="23"/>
      <c r="WGR242" s="26"/>
      <c r="WGV242" s="23"/>
      <c r="WHA242" s="26"/>
      <c r="WHE242" s="23"/>
      <c r="WHJ242" s="26"/>
      <c r="WHN242" s="23"/>
      <c r="WHS242" s="26"/>
      <c r="WHW242" s="23"/>
      <c r="WIB242" s="26"/>
      <c r="WIF242" s="23"/>
      <c r="WIK242" s="26"/>
      <c r="WIO242" s="23"/>
      <c r="WIT242" s="26"/>
      <c r="WIX242" s="23"/>
      <c r="WJC242" s="26"/>
      <c r="WJG242" s="23"/>
      <c r="WJL242" s="26"/>
      <c r="WJP242" s="23"/>
      <c r="WJU242" s="26"/>
      <c r="WJY242" s="23"/>
      <c r="WKD242" s="26"/>
      <c r="WKH242" s="23"/>
      <c r="WKM242" s="26"/>
      <c r="WKQ242" s="23"/>
      <c r="WKV242" s="26"/>
      <c r="WKZ242" s="23"/>
      <c r="WLE242" s="26"/>
      <c r="WLI242" s="23"/>
      <c r="WLN242" s="26"/>
      <c r="WLR242" s="23"/>
      <c r="WLW242" s="26"/>
      <c r="WMA242" s="23"/>
      <c r="WMF242" s="26"/>
      <c r="WMJ242" s="23"/>
      <c r="WMO242" s="26"/>
      <c r="WMS242" s="23"/>
      <c r="WMX242" s="26"/>
      <c r="WNB242" s="23"/>
      <c r="WNG242" s="26"/>
      <c r="WNK242" s="23"/>
      <c r="WNP242" s="26"/>
      <c r="WNT242" s="23"/>
      <c r="WNY242" s="26"/>
      <c r="WOC242" s="23"/>
      <c r="WOH242" s="26"/>
      <c r="WOL242" s="23"/>
      <c r="WOQ242" s="26"/>
      <c r="WOU242" s="23"/>
      <c r="WOZ242" s="26"/>
      <c r="WPD242" s="23"/>
      <c r="WPI242" s="26"/>
      <c r="WPM242" s="23"/>
      <c r="WPR242" s="26"/>
      <c r="WPV242" s="23"/>
      <c r="WQA242" s="26"/>
      <c r="WQE242" s="23"/>
      <c r="WQJ242" s="26"/>
      <c r="WQN242" s="23"/>
      <c r="WQS242" s="26"/>
      <c r="WQW242" s="23"/>
      <c r="WRB242" s="26"/>
      <c r="WRF242" s="23"/>
      <c r="WRK242" s="26"/>
      <c r="WRO242" s="23"/>
      <c r="WRT242" s="26"/>
      <c r="WRX242" s="23"/>
      <c r="WSC242" s="26"/>
      <c r="WSG242" s="23"/>
      <c r="WSL242" s="26"/>
      <c r="WSP242" s="23"/>
      <c r="WSU242" s="26"/>
      <c r="WSY242" s="23"/>
      <c r="WTD242" s="26"/>
      <c r="WTH242" s="23"/>
      <c r="WTM242" s="26"/>
      <c r="WTQ242" s="23"/>
      <c r="WTV242" s="26"/>
      <c r="WTZ242" s="23"/>
      <c r="WUE242" s="26"/>
      <c r="WUI242" s="23"/>
      <c r="WUN242" s="26"/>
      <c r="WUR242" s="23"/>
      <c r="WUW242" s="26"/>
      <c r="WVA242" s="23"/>
      <c r="WVF242" s="26"/>
      <c r="WVJ242" s="23"/>
      <c r="WVO242" s="26"/>
      <c r="WVS242" s="23"/>
      <c r="WVX242" s="26"/>
      <c r="WWB242" s="23"/>
      <c r="WWG242" s="26"/>
      <c r="WWK242" s="23"/>
      <c r="WWP242" s="26"/>
      <c r="WWT242" s="23"/>
      <c r="WWY242" s="26"/>
      <c r="WXC242" s="23"/>
      <c r="WXH242" s="26"/>
      <c r="WXL242" s="23"/>
      <c r="WXQ242" s="26"/>
      <c r="WXU242" s="23"/>
      <c r="WXZ242" s="26"/>
      <c r="WYD242" s="23"/>
      <c r="WYI242" s="26"/>
      <c r="WYM242" s="23"/>
      <c r="WYR242" s="26"/>
      <c r="WYV242" s="23"/>
      <c r="WZA242" s="26"/>
      <c r="WZE242" s="23"/>
      <c r="WZJ242" s="26"/>
      <c r="WZN242" s="23"/>
      <c r="WZS242" s="26"/>
      <c r="WZW242" s="23"/>
      <c r="XAB242" s="26"/>
      <c r="XAF242" s="23"/>
      <c r="XAK242" s="26"/>
      <c r="XAO242" s="23"/>
      <c r="XAT242" s="26"/>
      <c r="XAX242" s="23"/>
      <c r="XBC242" s="26"/>
      <c r="XBG242" s="23"/>
      <c r="XBL242" s="26"/>
      <c r="XBP242" s="23"/>
      <c r="XBU242" s="26"/>
      <c r="XBY242" s="23"/>
      <c r="XCD242" s="26"/>
      <c r="XCH242" s="23"/>
      <c r="XCM242" s="26"/>
      <c r="XCQ242" s="23"/>
      <c r="XCV242" s="26"/>
      <c r="XCZ242" s="23"/>
      <c r="XDE242" s="26"/>
      <c r="XDI242" s="23"/>
      <c r="XDN242" s="26"/>
      <c r="XDR242" s="23"/>
      <c r="XDW242" s="26"/>
      <c r="XEA242" s="23"/>
      <c r="XEF242" s="26"/>
      <c r="XEJ242" s="23"/>
      <c r="XEO242" s="26"/>
      <c r="XES242" s="23"/>
      <c r="XEX242" s="26"/>
      <c r="XFB242" s="23"/>
    </row>
    <row r="243" spans="2:1024 1028:2045 2050:3071 3076:4093 4097:5119 5123:6140 6145:7166 7171:8192 8197:9214 9218:10240 10244:11261 11266:12287 12292:13309 13313:14335 14339:15356 15361:16382" x14ac:dyDescent="0.3">
      <c r="B243" s="23"/>
      <c r="K243" s="23"/>
      <c r="P243" s="26"/>
      <c r="T243" s="23"/>
      <c r="Y243" s="26"/>
      <c r="AC243" s="23"/>
      <c r="AH243" s="26"/>
      <c r="AL243" s="23"/>
      <c r="AQ243" s="26"/>
      <c r="AU243" s="23"/>
      <c r="AZ243" s="26"/>
      <c r="BD243" s="23"/>
      <c r="BI243" s="26"/>
      <c r="BM243" s="23"/>
      <c r="BR243" s="26"/>
      <c r="BV243" s="23"/>
      <c r="CA243" s="26"/>
      <c r="CE243" s="23"/>
      <c r="CJ243" s="26"/>
      <c r="CN243" s="23"/>
      <c r="CS243" s="26"/>
      <c r="CW243" s="23"/>
      <c r="DB243" s="26"/>
      <c r="DF243" s="23"/>
      <c r="DK243" s="26"/>
      <c r="DO243" s="23"/>
      <c r="DT243" s="26"/>
      <c r="DX243" s="23"/>
      <c r="EC243" s="26"/>
      <c r="EG243" s="23"/>
      <c r="EL243" s="26"/>
      <c r="EP243" s="23"/>
      <c r="EU243" s="26"/>
      <c r="EY243" s="23"/>
      <c r="FD243" s="26"/>
      <c r="FH243" s="23"/>
      <c r="FM243" s="26"/>
      <c r="FQ243" s="23"/>
      <c r="FV243" s="26"/>
      <c r="FZ243" s="23"/>
      <c r="GE243" s="26"/>
      <c r="GI243" s="23"/>
      <c r="GN243" s="26"/>
      <c r="GR243" s="23"/>
      <c r="GW243" s="26"/>
      <c r="HA243" s="23"/>
      <c r="HF243" s="26"/>
      <c r="HJ243" s="23"/>
      <c r="HO243" s="26"/>
      <c r="HS243" s="23"/>
      <c r="HX243" s="26"/>
      <c r="IB243" s="23"/>
      <c r="IG243" s="26"/>
      <c r="IK243" s="23"/>
      <c r="IP243" s="26"/>
      <c r="IT243" s="23"/>
      <c r="IY243" s="26"/>
      <c r="JC243" s="23"/>
      <c r="JH243" s="26"/>
      <c r="JL243" s="23"/>
      <c r="JQ243" s="26"/>
      <c r="JU243" s="23"/>
      <c r="JZ243" s="26"/>
      <c r="KD243" s="23"/>
      <c r="KI243" s="26"/>
      <c r="KM243" s="23"/>
      <c r="KR243" s="26"/>
      <c r="KV243" s="23"/>
      <c r="LA243" s="26"/>
      <c r="LE243" s="23"/>
      <c r="LJ243" s="26"/>
      <c r="LN243" s="23"/>
      <c r="LS243" s="26"/>
      <c r="LW243" s="23"/>
      <c r="MB243" s="26"/>
      <c r="MF243" s="23"/>
      <c r="MK243" s="26"/>
      <c r="MO243" s="23"/>
      <c r="MT243" s="26"/>
      <c r="MX243" s="23"/>
      <c r="NC243" s="26"/>
      <c r="NG243" s="23"/>
      <c r="NL243" s="26"/>
      <c r="NP243" s="23"/>
      <c r="NU243" s="26"/>
      <c r="NY243" s="23"/>
      <c r="OD243" s="26"/>
      <c r="OH243" s="23"/>
      <c r="OM243" s="26"/>
      <c r="OQ243" s="23"/>
      <c r="OV243" s="26"/>
      <c r="OZ243" s="23"/>
      <c r="PE243" s="26"/>
      <c r="PI243" s="23"/>
      <c r="PN243" s="26"/>
      <c r="PR243" s="23"/>
      <c r="PW243" s="26"/>
      <c r="QA243" s="23"/>
      <c r="QF243" s="26"/>
      <c r="QJ243" s="23"/>
      <c r="QO243" s="26"/>
      <c r="QS243" s="23"/>
      <c r="QX243" s="26"/>
      <c r="RB243" s="23"/>
      <c r="RG243" s="26"/>
      <c r="RK243" s="23"/>
      <c r="RP243" s="26"/>
      <c r="RT243" s="23"/>
      <c r="RY243" s="26"/>
      <c r="SC243" s="23"/>
      <c r="SH243" s="26"/>
      <c r="SL243" s="23"/>
      <c r="SQ243" s="26"/>
      <c r="SU243" s="23"/>
      <c r="SZ243" s="26"/>
      <c r="TD243" s="23"/>
      <c r="TI243" s="26"/>
      <c r="TM243" s="23"/>
      <c r="TR243" s="26"/>
      <c r="TV243" s="23"/>
      <c r="UA243" s="26"/>
      <c r="UE243" s="23"/>
      <c r="UJ243" s="26"/>
      <c r="UN243" s="23"/>
      <c r="US243" s="26"/>
      <c r="UW243" s="23"/>
      <c r="VB243" s="26"/>
      <c r="VF243" s="23"/>
      <c r="VK243" s="26"/>
      <c r="VO243" s="23"/>
      <c r="VT243" s="26"/>
      <c r="VX243" s="23"/>
      <c r="WC243" s="26"/>
      <c r="WG243" s="23"/>
      <c r="WL243" s="26"/>
      <c r="WP243" s="23"/>
      <c r="WU243" s="26"/>
      <c r="WY243" s="23"/>
      <c r="XD243" s="26"/>
      <c r="XH243" s="23"/>
      <c r="XM243" s="26"/>
      <c r="XQ243" s="23"/>
      <c r="XV243" s="26"/>
      <c r="XZ243" s="23"/>
      <c r="YE243" s="26"/>
      <c r="YI243" s="23"/>
      <c r="YN243" s="26"/>
      <c r="YR243" s="23"/>
      <c r="YW243" s="26"/>
      <c r="ZA243" s="23"/>
      <c r="ZF243" s="26"/>
      <c r="ZJ243" s="23"/>
      <c r="ZO243" s="26"/>
      <c r="ZS243" s="23"/>
      <c r="ZX243" s="26"/>
      <c r="AAB243" s="23"/>
      <c r="AAG243" s="26"/>
      <c r="AAK243" s="23"/>
      <c r="AAP243" s="26"/>
      <c r="AAT243" s="23"/>
      <c r="AAY243" s="26"/>
      <c r="ABC243" s="23"/>
      <c r="ABH243" s="26"/>
      <c r="ABL243" s="23"/>
      <c r="ABQ243" s="26"/>
      <c r="ABU243" s="23"/>
      <c r="ABZ243" s="26"/>
      <c r="ACD243" s="23"/>
      <c r="ACI243" s="26"/>
      <c r="ACM243" s="23"/>
      <c r="ACR243" s="26"/>
      <c r="ACV243" s="23"/>
      <c r="ADA243" s="26"/>
      <c r="ADE243" s="23"/>
      <c r="ADJ243" s="26"/>
      <c r="ADN243" s="23"/>
      <c r="ADS243" s="26"/>
      <c r="ADW243" s="23"/>
      <c r="AEB243" s="26"/>
      <c r="AEF243" s="23"/>
      <c r="AEK243" s="26"/>
      <c r="AEO243" s="23"/>
      <c r="AET243" s="26"/>
      <c r="AEX243" s="23"/>
      <c r="AFC243" s="26"/>
      <c r="AFG243" s="23"/>
      <c r="AFL243" s="26"/>
      <c r="AFP243" s="23"/>
      <c r="AFU243" s="26"/>
      <c r="AFY243" s="23"/>
      <c r="AGD243" s="26"/>
      <c r="AGH243" s="23"/>
      <c r="AGM243" s="26"/>
      <c r="AGQ243" s="23"/>
      <c r="AGV243" s="26"/>
      <c r="AGZ243" s="23"/>
      <c r="AHE243" s="26"/>
      <c r="AHI243" s="23"/>
      <c r="AHN243" s="26"/>
      <c r="AHR243" s="23"/>
      <c r="AHW243" s="26"/>
      <c r="AIA243" s="23"/>
      <c r="AIF243" s="26"/>
      <c r="AIJ243" s="23"/>
      <c r="AIO243" s="26"/>
      <c r="AIS243" s="23"/>
      <c r="AIX243" s="26"/>
      <c r="AJB243" s="23"/>
      <c r="AJG243" s="26"/>
      <c r="AJK243" s="23"/>
      <c r="AJP243" s="26"/>
      <c r="AJT243" s="23"/>
      <c r="AJY243" s="26"/>
      <c r="AKC243" s="23"/>
      <c r="AKH243" s="26"/>
      <c r="AKL243" s="23"/>
      <c r="AKQ243" s="26"/>
      <c r="AKU243" s="23"/>
      <c r="AKZ243" s="26"/>
      <c r="ALD243" s="23"/>
      <c r="ALI243" s="26"/>
      <c r="ALM243" s="23"/>
      <c r="ALR243" s="26"/>
      <c r="ALV243" s="23"/>
      <c r="AMA243" s="26"/>
      <c r="AME243" s="23"/>
      <c r="AMJ243" s="26"/>
      <c r="AMN243" s="23"/>
      <c r="AMS243" s="26"/>
      <c r="AMW243" s="23"/>
      <c r="ANB243" s="26"/>
      <c r="ANF243" s="23"/>
      <c r="ANK243" s="26"/>
      <c r="ANO243" s="23"/>
      <c r="ANT243" s="26"/>
      <c r="ANX243" s="23"/>
      <c r="AOC243" s="26"/>
      <c r="AOG243" s="23"/>
      <c r="AOL243" s="26"/>
      <c r="AOP243" s="23"/>
      <c r="AOU243" s="26"/>
      <c r="AOY243" s="23"/>
      <c r="APD243" s="26"/>
      <c r="APH243" s="23"/>
      <c r="APM243" s="26"/>
      <c r="APQ243" s="23"/>
      <c r="APV243" s="26"/>
      <c r="APZ243" s="23"/>
      <c r="AQE243" s="26"/>
      <c r="AQI243" s="23"/>
      <c r="AQN243" s="26"/>
      <c r="AQR243" s="23"/>
      <c r="AQW243" s="26"/>
      <c r="ARA243" s="23"/>
      <c r="ARF243" s="26"/>
      <c r="ARJ243" s="23"/>
      <c r="ARO243" s="26"/>
      <c r="ARS243" s="23"/>
      <c r="ARX243" s="26"/>
      <c r="ASB243" s="23"/>
      <c r="ASG243" s="26"/>
      <c r="ASK243" s="23"/>
      <c r="ASP243" s="26"/>
      <c r="AST243" s="23"/>
      <c r="ASY243" s="26"/>
      <c r="ATC243" s="23"/>
      <c r="ATH243" s="26"/>
      <c r="ATL243" s="23"/>
      <c r="ATQ243" s="26"/>
      <c r="ATU243" s="23"/>
      <c r="ATZ243" s="26"/>
      <c r="AUD243" s="23"/>
      <c r="AUI243" s="26"/>
      <c r="AUM243" s="23"/>
      <c r="AUR243" s="26"/>
      <c r="AUV243" s="23"/>
      <c r="AVA243" s="26"/>
      <c r="AVE243" s="23"/>
      <c r="AVJ243" s="26"/>
      <c r="AVN243" s="23"/>
      <c r="AVS243" s="26"/>
      <c r="AVW243" s="23"/>
      <c r="AWB243" s="26"/>
      <c r="AWF243" s="23"/>
      <c r="AWK243" s="26"/>
      <c r="AWO243" s="23"/>
      <c r="AWT243" s="26"/>
      <c r="AWX243" s="23"/>
      <c r="AXC243" s="26"/>
      <c r="AXG243" s="23"/>
      <c r="AXL243" s="26"/>
      <c r="AXP243" s="23"/>
      <c r="AXU243" s="26"/>
      <c r="AXY243" s="23"/>
      <c r="AYD243" s="26"/>
      <c r="AYH243" s="23"/>
      <c r="AYM243" s="26"/>
      <c r="AYQ243" s="23"/>
      <c r="AYV243" s="26"/>
      <c r="AYZ243" s="23"/>
      <c r="AZE243" s="26"/>
      <c r="AZI243" s="23"/>
      <c r="AZN243" s="26"/>
      <c r="AZR243" s="23"/>
      <c r="AZW243" s="26"/>
      <c r="BAA243" s="23"/>
      <c r="BAF243" s="26"/>
      <c r="BAJ243" s="23"/>
      <c r="BAO243" s="26"/>
      <c r="BAS243" s="23"/>
      <c r="BAX243" s="26"/>
      <c r="BBB243" s="23"/>
      <c r="BBG243" s="26"/>
      <c r="BBK243" s="23"/>
      <c r="BBP243" s="26"/>
      <c r="BBT243" s="23"/>
      <c r="BBY243" s="26"/>
      <c r="BCC243" s="23"/>
      <c r="BCH243" s="26"/>
      <c r="BCL243" s="23"/>
      <c r="BCQ243" s="26"/>
      <c r="BCU243" s="23"/>
      <c r="BCZ243" s="26"/>
      <c r="BDD243" s="23"/>
      <c r="BDI243" s="26"/>
      <c r="BDM243" s="23"/>
      <c r="BDR243" s="26"/>
      <c r="BDV243" s="23"/>
      <c r="BEA243" s="26"/>
      <c r="BEE243" s="23"/>
      <c r="BEJ243" s="26"/>
      <c r="BEN243" s="23"/>
      <c r="BES243" s="26"/>
      <c r="BEW243" s="23"/>
      <c r="BFB243" s="26"/>
      <c r="BFF243" s="23"/>
      <c r="BFK243" s="26"/>
      <c r="BFO243" s="23"/>
      <c r="BFT243" s="26"/>
      <c r="BFX243" s="23"/>
      <c r="BGC243" s="26"/>
      <c r="BGG243" s="23"/>
      <c r="BGL243" s="26"/>
      <c r="BGP243" s="23"/>
      <c r="BGU243" s="26"/>
      <c r="BGY243" s="23"/>
      <c r="BHD243" s="26"/>
      <c r="BHH243" s="23"/>
      <c r="BHM243" s="26"/>
      <c r="BHQ243" s="23"/>
      <c r="BHV243" s="26"/>
      <c r="BHZ243" s="23"/>
      <c r="BIE243" s="26"/>
      <c r="BII243" s="23"/>
      <c r="BIN243" s="26"/>
      <c r="BIR243" s="23"/>
      <c r="BIW243" s="26"/>
      <c r="BJA243" s="23"/>
      <c r="BJF243" s="26"/>
      <c r="BJJ243" s="23"/>
      <c r="BJO243" s="26"/>
      <c r="BJS243" s="23"/>
      <c r="BJX243" s="26"/>
      <c r="BKB243" s="23"/>
      <c r="BKG243" s="26"/>
      <c r="BKK243" s="23"/>
      <c r="BKP243" s="26"/>
      <c r="BKT243" s="23"/>
      <c r="BKY243" s="26"/>
      <c r="BLC243" s="23"/>
      <c r="BLH243" s="26"/>
      <c r="BLL243" s="23"/>
      <c r="BLQ243" s="26"/>
      <c r="BLU243" s="23"/>
      <c r="BLZ243" s="26"/>
      <c r="BMD243" s="23"/>
      <c r="BMI243" s="26"/>
      <c r="BMM243" s="23"/>
      <c r="BMR243" s="26"/>
      <c r="BMV243" s="23"/>
      <c r="BNA243" s="26"/>
      <c r="BNE243" s="23"/>
      <c r="BNJ243" s="26"/>
      <c r="BNN243" s="23"/>
      <c r="BNS243" s="26"/>
      <c r="BNW243" s="23"/>
      <c r="BOB243" s="26"/>
      <c r="BOF243" s="23"/>
      <c r="BOK243" s="26"/>
      <c r="BOO243" s="23"/>
      <c r="BOT243" s="26"/>
      <c r="BOX243" s="23"/>
      <c r="BPC243" s="26"/>
      <c r="BPG243" s="23"/>
      <c r="BPL243" s="26"/>
      <c r="BPP243" s="23"/>
      <c r="BPU243" s="26"/>
      <c r="BPY243" s="23"/>
      <c r="BQD243" s="26"/>
      <c r="BQH243" s="23"/>
      <c r="BQM243" s="26"/>
      <c r="BQQ243" s="23"/>
      <c r="BQV243" s="26"/>
      <c r="BQZ243" s="23"/>
      <c r="BRE243" s="26"/>
      <c r="BRI243" s="23"/>
      <c r="BRN243" s="26"/>
      <c r="BRR243" s="23"/>
      <c r="BRW243" s="26"/>
      <c r="BSA243" s="23"/>
      <c r="BSF243" s="26"/>
      <c r="BSJ243" s="23"/>
      <c r="BSO243" s="26"/>
      <c r="BSS243" s="23"/>
      <c r="BSX243" s="26"/>
      <c r="BTB243" s="23"/>
      <c r="BTG243" s="26"/>
      <c r="BTK243" s="23"/>
      <c r="BTP243" s="26"/>
      <c r="BTT243" s="23"/>
      <c r="BTY243" s="26"/>
      <c r="BUC243" s="23"/>
      <c r="BUH243" s="26"/>
      <c r="BUL243" s="23"/>
      <c r="BUQ243" s="26"/>
      <c r="BUU243" s="23"/>
      <c r="BUZ243" s="26"/>
      <c r="BVD243" s="23"/>
      <c r="BVI243" s="26"/>
      <c r="BVM243" s="23"/>
      <c r="BVR243" s="26"/>
      <c r="BVV243" s="23"/>
      <c r="BWA243" s="26"/>
      <c r="BWE243" s="23"/>
      <c r="BWJ243" s="26"/>
      <c r="BWN243" s="23"/>
      <c r="BWS243" s="26"/>
      <c r="BWW243" s="23"/>
      <c r="BXB243" s="26"/>
      <c r="BXF243" s="23"/>
      <c r="BXK243" s="26"/>
      <c r="BXO243" s="23"/>
      <c r="BXT243" s="26"/>
      <c r="BXX243" s="23"/>
      <c r="BYC243" s="26"/>
      <c r="BYG243" s="23"/>
      <c r="BYL243" s="26"/>
      <c r="BYP243" s="23"/>
      <c r="BYU243" s="26"/>
      <c r="BYY243" s="23"/>
      <c r="BZD243" s="26"/>
      <c r="BZH243" s="23"/>
      <c r="BZM243" s="26"/>
      <c r="BZQ243" s="23"/>
      <c r="BZV243" s="26"/>
      <c r="BZZ243" s="23"/>
      <c r="CAE243" s="26"/>
      <c r="CAI243" s="23"/>
      <c r="CAN243" s="26"/>
      <c r="CAR243" s="23"/>
      <c r="CAW243" s="26"/>
      <c r="CBA243" s="23"/>
      <c r="CBF243" s="26"/>
      <c r="CBJ243" s="23"/>
      <c r="CBO243" s="26"/>
      <c r="CBS243" s="23"/>
      <c r="CBX243" s="26"/>
      <c r="CCB243" s="23"/>
      <c r="CCG243" s="26"/>
      <c r="CCK243" s="23"/>
      <c r="CCP243" s="26"/>
      <c r="CCT243" s="23"/>
      <c r="CCY243" s="26"/>
      <c r="CDC243" s="23"/>
      <c r="CDH243" s="26"/>
      <c r="CDL243" s="23"/>
      <c r="CDQ243" s="26"/>
      <c r="CDU243" s="23"/>
      <c r="CDZ243" s="26"/>
      <c r="CED243" s="23"/>
      <c r="CEI243" s="26"/>
      <c r="CEM243" s="23"/>
      <c r="CER243" s="26"/>
      <c r="CEV243" s="23"/>
      <c r="CFA243" s="26"/>
      <c r="CFE243" s="23"/>
      <c r="CFJ243" s="26"/>
      <c r="CFN243" s="23"/>
      <c r="CFS243" s="26"/>
      <c r="CFW243" s="23"/>
      <c r="CGB243" s="26"/>
      <c r="CGF243" s="23"/>
      <c r="CGK243" s="26"/>
      <c r="CGO243" s="23"/>
      <c r="CGT243" s="26"/>
      <c r="CGX243" s="23"/>
      <c r="CHC243" s="26"/>
      <c r="CHG243" s="23"/>
      <c r="CHL243" s="26"/>
      <c r="CHP243" s="23"/>
      <c r="CHU243" s="26"/>
      <c r="CHY243" s="23"/>
      <c r="CID243" s="26"/>
      <c r="CIH243" s="23"/>
      <c r="CIM243" s="26"/>
      <c r="CIQ243" s="23"/>
      <c r="CIV243" s="26"/>
      <c r="CIZ243" s="23"/>
      <c r="CJE243" s="26"/>
      <c r="CJI243" s="23"/>
      <c r="CJN243" s="26"/>
      <c r="CJR243" s="23"/>
      <c r="CJW243" s="26"/>
      <c r="CKA243" s="23"/>
      <c r="CKF243" s="26"/>
      <c r="CKJ243" s="23"/>
      <c r="CKO243" s="26"/>
      <c r="CKS243" s="23"/>
      <c r="CKX243" s="26"/>
      <c r="CLB243" s="23"/>
      <c r="CLG243" s="26"/>
      <c r="CLK243" s="23"/>
      <c r="CLP243" s="26"/>
      <c r="CLT243" s="23"/>
      <c r="CLY243" s="26"/>
      <c r="CMC243" s="23"/>
      <c r="CMH243" s="26"/>
      <c r="CML243" s="23"/>
      <c r="CMQ243" s="26"/>
      <c r="CMU243" s="23"/>
      <c r="CMZ243" s="26"/>
      <c r="CND243" s="23"/>
      <c r="CNI243" s="26"/>
      <c r="CNM243" s="23"/>
      <c r="CNR243" s="26"/>
      <c r="CNV243" s="23"/>
      <c r="COA243" s="26"/>
      <c r="COE243" s="23"/>
      <c r="COJ243" s="26"/>
      <c r="CON243" s="23"/>
      <c r="COS243" s="26"/>
      <c r="COW243" s="23"/>
      <c r="CPB243" s="26"/>
      <c r="CPF243" s="23"/>
      <c r="CPK243" s="26"/>
      <c r="CPO243" s="23"/>
      <c r="CPT243" s="26"/>
      <c r="CPX243" s="23"/>
      <c r="CQC243" s="26"/>
      <c r="CQG243" s="23"/>
      <c r="CQL243" s="26"/>
      <c r="CQP243" s="23"/>
      <c r="CQU243" s="26"/>
      <c r="CQY243" s="23"/>
      <c r="CRD243" s="26"/>
      <c r="CRH243" s="23"/>
      <c r="CRM243" s="26"/>
      <c r="CRQ243" s="23"/>
      <c r="CRV243" s="26"/>
      <c r="CRZ243" s="23"/>
      <c r="CSE243" s="26"/>
      <c r="CSI243" s="23"/>
      <c r="CSN243" s="26"/>
      <c r="CSR243" s="23"/>
      <c r="CSW243" s="26"/>
      <c r="CTA243" s="23"/>
      <c r="CTF243" s="26"/>
      <c r="CTJ243" s="23"/>
      <c r="CTO243" s="26"/>
      <c r="CTS243" s="23"/>
      <c r="CTX243" s="26"/>
      <c r="CUB243" s="23"/>
      <c r="CUG243" s="26"/>
      <c r="CUK243" s="23"/>
      <c r="CUP243" s="26"/>
      <c r="CUT243" s="23"/>
      <c r="CUY243" s="26"/>
      <c r="CVC243" s="23"/>
      <c r="CVH243" s="26"/>
      <c r="CVL243" s="23"/>
      <c r="CVQ243" s="26"/>
      <c r="CVU243" s="23"/>
      <c r="CVZ243" s="26"/>
      <c r="CWD243" s="23"/>
      <c r="CWI243" s="26"/>
      <c r="CWM243" s="23"/>
      <c r="CWR243" s="26"/>
      <c r="CWV243" s="23"/>
      <c r="CXA243" s="26"/>
      <c r="CXE243" s="23"/>
      <c r="CXJ243" s="26"/>
      <c r="CXN243" s="23"/>
      <c r="CXS243" s="26"/>
      <c r="CXW243" s="23"/>
      <c r="CYB243" s="26"/>
      <c r="CYF243" s="23"/>
      <c r="CYK243" s="26"/>
      <c r="CYO243" s="23"/>
      <c r="CYT243" s="26"/>
      <c r="CYX243" s="23"/>
      <c r="CZC243" s="26"/>
      <c r="CZG243" s="23"/>
      <c r="CZL243" s="26"/>
      <c r="CZP243" s="23"/>
      <c r="CZU243" s="26"/>
      <c r="CZY243" s="23"/>
      <c r="DAD243" s="26"/>
      <c r="DAH243" s="23"/>
      <c r="DAM243" s="26"/>
      <c r="DAQ243" s="23"/>
      <c r="DAV243" s="26"/>
      <c r="DAZ243" s="23"/>
      <c r="DBE243" s="26"/>
      <c r="DBI243" s="23"/>
      <c r="DBN243" s="26"/>
      <c r="DBR243" s="23"/>
      <c r="DBW243" s="26"/>
      <c r="DCA243" s="23"/>
      <c r="DCF243" s="26"/>
      <c r="DCJ243" s="23"/>
      <c r="DCO243" s="26"/>
      <c r="DCS243" s="23"/>
      <c r="DCX243" s="26"/>
      <c r="DDB243" s="23"/>
      <c r="DDG243" s="26"/>
      <c r="DDK243" s="23"/>
      <c r="DDP243" s="26"/>
      <c r="DDT243" s="23"/>
      <c r="DDY243" s="26"/>
      <c r="DEC243" s="23"/>
      <c r="DEH243" s="26"/>
      <c r="DEL243" s="23"/>
      <c r="DEQ243" s="26"/>
      <c r="DEU243" s="23"/>
      <c r="DEZ243" s="26"/>
      <c r="DFD243" s="23"/>
      <c r="DFI243" s="26"/>
      <c r="DFM243" s="23"/>
      <c r="DFR243" s="26"/>
      <c r="DFV243" s="23"/>
      <c r="DGA243" s="26"/>
      <c r="DGE243" s="23"/>
      <c r="DGJ243" s="26"/>
      <c r="DGN243" s="23"/>
      <c r="DGS243" s="26"/>
      <c r="DGW243" s="23"/>
      <c r="DHB243" s="26"/>
      <c r="DHF243" s="23"/>
      <c r="DHK243" s="26"/>
      <c r="DHO243" s="23"/>
      <c r="DHT243" s="26"/>
      <c r="DHX243" s="23"/>
      <c r="DIC243" s="26"/>
      <c r="DIG243" s="23"/>
      <c r="DIL243" s="26"/>
      <c r="DIP243" s="23"/>
      <c r="DIU243" s="26"/>
      <c r="DIY243" s="23"/>
      <c r="DJD243" s="26"/>
      <c r="DJH243" s="23"/>
      <c r="DJM243" s="26"/>
      <c r="DJQ243" s="23"/>
      <c r="DJV243" s="26"/>
      <c r="DJZ243" s="23"/>
      <c r="DKE243" s="26"/>
      <c r="DKI243" s="23"/>
      <c r="DKN243" s="26"/>
      <c r="DKR243" s="23"/>
      <c r="DKW243" s="26"/>
      <c r="DLA243" s="23"/>
      <c r="DLF243" s="26"/>
      <c r="DLJ243" s="23"/>
      <c r="DLO243" s="26"/>
      <c r="DLS243" s="23"/>
      <c r="DLX243" s="26"/>
      <c r="DMB243" s="23"/>
      <c r="DMG243" s="26"/>
      <c r="DMK243" s="23"/>
      <c r="DMP243" s="26"/>
      <c r="DMT243" s="23"/>
      <c r="DMY243" s="26"/>
      <c r="DNC243" s="23"/>
      <c r="DNH243" s="26"/>
      <c r="DNL243" s="23"/>
      <c r="DNQ243" s="26"/>
      <c r="DNU243" s="23"/>
      <c r="DNZ243" s="26"/>
      <c r="DOD243" s="23"/>
      <c r="DOI243" s="26"/>
      <c r="DOM243" s="23"/>
      <c r="DOR243" s="26"/>
      <c r="DOV243" s="23"/>
      <c r="DPA243" s="26"/>
      <c r="DPE243" s="23"/>
      <c r="DPJ243" s="26"/>
      <c r="DPN243" s="23"/>
      <c r="DPS243" s="26"/>
      <c r="DPW243" s="23"/>
      <c r="DQB243" s="26"/>
      <c r="DQF243" s="23"/>
      <c r="DQK243" s="26"/>
      <c r="DQO243" s="23"/>
      <c r="DQT243" s="26"/>
      <c r="DQX243" s="23"/>
      <c r="DRC243" s="26"/>
      <c r="DRG243" s="23"/>
      <c r="DRL243" s="26"/>
      <c r="DRP243" s="23"/>
      <c r="DRU243" s="26"/>
      <c r="DRY243" s="23"/>
      <c r="DSD243" s="26"/>
      <c r="DSH243" s="23"/>
      <c r="DSM243" s="26"/>
      <c r="DSQ243" s="23"/>
      <c r="DSV243" s="26"/>
      <c r="DSZ243" s="23"/>
      <c r="DTE243" s="26"/>
      <c r="DTI243" s="23"/>
      <c r="DTN243" s="26"/>
      <c r="DTR243" s="23"/>
      <c r="DTW243" s="26"/>
      <c r="DUA243" s="23"/>
      <c r="DUF243" s="26"/>
      <c r="DUJ243" s="23"/>
      <c r="DUO243" s="26"/>
      <c r="DUS243" s="23"/>
      <c r="DUX243" s="26"/>
      <c r="DVB243" s="23"/>
      <c r="DVG243" s="26"/>
      <c r="DVK243" s="23"/>
      <c r="DVP243" s="26"/>
      <c r="DVT243" s="23"/>
      <c r="DVY243" s="26"/>
      <c r="DWC243" s="23"/>
      <c r="DWH243" s="26"/>
      <c r="DWL243" s="23"/>
      <c r="DWQ243" s="26"/>
      <c r="DWU243" s="23"/>
      <c r="DWZ243" s="26"/>
      <c r="DXD243" s="23"/>
      <c r="DXI243" s="26"/>
      <c r="DXM243" s="23"/>
      <c r="DXR243" s="26"/>
      <c r="DXV243" s="23"/>
      <c r="DYA243" s="26"/>
      <c r="DYE243" s="23"/>
      <c r="DYJ243" s="26"/>
      <c r="DYN243" s="23"/>
      <c r="DYS243" s="26"/>
      <c r="DYW243" s="23"/>
      <c r="DZB243" s="26"/>
      <c r="DZF243" s="23"/>
      <c r="DZK243" s="26"/>
      <c r="DZO243" s="23"/>
      <c r="DZT243" s="26"/>
      <c r="DZX243" s="23"/>
      <c r="EAC243" s="26"/>
      <c r="EAG243" s="23"/>
      <c r="EAL243" s="26"/>
      <c r="EAP243" s="23"/>
      <c r="EAU243" s="26"/>
      <c r="EAY243" s="23"/>
      <c r="EBD243" s="26"/>
      <c r="EBH243" s="23"/>
      <c r="EBM243" s="26"/>
      <c r="EBQ243" s="23"/>
      <c r="EBV243" s="26"/>
      <c r="EBZ243" s="23"/>
      <c r="ECE243" s="26"/>
      <c r="ECI243" s="23"/>
      <c r="ECN243" s="26"/>
      <c r="ECR243" s="23"/>
      <c r="ECW243" s="26"/>
      <c r="EDA243" s="23"/>
      <c r="EDF243" s="26"/>
      <c r="EDJ243" s="23"/>
      <c r="EDO243" s="26"/>
      <c r="EDS243" s="23"/>
      <c r="EDX243" s="26"/>
      <c r="EEB243" s="23"/>
      <c r="EEG243" s="26"/>
      <c r="EEK243" s="23"/>
      <c r="EEP243" s="26"/>
      <c r="EET243" s="23"/>
      <c r="EEY243" s="26"/>
      <c r="EFC243" s="23"/>
      <c r="EFH243" s="26"/>
      <c r="EFL243" s="23"/>
      <c r="EFQ243" s="26"/>
      <c r="EFU243" s="23"/>
      <c r="EFZ243" s="26"/>
      <c r="EGD243" s="23"/>
      <c r="EGI243" s="26"/>
      <c r="EGM243" s="23"/>
      <c r="EGR243" s="26"/>
      <c r="EGV243" s="23"/>
      <c r="EHA243" s="26"/>
      <c r="EHE243" s="23"/>
      <c r="EHJ243" s="26"/>
      <c r="EHN243" s="23"/>
      <c r="EHS243" s="26"/>
      <c r="EHW243" s="23"/>
      <c r="EIB243" s="26"/>
      <c r="EIF243" s="23"/>
      <c r="EIK243" s="26"/>
      <c r="EIO243" s="23"/>
      <c r="EIT243" s="26"/>
      <c r="EIX243" s="23"/>
      <c r="EJC243" s="26"/>
      <c r="EJG243" s="23"/>
      <c r="EJL243" s="26"/>
      <c r="EJP243" s="23"/>
      <c r="EJU243" s="26"/>
      <c r="EJY243" s="23"/>
      <c r="EKD243" s="26"/>
      <c r="EKH243" s="23"/>
      <c r="EKM243" s="26"/>
      <c r="EKQ243" s="23"/>
      <c r="EKV243" s="26"/>
      <c r="EKZ243" s="23"/>
      <c r="ELE243" s="26"/>
      <c r="ELI243" s="23"/>
      <c r="ELN243" s="26"/>
      <c r="ELR243" s="23"/>
      <c r="ELW243" s="26"/>
      <c r="EMA243" s="23"/>
      <c r="EMF243" s="26"/>
      <c r="EMJ243" s="23"/>
      <c r="EMO243" s="26"/>
      <c r="EMS243" s="23"/>
      <c r="EMX243" s="26"/>
      <c r="ENB243" s="23"/>
      <c r="ENG243" s="26"/>
      <c r="ENK243" s="23"/>
      <c r="ENP243" s="26"/>
      <c r="ENT243" s="23"/>
      <c r="ENY243" s="26"/>
      <c r="EOC243" s="23"/>
      <c r="EOH243" s="26"/>
      <c r="EOL243" s="23"/>
      <c r="EOQ243" s="26"/>
      <c r="EOU243" s="23"/>
      <c r="EOZ243" s="26"/>
      <c r="EPD243" s="23"/>
      <c r="EPI243" s="26"/>
      <c r="EPM243" s="23"/>
      <c r="EPR243" s="26"/>
      <c r="EPV243" s="23"/>
      <c r="EQA243" s="26"/>
      <c r="EQE243" s="23"/>
      <c r="EQJ243" s="26"/>
      <c r="EQN243" s="23"/>
      <c r="EQS243" s="26"/>
      <c r="EQW243" s="23"/>
      <c r="ERB243" s="26"/>
      <c r="ERF243" s="23"/>
      <c r="ERK243" s="26"/>
      <c r="ERO243" s="23"/>
      <c r="ERT243" s="26"/>
      <c r="ERX243" s="23"/>
      <c r="ESC243" s="26"/>
      <c r="ESG243" s="23"/>
      <c r="ESL243" s="26"/>
      <c r="ESP243" s="23"/>
      <c r="ESU243" s="26"/>
      <c r="ESY243" s="23"/>
      <c r="ETD243" s="26"/>
      <c r="ETH243" s="23"/>
      <c r="ETM243" s="26"/>
      <c r="ETQ243" s="23"/>
      <c r="ETV243" s="26"/>
      <c r="ETZ243" s="23"/>
      <c r="EUE243" s="26"/>
      <c r="EUI243" s="23"/>
      <c r="EUN243" s="26"/>
      <c r="EUR243" s="23"/>
      <c r="EUW243" s="26"/>
      <c r="EVA243" s="23"/>
      <c r="EVF243" s="26"/>
      <c r="EVJ243" s="23"/>
      <c r="EVO243" s="26"/>
      <c r="EVS243" s="23"/>
      <c r="EVX243" s="26"/>
      <c r="EWB243" s="23"/>
      <c r="EWG243" s="26"/>
      <c r="EWK243" s="23"/>
      <c r="EWP243" s="26"/>
      <c r="EWT243" s="23"/>
      <c r="EWY243" s="26"/>
      <c r="EXC243" s="23"/>
      <c r="EXH243" s="26"/>
      <c r="EXL243" s="23"/>
      <c r="EXQ243" s="26"/>
      <c r="EXU243" s="23"/>
      <c r="EXZ243" s="26"/>
      <c r="EYD243" s="23"/>
      <c r="EYI243" s="26"/>
      <c r="EYM243" s="23"/>
      <c r="EYR243" s="26"/>
      <c r="EYV243" s="23"/>
      <c r="EZA243" s="26"/>
      <c r="EZE243" s="23"/>
      <c r="EZJ243" s="26"/>
      <c r="EZN243" s="23"/>
      <c r="EZS243" s="26"/>
      <c r="EZW243" s="23"/>
      <c r="FAB243" s="26"/>
      <c r="FAF243" s="23"/>
      <c r="FAK243" s="26"/>
      <c r="FAO243" s="23"/>
      <c r="FAT243" s="26"/>
      <c r="FAX243" s="23"/>
      <c r="FBC243" s="26"/>
      <c r="FBG243" s="23"/>
      <c r="FBL243" s="26"/>
      <c r="FBP243" s="23"/>
      <c r="FBU243" s="26"/>
      <c r="FBY243" s="23"/>
      <c r="FCD243" s="26"/>
      <c r="FCH243" s="23"/>
      <c r="FCM243" s="26"/>
      <c r="FCQ243" s="23"/>
      <c r="FCV243" s="26"/>
      <c r="FCZ243" s="23"/>
      <c r="FDE243" s="26"/>
      <c r="FDI243" s="23"/>
      <c r="FDN243" s="26"/>
      <c r="FDR243" s="23"/>
      <c r="FDW243" s="26"/>
      <c r="FEA243" s="23"/>
      <c r="FEF243" s="26"/>
      <c r="FEJ243" s="23"/>
      <c r="FEO243" s="26"/>
      <c r="FES243" s="23"/>
      <c r="FEX243" s="26"/>
      <c r="FFB243" s="23"/>
      <c r="FFG243" s="26"/>
      <c r="FFK243" s="23"/>
      <c r="FFP243" s="26"/>
      <c r="FFT243" s="23"/>
      <c r="FFY243" s="26"/>
      <c r="FGC243" s="23"/>
      <c r="FGH243" s="26"/>
      <c r="FGL243" s="23"/>
      <c r="FGQ243" s="26"/>
      <c r="FGU243" s="23"/>
      <c r="FGZ243" s="26"/>
      <c r="FHD243" s="23"/>
      <c r="FHI243" s="26"/>
      <c r="FHM243" s="23"/>
      <c r="FHR243" s="26"/>
      <c r="FHV243" s="23"/>
      <c r="FIA243" s="26"/>
      <c r="FIE243" s="23"/>
      <c r="FIJ243" s="26"/>
      <c r="FIN243" s="23"/>
      <c r="FIS243" s="26"/>
      <c r="FIW243" s="23"/>
      <c r="FJB243" s="26"/>
      <c r="FJF243" s="23"/>
      <c r="FJK243" s="26"/>
      <c r="FJO243" s="23"/>
      <c r="FJT243" s="26"/>
      <c r="FJX243" s="23"/>
      <c r="FKC243" s="26"/>
      <c r="FKG243" s="23"/>
      <c r="FKL243" s="26"/>
      <c r="FKP243" s="23"/>
      <c r="FKU243" s="26"/>
      <c r="FKY243" s="23"/>
      <c r="FLD243" s="26"/>
      <c r="FLH243" s="23"/>
      <c r="FLM243" s="26"/>
      <c r="FLQ243" s="23"/>
      <c r="FLV243" s="26"/>
      <c r="FLZ243" s="23"/>
      <c r="FME243" s="26"/>
      <c r="FMI243" s="23"/>
      <c r="FMN243" s="26"/>
      <c r="FMR243" s="23"/>
      <c r="FMW243" s="26"/>
      <c r="FNA243" s="23"/>
      <c r="FNF243" s="26"/>
      <c r="FNJ243" s="23"/>
      <c r="FNO243" s="26"/>
      <c r="FNS243" s="23"/>
      <c r="FNX243" s="26"/>
      <c r="FOB243" s="23"/>
      <c r="FOG243" s="26"/>
      <c r="FOK243" s="23"/>
      <c r="FOP243" s="26"/>
      <c r="FOT243" s="23"/>
      <c r="FOY243" s="26"/>
      <c r="FPC243" s="23"/>
      <c r="FPH243" s="26"/>
      <c r="FPL243" s="23"/>
      <c r="FPQ243" s="26"/>
      <c r="FPU243" s="23"/>
      <c r="FPZ243" s="26"/>
      <c r="FQD243" s="23"/>
      <c r="FQI243" s="26"/>
      <c r="FQM243" s="23"/>
      <c r="FQR243" s="26"/>
      <c r="FQV243" s="23"/>
      <c r="FRA243" s="26"/>
      <c r="FRE243" s="23"/>
      <c r="FRJ243" s="26"/>
      <c r="FRN243" s="23"/>
      <c r="FRS243" s="26"/>
      <c r="FRW243" s="23"/>
      <c r="FSB243" s="26"/>
      <c r="FSF243" s="23"/>
      <c r="FSK243" s="26"/>
      <c r="FSO243" s="23"/>
      <c r="FST243" s="26"/>
      <c r="FSX243" s="23"/>
      <c r="FTC243" s="26"/>
      <c r="FTG243" s="23"/>
      <c r="FTL243" s="26"/>
      <c r="FTP243" s="23"/>
      <c r="FTU243" s="26"/>
      <c r="FTY243" s="23"/>
      <c r="FUD243" s="26"/>
      <c r="FUH243" s="23"/>
      <c r="FUM243" s="26"/>
      <c r="FUQ243" s="23"/>
      <c r="FUV243" s="26"/>
      <c r="FUZ243" s="23"/>
      <c r="FVE243" s="26"/>
      <c r="FVI243" s="23"/>
      <c r="FVN243" s="26"/>
      <c r="FVR243" s="23"/>
      <c r="FVW243" s="26"/>
      <c r="FWA243" s="23"/>
      <c r="FWF243" s="26"/>
      <c r="FWJ243" s="23"/>
      <c r="FWO243" s="26"/>
      <c r="FWS243" s="23"/>
      <c r="FWX243" s="26"/>
      <c r="FXB243" s="23"/>
      <c r="FXG243" s="26"/>
      <c r="FXK243" s="23"/>
      <c r="FXP243" s="26"/>
      <c r="FXT243" s="23"/>
      <c r="FXY243" s="26"/>
      <c r="FYC243" s="23"/>
      <c r="FYH243" s="26"/>
      <c r="FYL243" s="23"/>
      <c r="FYQ243" s="26"/>
      <c r="FYU243" s="23"/>
      <c r="FYZ243" s="26"/>
      <c r="FZD243" s="23"/>
      <c r="FZI243" s="26"/>
      <c r="FZM243" s="23"/>
      <c r="FZR243" s="26"/>
      <c r="FZV243" s="23"/>
      <c r="GAA243" s="26"/>
      <c r="GAE243" s="23"/>
      <c r="GAJ243" s="26"/>
      <c r="GAN243" s="23"/>
      <c r="GAS243" s="26"/>
      <c r="GAW243" s="23"/>
      <c r="GBB243" s="26"/>
      <c r="GBF243" s="23"/>
      <c r="GBK243" s="26"/>
      <c r="GBO243" s="23"/>
      <c r="GBT243" s="26"/>
      <c r="GBX243" s="23"/>
      <c r="GCC243" s="26"/>
      <c r="GCG243" s="23"/>
      <c r="GCL243" s="26"/>
      <c r="GCP243" s="23"/>
      <c r="GCU243" s="26"/>
      <c r="GCY243" s="23"/>
      <c r="GDD243" s="26"/>
      <c r="GDH243" s="23"/>
      <c r="GDM243" s="26"/>
      <c r="GDQ243" s="23"/>
      <c r="GDV243" s="26"/>
      <c r="GDZ243" s="23"/>
      <c r="GEE243" s="26"/>
      <c r="GEI243" s="23"/>
      <c r="GEN243" s="26"/>
      <c r="GER243" s="23"/>
      <c r="GEW243" s="26"/>
      <c r="GFA243" s="23"/>
      <c r="GFF243" s="26"/>
      <c r="GFJ243" s="23"/>
      <c r="GFO243" s="26"/>
      <c r="GFS243" s="23"/>
      <c r="GFX243" s="26"/>
      <c r="GGB243" s="23"/>
      <c r="GGG243" s="26"/>
      <c r="GGK243" s="23"/>
      <c r="GGP243" s="26"/>
      <c r="GGT243" s="23"/>
      <c r="GGY243" s="26"/>
      <c r="GHC243" s="23"/>
      <c r="GHH243" s="26"/>
      <c r="GHL243" s="23"/>
      <c r="GHQ243" s="26"/>
      <c r="GHU243" s="23"/>
      <c r="GHZ243" s="26"/>
      <c r="GID243" s="23"/>
      <c r="GII243" s="26"/>
      <c r="GIM243" s="23"/>
      <c r="GIR243" s="26"/>
      <c r="GIV243" s="23"/>
      <c r="GJA243" s="26"/>
      <c r="GJE243" s="23"/>
      <c r="GJJ243" s="26"/>
      <c r="GJN243" s="23"/>
      <c r="GJS243" s="26"/>
      <c r="GJW243" s="23"/>
      <c r="GKB243" s="26"/>
      <c r="GKF243" s="23"/>
      <c r="GKK243" s="26"/>
      <c r="GKO243" s="23"/>
      <c r="GKT243" s="26"/>
      <c r="GKX243" s="23"/>
      <c r="GLC243" s="26"/>
      <c r="GLG243" s="23"/>
      <c r="GLL243" s="26"/>
      <c r="GLP243" s="23"/>
      <c r="GLU243" s="26"/>
      <c r="GLY243" s="23"/>
      <c r="GMD243" s="26"/>
      <c r="GMH243" s="23"/>
      <c r="GMM243" s="26"/>
      <c r="GMQ243" s="23"/>
      <c r="GMV243" s="26"/>
      <c r="GMZ243" s="23"/>
      <c r="GNE243" s="26"/>
      <c r="GNI243" s="23"/>
      <c r="GNN243" s="26"/>
      <c r="GNR243" s="23"/>
      <c r="GNW243" s="26"/>
      <c r="GOA243" s="23"/>
      <c r="GOF243" s="26"/>
      <c r="GOJ243" s="23"/>
      <c r="GOO243" s="26"/>
      <c r="GOS243" s="23"/>
      <c r="GOX243" s="26"/>
      <c r="GPB243" s="23"/>
      <c r="GPG243" s="26"/>
      <c r="GPK243" s="23"/>
      <c r="GPP243" s="26"/>
      <c r="GPT243" s="23"/>
      <c r="GPY243" s="26"/>
      <c r="GQC243" s="23"/>
      <c r="GQH243" s="26"/>
      <c r="GQL243" s="23"/>
      <c r="GQQ243" s="26"/>
      <c r="GQU243" s="23"/>
      <c r="GQZ243" s="26"/>
      <c r="GRD243" s="23"/>
      <c r="GRI243" s="26"/>
      <c r="GRM243" s="23"/>
      <c r="GRR243" s="26"/>
      <c r="GRV243" s="23"/>
      <c r="GSA243" s="26"/>
      <c r="GSE243" s="23"/>
      <c r="GSJ243" s="26"/>
      <c r="GSN243" s="23"/>
      <c r="GSS243" s="26"/>
      <c r="GSW243" s="23"/>
      <c r="GTB243" s="26"/>
      <c r="GTF243" s="23"/>
      <c r="GTK243" s="26"/>
      <c r="GTO243" s="23"/>
      <c r="GTT243" s="26"/>
      <c r="GTX243" s="23"/>
      <c r="GUC243" s="26"/>
      <c r="GUG243" s="23"/>
      <c r="GUL243" s="26"/>
      <c r="GUP243" s="23"/>
      <c r="GUU243" s="26"/>
      <c r="GUY243" s="23"/>
      <c r="GVD243" s="26"/>
      <c r="GVH243" s="23"/>
      <c r="GVM243" s="26"/>
      <c r="GVQ243" s="23"/>
      <c r="GVV243" s="26"/>
      <c r="GVZ243" s="23"/>
      <c r="GWE243" s="26"/>
      <c r="GWI243" s="23"/>
      <c r="GWN243" s="26"/>
      <c r="GWR243" s="23"/>
      <c r="GWW243" s="26"/>
      <c r="GXA243" s="23"/>
      <c r="GXF243" s="26"/>
      <c r="GXJ243" s="23"/>
      <c r="GXO243" s="26"/>
      <c r="GXS243" s="23"/>
      <c r="GXX243" s="26"/>
      <c r="GYB243" s="23"/>
      <c r="GYG243" s="26"/>
      <c r="GYK243" s="23"/>
      <c r="GYP243" s="26"/>
      <c r="GYT243" s="23"/>
      <c r="GYY243" s="26"/>
      <c r="GZC243" s="23"/>
      <c r="GZH243" s="26"/>
      <c r="GZL243" s="23"/>
      <c r="GZQ243" s="26"/>
      <c r="GZU243" s="23"/>
      <c r="GZZ243" s="26"/>
      <c r="HAD243" s="23"/>
      <c r="HAI243" s="26"/>
      <c r="HAM243" s="23"/>
      <c r="HAR243" s="26"/>
      <c r="HAV243" s="23"/>
      <c r="HBA243" s="26"/>
      <c r="HBE243" s="23"/>
      <c r="HBJ243" s="26"/>
      <c r="HBN243" s="23"/>
      <c r="HBS243" s="26"/>
      <c r="HBW243" s="23"/>
      <c r="HCB243" s="26"/>
      <c r="HCF243" s="23"/>
      <c r="HCK243" s="26"/>
      <c r="HCO243" s="23"/>
      <c r="HCT243" s="26"/>
      <c r="HCX243" s="23"/>
      <c r="HDC243" s="26"/>
      <c r="HDG243" s="23"/>
      <c r="HDL243" s="26"/>
      <c r="HDP243" s="23"/>
      <c r="HDU243" s="26"/>
      <c r="HDY243" s="23"/>
      <c r="HED243" s="26"/>
      <c r="HEH243" s="23"/>
      <c r="HEM243" s="26"/>
      <c r="HEQ243" s="23"/>
      <c r="HEV243" s="26"/>
      <c r="HEZ243" s="23"/>
      <c r="HFE243" s="26"/>
      <c r="HFI243" s="23"/>
      <c r="HFN243" s="26"/>
      <c r="HFR243" s="23"/>
      <c r="HFW243" s="26"/>
      <c r="HGA243" s="23"/>
      <c r="HGF243" s="26"/>
      <c r="HGJ243" s="23"/>
      <c r="HGO243" s="26"/>
      <c r="HGS243" s="23"/>
      <c r="HGX243" s="26"/>
      <c r="HHB243" s="23"/>
      <c r="HHG243" s="26"/>
      <c r="HHK243" s="23"/>
      <c r="HHP243" s="26"/>
      <c r="HHT243" s="23"/>
      <c r="HHY243" s="26"/>
      <c r="HIC243" s="23"/>
      <c r="HIH243" s="26"/>
      <c r="HIL243" s="23"/>
      <c r="HIQ243" s="26"/>
      <c r="HIU243" s="23"/>
      <c r="HIZ243" s="26"/>
      <c r="HJD243" s="23"/>
      <c r="HJI243" s="26"/>
      <c r="HJM243" s="23"/>
      <c r="HJR243" s="26"/>
      <c r="HJV243" s="23"/>
      <c r="HKA243" s="26"/>
      <c r="HKE243" s="23"/>
      <c r="HKJ243" s="26"/>
      <c r="HKN243" s="23"/>
      <c r="HKS243" s="26"/>
      <c r="HKW243" s="23"/>
      <c r="HLB243" s="26"/>
      <c r="HLF243" s="23"/>
      <c r="HLK243" s="26"/>
      <c r="HLO243" s="23"/>
      <c r="HLT243" s="26"/>
      <c r="HLX243" s="23"/>
      <c r="HMC243" s="26"/>
      <c r="HMG243" s="23"/>
      <c r="HML243" s="26"/>
      <c r="HMP243" s="23"/>
      <c r="HMU243" s="26"/>
      <c r="HMY243" s="23"/>
      <c r="HND243" s="26"/>
      <c r="HNH243" s="23"/>
      <c r="HNM243" s="26"/>
      <c r="HNQ243" s="23"/>
      <c r="HNV243" s="26"/>
      <c r="HNZ243" s="23"/>
      <c r="HOE243" s="26"/>
      <c r="HOI243" s="23"/>
      <c r="HON243" s="26"/>
      <c r="HOR243" s="23"/>
      <c r="HOW243" s="26"/>
      <c r="HPA243" s="23"/>
      <c r="HPF243" s="26"/>
      <c r="HPJ243" s="23"/>
      <c r="HPO243" s="26"/>
      <c r="HPS243" s="23"/>
      <c r="HPX243" s="26"/>
      <c r="HQB243" s="23"/>
      <c r="HQG243" s="26"/>
      <c r="HQK243" s="23"/>
      <c r="HQP243" s="26"/>
      <c r="HQT243" s="23"/>
      <c r="HQY243" s="26"/>
      <c r="HRC243" s="23"/>
      <c r="HRH243" s="26"/>
      <c r="HRL243" s="23"/>
      <c r="HRQ243" s="26"/>
      <c r="HRU243" s="23"/>
      <c r="HRZ243" s="26"/>
      <c r="HSD243" s="23"/>
      <c r="HSI243" s="26"/>
      <c r="HSM243" s="23"/>
      <c r="HSR243" s="26"/>
      <c r="HSV243" s="23"/>
      <c r="HTA243" s="26"/>
      <c r="HTE243" s="23"/>
      <c r="HTJ243" s="26"/>
      <c r="HTN243" s="23"/>
      <c r="HTS243" s="26"/>
      <c r="HTW243" s="23"/>
      <c r="HUB243" s="26"/>
      <c r="HUF243" s="23"/>
      <c r="HUK243" s="26"/>
      <c r="HUO243" s="23"/>
      <c r="HUT243" s="26"/>
      <c r="HUX243" s="23"/>
      <c r="HVC243" s="26"/>
      <c r="HVG243" s="23"/>
      <c r="HVL243" s="26"/>
      <c r="HVP243" s="23"/>
      <c r="HVU243" s="26"/>
      <c r="HVY243" s="23"/>
      <c r="HWD243" s="26"/>
      <c r="HWH243" s="23"/>
      <c r="HWM243" s="26"/>
      <c r="HWQ243" s="23"/>
      <c r="HWV243" s="26"/>
      <c r="HWZ243" s="23"/>
      <c r="HXE243" s="26"/>
      <c r="HXI243" s="23"/>
      <c r="HXN243" s="26"/>
      <c r="HXR243" s="23"/>
      <c r="HXW243" s="26"/>
      <c r="HYA243" s="23"/>
      <c r="HYF243" s="26"/>
      <c r="HYJ243" s="23"/>
      <c r="HYO243" s="26"/>
      <c r="HYS243" s="23"/>
      <c r="HYX243" s="26"/>
      <c r="HZB243" s="23"/>
      <c r="HZG243" s="26"/>
      <c r="HZK243" s="23"/>
      <c r="HZP243" s="26"/>
      <c r="HZT243" s="23"/>
      <c r="HZY243" s="26"/>
      <c r="IAC243" s="23"/>
      <c r="IAH243" s="26"/>
      <c r="IAL243" s="23"/>
      <c r="IAQ243" s="26"/>
      <c r="IAU243" s="23"/>
      <c r="IAZ243" s="26"/>
      <c r="IBD243" s="23"/>
      <c r="IBI243" s="26"/>
      <c r="IBM243" s="23"/>
      <c r="IBR243" s="26"/>
      <c r="IBV243" s="23"/>
      <c r="ICA243" s="26"/>
      <c r="ICE243" s="23"/>
      <c r="ICJ243" s="26"/>
      <c r="ICN243" s="23"/>
      <c r="ICS243" s="26"/>
      <c r="ICW243" s="23"/>
      <c r="IDB243" s="26"/>
      <c r="IDF243" s="23"/>
      <c r="IDK243" s="26"/>
      <c r="IDO243" s="23"/>
      <c r="IDT243" s="26"/>
      <c r="IDX243" s="23"/>
      <c r="IEC243" s="26"/>
      <c r="IEG243" s="23"/>
      <c r="IEL243" s="26"/>
      <c r="IEP243" s="23"/>
      <c r="IEU243" s="26"/>
      <c r="IEY243" s="23"/>
      <c r="IFD243" s="26"/>
      <c r="IFH243" s="23"/>
      <c r="IFM243" s="26"/>
      <c r="IFQ243" s="23"/>
      <c r="IFV243" s="26"/>
      <c r="IFZ243" s="23"/>
      <c r="IGE243" s="26"/>
      <c r="IGI243" s="23"/>
      <c r="IGN243" s="26"/>
      <c r="IGR243" s="23"/>
      <c r="IGW243" s="26"/>
      <c r="IHA243" s="23"/>
      <c r="IHF243" s="26"/>
      <c r="IHJ243" s="23"/>
      <c r="IHO243" s="26"/>
      <c r="IHS243" s="23"/>
      <c r="IHX243" s="26"/>
      <c r="IIB243" s="23"/>
      <c r="IIG243" s="26"/>
      <c r="IIK243" s="23"/>
      <c r="IIP243" s="26"/>
      <c r="IIT243" s="23"/>
      <c r="IIY243" s="26"/>
      <c r="IJC243" s="23"/>
      <c r="IJH243" s="26"/>
      <c r="IJL243" s="23"/>
      <c r="IJQ243" s="26"/>
      <c r="IJU243" s="23"/>
      <c r="IJZ243" s="26"/>
      <c r="IKD243" s="23"/>
      <c r="IKI243" s="26"/>
      <c r="IKM243" s="23"/>
      <c r="IKR243" s="26"/>
      <c r="IKV243" s="23"/>
      <c r="ILA243" s="26"/>
      <c r="ILE243" s="23"/>
      <c r="ILJ243" s="26"/>
      <c r="ILN243" s="23"/>
      <c r="ILS243" s="26"/>
      <c r="ILW243" s="23"/>
      <c r="IMB243" s="26"/>
      <c r="IMF243" s="23"/>
      <c r="IMK243" s="26"/>
      <c r="IMO243" s="23"/>
      <c r="IMT243" s="26"/>
      <c r="IMX243" s="23"/>
      <c r="INC243" s="26"/>
      <c r="ING243" s="23"/>
      <c r="INL243" s="26"/>
      <c r="INP243" s="23"/>
      <c r="INU243" s="26"/>
      <c r="INY243" s="23"/>
      <c r="IOD243" s="26"/>
      <c r="IOH243" s="23"/>
      <c r="IOM243" s="26"/>
      <c r="IOQ243" s="23"/>
      <c r="IOV243" s="26"/>
      <c r="IOZ243" s="23"/>
      <c r="IPE243" s="26"/>
      <c r="IPI243" s="23"/>
      <c r="IPN243" s="26"/>
      <c r="IPR243" s="23"/>
      <c r="IPW243" s="26"/>
      <c r="IQA243" s="23"/>
      <c r="IQF243" s="26"/>
      <c r="IQJ243" s="23"/>
      <c r="IQO243" s="26"/>
      <c r="IQS243" s="23"/>
      <c r="IQX243" s="26"/>
      <c r="IRB243" s="23"/>
      <c r="IRG243" s="26"/>
      <c r="IRK243" s="23"/>
      <c r="IRP243" s="26"/>
      <c r="IRT243" s="23"/>
      <c r="IRY243" s="26"/>
      <c r="ISC243" s="23"/>
      <c r="ISH243" s="26"/>
      <c r="ISL243" s="23"/>
      <c r="ISQ243" s="26"/>
      <c r="ISU243" s="23"/>
      <c r="ISZ243" s="26"/>
      <c r="ITD243" s="23"/>
      <c r="ITI243" s="26"/>
      <c r="ITM243" s="23"/>
      <c r="ITR243" s="26"/>
      <c r="ITV243" s="23"/>
      <c r="IUA243" s="26"/>
      <c r="IUE243" s="23"/>
      <c r="IUJ243" s="26"/>
      <c r="IUN243" s="23"/>
      <c r="IUS243" s="26"/>
      <c r="IUW243" s="23"/>
      <c r="IVB243" s="26"/>
      <c r="IVF243" s="23"/>
      <c r="IVK243" s="26"/>
      <c r="IVO243" s="23"/>
      <c r="IVT243" s="26"/>
      <c r="IVX243" s="23"/>
      <c r="IWC243" s="26"/>
      <c r="IWG243" s="23"/>
      <c r="IWL243" s="26"/>
      <c r="IWP243" s="23"/>
      <c r="IWU243" s="26"/>
      <c r="IWY243" s="23"/>
      <c r="IXD243" s="26"/>
      <c r="IXH243" s="23"/>
      <c r="IXM243" s="26"/>
      <c r="IXQ243" s="23"/>
      <c r="IXV243" s="26"/>
      <c r="IXZ243" s="23"/>
      <c r="IYE243" s="26"/>
      <c r="IYI243" s="23"/>
      <c r="IYN243" s="26"/>
      <c r="IYR243" s="23"/>
      <c r="IYW243" s="26"/>
      <c r="IZA243" s="23"/>
      <c r="IZF243" s="26"/>
      <c r="IZJ243" s="23"/>
      <c r="IZO243" s="26"/>
      <c r="IZS243" s="23"/>
      <c r="IZX243" s="26"/>
      <c r="JAB243" s="23"/>
      <c r="JAG243" s="26"/>
      <c r="JAK243" s="23"/>
      <c r="JAP243" s="26"/>
      <c r="JAT243" s="23"/>
      <c r="JAY243" s="26"/>
      <c r="JBC243" s="23"/>
      <c r="JBH243" s="26"/>
      <c r="JBL243" s="23"/>
      <c r="JBQ243" s="26"/>
      <c r="JBU243" s="23"/>
      <c r="JBZ243" s="26"/>
      <c r="JCD243" s="23"/>
      <c r="JCI243" s="26"/>
      <c r="JCM243" s="23"/>
      <c r="JCR243" s="26"/>
      <c r="JCV243" s="23"/>
      <c r="JDA243" s="26"/>
      <c r="JDE243" s="23"/>
      <c r="JDJ243" s="26"/>
      <c r="JDN243" s="23"/>
      <c r="JDS243" s="26"/>
      <c r="JDW243" s="23"/>
      <c r="JEB243" s="26"/>
      <c r="JEF243" s="23"/>
      <c r="JEK243" s="26"/>
      <c r="JEO243" s="23"/>
      <c r="JET243" s="26"/>
      <c r="JEX243" s="23"/>
      <c r="JFC243" s="26"/>
      <c r="JFG243" s="23"/>
      <c r="JFL243" s="26"/>
      <c r="JFP243" s="23"/>
      <c r="JFU243" s="26"/>
      <c r="JFY243" s="23"/>
      <c r="JGD243" s="26"/>
      <c r="JGH243" s="23"/>
      <c r="JGM243" s="26"/>
      <c r="JGQ243" s="23"/>
      <c r="JGV243" s="26"/>
      <c r="JGZ243" s="23"/>
      <c r="JHE243" s="26"/>
      <c r="JHI243" s="23"/>
      <c r="JHN243" s="26"/>
      <c r="JHR243" s="23"/>
      <c r="JHW243" s="26"/>
      <c r="JIA243" s="23"/>
      <c r="JIF243" s="26"/>
      <c r="JIJ243" s="23"/>
      <c r="JIO243" s="26"/>
      <c r="JIS243" s="23"/>
      <c r="JIX243" s="26"/>
      <c r="JJB243" s="23"/>
      <c r="JJG243" s="26"/>
      <c r="JJK243" s="23"/>
      <c r="JJP243" s="26"/>
      <c r="JJT243" s="23"/>
      <c r="JJY243" s="26"/>
      <c r="JKC243" s="23"/>
      <c r="JKH243" s="26"/>
      <c r="JKL243" s="23"/>
      <c r="JKQ243" s="26"/>
      <c r="JKU243" s="23"/>
      <c r="JKZ243" s="26"/>
      <c r="JLD243" s="23"/>
      <c r="JLI243" s="26"/>
      <c r="JLM243" s="23"/>
      <c r="JLR243" s="26"/>
      <c r="JLV243" s="23"/>
      <c r="JMA243" s="26"/>
      <c r="JME243" s="23"/>
      <c r="JMJ243" s="26"/>
      <c r="JMN243" s="23"/>
      <c r="JMS243" s="26"/>
      <c r="JMW243" s="23"/>
      <c r="JNB243" s="26"/>
      <c r="JNF243" s="23"/>
      <c r="JNK243" s="26"/>
      <c r="JNO243" s="23"/>
      <c r="JNT243" s="26"/>
      <c r="JNX243" s="23"/>
      <c r="JOC243" s="26"/>
      <c r="JOG243" s="23"/>
      <c r="JOL243" s="26"/>
      <c r="JOP243" s="23"/>
      <c r="JOU243" s="26"/>
      <c r="JOY243" s="23"/>
      <c r="JPD243" s="26"/>
      <c r="JPH243" s="23"/>
      <c r="JPM243" s="26"/>
      <c r="JPQ243" s="23"/>
      <c r="JPV243" s="26"/>
      <c r="JPZ243" s="23"/>
      <c r="JQE243" s="26"/>
      <c r="JQI243" s="23"/>
      <c r="JQN243" s="26"/>
      <c r="JQR243" s="23"/>
      <c r="JQW243" s="26"/>
      <c r="JRA243" s="23"/>
      <c r="JRF243" s="26"/>
      <c r="JRJ243" s="23"/>
      <c r="JRO243" s="26"/>
      <c r="JRS243" s="23"/>
      <c r="JRX243" s="26"/>
      <c r="JSB243" s="23"/>
      <c r="JSG243" s="26"/>
      <c r="JSK243" s="23"/>
      <c r="JSP243" s="26"/>
      <c r="JST243" s="23"/>
      <c r="JSY243" s="26"/>
      <c r="JTC243" s="23"/>
      <c r="JTH243" s="26"/>
      <c r="JTL243" s="23"/>
      <c r="JTQ243" s="26"/>
      <c r="JTU243" s="23"/>
      <c r="JTZ243" s="26"/>
      <c r="JUD243" s="23"/>
      <c r="JUI243" s="26"/>
      <c r="JUM243" s="23"/>
      <c r="JUR243" s="26"/>
      <c r="JUV243" s="23"/>
      <c r="JVA243" s="26"/>
      <c r="JVE243" s="23"/>
      <c r="JVJ243" s="26"/>
      <c r="JVN243" s="23"/>
      <c r="JVS243" s="26"/>
      <c r="JVW243" s="23"/>
      <c r="JWB243" s="26"/>
      <c r="JWF243" s="23"/>
      <c r="JWK243" s="26"/>
      <c r="JWO243" s="23"/>
      <c r="JWT243" s="26"/>
      <c r="JWX243" s="23"/>
      <c r="JXC243" s="26"/>
      <c r="JXG243" s="23"/>
      <c r="JXL243" s="26"/>
      <c r="JXP243" s="23"/>
      <c r="JXU243" s="26"/>
      <c r="JXY243" s="23"/>
      <c r="JYD243" s="26"/>
      <c r="JYH243" s="23"/>
      <c r="JYM243" s="26"/>
      <c r="JYQ243" s="23"/>
      <c r="JYV243" s="26"/>
      <c r="JYZ243" s="23"/>
      <c r="JZE243" s="26"/>
      <c r="JZI243" s="23"/>
      <c r="JZN243" s="26"/>
      <c r="JZR243" s="23"/>
      <c r="JZW243" s="26"/>
      <c r="KAA243" s="23"/>
      <c r="KAF243" s="26"/>
      <c r="KAJ243" s="23"/>
      <c r="KAO243" s="26"/>
      <c r="KAS243" s="23"/>
      <c r="KAX243" s="26"/>
      <c r="KBB243" s="23"/>
      <c r="KBG243" s="26"/>
      <c r="KBK243" s="23"/>
      <c r="KBP243" s="26"/>
      <c r="KBT243" s="23"/>
      <c r="KBY243" s="26"/>
      <c r="KCC243" s="23"/>
      <c r="KCH243" s="26"/>
      <c r="KCL243" s="23"/>
      <c r="KCQ243" s="26"/>
      <c r="KCU243" s="23"/>
      <c r="KCZ243" s="26"/>
      <c r="KDD243" s="23"/>
      <c r="KDI243" s="26"/>
      <c r="KDM243" s="23"/>
      <c r="KDR243" s="26"/>
      <c r="KDV243" s="23"/>
      <c r="KEA243" s="26"/>
      <c r="KEE243" s="23"/>
      <c r="KEJ243" s="26"/>
      <c r="KEN243" s="23"/>
      <c r="KES243" s="26"/>
      <c r="KEW243" s="23"/>
      <c r="KFB243" s="26"/>
      <c r="KFF243" s="23"/>
      <c r="KFK243" s="26"/>
      <c r="KFO243" s="23"/>
      <c r="KFT243" s="26"/>
      <c r="KFX243" s="23"/>
      <c r="KGC243" s="26"/>
      <c r="KGG243" s="23"/>
      <c r="KGL243" s="26"/>
      <c r="KGP243" s="23"/>
      <c r="KGU243" s="26"/>
      <c r="KGY243" s="23"/>
      <c r="KHD243" s="26"/>
      <c r="KHH243" s="23"/>
      <c r="KHM243" s="26"/>
      <c r="KHQ243" s="23"/>
      <c r="KHV243" s="26"/>
      <c r="KHZ243" s="23"/>
      <c r="KIE243" s="26"/>
      <c r="KII243" s="23"/>
      <c r="KIN243" s="26"/>
      <c r="KIR243" s="23"/>
      <c r="KIW243" s="26"/>
      <c r="KJA243" s="23"/>
      <c r="KJF243" s="26"/>
      <c r="KJJ243" s="23"/>
      <c r="KJO243" s="26"/>
      <c r="KJS243" s="23"/>
      <c r="KJX243" s="26"/>
      <c r="KKB243" s="23"/>
      <c r="KKG243" s="26"/>
      <c r="KKK243" s="23"/>
      <c r="KKP243" s="26"/>
      <c r="KKT243" s="23"/>
      <c r="KKY243" s="26"/>
      <c r="KLC243" s="23"/>
      <c r="KLH243" s="26"/>
      <c r="KLL243" s="23"/>
      <c r="KLQ243" s="26"/>
      <c r="KLU243" s="23"/>
      <c r="KLZ243" s="26"/>
      <c r="KMD243" s="23"/>
      <c r="KMI243" s="26"/>
      <c r="KMM243" s="23"/>
      <c r="KMR243" s="26"/>
      <c r="KMV243" s="23"/>
      <c r="KNA243" s="26"/>
      <c r="KNE243" s="23"/>
      <c r="KNJ243" s="26"/>
      <c r="KNN243" s="23"/>
      <c r="KNS243" s="26"/>
      <c r="KNW243" s="23"/>
      <c r="KOB243" s="26"/>
      <c r="KOF243" s="23"/>
      <c r="KOK243" s="26"/>
      <c r="KOO243" s="23"/>
      <c r="KOT243" s="26"/>
      <c r="KOX243" s="23"/>
      <c r="KPC243" s="26"/>
      <c r="KPG243" s="23"/>
      <c r="KPL243" s="26"/>
      <c r="KPP243" s="23"/>
      <c r="KPU243" s="26"/>
      <c r="KPY243" s="23"/>
      <c r="KQD243" s="26"/>
      <c r="KQH243" s="23"/>
      <c r="KQM243" s="26"/>
      <c r="KQQ243" s="23"/>
      <c r="KQV243" s="26"/>
      <c r="KQZ243" s="23"/>
      <c r="KRE243" s="26"/>
      <c r="KRI243" s="23"/>
      <c r="KRN243" s="26"/>
      <c r="KRR243" s="23"/>
      <c r="KRW243" s="26"/>
      <c r="KSA243" s="23"/>
      <c r="KSF243" s="26"/>
      <c r="KSJ243" s="23"/>
      <c r="KSO243" s="26"/>
      <c r="KSS243" s="23"/>
      <c r="KSX243" s="26"/>
      <c r="KTB243" s="23"/>
      <c r="KTG243" s="26"/>
      <c r="KTK243" s="23"/>
      <c r="KTP243" s="26"/>
      <c r="KTT243" s="23"/>
      <c r="KTY243" s="26"/>
      <c r="KUC243" s="23"/>
      <c r="KUH243" s="26"/>
      <c r="KUL243" s="23"/>
      <c r="KUQ243" s="26"/>
      <c r="KUU243" s="23"/>
      <c r="KUZ243" s="26"/>
      <c r="KVD243" s="23"/>
      <c r="KVI243" s="26"/>
      <c r="KVM243" s="23"/>
      <c r="KVR243" s="26"/>
      <c r="KVV243" s="23"/>
      <c r="KWA243" s="26"/>
      <c r="KWE243" s="23"/>
      <c r="KWJ243" s="26"/>
      <c r="KWN243" s="23"/>
      <c r="KWS243" s="26"/>
      <c r="KWW243" s="23"/>
      <c r="KXB243" s="26"/>
      <c r="KXF243" s="23"/>
      <c r="KXK243" s="26"/>
      <c r="KXO243" s="23"/>
      <c r="KXT243" s="26"/>
      <c r="KXX243" s="23"/>
      <c r="KYC243" s="26"/>
      <c r="KYG243" s="23"/>
      <c r="KYL243" s="26"/>
      <c r="KYP243" s="23"/>
      <c r="KYU243" s="26"/>
      <c r="KYY243" s="23"/>
      <c r="KZD243" s="26"/>
      <c r="KZH243" s="23"/>
      <c r="KZM243" s="26"/>
      <c r="KZQ243" s="23"/>
      <c r="KZV243" s="26"/>
      <c r="KZZ243" s="23"/>
      <c r="LAE243" s="26"/>
      <c r="LAI243" s="23"/>
      <c r="LAN243" s="26"/>
      <c r="LAR243" s="23"/>
      <c r="LAW243" s="26"/>
      <c r="LBA243" s="23"/>
      <c r="LBF243" s="26"/>
      <c r="LBJ243" s="23"/>
      <c r="LBO243" s="26"/>
      <c r="LBS243" s="23"/>
      <c r="LBX243" s="26"/>
      <c r="LCB243" s="23"/>
      <c r="LCG243" s="26"/>
      <c r="LCK243" s="23"/>
      <c r="LCP243" s="26"/>
      <c r="LCT243" s="23"/>
      <c r="LCY243" s="26"/>
      <c r="LDC243" s="23"/>
      <c r="LDH243" s="26"/>
      <c r="LDL243" s="23"/>
      <c r="LDQ243" s="26"/>
      <c r="LDU243" s="23"/>
      <c r="LDZ243" s="26"/>
      <c r="LED243" s="23"/>
      <c r="LEI243" s="26"/>
      <c r="LEM243" s="23"/>
      <c r="LER243" s="26"/>
      <c r="LEV243" s="23"/>
      <c r="LFA243" s="26"/>
      <c r="LFE243" s="23"/>
      <c r="LFJ243" s="26"/>
      <c r="LFN243" s="23"/>
      <c r="LFS243" s="26"/>
      <c r="LFW243" s="23"/>
      <c r="LGB243" s="26"/>
      <c r="LGF243" s="23"/>
      <c r="LGK243" s="26"/>
      <c r="LGO243" s="23"/>
      <c r="LGT243" s="26"/>
      <c r="LGX243" s="23"/>
      <c r="LHC243" s="26"/>
      <c r="LHG243" s="23"/>
      <c r="LHL243" s="26"/>
      <c r="LHP243" s="23"/>
      <c r="LHU243" s="26"/>
      <c r="LHY243" s="23"/>
      <c r="LID243" s="26"/>
      <c r="LIH243" s="23"/>
      <c r="LIM243" s="26"/>
      <c r="LIQ243" s="23"/>
      <c r="LIV243" s="26"/>
      <c r="LIZ243" s="23"/>
      <c r="LJE243" s="26"/>
      <c r="LJI243" s="23"/>
      <c r="LJN243" s="26"/>
      <c r="LJR243" s="23"/>
      <c r="LJW243" s="26"/>
      <c r="LKA243" s="23"/>
      <c r="LKF243" s="26"/>
      <c r="LKJ243" s="23"/>
      <c r="LKO243" s="26"/>
      <c r="LKS243" s="23"/>
      <c r="LKX243" s="26"/>
      <c r="LLB243" s="23"/>
      <c r="LLG243" s="26"/>
      <c r="LLK243" s="23"/>
      <c r="LLP243" s="26"/>
      <c r="LLT243" s="23"/>
      <c r="LLY243" s="26"/>
      <c r="LMC243" s="23"/>
      <c r="LMH243" s="26"/>
      <c r="LML243" s="23"/>
      <c r="LMQ243" s="26"/>
      <c r="LMU243" s="23"/>
      <c r="LMZ243" s="26"/>
      <c r="LND243" s="23"/>
      <c r="LNI243" s="26"/>
      <c r="LNM243" s="23"/>
      <c r="LNR243" s="26"/>
      <c r="LNV243" s="23"/>
      <c r="LOA243" s="26"/>
      <c r="LOE243" s="23"/>
      <c r="LOJ243" s="26"/>
      <c r="LON243" s="23"/>
      <c r="LOS243" s="26"/>
      <c r="LOW243" s="23"/>
      <c r="LPB243" s="26"/>
      <c r="LPF243" s="23"/>
      <c r="LPK243" s="26"/>
      <c r="LPO243" s="23"/>
      <c r="LPT243" s="26"/>
      <c r="LPX243" s="23"/>
      <c r="LQC243" s="26"/>
      <c r="LQG243" s="23"/>
      <c r="LQL243" s="26"/>
      <c r="LQP243" s="23"/>
      <c r="LQU243" s="26"/>
      <c r="LQY243" s="23"/>
      <c r="LRD243" s="26"/>
      <c r="LRH243" s="23"/>
      <c r="LRM243" s="26"/>
      <c r="LRQ243" s="23"/>
      <c r="LRV243" s="26"/>
      <c r="LRZ243" s="23"/>
      <c r="LSE243" s="26"/>
      <c r="LSI243" s="23"/>
      <c r="LSN243" s="26"/>
      <c r="LSR243" s="23"/>
      <c r="LSW243" s="26"/>
      <c r="LTA243" s="23"/>
      <c r="LTF243" s="26"/>
      <c r="LTJ243" s="23"/>
      <c r="LTO243" s="26"/>
      <c r="LTS243" s="23"/>
      <c r="LTX243" s="26"/>
      <c r="LUB243" s="23"/>
      <c r="LUG243" s="26"/>
      <c r="LUK243" s="23"/>
      <c r="LUP243" s="26"/>
      <c r="LUT243" s="23"/>
      <c r="LUY243" s="26"/>
      <c r="LVC243" s="23"/>
      <c r="LVH243" s="26"/>
      <c r="LVL243" s="23"/>
      <c r="LVQ243" s="26"/>
      <c r="LVU243" s="23"/>
      <c r="LVZ243" s="26"/>
      <c r="LWD243" s="23"/>
      <c r="LWI243" s="26"/>
      <c r="LWM243" s="23"/>
      <c r="LWR243" s="26"/>
      <c r="LWV243" s="23"/>
      <c r="LXA243" s="26"/>
      <c r="LXE243" s="23"/>
      <c r="LXJ243" s="26"/>
      <c r="LXN243" s="23"/>
      <c r="LXS243" s="26"/>
      <c r="LXW243" s="23"/>
      <c r="LYB243" s="26"/>
      <c r="LYF243" s="23"/>
      <c r="LYK243" s="26"/>
      <c r="LYO243" s="23"/>
      <c r="LYT243" s="26"/>
      <c r="LYX243" s="23"/>
      <c r="LZC243" s="26"/>
      <c r="LZG243" s="23"/>
      <c r="LZL243" s="26"/>
      <c r="LZP243" s="23"/>
      <c r="LZU243" s="26"/>
      <c r="LZY243" s="23"/>
      <c r="MAD243" s="26"/>
      <c r="MAH243" s="23"/>
      <c r="MAM243" s="26"/>
      <c r="MAQ243" s="23"/>
      <c r="MAV243" s="26"/>
      <c r="MAZ243" s="23"/>
      <c r="MBE243" s="26"/>
      <c r="MBI243" s="23"/>
      <c r="MBN243" s="26"/>
      <c r="MBR243" s="23"/>
      <c r="MBW243" s="26"/>
      <c r="MCA243" s="23"/>
      <c r="MCF243" s="26"/>
      <c r="MCJ243" s="23"/>
      <c r="MCO243" s="26"/>
      <c r="MCS243" s="23"/>
      <c r="MCX243" s="26"/>
      <c r="MDB243" s="23"/>
      <c r="MDG243" s="26"/>
      <c r="MDK243" s="23"/>
      <c r="MDP243" s="26"/>
      <c r="MDT243" s="23"/>
      <c r="MDY243" s="26"/>
      <c r="MEC243" s="23"/>
      <c r="MEH243" s="26"/>
      <c r="MEL243" s="23"/>
      <c r="MEQ243" s="26"/>
      <c r="MEU243" s="23"/>
      <c r="MEZ243" s="26"/>
      <c r="MFD243" s="23"/>
      <c r="MFI243" s="26"/>
      <c r="MFM243" s="23"/>
      <c r="MFR243" s="26"/>
      <c r="MFV243" s="23"/>
      <c r="MGA243" s="26"/>
      <c r="MGE243" s="23"/>
      <c r="MGJ243" s="26"/>
      <c r="MGN243" s="23"/>
      <c r="MGS243" s="26"/>
      <c r="MGW243" s="23"/>
      <c r="MHB243" s="26"/>
      <c r="MHF243" s="23"/>
      <c r="MHK243" s="26"/>
      <c r="MHO243" s="23"/>
      <c r="MHT243" s="26"/>
      <c r="MHX243" s="23"/>
      <c r="MIC243" s="26"/>
      <c r="MIG243" s="23"/>
      <c r="MIL243" s="26"/>
      <c r="MIP243" s="23"/>
      <c r="MIU243" s="26"/>
      <c r="MIY243" s="23"/>
      <c r="MJD243" s="26"/>
      <c r="MJH243" s="23"/>
      <c r="MJM243" s="26"/>
      <c r="MJQ243" s="23"/>
      <c r="MJV243" s="26"/>
      <c r="MJZ243" s="23"/>
      <c r="MKE243" s="26"/>
      <c r="MKI243" s="23"/>
      <c r="MKN243" s="26"/>
      <c r="MKR243" s="23"/>
      <c r="MKW243" s="26"/>
      <c r="MLA243" s="23"/>
      <c r="MLF243" s="26"/>
      <c r="MLJ243" s="23"/>
      <c r="MLO243" s="26"/>
      <c r="MLS243" s="23"/>
      <c r="MLX243" s="26"/>
      <c r="MMB243" s="23"/>
      <c r="MMG243" s="26"/>
      <c r="MMK243" s="23"/>
      <c r="MMP243" s="26"/>
      <c r="MMT243" s="23"/>
      <c r="MMY243" s="26"/>
      <c r="MNC243" s="23"/>
      <c r="MNH243" s="26"/>
      <c r="MNL243" s="23"/>
      <c r="MNQ243" s="26"/>
      <c r="MNU243" s="23"/>
      <c r="MNZ243" s="26"/>
      <c r="MOD243" s="23"/>
      <c r="MOI243" s="26"/>
      <c r="MOM243" s="23"/>
      <c r="MOR243" s="26"/>
      <c r="MOV243" s="23"/>
      <c r="MPA243" s="26"/>
      <c r="MPE243" s="23"/>
      <c r="MPJ243" s="26"/>
      <c r="MPN243" s="23"/>
      <c r="MPS243" s="26"/>
      <c r="MPW243" s="23"/>
      <c r="MQB243" s="26"/>
      <c r="MQF243" s="23"/>
      <c r="MQK243" s="26"/>
      <c r="MQO243" s="23"/>
      <c r="MQT243" s="26"/>
      <c r="MQX243" s="23"/>
      <c r="MRC243" s="26"/>
      <c r="MRG243" s="23"/>
      <c r="MRL243" s="26"/>
      <c r="MRP243" s="23"/>
      <c r="MRU243" s="26"/>
      <c r="MRY243" s="23"/>
      <c r="MSD243" s="26"/>
      <c r="MSH243" s="23"/>
      <c r="MSM243" s="26"/>
      <c r="MSQ243" s="23"/>
      <c r="MSV243" s="26"/>
      <c r="MSZ243" s="23"/>
      <c r="MTE243" s="26"/>
      <c r="MTI243" s="23"/>
      <c r="MTN243" s="26"/>
      <c r="MTR243" s="23"/>
      <c r="MTW243" s="26"/>
      <c r="MUA243" s="23"/>
      <c r="MUF243" s="26"/>
      <c r="MUJ243" s="23"/>
      <c r="MUO243" s="26"/>
      <c r="MUS243" s="23"/>
      <c r="MUX243" s="26"/>
      <c r="MVB243" s="23"/>
      <c r="MVG243" s="26"/>
      <c r="MVK243" s="23"/>
      <c r="MVP243" s="26"/>
      <c r="MVT243" s="23"/>
      <c r="MVY243" s="26"/>
      <c r="MWC243" s="23"/>
      <c r="MWH243" s="26"/>
      <c r="MWL243" s="23"/>
      <c r="MWQ243" s="26"/>
      <c r="MWU243" s="23"/>
      <c r="MWZ243" s="26"/>
      <c r="MXD243" s="23"/>
      <c r="MXI243" s="26"/>
      <c r="MXM243" s="23"/>
      <c r="MXR243" s="26"/>
      <c r="MXV243" s="23"/>
      <c r="MYA243" s="26"/>
      <c r="MYE243" s="23"/>
      <c r="MYJ243" s="26"/>
      <c r="MYN243" s="23"/>
      <c r="MYS243" s="26"/>
      <c r="MYW243" s="23"/>
      <c r="MZB243" s="26"/>
      <c r="MZF243" s="23"/>
      <c r="MZK243" s="26"/>
      <c r="MZO243" s="23"/>
      <c r="MZT243" s="26"/>
      <c r="MZX243" s="23"/>
      <c r="NAC243" s="26"/>
      <c r="NAG243" s="23"/>
      <c r="NAL243" s="26"/>
      <c r="NAP243" s="23"/>
      <c r="NAU243" s="26"/>
      <c r="NAY243" s="23"/>
      <c r="NBD243" s="26"/>
      <c r="NBH243" s="23"/>
      <c r="NBM243" s="26"/>
      <c r="NBQ243" s="23"/>
      <c r="NBV243" s="26"/>
      <c r="NBZ243" s="23"/>
      <c r="NCE243" s="26"/>
      <c r="NCI243" s="23"/>
      <c r="NCN243" s="26"/>
      <c r="NCR243" s="23"/>
      <c r="NCW243" s="26"/>
      <c r="NDA243" s="23"/>
      <c r="NDF243" s="26"/>
      <c r="NDJ243" s="23"/>
      <c r="NDO243" s="26"/>
      <c r="NDS243" s="23"/>
      <c r="NDX243" s="26"/>
      <c r="NEB243" s="23"/>
      <c r="NEG243" s="26"/>
      <c r="NEK243" s="23"/>
      <c r="NEP243" s="26"/>
      <c r="NET243" s="23"/>
      <c r="NEY243" s="26"/>
      <c r="NFC243" s="23"/>
      <c r="NFH243" s="26"/>
      <c r="NFL243" s="23"/>
      <c r="NFQ243" s="26"/>
      <c r="NFU243" s="23"/>
      <c r="NFZ243" s="26"/>
      <c r="NGD243" s="23"/>
      <c r="NGI243" s="26"/>
      <c r="NGM243" s="23"/>
      <c r="NGR243" s="26"/>
      <c r="NGV243" s="23"/>
      <c r="NHA243" s="26"/>
      <c r="NHE243" s="23"/>
      <c r="NHJ243" s="26"/>
      <c r="NHN243" s="23"/>
      <c r="NHS243" s="26"/>
      <c r="NHW243" s="23"/>
      <c r="NIB243" s="26"/>
      <c r="NIF243" s="23"/>
      <c r="NIK243" s="26"/>
      <c r="NIO243" s="23"/>
      <c r="NIT243" s="26"/>
      <c r="NIX243" s="23"/>
      <c r="NJC243" s="26"/>
      <c r="NJG243" s="23"/>
      <c r="NJL243" s="26"/>
      <c r="NJP243" s="23"/>
      <c r="NJU243" s="26"/>
      <c r="NJY243" s="23"/>
      <c r="NKD243" s="26"/>
      <c r="NKH243" s="23"/>
      <c r="NKM243" s="26"/>
      <c r="NKQ243" s="23"/>
      <c r="NKV243" s="26"/>
      <c r="NKZ243" s="23"/>
      <c r="NLE243" s="26"/>
      <c r="NLI243" s="23"/>
      <c r="NLN243" s="26"/>
      <c r="NLR243" s="23"/>
      <c r="NLW243" s="26"/>
      <c r="NMA243" s="23"/>
      <c r="NMF243" s="26"/>
      <c r="NMJ243" s="23"/>
      <c r="NMO243" s="26"/>
      <c r="NMS243" s="23"/>
      <c r="NMX243" s="26"/>
      <c r="NNB243" s="23"/>
      <c r="NNG243" s="26"/>
      <c r="NNK243" s="23"/>
      <c r="NNP243" s="26"/>
      <c r="NNT243" s="23"/>
      <c r="NNY243" s="26"/>
      <c r="NOC243" s="23"/>
      <c r="NOH243" s="26"/>
      <c r="NOL243" s="23"/>
      <c r="NOQ243" s="26"/>
      <c r="NOU243" s="23"/>
      <c r="NOZ243" s="26"/>
      <c r="NPD243" s="23"/>
      <c r="NPI243" s="26"/>
      <c r="NPM243" s="23"/>
      <c r="NPR243" s="26"/>
      <c r="NPV243" s="23"/>
      <c r="NQA243" s="26"/>
      <c r="NQE243" s="23"/>
      <c r="NQJ243" s="26"/>
      <c r="NQN243" s="23"/>
      <c r="NQS243" s="26"/>
      <c r="NQW243" s="23"/>
      <c r="NRB243" s="26"/>
      <c r="NRF243" s="23"/>
      <c r="NRK243" s="26"/>
      <c r="NRO243" s="23"/>
      <c r="NRT243" s="26"/>
      <c r="NRX243" s="23"/>
      <c r="NSC243" s="26"/>
      <c r="NSG243" s="23"/>
      <c r="NSL243" s="26"/>
      <c r="NSP243" s="23"/>
      <c r="NSU243" s="26"/>
      <c r="NSY243" s="23"/>
      <c r="NTD243" s="26"/>
      <c r="NTH243" s="23"/>
      <c r="NTM243" s="26"/>
      <c r="NTQ243" s="23"/>
      <c r="NTV243" s="26"/>
      <c r="NTZ243" s="23"/>
      <c r="NUE243" s="26"/>
      <c r="NUI243" s="23"/>
      <c r="NUN243" s="26"/>
      <c r="NUR243" s="23"/>
      <c r="NUW243" s="26"/>
      <c r="NVA243" s="23"/>
      <c r="NVF243" s="26"/>
      <c r="NVJ243" s="23"/>
      <c r="NVO243" s="26"/>
      <c r="NVS243" s="23"/>
      <c r="NVX243" s="26"/>
      <c r="NWB243" s="23"/>
      <c r="NWG243" s="26"/>
      <c r="NWK243" s="23"/>
      <c r="NWP243" s="26"/>
      <c r="NWT243" s="23"/>
      <c r="NWY243" s="26"/>
      <c r="NXC243" s="23"/>
      <c r="NXH243" s="26"/>
      <c r="NXL243" s="23"/>
      <c r="NXQ243" s="26"/>
      <c r="NXU243" s="23"/>
      <c r="NXZ243" s="26"/>
      <c r="NYD243" s="23"/>
      <c r="NYI243" s="26"/>
      <c r="NYM243" s="23"/>
      <c r="NYR243" s="26"/>
      <c r="NYV243" s="23"/>
      <c r="NZA243" s="26"/>
      <c r="NZE243" s="23"/>
      <c r="NZJ243" s="26"/>
      <c r="NZN243" s="23"/>
      <c r="NZS243" s="26"/>
      <c r="NZW243" s="23"/>
      <c r="OAB243" s="26"/>
      <c r="OAF243" s="23"/>
      <c r="OAK243" s="26"/>
      <c r="OAO243" s="23"/>
      <c r="OAT243" s="26"/>
      <c r="OAX243" s="23"/>
      <c r="OBC243" s="26"/>
      <c r="OBG243" s="23"/>
      <c r="OBL243" s="26"/>
      <c r="OBP243" s="23"/>
      <c r="OBU243" s="26"/>
      <c r="OBY243" s="23"/>
      <c r="OCD243" s="26"/>
      <c r="OCH243" s="23"/>
      <c r="OCM243" s="26"/>
      <c r="OCQ243" s="23"/>
      <c r="OCV243" s="26"/>
      <c r="OCZ243" s="23"/>
      <c r="ODE243" s="26"/>
      <c r="ODI243" s="23"/>
      <c r="ODN243" s="26"/>
      <c r="ODR243" s="23"/>
      <c r="ODW243" s="26"/>
      <c r="OEA243" s="23"/>
      <c r="OEF243" s="26"/>
      <c r="OEJ243" s="23"/>
      <c r="OEO243" s="26"/>
      <c r="OES243" s="23"/>
      <c r="OEX243" s="26"/>
      <c r="OFB243" s="23"/>
      <c r="OFG243" s="26"/>
      <c r="OFK243" s="23"/>
      <c r="OFP243" s="26"/>
      <c r="OFT243" s="23"/>
      <c r="OFY243" s="26"/>
      <c r="OGC243" s="23"/>
      <c r="OGH243" s="26"/>
      <c r="OGL243" s="23"/>
      <c r="OGQ243" s="26"/>
      <c r="OGU243" s="23"/>
      <c r="OGZ243" s="26"/>
      <c r="OHD243" s="23"/>
      <c r="OHI243" s="26"/>
      <c r="OHM243" s="23"/>
      <c r="OHR243" s="26"/>
      <c r="OHV243" s="23"/>
      <c r="OIA243" s="26"/>
      <c r="OIE243" s="23"/>
      <c r="OIJ243" s="26"/>
      <c r="OIN243" s="23"/>
      <c r="OIS243" s="26"/>
      <c r="OIW243" s="23"/>
      <c r="OJB243" s="26"/>
      <c r="OJF243" s="23"/>
      <c r="OJK243" s="26"/>
      <c r="OJO243" s="23"/>
      <c r="OJT243" s="26"/>
      <c r="OJX243" s="23"/>
      <c r="OKC243" s="26"/>
      <c r="OKG243" s="23"/>
      <c r="OKL243" s="26"/>
      <c r="OKP243" s="23"/>
      <c r="OKU243" s="26"/>
      <c r="OKY243" s="23"/>
      <c r="OLD243" s="26"/>
      <c r="OLH243" s="23"/>
      <c r="OLM243" s="26"/>
      <c r="OLQ243" s="23"/>
      <c r="OLV243" s="26"/>
      <c r="OLZ243" s="23"/>
      <c r="OME243" s="26"/>
      <c r="OMI243" s="23"/>
      <c r="OMN243" s="26"/>
      <c r="OMR243" s="23"/>
      <c r="OMW243" s="26"/>
      <c r="ONA243" s="23"/>
      <c r="ONF243" s="26"/>
      <c r="ONJ243" s="23"/>
      <c r="ONO243" s="26"/>
      <c r="ONS243" s="23"/>
      <c r="ONX243" s="26"/>
      <c r="OOB243" s="23"/>
      <c r="OOG243" s="26"/>
      <c r="OOK243" s="23"/>
      <c r="OOP243" s="26"/>
      <c r="OOT243" s="23"/>
      <c r="OOY243" s="26"/>
      <c r="OPC243" s="23"/>
      <c r="OPH243" s="26"/>
      <c r="OPL243" s="23"/>
      <c r="OPQ243" s="26"/>
      <c r="OPU243" s="23"/>
      <c r="OPZ243" s="26"/>
      <c r="OQD243" s="23"/>
      <c r="OQI243" s="26"/>
      <c r="OQM243" s="23"/>
      <c r="OQR243" s="26"/>
      <c r="OQV243" s="23"/>
      <c r="ORA243" s="26"/>
      <c r="ORE243" s="23"/>
      <c r="ORJ243" s="26"/>
      <c r="ORN243" s="23"/>
      <c r="ORS243" s="26"/>
      <c r="ORW243" s="23"/>
      <c r="OSB243" s="26"/>
      <c r="OSF243" s="23"/>
      <c r="OSK243" s="26"/>
      <c r="OSO243" s="23"/>
      <c r="OST243" s="26"/>
      <c r="OSX243" s="23"/>
      <c r="OTC243" s="26"/>
      <c r="OTG243" s="23"/>
      <c r="OTL243" s="26"/>
      <c r="OTP243" s="23"/>
      <c r="OTU243" s="26"/>
      <c r="OTY243" s="23"/>
      <c r="OUD243" s="26"/>
      <c r="OUH243" s="23"/>
      <c r="OUM243" s="26"/>
      <c r="OUQ243" s="23"/>
      <c r="OUV243" s="26"/>
      <c r="OUZ243" s="23"/>
      <c r="OVE243" s="26"/>
      <c r="OVI243" s="23"/>
      <c r="OVN243" s="26"/>
      <c r="OVR243" s="23"/>
      <c r="OVW243" s="26"/>
      <c r="OWA243" s="23"/>
      <c r="OWF243" s="26"/>
      <c r="OWJ243" s="23"/>
      <c r="OWO243" s="26"/>
      <c r="OWS243" s="23"/>
      <c r="OWX243" s="26"/>
      <c r="OXB243" s="23"/>
      <c r="OXG243" s="26"/>
      <c r="OXK243" s="23"/>
      <c r="OXP243" s="26"/>
      <c r="OXT243" s="23"/>
      <c r="OXY243" s="26"/>
      <c r="OYC243" s="23"/>
      <c r="OYH243" s="26"/>
      <c r="OYL243" s="23"/>
      <c r="OYQ243" s="26"/>
      <c r="OYU243" s="23"/>
      <c r="OYZ243" s="26"/>
      <c r="OZD243" s="23"/>
      <c r="OZI243" s="26"/>
      <c r="OZM243" s="23"/>
      <c r="OZR243" s="26"/>
      <c r="OZV243" s="23"/>
      <c r="PAA243" s="26"/>
      <c r="PAE243" s="23"/>
      <c r="PAJ243" s="26"/>
      <c r="PAN243" s="23"/>
      <c r="PAS243" s="26"/>
      <c r="PAW243" s="23"/>
      <c r="PBB243" s="26"/>
      <c r="PBF243" s="23"/>
      <c r="PBK243" s="26"/>
      <c r="PBO243" s="23"/>
      <c r="PBT243" s="26"/>
      <c r="PBX243" s="23"/>
      <c r="PCC243" s="26"/>
      <c r="PCG243" s="23"/>
      <c r="PCL243" s="26"/>
      <c r="PCP243" s="23"/>
      <c r="PCU243" s="26"/>
      <c r="PCY243" s="23"/>
      <c r="PDD243" s="26"/>
      <c r="PDH243" s="23"/>
      <c r="PDM243" s="26"/>
      <c r="PDQ243" s="23"/>
      <c r="PDV243" s="26"/>
      <c r="PDZ243" s="23"/>
      <c r="PEE243" s="26"/>
      <c r="PEI243" s="23"/>
      <c r="PEN243" s="26"/>
      <c r="PER243" s="23"/>
      <c r="PEW243" s="26"/>
      <c r="PFA243" s="23"/>
      <c r="PFF243" s="26"/>
      <c r="PFJ243" s="23"/>
      <c r="PFO243" s="26"/>
      <c r="PFS243" s="23"/>
      <c r="PFX243" s="26"/>
      <c r="PGB243" s="23"/>
      <c r="PGG243" s="26"/>
      <c r="PGK243" s="23"/>
      <c r="PGP243" s="26"/>
      <c r="PGT243" s="23"/>
      <c r="PGY243" s="26"/>
      <c r="PHC243" s="23"/>
      <c r="PHH243" s="26"/>
      <c r="PHL243" s="23"/>
      <c r="PHQ243" s="26"/>
      <c r="PHU243" s="23"/>
      <c r="PHZ243" s="26"/>
      <c r="PID243" s="23"/>
      <c r="PII243" s="26"/>
      <c r="PIM243" s="23"/>
      <c r="PIR243" s="26"/>
      <c r="PIV243" s="23"/>
      <c r="PJA243" s="26"/>
      <c r="PJE243" s="23"/>
      <c r="PJJ243" s="26"/>
      <c r="PJN243" s="23"/>
      <c r="PJS243" s="26"/>
      <c r="PJW243" s="23"/>
      <c r="PKB243" s="26"/>
      <c r="PKF243" s="23"/>
      <c r="PKK243" s="26"/>
      <c r="PKO243" s="23"/>
      <c r="PKT243" s="26"/>
      <c r="PKX243" s="23"/>
      <c r="PLC243" s="26"/>
      <c r="PLG243" s="23"/>
      <c r="PLL243" s="26"/>
      <c r="PLP243" s="23"/>
      <c r="PLU243" s="26"/>
      <c r="PLY243" s="23"/>
      <c r="PMD243" s="26"/>
      <c r="PMH243" s="23"/>
      <c r="PMM243" s="26"/>
      <c r="PMQ243" s="23"/>
      <c r="PMV243" s="26"/>
      <c r="PMZ243" s="23"/>
      <c r="PNE243" s="26"/>
      <c r="PNI243" s="23"/>
      <c r="PNN243" s="26"/>
      <c r="PNR243" s="23"/>
      <c r="PNW243" s="26"/>
      <c r="POA243" s="23"/>
      <c r="POF243" s="26"/>
      <c r="POJ243" s="23"/>
      <c r="POO243" s="26"/>
      <c r="POS243" s="23"/>
      <c r="POX243" s="26"/>
      <c r="PPB243" s="23"/>
      <c r="PPG243" s="26"/>
      <c r="PPK243" s="23"/>
      <c r="PPP243" s="26"/>
      <c r="PPT243" s="23"/>
      <c r="PPY243" s="26"/>
      <c r="PQC243" s="23"/>
      <c r="PQH243" s="26"/>
      <c r="PQL243" s="23"/>
      <c r="PQQ243" s="26"/>
      <c r="PQU243" s="23"/>
      <c r="PQZ243" s="26"/>
      <c r="PRD243" s="23"/>
      <c r="PRI243" s="26"/>
      <c r="PRM243" s="23"/>
      <c r="PRR243" s="26"/>
      <c r="PRV243" s="23"/>
      <c r="PSA243" s="26"/>
      <c r="PSE243" s="23"/>
      <c r="PSJ243" s="26"/>
      <c r="PSN243" s="23"/>
      <c r="PSS243" s="26"/>
      <c r="PSW243" s="23"/>
      <c r="PTB243" s="26"/>
      <c r="PTF243" s="23"/>
      <c r="PTK243" s="26"/>
      <c r="PTO243" s="23"/>
      <c r="PTT243" s="26"/>
      <c r="PTX243" s="23"/>
      <c r="PUC243" s="26"/>
      <c r="PUG243" s="23"/>
      <c r="PUL243" s="26"/>
      <c r="PUP243" s="23"/>
      <c r="PUU243" s="26"/>
      <c r="PUY243" s="23"/>
      <c r="PVD243" s="26"/>
      <c r="PVH243" s="23"/>
      <c r="PVM243" s="26"/>
      <c r="PVQ243" s="23"/>
      <c r="PVV243" s="26"/>
      <c r="PVZ243" s="23"/>
      <c r="PWE243" s="26"/>
      <c r="PWI243" s="23"/>
      <c r="PWN243" s="26"/>
      <c r="PWR243" s="23"/>
      <c r="PWW243" s="26"/>
      <c r="PXA243" s="23"/>
      <c r="PXF243" s="26"/>
      <c r="PXJ243" s="23"/>
      <c r="PXO243" s="26"/>
      <c r="PXS243" s="23"/>
      <c r="PXX243" s="26"/>
      <c r="PYB243" s="23"/>
      <c r="PYG243" s="26"/>
      <c r="PYK243" s="23"/>
      <c r="PYP243" s="26"/>
      <c r="PYT243" s="23"/>
      <c r="PYY243" s="26"/>
      <c r="PZC243" s="23"/>
      <c r="PZH243" s="26"/>
      <c r="PZL243" s="23"/>
      <c r="PZQ243" s="26"/>
      <c r="PZU243" s="23"/>
      <c r="PZZ243" s="26"/>
      <c r="QAD243" s="23"/>
      <c r="QAI243" s="26"/>
      <c r="QAM243" s="23"/>
      <c r="QAR243" s="26"/>
      <c r="QAV243" s="23"/>
      <c r="QBA243" s="26"/>
      <c r="QBE243" s="23"/>
      <c r="QBJ243" s="26"/>
      <c r="QBN243" s="23"/>
      <c r="QBS243" s="26"/>
      <c r="QBW243" s="23"/>
      <c r="QCB243" s="26"/>
      <c r="QCF243" s="23"/>
      <c r="QCK243" s="26"/>
      <c r="QCO243" s="23"/>
      <c r="QCT243" s="26"/>
      <c r="QCX243" s="23"/>
      <c r="QDC243" s="26"/>
      <c r="QDG243" s="23"/>
      <c r="QDL243" s="26"/>
      <c r="QDP243" s="23"/>
      <c r="QDU243" s="26"/>
      <c r="QDY243" s="23"/>
      <c r="QED243" s="26"/>
      <c r="QEH243" s="23"/>
      <c r="QEM243" s="26"/>
      <c r="QEQ243" s="23"/>
      <c r="QEV243" s="26"/>
      <c r="QEZ243" s="23"/>
      <c r="QFE243" s="26"/>
      <c r="QFI243" s="23"/>
      <c r="QFN243" s="26"/>
      <c r="QFR243" s="23"/>
      <c r="QFW243" s="26"/>
      <c r="QGA243" s="23"/>
      <c r="QGF243" s="26"/>
      <c r="QGJ243" s="23"/>
      <c r="QGO243" s="26"/>
      <c r="QGS243" s="23"/>
      <c r="QGX243" s="26"/>
      <c r="QHB243" s="23"/>
      <c r="QHG243" s="26"/>
      <c r="QHK243" s="23"/>
      <c r="QHP243" s="26"/>
      <c r="QHT243" s="23"/>
      <c r="QHY243" s="26"/>
      <c r="QIC243" s="23"/>
      <c r="QIH243" s="26"/>
      <c r="QIL243" s="23"/>
      <c r="QIQ243" s="26"/>
      <c r="QIU243" s="23"/>
      <c r="QIZ243" s="26"/>
      <c r="QJD243" s="23"/>
      <c r="QJI243" s="26"/>
      <c r="QJM243" s="23"/>
      <c r="QJR243" s="26"/>
      <c r="QJV243" s="23"/>
      <c r="QKA243" s="26"/>
      <c r="QKE243" s="23"/>
      <c r="QKJ243" s="26"/>
      <c r="QKN243" s="23"/>
      <c r="QKS243" s="26"/>
      <c r="QKW243" s="23"/>
      <c r="QLB243" s="26"/>
      <c r="QLF243" s="23"/>
      <c r="QLK243" s="26"/>
      <c r="QLO243" s="23"/>
      <c r="QLT243" s="26"/>
      <c r="QLX243" s="23"/>
      <c r="QMC243" s="26"/>
      <c r="QMG243" s="23"/>
      <c r="QML243" s="26"/>
      <c r="QMP243" s="23"/>
      <c r="QMU243" s="26"/>
      <c r="QMY243" s="23"/>
      <c r="QND243" s="26"/>
      <c r="QNH243" s="23"/>
      <c r="QNM243" s="26"/>
      <c r="QNQ243" s="23"/>
      <c r="QNV243" s="26"/>
      <c r="QNZ243" s="23"/>
      <c r="QOE243" s="26"/>
      <c r="QOI243" s="23"/>
      <c r="QON243" s="26"/>
      <c r="QOR243" s="23"/>
      <c r="QOW243" s="26"/>
      <c r="QPA243" s="23"/>
      <c r="QPF243" s="26"/>
      <c r="QPJ243" s="23"/>
      <c r="QPO243" s="26"/>
      <c r="QPS243" s="23"/>
      <c r="QPX243" s="26"/>
      <c r="QQB243" s="23"/>
      <c r="QQG243" s="26"/>
      <c r="QQK243" s="23"/>
      <c r="QQP243" s="26"/>
      <c r="QQT243" s="23"/>
      <c r="QQY243" s="26"/>
      <c r="QRC243" s="23"/>
      <c r="QRH243" s="26"/>
      <c r="QRL243" s="23"/>
      <c r="QRQ243" s="26"/>
      <c r="QRU243" s="23"/>
      <c r="QRZ243" s="26"/>
      <c r="QSD243" s="23"/>
      <c r="QSI243" s="26"/>
      <c r="QSM243" s="23"/>
      <c r="QSR243" s="26"/>
      <c r="QSV243" s="23"/>
      <c r="QTA243" s="26"/>
      <c r="QTE243" s="23"/>
      <c r="QTJ243" s="26"/>
      <c r="QTN243" s="23"/>
      <c r="QTS243" s="26"/>
      <c r="QTW243" s="23"/>
      <c r="QUB243" s="26"/>
      <c r="QUF243" s="23"/>
      <c r="QUK243" s="26"/>
      <c r="QUO243" s="23"/>
      <c r="QUT243" s="26"/>
      <c r="QUX243" s="23"/>
      <c r="QVC243" s="26"/>
      <c r="QVG243" s="23"/>
      <c r="QVL243" s="26"/>
      <c r="QVP243" s="23"/>
      <c r="QVU243" s="26"/>
      <c r="QVY243" s="23"/>
      <c r="QWD243" s="26"/>
      <c r="QWH243" s="23"/>
      <c r="QWM243" s="26"/>
      <c r="QWQ243" s="23"/>
      <c r="QWV243" s="26"/>
      <c r="QWZ243" s="23"/>
      <c r="QXE243" s="26"/>
      <c r="QXI243" s="23"/>
      <c r="QXN243" s="26"/>
      <c r="QXR243" s="23"/>
      <c r="QXW243" s="26"/>
      <c r="QYA243" s="23"/>
      <c r="QYF243" s="26"/>
      <c r="QYJ243" s="23"/>
      <c r="QYO243" s="26"/>
      <c r="QYS243" s="23"/>
      <c r="QYX243" s="26"/>
      <c r="QZB243" s="23"/>
      <c r="QZG243" s="26"/>
      <c r="QZK243" s="23"/>
      <c r="QZP243" s="26"/>
      <c r="QZT243" s="23"/>
      <c r="QZY243" s="26"/>
      <c r="RAC243" s="23"/>
      <c r="RAH243" s="26"/>
      <c r="RAL243" s="23"/>
      <c r="RAQ243" s="26"/>
      <c r="RAU243" s="23"/>
      <c r="RAZ243" s="26"/>
      <c r="RBD243" s="23"/>
      <c r="RBI243" s="26"/>
      <c r="RBM243" s="23"/>
      <c r="RBR243" s="26"/>
      <c r="RBV243" s="23"/>
      <c r="RCA243" s="26"/>
      <c r="RCE243" s="23"/>
      <c r="RCJ243" s="26"/>
      <c r="RCN243" s="23"/>
      <c r="RCS243" s="26"/>
      <c r="RCW243" s="23"/>
      <c r="RDB243" s="26"/>
      <c r="RDF243" s="23"/>
      <c r="RDK243" s="26"/>
      <c r="RDO243" s="23"/>
      <c r="RDT243" s="26"/>
      <c r="RDX243" s="23"/>
      <c r="REC243" s="26"/>
      <c r="REG243" s="23"/>
      <c r="REL243" s="26"/>
      <c r="REP243" s="23"/>
      <c r="REU243" s="26"/>
      <c r="REY243" s="23"/>
      <c r="RFD243" s="26"/>
      <c r="RFH243" s="23"/>
      <c r="RFM243" s="26"/>
      <c r="RFQ243" s="23"/>
      <c r="RFV243" s="26"/>
      <c r="RFZ243" s="23"/>
      <c r="RGE243" s="26"/>
      <c r="RGI243" s="23"/>
      <c r="RGN243" s="26"/>
      <c r="RGR243" s="23"/>
      <c r="RGW243" s="26"/>
      <c r="RHA243" s="23"/>
      <c r="RHF243" s="26"/>
      <c r="RHJ243" s="23"/>
      <c r="RHO243" s="26"/>
      <c r="RHS243" s="23"/>
      <c r="RHX243" s="26"/>
      <c r="RIB243" s="23"/>
      <c r="RIG243" s="26"/>
      <c r="RIK243" s="23"/>
      <c r="RIP243" s="26"/>
      <c r="RIT243" s="23"/>
      <c r="RIY243" s="26"/>
      <c r="RJC243" s="23"/>
      <c r="RJH243" s="26"/>
      <c r="RJL243" s="23"/>
      <c r="RJQ243" s="26"/>
      <c r="RJU243" s="23"/>
      <c r="RJZ243" s="26"/>
      <c r="RKD243" s="23"/>
      <c r="RKI243" s="26"/>
      <c r="RKM243" s="23"/>
      <c r="RKR243" s="26"/>
      <c r="RKV243" s="23"/>
      <c r="RLA243" s="26"/>
      <c r="RLE243" s="23"/>
      <c r="RLJ243" s="26"/>
      <c r="RLN243" s="23"/>
      <c r="RLS243" s="26"/>
      <c r="RLW243" s="23"/>
      <c r="RMB243" s="26"/>
      <c r="RMF243" s="23"/>
      <c r="RMK243" s="26"/>
      <c r="RMO243" s="23"/>
      <c r="RMT243" s="26"/>
      <c r="RMX243" s="23"/>
      <c r="RNC243" s="26"/>
      <c r="RNG243" s="23"/>
      <c r="RNL243" s="26"/>
      <c r="RNP243" s="23"/>
      <c r="RNU243" s="26"/>
      <c r="RNY243" s="23"/>
      <c r="ROD243" s="26"/>
      <c r="ROH243" s="23"/>
      <c r="ROM243" s="26"/>
      <c r="ROQ243" s="23"/>
      <c r="ROV243" s="26"/>
      <c r="ROZ243" s="23"/>
      <c r="RPE243" s="26"/>
      <c r="RPI243" s="23"/>
      <c r="RPN243" s="26"/>
      <c r="RPR243" s="23"/>
      <c r="RPW243" s="26"/>
      <c r="RQA243" s="23"/>
      <c r="RQF243" s="26"/>
      <c r="RQJ243" s="23"/>
      <c r="RQO243" s="26"/>
      <c r="RQS243" s="23"/>
      <c r="RQX243" s="26"/>
      <c r="RRB243" s="23"/>
      <c r="RRG243" s="26"/>
      <c r="RRK243" s="23"/>
      <c r="RRP243" s="26"/>
      <c r="RRT243" s="23"/>
      <c r="RRY243" s="26"/>
      <c r="RSC243" s="23"/>
      <c r="RSH243" s="26"/>
      <c r="RSL243" s="23"/>
      <c r="RSQ243" s="26"/>
      <c r="RSU243" s="23"/>
      <c r="RSZ243" s="26"/>
      <c r="RTD243" s="23"/>
      <c r="RTI243" s="26"/>
      <c r="RTM243" s="23"/>
      <c r="RTR243" s="26"/>
      <c r="RTV243" s="23"/>
      <c r="RUA243" s="26"/>
      <c r="RUE243" s="23"/>
      <c r="RUJ243" s="26"/>
      <c r="RUN243" s="23"/>
      <c r="RUS243" s="26"/>
      <c r="RUW243" s="23"/>
      <c r="RVB243" s="26"/>
      <c r="RVF243" s="23"/>
      <c r="RVK243" s="26"/>
      <c r="RVO243" s="23"/>
      <c r="RVT243" s="26"/>
      <c r="RVX243" s="23"/>
      <c r="RWC243" s="26"/>
      <c r="RWG243" s="23"/>
      <c r="RWL243" s="26"/>
      <c r="RWP243" s="23"/>
      <c r="RWU243" s="26"/>
      <c r="RWY243" s="23"/>
      <c r="RXD243" s="26"/>
      <c r="RXH243" s="23"/>
      <c r="RXM243" s="26"/>
      <c r="RXQ243" s="23"/>
      <c r="RXV243" s="26"/>
      <c r="RXZ243" s="23"/>
      <c r="RYE243" s="26"/>
      <c r="RYI243" s="23"/>
      <c r="RYN243" s="26"/>
      <c r="RYR243" s="23"/>
      <c r="RYW243" s="26"/>
      <c r="RZA243" s="23"/>
      <c r="RZF243" s="26"/>
      <c r="RZJ243" s="23"/>
      <c r="RZO243" s="26"/>
      <c r="RZS243" s="23"/>
      <c r="RZX243" s="26"/>
      <c r="SAB243" s="23"/>
      <c r="SAG243" s="26"/>
      <c r="SAK243" s="23"/>
      <c r="SAP243" s="26"/>
      <c r="SAT243" s="23"/>
      <c r="SAY243" s="26"/>
      <c r="SBC243" s="23"/>
      <c r="SBH243" s="26"/>
      <c r="SBL243" s="23"/>
      <c r="SBQ243" s="26"/>
      <c r="SBU243" s="23"/>
      <c r="SBZ243" s="26"/>
      <c r="SCD243" s="23"/>
      <c r="SCI243" s="26"/>
      <c r="SCM243" s="23"/>
      <c r="SCR243" s="26"/>
      <c r="SCV243" s="23"/>
      <c r="SDA243" s="26"/>
      <c r="SDE243" s="23"/>
      <c r="SDJ243" s="26"/>
      <c r="SDN243" s="23"/>
      <c r="SDS243" s="26"/>
      <c r="SDW243" s="23"/>
      <c r="SEB243" s="26"/>
      <c r="SEF243" s="23"/>
      <c r="SEK243" s="26"/>
      <c r="SEO243" s="23"/>
      <c r="SET243" s="26"/>
      <c r="SEX243" s="23"/>
      <c r="SFC243" s="26"/>
      <c r="SFG243" s="23"/>
      <c r="SFL243" s="26"/>
      <c r="SFP243" s="23"/>
      <c r="SFU243" s="26"/>
      <c r="SFY243" s="23"/>
      <c r="SGD243" s="26"/>
      <c r="SGH243" s="23"/>
      <c r="SGM243" s="26"/>
      <c r="SGQ243" s="23"/>
      <c r="SGV243" s="26"/>
      <c r="SGZ243" s="23"/>
      <c r="SHE243" s="26"/>
      <c r="SHI243" s="23"/>
      <c r="SHN243" s="26"/>
      <c r="SHR243" s="23"/>
      <c r="SHW243" s="26"/>
      <c r="SIA243" s="23"/>
      <c r="SIF243" s="26"/>
      <c r="SIJ243" s="23"/>
      <c r="SIO243" s="26"/>
      <c r="SIS243" s="23"/>
      <c r="SIX243" s="26"/>
      <c r="SJB243" s="23"/>
      <c r="SJG243" s="26"/>
      <c r="SJK243" s="23"/>
      <c r="SJP243" s="26"/>
      <c r="SJT243" s="23"/>
      <c r="SJY243" s="26"/>
      <c r="SKC243" s="23"/>
      <c r="SKH243" s="26"/>
      <c r="SKL243" s="23"/>
      <c r="SKQ243" s="26"/>
      <c r="SKU243" s="23"/>
      <c r="SKZ243" s="26"/>
      <c r="SLD243" s="23"/>
      <c r="SLI243" s="26"/>
      <c r="SLM243" s="23"/>
      <c r="SLR243" s="26"/>
      <c r="SLV243" s="23"/>
      <c r="SMA243" s="26"/>
      <c r="SME243" s="23"/>
      <c r="SMJ243" s="26"/>
      <c r="SMN243" s="23"/>
      <c r="SMS243" s="26"/>
      <c r="SMW243" s="23"/>
      <c r="SNB243" s="26"/>
      <c r="SNF243" s="23"/>
      <c r="SNK243" s="26"/>
      <c r="SNO243" s="23"/>
      <c r="SNT243" s="26"/>
      <c r="SNX243" s="23"/>
      <c r="SOC243" s="26"/>
      <c r="SOG243" s="23"/>
      <c r="SOL243" s="26"/>
      <c r="SOP243" s="23"/>
      <c r="SOU243" s="26"/>
      <c r="SOY243" s="23"/>
      <c r="SPD243" s="26"/>
      <c r="SPH243" s="23"/>
      <c r="SPM243" s="26"/>
      <c r="SPQ243" s="23"/>
      <c r="SPV243" s="26"/>
      <c r="SPZ243" s="23"/>
      <c r="SQE243" s="26"/>
      <c r="SQI243" s="23"/>
      <c r="SQN243" s="26"/>
      <c r="SQR243" s="23"/>
      <c r="SQW243" s="26"/>
      <c r="SRA243" s="23"/>
      <c r="SRF243" s="26"/>
      <c r="SRJ243" s="23"/>
      <c r="SRO243" s="26"/>
      <c r="SRS243" s="23"/>
      <c r="SRX243" s="26"/>
      <c r="SSB243" s="23"/>
      <c r="SSG243" s="26"/>
      <c r="SSK243" s="23"/>
      <c r="SSP243" s="26"/>
      <c r="SST243" s="23"/>
      <c r="SSY243" s="26"/>
      <c r="STC243" s="23"/>
      <c r="STH243" s="26"/>
      <c r="STL243" s="23"/>
      <c r="STQ243" s="26"/>
      <c r="STU243" s="23"/>
      <c r="STZ243" s="26"/>
      <c r="SUD243" s="23"/>
      <c r="SUI243" s="26"/>
      <c r="SUM243" s="23"/>
      <c r="SUR243" s="26"/>
      <c r="SUV243" s="23"/>
      <c r="SVA243" s="26"/>
      <c r="SVE243" s="23"/>
      <c r="SVJ243" s="26"/>
      <c r="SVN243" s="23"/>
      <c r="SVS243" s="26"/>
      <c r="SVW243" s="23"/>
      <c r="SWB243" s="26"/>
      <c r="SWF243" s="23"/>
      <c r="SWK243" s="26"/>
      <c r="SWO243" s="23"/>
      <c r="SWT243" s="26"/>
      <c r="SWX243" s="23"/>
      <c r="SXC243" s="26"/>
      <c r="SXG243" s="23"/>
      <c r="SXL243" s="26"/>
      <c r="SXP243" s="23"/>
      <c r="SXU243" s="26"/>
      <c r="SXY243" s="23"/>
      <c r="SYD243" s="26"/>
      <c r="SYH243" s="23"/>
      <c r="SYM243" s="26"/>
      <c r="SYQ243" s="23"/>
      <c r="SYV243" s="26"/>
      <c r="SYZ243" s="23"/>
      <c r="SZE243" s="26"/>
      <c r="SZI243" s="23"/>
      <c r="SZN243" s="26"/>
      <c r="SZR243" s="23"/>
      <c r="SZW243" s="26"/>
      <c r="TAA243" s="23"/>
      <c r="TAF243" s="26"/>
      <c r="TAJ243" s="23"/>
      <c r="TAO243" s="26"/>
      <c r="TAS243" s="23"/>
      <c r="TAX243" s="26"/>
      <c r="TBB243" s="23"/>
      <c r="TBG243" s="26"/>
      <c r="TBK243" s="23"/>
      <c r="TBP243" s="26"/>
      <c r="TBT243" s="23"/>
      <c r="TBY243" s="26"/>
      <c r="TCC243" s="23"/>
      <c r="TCH243" s="26"/>
      <c r="TCL243" s="23"/>
      <c r="TCQ243" s="26"/>
      <c r="TCU243" s="23"/>
      <c r="TCZ243" s="26"/>
      <c r="TDD243" s="23"/>
      <c r="TDI243" s="26"/>
      <c r="TDM243" s="23"/>
      <c r="TDR243" s="26"/>
      <c r="TDV243" s="23"/>
      <c r="TEA243" s="26"/>
      <c r="TEE243" s="23"/>
      <c r="TEJ243" s="26"/>
      <c r="TEN243" s="23"/>
      <c r="TES243" s="26"/>
      <c r="TEW243" s="23"/>
      <c r="TFB243" s="26"/>
      <c r="TFF243" s="23"/>
      <c r="TFK243" s="26"/>
      <c r="TFO243" s="23"/>
      <c r="TFT243" s="26"/>
      <c r="TFX243" s="23"/>
      <c r="TGC243" s="26"/>
      <c r="TGG243" s="23"/>
      <c r="TGL243" s="26"/>
      <c r="TGP243" s="23"/>
      <c r="TGU243" s="26"/>
      <c r="TGY243" s="23"/>
      <c r="THD243" s="26"/>
      <c r="THH243" s="23"/>
      <c r="THM243" s="26"/>
      <c r="THQ243" s="23"/>
      <c r="THV243" s="26"/>
      <c r="THZ243" s="23"/>
      <c r="TIE243" s="26"/>
      <c r="TII243" s="23"/>
      <c r="TIN243" s="26"/>
      <c r="TIR243" s="23"/>
      <c r="TIW243" s="26"/>
      <c r="TJA243" s="23"/>
      <c r="TJF243" s="26"/>
      <c r="TJJ243" s="23"/>
      <c r="TJO243" s="26"/>
      <c r="TJS243" s="23"/>
      <c r="TJX243" s="26"/>
      <c r="TKB243" s="23"/>
      <c r="TKG243" s="26"/>
      <c r="TKK243" s="23"/>
      <c r="TKP243" s="26"/>
      <c r="TKT243" s="23"/>
      <c r="TKY243" s="26"/>
      <c r="TLC243" s="23"/>
      <c r="TLH243" s="26"/>
      <c r="TLL243" s="23"/>
      <c r="TLQ243" s="26"/>
      <c r="TLU243" s="23"/>
      <c r="TLZ243" s="26"/>
      <c r="TMD243" s="23"/>
      <c r="TMI243" s="26"/>
      <c r="TMM243" s="23"/>
      <c r="TMR243" s="26"/>
      <c r="TMV243" s="23"/>
      <c r="TNA243" s="26"/>
      <c r="TNE243" s="23"/>
      <c r="TNJ243" s="26"/>
      <c r="TNN243" s="23"/>
      <c r="TNS243" s="26"/>
      <c r="TNW243" s="23"/>
      <c r="TOB243" s="26"/>
      <c r="TOF243" s="23"/>
      <c r="TOK243" s="26"/>
      <c r="TOO243" s="23"/>
      <c r="TOT243" s="26"/>
      <c r="TOX243" s="23"/>
      <c r="TPC243" s="26"/>
      <c r="TPG243" s="23"/>
      <c r="TPL243" s="26"/>
      <c r="TPP243" s="23"/>
      <c r="TPU243" s="26"/>
      <c r="TPY243" s="23"/>
      <c r="TQD243" s="26"/>
      <c r="TQH243" s="23"/>
      <c r="TQM243" s="26"/>
      <c r="TQQ243" s="23"/>
      <c r="TQV243" s="26"/>
      <c r="TQZ243" s="23"/>
      <c r="TRE243" s="26"/>
      <c r="TRI243" s="23"/>
      <c r="TRN243" s="26"/>
      <c r="TRR243" s="23"/>
      <c r="TRW243" s="26"/>
      <c r="TSA243" s="23"/>
      <c r="TSF243" s="26"/>
      <c r="TSJ243" s="23"/>
      <c r="TSO243" s="26"/>
      <c r="TSS243" s="23"/>
      <c r="TSX243" s="26"/>
      <c r="TTB243" s="23"/>
      <c r="TTG243" s="26"/>
      <c r="TTK243" s="23"/>
      <c r="TTP243" s="26"/>
      <c r="TTT243" s="23"/>
      <c r="TTY243" s="26"/>
      <c r="TUC243" s="23"/>
      <c r="TUH243" s="26"/>
      <c r="TUL243" s="23"/>
      <c r="TUQ243" s="26"/>
      <c r="TUU243" s="23"/>
      <c r="TUZ243" s="26"/>
      <c r="TVD243" s="23"/>
      <c r="TVI243" s="26"/>
      <c r="TVM243" s="23"/>
      <c r="TVR243" s="26"/>
      <c r="TVV243" s="23"/>
      <c r="TWA243" s="26"/>
      <c r="TWE243" s="23"/>
      <c r="TWJ243" s="26"/>
      <c r="TWN243" s="23"/>
      <c r="TWS243" s="26"/>
      <c r="TWW243" s="23"/>
      <c r="TXB243" s="26"/>
      <c r="TXF243" s="23"/>
      <c r="TXK243" s="26"/>
      <c r="TXO243" s="23"/>
      <c r="TXT243" s="26"/>
      <c r="TXX243" s="23"/>
      <c r="TYC243" s="26"/>
      <c r="TYG243" s="23"/>
      <c r="TYL243" s="26"/>
      <c r="TYP243" s="23"/>
      <c r="TYU243" s="26"/>
      <c r="TYY243" s="23"/>
      <c r="TZD243" s="26"/>
      <c r="TZH243" s="23"/>
      <c r="TZM243" s="26"/>
      <c r="TZQ243" s="23"/>
      <c r="TZV243" s="26"/>
      <c r="TZZ243" s="23"/>
      <c r="UAE243" s="26"/>
      <c r="UAI243" s="23"/>
      <c r="UAN243" s="26"/>
      <c r="UAR243" s="23"/>
      <c r="UAW243" s="26"/>
      <c r="UBA243" s="23"/>
      <c r="UBF243" s="26"/>
      <c r="UBJ243" s="23"/>
      <c r="UBO243" s="26"/>
      <c r="UBS243" s="23"/>
      <c r="UBX243" s="26"/>
      <c r="UCB243" s="23"/>
      <c r="UCG243" s="26"/>
      <c r="UCK243" s="23"/>
      <c r="UCP243" s="26"/>
      <c r="UCT243" s="23"/>
      <c r="UCY243" s="26"/>
      <c r="UDC243" s="23"/>
      <c r="UDH243" s="26"/>
      <c r="UDL243" s="23"/>
      <c r="UDQ243" s="26"/>
      <c r="UDU243" s="23"/>
      <c r="UDZ243" s="26"/>
      <c r="UED243" s="23"/>
      <c r="UEI243" s="26"/>
      <c r="UEM243" s="23"/>
      <c r="UER243" s="26"/>
      <c r="UEV243" s="23"/>
      <c r="UFA243" s="26"/>
      <c r="UFE243" s="23"/>
      <c r="UFJ243" s="26"/>
      <c r="UFN243" s="23"/>
      <c r="UFS243" s="26"/>
      <c r="UFW243" s="23"/>
      <c r="UGB243" s="26"/>
      <c r="UGF243" s="23"/>
      <c r="UGK243" s="26"/>
      <c r="UGO243" s="23"/>
      <c r="UGT243" s="26"/>
      <c r="UGX243" s="23"/>
      <c r="UHC243" s="26"/>
      <c r="UHG243" s="23"/>
      <c r="UHL243" s="26"/>
      <c r="UHP243" s="23"/>
      <c r="UHU243" s="26"/>
      <c r="UHY243" s="23"/>
      <c r="UID243" s="26"/>
      <c r="UIH243" s="23"/>
      <c r="UIM243" s="26"/>
      <c r="UIQ243" s="23"/>
      <c r="UIV243" s="26"/>
      <c r="UIZ243" s="23"/>
      <c r="UJE243" s="26"/>
      <c r="UJI243" s="23"/>
      <c r="UJN243" s="26"/>
      <c r="UJR243" s="23"/>
      <c r="UJW243" s="26"/>
      <c r="UKA243" s="23"/>
      <c r="UKF243" s="26"/>
      <c r="UKJ243" s="23"/>
      <c r="UKO243" s="26"/>
      <c r="UKS243" s="23"/>
      <c r="UKX243" s="26"/>
      <c r="ULB243" s="23"/>
      <c r="ULG243" s="26"/>
      <c r="ULK243" s="23"/>
      <c r="ULP243" s="26"/>
      <c r="ULT243" s="23"/>
      <c r="ULY243" s="26"/>
      <c r="UMC243" s="23"/>
      <c r="UMH243" s="26"/>
      <c r="UML243" s="23"/>
      <c r="UMQ243" s="26"/>
      <c r="UMU243" s="23"/>
      <c r="UMZ243" s="26"/>
      <c r="UND243" s="23"/>
      <c r="UNI243" s="26"/>
      <c r="UNM243" s="23"/>
      <c r="UNR243" s="26"/>
      <c r="UNV243" s="23"/>
      <c r="UOA243" s="26"/>
      <c r="UOE243" s="23"/>
      <c r="UOJ243" s="26"/>
      <c r="UON243" s="23"/>
      <c r="UOS243" s="26"/>
      <c r="UOW243" s="23"/>
      <c r="UPB243" s="26"/>
      <c r="UPF243" s="23"/>
      <c r="UPK243" s="26"/>
      <c r="UPO243" s="23"/>
      <c r="UPT243" s="26"/>
      <c r="UPX243" s="23"/>
      <c r="UQC243" s="26"/>
      <c r="UQG243" s="23"/>
      <c r="UQL243" s="26"/>
      <c r="UQP243" s="23"/>
      <c r="UQU243" s="26"/>
      <c r="UQY243" s="23"/>
      <c r="URD243" s="26"/>
      <c r="URH243" s="23"/>
      <c r="URM243" s="26"/>
      <c r="URQ243" s="23"/>
      <c r="URV243" s="26"/>
      <c r="URZ243" s="23"/>
      <c r="USE243" s="26"/>
      <c r="USI243" s="23"/>
      <c r="USN243" s="26"/>
      <c r="USR243" s="23"/>
      <c r="USW243" s="26"/>
      <c r="UTA243" s="23"/>
      <c r="UTF243" s="26"/>
      <c r="UTJ243" s="23"/>
      <c r="UTO243" s="26"/>
      <c r="UTS243" s="23"/>
      <c r="UTX243" s="26"/>
      <c r="UUB243" s="23"/>
      <c r="UUG243" s="26"/>
      <c r="UUK243" s="23"/>
      <c r="UUP243" s="26"/>
      <c r="UUT243" s="23"/>
      <c r="UUY243" s="26"/>
      <c r="UVC243" s="23"/>
      <c r="UVH243" s="26"/>
      <c r="UVL243" s="23"/>
      <c r="UVQ243" s="26"/>
      <c r="UVU243" s="23"/>
      <c r="UVZ243" s="26"/>
      <c r="UWD243" s="23"/>
      <c r="UWI243" s="26"/>
      <c r="UWM243" s="23"/>
      <c r="UWR243" s="26"/>
      <c r="UWV243" s="23"/>
      <c r="UXA243" s="26"/>
      <c r="UXE243" s="23"/>
      <c r="UXJ243" s="26"/>
      <c r="UXN243" s="23"/>
      <c r="UXS243" s="26"/>
      <c r="UXW243" s="23"/>
      <c r="UYB243" s="26"/>
      <c r="UYF243" s="23"/>
      <c r="UYK243" s="26"/>
      <c r="UYO243" s="23"/>
      <c r="UYT243" s="26"/>
      <c r="UYX243" s="23"/>
      <c r="UZC243" s="26"/>
      <c r="UZG243" s="23"/>
      <c r="UZL243" s="26"/>
      <c r="UZP243" s="23"/>
      <c r="UZU243" s="26"/>
      <c r="UZY243" s="23"/>
      <c r="VAD243" s="26"/>
      <c r="VAH243" s="23"/>
      <c r="VAM243" s="26"/>
      <c r="VAQ243" s="23"/>
      <c r="VAV243" s="26"/>
      <c r="VAZ243" s="23"/>
      <c r="VBE243" s="26"/>
      <c r="VBI243" s="23"/>
      <c r="VBN243" s="26"/>
      <c r="VBR243" s="23"/>
      <c r="VBW243" s="26"/>
      <c r="VCA243" s="23"/>
      <c r="VCF243" s="26"/>
      <c r="VCJ243" s="23"/>
      <c r="VCO243" s="26"/>
      <c r="VCS243" s="23"/>
      <c r="VCX243" s="26"/>
      <c r="VDB243" s="23"/>
      <c r="VDG243" s="26"/>
      <c r="VDK243" s="23"/>
      <c r="VDP243" s="26"/>
      <c r="VDT243" s="23"/>
      <c r="VDY243" s="26"/>
      <c r="VEC243" s="23"/>
      <c r="VEH243" s="26"/>
      <c r="VEL243" s="23"/>
      <c r="VEQ243" s="26"/>
      <c r="VEU243" s="23"/>
      <c r="VEZ243" s="26"/>
      <c r="VFD243" s="23"/>
      <c r="VFI243" s="26"/>
      <c r="VFM243" s="23"/>
      <c r="VFR243" s="26"/>
      <c r="VFV243" s="23"/>
      <c r="VGA243" s="26"/>
      <c r="VGE243" s="23"/>
      <c r="VGJ243" s="26"/>
      <c r="VGN243" s="23"/>
      <c r="VGS243" s="26"/>
      <c r="VGW243" s="23"/>
      <c r="VHB243" s="26"/>
      <c r="VHF243" s="23"/>
      <c r="VHK243" s="26"/>
      <c r="VHO243" s="23"/>
      <c r="VHT243" s="26"/>
      <c r="VHX243" s="23"/>
      <c r="VIC243" s="26"/>
      <c r="VIG243" s="23"/>
      <c r="VIL243" s="26"/>
      <c r="VIP243" s="23"/>
      <c r="VIU243" s="26"/>
      <c r="VIY243" s="23"/>
      <c r="VJD243" s="26"/>
      <c r="VJH243" s="23"/>
      <c r="VJM243" s="26"/>
      <c r="VJQ243" s="23"/>
      <c r="VJV243" s="26"/>
      <c r="VJZ243" s="23"/>
      <c r="VKE243" s="26"/>
      <c r="VKI243" s="23"/>
      <c r="VKN243" s="26"/>
      <c r="VKR243" s="23"/>
      <c r="VKW243" s="26"/>
      <c r="VLA243" s="23"/>
      <c r="VLF243" s="26"/>
      <c r="VLJ243" s="23"/>
      <c r="VLO243" s="26"/>
      <c r="VLS243" s="23"/>
      <c r="VLX243" s="26"/>
      <c r="VMB243" s="23"/>
      <c r="VMG243" s="26"/>
      <c r="VMK243" s="23"/>
      <c r="VMP243" s="26"/>
      <c r="VMT243" s="23"/>
      <c r="VMY243" s="26"/>
      <c r="VNC243" s="23"/>
      <c r="VNH243" s="26"/>
      <c r="VNL243" s="23"/>
      <c r="VNQ243" s="26"/>
      <c r="VNU243" s="23"/>
      <c r="VNZ243" s="26"/>
      <c r="VOD243" s="23"/>
      <c r="VOI243" s="26"/>
      <c r="VOM243" s="23"/>
      <c r="VOR243" s="26"/>
      <c r="VOV243" s="23"/>
      <c r="VPA243" s="26"/>
      <c r="VPE243" s="23"/>
      <c r="VPJ243" s="26"/>
      <c r="VPN243" s="23"/>
      <c r="VPS243" s="26"/>
      <c r="VPW243" s="23"/>
      <c r="VQB243" s="26"/>
      <c r="VQF243" s="23"/>
      <c r="VQK243" s="26"/>
      <c r="VQO243" s="23"/>
      <c r="VQT243" s="26"/>
      <c r="VQX243" s="23"/>
      <c r="VRC243" s="26"/>
      <c r="VRG243" s="23"/>
      <c r="VRL243" s="26"/>
      <c r="VRP243" s="23"/>
      <c r="VRU243" s="26"/>
      <c r="VRY243" s="23"/>
      <c r="VSD243" s="26"/>
      <c r="VSH243" s="23"/>
      <c r="VSM243" s="26"/>
      <c r="VSQ243" s="23"/>
      <c r="VSV243" s="26"/>
      <c r="VSZ243" s="23"/>
      <c r="VTE243" s="26"/>
      <c r="VTI243" s="23"/>
      <c r="VTN243" s="26"/>
      <c r="VTR243" s="23"/>
      <c r="VTW243" s="26"/>
      <c r="VUA243" s="23"/>
      <c r="VUF243" s="26"/>
      <c r="VUJ243" s="23"/>
      <c r="VUO243" s="26"/>
      <c r="VUS243" s="23"/>
      <c r="VUX243" s="26"/>
      <c r="VVB243" s="23"/>
      <c r="VVG243" s="26"/>
      <c r="VVK243" s="23"/>
      <c r="VVP243" s="26"/>
      <c r="VVT243" s="23"/>
      <c r="VVY243" s="26"/>
      <c r="VWC243" s="23"/>
      <c r="VWH243" s="26"/>
      <c r="VWL243" s="23"/>
      <c r="VWQ243" s="26"/>
      <c r="VWU243" s="23"/>
      <c r="VWZ243" s="26"/>
      <c r="VXD243" s="23"/>
      <c r="VXI243" s="26"/>
      <c r="VXM243" s="23"/>
      <c r="VXR243" s="26"/>
      <c r="VXV243" s="23"/>
      <c r="VYA243" s="26"/>
      <c r="VYE243" s="23"/>
      <c r="VYJ243" s="26"/>
      <c r="VYN243" s="23"/>
      <c r="VYS243" s="26"/>
      <c r="VYW243" s="23"/>
      <c r="VZB243" s="26"/>
      <c r="VZF243" s="23"/>
      <c r="VZK243" s="26"/>
      <c r="VZO243" s="23"/>
      <c r="VZT243" s="26"/>
      <c r="VZX243" s="23"/>
      <c r="WAC243" s="26"/>
      <c r="WAG243" s="23"/>
      <c r="WAL243" s="26"/>
      <c r="WAP243" s="23"/>
      <c r="WAU243" s="26"/>
      <c r="WAY243" s="23"/>
      <c r="WBD243" s="26"/>
      <c r="WBH243" s="23"/>
      <c r="WBM243" s="26"/>
      <c r="WBQ243" s="23"/>
      <c r="WBV243" s="26"/>
      <c r="WBZ243" s="23"/>
      <c r="WCE243" s="26"/>
      <c r="WCI243" s="23"/>
      <c r="WCN243" s="26"/>
      <c r="WCR243" s="23"/>
      <c r="WCW243" s="26"/>
      <c r="WDA243" s="23"/>
      <c r="WDF243" s="26"/>
      <c r="WDJ243" s="23"/>
      <c r="WDO243" s="26"/>
      <c r="WDS243" s="23"/>
      <c r="WDX243" s="26"/>
      <c r="WEB243" s="23"/>
      <c r="WEG243" s="26"/>
      <c r="WEK243" s="23"/>
      <c r="WEP243" s="26"/>
      <c r="WET243" s="23"/>
      <c r="WEY243" s="26"/>
      <c r="WFC243" s="23"/>
      <c r="WFH243" s="26"/>
      <c r="WFL243" s="23"/>
      <c r="WFQ243" s="26"/>
      <c r="WFU243" s="23"/>
      <c r="WFZ243" s="26"/>
      <c r="WGD243" s="23"/>
      <c r="WGI243" s="26"/>
      <c r="WGM243" s="23"/>
      <c r="WGR243" s="26"/>
      <c r="WGV243" s="23"/>
      <c r="WHA243" s="26"/>
      <c r="WHE243" s="23"/>
      <c r="WHJ243" s="26"/>
      <c r="WHN243" s="23"/>
      <c r="WHS243" s="26"/>
      <c r="WHW243" s="23"/>
      <c r="WIB243" s="26"/>
      <c r="WIF243" s="23"/>
      <c r="WIK243" s="26"/>
      <c r="WIO243" s="23"/>
      <c r="WIT243" s="26"/>
      <c r="WIX243" s="23"/>
      <c r="WJC243" s="26"/>
      <c r="WJG243" s="23"/>
      <c r="WJL243" s="26"/>
      <c r="WJP243" s="23"/>
      <c r="WJU243" s="26"/>
      <c r="WJY243" s="23"/>
      <c r="WKD243" s="26"/>
      <c r="WKH243" s="23"/>
      <c r="WKM243" s="26"/>
      <c r="WKQ243" s="23"/>
      <c r="WKV243" s="26"/>
      <c r="WKZ243" s="23"/>
      <c r="WLE243" s="26"/>
      <c r="WLI243" s="23"/>
      <c r="WLN243" s="26"/>
      <c r="WLR243" s="23"/>
      <c r="WLW243" s="26"/>
      <c r="WMA243" s="23"/>
      <c r="WMF243" s="26"/>
      <c r="WMJ243" s="23"/>
      <c r="WMO243" s="26"/>
      <c r="WMS243" s="23"/>
      <c r="WMX243" s="26"/>
      <c r="WNB243" s="23"/>
      <c r="WNG243" s="26"/>
      <c r="WNK243" s="23"/>
      <c r="WNP243" s="26"/>
      <c r="WNT243" s="23"/>
      <c r="WNY243" s="26"/>
      <c r="WOC243" s="23"/>
      <c r="WOH243" s="26"/>
      <c r="WOL243" s="23"/>
      <c r="WOQ243" s="26"/>
      <c r="WOU243" s="23"/>
      <c r="WOZ243" s="26"/>
      <c r="WPD243" s="23"/>
      <c r="WPI243" s="26"/>
      <c r="WPM243" s="23"/>
      <c r="WPR243" s="26"/>
      <c r="WPV243" s="23"/>
      <c r="WQA243" s="26"/>
      <c r="WQE243" s="23"/>
      <c r="WQJ243" s="26"/>
      <c r="WQN243" s="23"/>
      <c r="WQS243" s="26"/>
      <c r="WQW243" s="23"/>
      <c r="WRB243" s="26"/>
      <c r="WRF243" s="23"/>
      <c r="WRK243" s="26"/>
      <c r="WRO243" s="23"/>
      <c r="WRT243" s="26"/>
      <c r="WRX243" s="23"/>
      <c r="WSC243" s="26"/>
      <c r="WSG243" s="23"/>
      <c r="WSL243" s="26"/>
      <c r="WSP243" s="23"/>
      <c r="WSU243" s="26"/>
      <c r="WSY243" s="23"/>
      <c r="WTD243" s="26"/>
      <c r="WTH243" s="23"/>
      <c r="WTM243" s="26"/>
      <c r="WTQ243" s="23"/>
      <c r="WTV243" s="26"/>
      <c r="WTZ243" s="23"/>
      <c r="WUE243" s="26"/>
      <c r="WUI243" s="23"/>
      <c r="WUN243" s="26"/>
      <c r="WUR243" s="23"/>
      <c r="WUW243" s="26"/>
      <c r="WVA243" s="23"/>
      <c r="WVF243" s="26"/>
      <c r="WVJ243" s="23"/>
      <c r="WVO243" s="26"/>
      <c r="WVS243" s="23"/>
      <c r="WVX243" s="26"/>
      <c r="WWB243" s="23"/>
      <c r="WWG243" s="26"/>
      <c r="WWK243" s="23"/>
      <c r="WWP243" s="26"/>
      <c r="WWT243" s="23"/>
      <c r="WWY243" s="26"/>
      <c r="WXC243" s="23"/>
      <c r="WXH243" s="26"/>
      <c r="WXL243" s="23"/>
      <c r="WXQ243" s="26"/>
      <c r="WXU243" s="23"/>
      <c r="WXZ243" s="26"/>
      <c r="WYD243" s="23"/>
      <c r="WYI243" s="26"/>
      <c r="WYM243" s="23"/>
      <c r="WYR243" s="26"/>
      <c r="WYV243" s="23"/>
      <c r="WZA243" s="26"/>
      <c r="WZE243" s="23"/>
      <c r="WZJ243" s="26"/>
      <c r="WZN243" s="23"/>
      <c r="WZS243" s="26"/>
      <c r="WZW243" s="23"/>
      <c r="XAB243" s="26"/>
      <c r="XAF243" s="23"/>
      <c r="XAK243" s="26"/>
      <c r="XAO243" s="23"/>
      <c r="XAT243" s="26"/>
      <c r="XAX243" s="23"/>
      <c r="XBC243" s="26"/>
      <c r="XBG243" s="23"/>
      <c r="XBL243" s="26"/>
      <c r="XBP243" s="23"/>
      <c r="XBU243" s="26"/>
      <c r="XBY243" s="23"/>
      <c r="XCD243" s="26"/>
      <c r="XCH243" s="23"/>
      <c r="XCM243" s="26"/>
      <c r="XCQ243" s="23"/>
      <c r="XCV243" s="26"/>
      <c r="XCZ243" s="23"/>
      <c r="XDE243" s="26"/>
      <c r="XDI243" s="23"/>
      <c r="XDN243" s="26"/>
      <c r="XDR243" s="23"/>
      <c r="XDW243" s="26"/>
      <c r="XEA243" s="23"/>
      <c r="XEF243" s="26"/>
      <c r="XEJ243" s="23"/>
      <c r="XEO243" s="26"/>
      <c r="XES243" s="23"/>
      <c r="XEX243" s="26"/>
      <c r="XFB243" s="23"/>
    </row>
    <row r="244" spans="2:1024 1028:2045 2050:3071 3076:4093 4097:5119 5123:6140 6145:7166 7171:8192 8197:9214 9218:10240 10244:11261 11266:12287 12292:13309 13313:14335 14339:15356 15361:16382" x14ac:dyDescent="0.3">
      <c r="B244" s="23"/>
      <c r="K244" s="23"/>
      <c r="P244" s="26"/>
      <c r="T244" s="23"/>
      <c r="Y244" s="26"/>
      <c r="AC244" s="23"/>
      <c r="AH244" s="26"/>
      <c r="AL244" s="23"/>
      <c r="AQ244" s="26"/>
      <c r="AU244" s="23"/>
      <c r="AZ244" s="26"/>
      <c r="BD244" s="23"/>
      <c r="BI244" s="26"/>
      <c r="BM244" s="23"/>
      <c r="BR244" s="26"/>
      <c r="BV244" s="23"/>
      <c r="CA244" s="26"/>
      <c r="CE244" s="23"/>
      <c r="CJ244" s="26"/>
      <c r="CN244" s="23"/>
      <c r="CS244" s="26"/>
      <c r="CW244" s="23"/>
      <c r="DB244" s="26"/>
      <c r="DF244" s="23"/>
      <c r="DK244" s="26"/>
      <c r="DO244" s="23"/>
      <c r="DT244" s="26"/>
      <c r="DX244" s="23"/>
      <c r="EC244" s="26"/>
      <c r="EG244" s="23"/>
      <c r="EL244" s="26"/>
      <c r="EP244" s="23"/>
      <c r="EU244" s="26"/>
      <c r="EY244" s="23"/>
      <c r="FD244" s="26"/>
      <c r="FH244" s="23"/>
      <c r="FM244" s="26"/>
      <c r="FQ244" s="23"/>
      <c r="FV244" s="26"/>
      <c r="FZ244" s="23"/>
      <c r="GE244" s="26"/>
      <c r="GI244" s="23"/>
      <c r="GN244" s="26"/>
      <c r="GR244" s="23"/>
      <c r="GW244" s="26"/>
      <c r="HA244" s="23"/>
      <c r="HF244" s="26"/>
      <c r="HJ244" s="23"/>
      <c r="HO244" s="26"/>
      <c r="HS244" s="23"/>
      <c r="HX244" s="26"/>
      <c r="IB244" s="23"/>
      <c r="IG244" s="26"/>
      <c r="IK244" s="23"/>
      <c r="IP244" s="26"/>
      <c r="IT244" s="23"/>
      <c r="IY244" s="26"/>
      <c r="JC244" s="23"/>
      <c r="JH244" s="26"/>
      <c r="JL244" s="23"/>
      <c r="JQ244" s="26"/>
      <c r="JU244" s="23"/>
      <c r="JZ244" s="26"/>
      <c r="KD244" s="23"/>
      <c r="KI244" s="26"/>
      <c r="KM244" s="23"/>
      <c r="KR244" s="26"/>
      <c r="KV244" s="23"/>
      <c r="LA244" s="26"/>
      <c r="LE244" s="23"/>
      <c r="LJ244" s="26"/>
      <c r="LN244" s="23"/>
      <c r="LS244" s="26"/>
      <c r="LW244" s="23"/>
      <c r="MB244" s="26"/>
      <c r="MF244" s="23"/>
      <c r="MK244" s="26"/>
      <c r="MO244" s="23"/>
      <c r="MT244" s="26"/>
      <c r="MX244" s="23"/>
      <c r="NC244" s="26"/>
      <c r="NG244" s="23"/>
      <c r="NL244" s="26"/>
      <c r="NP244" s="23"/>
      <c r="NU244" s="26"/>
      <c r="NY244" s="23"/>
      <c r="OD244" s="26"/>
      <c r="OH244" s="23"/>
      <c r="OM244" s="26"/>
      <c r="OQ244" s="23"/>
      <c r="OV244" s="26"/>
      <c r="OZ244" s="23"/>
      <c r="PE244" s="26"/>
      <c r="PI244" s="23"/>
      <c r="PN244" s="26"/>
      <c r="PR244" s="23"/>
      <c r="PW244" s="26"/>
      <c r="QA244" s="23"/>
      <c r="QF244" s="26"/>
      <c r="QJ244" s="23"/>
      <c r="QO244" s="26"/>
      <c r="QS244" s="23"/>
      <c r="QX244" s="26"/>
      <c r="RB244" s="23"/>
      <c r="RG244" s="26"/>
      <c r="RK244" s="23"/>
      <c r="RP244" s="26"/>
      <c r="RT244" s="23"/>
      <c r="RY244" s="26"/>
      <c r="SC244" s="23"/>
      <c r="SH244" s="26"/>
      <c r="SL244" s="23"/>
      <c r="SQ244" s="26"/>
      <c r="SU244" s="23"/>
      <c r="SZ244" s="26"/>
      <c r="TD244" s="23"/>
      <c r="TI244" s="26"/>
      <c r="TM244" s="23"/>
      <c r="TR244" s="26"/>
      <c r="TV244" s="23"/>
      <c r="UA244" s="26"/>
      <c r="UE244" s="23"/>
      <c r="UJ244" s="26"/>
      <c r="UN244" s="23"/>
      <c r="US244" s="26"/>
      <c r="UW244" s="23"/>
      <c r="VB244" s="26"/>
      <c r="VF244" s="23"/>
      <c r="VK244" s="26"/>
      <c r="VO244" s="23"/>
      <c r="VT244" s="26"/>
      <c r="VX244" s="23"/>
      <c r="WC244" s="26"/>
      <c r="WG244" s="23"/>
      <c r="WL244" s="26"/>
      <c r="WP244" s="23"/>
      <c r="WU244" s="26"/>
      <c r="WY244" s="23"/>
      <c r="XD244" s="26"/>
      <c r="XH244" s="23"/>
      <c r="XM244" s="26"/>
      <c r="XQ244" s="23"/>
      <c r="XV244" s="26"/>
      <c r="XZ244" s="23"/>
      <c r="YE244" s="26"/>
      <c r="YI244" s="23"/>
      <c r="YN244" s="26"/>
      <c r="YR244" s="23"/>
      <c r="YW244" s="26"/>
      <c r="ZA244" s="23"/>
      <c r="ZF244" s="26"/>
      <c r="ZJ244" s="23"/>
      <c r="ZO244" s="26"/>
      <c r="ZS244" s="23"/>
      <c r="ZX244" s="26"/>
      <c r="AAB244" s="23"/>
      <c r="AAG244" s="26"/>
      <c r="AAK244" s="23"/>
      <c r="AAP244" s="26"/>
      <c r="AAT244" s="23"/>
      <c r="AAY244" s="26"/>
      <c r="ABC244" s="23"/>
      <c r="ABH244" s="26"/>
      <c r="ABL244" s="23"/>
      <c r="ABQ244" s="26"/>
      <c r="ABU244" s="23"/>
      <c r="ABZ244" s="26"/>
      <c r="ACD244" s="23"/>
      <c r="ACI244" s="26"/>
      <c r="ACM244" s="23"/>
      <c r="ACR244" s="26"/>
      <c r="ACV244" s="23"/>
      <c r="ADA244" s="26"/>
      <c r="ADE244" s="23"/>
      <c r="ADJ244" s="26"/>
      <c r="ADN244" s="23"/>
      <c r="ADS244" s="26"/>
      <c r="ADW244" s="23"/>
      <c r="AEB244" s="26"/>
      <c r="AEF244" s="23"/>
      <c r="AEK244" s="26"/>
      <c r="AEO244" s="23"/>
      <c r="AET244" s="26"/>
      <c r="AEX244" s="23"/>
      <c r="AFC244" s="26"/>
      <c r="AFG244" s="23"/>
      <c r="AFL244" s="26"/>
      <c r="AFP244" s="23"/>
      <c r="AFU244" s="26"/>
      <c r="AFY244" s="23"/>
      <c r="AGD244" s="26"/>
      <c r="AGH244" s="23"/>
      <c r="AGM244" s="26"/>
      <c r="AGQ244" s="23"/>
      <c r="AGV244" s="26"/>
      <c r="AGZ244" s="23"/>
      <c r="AHE244" s="26"/>
      <c r="AHI244" s="23"/>
      <c r="AHN244" s="26"/>
      <c r="AHR244" s="23"/>
      <c r="AHW244" s="26"/>
      <c r="AIA244" s="23"/>
      <c r="AIF244" s="26"/>
      <c r="AIJ244" s="23"/>
      <c r="AIO244" s="26"/>
      <c r="AIS244" s="23"/>
      <c r="AIX244" s="26"/>
      <c r="AJB244" s="23"/>
      <c r="AJG244" s="26"/>
      <c r="AJK244" s="23"/>
      <c r="AJP244" s="26"/>
      <c r="AJT244" s="23"/>
      <c r="AJY244" s="26"/>
      <c r="AKC244" s="23"/>
      <c r="AKH244" s="26"/>
      <c r="AKL244" s="23"/>
      <c r="AKQ244" s="26"/>
      <c r="AKU244" s="23"/>
      <c r="AKZ244" s="26"/>
      <c r="ALD244" s="23"/>
      <c r="ALI244" s="26"/>
      <c r="ALM244" s="23"/>
      <c r="ALR244" s="26"/>
      <c r="ALV244" s="23"/>
      <c r="AMA244" s="26"/>
      <c r="AME244" s="23"/>
      <c r="AMJ244" s="26"/>
      <c r="AMN244" s="23"/>
      <c r="AMS244" s="26"/>
      <c r="AMW244" s="23"/>
      <c r="ANB244" s="26"/>
      <c r="ANF244" s="23"/>
      <c r="ANK244" s="26"/>
      <c r="ANO244" s="23"/>
      <c r="ANT244" s="26"/>
      <c r="ANX244" s="23"/>
      <c r="AOC244" s="26"/>
      <c r="AOG244" s="23"/>
      <c r="AOL244" s="26"/>
      <c r="AOP244" s="23"/>
      <c r="AOU244" s="26"/>
      <c r="AOY244" s="23"/>
      <c r="APD244" s="26"/>
      <c r="APH244" s="23"/>
      <c r="APM244" s="26"/>
      <c r="APQ244" s="23"/>
      <c r="APV244" s="26"/>
      <c r="APZ244" s="23"/>
      <c r="AQE244" s="26"/>
      <c r="AQI244" s="23"/>
      <c r="AQN244" s="26"/>
      <c r="AQR244" s="23"/>
      <c r="AQW244" s="26"/>
      <c r="ARA244" s="23"/>
      <c r="ARF244" s="26"/>
      <c r="ARJ244" s="23"/>
      <c r="ARO244" s="26"/>
      <c r="ARS244" s="23"/>
      <c r="ARX244" s="26"/>
      <c r="ASB244" s="23"/>
      <c r="ASG244" s="26"/>
      <c r="ASK244" s="23"/>
      <c r="ASP244" s="26"/>
      <c r="AST244" s="23"/>
      <c r="ASY244" s="26"/>
      <c r="ATC244" s="23"/>
      <c r="ATH244" s="26"/>
      <c r="ATL244" s="23"/>
      <c r="ATQ244" s="26"/>
      <c r="ATU244" s="23"/>
      <c r="ATZ244" s="26"/>
      <c r="AUD244" s="23"/>
      <c r="AUI244" s="26"/>
      <c r="AUM244" s="23"/>
      <c r="AUR244" s="26"/>
      <c r="AUV244" s="23"/>
      <c r="AVA244" s="26"/>
      <c r="AVE244" s="23"/>
      <c r="AVJ244" s="26"/>
      <c r="AVN244" s="23"/>
      <c r="AVS244" s="26"/>
      <c r="AVW244" s="23"/>
      <c r="AWB244" s="26"/>
      <c r="AWF244" s="23"/>
      <c r="AWK244" s="26"/>
      <c r="AWO244" s="23"/>
      <c r="AWT244" s="26"/>
      <c r="AWX244" s="23"/>
      <c r="AXC244" s="26"/>
      <c r="AXG244" s="23"/>
      <c r="AXL244" s="26"/>
      <c r="AXP244" s="23"/>
      <c r="AXU244" s="26"/>
      <c r="AXY244" s="23"/>
      <c r="AYD244" s="26"/>
      <c r="AYH244" s="23"/>
      <c r="AYM244" s="26"/>
      <c r="AYQ244" s="23"/>
      <c r="AYV244" s="26"/>
      <c r="AYZ244" s="23"/>
      <c r="AZE244" s="26"/>
      <c r="AZI244" s="23"/>
      <c r="AZN244" s="26"/>
      <c r="AZR244" s="23"/>
      <c r="AZW244" s="26"/>
      <c r="BAA244" s="23"/>
      <c r="BAF244" s="26"/>
      <c r="BAJ244" s="23"/>
      <c r="BAO244" s="26"/>
      <c r="BAS244" s="23"/>
      <c r="BAX244" s="26"/>
      <c r="BBB244" s="23"/>
      <c r="BBG244" s="26"/>
      <c r="BBK244" s="23"/>
      <c r="BBP244" s="26"/>
      <c r="BBT244" s="23"/>
      <c r="BBY244" s="26"/>
      <c r="BCC244" s="23"/>
      <c r="BCH244" s="26"/>
      <c r="BCL244" s="23"/>
      <c r="BCQ244" s="26"/>
      <c r="BCU244" s="23"/>
      <c r="BCZ244" s="26"/>
      <c r="BDD244" s="23"/>
      <c r="BDI244" s="26"/>
      <c r="BDM244" s="23"/>
      <c r="BDR244" s="26"/>
      <c r="BDV244" s="23"/>
      <c r="BEA244" s="26"/>
      <c r="BEE244" s="23"/>
      <c r="BEJ244" s="26"/>
      <c r="BEN244" s="23"/>
      <c r="BES244" s="26"/>
      <c r="BEW244" s="23"/>
      <c r="BFB244" s="26"/>
      <c r="BFF244" s="23"/>
      <c r="BFK244" s="26"/>
      <c r="BFO244" s="23"/>
      <c r="BFT244" s="26"/>
      <c r="BFX244" s="23"/>
      <c r="BGC244" s="26"/>
      <c r="BGG244" s="23"/>
      <c r="BGL244" s="26"/>
      <c r="BGP244" s="23"/>
      <c r="BGU244" s="26"/>
      <c r="BGY244" s="23"/>
      <c r="BHD244" s="26"/>
      <c r="BHH244" s="23"/>
      <c r="BHM244" s="26"/>
      <c r="BHQ244" s="23"/>
      <c r="BHV244" s="26"/>
      <c r="BHZ244" s="23"/>
      <c r="BIE244" s="26"/>
      <c r="BII244" s="23"/>
      <c r="BIN244" s="26"/>
      <c r="BIR244" s="23"/>
      <c r="BIW244" s="26"/>
      <c r="BJA244" s="23"/>
      <c r="BJF244" s="26"/>
      <c r="BJJ244" s="23"/>
      <c r="BJO244" s="26"/>
      <c r="BJS244" s="23"/>
      <c r="BJX244" s="26"/>
      <c r="BKB244" s="23"/>
      <c r="BKG244" s="26"/>
      <c r="BKK244" s="23"/>
      <c r="BKP244" s="26"/>
      <c r="BKT244" s="23"/>
      <c r="BKY244" s="26"/>
      <c r="BLC244" s="23"/>
      <c r="BLH244" s="26"/>
      <c r="BLL244" s="23"/>
      <c r="BLQ244" s="26"/>
      <c r="BLU244" s="23"/>
      <c r="BLZ244" s="26"/>
      <c r="BMD244" s="23"/>
      <c r="BMI244" s="26"/>
      <c r="BMM244" s="23"/>
      <c r="BMR244" s="26"/>
      <c r="BMV244" s="23"/>
      <c r="BNA244" s="26"/>
      <c r="BNE244" s="23"/>
      <c r="BNJ244" s="26"/>
      <c r="BNN244" s="23"/>
      <c r="BNS244" s="26"/>
      <c r="BNW244" s="23"/>
      <c r="BOB244" s="26"/>
      <c r="BOF244" s="23"/>
      <c r="BOK244" s="26"/>
      <c r="BOO244" s="23"/>
      <c r="BOT244" s="26"/>
      <c r="BOX244" s="23"/>
      <c r="BPC244" s="26"/>
      <c r="BPG244" s="23"/>
      <c r="BPL244" s="26"/>
      <c r="BPP244" s="23"/>
      <c r="BPU244" s="26"/>
      <c r="BPY244" s="23"/>
      <c r="BQD244" s="26"/>
      <c r="BQH244" s="23"/>
      <c r="BQM244" s="26"/>
      <c r="BQQ244" s="23"/>
      <c r="BQV244" s="26"/>
      <c r="BQZ244" s="23"/>
      <c r="BRE244" s="26"/>
      <c r="BRI244" s="23"/>
      <c r="BRN244" s="26"/>
      <c r="BRR244" s="23"/>
      <c r="BRW244" s="26"/>
      <c r="BSA244" s="23"/>
      <c r="BSF244" s="26"/>
      <c r="BSJ244" s="23"/>
      <c r="BSO244" s="26"/>
      <c r="BSS244" s="23"/>
      <c r="BSX244" s="26"/>
      <c r="BTB244" s="23"/>
      <c r="BTG244" s="26"/>
      <c r="BTK244" s="23"/>
      <c r="BTP244" s="26"/>
      <c r="BTT244" s="23"/>
      <c r="BTY244" s="26"/>
      <c r="BUC244" s="23"/>
      <c r="BUH244" s="26"/>
      <c r="BUL244" s="23"/>
      <c r="BUQ244" s="26"/>
      <c r="BUU244" s="23"/>
      <c r="BUZ244" s="26"/>
      <c r="BVD244" s="23"/>
      <c r="BVI244" s="26"/>
      <c r="BVM244" s="23"/>
      <c r="BVR244" s="26"/>
      <c r="BVV244" s="23"/>
      <c r="BWA244" s="26"/>
      <c r="BWE244" s="23"/>
      <c r="BWJ244" s="26"/>
      <c r="BWN244" s="23"/>
      <c r="BWS244" s="26"/>
      <c r="BWW244" s="23"/>
      <c r="BXB244" s="26"/>
      <c r="BXF244" s="23"/>
      <c r="BXK244" s="26"/>
      <c r="BXO244" s="23"/>
      <c r="BXT244" s="26"/>
      <c r="BXX244" s="23"/>
      <c r="BYC244" s="26"/>
      <c r="BYG244" s="23"/>
      <c r="BYL244" s="26"/>
      <c r="BYP244" s="23"/>
      <c r="BYU244" s="26"/>
      <c r="BYY244" s="23"/>
      <c r="BZD244" s="26"/>
      <c r="BZH244" s="23"/>
      <c r="BZM244" s="26"/>
      <c r="BZQ244" s="23"/>
      <c r="BZV244" s="26"/>
      <c r="BZZ244" s="23"/>
      <c r="CAE244" s="26"/>
      <c r="CAI244" s="23"/>
      <c r="CAN244" s="26"/>
      <c r="CAR244" s="23"/>
      <c r="CAW244" s="26"/>
      <c r="CBA244" s="23"/>
      <c r="CBF244" s="26"/>
      <c r="CBJ244" s="23"/>
      <c r="CBO244" s="26"/>
      <c r="CBS244" s="23"/>
      <c r="CBX244" s="26"/>
      <c r="CCB244" s="23"/>
      <c r="CCG244" s="26"/>
      <c r="CCK244" s="23"/>
      <c r="CCP244" s="26"/>
      <c r="CCT244" s="23"/>
      <c r="CCY244" s="26"/>
      <c r="CDC244" s="23"/>
      <c r="CDH244" s="26"/>
      <c r="CDL244" s="23"/>
      <c r="CDQ244" s="26"/>
      <c r="CDU244" s="23"/>
      <c r="CDZ244" s="26"/>
      <c r="CED244" s="23"/>
      <c r="CEI244" s="26"/>
      <c r="CEM244" s="23"/>
      <c r="CER244" s="26"/>
      <c r="CEV244" s="23"/>
      <c r="CFA244" s="26"/>
      <c r="CFE244" s="23"/>
      <c r="CFJ244" s="26"/>
      <c r="CFN244" s="23"/>
      <c r="CFS244" s="26"/>
      <c r="CFW244" s="23"/>
      <c r="CGB244" s="26"/>
      <c r="CGF244" s="23"/>
      <c r="CGK244" s="26"/>
      <c r="CGO244" s="23"/>
      <c r="CGT244" s="26"/>
      <c r="CGX244" s="23"/>
      <c r="CHC244" s="26"/>
      <c r="CHG244" s="23"/>
      <c r="CHL244" s="26"/>
      <c r="CHP244" s="23"/>
      <c r="CHU244" s="26"/>
      <c r="CHY244" s="23"/>
      <c r="CID244" s="26"/>
      <c r="CIH244" s="23"/>
      <c r="CIM244" s="26"/>
      <c r="CIQ244" s="23"/>
      <c r="CIV244" s="26"/>
      <c r="CIZ244" s="23"/>
      <c r="CJE244" s="26"/>
      <c r="CJI244" s="23"/>
      <c r="CJN244" s="26"/>
      <c r="CJR244" s="23"/>
      <c r="CJW244" s="26"/>
      <c r="CKA244" s="23"/>
      <c r="CKF244" s="26"/>
      <c r="CKJ244" s="23"/>
      <c r="CKO244" s="26"/>
      <c r="CKS244" s="23"/>
      <c r="CKX244" s="26"/>
      <c r="CLB244" s="23"/>
      <c r="CLG244" s="26"/>
      <c r="CLK244" s="23"/>
      <c r="CLP244" s="26"/>
      <c r="CLT244" s="23"/>
      <c r="CLY244" s="26"/>
      <c r="CMC244" s="23"/>
      <c r="CMH244" s="26"/>
      <c r="CML244" s="23"/>
      <c r="CMQ244" s="26"/>
      <c r="CMU244" s="23"/>
      <c r="CMZ244" s="26"/>
      <c r="CND244" s="23"/>
      <c r="CNI244" s="26"/>
      <c r="CNM244" s="23"/>
      <c r="CNR244" s="26"/>
      <c r="CNV244" s="23"/>
      <c r="COA244" s="26"/>
      <c r="COE244" s="23"/>
      <c r="COJ244" s="26"/>
      <c r="CON244" s="23"/>
      <c r="COS244" s="26"/>
      <c r="COW244" s="23"/>
      <c r="CPB244" s="26"/>
      <c r="CPF244" s="23"/>
      <c r="CPK244" s="26"/>
      <c r="CPO244" s="23"/>
      <c r="CPT244" s="26"/>
      <c r="CPX244" s="23"/>
      <c r="CQC244" s="26"/>
      <c r="CQG244" s="23"/>
      <c r="CQL244" s="26"/>
      <c r="CQP244" s="23"/>
      <c r="CQU244" s="26"/>
      <c r="CQY244" s="23"/>
      <c r="CRD244" s="26"/>
      <c r="CRH244" s="23"/>
      <c r="CRM244" s="26"/>
      <c r="CRQ244" s="23"/>
      <c r="CRV244" s="26"/>
      <c r="CRZ244" s="23"/>
      <c r="CSE244" s="26"/>
      <c r="CSI244" s="23"/>
      <c r="CSN244" s="26"/>
      <c r="CSR244" s="23"/>
      <c r="CSW244" s="26"/>
      <c r="CTA244" s="23"/>
      <c r="CTF244" s="26"/>
      <c r="CTJ244" s="23"/>
      <c r="CTO244" s="26"/>
      <c r="CTS244" s="23"/>
      <c r="CTX244" s="26"/>
      <c r="CUB244" s="23"/>
      <c r="CUG244" s="26"/>
      <c r="CUK244" s="23"/>
      <c r="CUP244" s="26"/>
      <c r="CUT244" s="23"/>
      <c r="CUY244" s="26"/>
      <c r="CVC244" s="23"/>
      <c r="CVH244" s="26"/>
      <c r="CVL244" s="23"/>
      <c r="CVQ244" s="26"/>
      <c r="CVU244" s="23"/>
      <c r="CVZ244" s="26"/>
      <c r="CWD244" s="23"/>
      <c r="CWI244" s="26"/>
      <c r="CWM244" s="23"/>
      <c r="CWR244" s="26"/>
      <c r="CWV244" s="23"/>
      <c r="CXA244" s="26"/>
      <c r="CXE244" s="23"/>
      <c r="CXJ244" s="26"/>
      <c r="CXN244" s="23"/>
      <c r="CXS244" s="26"/>
      <c r="CXW244" s="23"/>
      <c r="CYB244" s="26"/>
      <c r="CYF244" s="23"/>
      <c r="CYK244" s="26"/>
      <c r="CYO244" s="23"/>
      <c r="CYT244" s="26"/>
      <c r="CYX244" s="23"/>
      <c r="CZC244" s="26"/>
      <c r="CZG244" s="23"/>
      <c r="CZL244" s="26"/>
      <c r="CZP244" s="23"/>
      <c r="CZU244" s="26"/>
      <c r="CZY244" s="23"/>
      <c r="DAD244" s="26"/>
      <c r="DAH244" s="23"/>
      <c r="DAM244" s="26"/>
      <c r="DAQ244" s="23"/>
      <c r="DAV244" s="26"/>
      <c r="DAZ244" s="23"/>
      <c r="DBE244" s="26"/>
      <c r="DBI244" s="23"/>
      <c r="DBN244" s="26"/>
      <c r="DBR244" s="23"/>
      <c r="DBW244" s="26"/>
      <c r="DCA244" s="23"/>
      <c r="DCF244" s="26"/>
      <c r="DCJ244" s="23"/>
      <c r="DCO244" s="26"/>
      <c r="DCS244" s="23"/>
      <c r="DCX244" s="26"/>
      <c r="DDB244" s="23"/>
      <c r="DDG244" s="26"/>
      <c r="DDK244" s="23"/>
      <c r="DDP244" s="26"/>
      <c r="DDT244" s="23"/>
      <c r="DDY244" s="26"/>
      <c r="DEC244" s="23"/>
      <c r="DEH244" s="26"/>
      <c r="DEL244" s="23"/>
      <c r="DEQ244" s="26"/>
      <c r="DEU244" s="23"/>
      <c r="DEZ244" s="26"/>
      <c r="DFD244" s="23"/>
      <c r="DFI244" s="26"/>
      <c r="DFM244" s="23"/>
      <c r="DFR244" s="26"/>
      <c r="DFV244" s="23"/>
      <c r="DGA244" s="26"/>
      <c r="DGE244" s="23"/>
      <c r="DGJ244" s="26"/>
      <c r="DGN244" s="23"/>
      <c r="DGS244" s="26"/>
      <c r="DGW244" s="23"/>
      <c r="DHB244" s="26"/>
      <c r="DHF244" s="23"/>
      <c r="DHK244" s="26"/>
      <c r="DHO244" s="23"/>
      <c r="DHT244" s="26"/>
      <c r="DHX244" s="23"/>
      <c r="DIC244" s="26"/>
      <c r="DIG244" s="23"/>
      <c r="DIL244" s="26"/>
      <c r="DIP244" s="23"/>
      <c r="DIU244" s="26"/>
      <c r="DIY244" s="23"/>
      <c r="DJD244" s="26"/>
      <c r="DJH244" s="23"/>
      <c r="DJM244" s="26"/>
      <c r="DJQ244" s="23"/>
      <c r="DJV244" s="26"/>
      <c r="DJZ244" s="23"/>
      <c r="DKE244" s="26"/>
      <c r="DKI244" s="23"/>
      <c r="DKN244" s="26"/>
      <c r="DKR244" s="23"/>
      <c r="DKW244" s="26"/>
      <c r="DLA244" s="23"/>
      <c r="DLF244" s="26"/>
      <c r="DLJ244" s="23"/>
      <c r="DLO244" s="26"/>
      <c r="DLS244" s="23"/>
      <c r="DLX244" s="26"/>
      <c r="DMB244" s="23"/>
      <c r="DMG244" s="26"/>
      <c r="DMK244" s="23"/>
      <c r="DMP244" s="26"/>
      <c r="DMT244" s="23"/>
      <c r="DMY244" s="26"/>
      <c r="DNC244" s="23"/>
      <c r="DNH244" s="26"/>
      <c r="DNL244" s="23"/>
      <c r="DNQ244" s="26"/>
      <c r="DNU244" s="23"/>
      <c r="DNZ244" s="26"/>
      <c r="DOD244" s="23"/>
      <c r="DOI244" s="26"/>
      <c r="DOM244" s="23"/>
      <c r="DOR244" s="26"/>
      <c r="DOV244" s="23"/>
      <c r="DPA244" s="26"/>
      <c r="DPE244" s="23"/>
      <c r="DPJ244" s="26"/>
      <c r="DPN244" s="23"/>
      <c r="DPS244" s="26"/>
      <c r="DPW244" s="23"/>
      <c r="DQB244" s="26"/>
      <c r="DQF244" s="23"/>
      <c r="DQK244" s="26"/>
      <c r="DQO244" s="23"/>
      <c r="DQT244" s="26"/>
      <c r="DQX244" s="23"/>
      <c r="DRC244" s="26"/>
      <c r="DRG244" s="23"/>
      <c r="DRL244" s="26"/>
      <c r="DRP244" s="23"/>
      <c r="DRU244" s="26"/>
      <c r="DRY244" s="23"/>
      <c r="DSD244" s="26"/>
      <c r="DSH244" s="23"/>
      <c r="DSM244" s="26"/>
      <c r="DSQ244" s="23"/>
      <c r="DSV244" s="26"/>
      <c r="DSZ244" s="23"/>
      <c r="DTE244" s="26"/>
      <c r="DTI244" s="23"/>
      <c r="DTN244" s="26"/>
      <c r="DTR244" s="23"/>
      <c r="DTW244" s="26"/>
      <c r="DUA244" s="23"/>
      <c r="DUF244" s="26"/>
      <c r="DUJ244" s="23"/>
      <c r="DUO244" s="26"/>
      <c r="DUS244" s="23"/>
      <c r="DUX244" s="26"/>
      <c r="DVB244" s="23"/>
      <c r="DVG244" s="26"/>
      <c r="DVK244" s="23"/>
      <c r="DVP244" s="26"/>
      <c r="DVT244" s="23"/>
      <c r="DVY244" s="26"/>
      <c r="DWC244" s="23"/>
      <c r="DWH244" s="26"/>
      <c r="DWL244" s="23"/>
      <c r="DWQ244" s="26"/>
      <c r="DWU244" s="23"/>
      <c r="DWZ244" s="26"/>
      <c r="DXD244" s="23"/>
      <c r="DXI244" s="26"/>
      <c r="DXM244" s="23"/>
      <c r="DXR244" s="26"/>
      <c r="DXV244" s="23"/>
      <c r="DYA244" s="26"/>
      <c r="DYE244" s="23"/>
      <c r="DYJ244" s="26"/>
      <c r="DYN244" s="23"/>
      <c r="DYS244" s="26"/>
      <c r="DYW244" s="23"/>
      <c r="DZB244" s="26"/>
      <c r="DZF244" s="23"/>
      <c r="DZK244" s="26"/>
      <c r="DZO244" s="23"/>
      <c r="DZT244" s="26"/>
      <c r="DZX244" s="23"/>
      <c r="EAC244" s="26"/>
      <c r="EAG244" s="23"/>
      <c r="EAL244" s="26"/>
      <c r="EAP244" s="23"/>
      <c r="EAU244" s="26"/>
      <c r="EAY244" s="23"/>
      <c r="EBD244" s="26"/>
      <c r="EBH244" s="23"/>
      <c r="EBM244" s="26"/>
      <c r="EBQ244" s="23"/>
      <c r="EBV244" s="26"/>
      <c r="EBZ244" s="23"/>
      <c r="ECE244" s="26"/>
      <c r="ECI244" s="23"/>
      <c r="ECN244" s="26"/>
      <c r="ECR244" s="23"/>
      <c r="ECW244" s="26"/>
      <c r="EDA244" s="23"/>
      <c r="EDF244" s="26"/>
      <c r="EDJ244" s="23"/>
      <c r="EDO244" s="26"/>
      <c r="EDS244" s="23"/>
      <c r="EDX244" s="26"/>
      <c r="EEB244" s="23"/>
      <c r="EEG244" s="26"/>
      <c r="EEK244" s="23"/>
      <c r="EEP244" s="26"/>
      <c r="EET244" s="23"/>
      <c r="EEY244" s="26"/>
      <c r="EFC244" s="23"/>
      <c r="EFH244" s="26"/>
      <c r="EFL244" s="23"/>
      <c r="EFQ244" s="26"/>
      <c r="EFU244" s="23"/>
      <c r="EFZ244" s="26"/>
      <c r="EGD244" s="23"/>
      <c r="EGI244" s="26"/>
      <c r="EGM244" s="23"/>
      <c r="EGR244" s="26"/>
      <c r="EGV244" s="23"/>
      <c r="EHA244" s="26"/>
      <c r="EHE244" s="23"/>
      <c r="EHJ244" s="26"/>
      <c r="EHN244" s="23"/>
      <c r="EHS244" s="26"/>
      <c r="EHW244" s="23"/>
      <c r="EIB244" s="26"/>
      <c r="EIF244" s="23"/>
      <c r="EIK244" s="26"/>
      <c r="EIO244" s="23"/>
      <c r="EIT244" s="26"/>
      <c r="EIX244" s="23"/>
      <c r="EJC244" s="26"/>
      <c r="EJG244" s="23"/>
      <c r="EJL244" s="26"/>
      <c r="EJP244" s="23"/>
      <c r="EJU244" s="26"/>
      <c r="EJY244" s="23"/>
      <c r="EKD244" s="26"/>
      <c r="EKH244" s="23"/>
      <c r="EKM244" s="26"/>
      <c r="EKQ244" s="23"/>
      <c r="EKV244" s="26"/>
      <c r="EKZ244" s="23"/>
      <c r="ELE244" s="26"/>
      <c r="ELI244" s="23"/>
      <c r="ELN244" s="26"/>
      <c r="ELR244" s="23"/>
      <c r="ELW244" s="26"/>
      <c r="EMA244" s="23"/>
      <c r="EMF244" s="26"/>
      <c r="EMJ244" s="23"/>
      <c r="EMO244" s="26"/>
      <c r="EMS244" s="23"/>
      <c r="EMX244" s="26"/>
      <c r="ENB244" s="23"/>
      <c r="ENG244" s="26"/>
      <c r="ENK244" s="23"/>
      <c r="ENP244" s="26"/>
      <c r="ENT244" s="23"/>
      <c r="ENY244" s="26"/>
      <c r="EOC244" s="23"/>
      <c r="EOH244" s="26"/>
      <c r="EOL244" s="23"/>
      <c r="EOQ244" s="26"/>
      <c r="EOU244" s="23"/>
      <c r="EOZ244" s="26"/>
      <c r="EPD244" s="23"/>
      <c r="EPI244" s="26"/>
      <c r="EPM244" s="23"/>
      <c r="EPR244" s="26"/>
      <c r="EPV244" s="23"/>
      <c r="EQA244" s="26"/>
      <c r="EQE244" s="23"/>
      <c r="EQJ244" s="26"/>
      <c r="EQN244" s="23"/>
      <c r="EQS244" s="26"/>
      <c r="EQW244" s="23"/>
      <c r="ERB244" s="26"/>
      <c r="ERF244" s="23"/>
      <c r="ERK244" s="26"/>
      <c r="ERO244" s="23"/>
      <c r="ERT244" s="26"/>
      <c r="ERX244" s="23"/>
      <c r="ESC244" s="26"/>
      <c r="ESG244" s="23"/>
      <c r="ESL244" s="26"/>
      <c r="ESP244" s="23"/>
      <c r="ESU244" s="26"/>
      <c r="ESY244" s="23"/>
      <c r="ETD244" s="26"/>
      <c r="ETH244" s="23"/>
      <c r="ETM244" s="26"/>
      <c r="ETQ244" s="23"/>
      <c r="ETV244" s="26"/>
      <c r="ETZ244" s="23"/>
      <c r="EUE244" s="26"/>
      <c r="EUI244" s="23"/>
      <c r="EUN244" s="26"/>
      <c r="EUR244" s="23"/>
      <c r="EUW244" s="26"/>
      <c r="EVA244" s="23"/>
      <c r="EVF244" s="26"/>
      <c r="EVJ244" s="23"/>
      <c r="EVO244" s="26"/>
      <c r="EVS244" s="23"/>
      <c r="EVX244" s="26"/>
      <c r="EWB244" s="23"/>
      <c r="EWG244" s="26"/>
      <c r="EWK244" s="23"/>
      <c r="EWP244" s="26"/>
      <c r="EWT244" s="23"/>
      <c r="EWY244" s="26"/>
      <c r="EXC244" s="23"/>
      <c r="EXH244" s="26"/>
      <c r="EXL244" s="23"/>
      <c r="EXQ244" s="26"/>
      <c r="EXU244" s="23"/>
      <c r="EXZ244" s="26"/>
      <c r="EYD244" s="23"/>
      <c r="EYI244" s="26"/>
      <c r="EYM244" s="23"/>
      <c r="EYR244" s="26"/>
      <c r="EYV244" s="23"/>
      <c r="EZA244" s="26"/>
      <c r="EZE244" s="23"/>
      <c r="EZJ244" s="26"/>
      <c r="EZN244" s="23"/>
      <c r="EZS244" s="26"/>
      <c r="EZW244" s="23"/>
      <c r="FAB244" s="26"/>
      <c r="FAF244" s="23"/>
      <c r="FAK244" s="26"/>
      <c r="FAO244" s="23"/>
      <c r="FAT244" s="26"/>
      <c r="FAX244" s="23"/>
      <c r="FBC244" s="26"/>
      <c r="FBG244" s="23"/>
      <c r="FBL244" s="26"/>
      <c r="FBP244" s="23"/>
      <c r="FBU244" s="26"/>
      <c r="FBY244" s="23"/>
      <c r="FCD244" s="26"/>
      <c r="FCH244" s="23"/>
      <c r="FCM244" s="26"/>
      <c r="FCQ244" s="23"/>
      <c r="FCV244" s="26"/>
      <c r="FCZ244" s="23"/>
      <c r="FDE244" s="26"/>
      <c r="FDI244" s="23"/>
      <c r="FDN244" s="26"/>
      <c r="FDR244" s="23"/>
      <c r="FDW244" s="26"/>
      <c r="FEA244" s="23"/>
      <c r="FEF244" s="26"/>
      <c r="FEJ244" s="23"/>
      <c r="FEO244" s="26"/>
      <c r="FES244" s="23"/>
      <c r="FEX244" s="26"/>
      <c r="FFB244" s="23"/>
      <c r="FFG244" s="26"/>
      <c r="FFK244" s="23"/>
      <c r="FFP244" s="26"/>
      <c r="FFT244" s="23"/>
      <c r="FFY244" s="26"/>
      <c r="FGC244" s="23"/>
      <c r="FGH244" s="26"/>
      <c r="FGL244" s="23"/>
      <c r="FGQ244" s="26"/>
      <c r="FGU244" s="23"/>
      <c r="FGZ244" s="26"/>
      <c r="FHD244" s="23"/>
      <c r="FHI244" s="26"/>
      <c r="FHM244" s="23"/>
      <c r="FHR244" s="26"/>
      <c r="FHV244" s="23"/>
      <c r="FIA244" s="26"/>
      <c r="FIE244" s="23"/>
      <c r="FIJ244" s="26"/>
      <c r="FIN244" s="23"/>
      <c r="FIS244" s="26"/>
      <c r="FIW244" s="23"/>
      <c r="FJB244" s="26"/>
      <c r="FJF244" s="23"/>
      <c r="FJK244" s="26"/>
      <c r="FJO244" s="23"/>
      <c r="FJT244" s="26"/>
      <c r="FJX244" s="23"/>
      <c r="FKC244" s="26"/>
      <c r="FKG244" s="23"/>
      <c r="FKL244" s="26"/>
      <c r="FKP244" s="23"/>
      <c r="FKU244" s="26"/>
      <c r="FKY244" s="23"/>
      <c r="FLD244" s="26"/>
      <c r="FLH244" s="23"/>
      <c r="FLM244" s="26"/>
      <c r="FLQ244" s="23"/>
      <c r="FLV244" s="26"/>
      <c r="FLZ244" s="23"/>
      <c r="FME244" s="26"/>
      <c r="FMI244" s="23"/>
      <c r="FMN244" s="26"/>
      <c r="FMR244" s="23"/>
      <c r="FMW244" s="26"/>
      <c r="FNA244" s="23"/>
      <c r="FNF244" s="26"/>
      <c r="FNJ244" s="23"/>
      <c r="FNO244" s="26"/>
      <c r="FNS244" s="23"/>
      <c r="FNX244" s="26"/>
      <c r="FOB244" s="23"/>
      <c r="FOG244" s="26"/>
      <c r="FOK244" s="23"/>
      <c r="FOP244" s="26"/>
      <c r="FOT244" s="23"/>
      <c r="FOY244" s="26"/>
      <c r="FPC244" s="23"/>
      <c r="FPH244" s="26"/>
      <c r="FPL244" s="23"/>
      <c r="FPQ244" s="26"/>
      <c r="FPU244" s="23"/>
      <c r="FPZ244" s="26"/>
      <c r="FQD244" s="23"/>
      <c r="FQI244" s="26"/>
      <c r="FQM244" s="23"/>
      <c r="FQR244" s="26"/>
      <c r="FQV244" s="23"/>
      <c r="FRA244" s="26"/>
      <c r="FRE244" s="23"/>
      <c r="FRJ244" s="26"/>
      <c r="FRN244" s="23"/>
      <c r="FRS244" s="26"/>
      <c r="FRW244" s="23"/>
      <c r="FSB244" s="26"/>
      <c r="FSF244" s="23"/>
      <c r="FSK244" s="26"/>
      <c r="FSO244" s="23"/>
      <c r="FST244" s="26"/>
      <c r="FSX244" s="23"/>
      <c r="FTC244" s="26"/>
      <c r="FTG244" s="23"/>
      <c r="FTL244" s="26"/>
      <c r="FTP244" s="23"/>
      <c r="FTU244" s="26"/>
      <c r="FTY244" s="23"/>
      <c r="FUD244" s="26"/>
      <c r="FUH244" s="23"/>
      <c r="FUM244" s="26"/>
      <c r="FUQ244" s="23"/>
      <c r="FUV244" s="26"/>
      <c r="FUZ244" s="23"/>
      <c r="FVE244" s="26"/>
      <c r="FVI244" s="23"/>
      <c r="FVN244" s="26"/>
      <c r="FVR244" s="23"/>
      <c r="FVW244" s="26"/>
      <c r="FWA244" s="23"/>
      <c r="FWF244" s="26"/>
      <c r="FWJ244" s="23"/>
      <c r="FWO244" s="26"/>
      <c r="FWS244" s="23"/>
      <c r="FWX244" s="26"/>
      <c r="FXB244" s="23"/>
      <c r="FXG244" s="26"/>
      <c r="FXK244" s="23"/>
      <c r="FXP244" s="26"/>
      <c r="FXT244" s="23"/>
      <c r="FXY244" s="26"/>
      <c r="FYC244" s="23"/>
      <c r="FYH244" s="26"/>
      <c r="FYL244" s="23"/>
      <c r="FYQ244" s="26"/>
      <c r="FYU244" s="23"/>
      <c r="FYZ244" s="26"/>
      <c r="FZD244" s="23"/>
      <c r="FZI244" s="26"/>
      <c r="FZM244" s="23"/>
      <c r="FZR244" s="26"/>
      <c r="FZV244" s="23"/>
      <c r="GAA244" s="26"/>
      <c r="GAE244" s="23"/>
      <c r="GAJ244" s="26"/>
      <c r="GAN244" s="23"/>
      <c r="GAS244" s="26"/>
      <c r="GAW244" s="23"/>
      <c r="GBB244" s="26"/>
      <c r="GBF244" s="23"/>
      <c r="GBK244" s="26"/>
      <c r="GBO244" s="23"/>
      <c r="GBT244" s="26"/>
      <c r="GBX244" s="23"/>
      <c r="GCC244" s="26"/>
      <c r="GCG244" s="23"/>
      <c r="GCL244" s="26"/>
      <c r="GCP244" s="23"/>
      <c r="GCU244" s="26"/>
      <c r="GCY244" s="23"/>
      <c r="GDD244" s="26"/>
      <c r="GDH244" s="23"/>
      <c r="GDM244" s="26"/>
      <c r="GDQ244" s="23"/>
      <c r="GDV244" s="26"/>
      <c r="GDZ244" s="23"/>
      <c r="GEE244" s="26"/>
      <c r="GEI244" s="23"/>
      <c r="GEN244" s="26"/>
      <c r="GER244" s="23"/>
      <c r="GEW244" s="26"/>
      <c r="GFA244" s="23"/>
      <c r="GFF244" s="26"/>
      <c r="GFJ244" s="23"/>
      <c r="GFO244" s="26"/>
      <c r="GFS244" s="23"/>
      <c r="GFX244" s="26"/>
      <c r="GGB244" s="23"/>
      <c r="GGG244" s="26"/>
      <c r="GGK244" s="23"/>
      <c r="GGP244" s="26"/>
      <c r="GGT244" s="23"/>
      <c r="GGY244" s="26"/>
      <c r="GHC244" s="23"/>
      <c r="GHH244" s="26"/>
      <c r="GHL244" s="23"/>
      <c r="GHQ244" s="26"/>
      <c r="GHU244" s="23"/>
      <c r="GHZ244" s="26"/>
      <c r="GID244" s="23"/>
      <c r="GII244" s="26"/>
      <c r="GIM244" s="23"/>
      <c r="GIR244" s="26"/>
      <c r="GIV244" s="23"/>
      <c r="GJA244" s="26"/>
      <c r="GJE244" s="23"/>
      <c r="GJJ244" s="26"/>
      <c r="GJN244" s="23"/>
      <c r="GJS244" s="26"/>
      <c r="GJW244" s="23"/>
      <c r="GKB244" s="26"/>
      <c r="GKF244" s="23"/>
      <c r="GKK244" s="26"/>
      <c r="GKO244" s="23"/>
      <c r="GKT244" s="26"/>
      <c r="GKX244" s="23"/>
      <c r="GLC244" s="26"/>
      <c r="GLG244" s="23"/>
      <c r="GLL244" s="26"/>
      <c r="GLP244" s="23"/>
      <c r="GLU244" s="26"/>
      <c r="GLY244" s="23"/>
      <c r="GMD244" s="26"/>
      <c r="GMH244" s="23"/>
      <c r="GMM244" s="26"/>
      <c r="GMQ244" s="23"/>
      <c r="GMV244" s="26"/>
      <c r="GMZ244" s="23"/>
      <c r="GNE244" s="26"/>
      <c r="GNI244" s="23"/>
      <c r="GNN244" s="26"/>
      <c r="GNR244" s="23"/>
      <c r="GNW244" s="26"/>
      <c r="GOA244" s="23"/>
      <c r="GOF244" s="26"/>
      <c r="GOJ244" s="23"/>
      <c r="GOO244" s="26"/>
      <c r="GOS244" s="23"/>
      <c r="GOX244" s="26"/>
      <c r="GPB244" s="23"/>
      <c r="GPG244" s="26"/>
      <c r="GPK244" s="23"/>
      <c r="GPP244" s="26"/>
      <c r="GPT244" s="23"/>
      <c r="GPY244" s="26"/>
      <c r="GQC244" s="23"/>
      <c r="GQH244" s="26"/>
      <c r="GQL244" s="23"/>
      <c r="GQQ244" s="26"/>
      <c r="GQU244" s="23"/>
      <c r="GQZ244" s="26"/>
      <c r="GRD244" s="23"/>
      <c r="GRI244" s="26"/>
      <c r="GRM244" s="23"/>
      <c r="GRR244" s="26"/>
      <c r="GRV244" s="23"/>
      <c r="GSA244" s="26"/>
      <c r="GSE244" s="23"/>
      <c r="GSJ244" s="26"/>
      <c r="GSN244" s="23"/>
      <c r="GSS244" s="26"/>
      <c r="GSW244" s="23"/>
      <c r="GTB244" s="26"/>
      <c r="GTF244" s="23"/>
      <c r="GTK244" s="26"/>
      <c r="GTO244" s="23"/>
      <c r="GTT244" s="26"/>
      <c r="GTX244" s="23"/>
      <c r="GUC244" s="26"/>
      <c r="GUG244" s="23"/>
      <c r="GUL244" s="26"/>
      <c r="GUP244" s="23"/>
      <c r="GUU244" s="26"/>
      <c r="GUY244" s="23"/>
      <c r="GVD244" s="26"/>
      <c r="GVH244" s="23"/>
      <c r="GVM244" s="26"/>
      <c r="GVQ244" s="23"/>
      <c r="GVV244" s="26"/>
      <c r="GVZ244" s="23"/>
      <c r="GWE244" s="26"/>
      <c r="GWI244" s="23"/>
      <c r="GWN244" s="26"/>
      <c r="GWR244" s="23"/>
      <c r="GWW244" s="26"/>
      <c r="GXA244" s="23"/>
      <c r="GXF244" s="26"/>
      <c r="GXJ244" s="23"/>
      <c r="GXO244" s="26"/>
      <c r="GXS244" s="23"/>
      <c r="GXX244" s="26"/>
      <c r="GYB244" s="23"/>
      <c r="GYG244" s="26"/>
      <c r="GYK244" s="23"/>
      <c r="GYP244" s="26"/>
      <c r="GYT244" s="23"/>
      <c r="GYY244" s="26"/>
      <c r="GZC244" s="23"/>
      <c r="GZH244" s="26"/>
      <c r="GZL244" s="23"/>
      <c r="GZQ244" s="26"/>
      <c r="GZU244" s="23"/>
      <c r="GZZ244" s="26"/>
      <c r="HAD244" s="23"/>
      <c r="HAI244" s="26"/>
      <c r="HAM244" s="23"/>
      <c r="HAR244" s="26"/>
      <c r="HAV244" s="23"/>
      <c r="HBA244" s="26"/>
      <c r="HBE244" s="23"/>
      <c r="HBJ244" s="26"/>
      <c r="HBN244" s="23"/>
      <c r="HBS244" s="26"/>
      <c r="HBW244" s="23"/>
      <c r="HCB244" s="26"/>
      <c r="HCF244" s="23"/>
      <c r="HCK244" s="26"/>
      <c r="HCO244" s="23"/>
      <c r="HCT244" s="26"/>
      <c r="HCX244" s="23"/>
      <c r="HDC244" s="26"/>
      <c r="HDG244" s="23"/>
      <c r="HDL244" s="26"/>
      <c r="HDP244" s="23"/>
      <c r="HDU244" s="26"/>
      <c r="HDY244" s="23"/>
      <c r="HED244" s="26"/>
      <c r="HEH244" s="23"/>
      <c r="HEM244" s="26"/>
      <c r="HEQ244" s="23"/>
      <c r="HEV244" s="26"/>
      <c r="HEZ244" s="23"/>
      <c r="HFE244" s="26"/>
      <c r="HFI244" s="23"/>
      <c r="HFN244" s="26"/>
      <c r="HFR244" s="23"/>
      <c r="HFW244" s="26"/>
      <c r="HGA244" s="23"/>
      <c r="HGF244" s="26"/>
      <c r="HGJ244" s="23"/>
      <c r="HGO244" s="26"/>
      <c r="HGS244" s="23"/>
      <c r="HGX244" s="26"/>
      <c r="HHB244" s="23"/>
      <c r="HHG244" s="26"/>
      <c r="HHK244" s="23"/>
      <c r="HHP244" s="26"/>
      <c r="HHT244" s="23"/>
      <c r="HHY244" s="26"/>
      <c r="HIC244" s="23"/>
      <c r="HIH244" s="26"/>
      <c r="HIL244" s="23"/>
      <c r="HIQ244" s="26"/>
      <c r="HIU244" s="23"/>
      <c r="HIZ244" s="26"/>
      <c r="HJD244" s="23"/>
      <c r="HJI244" s="26"/>
      <c r="HJM244" s="23"/>
      <c r="HJR244" s="26"/>
      <c r="HJV244" s="23"/>
      <c r="HKA244" s="26"/>
      <c r="HKE244" s="23"/>
      <c r="HKJ244" s="26"/>
      <c r="HKN244" s="23"/>
      <c r="HKS244" s="26"/>
      <c r="HKW244" s="23"/>
      <c r="HLB244" s="26"/>
      <c r="HLF244" s="23"/>
      <c r="HLK244" s="26"/>
      <c r="HLO244" s="23"/>
      <c r="HLT244" s="26"/>
      <c r="HLX244" s="23"/>
      <c r="HMC244" s="26"/>
      <c r="HMG244" s="23"/>
      <c r="HML244" s="26"/>
      <c r="HMP244" s="23"/>
      <c r="HMU244" s="26"/>
      <c r="HMY244" s="23"/>
      <c r="HND244" s="26"/>
      <c r="HNH244" s="23"/>
      <c r="HNM244" s="26"/>
      <c r="HNQ244" s="23"/>
      <c r="HNV244" s="26"/>
      <c r="HNZ244" s="23"/>
      <c r="HOE244" s="26"/>
      <c r="HOI244" s="23"/>
      <c r="HON244" s="26"/>
      <c r="HOR244" s="23"/>
      <c r="HOW244" s="26"/>
      <c r="HPA244" s="23"/>
      <c r="HPF244" s="26"/>
      <c r="HPJ244" s="23"/>
      <c r="HPO244" s="26"/>
      <c r="HPS244" s="23"/>
      <c r="HPX244" s="26"/>
      <c r="HQB244" s="23"/>
      <c r="HQG244" s="26"/>
      <c r="HQK244" s="23"/>
      <c r="HQP244" s="26"/>
      <c r="HQT244" s="23"/>
      <c r="HQY244" s="26"/>
      <c r="HRC244" s="23"/>
      <c r="HRH244" s="26"/>
      <c r="HRL244" s="23"/>
      <c r="HRQ244" s="26"/>
      <c r="HRU244" s="23"/>
      <c r="HRZ244" s="26"/>
      <c r="HSD244" s="23"/>
      <c r="HSI244" s="26"/>
      <c r="HSM244" s="23"/>
      <c r="HSR244" s="26"/>
      <c r="HSV244" s="23"/>
      <c r="HTA244" s="26"/>
      <c r="HTE244" s="23"/>
      <c r="HTJ244" s="26"/>
      <c r="HTN244" s="23"/>
      <c r="HTS244" s="26"/>
      <c r="HTW244" s="23"/>
      <c r="HUB244" s="26"/>
      <c r="HUF244" s="23"/>
      <c r="HUK244" s="26"/>
      <c r="HUO244" s="23"/>
      <c r="HUT244" s="26"/>
      <c r="HUX244" s="23"/>
      <c r="HVC244" s="26"/>
      <c r="HVG244" s="23"/>
      <c r="HVL244" s="26"/>
      <c r="HVP244" s="23"/>
      <c r="HVU244" s="26"/>
      <c r="HVY244" s="23"/>
      <c r="HWD244" s="26"/>
      <c r="HWH244" s="23"/>
      <c r="HWM244" s="26"/>
      <c r="HWQ244" s="23"/>
      <c r="HWV244" s="26"/>
      <c r="HWZ244" s="23"/>
      <c r="HXE244" s="26"/>
      <c r="HXI244" s="23"/>
      <c r="HXN244" s="26"/>
      <c r="HXR244" s="23"/>
      <c r="HXW244" s="26"/>
      <c r="HYA244" s="23"/>
      <c r="HYF244" s="26"/>
      <c r="HYJ244" s="23"/>
      <c r="HYO244" s="26"/>
      <c r="HYS244" s="23"/>
      <c r="HYX244" s="26"/>
      <c r="HZB244" s="23"/>
      <c r="HZG244" s="26"/>
      <c r="HZK244" s="23"/>
      <c r="HZP244" s="26"/>
      <c r="HZT244" s="23"/>
      <c r="HZY244" s="26"/>
      <c r="IAC244" s="23"/>
      <c r="IAH244" s="26"/>
      <c r="IAL244" s="23"/>
      <c r="IAQ244" s="26"/>
      <c r="IAU244" s="23"/>
      <c r="IAZ244" s="26"/>
      <c r="IBD244" s="23"/>
      <c r="IBI244" s="26"/>
      <c r="IBM244" s="23"/>
      <c r="IBR244" s="26"/>
      <c r="IBV244" s="23"/>
      <c r="ICA244" s="26"/>
      <c r="ICE244" s="23"/>
      <c r="ICJ244" s="26"/>
      <c r="ICN244" s="23"/>
      <c r="ICS244" s="26"/>
      <c r="ICW244" s="23"/>
      <c r="IDB244" s="26"/>
      <c r="IDF244" s="23"/>
      <c r="IDK244" s="26"/>
      <c r="IDO244" s="23"/>
      <c r="IDT244" s="26"/>
      <c r="IDX244" s="23"/>
      <c r="IEC244" s="26"/>
      <c r="IEG244" s="23"/>
      <c r="IEL244" s="26"/>
      <c r="IEP244" s="23"/>
      <c r="IEU244" s="26"/>
      <c r="IEY244" s="23"/>
      <c r="IFD244" s="26"/>
      <c r="IFH244" s="23"/>
      <c r="IFM244" s="26"/>
      <c r="IFQ244" s="23"/>
      <c r="IFV244" s="26"/>
      <c r="IFZ244" s="23"/>
      <c r="IGE244" s="26"/>
      <c r="IGI244" s="23"/>
      <c r="IGN244" s="26"/>
      <c r="IGR244" s="23"/>
      <c r="IGW244" s="26"/>
      <c r="IHA244" s="23"/>
      <c r="IHF244" s="26"/>
      <c r="IHJ244" s="23"/>
      <c r="IHO244" s="26"/>
      <c r="IHS244" s="23"/>
      <c r="IHX244" s="26"/>
      <c r="IIB244" s="23"/>
      <c r="IIG244" s="26"/>
      <c r="IIK244" s="23"/>
      <c r="IIP244" s="26"/>
      <c r="IIT244" s="23"/>
      <c r="IIY244" s="26"/>
      <c r="IJC244" s="23"/>
      <c r="IJH244" s="26"/>
      <c r="IJL244" s="23"/>
      <c r="IJQ244" s="26"/>
      <c r="IJU244" s="23"/>
      <c r="IJZ244" s="26"/>
      <c r="IKD244" s="23"/>
      <c r="IKI244" s="26"/>
      <c r="IKM244" s="23"/>
      <c r="IKR244" s="26"/>
      <c r="IKV244" s="23"/>
      <c r="ILA244" s="26"/>
      <c r="ILE244" s="23"/>
      <c r="ILJ244" s="26"/>
      <c r="ILN244" s="23"/>
      <c r="ILS244" s="26"/>
      <c r="ILW244" s="23"/>
      <c r="IMB244" s="26"/>
      <c r="IMF244" s="23"/>
      <c r="IMK244" s="26"/>
      <c r="IMO244" s="23"/>
      <c r="IMT244" s="26"/>
      <c r="IMX244" s="23"/>
      <c r="INC244" s="26"/>
      <c r="ING244" s="23"/>
      <c r="INL244" s="26"/>
      <c r="INP244" s="23"/>
      <c r="INU244" s="26"/>
      <c r="INY244" s="23"/>
      <c r="IOD244" s="26"/>
      <c r="IOH244" s="23"/>
      <c r="IOM244" s="26"/>
      <c r="IOQ244" s="23"/>
      <c r="IOV244" s="26"/>
      <c r="IOZ244" s="23"/>
      <c r="IPE244" s="26"/>
      <c r="IPI244" s="23"/>
      <c r="IPN244" s="26"/>
      <c r="IPR244" s="23"/>
      <c r="IPW244" s="26"/>
      <c r="IQA244" s="23"/>
      <c r="IQF244" s="26"/>
      <c r="IQJ244" s="23"/>
      <c r="IQO244" s="26"/>
      <c r="IQS244" s="23"/>
      <c r="IQX244" s="26"/>
      <c r="IRB244" s="23"/>
      <c r="IRG244" s="26"/>
      <c r="IRK244" s="23"/>
      <c r="IRP244" s="26"/>
      <c r="IRT244" s="23"/>
      <c r="IRY244" s="26"/>
      <c r="ISC244" s="23"/>
      <c r="ISH244" s="26"/>
      <c r="ISL244" s="23"/>
      <c r="ISQ244" s="26"/>
      <c r="ISU244" s="23"/>
      <c r="ISZ244" s="26"/>
      <c r="ITD244" s="23"/>
      <c r="ITI244" s="26"/>
      <c r="ITM244" s="23"/>
      <c r="ITR244" s="26"/>
      <c r="ITV244" s="23"/>
      <c r="IUA244" s="26"/>
      <c r="IUE244" s="23"/>
      <c r="IUJ244" s="26"/>
      <c r="IUN244" s="23"/>
      <c r="IUS244" s="26"/>
      <c r="IUW244" s="23"/>
      <c r="IVB244" s="26"/>
      <c r="IVF244" s="23"/>
      <c r="IVK244" s="26"/>
      <c r="IVO244" s="23"/>
      <c r="IVT244" s="26"/>
      <c r="IVX244" s="23"/>
      <c r="IWC244" s="26"/>
      <c r="IWG244" s="23"/>
      <c r="IWL244" s="26"/>
      <c r="IWP244" s="23"/>
      <c r="IWU244" s="26"/>
      <c r="IWY244" s="23"/>
      <c r="IXD244" s="26"/>
      <c r="IXH244" s="23"/>
      <c r="IXM244" s="26"/>
      <c r="IXQ244" s="23"/>
      <c r="IXV244" s="26"/>
      <c r="IXZ244" s="23"/>
      <c r="IYE244" s="26"/>
      <c r="IYI244" s="23"/>
      <c r="IYN244" s="26"/>
      <c r="IYR244" s="23"/>
      <c r="IYW244" s="26"/>
      <c r="IZA244" s="23"/>
      <c r="IZF244" s="26"/>
      <c r="IZJ244" s="23"/>
      <c r="IZO244" s="26"/>
      <c r="IZS244" s="23"/>
      <c r="IZX244" s="26"/>
      <c r="JAB244" s="23"/>
      <c r="JAG244" s="26"/>
      <c r="JAK244" s="23"/>
      <c r="JAP244" s="26"/>
      <c r="JAT244" s="23"/>
      <c r="JAY244" s="26"/>
      <c r="JBC244" s="23"/>
      <c r="JBH244" s="26"/>
      <c r="JBL244" s="23"/>
      <c r="JBQ244" s="26"/>
      <c r="JBU244" s="23"/>
      <c r="JBZ244" s="26"/>
      <c r="JCD244" s="23"/>
      <c r="JCI244" s="26"/>
      <c r="JCM244" s="23"/>
      <c r="JCR244" s="26"/>
      <c r="JCV244" s="23"/>
      <c r="JDA244" s="26"/>
      <c r="JDE244" s="23"/>
      <c r="JDJ244" s="26"/>
      <c r="JDN244" s="23"/>
      <c r="JDS244" s="26"/>
      <c r="JDW244" s="23"/>
      <c r="JEB244" s="26"/>
      <c r="JEF244" s="23"/>
      <c r="JEK244" s="26"/>
      <c r="JEO244" s="23"/>
      <c r="JET244" s="26"/>
      <c r="JEX244" s="23"/>
      <c r="JFC244" s="26"/>
      <c r="JFG244" s="23"/>
      <c r="JFL244" s="26"/>
      <c r="JFP244" s="23"/>
      <c r="JFU244" s="26"/>
      <c r="JFY244" s="23"/>
      <c r="JGD244" s="26"/>
      <c r="JGH244" s="23"/>
      <c r="JGM244" s="26"/>
      <c r="JGQ244" s="23"/>
      <c r="JGV244" s="26"/>
      <c r="JGZ244" s="23"/>
      <c r="JHE244" s="26"/>
      <c r="JHI244" s="23"/>
      <c r="JHN244" s="26"/>
      <c r="JHR244" s="23"/>
      <c r="JHW244" s="26"/>
      <c r="JIA244" s="23"/>
      <c r="JIF244" s="26"/>
      <c r="JIJ244" s="23"/>
      <c r="JIO244" s="26"/>
      <c r="JIS244" s="23"/>
      <c r="JIX244" s="26"/>
      <c r="JJB244" s="23"/>
      <c r="JJG244" s="26"/>
      <c r="JJK244" s="23"/>
      <c r="JJP244" s="26"/>
      <c r="JJT244" s="23"/>
      <c r="JJY244" s="26"/>
      <c r="JKC244" s="23"/>
      <c r="JKH244" s="26"/>
      <c r="JKL244" s="23"/>
      <c r="JKQ244" s="26"/>
      <c r="JKU244" s="23"/>
      <c r="JKZ244" s="26"/>
      <c r="JLD244" s="23"/>
      <c r="JLI244" s="26"/>
      <c r="JLM244" s="23"/>
      <c r="JLR244" s="26"/>
      <c r="JLV244" s="23"/>
      <c r="JMA244" s="26"/>
      <c r="JME244" s="23"/>
      <c r="JMJ244" s="26"/>
      <c r="JMN244" s="23"/>
      <c r="JMS244" s="26"/>
      <c r="JMW244" s="23"/>
      <c r="JNB244" s="26"/>
      <c r="JNF244" s="23"/>
      <c r="JNK244" s="26"/>
      <c r="JNO244" s="23"/>
      <c r="JNT244" s="26"/>
      <c r="JNX244" s="23"/>
      <c r="JOC244" s="26"/>
      <c r="JOG244" s="23"/>
      <c r="JOL244" s="26"/>
      <c r="JOP244" s="23"/>
      <c r="JOU244" s="26"/>
      <c r="JOY244" s="23"/>
      <c r="JPD244" s="26"/>
      <c r="JPH244" s="23"/>
      <c r="JPM244" s="26"/>
      <c r="JPQ244" s="23"/>
      <c r="JPV244" s="26"/>
      <c r="JPZ244" s="23"/>
      <c r="JQE244" s="26"/>
      <c r="JQI244" s="23"/>
      <c r="JQN244" s="26"/>
      <c r="JQR244" s="23"/>
      <c r="JQW244" s="26"/>
      <c r="JRA244" s="23"/>
      <c r="JRF244" s="26"/>
      <c r="JRJ244" s="23"/>
      <c r="JRO244" s="26"/>
      <c r="JRS244" s="23"/>
      <c r="JRX244" s="26"/>
      <c r="JSB244" s="23"/>
      <c r="JSG244" s="26"/>
      <c r="JSK244" s="23"/>
      <c r="JSP244" s="26"/>
      <c r="JST244" s="23"/>
      <c r="JSY244" s="26"/>
      <c r="JTC244" s="23"/>
      <c r="JTH244" s="26"/>
      <c r="JTL244" s="23"/>
      <c r="JTQ244" s="26"/>
      <c r="JTU244" s="23"/>
      <c r="JTZ244" s="26"/>
      <c r="JUD244" s="23"/>
      <c r="JUI244" s="26"/>
      <c r="JUM244" s="23"/>
      <c r="JUR244" s="26"/>
      <c r="JUV244" s="23"/>
      <c r="JVA244" s="26"/>
      <c r="JVE244" s="23"/>
      <c r="JVJ244" s="26"/>
      <c r="JVN244" s="23"/>
      <c r="JVS244" s="26"/>
      <c r="JVW244" s="23"/>
      <c r="JWB244" s="26"/>
      <c r="JWF244" s="23"/>
      <c r="JWK244" s="26"/>
      <c r="JWO244" s="23"/>
      <c r="JWT244" s="26"/>
      <c r="JWX244" s="23"/>
      <c r="JXC244" s="26"/>
      <c r="JXG244" s="23"/>
      <c r="JXL244" s="26"/>
      <c r="JXP244" s="23"/>
      <c r="JXU244" s="26"/>
      <c r="JXY244" s="23"/>
      <c r="JYD244" s="26"/>
      <c r="JYH244" s="23"/>
      <c r="JYM244" s="26"/>
      <c r="JYQ244" s="23"/>
      <c r="JYV244" s="26"/>
      <c r="JYZ244" s="23"/>
      <c r="JZE244" s="26"/>
      <c r="JZI244" s="23"/>
      <c r="JZN244" s="26"/>
      <c r="JZR244" s="23"/>
      <c r="JZW244" s="26"/>
      <c r="KAA244" s="23"/>
      <c r="KAF244" s="26"/>
      <c r="KAJ244" s="23"/>
      <c r="KAO244" s="26"/>
      <c r="KAS244" s="23"/>
      <c r="KAX244" s="26"/>
      <c r="KBB244" s="23"/>
      <c r="KBG244" s="26"/>
      <c r="KBK244" s="23"/>
      <c r="KBP244" s="26"/>
      <c r="KBT244" s="23"/>
      <c r="KBY244" s="26"/>
      <c r="KCC244" s="23"/>
      <c r="KCH244" s="26"/>
      <c r="KCL244" s="23"/>
      <c r="KCQ244" s="26"/>
      <c r="KCU244" s="23"/>
      <c r="KCZ244" s="26"/>
      <c r="KDD244" s="23"/>
      <c r="KDI244" s="26"/>
      <c r="KDM244" s="23"/>
      <c r="KDR244" s="26"/>
      <c r="KDV244" s="23"/>
      <c r="KEA244" s="26"/>
      <c r="KEE244" s="23"/>
      <c r="KEJ244" s="26"/>
      <c r="KEN244" s="23"/>
      <c r="KES244" s="26"/>
      <c r="KEW244" s="23"/>
      <c r="KFB244" s="26"/>
      <c r="KFF244" s="23"/>
      <c r="KFK244" s="26"/>
      <c r="KFO244" s="23"/>
      <c r="KFT244" s="26"/>
      <c r="KFX244" s="23"/>
      <c r="KGC244" s="26"/>
      <c r="KGG244" s="23"/>
      <c r="KGL244" s="26"/>
      <c r="KGP244" s="23"/>
      <c r="KGU244" s="26"/>
      <c r="KGY244" s="23"/>
      <c r="KHD244" s="26"/>
      <c r="KHH244" s="23"/>
      <c r="KHM244" s="26"/>
      <c r="KHQ244" s="23"/>
      <c r="KHV244" s="26"/>
      <c r="KHZ244" s="23"/>
      <c r="KIE244" s="26"/>
      <c r="KII244" s="23"/>
      <c r="KIN244" s="26"/>
      <c r="KIR244" s="23"/>
      <c r="KIW244" s="26"/>
      <c r="KJA244" s="23"/>
      <c r="KJF244" s="26"/>
      <c r="KJJ244" s="23"/>
      <c r="KJO244" s="26"/>
      <c r="KJS244" s="23"/>
      <c r="KJX244" s="26"/>
      <c r="KKB244" s="23"/>
      <c r="KKG244" s="26"/>
      <c r="KKK244" s="23"/>
      <c r="KKP244" s="26"/>
      <c r="KKT244" s="23"/>
      <c r="KKY244" s="26"/>
      <c r="KLC244" s="23"/>
      <c r="KLH244" s="26"/>
      <c r="KLL244" s="23"/>
      <c r="KLQ244" s="26"/>
      <c r="KLU244" s="23"/>
      <c r="KLZ244" s="26"/>
      <c r="KMD244" s="23"/>
      <c r="KMI244" s="26"/>
      <c r="KMM244" s="23"/>
      <c r="KMR244" s="26"/>
      <c r="KMV244" s="23"/>
      <c r="KNA244" s="26"/>
      <c r="KNE244" s="23"/>
      <c r="KNJ244" s="26"/>
      <c r="KNN244" s="23"/>
      <c r="KNS244" s="26"/>
      <c r="KNW244" s="23"/>
      <c r="KOB244" s="26"/>
      <c r="KOF244" s="23"/>
      <c r="KOK244" s="26"/>
      <c r="KOO244" s="23"/>
      <c r="KOT244" s="26"/>
      <c r="KOX244" s="23"/>
      <c r="KPC244" s="26"/>
      <c r="KPG244" s="23"/>
      <c r="KPL244" s="26"/>
      <c r="KPP244" s="23"/>
      <c r="KPU244" s="26"/>
      <c r="KPY244" s="23"/>
      <c r="KQD244" s="26"/>
      <c r="KQH244" s="23"/>
      <c r="KQM244" s="26"/>
      <c r="KQQ244" s="23"/>
      <c r="KQV244" s="26"/>
      <c r="KQZ244" s="23"/>
      <c r="KRE244" s="26"/>
      <c r="KRI244" s="23"/>
      <c r="KRN244" s="26"/>
      <c r="KRR244" s="23"/>
      <c r="KRW244" s="26"/>
      <c r="KSA244" s="23"/>
      <c r="KSF244" s="26"/>
      <c r="KSJ244" s="23"/>
      <c r="KSO244" s="26"/>
      <c r="KSS244" s="23"/>
      <c r="KSX244" s="26"/>
      <c r="KTB244" s="23"/>
      <c r="KTG244" s="26"/>
      <c r="KTK244" s="23"/>
      <c r="KTP244" s="26"/>
      <c r="KTT244" s="23"/>
      <c r="KTY244" s="26"/>
      <c r="KUC244" s="23"/>
      <c r="KUH244" s="26"/>
      <c r="KUL244" s="23"/>
      <c r="KUQ244" s="26"/>
      <c r="KUU244" s="23"/>
      <c r="KUZ244" s="26"/>
      <c r="KVD244" s="23"/>
      <c r="KVI244" s="26"/>
      <c r="KVM244" s="23"/>
      <c r="KVR244" s="26"/>
      <c r="KVV244" s="23"/>
      <c r="KWA244" s="26"/>
      <c r="KWE244" s="23"/>
      <c r="KWJ244" s="26"/>
      <c r="KWN244" s="23"/>
      <c r="KWS244" s="26"/>
      <c r="KWW244" s="23"/>
      <c r="KXB244" s="26"/>
      <c r="KXF244" s="23"/>
      <c r="KXK244" s="26"/>
      <c r="KXO244" s="23"/>
      <c r="KXT244" s="26"/>
      <c r="KXX244" s="23"/>
      <c r="KYC244" s="26"/>
      <c r="KYG244" s="23"/>
      <c r="KYL244" s="26"/>
      <c r="KYP244" s="23"/>
      <c r="KYU244" s="26"/>
      <c r="KYY244" s="23"/>
      <c r="KZD244" s="26"/>
      <c r="KZH244" s="23"/>
      <c r="KZM244" s="26"/>
      <c r="KZQ244" s="23"/>
      <c r="KZV244" s="26"/>
      <c r="KZZ244" s="23"/>
      <c r="LAE244" s="26"/>
      <c r="LAI244" s="23"/>
      <c r="LAN244" s="26"/>
      <c r="LAR244" s="23"/>
      <c r="LAW244" s="26"/>
      <c r="LBA244" s="23"/>
      <c r="LBF244" s="26"/>
      <c r="LBJ244" s="23"/>
      <c r="LBO244" s="26"/>
      <c r="LBS244" s="23"/>
      <c r="LBX244" s="26"/>
      <c r="LCB244" s="23"/>
      <c r="LCG244" s="26"/>
      <c r="LCK244" s="23"/>
      <c r="LCP244" s="26"/>
      <c r="LCT244" s="23"/>
      <c r="LCY244" s="26"/>
      <c r="LDC244" s="23"/>
      <c r="LDH244" s="26"/>
      <c r="LDL244" s="23"/>
      <c r="LDQ244" s="26"/>
      <c r="LDU244" s="23"/>
      <c r="LDZ244" s="26"/>
      <c r="LED244" s="23"/>
      <c r="LEI244" s="26"/>
      <c r="LEM244" s="23"/>
      <c r="LER244" s="26"/>
      <c r="LEV244" s="23"/>
      <c r="LFA244" s="26"/>
      <c r="LFE244" s="23"/>
      <c r="LFJ244" s="26"/>
      <c r="LFN244" s="23"/>
      <c r="LFS244" s="26"/>
      <c r="LFW244" s="23"/>
      <c r="LGB244" s="26"/>
      <c r="LGF244" s="23"/>
      <c r="LGK244" s="26"/>
      <c r="LGO244" s="23"/>
      <c r="LGT244" s="26"/>
      <c r="LGX244" s="23"/>
      <c r="LHC244" s="26"/>
      <c r="LHG244" s="23"/>
      <c r="LHL244" s="26"/>
      <c r="LHP244" s="23"/>
      <c r="LHU244" s="26"/>
      <c r="LHY244" s="23"/>
      <c r="LID244" s="26"/>
      <c r="LIH244" s="23"/>
      <c r="LIM244" s="26"/>
      <c r="LIQ244" s="23"/>
      <c r="LIV244" s="26"/>
      <c r="LIZ244" s="23"/>
      <c r="LJE244" s="26"/>
      <c r="LJI244" s="23"/>
      <c r="LJN244" s="26"/>
      <c r="LJR244" s="23"/>
      <c r="LJW244" s="26"/>
      <c r="LKA244" s="23"/>
      <c r="LKF244" s="26"/>
      <c r="LKJ244" s="23"/>
      <c r="LKO244" s="26"/>
      <c r="LKS244" s="23"/>
      <c r="LKX244" s="26"/>
      <c r="LLB244" s="23"/>
      <c r="LLG244" s="26"/>
      <c r="LLK244" s="23"/>
      <c r="LLP244" s="26"/>
      <c r="LLT244" s="23"/>
      <c r="LLY244" s="26"/>
      <c r="LMC244" s="23"/>
      <c r="LMH244" s="26"/>
      <c r="LML244" s="23"/>
      <c r="LMQ244" s="26"/>
      <c r="LMU244" s="23"/>
      <c r="LMZ244" s="26"/>
      <c r="LND244" s="23"/>
      <c r="LNI244" s="26"/>
      <c r="LNM244" s="23"/>
      <c r="LNR244" s="26"/>
      <c r="LNV244" s="23"/>
      <c r="LOA244" s="26"/>
      <c r="LOE244" s="23"/>
      <c r="LOJ244" s="26"/>
      <c r="LON244" s="23"/>
      <c r="LOS244" s="26"/>
      <c r="LOW244" s="23"/>
      <c r="LPB244" s="26"/>
      <c r="LPF244" s="23"/>
      <c r="LPK244" s="26"/>
      <c r="LPO244" s="23"/>
      <c r="LPT244" s="26"/>
      <c r="LPX244" s="23"/>
      <c r="LQC244" s="26"/>
      <c r="LQG244" s="23"/>
      <c r="LQL244" s="26"/>
      <c r="LQP244" s="23"/>
      <c r="LQU244" s="26"/>
      <c r="LQY244" s="23"/>
      <c r="LRD244" s="26"/>
      <c r="LRH244" s="23"/>
      <c r="LRM244" s="26"/>
      <c r="LRQ244" s="23"/>
      <c r="LRV244" s="26"/>
      <c r="LRZ244" s="23"/>
      <c r="LSE244" s="26"/>
      <c r="LSI244" s="23"/>
      <c r="LSN244" s="26"/>
      <c r="LSR244" s="23"/>
      <c r="LSW244" s="26"/>
      <c r="LTA244" s="23"/>
      <c r="LTF244" s="26"/>
      <c r="LTJ244" s="23"/>
      <c r="LTO244" s="26"/>
      <c r="LTS244" s="23"/>
      <c r="LTX244" s="26"/>
      <c r="LUB244" s="23"/>
      <c r="LUG244" s="26"/>
      <c r="LUK244" s="23"/>
      <c r="LUP244" s="26"/>
      <c r="LUT244" s="23"/>
      <c r="LUY244" s="26"/>
      <c r="LVC244" s="23"/>
      <c r="LVH244" s="26"/>
      <c r="LVL244" s="23"/>
      <c r="LVQ244" s="26"/>
      <c r="LVU244" s="23"/>
      <c r="LVZ244" s="26"/>
      <c r="LWD244" s="23"/>
      <c r="LWI244" s="26"/>
      <c r="LWM244" s="23"/>
      <c r="LWR244" s="26"/>
      <c r="LWV244" s="23"/>
      <c r="LXA244" s="26"/>
      <c r="LXE244" s="23"/>
      <c r="LXJ244" s="26"/>
      <c r="LXN244" s="23"/>
      <c r="LXS244" s="26"/>
      <c r="LXW244" s="23"/>
      <c r="LYB244" s="26"/>
      <c r="LYF244" s="23"/>
      <c r="LYK244" s="26"/>
      <c r="LYO244" s="23"/>
      <c r="LYT244" s="26"/>
      <c r="LYX244" s="23"/>
      <c r="LZC244" s="26"/>
      <c r="LZG244" s="23"/>
      <c r="LZL244" s="26"/>
      <c r="LZP244" s="23"/>
      <c r="LZU244" s="26"/>
      <c r="LZY244" s="23"/>
      <c r="MAD244" s="26"/>
      <c r="MAH244" s="23"/>
      <c r="MAM244" s="26"/>
      <c r="MAQ244" s="23"/>
      <c r="MAV244" s="26"/>
      <c r="MAZ244" s="23"/>
      <c r="MBE244" s="26"/>
      <c r="MBI244" s="23"/>
      <c r="MBN244" s="26"/>
      <c r="MBR244" s="23"/>
      <c r="MBW244" s="26"/>
      <c r="MCA244" s="23"/>
      <c r="MCF244" s="26"/>
      <c r="MCJ244" s="23"/>
      <c r="MCO244" s="26"/>
      <c r="MCS244" s="23"/>
      <c r="MCX244" s="26"/>
      <c r="MDB244" s="23"/>
      <c r="MDG244" s="26"/>
      <c r="MDK244" s="23"/>
      <c r="MDP244" s="26"/>
      <c r="MDT244" s="23"/>
      <c r="MDY244" s="26"/>
      <c r="MEC244" s="23"/>
      <c r="MEH244" s="26"/>
      <c r="MEL244" s="23"/>
      <c r="MEQ244" s="26"/>
      <c r="MEU244" s="23"/>
      <c r="MEZ244" s="26"/>
      <c r="MFD244" s="23"/>
      <c r="MFI244" s="26"/>
      <c r="MFM244" s="23"/>
      <c r="MFR244" s="26"/>
      <c r="MFV244" s="23"/>
      <c r="MGA244" s="26"/>
      <c r="MGE244" s="23"/>
      <c r="MGJ244" s="26"/>
      <c r="MGN244" s="23"/>
      <c r="MGS244" s="26"/>
      <c r="MGW244" s="23"/>
      <c r="MHB244" s="26"/>
      <c r="MHF244" s="23"/>
      <c r="MHK244" s="26"/>
      <c r="MHO244" s="23"/>
      <c r="MHT244" s="26"/>
      <c r="MHX244" s="23"/>
      <c r="MIC244" s="26"/>
      <c r="MIG244" s="23"/>
      <c r="MIL244" s="26"/>
      <c r="MIP244" s="23"/>
      <c r="MIU244" s="26"/>
      <c r="MIY244" s="23"/>
      <c r="MJD244" s="26"/>
      <c r="MJH244" s="23"/>
      <c r="MJM244" s="26"/>
      <c r="MJQ244" s="23"/>
      <c r="MJV244" s="26"/>
      <c r="MJZ244" s="23"/>
      <c r="MKE244" s="26"/>
      <c r="MKI244" s="23"/>
      <c r="MKN244" s="26"/>
      <c r="MKR244" s="23"/>
      <c r="MKW244" s="26"/>
      <c r="MLA244" s="23"/>
      <c r="MLF244" s="26"/>
      <c r="MLJ244" s="23"/>
      <c r="MLO244" s="26"/>
      <c r="MLS244" s="23"/>
      <c r="MLX244" s="26"/>
      <c r="MMB244" s="23"/>
      <c r="MMG244" s="26"/>
      <c r="MMK244" s="23"/>
      <c r="MMP244" s="26"/>
      <c r="MMT244" s="23"/>
      <c r="MMY244" s="26"/>
      <c r="MNC244" s="23"/>
      <c r="MNH244" s="26"/>
      <c r="MNL244" s="23"/>
      <c r="MNQ244" s="26"/>
      <c r="MNU244" s="23"/>
      <c r="MNZ244" s="26"/>
      <c r="MOD244" s="23"/>
      <c r="MOI244" s="26"/>
      <c r="MOM244" s="23"/>
      <c r="MOR244" s="26"/>
      <c r="MOV244" s="23"/>
      <c r="MPA244" s="26"/>
      <c r="MPE244" s="23"/>
      <c r="MPJ244" s="26"/>
      <c r="MPN244" s="23"/>
      <c r="MPS244" s="26"/>
      <c r="MPW244" s="23"/>
      <c r="MQB244" s="26"/>
      <c r="MQF244" s="23"/>
      <c r="MQK244" s="26"/>
      <c r="MQO244" s="23"/>
      <c r="MQT244" s="26"/>
      <c r="MQX244" s="23"/>
      <c r="MRC244" s="26"/>
      <c r="MRG244" s="23"/>
      <c r="MRL244" s="26"/>
      <c r="MRP244" s="23"/>
      <c r="MRU244" s="26"/>
      <c r="MRY244" s="23"/>
      <c r="MSD244" s="26"/>
      <c r="MSH244" s="23"/>
      <c r="MSM244" s="26"/>
      <c r="MSQ244" s="23"/>
      <c r="MSV244" s="26"/>
      <c r="MSZ244" s="23"/>
      <c r="MTE244" s="26"/>
      <c r="MTI244" s="23"/>
      <c r="MTN244" s="26"/>
      <c r="MTR244" s="23"/>
      <c r="MTW244" s="26"/>
      <c r="MUA244" s="23"/>
      <c r="MUF244" s="26"/>
      <c r="MUJ244" s="23"/>
      <c r="MUO244" s="26"/>
      <c r="MUS244" s="23"/>
      <c r="MUX244" s="26"/>
      <c r="MVB244" s="23"/>
      <c r="MVG244" s="26"/>
      <c r="MVK244" s="23"/>
      <c r="MVP244" s="26"/>
      <c r="MVT244" s="23"/>
      <c r="MVY244" s="26"/>
      <c r="MWC244" s="23"/>
      <c r="MWH244" s="26"/>
      <c r="MWL244" s="23"/>
      <c r="MWQ244" s="26"/>
      <c r="MWU244" s="23"/>
      <c r="MWZ244" s="26"/>
      <c r="MXD244" s="23"/>
      <c r="MXI244" s="26"/>
      <c r="MXM244" s="23"/>
      <c r="MXR244" s="26"/>
      <c r="MXV244" s="23"/>
      <c r="MYA244" s="26"/>
      <c r="MYE244" s="23"/>
      <c r="MYJ244" s="26"/>
      <c r="MYN244" s="23"/>
      <c r="MYS244" s="26"/>
      <c r="MYW244" s="23"/>
      <c r="MZB244" s="26"/>
      <c r="MZF244" s="23"/>
      <c r="MZK244" s="26"/>
      <c r="MZO244" s="23"/>
      <c r="MZT244" s="26"/>
      <c r="MZX244" s="23"/>
      <c r="NAC244" s="26"/>
      <c r="NAG244" s="23"/>
      <c r="NAL244" s="26"/>
      <c r="NAP244" s="23"/>
      <c r="NAU244" s="26"/>
      <c r="NAY244" s="23"/>
      <c r="NBD244" s="26"/>
      <c r="NBH244" s="23"/>
      <c r="NBM244" s="26"/>
      <c r="NBQ244" s="23"/>
      <c r="NBV244" s="26"/>
      <c r="NBZ244" s="23"/>
      <c r="NCE244" s="26"/>
      <c r="NCI244" s="23"/>
      <c r="NCN244" s="26"/>
      <c r="NCR244" s="23"/>
      <c r="NCW244" s="26"/>
      <c r="NDA244" s="23"/>
      <c r="NDF244" s="26"/>
      <c r="NDJ244" s="23"/>
      <c r="NDO244" s="26"/>
      <c r="NDS244" s="23"/>
      <c r="NDX244" s="26"/>
      <c r="NEB244" s="23"/>
      <c r="NEG244" s="26"/>
      <c r="NEK244" s="23"/>
      <c r="NEP244" s="26"/>
      <c r="NET244" s="23"/>
      <c r="NEY244" s="26"/>
      <c r="NFC244" s="23"/>
      <c r="NFH244" s="26"/>
      <c r="NFL244" s="23"/>
      <c r="NFQ244" s="26"/>
      <c r="NFU244" s="23"/>
      <c r="NFZ244" s="26"/>
      <c r="NGD244" s="23"/>
      <c r="NGI244" s="26"/>
      <c r="NGM244" s="23"/>
      <c r="NGR244" s="26"/>
      <c r="NGV244" s="23"/>
      <c r="NHA244" s="26"/>
      <c r="NHE244" s="23"/>
      <c r="NHJ244" s="26"/>
      <c r="NHN244" s="23"/>
      <c r="NHS244" s="26"/>
      <c r="NHW244" s="23"/>
      <c r="NIB244" s="26"/>
      <c r="NIF244" s="23"/>
      <c r="NIK244" s="26"/>
      <c r="NIO244" s="23"/>
      <c r="NIT244" s="26"/>
      <c r="NIX244" s="23"/>
      <c r="NJC244" s="26"/>
      <c r="NJG244" s="23"/>
      <c r="NJL244" s="26"/>
      <c r="NJP244" s="23"/>
      <c r="NJU244" s="26"/>
      <c r="NJY244" s="23"/>
      <c r="NKD244" s="26"/>
      <c r="NKH244" s="23"/>
      <c r="NKM244" s="26"/>
      <c r="NKQ244" s="23"/>
      <c r="NKV244" s="26"/>
      <c r="NKZ244" s="23"/>
      <c r="NLE244" s="26"/>
      <c r="NLI244" s="23"/>
      <c r="NLN244" s="26"/>
      <c r="NLR244" s="23"/>
      <c r="NLW244" s="26"/>
      <c r="NMA244" s="23"/>
      <c r="NMF244" s="26"/>
      <c r="NMJ244" s="23"/>
      <c r="NMO244" s="26"/>
      <c r="NMS244" s="23"/>
      <c r="NMX244" s="26"/>
      <c r="NNB244" s="23"/>
      <c r="NNG244" s="26"/>
      <c r="NNK244" s="23"/>
      <c r="NNP244" s="26"/>
      <c r="NNT244" s="23"/>
      <c r="NNY244" s="26"/>
      <c r="NOC244" s="23"/>
      <c r="NOH244" s="26"/>
      <c r="NOL244" s="23"/>
      <c r="NOQ244" s="26"/>
      <c r="NOU244" s="23"/>
      <c r="NOZ244" s="26"/>
      <c r="NPD244" s="23"/>
      <c r="NPI244" s="26"/>
      <c r="NPM244" s="23"/>
      <c r="NPR244" s="26"/>
      <c r="NPV244" s="23"/>
      <c r="NQA244" s="26"/>
      <c r="NQE244" s="23"/>
      <c r="NQJ244" s="26"/>
      <c r="NQN244" s="23"/>
      <c r="NQS244" s="26"/>
      <c r="NQW244" s="23"/>
      <c r="NRB244" s="26"/>
      <c r="NRF244" s="23"/>
      <c r="NRK244" s="26"/>
      <c r="NRO244" s="23"/>
      <c r="NRT244" s="26"/>
      <c r="NRX244" s="23"/>
      <c r="NSC244" s="26"/>
      <c r="NSG244" s="23"/>
      <c r="NSL244" s="26"/>
      <c r="NSP244" s="23"/>
      <c r="NSU244" s="26"/>
      <c r="NSY244" s="23"/>
      <c r="NTD244" s="26"/>
      <c r="NTH244" s="23"/>
      <c r="NTM244" s="26"/>
      <c r="NTQ244" s="23"/>
      <c r="NTV244" s="26"/>
      <c r="NTZ244" s="23"/>
      <c r="NUE244" s="26"/>
      <c r="NUI244" s="23"/>
      <c r="NUN244" s="26"/>
      <c r="NUR244" s="23"/>
      <c r="NUW244" s="26"/>
      <c r="NVA244" s="23"/>
      <c r="NVF244" s="26"/>
      <c r="NVJ244" s="23"/>
      <c r="NVO244" s="26"/>
      <c r="NVS244" s="23"/>
      <c r="NVX244" s="26"/>
      <c r="NWB244" s="23"/>
      <c r="NWG244" s="26"/>
      <c r="NWK244" s="23"/>
      <c r="NWP244" s="26"/>
      <c r="NWT244" s="23"/>
      <c r="NWY244" s="26"/>
      <c r="NXC244" s="23"/>
      <c r="NXH244" s="26"/>
      <c r="NXL244" s="23"/>
      <c r="NXQ244" s="26"/>
      <c r="NXU244" s="23"/>
      <c r="NXZ244" s="26"/>
      <c r="NYD244" s="23"/>
      <c r="NYI244" s="26"/>
      <c r="NYM244" s="23"/>
      <c r="NYR244" s="26"/>
      <c r="NYV244" s="23"/>
      <c r="NZA244" s="26"/>
      <c r="NZE244" s="23"/>
      <c r="NZJ244" s="26"/>
      <c r="NZN244" s="23"/>
      <c r="NZS244" s="26"/>
      <c r="NZW244" s="23"/>
      <c r="OAB244" s="26"/>
      <c r="OAF244" s="23"/>
      <c r="OAK244" s="26"/>
      <c r="OAO244" s="23"/>
      <c r="OAT244" s="26"/>
      <c r="OAX244" s="23"/>
      <c r="OBC244" s="26"/>
      <c r="OBG244" s="23"/>
      <c r="OBL244" s="26"/>
      <c r="OBP244" s="23"/>
      <c r="OBU244" s="26"/>
      <c r="OBY244" s="23"/>
      <c r="OCD244" s="26"/>
      <c r="OCH244" s="23"/>
      <c r="OCM244" s="26"/>
      <c r="OCQ244" s="23"/>
      <c r="OCV244" s="26"/>
      <c r="OCZ244" s="23"/>
      <c r="ODE244" s="26"/>
      <c r="ODI244" s="23"/>
      <c r="ODN244" s="26"/>
      <c r="ODR244" s="23"/>
      <c r="ODW244" s="26"/>
      <c r="OEA244" s="23"/>
      <c r="OEF244" s="26"/>
      <c r="OEJ244" s="23"/>
      <c r="OEO244" s="26"/>
      <c r="OES244" s="23"/>
      <c r="OEX244" s="26"/>
      <c r="OFB244" s="23"/>
      <c r="OFG244" s="26"/>
      <c r="OFK244" s="23"/>
      <c r="OFP244" s="26"/>
      <c r="OFT244" s="23"/>
      <c r="OFY244" s="26"/>
      <c r="OGC244" s="23"/>
      <c r="OGH244" s="26"/>
      <c r="OGL244" s="23"/>
      <c r="OGQ244" s="26"/>
      <c r="OGU244" s="23"/>
      <c r="OGZ244" s="26"/>
      <c r="OHD244" s="23"/>
      <c r="OHI244" s="26"/>
      <c r="OHM244" s="23"/>
      <c r="OHR244" s="26"/>
      <c r="OHV244" s="23"/>
      <c r="OIA244" s="26"/>
      <c r="OIE244" s="23"/>
      <c r="OIJ244" s="26"/>
      <c r="OIN244" s="23"/>
      <c r="OIS244" s="26"/>
      <c r="OIW244" s="23"/>
      <c r="OJB244" s="26"/>
      <c r="OJF244" s="23"/>
      <c r="OJK244" s="26"/>
      <c r="OJO244" s="23"/>
      <c r="OJT244" s="26"/>
      <c r="OJX244" s="23"/>
      <c r="OKC244" s="26"/>
      <c r="OKG244" s="23"/>
      <c r="OKL244" s="26"/>
      <c r="OKP244" s="23"/>
      <c r="OKU244" s="26"/>
      <c r="OKY244" s="23"/>
      <c r="OLD244" s="26"/>
      <c r="OLH244" s="23"/>
      <c r="OLM244" s="26"/>
      <c r="OLQ244" s="23"/>
      <c r="OLV244" s="26"/>
      <c r="OLZ244" s="23"/>
      <c r="OME244" s="26"/>
      <c r="OMI244" s="23"/>
      <c r="OMN244" s="26"/>
      <c r="OMR244" s="23"/>
      <c r="OMW244" s="26"/>
      <c r="ONA244" s="23"/>
      <c r="ONF244" s="26"/>
      <c r="ONJ244" s="23"/>
      <c r="ONO244" s="26"/>
      <c r="ONS244" s="23"/>
      <c r="ONX244" s="26"/>
      <c r="OOB244" s="23"/>
      <c r="OOG244" s="26"/>
      <c r="OOK244" s="23"/>
      <c r="OOP244" s="26"/>
      <c r="OOT244" s="23"/>
      <c r="OOY244" s="26"/>
      <c r="OPC244" s="23"/>
      <c r="OPH244" s="26"/>
      <c r="OPL244" s="23"/>
      <c r="OPQ244" s="26"/>
      <c r="OPU244" s="23"/>
      <c r="OPZ244" s="26"/>
      <c r="OQD244" s="23"/>
      <c r="OQI244" s="26"/>
      <c r="OQM244" s="23"/>
      <c r="OQR244" s="26"/>
      <c r="OQV244" s="23"/>
      <c r="ORA244" s="26"/>
      <c r="ORE244" s="23"/>
      <c r="ORJ244" s="26"/>
      <c r="ORN244" s="23"/>
      <c r="ORS244" s="26"/>
      <c r="ORW244" s="23"/>
      <c r="OSB244" s="26"/>
      <c r="OSF244" s="23"/>
      <c r="OSK244" s="26"/>
      <c r="OSO244" s="23"/>
      <c r="OST244" s="26"/>
      <c r="OSX244" s="23"/>
      <c r="OTC244" s="26"/>
      <c r="OTG244" s="23"/>
      <c r="OTL244" s="26"/>
      <c r="OTP244" s="23"/>
      <c r="OTU244" s="26"/>
      <c r="OTY244" s="23"/>
      <c r="OUD244" s="26"/>
      <c r="OUH244" s="23"/>
      <c r="OUM244" s="26"/>
      <c r="OUQ244" s="23"/>
      <c r="OUV244" s="26"/>
      <c r="OUZ244" s="23"/>
      <c r="OVE244" s="26"/>
      <c r="OVI244" s="23"/>
      <c r="OVN244" s="26"/>
      <c r="OVR244" s="23"/>
      <c r="OVW244" s="26"/>
      <c r="OWA244" s="23"/>
      <c r="OWF244" s="26"/>
      <c r="OWJ244" s="23"/>
      <c r="OWO244" s="26"/>
      <c r="OWS244" s="23"/>
      <c r="OWX244" s="26"/>
      <c r="OXB244" s="23"/>
      <c r="OXG244" s="26"/>
      <c r="OXK244" s="23"/>
      <c r="OXP244" s="26"/>
      <c r="OXT244" s="23"/>
      <c r="OXY244" s="26"/>
      <c r="OYC244" s="23"/>
      <c r="OYH244" s="26"/>
      <c r="OYL244" s="23"/>
      <c r="OYQ244" s="26"/>
      <c r="OYU244" s="23"/>
      <c r="OYZ244" s="26"/>
      <c r="OZD244" s="23"/>
      <c r="OZI244" s="26"/>
      <c r="OZM244" s="23"/>
      <c r="OZR244" s="26"/>
      <c r="OZV244" s="23"/>
      <c r="PAA244" s="26"/>
      <c r="PAE244" s="23"/>
      <c r="PAJ244" s="26"/>
      <c r="PAN244" s="23"/>
      <c r="PAS244" s="26"/>
      <c r="PAW244" s="23"/>
      <c r="PBB244" s="26"/>
      <c r="PBF244" s="23"/>
      <c r="PBK244" s="26"/>
      <c r="PBO244" s="23"/>
      <c r="PBT244" s="26"/>
      <c r="PBX244" s="23"/>
      <c r="PCC244" s="26"/>
      <c r="PCG244" s="23"/>
      <c r="PCL244" s="26"/>
      <c r="PCP244" s="23"/>
      <c r="PCU244" s="26"/>
      <c r="PCY244" s="23"/>
      <c r="PDD244" s="26"/>
      <c r="PDH244" s="23"/>
      <c r="PDM244" s="26"/>
      <c r="PDQ244" s="23"/>
      <c r="PDV244" s="26"/>
      <c r="PDZ244" s="23"/>
      <c r="PEE244" s="26"/>
      <c r="PEI244" s="23"/>
      <c r="PEN244" s="26"/>
      <c r="PER244" s="23"/>
      <c r="PEW244" s="26"/>
      <c r="PFA244" s="23"/>
      <c r="PFF244" s="26"/>
      <c r="PFJ244" s="23"/>
      <c r="PFO244" s="26"/>
      <c r="PFS244" s="23"/>
      <c r="PFX244" s="26"/>
      <c r="PGB244" s="23"/>
      <c r="PGG244" s="26"/>
      <c r="PGK244" s="23"/>
      <c r="PGP244" s="26"/>
      <c r="PGT244" s="23"/>
      <c r="PGY244" s="26"/>
      <c r="PHC244" s="23"/>
      <c r="PHH244" s="26"/>
      <c r="PHL244" s="23"/>
      <c r="PHQ244" s="26"/>
      <c r="PHU244" s="23"/>
      <c r="PHZ244" s="26"/>
      <c r="PID244" s="23"/>
      <c r="PII244" s="26"/>
      <c r="PIM244" s="23"/>
      <c r="PIR244" s="26"/>
      <c r="PIV244" s="23"/>
      <c r="PJA244" s="26"/>
      <c r="PJE244" s="23"/>
      <c r="PJJ244" s="26"/>
      <c r="PJN244" s="23"/>
      <c r="PJS244" s="26"/>
      <c r="PJW244" s="23"/>
      <c r="PKB244" s="26"/>
      <c r="PKF244" s="23"/>
      <c r="PKK244" s="26"/>
      <c r="PKO244" s="23"/>
      <c r="PKT244" s="26"/>
      <c r="PKX244" s="23"/>
      <c r="PLC244" s="26"/>
      <c r="PLG244" s="23"/>
      <c r="PLL244" s="26"/>
      <c r="PLP244" s="23"/>
      <c r="PLU244" s="26"/>
      <c r="PLY244" s="23"/>
      <c r="PMD244" s="26"/>
      <c r="PMH244" s="23"/>
      <c r="PMM244" s="26"/>
      <c r="PMQ244" s="23"/>
      <c r="PMV244" s="26"/>
      <c r="PMZ244" s="23"/>
      <c r="PNE244" s="26"/>
      <c r="PNI244" s="23"/>
      <c r="PNN244" s="26"/>
      <c r="PNR244" s="23"/>
      <c r="PNW244" s="26"/>
      <c r="POA244" s="23"/>
      <c r="POF244" s="26"/>
      <c r="POJ244" s="23"/>
      <c r="POO244" s="26"/>
      <c r="POS244" s="23"/>
      <c r="POX244" s="26"/>
      <c r="PPB244" s="23"/>
      <c r="PPG244" s="26"/>
      <c r="PPK244" s="23"/>
      <c r="PPP244" s="26"/>
      <c r="PPT244" s="23"/>
      <c r="PPY244" s="26"/>
      <c r="PQC244" s="23"/>
      <c r="PQH244" s="26"/>
      <c r="PQL244" s="23"/>
      <c r="PQQ244" s="26"/>
      <c r="PQU244" s="23"/>
      <c r="PQZ244" s="26"/>
      <c r="PRD244" s="23"/>
      <c r="PRI244" s="26"/>
      <c r="PRM244" s="23"/>
      <c r="PRR244" s="26"/>
      <c r="PRV244" s="23"/>
      <c r="PSA244" s="26"/>
      <c r="PSE244" s="23"/>
      <c r="PSJ244" s="26"/>
      <c r="PSN244" s="23"/>
      <c r="PSS244" s="26"/>
      <c r="PSW244" s="23"/>
      <c r="PTB244" s="26"/>
      <c r="PTF244" s="23"/>
      <c r="PTK244" s="26"/>
      <c r="PTO244" s="23"/>
      <c r="PTT244" s="26"/>
      <c r="PTX244" s="23"/>
      <c r="PUC244" s="26"/>
      <c r="PUG244" s="23"/>
      <c r="PUL244" s="26"/>
      <c r="PUP244" s="23"/>
      <c r="PUU244" s="26"/>
      <c r="PUY244" s="23"/>
      <c r="PVD244" s="26"/>
      <c r="PVH244" s="23"/>
      <c r="PVM244" s="26"/>
      <c r="PVQ244" s="23"/>
      <c r="PVV244" s="26"/>
      <c r="PVZ244" s="23"/>
      <c r="PWE244" s="26"/>
      <c r="PWI244" s="23"/>
      <c r="PWN244" s="26"/>
      <c r="PWR244" s="23"/>
      <c r="PWW244" s="26"/>
      <c r="PXA244" s="23"/>
      <c r="PXF244" s="26"/>
      <c r="PXJ244" s="23"/>
      <c r="PXO244" s="26"/>
      <c r="PXS244" s="23"/>
      <c r="PXX244" s="26"/>
      <c r="PYB244" s="23"/>
      <c r="PYG244" s="26"/>
      <c r="PYK244" s="23"/>
      <c r="PYP244" s="26"/>
      <c r="PYT244" s="23"/>
      <c r="PYY244" s="26"/>
      <c r="PZC244" s="23"/>
      <c r="PZH244" s="26"/>
      <c r="PZL244" s="23"/>
      <c r="PZQ244" s="26"/>
      <c r="PZU244" s="23"/>
      <c r="PZZ244" s="26"/>
      <c r="QAD244" s="23"/>
      <c r="QAI244" s="26"/>
      <c r="QAM244" s="23"/>
      <c r="QAR244" s="26"/>
      <c r="QAV244" s="23"/>
      <c r="QBA244" s="26"/>
      <c r="QBE244" s="23"/>
      <c r="QBJ244" s="26"/>
      <c r="QBN244" s="23"/>
      <c r="QBS244" s="26"/>
      <c r="QBW244" s="23"/>
      <c r="QCB244" s="26"/>
      <c r="QCF244" s="23"/>
      <c r="QCK244" s="26"/>
      <c r="QCO244" s="23"/>
      <c r="QCT244" s="26"/>
      <c r="QCX244" s="23"/>
      <c r="QDC244" s="26"/>
      <c r="QDG244" s="23"/>
      <c r="QDL244" s="26"/>
      <c r="QDP244" s="23"/>
      <c r="QDU244" s="26"/>
      <c r="QDY244" s="23"/>
      <c r="QED244" s="26"/>
      <c r="QEH244" s="23"/>
      <c r="QEM244" s="26"/>
      <c r="QEQ244" s="23"/>
      <c r="QEV244" s="26"/>
      <c r="QEZ244" s="23"/>
      <c r="QFE244" s="26"/>
      <c r="QFI244" s="23"/>
      <c r="QFN244" s="26"/>
      <c r="QFR244" s="23"/>
      <c r="QFW244" s="26"/>
      <c r="QGA244" s="23"/>
      <c r="QGF244" s="26"/>
      <c r="QGJ244" s="23"/>
      <c r="QGO244" s="26"/>
      <c r="QGS244" s="23"/>
      <c r="QGX244" s="26"/>
      <c r="QHB244" s="23"/>
      <c r="QHG244" s="26"/>
      <c r="QHK244" s="23"/>
      <c r="QHP244" s="26"/>
      <c r="QHT244" s="23"/>
      <c r="QHY244" s="26"/>
      <c r="QIC244" s="23"/>
      <c r="QIH244" s="26"/>
      <c r="QIL244" s="23"/>
      <c r="QIQ244" s="26"/>
      <c r="QIU244" s="23"/>
      <c r="QIZ244" s="26"/>
      <c r="QJD244" s="23"/>
      <c r="QJI244" s="26"/>
      <c r="QJM244" s="23"/>
      <c r="QJR244" s="26"/>
      <c r="QJV244" s="23"/>
      <c r="QKA244" s="26"/>
      <c r="QKE244" s="23"/>
      <c r="QKJ244" s="26"/>
      <c r="QKN244" s="23"/>
      <c r="QKS244" s="26"/>
      <c r="QKW244" s="23"/>
      <c r="QLB244" s="26"/>
      <c r="QLF244" s="23"/>
      <c r="QLK244" s="26"/>
      <c r="QLO244" s="23"/>
      <c r="QLT244" s="26"/>
      <c r="QLX244" s="23"/>
      <c r="QMC244" s="26"/>
      <c r="QMG244" s="23"/>
      <c r="QML244" s="26"/>
      <c r="QMP244" s="23"/>
      <c r="QMU244" s="26"/>
      <c r="QMY244" s="23"/>
      <c r="QND244" s="26"/>
      <c r="QNH244" s="23"/>
      <c r="QNM244" s="26"/>
      <c r="QNQ244" s="23"/>
      <c r="QNV244" s="26"/>
      <c r="QNZ244" s="23"/>
      <c r="QOE244" s="26"/>
      <c r="QOI244" s="23"/>
      <c r="QON244" s="26"/>
      <c r="QOR244" s="23"/>
      <c r="QOW244" s="26"/>
      <c r="QPA244" s="23"/>
      <c r="QPF244" s="26"/>
      <c r="QPJ244" s="23"/>
      <c r="QPO244" s="26"/>
      <c r="QPS244" s="23"/>
      <c r="QPX244" s="26"/>
      <c r="QQB244" s="23"/>
      <c r="QQG244" s="26"/>
      <c r="QQK244" s="23"/>
      <c r="QQP244" s="26"/>
      <c r="QQT244" s="23"/>
      <c r="QQY244" s="26"/>
      <c r="QRC244" s="23"/>
      <c r="QRH244" s="26"/>
      <c r="QRL244" s="23"/>
      <c r="QRQ244" s="26"/>
      <c r="QRU244" s="23"/>
      <c r="QRZ244" s="26"/>
      <c r="QSD244" s="23"/>
      <c r="QSI244" s="26"/>
      <c r="QSM244" s="23"/>
      <c r="QSR244" s="26"/>
      <c r="QSV244" s="23"/>
      <c r="QTA244" s="26"/>
      <c r="QTE244" s="23"/>
      <c r="QTJ244" s="26"/>
      <c r="QTN244" s="23"/>
      <c r="QTS244" s="26"/>
      <c r="QTW244" s="23"/>
      <c r="QUB244" s="26"/>
      <c r="QUF244" s="23"/>
      <c r="QUK244" s="26"/>
      <c r="QUO244" s="23"/>
      <c r="QUT244" s="26"/>
      <c r="QUX244" s="23"/>
      <c r="QVC244" s="26"/>
      <c r="QVG244" s="23"/>
      <c r="QVL244" s="26"/>
      <c r="QVP244" s="23"/>
      <c r="QVU244" s="26"/>
      <c r="QVY244" s="23"/>
      <c r="QWD244" s="26"/>
      <c r="QWH244" s="23"/>
      <c r="QWM244" s="26"/>
      <c r="QWQ244" s="23"/>
      <c r="QWV244" s="26"/>
      <c r="QWZ244" s="23"/>
      <c r="QXE244" s="26"/>
      <c r="QXI244" s="23"/>
      <c r="QXN244" s="26"/>
      <c r="QXR244" s="23"/>
      <c r="QXW244" s="26"/>
      <c r="QYA244" s="23"/>
      <c r="QYF244" s="26"/>
      <c r="QYJ244" s="23"/>
      <c r="QYO244" s="26"/>
      <c r="QYS244" s="23"/>
      <c r="QYX244" s="26"/>
      <c r="QZB244" s="23"/>
      <c r="QZG244" s="26"/>
      <c r="QZK244" s="23"/>
      <c r="QZP244" s="26"/>
      <c r="QZT244" s="23"/>
      <c r="QZY244" s="26"/>
      <c r="RAC244" s="23"/>
      <c r="RAH244" s="26"/>
      <c r="RAL244" s="23"/>
      <c r="RAQ244" s="26"/>
      <c r="RAU244" s="23"/>
      <c r="RAZ244" s="26"/>
      <c r="RBD244" s="23"/>
      <c r="RBI244" s="26"/>
      <c r="RBM244" s="23"/>
      <c r="RBR244" s="26"/>
      <c r="RBV244" s="23"/>
      <c r="RCA244" s="26"/>
      <c r="RCE244" s="23"/>
      <c r="RCJ244" s="26"/>
      <c r="RCN244" s="23"/>
      <c r="RCS244" s="26"/>
      <c r="RCW244" s="23"/>
      <c r="RDB244" s="26"/>
      <c r="RDF244" s="23"/>
      <c r="RDK244" s="26"/>
      <c r="RDO244" s="23"/>
      <c r="RDT244" s="26"/>
      <c r="RDX244" s="23"/>
      <c r="REC244" s="26"/>
      <c r="REG244" s="23"/>
      <c r="REL244" s="26"/>
      <c r="REP244" s="23"/>
      <c r="REU244" s="26"/>
      <c r="REY244" s="23"/>
      <c r="RFD244" s="26"/>
      <c r="RFH244" s="23"/>
      <c r="RFM244" s="26"/>
      <c r="RFQ244" s="23"/>
      <c r="RFV244" s="26"/>
      <c r="RFZ244" s="23"/>
      <c r="RGE244" s="26"/>
      <c r="RGI244" s="23"/>
      <c r="RGN244" s="26"/>
      <c r="RGR244" s="23"/>
      <c r="RGW244" s="26"/>
      <c r="RHA244" s="23"/>
      <c r="RHF244" s="26"/>
      <c r="RHJ244" s="23"/>
      <c r="RHO244" s="26"/>
      <c r="RHS244" s="23"/>
      <c r="RHX244" s="26"/>
      <c r="RIB244" s="23"/>
      <c r="RIG244" s="26"/>
      <c r="RIK244" s="23"/>
      <c r="RIP244" s="26"/>
      <c r="RIT244" s="23"/>
      <c r="RIY244" s="26"/>
      <c r="RJC244" s="23"/>
      <c r="RJH244" s="26"/>
      <c r="RJL244" s="23"/>
      <c r="RJQ244" s="26"/>
      <c r="RJU244" s="23"/>
      <c r="RJZ244" s="26"/>
      <c r="RKD244" s="23"/>
      <c r="RKI244" s="26"/>
      <c r="RKM244" s="23"/>
      <c r="RKR244" s="26"/>
      <c r="RKV244" s="23"/>
      <c r="RLA244" s="26"/>
      <c r="RLE244" s="23"/>
      <c r="RLJ244" s="26"/>
      <c r="RLN244" s="23"/>
      <c r="RLS244" s="26"/>
      <c r="RLW244" s="23"/>
      <c r="RMB244" s="26"/>
      <c r="RMF244" s="23"/>
      <c r="RMK244" s="26"/>
      <c r="RMO244" s="23"/>
      <c r="RMT244" s="26"/>
      <c r="RMX244" s="23"/>
      <c r="RNC244" s="26"/>
      <c r="RNG244" s="23"/>
      <c r="RNL244" s="26"/>
      <c r="RNP244" s="23"/>
      <c r="RNU244" s="26"/>
      <c r="RNY244" s="23"/>
      <c r="ROD244" s="26"/>
      <c r="ROH244" s="23"/>
      <c r="ROM244" s="26"/>
      <c r="ROQ244" s="23"/>
      <c r="ROV244" s="26"/>
      <c r="ROZ244" s="23"/>
      <c r="RPE244" s="26"/>
      <c r="RPI244" s="23"/>
      <c r="RPN244" s="26"/>
      <c r="RPR244" s="23"/>
      <c r="RPW244" s="26"/>
      <c r="RQA244" s="23"/>
      <c r="RQF244" s="26"/>
      <c r="RQJ244" s="23"/>
      <c r="RQO244" s="26"/>
      <c r="RQS244" s="23"/>
      <c r="RQX244" s="26"/>
      <c r="RRB244" s="23"/>
      <c r="RRG244" s="26"/>
      <c r="RRK244" s="23"/>
      <c r="RRP244" s="26"/>
      <c r="RRT244" s="23"/>
      <c r="RRY244" s="26"/>
      <c r="RSC244" s="23"/>
      <c r="RSH244" s="26"/>
      <c r="RSL244" s="23"/>
      <c r="RSQ244" s="26"/>
      <c r="RSU244" s="23"/>
      <c r="RSZ244" s="26"/>
      <c r="RTD244" s="23"/>
      <c r="RTI244" s="26"/>
      <c r="RTM244" s="23"/>
      <c r="RTR244" s="26"/>
      <c r="RTV244" s="23"/>
      <c r="RUA244" s="26"/>
      <c r="RUE244" s="23"/>
      <c r="RUJ244" s="26"/>
      <c r="RUN244" s="23"/>
      <c r="RUS244" s="26"/>
      <c r="RUW244" s="23"/>
      <c r="RVB244" s="26"/>
      <c r="RVF244" s="23"/>
      <c r="RVK244" s="26"/>
      <c r="RVO244" s="23"/>
      <c r="RVT244" s="26"/>
      <c r="RVX244" s="23"/>
      <c r="RWC244" s="26"/>
      <c r="RWG244" s="23"/>
      <c r="RWL244" s="26"/>
      <c r="RWP244" s="23"/>
      <c r="RWU244" s="26"/>
      <c r="RWY244" s="23"/>
      <c r="RXD244" s="26"/>
      <c r="RXH244" s="23"/>
      <c r="RXM244" s="26"/>
      <c r="RXQ244" s="23"/>
      <c r="RXV244" s="26"/>
      <c r="RXZ244" s="23"/>
      <c r="RYE244" s="26"/>
      <c r="RYI244" s="23"/>
      <c r="RYN244" s="26"/>
      <c r="RYR244" s="23"/>
      <c r="RYW244" s="26"/>
      <c r="RZA244" s="23"/>
      <c r="RZF244" s="26"/>
      <c r="RZJ244" s="23"/>
      <c r="RZO244" s="26"/>
      <c r="RZS244" s="23"/>
      <c r="RZX244" s="26"/>
      <c r="SAB244" s="23"/>
      <c r="SAG244" s="26"/>
      <c r="SAK244" s="23"/>
      <c r="SAP244" s="26"/>
      <c r="SAT244" s="23"/>
      <c r="SAY244" s="26"/>
      <c r="SBC244" s="23"/>
      <c r="SBH244" s="26"/>
      <c r="SBL244" s="23"/>
      <c r="SBQ244" s="26"/>
      <c r="SBU244" s="23"/>
      <c r="SBZ244" s="26"/>
      <c r="SCD244" s="23"/>
      <c r="SCI244" s="26"/>
      <c r="SCM244" s="23"/>
      <c r="SCR244" s="26"/>
      <c r="SCV244" s="23"/>
      <c r="SDA244" s="26"/>
      <c r="SDE244" s="23"/>
      <c r="SDJ244" s="26"/>
      <c r="SDN244" s="23"/>
      <c r="SDS244" s="26"/>
      <c r="SDW244" s="23"/>
      <c r="SEB244" s="26"/>
      <c r="SEF244" s="23"/>
      <c r="SEK244" s="26"/>
      <c r="SEO244" s="23"/>
      <c r="SET244" s="26"/>
      <c r="SEX244" s="23"/>
      <c r="SFC244" s="26"/>
      <c r="SFG244" s="23"/>
      <c r="SFL244" s="26"/>
      <c r="SFP244" s="23"/>
      <c r="SFU244" s="26"/>
      <c r="SFY244" s="23"/>
      <c r="SGD244" s="26"/>
      <c r="SGH244" s="23"/>
      <c r="SGM244" s="26"/>
      <c r="SGQ244" s="23"/>
      <c r="SGV244" s="26"/>
      <c r="SGZ244" s="23"/>
      <c r="SHE244" s="26"/>
      <c r="SHI244" s="23"/>
      <c r="SHN244" s="26"/>
      <c r="SHR244" s="23"/>
      <c r="SHW244" s="26"/>
      <c r="SIA244" s="23"/>
      <c r="SIF244" s="26"/>
      <c r="SIJ244" s="23"/>
      <c r="SIO244" s="26"/>
      <c r="SIS244" s="23"/>
      <c r="SIX244" s="26"/>
      <c r="SJB244" s="23"/>
      <c r="SJG244" s="26"/>
      <c r="SJK244" s="23"/>
      <c r="SJP244" s="26"/>
      <c r="SJT244" s="23"/>
      <c r="SJY244" s="26"/>
      <c r="SKC244" s="23"/>
      <c r="SKH244" s="26"/>
      <c r="SKL244" s="23"/>
      <c r="SKQ244" s="26"/>
      <c r="SKU244" s="23"/>
      <c r="SKZ244" s="26"/>
      <c r="SLD244" s="23"/>
      <c r="SLI244" s="26"/>
      <c r="SLM244" s="23"/>
      <c r="SLR244" s="26"/>
      <c r="SLV244" s="23"/>
      <c r="SMA244" s="26"/>
      <c r="SME244" s="23"/>
      <c r="SMJ244" s="26"/>
      <c r="SMN244" s="23"/>
      <c r="SMS244" s="26"/>
      <c r="SMW244" s="23"/>
      <c r="SNB244" s="26"/>
      <c r="SNF244" s="23"/>
      <c r="SNK244" s="26"/>
      <c r="SNO244" s="23"/>
      <c r="SNT244" s="26"/>
      <c r="SNX244" s="23"/>
      <c r="SOC244" s="26"/>
      <c r="SOG244" s="23"/>
      <c r="SOL244" s="26"/>
      <c r="SOP244" s="23"/>
      <c r="SOU244" s="26"/>
      <c r="SOY244" s="23"/>
      <c r="SPD244" s="26"/>
      <c r="SPH244" s="23"/>
      <c r="SPM244" s="26"/>
      <c r="SPQ244" s="23"/>
      <c r="SPV244" s="26"/>
      <c r="SPZ244" s="23"/>
      <c r="SQE244" s="26"/>
      <c r="SQI244" s="23"/>
      <c r="SQN244" s="26"/>
      <c r="SQR244" s="23"/>
      <c r="SQW244" s="26"/>
      <c r="SRA244" s="23"/>
      <c r="SRF244" s="26"/>
      <c r="SRJ244" s="23"/>
      <c r="SRO244" s="26"/>
      <c r="SRS244" s="23"/>
      <c r="SRX244" s="26"/>
      <c r="SSB244" s="23"/>
      <c r="SSG244" s="26"/>
      <c r="SSK244" s="23"/>
      <c r="SSP244" s="26"/>
      <c r="SST244" s="23"/>
      <c r="SSY244" s="26"/>
      <c r="STC244" s="23"/>
      <c r="STH244" s="26"/>
      <c r="STL244" s="23"/>
      <c r="STQ244" s="26"/>
      <c r="STU244" s="23"/>
      <c r="STZ244" s="26"/>
      <c r="SUD244" s="23"/>
      <c r="SUI244" s="26"/>
      <c r="SUM244" s="23"/>
      <c r="SUR244" s="26"/>
      <c r="SUV244" s="23"/>
      <c r="SVA244" s="26"/>
      <c r="SVE244" s="23"/>
      <c r="SVJ244" s="26"/>
      <c r="SVN244" s="23"/>
      <c r="SVS244" s="26"/>
      <c r="SVW244" s="23"/>
      <c r="SWB244" s="26"/>
      <c r="SWF244" s="23"/>
      <c r="SWK244" s="26"/>
      <c r="SWO244" s="23"/>
      <c r="SWT244" s="26"/>
      <c r="SWX244" s="23"/>
      <c r="SXC244" s="26"/>
      <c r="SXG244" s="23"/>
      <c r="SXL244" s="26"/>
      <c r="SXP244" s="23"/>
      <c r="SXU244" s="26"/>
      <c r="SXY244" s="23"/>
      <c r="SYD244" s="26"/>
      <c r="SYH244" s="23"/>
      <c r="SYM244" s="26"/>
      <c r="SYQ244" s="23"/>
      <c r="SYV244" s="26"/>
      <c r="SYZ244" s="23"/>
      <c r="SZE244" s="26"/>
      <c r="SZI244" s="23"/>
      <c r="SZN244" s="26"/>
      <c r="SZR244" s="23"/>
      <c r="SZW244" s="26"/>
      <c r="TAA244" s="23"/>
      <c r="TAF244" s="26"/>
      <c r="TAJ244" s="23"/>
      <c r="TAO244" s="26"/>
      <c r="TAS244" s="23"/>
      <c r="TAX244" s="26"/>
      <c r="TBB244" s="23"/>
      <c r="TBG244" s="26"/>
      <c r="TBK244" s="23"/>
      <c r="TBP244" s="26"/>
      <c r="TBT244" s="23"/>
      <c r="TBY244" s="26"/>
      <c r="TCC244" s="23"/>
      <c r="TCH244" s="26"/>
      <c r="TCL244" s="23"/>
      <c r="TCQ244" s="26"/>
      <c r="TCU244" s="23"/>
      <c r="TCZ244" s="26"/>
      <c r="TDD244" s="23"/>
      <c r="TDI244" s="26"/>
      <c r="TDM244" s="23"/>
      <c r="TDR244" s="26"/>
      <c r="TDV244" s="23"/>
      <c r="TEA244" s="26"/>
      <c r="TEE244" s="23"/>
      <c r="TEJ244" s="26"/>
      <c r="TEN244" s="23"/>
      <c r="TES244" s="26"/>
      <c r="TEW244" s="23"/>
      <c r="TFB244" s="26"/>
      <c r="TFF244" s="23"/>
      <c r="TFK244" s="26"/>
      <c r="TFO244" s="23"/>
      <c r="TFT244" s="26"/>
      <c r="TFX244" s="23"/>
      <c r="TGC244" s="26"/>
      <c r="TGG244" s="23"/>
      <c r="TGL244" s="26"/>
      <c r="TGP244" s="23"/>
      <c r="TGU244" s="26"/>
      <c r="TGY244" s="23"/>
      <c r="THD244" s="26"/>
      <c r="THH244" s="23"/>
      <c r="THM244" s="26"/>
      <c r="THQ244" s="23"/>
      <c r="THV244" s="26"/>
      <c r="THZ244" s="23"/>
      <c r="TIE244" s="26"/>
      <c r="TII244" s="23"/>
      <c r="TIN244" s="26"/>
      <c r="TIR244" s="23"/>
      <c r="TIW244" s="26"/>
      <c r="TJA244" s="23"/>
      <c r="TJF244" s="26"/>
      <c r="TJJ244" s="23"/>
      <c r="TJO244" s="26"/>
      <c r="TJS244" s="23"/>
      <c r="TJX244" s="26"/>
      <c r="TKB244" s="23"/>
      <c r="TKG244" s="26"/>
      <c r="TKK244" s="23"/>
      <c r="TKP244" s="26"/>
      <c r="TKT244" s="23"/>
      <c r="TKY244" s="26"/>
      <c r="TLC244" s="23"/>
      <c r="TLH244" s="26"/>
      <c r="TLL244" s="23"/>
      <c r="TLQ244" s="26"/>
      <c r="TLU244" s="23"/>
      <c r="TLZ244" s="26"/>
      <c r="TMD244" s="23"/>
      <c r="TMI244" s="26"/>
      <c r="TMM244" s="23"/>
      <c r="TMR244" s="26"/>
      <c r="TMV244" s="23"/>
      <c r="TNA244" s="26"/>
      <c r="TNE244" s="23"/>
      <c r="TNJ244" s="26"/>
      <c r="TNN244" s="23"/>
      <c r="TNS244" s="26"/>
      <c r="TNW244" s="23"/>
      <c r="TOB244" s="26"/>
      <c r="TOF244" s="23"/>
      <c r="TOK244" s="26"/>
      <c r="TOO244" s="23"/>
      <c r="TOT244" s="26"/>
      <c r="TOX244" s="23"/>
      <c r="TPC244" s="26"/>
      <c r="TPG244" s="23"/>
      <c r="TPL244" s="26"/>
      <c r="TPP244" s="23"/>
      <c r="TPU244" s="26"/>
      <c r="TPY244" s="23"/>
      <c r="TQD244" s="26"/>
      <c r="TQH244" s="23"/>
      <c r="TQM244" s="26"/>
      <c r="TQQ244" s="23"/>
      <c r="TQV244" s="26"/>
      <c r="TQZ244" s="23"/>
      <c r="TRE244" s="26"/>
      <c r="TRI244" s="23"/>
      <c r="TRN244" s="26"/>
      <c r="TRR244" s="23"/>
      <c r="TRW244" s="26"/>
      <c r="TSA244" s="23"/>
      <c r="TSF244" s="26"/>
      <c r="TSJ244" s="23"/>
      <c r="TSO244" s="26"/>
      <c r="TSS244" s="23"/>
      <c r="TSX244" s="26"/>
      <c r="TTB244" s="23"/>
      <c r="TTG244" s="26"/>
      <c r="TTK244" s="23"/>
      <c r="TTP244" s="26"/>
      <c r="TTT244" s="23"/>
      <c r="TTY244" s="26"/>
      <c r="TUC244" s="23"/>
      <c r="TUH244" s="26"/>
      <c r="TUL244" s="23"/>
      <c r="TUQ244" s="26"/>
      <c r="TUU244" s="23"/>
      <c r="TUZ244" s="26"/>
      <c r="TVD244" s="23"/>
      <c r="TVI244" s="26"/>
      <c r="TVM244" s="23"/>
      <c r="TVR244" s="26"/>
      <c r="TVV244" s="23"/>
      <c r="TWA244" s="26"/>
      <c r="TWE244" s="23"/>
      <c r="TWJ244" s="26"/>
      <c r="TWN244" s="23"/>
      <c r="TWS244" s="26"/>
      <c r="TWW244" s="23"/>
      <c r="TXB244" s="26"/>
      <c r="TXF244" s="23"/>
      <c r="TXK244" s="26"/>
      <c r="TXO244" s="23"/>
      <c r="TXT244" s="26"/>
      <c r="TXX244" s="23"/>
      <c r="TYC244" s="26"/>
      <c r="TYG244" s="23"/>
      <c r="TYL244" s="26"/>
      <c r="TYP244" s="23"/>
      <c r="TYU244" s="26"/>
      <c r="TYY244" s="23"/>
      <c r="TZD244" s="26"/>
      <c r="TZH244" s="23"/>
      <c r="TZM244" s="26"/>
      <c r="TZQ244" s="23"/>
      <c r="TZV244" s="26"/>
      <c r="TZZ244" s="23"/>
      <c r="UAE244" s="26"/>
      <c r="UAI244" s="23"/>
      <c r="UAN244" s="26"/>
      <c r="UAR244" s="23"/>
      <c r="UAW244" s="26"/>
      <c r="UBA244" s="23"/>
      <c r="UBF244" s="26"/>
      <c r="UBJ244" s="23"/>
      <c r="UBO244" s="26"/>
      <c r="UBS244" s="23"/>
      <c r="UBX244" s="26"/>
      <c r="UCB244" s="23"/>
      <c r="UCG244" s="26"/>
      <c r="UCK244" s="23"/>
      <c r="UCP244" s="26"/>
      <c r="UCT244" s="23"/>
      <c r="UCY244" s="26"/>
      <c r="UDC244" s="23"/>
      <c r="UDH244" s="26"/>
      <c r="UDL244" s="23"/>
      <c r="UDQ244" s="26"/>
      <c r="UDU244" s="23"/>
      <c r="UDZ244" s="26"/>
      <c r="UED244" s="23"/>
      <c r="UEI244" s="26"/>
      <c r="UEM244" s="23"/>
      <c r="UER244" s="26"/>
      <c r="UEV244" s="23"/>
      <c r="UFA244" s="26"/>
      <c r="UFE244" s="23"/>
      <c r="UFJ244" s="26"/>
      <c r="UFN244" s="23"/>
      <c r="UFS244" s="26"/>
      <c r="UFW244" s="23"/>
      <c r="UGB244" s="26"/>
      <c r="UGF244" s="23"/>
      <c r="UGK244" s="26"/>
      <c r="UGO244" s="23"/>
      <c r="UGT244" s="26"/>
      <c r="UGX244" s="23"/>
      <c r="UHC244" s="26"/>
      <c r="UHG244" s="23"/>
      <c r="UHL244" s="26"/>
      <c r="UHP244" s="23"/>
      <c r="UHU244" s="26"/>
      <c r="UHY244" s="23"/>
      <c r="UID244" s="26"/>
      <c r="UIH244" s="23"/>
      <c r="UIM244" s="26"/>
      <c r="UIQ244" s="23"/>
      <c r="UIV244" s="26"/>
      <c r="UIZ244" s="23"/>
      <c r="UJE244" s="26"/>
      <c r="UJI244" s="23"/>
      <c r="UJN244" s="26"/>
      <c r="UJR244" s="23"/>
      <c r="UJW244" s="26"/>
      <c r="UKA244" s="23"/>
      <c r="UKF244" s="26"/>
      <c r="UKJ244" s="23"/>
      <c r="UKO244" s="26"/>
      <c r="UKS244" s="23"/>
      <c r="UKX244" s="26"/>
      <c r="ULB244" s="23"/>
      <c r="ULG244" s="26"/>
      <c r="ULK244" s="23"/>
      <c r="ULP244" s="26"/>
      <c r="ULT244" s="23"/>
      <c r="ULY244" s="26"/>
      <c r="UMC244" s="23"/>
      <c r="UMH244" s="26"/>
      <c r="UML244" s="23"/>
      <c r="UMQ244" s="26"/>
      <c r="UMU244" s="23"/>
      <c r="UMZ244" s="26"/>
      <c r="UND244" s="23"/>
      <c r="UNI244" s="26"/>
      <c r="UNM244" s="23"/>
      <c r="UNR244" s="26"/>
      <c r="UNV244" s="23"/>
      <c r="UOA244" s="26"/>
      <c r="UOE244" s="23"/>
      <c r="UOJ244" s="26"/>
      <c r="UON244" s="23"/>
      <c r="UOS244" s="26"/>
      <c r="UOW244" s="23"/>
      <c r="UPB244" s="26"/>
      <c r="UPF244" s="23"/>
      <c r="UPK244" s="26"/>
      <c r="UPO244" s="23"/>
      <c r="UPT244" s="26"/>
      <c r="UPX244" s="23"/>
      <c r="UQC244" s="26"/>
      <c r="UQG244" s="23"/>
      <c r="UQL244" s="26"/>
      <c r="UQP244" s="23"/>
      <c r="UQU244" s="26"/>
      <c r="UQY244" s="23"/>
      <c r="URD244" s="26"/>
      <c r="URH244" s="23"/>
      <c r="URM244" s="26"/>
      <c r="URQ244" s="23"/>
      <c r="URV244" s="26"/>
      <c r="URZ244" s="23"/>
      <c r="USE244" s="26"/>
      <c r="USI244" s="23"/>
      <c r="USN244" s="26"/>
      <c r="USR244" s="23"/>
      <c r="USW244" s="26"/>
      <c r="UTA244" s="23"/>
      <c r="UTF244" s="26"/>
      <c r="UTJ244" s="23"/>
      <c r="UTO244" s="26"/>
      <c r="UTS244" s="23"/>
      <c r="UTX244" s="26"/>
      <c r="UUB244" s="23"/>
      <c r="UUG244" s="26"/>
      <c r="UUK244" s="23"/>
      <c r="UUP244" s="26"/>
      <c r="UUT244" s="23"/>
      <c r="UUY244" s="26"/>
      <c r="UVC244" s="23"/>
      <c r="UVH244" s="26"/>
      <c r="UVL244" s="23"/>
      <c r="UVQ244" s="26"/>
      <c r="UVU244" s="23"/>
      <c r="UVZ244" s="26"/>
      <c r="UWD244" s="23"/>
      <c r="UWI244" s="26"/>
      <c r="UWM244" s="23"/>
      <c r="UWR244" s="26"/>
      <c r="UWV244" s="23"/>
      <c r="UXA244" s="26"/>
      <c r="UXE244" s="23"/>
      <c r="UXJ244" s="26"/>
      <c r="UXN244" s="23"/>
      <c r="UXS244" s="26"/>
      <c r="UXW244" s="23"/>
      <c r="UYB244" s="26"/>
      <c r="UYF244" s="23"/>
      <c r="UYK244" s="26"/>
      <c r="UYO244" s="23"/>
      <c r="UYT244" s="26"/>
      <c r="UYX244" s="23"/>
      <c r="UZC244" s="26"/>
      <c r="UZG244" s="23"/>
      <c r="UZL244" s="26"/>
      <c r="UZP244" s="23"/>
      <c r="UZU244" s="26"/>
      <c r="UZY244" s="23"/>
      <c r="VAD244" s="26"/>
      <c r="VAH244" s="23"/>
      <c r="VAM244" s="26"/>
      <c r="VAQ244" s="23"/>
      <c r="VAV244" s="26"/>
      <c r="VAZ244" s="23"/>
      <c r="VBE244" s="26"/>
      <c r="VBI244" s="23"/>
      <c r="VBN244" s="26"/>
      <c r="VBR244" s="23"/>
      <c r="VBW244" s="26"/>
      <c r="VCA244" s="23"/>
      <c r="VCF244" s="26"/>
      <c r="VCJ244" s="23"/>
      <c r="VCO244" s="26"/>
      <c r="VCS244" s="23"/>
      <c r="VCX244" s="26"/>
      <c r="VDB244" s="23"/>
      <c r="VDG244" s="26"/>
      <c r="VDK244" s="23"/>
      <c r="VDP244" s="26"/>
      <c r="VDT244" s="23"/>
      <c r="VDY244" s="26"/>
      <c r="VEC244" s="23"/>
      <c r="VEH244" s="26"/>
      <c r="VEL244" s="23"/>
      <c r="VEQ244" s="26"/>
      <c r="VEU244" s="23"/>
      <c r="VEZ244" s="26"/>
      <c r="VFD244" s="23"/>
      <c r="VFI244" s="26"/>
      <c r="VFM244" s="23"/>
      <c r="VFR244" s="26"/>
      <c r="VFV244" s="23"/>
      <c r="VGA244" s="26"/>
      <c r="VGE244" s="23"/>
      <c r="VGJ244" s="26"/>
      <c r="VGN244" s="23"/>
      <c r="VGS244" s="26"/>
      <c r="VGW244" s="23"/>
      <c r="VHB244" s="26"/>
      <c r="VHF244" s="23"/>
      <c r="VHK244" s="26"/>
      <c r="VHO244" s="23"/>
      <c r="VHT244" s="26"/>
      <c r="VHX244" s="23"/>
      <c r="VIC244" s="26"/>
      <c r="VIG244" s="23"/>
      <c r="VIL244" s="26"/>
      <c r="VIP244" s="23"/>
      <c r="VIU244" s="26"/>
      <c r="VIY244" s="23"/>
      <c r="VJD244" s="26"/>
      <c r="VJH244" s="23"/>
      <c r="VJM244" s="26"/>
      <c r="VJQ244" s="23"/>
      <c r="VJV244" s="26"/>
      <c r="VJZ244" s="23"/>
      <c r="VKE244" s="26"/>
      <c r="VKI244" s="23"/>
      <c r="VKN244" s="26"/>
      <c r="VKR244" s="23"/>
      <c r="VKW244" s="26"/>
      <c r="VLA244" s="23"/>
      <c r="VLF244" s="26"/>
      <c r="VLJ244" s="23"/>
      <c r="VLO244" s="26"/>
      <c r="VLS244" s="23"/>
      <c r="VLX244" s="26"/>
      <c r="VMB244" s="23"/>
      <c r="VMG244" s="26"/>
      <c r="VMK244" s="23"/>
      <c r="VMP244" s="26"/>
      <c r="VMT244" s="23"/>
      <c r="VMY244" s="26"/>
      <c r="VNC244" s="23"/>
      <c r="VNH244" s="26"/>
      <c r="VNL244" s="23"/>
      <c r="VNQ244" s="26"/>
      <c r="VNU244" s="23"/>
      <c r="VNZ244" s="26"/>
      <c r="VOD244" s="23"/>
      <c r="VOI244" s="26"/>
      <c r="VOM244" s="23"/>
      <c r="VOR244" s="26"/>
      <c r="VOV244" s="23"/>
      <c r="VPA244" s="26"/>
      <c r="VPE244" s="23"/>
      <c r="VPJ244" s="26"/>
      <c r="VPN244" s="23"/>
      <c r="VPS244" s="26"/>
      <c r="VPW244" s="23"/>
      <c r="VQB244" s="26"/>
      <c r="VQF244" s="23"/>
      <c r="VQK244" s="26"/>
      <c r="VQO244" s="23"/>
      <c r="VQT244" s="26"/>
      <c r="VQX244" s="23"/>
      <c r="VRC244" s="26"/>
      <c r="VRG244" s="23"/>
      <c r="VRL244" s="26"/>
      <c r="VRP244" s="23"/>
      <c r="VRU244" s="26"/>
      <c r="VRY244" s="23"/>
      <c r="VSD244" s="26"/>
      <c r="VSH244" s="23"/>
      <c r="VSM244" s="26"/>
      <c r="VSQ244" s="23"/>
      <c r="VSV244" s="26"/>
      <c r="VSZ244" s="23"/>
      <c r="VTE244" s="26"/>
      <c r="VTI244" s="23"/>
      <c r="VTN244" s="26"/>
      <c r="VTR244" s="23"/>
      <c r="VTW244" s="26"/>
      <c r="VUA244" s="23"/>
      <c r="VUF244" s="26"/>
      <c r="VUJ244" s="23"/>
      <c r="VUO244" s="26"/>
      <c r="VUS244" s="23"/>
      <c r="VUX244" s="26"/>
      <c r="VVB244" s="23"/>
      <c r="VVG244" s="26"/>
      <c r="VVK244" s="23"/>
      <c r="VVP244" s="26"/>
      <c r="VVT244" s="23"/>
      <c r="VVY244" s="26"/>
      <c r="VWC244" s="23"/>
      <c r="VWH244" s="26"/>
      <c r="VWL244" s="23"/>
      <c r="VWQ244" s="26"/>
      <c r="VWU244" s="23"/>
      <c r="VWZ244" s="26"/>
      <c r="VXD244" s="23"/>
      <c r="VXI244" s="26"/>
      <c r="VXM244" s="23"/>
      <c r="VXR244" s="26"/>
      <c r="VXV244" s="23"/>
      <c r="VYA244" s="26"/>
      <c r="VYE244" s="23"/>
      <c r="VYJ244" s="26"/>
      <c r="VYN244" s="23"/>
      <c r="VYS244" s="26"/>
      <c r="VYW244" s="23"/>
      <c r="VZB244" s="26"/>
      <c r="VZF244" s="23"/>
      <c r="VZK244" s="26"/>
      <c r="VZO244" s="23"/>
      <c r="VZT244" s="26"/>
      <c r="VZX244" s="23"/>
      <c r="WAC244" s="26"/>
      <c r="WAG244" s="23"/>
      <c r="WAL244" s="26"/>
      <c r="WAP244" s="23"/>
      <c r="WAU244" s="26"/>
      <c r="WAY244" s="23"/>
      <c r="WBD244" s="26"/>
      <c r="WBH244" s="23"/>
      <c r="WBM244" s="26"/>
      <c r="WBQ244" s="23"/>
      <c r="WBV244" s="26"/>
      <c r="WBZ244" s="23"/>
      <c r="WCE244" s="26"/>
      <c r="WCI244" s="23"/>
      <c r="WCN244" s="26"/>
      <c r="WCR244" s="23"/>
      <c r="WCW244" s="26"/>
      <c r="WDA244" s="23"/>
      <c r="WDF244" s="26"/>
      <c r="WDJ244" s="23"/>
      <c r="WDO244" s="26"/>
      <c r="WDS244" s="23"/>
      <c r="WDX244" s="26"/>
      <c r="WEB244" s="23"/>
      <c r="WEG244" s="26"/>
      <c r="WEK244" s="23"/>
      <c r="WEP244" s="26"/>
      <c r="WET244" s="23"/>
      <c r="WEY244" s="26"/>
      <c r="WFC244" s="23"/>
      <c r="WFH244" s="26"/>
      <c r="WFL244" s="23"/>
      <c r="WFQ244" s="26"/>
      <c r="WFU244" s="23"/>
      <c r="WFZ244" s="26"/>
      <c r="WGD244" s="23"/>
      <c r="WGI244" s="26"/>
      <c r="WGM244" s="23"/>
      <c r="WGR244" s="26"/>
      <c r="WGV244" s="23"/>
      <c r="WHA244" s="26"/>
      <c r="WHE244" s="23"/>
      <c r="WHJ244" s="26"/>
      <c r="WHN244" s="23"/>
      <c r="WHS244" s="26"/>
      <c r="WHW244" s="23"/>
      <c r="WIB244" s="26"/>
      <c r="WIF244" s="23"/>
      <c r="WIK244" s="26"/>
      <c r="WIO244" s="23"/>
      <c r="WIT244" s="26"/>
      <c r="WIX244" s="23"/>
      <c r="WJC244" s="26"/>
      <c r="WJG244" s="23"/>
      <c r="WJL244" s="26"/>
      <c r="WJP244" s="23"/>
      <c r="WJU244" s="26"/>
      <c r="WJY244" s="23"/>
      <c r="WKD244" s="26"/>
      <c r="WKH244" s="23"/>
      <c r="WKM244" s="26"/>
      <c r="WKQ244" s="23"/>
      <c r="WKV244" s="26"/>
      <c r="WKZ244" s="23"/>
      <c r="WLE244" s="26"/>
      <c r="WLI244" s="23"/>
      <c r="WLN244" s="26"/>
      <c r="WLR244" s="23"/>
      <c r="WLW244" s="26"/>
      <c r="WMA244" s="23"/>
      <c r="WMF244" s="26"/>
      <c r="WMJ244" s="23"/>
      <c r="WMO244" s="26"/>
      <c r="WMS244" s="23"/>
      <c r="WMX244" s="26"/>
      <c r="WNB244" s="23"/>
      <c r="WNG244" s="26"/>
      <c r="WNK244" s="23"/>
      <c r="WNP244" s="26"/>
      <c r="WNT244" s="23"/>
      <c r="WNY244" s="26"/>
      <c r="WOC244" s="23"/>
      <c r="WOH244" s="26"/>
      <c r="WOL244" s="23"/>
      <c r="WOQ244" s="26"/>
      <c r="WOU244" s="23"/>
      <c r="WOZ244" s="26"/>
      <c r="WPD244" s="23"/>
      <c r="WPI244" s="26"/>
      <c r="WPM244" s="23"/>
      <c r="WPR244" s="26"/>
      <c r="WPV244" s="23"/>
      <c r="WQA244" s="26"/>
      <c r="WQE244" s="23"/>
      <c r="WQJ244" s="26"/>
      <c r="WQN244" s="23"/>
      <c r="WQS244" s="26"/>
      <c r="WQW244" s="23"/>
      <c r="WRB244" s="26"/>
      <c r="WRF244" s="23"/>
      <c r="WRK244" s="26"/>
      <c r="WRO244" s="23"/>
      <c r="WRT244" s="26"/>
      <c r="WRX244" s="23"/>
      <c r="WSC244" s="26"/>
      <c r="WSG244" s="23"/>
      <c r="WSL244" s="26"/>
      <c r="WSP244" s="23"/>
      <c r="WSU244" s="26"/>
      <c r="WSY244" s="23"/>
      <c r="WTD244" s="26"/>
      <c r="WTH244" s="23"/>
      <c r="WTM244" s="26"/>
      <c r="WTQ244" s="23"/>
      <c r="WTV244" s="26"/>
      <c r="WTZ244" s="23"/>
      <c r="WUE244" s="26"/>
      <c r="WUI244" s="23"/>
      <c r="WUN244" s="26"/>
      <c r="WUR244" s="23"/>
      <c r="WUW244" s="26"/>
      <c r="WVA244" s="23"/>
      <c r="WVF244" s="26"/>
      <c r="WVJ244" s="23"/>
      <c r="WVO244" s="26"/>
      <c r="WVS244" s="23"/>
      <c r="WVX244" s="26"/>
      <c r="WWB244" s="23"/>
      <c r="WWG244" s="26"/>
      <c r="WWK244" s="23"/>
      <c r="WWP244" s="26"/>
      <c r="WWT244" s="23"/>
      <c r="WWY244" s="26"/>
      <c r="WXC244" s="23"/>
      <c r="WXH244" s="26"/>
      <c r="WXL244" s="23"/>
      <c r="WXQ244" s="26"/>
      <c r="WXU244" s="23"/>
      <c r="WXZ244" s="26"/>
      <c r="WYD244" s="23"/>
      <c r="WYI244" s="26"/>
      <c r="WYM244" s="23"/>
      <c r="WYR244" s="26"/>
      <c r="WYV244" s="23"/>
      <c r="WZA244" s="26"/>
      <c r="WZE244" s="23"/>
      <c r="WZJ244" s="26"/>
      <c r="WZN244" s="23"/>
      <c r="WZS244" s="26"/>
      <c r="WZW244" s="23"/>
      <c r="XAB244" s="26"/>
      <c r="XAF244" s="23"/>
      <c r="XAK244" s="26"/>
      <c r="XAO244" s="23"/>
      <c r="XAT244" s="26"/>
      <c r="XAX244" s="23"/>
      <c r="XBC244" s="26"/>
      <c r="XBG244" s="23"/>
      <c r="XBL244" s="26"/>
      <c r="XBP244" s="23"/>
      <c r="XBU244" s="26"/>
      <c r="XBY244" s="23"/>
      <c r="XCD244" s="26"/>
      <c r="XCH244" s="23"/>
      <c r="XCM244" s="26"/>
      <c r="XCQ244" s="23"/>
      <c r="XCV244" s="26"/>
      <c r="XCZ244" s="23"/>
      <c r="XDE244" s="26"/>
      <c r="XDI244" s="23"/>
      <c r="XDN244" s="26"/>
      <c r="XDR244" s="23"/>
      <c r="XDW244" s="26"/>
      <c r="XEA244" s="23"/>
      <c r="XEF244" s="26"/>
      <c r="XEJ244" s="23"/>
      <c r="XEO244" s="26"/>
      <c r="XES244" s="23"/>
      <c r="XEX244" s="26"/>
      <c r="XFB244" s="23"/>
    </row>
    <row r="245" spans="2:1024 1028:2045 2050:3071 3076:4093 4097:5119 5123:6140 6145:7166 7171:8192 8197:9214 9218:10240 10244:11261 11266:12287 12292:13309 13313:14335 14339:15356 15361:16382" x14ac:dyDescent="0.3">
      <c r="B245" s="23"/>
      <c r="K245" s="23"/>
      <c r="P245" s="26"/>
      <c r="T245" s="23"/>
      <c r="Y245" s="26"/>
      <c r="AC245" s="23"/>
      <c r="AH245" s="26"/>
      <c r="AL245" s="23"/>
      <c r="AQ245" s="26"/>
      <c r="AU245" s="23"/>
      <c r="AZ245" s="26"/>
      <c r="BD245" s="23"/>
      <c r="BI245" s="26"/>
      <c r="BM245" s="23"/>
      <c r="BR245" s="26"/>
      <c r="BV245" s="23"/>
      <c r="CA245" s="26"/>
      <c r="CE245" s="23"/>
      <c r="CJ245" s="26"/>
      <c r="CN245" s="23"/>
      <c r="CS245" s="26"/>
      <c r="CW245" s="23"/>
      <c r="DB245" s="26"/>
      <c r="DF245" s="23"/>
      <c r="DK245" s="26"/>
      <c r="DO245" s="23"/>
      <c r="DT245" s="26"/>
      <c r="DX245" s="23"/>
      <c r="EC245" s="26"/>
      <c r="EG245" s="23"/>
      <c r="EL245" s="26"/>
      <c r="EP245" s="23"/>
      <c r="EU245" s="26"/>
      <c r="EY245" s="23"/>
      <c r="FD245" s="26"/>
      <c r="FH245" s="23"/>
      <c r="FM245" s="26"/>
      <c r="FQ245" s="23"/>
      <c r="FV245" s="26"/>
      <c r="FZ245" s="23"/>
      <c r="GE245" s="26"/>
      <c r="GI245" s="23"/>
      <c r="GN245" s="26"/>
      <c r="GR245" s="23"/>
      <c r="GW245" s="26"/>
      <c r="HA245" s="23"/>
      <c r="HF245" s="26"/>
      <c r="HJ245" s="23"/>
      <c r="HO245" s="26"/>
      <c r="HS245" s="23"/>
      <c r="HX245" s="26"/>
      <c r="IB245" s="23"/>
      <c r="IG245" s="26"/>
      <c r="IK245" s="23"/>
      <c r="IP245" s="26"/>
      <c r="IT245" s="23"/>
      <c r="IY245" s="26"/>
      <c r="JC245" s="23"/>
      <c r="JH245" s="26"/>
      <c r="JL245" s="23"/>
      <c r="JQ245" s="26"/>
      <c r="JU245" s="23"/>
      <c r="JZ245" s="26"/>
      <c r="KD245" s="23"/>
      <c r="KI245" s="26"/>
      <c r="KM245" s="23"/>
      <c r="KR245" s="26"/>
      <c r="KV245" s="23"/>
      <c r="LA245" s="26"/>
      <c r="LE245" s="23"/>
      <c r="LJ245" s="26"/>
      <c r="LN245" s="23"/>
      <c r="LS245" s="26"/>
      <c r="LW245" s="23"/>
      <c r="MB245" s="26"/>
      <c r="MF245" s="23"/>
      <c r="MK245" s="26"/>
      <c r="MO245" s="23"/>
      <c r="MT245" s="26"/>
      <c r="MX245" s="23"/>
      <c r="NC245" s="26"/>
      <c r="NG245" s="23"/>
      <c r="NL245" s="26"/>
      <c r="NP245" s="23"/>
      <c r="NU245" s="26"/>
      <c r="NY245" s="23"/>
      <c r="OD245" s="26"/>
      <c r="OH245" s="23"/>
      <c r="OM245" s="26"/>
      <c r="OQ245" s="23"/>
      <c r="OV245" s="26"/>
      <c r="OZ245" s="23"/>
      <c r="PE245" s="26"/>
      <c r="PI245" s="23"/>
      <c r="PN245" s="26"/>
      <c r="PR245" s="23"/>
      <c r="PW245" s="26"/>
      <c r="QA245" s="23"/>
      <c r="QF245" s="26"/>
      <c r="QJ245" s="23"/>
      <c r="QO245" s="26"/>
      <c r="QS245" s="23"/>
      <c r="QX245" s="26"/>
      <c r="RB245" s="23"/>
      <c r="RG245" s="26"/>
      <c r="RK245" s="23"/>
      <c r="RP245" s="26"/>
      <c r="RT245" s="23"/>
      <c r="RY245" s="26"/>
      <c r="SC245" s="23"/>
      <c r="SH245" s="26"/>
      <c r="SL245" s="23"/>
      <c r="SQ245" s="26"/>
      <c r="SU245" s="23"/>
      <c r="SZ245" s="26"/>
      <c r="TD245" s="23"/>
      <c r="TI245" s="26"/>
      <c r="TM245" s="23"/>
      <c r="TR245" s="26"/>
      <c r="TV245" s="23"/>
      <c r="UA245" s="26"/>
      <c r="UE245" s="23"/>
      <c r="UJ245" s="26"/>
      <c r="UN245" s="23"/>
      <c r="US245" s="26"/>
      <c r="UW245" s="23"/>
      <c r="VB245" s="26"/>
      <c r="VF245" s="23"/>
      <c r="VK245" s="26"/>
      <c r="VO245" s="23"/>
      <c r="VT245" s="26"/>
      <c r="VX245" s="23"/>
      <c r="WC245" s="26"/>
      <c r="WG245" s="23"/>
      <c r="WL245" s="26"/>
      <c r="WP245" s="23"/>
      <c r="WU245" s="26"/>
      <c r="WY245" s="23"/>
      <c r="XD245" s="26"/>
      <c r="XH245" s="23"/>
      <c r="XM245" s="26"/>
      <c r="XQ245" s="23"/>
      <c r="XV245" s="26"/>
      <c r="XZ245" s="23"/>
      <c r="YE245" s="26"/>
      <c r="YI245" s="23"/>
      <c r="YN245" s="26"/>
      <c r="YR245" s="23"/>
      <c r="YW245" s="26"/>
      <c r="ZA245" s="23"/>
      <c r="ZF245" s="26"/>
      <c r="ZJ245" s="23"/>
      <c r="ZO245" s="26"/>
      <c r="ZS245" s="23"/>
      <c r="ZX245" s="26"/>
      <c r="AAB245" s="23"/>
      <c r="AAG245" s="26"/>
      <c r="AAK245" s="23"/>
      <c r="AAP245" s="26"/>
      <c r="AAT245" s="23"/>
      <c r="AAY245" s="26"/>
      <c r="ABC245" s="23"/>
      <c r="ABH245" s="26"/>
      <c r="ABL245" s="23"/>
      <c r="ABQ245" s="26"/>
      <c r="ABU245" s="23"/>
      <c r="ABZ245" s="26"/>
      <c r="ACD245" s="23"/>
      <c r="ACI245" s="26"/>
      <c r="ACM245" s="23"/>
      <c r="ACR245" s="26"/>
      <c r="ACV245" s="23"/>
      <c r="ADA245" s="26"/>
      <c r="ADE245" s="23"/>
      <c r="ADJ245" s="26"/>
      <c r="ADN245" s="23"/>
      <c r="ADS245" s="26"/>
      <c r="ADW245" s="23"/>
      <c r="AEB245" s="26"/>
      <c r="AEF245" s="23"/>
      <c r="AEK245" s="26"/>
      <c r="AEO245" s="23"/>
      <c r="AET245" s="26"/>
      <c r="AEX245" s="23"/>
      <c r="AFC245" s="26"/>
      <c r="AFG245" s="23"/>
      <c r="AFL245" s="26"/>
      <c r="AFP245" s="23"/>
      <c r="AFU245" s="26"/>
      <c r="AFY245" s="23"/>
      <c r="AGD245" s="26"/>
      <c r="AGH245" s="23"/>
      <c r="AGM245" s="26"/>
      <c r="AGQ245" s="23"/>
      <c r="AGV245" s="26"/>
      <c r="AGZ245" s="23"/>
      <c r="AHE245" s="26"/>
      <c r="AHI245" s="23"/>
      <c r="AHN245" s="26"/>
      <c r="AHR245" s="23"/>
      <c r="AHW245" s="26"/>
      <c r="AIA245" s="23"/>
      <c r="AIF245" s="26"/>
      <c r="AIJ245" s="23"/>
      <c r="AIO245" s="26"/>
      <c r="AIS245" s="23"/>
      <c r="AIX245" s="26"/>
      <c r="AJB245" s="23"/>
      <c r="AJG245" s="26"/>
      <c r="AJK245" s="23"/>
      <c r="AJP245" s="26"/>
      <c r="AJT245" s="23"/>
      <c r="AJY245" s="26"/>
      <c r="AKC245" s="23"/>
      <c r="AKH245" s="26"/>
      <c r="AKL245" s="23"/>
      <c r="AKQ245" s="26"/>
      <c r="AKU245" s="23"/>
      <c r="AKZ245" s="26"/>
      <c r="ALD245" s="23"/>
      <c r="ALI245" s="26"/>
      <c r="ALM245" s="23"/>
      <c r="ALR245" s="26"/>
      <c r="ALV245" s="23"/>
      <c r="AMA245" s="26"/>
      <c r="AME245" s="23"/>
      <c r="AMJ245" s="26"/>
      <c r="AMN245" s="23"/>
      <c r="AMS245" s="26"/>
      <c r="AMW245" s="23"/>
      <c r="ANB245" s="26"/>
      <c r="ANF245" s="23"/>
      <c r="ANK245" s="26"/>
      <c r="ANO245" s="23"/>
      <c r="ANT245" s="26"/>
      <c r="ANX245" s="23"/>
      <c r="AOC245" s="26"/>
      <c r="AOG245" s="23"/>
      <c r="AOL245" s="26"/>
      <c r="AOP245" s="23"/>
      <c r="AOU245" s="26"/>
      <c r="AOY245" s="23"/>
      <c r="APD245" s="26"/>
      <c r="APH245" s="23"/>
      <c r="APM245" s="26"/>
      <c r="APQ245" s="23"/>
      <c r="APV245" s="26"/>
      <c r="APZ245" s="23"/>
      <c r="AQE245" s="26"/>
      <c r="AQI245" s="23"/>
      <c r="AQN245" s="26"/>
      <c r="AQR245" s="23"/>
      <c r="AQW245" s="26"/>
      <c r="ARA245" s="23"/>
      <c r="ARF245" s="26"/>
      <c r="ARJ245" s="23"/>
      <c r="ARO245" s="26"/>
      <c r="ARS245" s="23"/>
      <c r="ARX245" s="26"/>
      <c r="ASB245" s="23"/>
      <c r="ASG245" s="26"/>
      <c r="ASK245" s="23"/>
      <c r="ASP245" s="26"/>
      <c r="AST245" s="23"/>
      <c r="ASY245" s="26"/>
      <c r="ATC245" s="23"/>
      <c r="ATH245" s="26"/>
      <c r="ATL245" s="23"/>
      <c r="ATQ245" s="26"/>
      <c r="ATU245" s="23"/>
      <c r="ATZ245" s="26"/>
      <c r="AUD245" s="23"/>
      <c r="AUI245" s="26"/>
      <c r="AUM245" s="23"/>
      <c r="AUR245" s="26"/>
      <c r="AUV245" s="23"/>
      <c r="AVA245" s="26"/>
      <c r="AVE245" s="23"/>
      <c r="AVJ245" s="26"/>
      <c r="AVN245" s="23"/>
      <c r="AVS245" s="26"/>
      <c r="AVW245" s="23"/>
      <c r="AWB245" s="26"/>
      <c r="AWF245" s="23"/>
      <c r="AWK245" s="26"/>
      <c r="AWO245" s="23"/>
      <c r="AWT245" s="26"/>
      <c r="AWX245" s="23"/>
      <c r="AXC245" s="26"/>
      <c r="AXG245" s="23"/>
      <c r="AXL245" s="26"/>
      <c r="AXP245" s="23"/>
      <c r="AXU245" s="26"/>
      <c r="AXY245" s="23"/>
      <c r="AYD245" s="26"/>
      <c r="AYH245" s="23"/>
      <c r="AYM245" s="26"/>
      <c r="AYQ245" s="23"/>
      <c r="AYV245" s="26"/>
      <c r="AYZ245" s="23"/>
      <c r="AZE245" s="26"/>
      <c r="AZI245" s="23"/>
      <c r="AZN245" s="26"/>
      <c r="AZR245" s="23"/>
      <c r="AZW245" s="26"/>
      <c r="BAA245" s="23"/>
      <c r="BAF245" s="26"/>
      <c r="BAJ245" s="23"/>
      <c r="BAO245" s="26"/>
      <c r="BAS245" s="23"/>
      <c r="BAX245" s="26"/>
      <c r="BBB245" s="23"/>
      <c r="BBG245" s="26"/>
      <c r="BBK245" s="23"/>
      <c r="BBP245" s="26"/>
      <c r="BBT245" s="23"/>
      <c r="BBY245" s="26"/>
      <c r="BCC245" s="23"/>
      <c r="BCH245" s="26"/>
      <c r="BCL245" s="23"/>
      <c r="BCQ245" s="26"/>
      <c r="BCU245" s="23"/>
      <c r="BCZ245" s="26"/>
      <c r="BDD245" s="23"/>
      <c r="BDI245" s="26"/>
      <c r="BDM245" s="23"/>
      <c r="BDR245" s="26"/>
      <c r="BDV245" s="23"/>
      <c r="BEA245" s="26"/>
      <c r="BEE245" s="23"/>
      <c r="BEJ245" s="26"/>
      <c r="BEN245" s="23"/>
      <c r="BES245" s="26"/>
      <c r="BEW245" s="23"/>
      <c r="BFB245" s="26"/>
      <c r="BFF245" s="23"/>
      <c r="BFK245" s="26"/>
      <c r="BFO245" s="23"/>
      <c r="BFT245" s="26"/>
      <c r="BFX245" s="23"/>
      <c r="BGC245" s="26"/>
      <c r="BGG245" s="23"/>
      <c r="BGL245" s="26"/>
      <c r="BGP245" s="23"/>
      <c r="BGU245" s="26"/>
      <c r="BGY245" s="23"/>
      <c r="BHD245" s="26"/>
      <c r="BHH245" s="23"/>
      <c r="BHM245" s="26"/>
      <c r="BHQ245" s="23"/>
      <c r="BHV245" s="26"/>
      <c r="BHZ245" s="23"/>
      <c r="BIE245" s="26"/>
      <c r="BII245" s="23"/>
      <c r="BIN245" s="26"/>
      <c r="BIR245" s="23"/>
      <c r="BIW245" s="26"/>
      <c r="BJA245" s="23"/>
      <c r="BJF245" s="26"/>
      <c r="BJJ245" s="23"/>
      <c r="BJO245" s="26"/>
      <c r="BJS245" s="23"/>
      <c r="BJX245" s="26"/>
      <c r="BKB245" s="23"/>
      <c r="BKG245" s="26"/>
      <c r="BKK245" s="23"/>
      <c r="BKP245" s="26"/>
      <c r="BKT245" s="23"/>
      <c r="BKY245" s="26"/>
      <c r="BLC245" s="23"/>
      <c r="BLH245" s="26"/>
      <c r="BLL245" s="23"/>
      <c r="BLQ245" s="26"/>
      <c r="BLU245" s="23"/>
      <c r="BLZ245" s="26"/>
      <c r="BMD245" s="23"/>
      <c r="BMI245" s="26"/>
      <c r="BMM245" s="23"/>
      <c r="BMR245" s="26"/>
      <c r="BMV245" s="23"/>
      <c r="BNA245" s="26"/>
      <c r="BNE245" s="23"/>
      <c r="BNJ245" s="26"/>
      <c r="BNN245" s="23"/>
      <c r="BNS245" s="26"/>
      <c r="BNW245" s="23"/>
      <c r="BOB245" s="26"/>
      <c r="BOF245" s="23"/>
      <c r="BOK245" s="26"/>
      <c r="BOO245" s="23"/>
      <c r="BOT245" s="26"/>
      <c r="BOX245" s="23"/>
      <c r="BPC245" s="26"/>
      <c r="BPG245" s="23"/>
      <c r="BPL245" s="26"/>
      <c r="BPP245" s="23"/>
      <c r="BPU245" s="26"/>
      <c r="BPY245" s="23"/>
      <c r="BQD245" s="26"/>
      <c r="BQH245" s="23"/>
      <c r="BQM245" s="26"/>
      <c r="BQQ245" s="23"/>
      <c r="BQV245" s="26"/>
      <c r="BQZ245" s="23"/>
      <c r="BRE245" s="26"/>
      <c r="BRI245" s="23"/>
      <c r="BRN245" s="26"/>
      <c r="BRR245" s="23"/>
      <c r="BRW245" s="26"/>
      <c r="BSA245" s="23"/>
      <c r="BSF245" s="26"/>
      <c r="BSJ245" s="23"/>
      <c r="BSO245" s="26"/>
      <c r="BSS245" s="23"/>
      <c r="BSX245" s="26"/>
      <c r="BTB245" s="23"/>
      <c r="BTG245" s="26"/>
      <c r="BTK245" s="23"/>
      <c r="BTP245" s="26"/>
      <c r="BTT245" s="23"/>
      <c r="BTY245" s="26"/>
      <c r="BUC245" s="23"/>
      <c r="BUH245" s="26"/>
      <c r="BUL245" s="23"/>
      <c r="BUQ245" s="26"/>
      <c r="BUU245" s="23"/>
      <c r="BUZ245" s="26"/>
      <c r="BVD245" s="23"/>
      <c r="BVI245" s="26"/>
      <c r="BVM245" s="23"/>
      <c r="BVR245" s="26"/>
      <c r="BVV245" s="23"/>
      <c r="BWA245" s="26"/>
      <c r="BWE245" s="23"/>
      <c r="BWJ245" s="26"/>
      <c r="BWN245" s="23"/>
      <c r="BWS245" s="26"/>
      <c r="BWW245" s="23"/>
      <c r="BXB245" s="26"/>
      <c r="BXF245" s="23"/>
      <c r="BXK245" s="26"/>
      <c r="BXO245" s="23"/>
      <c r="BXT245" s="26"/>
      <c r="BXX245" s="23"/>
      <c r="BYC245" s="26"/>
      <c r="BYG245" s="23"/>
      <c r="BYL245" s="26"/>
      <c r="BYP245" s="23"/>
      <c r="BYU245" s="26"/>
      <c r="BYY245" s="23"/>
      <c r="BZD245" s="26"/>
      <c r="BZH245" s="23"/>
      <c r="BZM245" s="26"/>
      <c r="BZQ245" s="23"/>
      <c r="BZV245" s="26"/>
      <c r="BZZ245" s="23"/>
      <c r="CAE245" s="26"/>
      <c r="CAI245" s="23"/>
      <c r="CAN245" s="26"/>
      <c r="CAR245" s="23"/>
      <c r="CAW245" s="26"/>
      <c r="CBA245" s="23"/>
      <c r="CBF245" s="26"/>
      <c r="CBJ245" s="23"/>
      <c r="CBO245" s="26"/>
      <c r="CBS245" s="23"/>
      <c r="CBX245" s="26"/>
      <c r="CCB245" s="23"/>
      <c r="CCG245" s="26"/>
      <c r="CCK245" s="23"/>
      <c r="CCP245" s="26"/>
      <c r="CCT245" s="23"/>
      <c r="CCY245" s="26"/>
      <c r="CDC245" s="23"/>
      <c r="CDH245" s="26"/>
      <c r="CDL245" s="23"/>
      <c r="CDQ245" s="26"/>
      <c r="CDU245" s="23"/>
      <c r="CDZ245" s="26"/>
      <c r="CED245" s="23"/>
      <c r="CEI245" s="26"/>
      <c r="CEM245" s="23"/>
      <c r="CER245" s="26"/>
      <c r="CEV245" s="23"/>
      <c r="CFA245" s="26"/>
      <c r="CFE245" s="23"/>
      <c r="CFJ245" s="26"/>
      <c r="CFN245" s="23"/>
      <c r="CFS245" s="26"/>
      <c r="CFW245" s="23"/>
      <c r="CGB245" s="26"/>
      <c r="CGF245" s="23"/>
      <c r="CGK245" s="26"/>
      <c r="CGO245" s="23"/>
      <c r="CGT245" s="26"/>
      <c r="CGX245" s="23"/>
      <c r="CHC245" s="26"/>
      <c r="CHG245" s="23"/>
      <c r="CHL245" s="26"/>
      <c r="CHP245" s="23"/>
      <c r="CHU245" s="26"/>
      <c r="CHY245" s="23"/>
      <c r="CID245" s="26"/>
      <c r="CIH245" s="23"/>
      <c r="CIM245" s="26"/>
      <c r="CIQ245" s="23"/>
      <c r="CIV245" s="26"/>
      <c r="CIZ245" s="23"/>
      <c r="CJE245" s="26"/>
      <c r="CJI245" s="23"/>
      <c r="CJN245" s="26"/>
      <c r="CJR245" s="23"/>
      <c r="CJW245" s="26"/>
      <c r="CKA245" s="23"/>
      <c r="CKF245" s="26"/>
      <c r="CKJ245" s="23"/>
      <c r="CKO245" s="26"/>
      <c r="CKS245" s="23"/>
      <c r="CKX245" s="26"/>
      <c r="CLB245" s="23"/>
      <c r="CLG245" s="26"/>
      <c r="CLK245" s="23"/>
      <c r="CLP245" s="26"/>
      <c r="CLT245" s="23"/>
      <c r="CLY245" s="26"/>
      <c r="CMC245" s="23"/>
      <c r="CMH245" s="26"/>
      <c r="CML245" s="23"/>
      <c r="CMQ245" s="26"/>
      <c r="CMU245" s="23"/>
      <c r="CMZ245" s="26"/>
      <c r="CND245" s="23"/>
      <c r="CNI245" s="26"/>
      <c r="CNM245" s="23"/>
      <c r="CNR245" s="26"/>
      <c r="CNV245" s="23"/>
      <c r="COA245" s="26"/>
      <c r="COE245" s="23"/>
      <c r="COJ245" s="26"/>
      <c r="CON245" s="23"/>
      <c r="COS245" s="26"/>
      <c r="COW245" s="23"/>
      <c r="CPB245" s="26"/>
      <c r="CPF245" s="23"/>
      <c r="CPK245" s="26"/>
      <c r="CPO245" s="23"/>
      <c r="CPT245" s="26"/>
      <c r="CPX245" s="23"/>
      <c r="CQC245" s="26"/>
      <c r="CQG245" s="23"/>
      <c r="CQL245" s="26"/>
      <c r="CQP245" s="23"/>
      <c r="CQU245" s="26"/>
      <c r="CQY245" s="23"/>
      <c r="CRD245" s="26"/>
      <c r="CRH245" s="23"/>
      <c r="CRM245" s="26"/>
      <c r="CRQ245" s="23"/>
      <c r="CRV245" s="26"/>
      <c r="CRZ245" s="23"/>
      <c r="CSE245" s="26"/>
      <c r="CSI245" s="23"/>
      <c r="CSN245" s="26"/>
      <c r="CSR245" s="23"/>
      <c r="CSW245" s="26"/>
      <c r="CTA245" s="23"/>
      <c r="CTF245" s="26"/>
      <c r="CTJ245" s="23"/>
      <c r="CTO245" s="26"/>
      <c r="CTS245" s="23"/>
      <c r="CTX245" s="26"/>
      <c r="CUB245" s="23"/>
      <c r="CUG245" s="26"/>
      <c r="CUK245" s="23"/>
      <c r="CUP245" s="26"/>
      <c r="CUT245" s="23"/>
      <c r="CUY245" s="26"/>
      <c r="CVC245" s="23"/>
      <c r="CVH245" s="26"/>
      <c r="CVL245" s="23"/>
      <c r="CVQ245" s="26"/>
      <c r="CVU245" s="23"/>
      <c r="CVZ245" s="26"/>
      <c r="CWD245" s="23"/>
      <c r="CWI245" s="26"/>
      <c r="CWM245" s="23"/>
      <c r="CWR245" s="26"/>
      <c r="CWV245" s="23"/>
      <c r="CXA245" s="26"/>
      <c r="CXE245" s="23"/>
      <c r="CXJ245" s="26"/>
      <c r="CXN245" s="23"/>
      <c r="CXS245" s="26"/>
      <c r="CXW245" s="23"/>
      <c r="CYB245" s="26"/>
      <c r="CYF245" s="23"/>
      <c r="CYK245" s="26"/>
      <c r="CYO245" s="23"/>
      <c r="CYT245" s="26"/>
      <c r="CYX245" s="23"/>
      <c r="CZC245" s="26"/>
      <c r="CZG245" s="23"/>
      <c r="CZL245" s="26"/>
      <c r="CZP245" s="23"/>
      <c r="CZU245" s="26"/>
      <c r="CZY245" s="23"/>
      <c r="DAD245" s="26"/>
      <c r="DAH245" s="23"/>
      <c r="DAM245" s="26"/>
      <c r="DAQ245" s="23"/>
      <c r="DAV245" s="26"/>
      <c r="DAZ245" s="23"/>
      <c r="DBE245" s="26"/>
      <c r="DBI245" s="23"/>
      <c r="DBN245" s="26"/>
      <c r="DBR245" s="23"/>
      <c r="DBW245" s="26"/>
      <c r="DCA245" s="23"/>
      <c r="DCF245" s="26"/>
      <c r="DCJ245" s="23"/>
      <c r="DCO245" s="26"/>
      <c r="DCS245" s="23"/>
      <c r="DCX245" s="26"/>
      <c r="DDB245" s="23"/>
      <c r="DDG245" s="26"/>
      <c r="DDK245" s="23"/>
      <c r="DDP245" s="26"/>
      <c r="DDT245" s="23"/>
      <c r="DDY245" s="26"/>
      <c r="DEC245" s="23"/>
      <c r="DEH245" s="26"/>
      <c r="DEL245" s="23"/>
      <c r="DEQ245" s="26"/>
      <c r="DEU245" s="23"/>
      <c r="DEZ245" s="26"/>
      <c r="DFD245" s="23"/>
      <c r="DFI245" s="26"/>
      <c r="DFM245" s="23"/>
      <c r="DFR245" s="26"/>
      <c r="DFV245" s="23"/>
      <c r="DGA245" s="26"/>
      <c r="DGE245" s="23"/>
      <c r="DGJ245" s="26"/>
      <c r="DGN245" s="23"/>
      <c r="DGS245" s="26"/>
      <c r="DGW245" s="23"/>
      <c r="DHB245" s="26"/>
      <c r="DHF245" s="23"/>
      <c r="DHK245" s="26"/>
      <c r="DHO245" s="23"/>
      <c r="DHT245" s="26"/>
      <c r="DHX245" s="23"/>
      <c r="DIC245" s="26"/>
      <c r="DIG245" s="23"/>
      <c r="DIL245" s="26"/>
      <c r="DIP245" s="23"/>
      <c r="DIU245" s="26"/>
      <c r="DIY245" s="23"/>
      <c r="DJD245" s="26"/>
      <c r="DJH245" s="23"/>
      <c r="DJM245" s="26"/>
      <c r="DJQ245" s="23"/>
      <c r="DJV245" s="26"/>
      <c r="DJZ245" s="23"/>
      <c r="DKE245" s="26"/>
      <c r="DKI245" s="23"/>
      <c r="DKN245" s="26"/>
      <c r="DKR245" s="23"/>
      <c r="DKW245" s="26"/>
      <c r="DLA245" s="23"/>
      <c r="DLF245" s="26"/>
      <c r="DLJ245" s="23"/>
      <c r="DLO245" s="26"/>
      <c r="DLS245" s="23"/>
      <c r="DLX245" s="26"/>
      <c r="DMB245" s="23"/>
      <c r="DMG245" s="26"/>
      <c r="DMK245" s="23"/>
      <c r="DMP245" s="26"/>
      <c r="DMT245" s="23"/>
      <c r="DMY245" s="26"/>
      <c r="DNC245" s="23"/>
      <c r="DNH245" s="26"/>
      <c r="DNL245" s="23"/>
      <c r="DNQ245" s="26"/>
      <c r="DNU245" s="23"/>
      <c r="DNZ245" s="26"/>
      <c r="DOD245" s="23"/>
      <c r="DOI245" s="26"/>
      <c r="DOM245" s="23"/>
      <c r="DOR245" s="26"/>
      <c r="DOV245" s="23"/>
      <c r="DPA245" s="26"/>
      <c r="DPE245" s="23"/>
      <c r="DPJ245" s="26"/>
      <c r="DPN245" s="23"/>
      <c r="DPS245" s="26"/>
      <c r="DPW245" s="23"/>
      <c r="DQB245" s="26"/>
      <c r="DQF245" s="23"/>
      <c r="DQK245" s="26"/>
      <c r="DQO245" s="23"/>
      <c r="DQT245" s="26"/>
      <c r="DQX245" s="23"/>
      <c r="DRC245" s="26"/>
      <c r="DRG245" s="23"/>
      <c r="DRL245" s="26"/>
      <c r="DRP245" s="23"/>
      <c r="DRU245" s="26"/>
      <c r="DRY245" s="23"/>
      <c r="DSD245" s="26"/>
      <c r="DSH245" s="23"/>
      <c r="DSM245" s="26"/>
      <c r="DSQ245" s="23"/>
      <c r="DSV245" s="26"/>
      <c r="DSZ245" s="23"/>
      <c r="DTE245" s="26"/>
      <c r="DTI245" s="23"/>
      <c r="DTN245" s="26"/>
      <c r="DTR245" s="23"/>
      <c r="DTW245" s="26"/>
      <c r="DUA245" s="23"/>
      <c r="DUF245" s="26"/>
      <c r="DUJ245" s="23"/>
      <c r="DUO245" s="26"/>
      <c r="DUS245" s="23"/>
      <c r="DUX245" s="26"/>
      <c r="DVB245" s="23"/>
      <c r="DVG245" s="26"/>
      <c r="DVK245" s="23"/>
      <c r="DVP245" s="26"/>
      <c r="DVT245" s="23"/>
      <c r="DVY245" s="26"/>
      <c r="DWC245" s="23"/>
      <c r="DWH245" s="26"/>
      <c r="DWL245" s="23"/>
      <c r="DWQ245" s="26"/>
      <c r="DWU245" s="23"/>
      <c r="DWZ245" s="26"/>
      <c r="DXD245" s="23"/>
      <c r="DXI245" s="26"/>
      <c r="DXM245" s="23"/>
      <c r="DXR245" s="26"/>
      <c r="DXV245" s="23"/>
      <c r="DYA245" s="26"/>
      <c r="DYE245" s="23"/>
      <c r="DYJ245" s="26"/>
      <c r="DYN245" s="23"/>
      <c r="DYS245" s="26"/>
      <c r="DYW245" s="23"/>
      <c r="DZB245" s="26"/>
      <c r="DZF245" s="23"/>
      <c r="DZK245" s="26"/>
      <c r="DZO245" s="23"/>
      <c r="DZT245" s="26"/>
      <c r="DZX245" s="23"/>
      <c r="EAC245" s="26"/>
      <c r="EAG245" s="23"/>
      <c r="EAL245" s="26"/>
      <c r="EAP245" s="23"/>
      <c r="EAU245" s="26"/>
      <c r="EAY245" s="23"/>
      <c r="EBD245" s="26"/>
      <c r="EBH245" s="23"/>
      <c r="EBM245" s="26"/>
      <c r="EBQ245" s="23"/>
      <c r="EBV245" s="26"/>
      <c r="EBZ245" s="23"/>
      <c r="ECE245" s="26"/>
      <c r="ECI245" s="23"/>
      <c r="ECN245" s="26"/>
      <c r="ECR245" s="23"/>
      <c r="ECW245" s="26"/>
      <c r="EDA245" s="23"/>
      <c r="EDF245" s="26"/>
      <c r="EDJ245" s="23"/>
      <c r="EDO245" s="26"/>
      <c r="EDS245" s="23"/>
      <c r="EDX245" s="26"/>
      <c r="EEB245" s="23"/>
      <c r="EEG245" s="26"/>
      <c r="EEK245" s="23"/>
      <c r="EEP245" s="26"/>
      <c r="EET245" s="23"/>
      <c r="EEY245" s="26"/>
      <c r="EFC245" s="23"/>
      <c r="EFH245" s="26"/>
      <c r="EFL245" s="23"/>
      <c r="EFQ245" s="26"/>
      <c r="EFU245" s="23"/>
      <c r="EFZ245" s="26"/>
      <c r="EGD245" s="23"/>
      <c r="EGI245" s="26"/>
      <c r="EGM245" s="23"/>
      <c r="EGR245" s="26"/>
      <c r="EGV245" s="23"/>
      <c r="EHA245" s="26"/>
      <c r="EHE245" s="23"/>
      <c r="EHJ245" s="26"/>
      <c r="EHN245" s="23"/>
      <c r="EHS245" s="26"/>
      <c r="EHW245" s="23"/>
      <c r="EIB245" s="26"/>
      <c r="EIF245" s="23"/>
      <c r="EIK245" s="26"/>
      <c r="EIO245" s="23"/>
      <c r="EIT245" s="26"/>
      <c r="EIX245" s="23"/>
      <c r="EJC245" s="26"/>
      <c r="EJG245" s="23"/>
      <c r="EJL245" s="26"/>
      <c r="EJP245" s="23"/>
      <c r="EJU245" s="26"/>
      <c r="EJY245" s="23"/>
      <c r="EKD245" s="26"/>
      <c r="EKH245" s="23"/>
      <c r="EKM245" s="26"/>
      <c r="EKQ245" s="23"/>
      <c r="EKV245" s="26"/>
      <c r="EKZ245" s="23"/>
      <c r="ELE245" s="26"/>
      <c r="ELI245" s="23"/>
      <c r="ELN245" s="26"/>
      <c r="ELR245" s="23"/>
      <c r="ELW245" s="26"/>
      <c r="EMA245" s="23"/>
      <c r="EMF245" s="26"/>
      <c r="EMJ245" s="23"/>
      <c r="EMO245" s="26"/>
      <c r="EMS245" s="23"/>
      <c r="EMX245" s="26"/>
      <c r="ENB245" s="23"/>
      <c r="ENG245" s="26"/>
      <c r="ENK245" s="23"/>
      <c r="ENP245" s="26"/>
      <c r="ENT245" s="23"/>
      <c r="ENY245" s="26"/>
      <c r="EOC245" s="23"/>
      <c r="EOH245" s="26"/>
      <c r="EOL245" s="23"/>
      <c r="EOQ245" s="26"/>
      <c r="EOU245" s="23"/>
      <c r="EOZ245" s="26"/>
      <c r="EPD245" s="23"/>
      <c r="EPI245" s="26"/>
      <c r="EPM245" s="23"/>
      <c r="EPR245" s="26"/>
      <c r="EPV245" s="23"/>
      <c r="EQA245" s="26"/>
      <c r="EQE245" s="23"/>
      <c r="EQJ245" s="26"/>
      <c r="EQN245" s="23"/>
      <c r="EQS245" s="26"/>
      <c r="EQW245" s="23"/>
      <c r="ERB245" s="26"/>
      <c r="ERF245" s="23"/>
      <c r="ERK245" s="26"/>
      <c r="ERO245" s="23"/>
      <c r="ERT245" s="26"/>
      <c r="ERX245" s="23"/>
      <c r="ESC245" s="26"/>
      <c r="ESG245" s="23"/>
      <c r="ESL245" s="26"/>
      <c r="ESP245" s="23"/>
      <c r="ESU245" s="26"/>
      <c r="ESY245" s="23"/>
      <c r="ETD245" s="26"/>
      <c r="ETH245" s="23"/>
      <c r="ETM245" s="26"/>
      <c r="ETQ245" s="23"/>
      <c r="ETV245" s="26"/>
      <c r="ETZ245" s="23"/>
      <c r="EUE245" s="26"/>
      <c r="EUI245" s="23"/>
      <c r="EUN245" s="26"/>
      <c r="EUR245" s="23"/>
      <c r="EUW245" s="26"/>
      <c r="EVA245" s="23"/>
      <c r="EVF245" s="26"/>
      <c r="EVJ245" s="23"/>
      <c r="EVO245" s="26"/>
      <c r="EVS245" s="23"/>
      <c r="EVX245" s="26"/>
      <c r="EWB245" s="23"/>
      <c r="EWG245" s="26"/>
      <c r="EWK245" s="23"/>
      <c r="EWP245" s="26"/>
      <c r="EWT245" s="23"/>
      <c r="EWY245" s="26"/>
      <c r="EXC245" s="23"/>
      <c r="EXH245" s="26"/>
      <c r="EXL245" s="23"/>
      <c r="EXQ245" s="26"/>
      <c r="EXU245" s="23"/>
      <c r="EXZ245" s="26"/>
      <c r="EYD245" s="23"/>
      <c r="EYI245" s="26"/>
      <c r="EYM245" s="23"/>
      <c r="EYR245" s="26"/>
      <c r="EYV245" s="23"/>
      <c r="EZA245" s="26"/>
      <c r="EZE245" s="23"/>
      <c r="EZJ245" s="26"/>
      <c r="EZN245" s="23"/>
      <c r="EZS245" s="26"/>
      <c r="EZW245" s="23"/>
      <c r="FAB245" s="26"/>
      <c r="FAF245" s="23"/>
      <c r="FAK245" s="26"/>
      <c r="FAO245" s="23"/>
      <c r="FAT245" s="26"/>
      <c r="FAX245" s="23"/>
      <c r="FBC245" s="26"/>
      <c r="FBG245" s="23"/>
      <c r="FBL245" s="26"/>
      <c r="FBP245" s="23"/>
      <c r="FBU245" s="26"/>
      <c r="FBY245" s="23"/>
      <c r="FCD245" s="26"/>
      <c r="FCH245" s="23"/>
      <c r="FCM245" s="26"/>
      <c r="FCQ245" s="23"/>
      <c r="FCV245" s="26"/>
      <c r="FCZ245" s="23"/>
      <c r="FDE245" s="26"/>
      <c r="FDI245" s="23"/>
      <c r="FDN245" s="26"/>
      <c r="FDR245" s="23"/>
      <c r="FDW245" s="26"/>
      <c r="FEA245" s="23"/>
      <c r="FEF245" s="26"/>
      <c r="FEJ245" s="23"/>
      <c r="FEO245" s="26"/>
      <c r="FES245" s="23"/>
      <c r="FEX245" s="26"/>
      <c r="FFB245" s="23"/>
      <c r="FFG245" s="26"/>
      <c r="FFK245" s="23"/>
      <c r="FFP245" s="26"/>
      <c r="FFT245" s="23"/>
      <c r="FFY245" s="26"/>
      <c r="FGC245" s="23"/>
      <c r="FGH245" s="26"/>
      <c r="FGL245" s="23"/>
      <c r="FGQ245" s="26"/>
      <c r="FGU245" s="23"/>
      <c r="FGZ245" s="26"/>
      <c r="FHD245" s="23"/>
      <c r="FHI245" s="26"/>
      <c r="FHM245" s="23"/>
      <c r="FHR245" s="26"/>
      <c r="FHV245" s="23"/>
      <c r="FIA245" s="26"/>
      <c r="FIE245" s="23"/>
      <c r="FIJ245" s="26"/>
      <c r="FIN245" s="23"/>
      <c r="FIS245" s="26"/>
      <c r="FIW245" s="23"/>
      <c r="FJB245" s="26"/>
      <c r="FJF245" s="23"/>
      <c r="FJK245" s="26"/>
      <c r="FJO245" s="23"/>
      <c r="FJT245" s="26"/>
      <c r="FJX245" s="23"/>
      <c r="FKC245" s="26"/>
      <c r="FKG245" s="23"/>
      <c r="FKL245" s="26"/>
      <c r="FKP245" s="23"/>
      <c r="FKU245" s="26"/>
      <c r="FKY245" s="23"/>
      <c r="FLD245" s="26"/>
      <c r="FLH245" s="23"/>
      <c r="FLM245" s="26"/>
      <c r="FLQ245" s="23"/>
      <c r="FLV245" s="26"/>
      <c r="FLZ245" s="23"/>
      <c r="FME245" s="26"/>
      <c r="FMI245" s="23"/>
      <c r="FMN245" s="26"/>
      <c r="FMR245" s="23"/>
      <c r="FMW245" s="26"/>
      <c r="FNA245" s="23"/>
      <c r="FNF245" s="26"/>
      <c r="FNJ245" s="23"/>
      <c r="FNO245" s="26"/>
      <c r="FNS245" s="23"/>
      <c r="FNX245" s="26"/>
      <c r="FOB245" s="23"/>
      <c r="FOG245" s="26"/>
      <c r="FOK245" s="23"/>
      <c r="FOP245" s="26"/>
      <c r="FOT245" s="23"/>
      <c r="FOY245" s="26"/>
      <c r="FPC245" s="23"/>
      <c r="FPH245" s="26"/>
      <c r="FPL245" s="23"/>
      <c r="FPQ245" s="26"/>
      <c r="FPU245" s="23"/>
      <c r="FPZ245" s="26"/>
      <c r="FQD245" s="23"/>
      <c r="FQI245" s="26"/>
      <c r="FQM245" s="23"/>
      <c r="FQR245" s="26"/>
      <c r="FQV245" s="23"/>
      <c r="FRA245" s="26"/>
      <c r="FRE245" s="23"/>
      <c r="FRJ245" s="26"/>
      <c r="FRN245" s="23"/>
      <c r="FRS245" s="26"/>
      <c r="FRW245" s="23"/>
      <c r="FSB245" s="26"/>
      <c r="FSF245" s="23"/>
      <c r="FSK245" s="26"/>
      <c r="FSO245" s="23"/>
      <c r="FST245" s="26"/>
      <c r="FSX245" s="23"/>
      <c r="FTC245" s="26"/>
      <c r="FTG245" s="23"/>
      <c r="FTL245" s="26"/>
      <c r="FTP245" s="23"/>
      <c r="FTU245" s="26"/>
      <c r="FTY245" s="23"/>
      <c r="FUD245" s="26"/>
      <c r="FUH245" s="23"/>
      <c r="FUM245" s="26"/>
      <c r="FUQ245" s="23"/>
      <c r="FUV245" s="26"/>
      <c r="FUZ245" s="23"/>
      <c r="FVE245" s="26"/>
      <c r="FVI245" s="23"/>
      <c r="FVN245" s="26"/>
      <c r="FVR245" s="23"/>
      <c r="FVW245" s="26"/>
      <c r="FWA245" s="23"/>
      <c r="FWF245" s="26"/>
      <c r="FWJ245" s="23"/>
      <c r="FWO245" s="26"/>
      <c r="FWS245" s="23"/>
      <c r="FWX245" s="26"/>
      <c r="FXB245" s="23"/>
      <c r="FXG245" s="26"/>
      <c r="FXK245" s="23"/>
      <c r="FXP245" s="26"/>
      <c r="FXT245" s="23"/>
      <c r="FXY245" s="26"/>
      <c r="FYC245" s="23"/>
      <c r="FYH245" s="26"/>
      <c r="FYL245" s="23"/>
      <c r="FYQ245" s="26"/>
      <c r="FYU245" s="23"/>
      <c r="FYZ245" s="26"/>
      <c r="FZD245" s="23"/>
      <c r="FZI245" s="26"/>
      <c r="FZM245" s="23"/>
      <c r="FZR245" s="26"/>
      <c r="FZV245" s="23"/>
      <c r="GAA245" s="26"/>
      <c r="GAE245" s="23"/>
      <c r="GAJ245" s="26"/>
      <c r="GAN245" s="23"/>
      <c r="GAS245" s="26"/>
      <c r="GAW245" s="23"/>
      <c r="GBB245" s="26"/>
      <c r="GBF245" s="23"/>
      <c r="GBK245" s="26"/>
      <c r="GBO245" s="23"/>
      <c r="GBT245" s="26"/>
      <c r="GBX245" s="23"/>
      <c r="GCC245" s="26"/>
      <c r="GCG245" s="23"/>
      <c r="GCL245" s="26"/>
      <c r="GCP245" s="23"/>
      <c r="GCU245" s="26"/>
      <c r="GCY245" s="23"/>
      <c r="GDD245" s="26"/>
      <c r="GDH245" s="23"/>
      <c r="GDM245" s="26"/>
      <c r="GDQ245" s="23"/>
      <c r="GDV245" s="26"/>
      <c r="GDZ245" s="23"/>
      <c r="GEE245" s="26"/>
      <c r="GEI245" s="23"/>
      <c r="GEN245" s="26"/>
      <c r="GER245" s="23"/>
      <c r="GEW245" s="26"/>
      <c r="GFA245" s="23"/>
      <c r="GFF245" s="26"/>
      <c r="GFJ245" s="23"/>
      <c r="GFO245" s="26"/>
      <c r="GFS245" s="23"/>
      <c r="GFX245" s="26"/>
      <c r="GGB245" s="23"/>
      <c r="GGG245" s="26"/>
      <c r="GGK245" s="23"/>
      <c r="GGP245" s="26"/>
      <c r="GGT245" s="23"/>
      <c r="GGY245" s="26"/>
      <c r="GHC245" s="23"/>
      <c r="GHH245" s="26"/>
      <c r="GHL245" s="23"/>
      <c r="GHQ245" s="26"/>
      <c r="GHU245" s="23"/>
      <c r="GHZ245" s="26"/>
      <c r="GID245" s="23"/>
      <c r="GII245" s="26"/>
      <c r="GIM245" s="23"/>
      <c r="GIR245" s="26"/>
      <c r="GIV245" s="23"/>
      <c r="GJA245" s="26"/>
      <c r="GJE245" s="23"/>
      <c r="GJJ245" s="26"/>
      <c r="GJN245" s="23"/>
      <c r="GJS245" s="26"/>
      <c r="GJW245" s="23"/>
      <c r="GKB245" s="26"/>
      <c r="GKF245" s="23"/>
      <c r="GKK245" s="26"/>
      <c r="GKO245" s="23"/>
      <c r="GKT245" s="26"/>
      <c r="GKX245" s="23"/>
      <c r="GLC245" s="26"/>
      <c r="GLG245" s="23"/>
      <c r="GLL245" s="26"/>
      <c r="GLP245" s="23"/>
      <c r="GLU245" s="26"/>
      <c r="GLY245" s="23"/>
      <c r="GMD245" s="26"/>
      <c r="GMH245" s="23"/>
      <c r="GMM245" s="26"/>
      <c r="GMQ245" s="23"/>
      <c r="GMV245" s="26"/>
      <c r="GMZ245" s="23"/>
      <c r="GNE245" s="26"/>
      <c r="GNI245" s="23"/>
      <c r="GNN245" s="26"/>
      <c r="GNR245" s="23"/>
      <c r="GNW245" s="26"/>
      <c r="GOA245" s="23"/>
      <c r="GOF245" s="26"/>
      <c r="GOJ245" s="23"/>
      <c r="GOO245" s="26"/>
      <c r="GOS245" s="23"/>
      <c r="GOX245" s="26"/>
      <c r="GPB245" s="23"/>
      <c r="GPG245" s="26"/>
      <c r="GPK245" s="23"/>
      <c r="GPP245" s="26"/>
      <c r="GPT245" s="23"/>
      <c r="GPY245" s="26"/>
      <c r="GQC245" s="23"/>
      <c r="GQH245" s="26"/>
      <c r="GQL245" s="23"/>
      <c r="GQQ245" s="26"/>
      <c r="GQU245" s="23"/>
      <c r="GQZ245" s="26"/>
      <c r="GRD245" s="23"/>
      <c r="GRI245" s="26"/>
      <c r="GRM245" s="23"/>
      <c r="GRR245" s="26"/>
      <c r="GRV245" s="23"/>
      <c r="GSA245" s="26"/>
      <c r="GSE245" s="23"/>
      <c r="GSJ245" s="26"/>
      <c r="GSN245" s="23"/>
      <c r="GSS245" s="26"/>
      <c r="GSW245" s="23"/>
      <c r="GTB245" s="26"/>
      <c r="GTF245" s="23"/>
      <c r="GTK245" s="26"/>
      <c r="GTO245" s="23"/>
      <c r="GTT245" s="26"/>
      <c r="GTX245" s="23"/>
      <c r="GUC245" s="26"/>
      <c r="GUG245" s="23"/>
      <c r="GUL245" s="26"/>
      <c r="GUP245" s="23"/>
      <c r="GUU245" s="26"/>
      <c r="GUY245" s="23"/>
      <c r="GVD245" s="26"/>
      <c r="GVH245" s="23"/>
      <c r="GVM245" s="26"/>
      <c r="GVQ245" s="23"/>
      <c r="GVV245" s="26"/>
      <c r="GVZ245" s="23"/>
      <c r="GWE245" s="26"/>
      <c r="GWI245" s="23"/>
      <c r="GWN245" s="26"/>
      <c r="GWR245" s="23"/>
      <c r="GWW245" s="26"/>
      <c r="GXA245" s="23"/>
      <c r="GXF245" s="26"/>
      <c r="GXJ245" s="23"/>
      <c r="GXO245" s="26"/>
      <c r="GXS245" s="23"/>
      <c r="GXX245" s="26"/>
      <c r="GYB245" s="23"/>
      <c r="GYG245" s="26"/>
      <c r="GYK245" s="23"/>
      <c r="GYP245" s="26"/>
      <c r="GYT245" s="23"/>
      <c r="GYY245" s="26"/>
      <c r="GZC245" s="23"/>
      <c r="GZH245" s="26"/>
      <c r="GZL245" s="23"/>
      <c r="GZQ245" s="26"/>
      <c r="GZU245" s="23"/>
      <c r="GZZ245" s="26"/>
      <c r="HAD245" s="23"/>
      <c r="HAI245" s="26"/>
      <c r="HAM245" s="23"/>
      <c r="HAR245" s="26"/>
      <c r="HAV245" s="23"/>
      <c r="HBA245" s="26"/>
      <c r="HBE245" s="23"/>
      <c r="HBJ245" s="26"/>
      <c r="HBN245" s="23"/>
      <c r="HBS245" s="26"/>
      <c r="HBW245" s="23"/>
      <c r="HCB245" s="26"/>
      <c r="HCF245" s="23"/>
      <c r="HCK245" s="26"/>
      <c r="HCO245" s="23"/>
      <c r="HCT245" s="26"/>
      <c r="HCX245" s="23"/>
      <c r="HDC245" s="26"/>
      <c r="HDG245" s="23"/>
      <c r="HDL245" s="26"/>
      <c r="HDP245" s="23"/>
      <c r="HDU245" s="26"/>
      <c r="HDY245" s="23"/>
      <c r="HED245" s="26"/>
      <c r="HEH245" s="23"/>
      <c r="HEM245" s="26"/>
      <c r="HEQ245" s="23"/>
      <c r="HEV245" s="26"/>
      <c r="HEZ245" s="23"/>
      <c r="HFE245" s="26"/>
      <c r="HFI245" s="23"/>
      <c r="HFN245" s="26"/>
      <c r="HFR245" s="23"/>
      <c r="HFW245" s="26"/>
      <c r="HGA245" s="23"/>
      <c r="HGF245" s="26"/>
      <c r="HGJ245" s="23"/>
      <c r="HGO245" s="26"/>
      <c r="HGS245" s="23"/>
      <c r="HGX245" s="26"/>
      <c r="HHB245" s="23"/>
      <c r="HHG245" s="26"/>
      <c r="HHK245" s="23"/>
      <c r="HHP245" s="26"/>
      <c r="HHT245" s="23"/>
      <c r="HHY245" s="26"/>
      <c r="HIC245" s="23"/>
      <c r="HIH245" s="26"/>
      <c r="HIL245" s="23"/>
      <c r="HIQ245" s="26"/>
      <c r="HIU245" s="23"/>
      <c r="HIZ245" s="26"/>
      <c r="HJD245" s="23"/>
      <c r="HJI245" s="26"/>
      <c r="HJM245" s="23"/>
      <c r="HJR245" s="26"/>
      <c r="HJV245" s="23"/>
      <c r="HKA245" s="26"/>
      <c r="HKE245" s="23"/>
      <c r="HKJ245" s="26"/>
      <c r="HKN245" s="23"/>
      <c r="HKS245" s="26"/>
      <c r="HKW245" s="23"/>
      <c r="HLB245" s="26"/>
      <c r="HLF245" s="23"/>
      <c r="HLK245" s="26"/>
      <c r="HLO245" s="23"/>
      <c r="HLT245" s="26"/>
      <c r="HLX245" s="23"/>
      <c r="HMC245" s="26"/>
      <c r="HMG245" s="23"/>
      <c r="HML245" s="26"/>
      <c r="HMP245" s="23"/>
      <c r="HMU245" s="26"/>
      <c r="HMY245" s="23"/>
      <c r="HND245" s="26"/>
      <c r="HNH245" s="23"/>
      <c r="HNM245" s="26"/>
      <c r="HNQ245" s="23"/>
      <c r="HNV245" s="26"/>
      <c r="HNZ245" s="23"/>
      <c r="HOE245" s="26"/>
      <c r="HOI245" s="23"/>
      <c r="HON245" s="26"/>
      <c r="HOR245" s="23"/>
      <c r="HOW245" s="26"/>
      <c r="HPA245" s="23"/>
      <c r="HPF245" s="26"/>
      <c r="HPJ245" s="23"/>
      <c r="HPO245" s="26"/>
      <c r="HPS245" s="23"/>
      <c r="HPX245" s="26"/>
      <c r="HQB245" s="23"/>
      <c r="HQG245" s="26"/>
      <c r="HQK245" s="23"/>
      <c r="HQP245" s="26"/>
      <c r="HQT245" s="23"/>
      <c r="HQY245" s="26"/>
      <c r="HRC245" s="23"/>
      <c r="HRH245" s="26"/>
      <c r="HRL245" s="23"/>
      <c r="HRQ245" s="26"/>
      <c r="HRU245" s="23"/>
      <c r="HRZ245" s="26"/>
      <c r="HSD245" s="23"/>
      <c r="HSI245" s="26"/>
      <c r="HSM245" s="23"/>
      <c r="HSR245" s="26"/>
      <c r="HSV245" s="23"/>
      <c r="HTA245" s="26"/>
      <c r="HTE245" s="23"/>
      <c r="HTJ245" s="26"/>
      <c r="HTN245" s="23"/>
      <c r="HTS245" s="26"/>
      <c r="HTW245" s="23"/>
      <c r="HUB245" s="26"/>
      <c r="HUF245" s="23"/>
      <c r="HUK245" s="26"/>
      <c r="HUO245" s="23"/>
      <c r="HUT245" s="26"/>
      <c r="HUX245" s="23"/>
      <c r="HVC245" s="26"/>
      <c r="HVG245" s="23"/>
      <c r="HVL245" s="26"/>
      <c r="HVP245" s="23"/>
      <c r="HVU245" s="26"/>
      <c r="HVY245" s="23"/>
      <c r="HWD245" s="26"/>
      <c r="HWH245" s="23"/>
      <c r="HWM245" s="26"/>
      <c r="HWQ245" s="23"/>
      <c r="HWV245" s="26"/>
      <c r="HWZ245" s="23"/>
      <c r="HXE245" s="26"/>
      <c r="HXI245" s="23"/>
      <c r="HXN245" s="26"/>
      <c r="HXR245" s="23"/>
      <c r="HXW245" s="26"/>
      <c r="HYA245" s="23"/>
      <c r="HYF245" s="26"/>
      <c r="HYJ245" s="23"/>
      <c r="HYO245" s="26"/>
      <c r="HYS245" s="23"/>
      <c r="HYX245" s="26"/>
      <c r="HZB245" s="23"/>
      <c r="HZG245" s="26"/>
      <c r="HZK245" s="23"/>
      <c r="HZP245" s="26"/>
      <c r="HZT245" s="23"/>
      <c r="HZY245" s="26"/>
      <c r="IAC245" s="23"/>
      <c r="IAH245" s="26"/>
      <c r="IAL245" s="23"/>
      <c r="IAQ245" s="26"/>
      <c r="IAU245" s="23"/>
      <c r="IAZ245" s="26"/>
      <c r="IBD245" s="23"/>
      <c r="IBI245" s="26"/>
      <c r="IBM245" s="23"/>
      <c r="IBR245" s="26"/>
      <c r="IBV245" s="23"/>
      <c r="ICA245" s="26"/>
      <c r="ICE245" s="23"/>
      <c r="ICJ245" s="26"/>
      <c r="ICN245" s="23"/>
      <c r="ICS245" s="26"/>
      <c r="ICW245" s="23"/>
      <c r="IDB245" s="26"/>
      <c r="IDF245" s="23"/>
      <c r="IDK245" s="26"/>
      <c r="IDO245" s="23"/>
      <c r="IDT245" s="26"/>
      <c r="IDX245" s="23"/>
      <c r="IEC245" s="26"/>
      <c r="IEG245" s="23"/>
      <c r="IEL245" s="26"/>
      <c r="IEP245" s="23"/>
      <c r="IEU245" s="26"/>
      <c r="IEY245" s="23"/>
      <c r="IFD245" s="26"/>
      <c r="IFH245" s="23"/>
      <c r="IFM245" s="26"/>
      <c r="IFQ245" s="23"/>
      <c r="IFV245" s="26"/>
      <c r="IFZ245" s="23"/>
      <c r="IGE245" s="26"/>
      <c r="IGI245" s="23"/>
      <c r="IGN245" s="26"/>
      <c r="IGR245" s="23"/>
      <c r="IGW245" s="26"/>
      <c r="IHA245" s="23"/>
      <c r="IHF245" s="26"/>
      <c r="IHJ245" s="23"/>
      <c r="IHO245" s="26"/>
      <c r="IHS245" s="23"/>
      <c r="IHX245" s="26"/>
      <c r="IIB245" s="23"/>
      <c r="IIG245" s="26"/>
      <c r="IIK245" s="23"/>
      <c r="IIP245" s="26"/>
      <c r="IIT245" s="23"/>
      <c r="IIY245" s="26"/>
      <c r="IJC245" s="23"/>
      <c r="IJH245" s="26"/>
      <c r="IJL245" s="23"/>
      <c r="IJQ245" s="26"/>
      <c r="IJU245" s="23"/>
      <c r="IJZ245" s="26"/>
      <c r="IKD245" s="23"/>
      <c r="IKI245" s="26"/>
      <c r="IKM245" s="23"/>
      <c r="IKR245" s="26"/>
      <c r="IKV245" s="23"/>
      <c r="ILA245" s="26"/>
      <c r="ILE245" s="23"/>
      <c r="ILJ245" s="26"/>
      <c r="ILN245" s="23"/>
      <c r="ILS245" s="26"/>
      <c r="ILW245" s="23"/>
      <c r="IMB245" s="26"/>
      <c r="IMF245" s="23"/>
      <c r="IMK245" s="26"/>
      <c r="IMO245" s="23"/>
      <c r="IMT245" s="26"/>
      <c r="IMX245" s="23"/>
      <c r="INC245" s="26"/>
      <c r="ING245" s="23"/>
      <c r="INL245" s="26"/>
      <c r="INP245" s="23"/>
      <c r="INU245" s="26"/>
      <c r="INY245" s="23"/>
      <c r="IOD245" s="26"/>
      <c r="IOH245" s="23"/>
      <c r="IOM245" s="26"/>
      <c r="IOQ245" s="23"/>
      <c r="IOV245" s="26"/>
      <c r="IOZ245" s="23"/>
      <c r="IPE245" s="26"/>
      <c r="IPI245" s="23"/>
      <c r="IPN245" s="26"/>
      <c r="IPR245" s="23"/>
      <c r="IPW245" s="26"/>
      <c r="IQA245" s="23"/>
      <c r="IQF245" s="26"/>
      <c r="IQJ245" s="23"/>
      <c r="IQO245" s="26"/>
      <c r="IQS245" s="23"/>
      <c r="IQX245" s="26"/>
      <c r="IRB245" s="23"/>
      <c r="IRG245" s="26"/>
      <c r="IRK245" s="23"/>
      <c r="IRP245" s="26"/>
      <c r="IRT245" s="23"/>
      <c r="IRY245" s="26"/>
      <c r="ISC245" s="23"/>
      <c r="ISH245" s="26"/>
      <c r="ISL245" s="23"/>
      <c r="ISQ245" s="26"/>
      <c r="ISU245" s="23"/>
      <c r="ISZ245" s="26"/>
      <c r="ITD245" s="23"/>
      <c r="ITI245" s="26"/>
      <c r="ITM245" s="23"/>
      <c r="ITR245" s="26"/>
      <c r="ITV245" s="23"/>
      <c r="IUA245" s="26"/>
      <c r="IUE245" s="23"/>
      <c r="IUJ245" s="26"/>
      <c r="IUN245" s="23"/>
      <c r="IUS245" s="26"/>
      <c r="IUW245" s="23"/>
      <c r="IVB245" s="26"/>
      <c r="IVF245" s="23"/>
      <c r="IVK245" s="26"/>
      <c r="IVO245" s="23"/>
      <c r="IVT245" s="26"/>
      <c r="IVX245" s="23"/>
      <c r="IWC245" s="26"/>
      <c r="IWG245" s="23"/>
      <c r="IWL245" s="26"/>
      <c r="IWP245" s="23"/>
      <c r="IWU245" s="26"/>
      <c r="IWY245" s="23"/>
      <c r="IXD245" s="26"/>
      <c r="IXH245" s="23"/>
      <c r="IXM245" s="26"/>
      <c r="IXQ245" s="23"/>
      <c r="IXV245" s="26"/>
      <c r="IXZ245" s="23"/>
      <c r="IYE245" s="26"/>
      <c r="IYI245" s="23"/>
      <c r="IYN245" s="26"/>
      <c r="IYR245" s="23"/>
      <c r="IYW245" s="26"/>
      <c r="IZA245" s="23"/>
      <c r="IZF245" s="26"/>
      <c r="IZJ245" s="23"/>
      <c r="IZO245" s="26"/>
      <c r="IZS245" s="23"/>
      <c r="IZX245" s="26"/>
      <c r="JAB245" s="23"/>
      <c r="JAG245" s="26"/>
      <c r="JAK245" s="23"/>
      <c r="JAP245" s="26"/>
      <c r="JAT245" s="23"/>
      <c r="JAY245" s="26"/>
      <c r="JBC245" s="23"/>
      <c r="JBH245" s="26"/>
      <c r="JBL245" s="23"/>
      <c r="JBQ245" s="26"/>
      <c r="JBU245" s="23"/>
      <c r="JBZ245" s="26"/>
      <c r="JCD245" s="23"/>
      <c r="JCI245" s="26"/>
      <c r="JCM245" s="23"/>
      <c r="JCR245" s="26"/>
      <c r="JCV245" s="23"/>
      <c r="JDA245" s="26"/>
      <c r="JDE245" s="23"/>
      <c r="JDJ245" s="26"/>
      <c r="JDN245" s="23"/>
      <c r="JDS245" s="26"/>
      <c r="JDW245" s="23"/>
      <c r="JEB245" s="26"/>
      <c r="JEF245" s="23"/>
      <c r="JEK245" s="26"/>
      <c r="JEO245" s="23"/>
      <c r="JET245" s="26"/>
      <c r="JEX245" s="23"/>
      <c r="JFC245" s="26"/>
      <c r="JFG245" s="23"/>
      <c r="JFL245" s="26"/>
      <c r="JFP245" s="23"/>
      <c r="JFU245" s="26"/>
      <c r="JFY245" s="23"/>
      <c r="JGD245" s="26"/>
      <c r="JGH245" s="23"/>
      <c r="JGM245" s="26"/>
      <c r="JGQ245" s="23"/>
      <c r="JGV245" s="26"/>
      <c r="JGZ245" s="23"/>
      <c r="JHE245" s="26"/>
      <c r="JHI245" s="23"/>
      <c r="JHN245" s="26"/>
      <c r="JHR245" s="23"/>
      <c r="JHW245" s="26"/>
      <c r="JIA245" s="23"/>
      <c r="JIF245" s="26"/>
      <c r="JIJ245" s="23"/>
      <c r="JIO245" s="26"/>
      <c r="JIS245" s="23"/>
      <c r="JIX245" s="26"/>
      <c r="JJB245" s="23"/>
      <c r="JJG245" s="26"/>
      <c r="JJK245" s="23"/>
      <c r="JJP245" s="26"/>
      <c r="JJT245" s="23"/>
      <c r="JJY245" s="26"/>
      <c r="JKC245" s="23"/>
      <c r="JKH245" s="26"/>
      <c r="JKL245" s="23"/>
      <c r="JKQ245" s="26"/>
      <c r="JKU245" s="23"/>
      <c r="JKZ245" s="26"/>
      <c r="JLD245" s="23"/>
      <c r="JLI245" s="26"/>
      <c r="JLM245" s="23"/>
      <c r="JLR245" s="26"/>
      <c r="JLV245" s="23"/>
      <c r="JMA245" s="26"/>
      <c r="JME245" s="23"/>
      <c r="JMJ245" s="26"/>
      <c r="JMN245" s="23"/>
      <c r="JMS245" s="26"/>
      <c r="JMW245" s="23"/>
      <c r="JNB245" s="26"/>
      <c r="JNF245" s="23"/>
      <c r="JNK245" s="26"/>
      <c r="JNO245" s="23"/>
      <c r="JNT245" s="26"/>
      <c r="JNX245" s="23"/>
      <c r="JOC245" s="26"/>
      <c r="JOG245" s="23"/>
      <c r="JOL245" s="26"/>
      <c r="JOP245" s="23"/>
      <c r="JOU245" s="26"/>
      <c r="JOY245" s="23"/>
      <c r="JPD245" s="26"/>
      <c r="JPH245" s="23"/>
      <c r="JPM245" s="26"/>
      <c r="JPQ245" s="23"/>
      <c r="JPV245" s="26"/>
      <c r="JPZ245" s="23"/>
      <c r="JQE245" s="26"/>
      <c r="JQI245" s="23"/>
      <c r="JQN245" s="26"/>
      <c r="JQR245" s="23"/>
      <c r="JQW245" s="26"/>
      <c r="JRA245" s="23"/>
      <c r="JRF245" s="26"/>
      <c r="JRJ245" s="23"/>
      <c r="JRO245" s="26"/>
      <c r="JRS245" s="23"/>
      <c r="JRX245" s="26"/>
      <c r="JSB245" s="23"/>
      <c r="JSG245" s="26"/>
      <c r="JSK245" s="23"/>
      <c r="JSP245" s="26"/>
      <c r="JST245" s="23"/>
      <c r="JSY245" s="26"/>
      <c r="JTC245" s="23"/>
      <c r="JTH245" s="26"/>
      <c r="JTL245" s="23"/>
      <c r="JTQ245" s="26"/>
      <c r="JTU245" s="23"/>
      <c r="JTZ245" s="26"/>
      <c r="JUD245" s="23"/>
      <c r="JUI245" s="26"/>
      <c r="JUM245" s="23"/>
      <c r="JUR245" s="26"/>
      <c r="JUV245" s="23"/>
      <c r="JVA245" s="26"/>
      <c r="JVE245" s="23"/>
      <c r="JVJ245" s="26"/>
      <c r="JVN245" s="23"/>
      <c r="JVS245" s="26"/>
      <c r="JVW245" s="23"/>
      <c r="JWB245" s="26"/>
      <c r="JWF245" s="23"/>
      <c r="JWK245" s="26"/>
      <c r="JWO245" s="23"/>
      <c r="JWT245" s="26"/>
      <c r="JWX245" s="23"/>
      <c r="JXC245" s="26"/>
      <c r="JXG245" s="23"/>
      <c r="JXL245" s="26"/>
      <c r="JXP245" s="23"/>
      <c r="JXU245" s="26"/>
      <c r="JXY245" s="23"/>
      <c r="JYD245" s="26"/>
      <c r="JYH245" s="23"/>
      <c r="JYM245" s="26"/>
      <c r="JYQ245" s="23"/>
      <c r="JYV245" s="26"/>
      <c r="JYZ245" s="23"/>
      <c r="JZE245" s="26"/>
      <c r="JZI245" s="23"/>
      <c r="JZN245" s="26"/>
      <c r="JZR245" s="23"/>
      <c r="JZW245" s="26"/>
      <c r="KAA245" s="23"/>
      <c r="KAF245" s="26"/>
      <c r="KAJ245" s="23"/>
      <c r="KAO245" s="26"/>
      <c r="KAS245" s="23"/>
      <c r="KAX245" s="26"/>
      <c r="KBB245" s="23"/>
      <c r="KBG245" s="26"/>
      <c r="KBK245" s="23"/>
      <c r="KBP245" s="26"/>
      <c r="KBT245" s="23"/>
      <c r="KBY245" s="26"/>
      <c r="KCC245" s="23"/>
      <c r="KCH245" s="26"/>
      <c r="KCL245" s="23"/>
      <c r="KCQ245" s="26"/>
      <c r="KCU245" s="23"/>
      <c r="KCZ245" s="26"/>
      <c r="KDD245" s="23"/>
      <c r="KDI245" s="26"/>
      <c r="KDM245" s="23"/>
      <c r="KDR245" s="26"/>
      <c r="KDV245" s="23"/>
      <c r="KEA245" s="26"/>
      <c r="KEE245" s="23"/>
      <c r="KEJ245" s="26"/>
      <c r="KEN245" s="23"/>
      <c r="KES245" s="26"/>
      <c r="KEW245" s="23"/>
      <c r="KFB245" s="26"/>
      <c r="KFF245" s="23"/>
      <c r="KFK245" s="26"/>
      <c r="KFO245" s="23"/>
      <c r="KFT245" s="26"/>
      <c r="KFX245" s="23"/>
      <c r="KGC245" s="26"/>
      <c r="KGG245" s="23"/>
      <c r="KGL245" s="26"/>
      <c r="KGP245" s="23"/>
      <c r="KGU245" s="26"/>
      <c r="KGY245" s="23"/>
      <c r="KHD245" s="26"/>
      <c r="KHH245" s="23"/>
      <c r="KHM245" s="26"/>
      <c r="KHQ245" s="23"/>
      <c r="KHV245" s="26"/>
      <c r="KHZ245" s="23"/>
      <c r="KIE245" s="26"/>
      <c r="KII245" s="23"/>
      <c r="KIN245" s="26"/>
      <c r="KIR245" s="23"/>
      <c r="KIW245" s="26"/>
      <c r="KJA245" s="23"/>
      <c r="KJF245" s="26"/>
      <c r="KJJ245" s="23"/>
      <c r="KJO245" s="26"/>
      <c r="KJS245" s="23"/>
      <c r="KJX245" s="26"/>
      <c r="KKB245" s="23"/>
      <c r="KKG245" s="26"/>
      <c r="KKK245" s="23"/>
      <c r="KKP245" s="26"/>
      <c r="KKT245" s="23"/>
      <c r="KKY245" s="26"/>
      <c r="KLC245" s="23"/>
      <c r="KLH245" s="26"/>
      <c r="KLL245" s="23"/>
      <c r="KLQ245" s="26"/>
      <c r="KLU245" s="23"/>
      <c r="KLZ245" s="26"/>
      <c r="KMD245" s="23"/>
      <c r="KMI245" s="26"/>
      <c r="KMM245" s="23"/>
      <c r="KMR245" s="26"/>
      <c r="KMV245" s="23"/>
      <c r="KNA245" s="26"/>
      <c r="KNE245" s="23"/>
      <c r="KNJ245" s="26"/>
      <c r="KNN245" s="23"/>
      <c r="KNS245" s="26"/>
      <c r="KNW245" s="23"/>
      <c r="KOB245" s="26"/>
      <c r="KOF245" s="23"/>
      <c r="KOK245" s="26"/>
      <c r="KOO245" s="23"/>
      <c r="KOT245" s="26"/>
      <c r="KOX245" s="23"/>
      <c r="KPC245" s="26"/>
      <c r="KPG245" s="23"/>
      <c r="KPL245" s="26"/>
      <c r="KPP245" s="23"/>
      <c r="KPU245" s="26"/>
      <c r="KPY245" s="23"/>
      <c r="KQD245" s="26"/>
      <c r="KQH245" s="23"/>
      <c r="KQM245" s="26"/>
      <c r="KQQ245" s="23"/>
      <c r="KQV245" s="26"/>
      <c r="KQZ245" s="23"/>
      <c r="KRE245" s="26"/>
      <c r="KRI245" s="23"/>
      <c r="KRN245" s="26"/>
      <c r="KRR245" s="23"/>
      <c r="KRW245" s="26"/>
      <c r="KSA245" s="23"/>
      <c r="KSF245" s="26"/>
      <c r="KSJ245" s="23"/>
      <c r="KSO245" s="26"/>
      <c r="KSS245" s="23"/>
      <c r="KSX245" s="26"/>
      <c r="KTB245" s="23"/>
      <c r="KTG245" s="26"/>
      <c r="KTK245" s="23"/>
      <c r="KTP245" s="26"/>
      <c r="KTT245" s="23"/>
      <c r="KTY245" s="26"/>
      <c r="KUC245" s="23"/>
      <c r="KUH245" s="26"/>
      <c r="KUL245" s="23"/>
      <c r="KUQ245" s="26"/>
      <c r="KUU245" s="23"/>
      <c r="KUZ245" s="26"/>
      <c r="KVD245" s="23"/>
      <c r="KVI245" s="26"/>
      <c r="KVM245" s="23"/>
      <c r="KVR245" s="26"/>
      <c r="KVV245" s="23"/>
      <c r="KWA245" s="26"/>
      <c r="KWE245" s="23"/>
      <c r="KWJ245" s="26"/>
      <c r="KWN245" s="23"/>
      <c r="KWS245" s="26"/>
      <c r="KWW245" s="23"/>
      <c r="KXB245" s="26"/>
      <c r="KXF245" s="23"/>
      <c r="KXK245" s="26"/>
      <c r="KXO245" s="23"/>
      <c r="KXT245" s="26"/>
      <c r="KXX245" s="23"/>
      <c r="KYC245" s="26"/>
      <c r="KYG245" s="23"/>
      <c r="KYL245" s="26"/>
      <c r="KYP245" s="23"/>
      <c r="KYU245" s="26"/>
      <c r="KYY245" s="23"/>
      <c r="KZD245" s="26"/>
      <c r="KZH245" s="23"/>
      <c r="KZM245" s="26"/>
      <c r="KZQ245" s="23"/>
      <c r="KZV245" s="26"/>
      <c r="KZZ245" s="23"/>
      <c r="LAE245" s="26"/>
      <c r="LAI245" s="23"/>
      <c r="LAN245" s="26"/>
      <c r="LAR245" s="23"/>
      <c r="LAW245" s="26"/>
      <c r="LBA245" s="23"/>
      <c r="LBF245" s="26"/>
      <c r="LBJ245" s="23"/>
      <c r="LBO245" s="26"/>
      <c r="LBS245" s="23"/>
      <c r="LBX245" s="26"/>
      <c r="LCB245" s="23"/>
      <c r="LCG245" s="26"/>
      <c r="LCK245" s="23"/>
      <c r="LCP245" s="26"/>
      <c r="LCT245" s="23"/>
      <c r="LCY245" s="26"/>
      <c r="LDC245" s="23"/>
      <c r="LDH245" s="26"/>
      <c r="LDL245" s="23"/>
      <c r="LDQ245" s="26"/>
      <c r="LDU245" s="23"/>
      <c r="LDZ245" s="26"/>
      <c r="LED245" s="23"/>
      <c r="LEI245" s="26"/>
      <c r="LEM245" s="23"/>
      <c r="LER245" s="26"/>
      <c r="LEV245" s="23"/>
      <c r="LFA245" s="26"/>
      <c r="LFE245" s="23"/>
      <c r="LFJ245" s="26"/>
      <c r="LFN245" s="23"/>
      <c r="LFS245" s="26"/>
      <c r="LFW245" s="23"/>
      <c r="LGB245" s="26"/>
      <c r="LGF245" s="23"/>
      <c r="LGK245" s="26"/>
      <c r="LGO245" s="23"/>
      <c r="LGT245" s="26"/>
      <c r="LGX245" s="23"/>
      <c r="LHC245" s="26"/>
      <c r="LHG245" s="23"/>
      <c r="LHL245" s="26"/>
      <c r="LHP245" s="23"/>
      <c r="LHU245" s="26"/>
      <c r="LHY245" s="23"/>
      <c r="LID245" s="26"/>
      <c r="LIH245" s="23"/>
      <c r="LIM245" s="26"/>
      <c r="LIQ245" s="23"/>
      <c r="LIV245" s="26"/>
      <c r="LIZ245" s="23"/>
      <c r="LJE245" s="26"/>
      <c r="LJI245" s="23"/>
      <c r="LJN245" s="26"/>
      <c r="LJR245" s="23"/>
      <c r="LJW245" s="26"/>
      <c r="LKA245" s="23"/>
      <c r="LKF245" s="26"/>
      <c r="LKJ245" s="23"/>
      <c r="LKO245" s="26"/>
      <c r="LKS245" s="23"/>
      <c r="LKX245" s="26"/>
      <c r="LLB245" s="23"/>
      <c r="LLG245" s="26"/>
      <c r="LLK245" s="23"/>
      <c r="LLP245" s="26"/>
      <c r="LLT245" s="23"/>
      <c r="LLY245" s="26"/>
      <c r="LMC245" s="23"/>
      <c r="LMH245" s="26"/>
      <c r="LML245" s="23"/>
      <c r="LMQ245" s="26"/>
      <c r="LMU245" s="23"/>
      <c r="LMZ245" s="26"/>
      <c r="LND245" s="23"/>
      <c r="LNI245" s="26"/>
      <c r="LNM245" s="23"/>
      <c r="LNR245" s="26"/>
      <c r="LNV245" s="23"/>
      <c r="LOA245" s="26"/>
      <c r="LOE245" s="23"/>
      <c r="LOJ245" s="26"/>
      <c r="LON245" s="23"/>
      <c r="LOS245" s="26"/>
      <c r="LOW245" s="23"/>
      <c r="LPB245" s="26"/>
      <c r="LPF245" s="23"/>
      <c r="LPK245" s="26"/>
      <c r="LPO245" s="23"/>
      <c r="LPT245" s="26"/>
      <c r="LPX245" s="23"/>
      <c r="LQC245" s="26"/>
      <c r="LQG245" s="23"/>
      <c r="LQL245" s="26"/>
      <c r="LQP245" s="23"/>
      <c r="LQU245" s="26"/>
      <c r="LQY245" s="23"/>
      <c r="LRD245" s="26"/>
      <c r="LRH245" s="23"/>
      <c r="LRM245" s="26"/>
      <c r="LRQ245" s="23"/>
      <c r="LRV245" s="26"/>
      <c r="LRZ245" s="23"/>
      <c r="LSE245" s="26"/>
      <c r="LSI245" s="23"/>
      <c r="LSN245" s="26"/>
      <c r="LSR245" s="23"/>
      <c r="LSW245" s="26"/>
      <c r="LTA245" s="23"/>
      <c r="LTF245" s="26"/>
      <c r="LTJ245" s="23"/>
      <c r="LTO245" s="26"/>
      <c r="LTS245" s="23"/>
      <c r="LTX245" s="26"/>
      <c r="LUB245" s="23"/>
      <c r="LUG245" s="26"/>
      <c r="LUK245" s="23"/>
      <c r="LUP245" s="26"/>
      <c r="LUT245" s="23"/>
      <c r="LUY245" s="26"/>
      <c r="LVC245" s="23"/>
      <c r="LVH245" s="26"/>
      <c r="LVL245" s="23"/>
      <c r="LVQ245" s="26"/>
      <c r="LVU245" s="23"/>
      <c r="LVZ245" s="26"/>
      <c r="LWD245" s="23"/>
      <c r="LWI245" s="26"/>
      <c r="LWM245" s="23"/>
      <c r="LWR245" s="26"/>
      <c r="LWV245" s="23"/>
      <c r="LXA245" s="26"/>
      <c r="LXE245" s="23"/>
      <c r="LXJ245" s="26"/>
      <c r="LXN245" s="23"/>
      <c r="LXS245" s="26"/>
      <c r="LXW245" s="23"/>
      <c r="LYB245" s="26"/>
      <c r="LYF245" s="23"/>
      <c r="LYK245" s="26"/>
      <c r="LYO245" s="23"/>
      <c r="LYT245" s="26"/>
      <c r="LYX245" s="23"/>
      <c r="LZC245" s="26"/>
      <c r="LZG245" s="23"/>
      <c r="LZL245" s="26"/>
      <c r="LZP245" s="23"/>
      <c r="LZU245" s="26"/>
      <c r="LZY245" s="23"/>
      <c r="MAD245" s="26"/>
      <c r="MAH245" s="23"/>
      <c r="MAM245" s="26"/>
      <c r="MAQ245" s="23"/>
      <c r="MAV245" s="26"/>
      <c r="MAZ245" s="23"/>
      <c r="MBE245" s="26"/>
      <c r="MBI245" s="23"/>
      <c r="MBN245" s="26"/>
      <c r="MBR245" s="23"/>
      <c r="MBW245" s="26"/>
      <c r="MCA245" s="23"/>
      <c r="MCF245" s="26"/>
      <c r="MCJ245" s="23"/>
      <c r="MCO245" s="26"/>
      <c r="MCS245" s="23"/>
      <c r="MCX245" s="26"/>
      <c r="MDB245" s="23"/>
      <c r="MDG245" s="26"/>
      <c r="MDK245" s="23"/>
      <c r="MDP245" s="26"/>
      <c r="MDT245" s="23"/>
      <c r="MDY245" s="26"/>
      <c r="MEC245" s="23"/>
      <c r="MEH245" s="26"/>
      <c r="MEL245" s="23"/>
      <c r="MEQ245" s="26"/>
      <c r="MEU245" s="23"/>
      <c r="MEZ245" s="26"/>
      <c r="MFD245" s="23"/>
      <c r="MFI245" s="26"/>
      <c r="MFM245" s="23"/>
      <c r="MFR245" s="26"/>
      <c r="MFV245" s="23"/>
      <c r="MGA245" s="26"/>
      <c r="MGE245" s="23"/>
      <c r="MGJ245" s="26"/>
      <c r="MGN245" s="23"/>
      <c r="MGS245" s="26"/>
      <c r="MGW245" s="23"/>
      <c r="MHB245" s="26"/>
      <c r="MHF245" s="23"/>
      <c r="MHK245" s="26"/>
      <c r="MHO245" s="23"/>
      <c r="MHT245" s="26"/>
      <c r="MHX245" s="23"/>
      <c r="MIC245" s="26"/>
      <c r="MIG245" s="23"/>
      <c r="MIL245" s="26"/>
      <c r="MIP245" s="23"/>
      <c r="MIU245" s="26"/>
      <c r="MIY245" s="23"/>
      <c r="MJD245" s="26"/>
      <c r="MJH245" s="23"/>
      <c r="MJM245" s="26"/>
      <c r="MJQ245" s="23"/>
      <c r="MJV245" s="26"/>
      <c r="MJZ245" s="23"/>
      <c r="MKE245" s="26"/>
      <c r="MKI245" s="23"/>
      <c r="MKN245" s="26"/>
      <c r="MKR245" s="23"/>
      <c r="MKW245" s="26"/>
      <c r="MLA245" s="23"/>
      <c r="MLF245" s="26"/>
      <c r="MLJ245" s="23"/>
      <c r="MLO245" s="26"/>
      <c r="MLS245" s="23"/>
      <c r="MLX245" s="26"/>
      <c r="MMB245" s="23"/>
      <c r="MMG245" s="26"/>
      <c r="MMK245" s="23"/>
      <c r="MMP245" s="26"/>
      <c r="MMT245" s="23"/>
      <c r="MMY245" s="26"/>
      <c r="MNC245" s="23"/>
      <c r="MNH245" s="26"/>
      <c r="MNL245" s="23"/>
      <c r="MNQ245" s="26"/>
      <c r="MNU245" s="23"/>
      <c r="MNZ245" s="26"/>
      <c r="MOD245" s="23"/>
      <c r="MOI245" s="26"/>
      <c r="MOM245" s="23"/>
      <c r="MOR245" s="26"/>
      <c r="MOV245" s="23"/>
      <c r="MPA245" s="26"/>
      <c r="MPE245" s="23"/>
      <c r="MPJ245" s="26"/>
      <c r="MPN245" s="23"/>
      <c r="MPS245" s="26"/>
      <c r="MPW245" s="23"/>
      <c r="MQB245" s="26"/>
      <c r="MQF245" s="23"/>
      <c r="MQK245" s="26"/>
      <c r="MQO245" s="23"/>
      <c r="MQT245" s="26"/>
      <c r="MQX245" s="23"/>
      <c r="MRC245" s="26"/>
      <c r="MRG245" s="23"/>
      <c r="MRL245" s="26"/>
      <c r="MRP245" s="23"/>
      <c r="MRU245" s="26"/>
      <c r="MRY245" s="23"/>
      <c r="MSD245" s="26"/>
      <c r="MSH245" s="23"/>
      <c r="MSM245" s="26"/>
      <c r="MSQ245" s="23"/>
      <c r="MSV245" s="26"/>
      <c r="MSZ245" s="23"/>
      <c r="MTE245" s="26"/>
      <c r="MTI245" s="23"/>
      <c r="MTN245" s="26"/>
      <c r="MTR245" s="23"/>
      <c r="MTW245" s="26"/>
      <c r="MUA245" s="23"/>
      <c r="MUF245" s="26"/>
      <c r="MUJ245" s="23"/>
      <c r="MUO245" s="26"/>
      <c r="MUS245" s="23"/>
      <c r="MUX245" s="26"/>
      <c r="MVB245" s="23"/>
      <c r="MVG245" s="26"/>
      <c r="MVK245" s="23"/>
      <c r="MVP245" s="26"/>
      <c r="MVT245" s="23"/>
      <c r="MVY245" s="26"/>
      <c r="MWC245" s="23"/>
      <c r="MWH245" s="26"/>
      <c r="MWL245" s="23"/>
      <c r="MWQ245" s="26"/>
      <c r="MWU245" s="23"/>
      <c r="MWZ245" s="26"/>
      <c r="MXD245" s="23"/>
      <c r="MXI245" s="26"/>
      <c r="MXM245" s="23"/>
      <c r="MXR245" s="26"/>
      <c r="MXV245" s="23"/>
      <c r="MYA245" s="26"/>
      <c r="MYE245" s="23"/>
      <c r="MYJ245" s="26"/>
      <c r="MYN245" s="23"/>
      <c r="MYS245" s="26"/>
      <c r="MYW245" s="23"/>
      <c r="MZB245" s="26"/>
      <c r="MZF245" s="23"/>
      <c r="MZK245" s="26"/>
      <c r="MZO245" s="23"/>
      <c r="MZT245" s="26"/>
      <c r="MZX245" s="23"/>
      <c r="NAC245" s="26"/>
      <c r="NAG245" s="23"/>
      <c r="NAL245" s="26"/>
      <c r="NAP245" s="23"/>
      <c r="NAU245" s="26"/>
      <c r="NAY245" s="23"/>
      <c r="NBD245" s="26"/>
      <c r="NBH245" s="23"/>
      <c r="NBM245" s="26"/>
      <c r="NBQ245" s="23"/>
      <c r="NBV245" s="26"/>
      <c r="NBZ245" s="23"/>
      <c r="NCE245" s="26"/>
      <c r="NCI245" s="23"/>
      <c r="NCN245" s="26"/>
      <c r="NCR245" s="23"/>
      <c r="NCW245" s="26"/>
      <c r="NDA245" s="23"/>
      <c r="NDF245" s="26"/>
      <c r="NDJ245" s="23"/>
      <c r="NDO245" s="26"/>
      <c r="NDS245" s="23"/>
      <c r="NDX245" s="26"/>
      <c r="NEB245" s="23"/>
      <c r="NEG245" s="26"/>
      <c r="NEK245" s="23"/>
      <c r="NEP245" s="26"/>
      <c r="NET245" s="23"/>
      <c r="NEY245" s="26"/>
      <c r="NFC245" s="23"/>
      <c r="NFH245" s="26"/>
      <c r="NFL245" s="23"/>
      <c r="NFQ245" s="26"/>
      <c r="NFU245" s="23"/>
      <c r="NFZ245" s="26"/>
      <c r="NGD245" s="23"/>
      <c r="NGI245" s="26"/>
      <c r="NGM245" s="23"/>
      <c r="NGR245" s="26"/>
      <c r="NGV245" s="23"/>
      <c r="NHA245" s="26"/>
      <c r="NHE245" s="23"/>
      <c r="NHJ245" s="26"/>
      <c r="NHN245" s="23"/>
      <c r="NHS245" s="26"/>
      <c r="NHW245" s="23"/>
      <c r="NIB245" s="26"/>
      <c r="NIF245" s="23"/>
      <c r="NIK245" s="26"/>
      <c r="NIO245" s="23"/>
      <c r="NIT245" s="26"/>
      <c r="NIX245" s="23"/>
      <c r="NJC245" s="26"/>
      <c r="NJG245" s="23"/>
      <c r="NJL245" s="26"/>
      <c r="NJP245" s="23"/>
      <c r="NJU245" s="26"/>
      <c r="NJY245" s="23"/>
      <c r="NKD245" s="26"/>
      <c r="NKH245" s="23"/>
      <c r="NKM245" s="26"/>
      <c r="NKQ245" s="23"/>
      <c r="NKV245" s="26"/>
      <c r="NKZ245" s="23"/>
      <c r="NLE245" s="26"/>
      <c r="NLI245" s="23"/>
      <c r="NLN245" s="26"/>
      <c r="NLR245" s="23"/>
      <c r="NLW245" s="26"/>
      <c r="NMA245" s="23"/>
      <c r="NMF245" s="26"/>
      <c r="NMJ245" s="23"/>
      <c r="NMO245" s="26"/>
      <c r="NMS245" s="23"/>
      <c r="NMX245" s="26"/>
      <c r="NNB245" s="23"/>
      <c r="NNG245" s="26"/>
      <c r="NNK245" s="23"/>
      <c r="NNP245" s="26"/>
      <c r="NNT245" s="23"/>
      <c r="NNY245" s="26"/>
      <c r="NOC245" s="23"/>
      <c r="NOH245" s="26"/>
      <c r="NOL245" s="23"/>
      <c r="NOQ245" s="26"/>
      <c r="NOU245" s="23"/>
      <c r="NOZ245" s="26"/>
      <c r="NPD245" s="23"/>
      <c r="NPI245" s="26"/>
      <c r="NPM245" s="23"/>
      <c r="NPR245" s="26"/>
      <c r="NPV245" s="23"/>
      <c r="NQA245" s="26"/>
      <c r="NQE245" s="23"/>
      <c r="NQJ245" s="26"/>
      <c r="NQN245" s="23"/>
      <c r="NQS245" s="26"/>
      <c r="NQW245" s="23"/>
      <c r="NRB245" s="26"/>
      <c r="NRF245" s="23"/>
      <c r="NRK245" s="26"/>
      <c r="NRO245" s="23"/>
      <c r="NRT245" s="26"/>
      <c r="NRX245" s="23"/>
      <c r="NSC245" s="26"/>
      <c r="NSG245" s="23"/>
      <c r="NSL245" s="26"/>
      <c r="NSP245" s="23"/>
      <c r="NSU245" s="26"/>
      <c r="NSY245" s="23"/>
      <c r="NTD245" s="26"/>
      <c r="NTH245" s="23"/>
      <c r="NTM245" s="26"/>
      <c r="NTQ245" s="23"/>
      <c r="NTV245" s="26"/>
      <c r="NTZ245" s="23"/>
      <c r="NUE245" s="26"/>
      <c r="NUI245" s="23"/>
      <c r="NUN245" s="26"/>
      <c r="NUR245" s="23"/>
      <c r="NUW245" s="26"/>
      <c r="NVA245" s="23"/>
      <c r="NVF245" s="26"/>
      <c r="NVJ245" s="23"/>
      <c r="NVO245" s="26"/>
      <c r="NVS245" s="23"/>
      <c r="NVX245" s="26"/>
      <c r="NWB245" s="23"/>
      <c r="NWG245" s="26"/>
      <c r="NWK245" s="23"/>
      <c r="NWP245" s="26"/>
      <c r="NWT245" s="23"/>
      <c r="NWY245" s="26"/>
      <c r="NXC245" s="23"/>
      <c r="NXH245" s="26"/>
      <c r="NXL245" s="23"/>
      <c r="NXQ245" s="26"/>
      <c r="NXU245" s="23"/>
      <c r="NXZ245" s="26"/>
      <c r="NYD245" s="23"/>
      <c r="NYI245" s="26"/>
      <c r="NYM245" s="23"/>
      <c r="NYR245" s="26"/>
      <c r="NYV245" s="23"/>
      <c r="NZA245" s="26"/>
      <c r="NZE245" s="23"/>
      <c r="NZJ245" s="26"/>
      <c r="NZN245" s="23"/>
      <c r="NZS245" s="26"/>
      <c r="NZW245" s="23"/>
      <c r="OAB245" s="26"/>
      <c r="OAF245" s="23"/>
      <c r="OAK245" s="26"/>
      <c r="OAO245" s="23"/>
      <c r="OAT245" s="26"/>
      <c r="OAX245" s="23"/>
      <c r="OBC245" s="26"/>
      <c r="OBG245" s="23"/>
      <c r="OBL245" s="26"/>
      <c r="OBP245" s="23"/>
      <c r="OBU245" s="26"/>
      <c r="OBY245" s="23"/>
      <c r="OCD245" s="26"/>
      <c r="OCH245" s="23"/>
      <c r="OCM245" s="26"/>
      <c r="OCQ245" s="23"/>
      <c r="OCV245" s="26"/>
      <c r="OCZ245" s="23"/>
      <c r="ODE245" s="26"/>
      <c r="ODI245" s="23"/>
      <c r="ODN245" s="26"/>
      <c r="ODR245" s="23"/>
      <c r="ODW245" s="26"/>
      <c r="OEA245" s="23"/>
      <c r="OEF245" s="26"/>
      <c r="OEJ245" s="23"/>
      <c r="OEO245" s="26"/>
      <c r="OES245" s="23"/>
      <c r="OEX245" s="26"/>
      <c r="OFB245" s="23"/>
      <c r="OFG245" s="26"/>
      <c r="OFK245" s="23"/>
      <c r="OFP245" s="26"/>
      <c r="OFT245" s="23"/>
      <c r="OFY245" s="26"/>
      <c r="OGC245" s="23"/>
      <c r="OGH245" s="26"/>
      <c r="OGL245" s="23"/>
      <c r="OGQ245" s="26"/>
      <c r="OGU245" s="23"/>
      <c r="OGZ245" s="26"/>
      <c r="OHD245" s="23"/>
      <c r="OHI245" s="26"/>
      <c r="OHM245" s="23"/>
      <c r="OHR245" s="26"/>
      <c r="OHV245" s="23"/>
      <c r="OIA245" s="26"/>
      <c r="OIE245" s="23"/>
      <c r="OIJ245" s="26"/>
      <c r="OIN245" s="23"/>
      <c r="OIS245" s="26"/>
      <c r="OIW245" s="23"/>
      <c r="OJB245" s="26"/>
      <c r="OJF245" s="23"/>
      <c r="OJK245" s="26"/>
      <c r="OJO245" s="23"/>
      <c r="OJT245" s="26"/>
      <c r="OJX245" s="23"/>
      <c r="OKC245" s="26"/>
      <c r="OKG245" s="23"/>
      <c r="OKL245" s="26"/>
      <c r="OKP245" s="23"/>
      <c r="OKU245" s="26"/>
      <c r="OKY245" s="23"/>
      <c r="OLD245" s="26"/>
      <c r="OLH245" s="23"/>
      <c r="OLM245" s="26"/>
      <c r="OLQ245" s="23"/>
      <c r="OLV245" s="26"/>
      <c r="OLZ245" s="23"/>
      <c r="OME245" s="26"/>
      <c r="OMI245" s="23"/>
      <c r="OMN245" s="26"/>
      <c r="OMR245" s="23"/>
      <c r="OMW245" s="26"/>
      <c r="ONA245" s="23"/>
      <c r="ONF245" s="26"/>
      <c r="ONJ245" s="23"/>
      <c r="ONO245" s="26"/>
      <c r="ONS245" s="23"/>
      <c r="ONX245" s="26"/>
      <c r="OOB245" s="23"/>
      <c r="OOG245" s="26"/>
      <c r="OOK245" s="23"/>
      <c r="OOP245" s="26"/>
      <c r="OOT245" s="23"/>
      <c r="OOY245" s="26"/>
      <c r="OPC245" s="23"/>
      <c r="OPH245" s="26"/>
      <c r="OPL245" s="23"/>
      <c r="OPQ245" s="26"/>
      <c r="OPU245" s="23"/>
      <c r="OPZ245" s="26"/>
      <c r="OQD245" s="23"/>
      <c r="OQI245" s="26"/>
      <c r="OQM245" s="23"/>
      <c r="OQR245" s="26"/>
      <c r="OQV245" s="23"/>
      <c r="ORA245" s="26"/>
      <c r="ORE245" s="23"/>
      <c r="ORJ245" s="26"/>
      <c r="ORN245" s="23"/>
      <c r="ORS245" s="26"/>
      <c r="ORW245" s="23"/>
      <c r="OSB245" s="26"/>
      <c r="OSF245" s="23"/>
      <c r="OSK245" s="26"/>
      <c r="OSO245" s="23"/>
      <c r="OST245" s="26"/>
      <c r="OSX245" s="23"/>
      <c r="OTC245" s="26"/>
      <c r="OTG245" s="23"/>
      <c r="OTL245" s="26"/>
      <c r="OTP245" s="23"/>
      <c r="OTU245" s="26"/>
      <c r="OTY245" s="23"/>
      <c r="OUD245" s="26"/>
      <c r="OUH245" s="23"/>
      <c r="OUM245" s="26"/>
      <c r="OUQ245" s="23"/>
      <c r="OUV245" s="26"/>
      <c r="OUZ245" s="23"/>
      <c r="OVE245" s="26"/>
      <c r="OVI245" s="23"/>
      <c r="OVN245" s="26"/>
      <c r="OVR245" s="23"/>
      <c r="OVW245" s="26"/>
      <c r="OWA245" s="23"/>
      <c r="OWF245" s="26"/>
      <c r="OWJ245" s="23"/>
      <c r="OWO245" s="26"/>
      <c r="OWS245" s="23"/>
      <c r="OWX245" s="26"/>
      <c r="OXB245" s="23"/>
      <c r="OXG245" s="26"/>
      <c r="OXK245" s="23"/>
      <c r="OXP245" s="26"/>
      <c r="OXT245" s="23"/>
      <c r="OXY245" s="26"/>
      <c r="OYC245" s="23"/>
      <c r="OYH245" s="26"/>
      <c r="OYL245" s="23"/>
      <c r="OYQ245" s="26"/>
      <c r="OYU245" s="23"/>
      <c r="OYZ245" s="26"/>
      <c r="OZD245" s="23"/>
      <c r="OZI245" s="26"/>
      <c r="OZM245" s="23"/>
      <c r="OZR245" s="26"/>
      <c r="OZV245" s="23"/>
      <c r="PAA245" s="26"/>
      <c r="PAE245" s="23"/>
      <c r="PAJ245" s="26"/>
      <c r="PAN245" s="23"/>
      <c r="PAS245" s="26"/>
      <c r="PAW245" s="23"/>
      <c r="PBB245" s="26"/>
      <c r="PBF245" s="23"/>
      <c r="PBK245" s="26"/>
      <c r="PBO245" s="23"/>
      <c r="PBT245" s="26"/>
      <c r="PBX245" s="23"/>
      <c r="PCC245" s="26"/>
      <c r="PCG245" s="23"/>
      <c r="PCL245" s="26"/>
      <c r="PCP245" s="23"/>
      <c r="PCU245" s="26"/>
      <c r="PCY245" s="23"/>
      <c r="PDD245" s="26"/>
      <c r="PDH245" s="23"/>
      <c r="PDM245" s="26"/>
      <c r="PDQ245" s="23"/>
      <c r="PDV245" s="26"/>
      <c r="PDZ245" s="23"/>
      <c r="PEE245" s="26"/>
      <c r="PEI245" s="23"/>
      <c r="PEN245" s="26"/>
      <c r="PER245" s="23"/>
      <c r="PEW245" s="26"/>
      <c r="PFA245" s="23"/>
      <c r="PFF245" s="26"/>
      <c r="PFJ245" s="23"/>
      <c r="PFO245" s="26"/>
      <c r="PFS245" s="23"/>
      <c r="PFX245" s="26"/>
      <c r="PGB245" s="23"/>
      <c r="PGG245" s="26"/>
      <c r="PGK245" s="23"/>
      <c r="PGP245" s="26"/>
      <c r="PGT245" s="23"/>
      <c r="PGY245" s="26"/>
      <c r="PHC245" s="23"/>
      <c r="PHH245" s="26"/>
      <c r="PHL245" s="23"/>
      <c r="PHQ245" s="26"/>
      <c r="PHU245" s="23"/>
      <c r="PHZ245" s="26"/>
      <c r="PID245" s="23"/>
      <c r="PII245" s="26"/>
      <c r="PIM245" s="23"/>
      <c r="PIR245" s="26"/>
      <c r="PIV245" s="23"/>
      <c r="PJA245" s="26"/>
      <c r="PJE245" s="23"/>
      <c r="PJJ245" s="26"/>
      <c r="PJN245" s="23"/>
      <c r="PJS245" s="26"/>
      <c r="PJW245" s="23"/>
      <c r="PKB245" s="26"/>
      <c r="PKF245" s="23"/>
      <c r="PKK245" s="26"/>
      <c r="PKO245" s="23"/>
      <c r="PKT245" s="26"/>
      <c r="PKX245" s="23"/>
      <c r="PLC245" s="26"/>
      <c r="PLG245" s="23"/>
      <c r="PLL245" s="26"/>
      <c r="PLP245" s="23"/>
      <c r="PLU245" s="26"/>
      <c r="PLY245" s="23"/>
      <c r="PMD245" s="26"/>
      <c r="PMH245" s="23"/>
      <c r="PMM245" s="26"/>
      <c r="PMQ245" s="23"/>
      <c r="PMV245" s="26"/>
      <c r="PMZ245" s="23"/>
      <c r="PNE245" s="26"/>
      <c r="PNI245" s="23"/>
      <c r="PNN245" s="26"/>
      <c r="PNR245" s="23"/>
      <c r="PNW245" s="26"/>
      <c r="POA245" s="23"/>
      <c r="POF245" s="26"/>
      <c r="POJ245" s="23"/>
      <c r="POO245" s="26"/>
      <c r="POS245" s="23"/>
      <c r="POX245" s="26"/>
      <c r="PPB245" s="23"/>
      <c r="PPG245" s="26"/>
      <c r="PPK245" s="23"/>
      <c r="PPP245" s="26"/>
      <c r="PPT245" s="23"/>
      <c r="PPY245" s="26"/>
      <c r="PQC245" s="23"/>
      <c r="PQH245" s="26"/>
      <c r="PQL245" s="23"/>
      <c r="PQQ245" s="26"/>
      <c r="PQU245" s="23"/>
      <c r="PQZ245" s="26"/>
      <c r="PRD245" s="23"/>
      <c r="PRI245" s="26"/>
      <c r="PRM245" s="23"/>
      <c r="PRR245" s="26"/>
      <c r="PRV245" s="23"/>
      <c r="PSA245" s="26"/>
      <c r="PSE245" s="23"/>
      <c r="PSJ245" s="26"/>
      <c r="PSN245" s="23"/>
      <c r="PSS245" s="26"/>
      <c r="PSW245" s="23"/>
      <c r="PTB245" s="26"/>
      <c r="PTF245" s="23"/>
      <c r="PTK245" s="26"/>
      <c r="PTO245" s="23"/>
      <c r="PTT245" s="26"/>
      <c r="PTX245" s="23"/>
      <c r="PUC245" s="26"/>
      <c r="PUG245" s="23"/>
      <c r="PUL245" s="26"/>
      <c r="PUP245" s="23"/>
      <c r="PUU245" s="26"/>
      <c r="PUY245" s="23"/>
      <c r="PVD245" s="26"/>
      <c r="PVH245" s="23"/>
      <c r="PVM245" s="26"/>
      <c r="PVQ245" s="23"/>
      <c r="PVV245" s="26"/>
      <c r="PVZ245" s="23"/>
      <c r="PWE245" s="26"/>
      <c r="PWI245" s="23"/>
      <c r="PWN245" s="26"/>
      <c r="PWR245" s="23"/>
      <c r="PWW245" s="26"/>
      <c r="PXA245" s="23"/>
      <c r="PXF245" s="26"/>
      <c r="PXJ245" s="23"/>
      <c r="PXO245" s="26"/>
      <c r="PXS245" s="23"/>
      <c r="PXX245" s="26"/>
      <c r="PYB245" s="23"/>
      <c r="PYG245" s="26"/>
      <c r="PYK245" s="23"/>
      <c r="PYP245" s="26"/>
      <c r="PYT245" s="23"/>
      <c r="PYY245" s="26"/>
      <c r="PZC245" s="23"/>
      <c r="PZH245" s="26"/>
      <c r="PZL245" s="23"/>
      <c r="PZQ245" s="26"/>
      <c r="PZU245" s="23"/>
      <c r="PZZ245" s="26"/>
      <c r="QAD245" s="23"/>
      <c r="QAI245" s="26"/>
      <c r="QAM245" s="23"/>
      <c r="QAR245" s="26"/>
      <c r="QAV245" s="23"/>
      <c r="QBA245" s="26"/>
      <c r="QBE245" s="23"/>
      <c r="QBJ245" s="26"/>
      <c r="QBN245" s="23"/>
      <c r="QBS245" s="26"/>
      <c r="QBW245" s="23"/>
      <c r="QCB245" s="26"/>
      <c r="QCF245" s="23"/>
      <c r="QCK245" s="26"/>
      <c r="QCO245" s="23"/>
      <c r="QCT245" s="26"/>
      <c r="QCX245" s="23"/>
      <c r="QDC245" s="26"/>
      <c r="QDG245" s="23"/>
      <c r="QDL245" s="26"/>
      <c r="QDP245" s="23"/>
      <c r="QDU245" s="26"/>
      <c r="QDY245" s="23"/>
      <c r="QED245" s="26"/>
      <c r="QEH245" s="23"/>
      <c r="QEM245" s="26"/>
      <c r="QEQ245" s="23"/>
      <c r="QEV245" s="26"/>
      <c r="QEZ245" s="23"/>
      <c r="QFE245" s="26"/>
      <c r="QFI245" s="23"/>
      <c r="QFN245" s="26"/>
      <c r="QFR245" s="23"/>
      <c r="QFW245" s="26"/>
      <c r="QGA245" s="23"/>
      <c r="QGF245" s="26"/>
      <c r="QGJ245" s="23"/>
      <c r="QGO245" s="26"/>
      <c r="QGS245" s="23"/>
      <c r="QGX245" s="26"/>
      <c r="QHB245" s="23"/>
      <c r="QHG245" s="26"/>
      <c r="QHK245" s="23"/>
      <c r="QHP245" s="26"/>
      <c r="QHT245" s="23"/>
      <c r="QHY245" s="26"/>
      <c r="QIC245" s="23"/>
      <c r="QIH245" s="26"/>
      <c r="QIL245" s="23"/>
      <c r="QIQ245" s="26"/>
      <c r="QIU245" s="23"/>
      <c r="QIZ245" s="26"/>
      <c r="QJD245" s="23"/>
      <c r="QJI245" s="26"/>
      <c r="QJM245" s="23"/>
      <c r="QJR245" s="26"/>
      <c r="QJV245" s="23"/>
      <c r="QKA245" s="26"/>
      <c r="QKE245" s="23"/>
      <c r="QKJ245" s="26"/>
      <c r="QKN245" s="23"/>
      <c r="QKS245" s="26"/>
      <c r="QKW245" s="23"/>
      <c r="QLB245" s="26"/>
      <c r="QLF245" s="23"/>
      <c r="QLK245" s="26"/>
      <c r="QLO245" s="23"/>
      <c r="QLT245" s="26"/>
      <c r="QLX245" s="23"/>
      <c r="QMC245" s="26"/>
      <c r="QMG245" s="23"/>
      <c r="QML245" s="26"/>
      <c r="QMP245" s="23"/>
      <c r="QMU245" s="26"/>
      <c r="QMY245" s="23"/>
      <c r="QND245" s="26"/>
      <c r="QNH245" s="23"/>
      <c r="QNM245" s="26"/>
      <c r="QNQ245" s="23"/>
      <c r="QNV245" s="26"/>
      <c r="QNZ245" s="23"/>
      <c r="QOE245" s="26"/>
      <c r="QOI245" s="23"/>
      <c r="QON245" s="26"/>
      <c r="QOR245" s="23"/>
      <c r="QOW245" s="26"/>
      <c r="QPA245" s="23"/>
      <c r="QPF245" s="26"/>
      <c r="QPJ245" s="23"/>
      <c r="QPO245" s="26"/>
      <c r="QPS245" s="23"/>
      <c r="QPX245" s="26"/>
      <c r="QQB245" s="23"/>
      <c r="QQG245" s="26"/>
      <c r="QQK245" s="23"/>
      <c r="QQP245" s="26"/>
      <c r="QQT245" s="23"/>
      <c r="QQY245" s="26"/>
      <c r="QRC245" s="23"/>
      <c r="QRH245" s="26"/>
      <c r="QRL245" s="23"/>
      <c r="QRQ245" s="26"/>
      <c r="QRU245" s="23"/>
      <c r="QRZ245" s="26"/>
      <c r="QSD245" s="23"/>
      <c r="QSI245" s="26"/>
      <c r="QSM245" s="23"/>
      <c r="QSR245" s="26"/>
      <c r="QSV245" s="23"/>
      <c r="QTA245" s="26"/>
      <c r="QTE245" s="23"/>
      <c r="QTJ245" s="26"/>
      <c r="QTN245" s="23"/>
      <c r="QTS245" s="26"/>
      <c r="QTW245" s="23"/>
      <c r="QUB245" s="26"/>
      <c r="QUF245" s="23"/>
      <c r="QUK245" s="26"/>
      <c r="QUO245" s="23"/>
      <c r="QUT245" s="26"/>
      <c r="QUX245" s="23"/>
      <c r="QVC245" s="26"/>
      <c r="QVG245" s="23"/>
      <c r="QVL245" s="26"/>
      <c r="QVP245" s="23"/>
      <c r="QVU245" s="26"/>
      <c r="QVY245" s="23"/>
      <c r="QWD245" s="26"/>
      <c r="QWH245" s="23"/>
      <c r="QWM245" s="26"/>
      <c r="QWQ245" s="23"/>
      <c r="QWV245" s="26"/>
      <c r="QWZ245" s="23"/>
      <c r="QXE245" s="26"/>
      <c r="QXI245" s="23"/>
      <c r="QXN245" s="26"/>
      <c r="QXR245" s="23"/>
      <c r="QXW245" s="26"/>
      <c r="QYA245" s="23"/>
      <c r="QYF245" s="26"/>
      <c r="QYJ245" s="23"/>
      <c r="QYO245" s="26"/>
      <c r="QYS245" s="23"/>
      <c r="QYX245" s="26"/>
      <c r="QZB245" s="23"/>
      <c r="QZG245" s="26"/>
      <c r="QZK245" s="23"/>
      <c r="QZP245" s="26"/>
      <c r="QZT245" s="23"/>
      <c r="QZY245" s="26"/>
      <c r="RAC245" s="23"/>
      <c r="RAH245" s="26"/>
      <c r="RAL245" s="23"/>
      <c r="RAQ245" s="26"/>
      <c r="RAU245" s="23"/>
      <c r="RAZ245" s="26"/>
      <c r="RBD245" s="23"/>
      <c r="RBI245" s="26"/>
      <c r="RBM245" s="23"/>
      <c r="RBR245" s="26"/>
      <c r="RBV245" s="23"/>
      <c r="RCA245" s="26"/>
      <c r="RCE245" s="23"/>
      <c r="RCJ245" s="26"/>
      <c r="RCN245" s="23"/>
      <c r="RCS245" s="26"/>
      <c r="RCW245" s="23"/>
      <c r="RDB245" s="26"/>
      <c r="RDF245" s="23"/>
      <c r="RDK245" s="26"/>
      <c r="RDO245" s="23"/>
      <c r="RDT245" s="26"/>
      <c r="RDX245" s="23"/>
      <c r="REC245" s="26"/>
      <c r="REG245" s="23"/>
      <c r="REL245" s="26"/>
      <c r="REP245" s="23"/>
      <c r="REU245" s="26"/>
      <c r="REY245" s="23"/>
      <c r="RFD245" s="26"/>
      <c r="RFH245" s="23"/>
      <c r="RFM245" s="26"/>
      <c r="RFQ245" s="23"/>
      <c r="RFV245" s="26"/>
      <c r="RFZ245" s="23"/>
      <c r="RGE245" s="26"/>
      <c r="RGI245" s="23"/>
      <c r="RGN245" s="26"/>
      <c r="RGR245" s="23"/>
      <c r="RGW245" s="26"/>
      <c r="RHA245" s="23"/>
      <c r="RHF245" s="26"/>
      <c r="RHJ245" s="23"/>
      <c r="RHO245" s="26"/>
      <c r="RHS245" s="23"/>
      <c r="RHX245" s="26"/>
      <c r="RIB245" s="23"/>
      <c r="RIG245" s="26"/>
      <c r="RIK245" s="23"/>
      <c r="RIP245" s="26"/>
      <c r="RIT245" s="23"/>
      <c r="RIY245" s="26"/>
      <c r="RJC245" s="23"/>
      <c r="RJH245" s="26"/>
      <c r="RJL245" s="23"/>
      <c r="RJQ245" s="26"/>
      <c r="RJU245" s="23"/>
      <c r="RJZ245" s="26"/>
      <c r="RKD245" s="23"/>
      <c r="RKI245" s="26"/>
      <c r="RKM245" s="23"/>
      <c r="RKR245" s="26"/>
      <c r="RKV245" s="23"/>
      <c r="RLA245" s="26"/>
      <c r="RLE245" s="23"/>
      <c r="RLJ245" s="26"/>
      <c r="RLN245" s="23"/>
      <c r="RLS245" s="26"/>
      <c r="RLW245" s="23"/>
      <c r="RMB245" s="26"/>
      <c r="RMF245" s="23"/>
      <c r="RMK245" s="26"/>
      <c r="RMO245" s="23"/>
      <c r="RMT245" s="26"/>
      <c r="RMX245" s="23"/>
      <c r="RNC245" s="26"/>
      <c r="RNG245" s="23"/>
      <c r="RNL245" s="26"/>
      <c r="RNP245" s="23"/>
      <c r="RNU245" s="26"/>
      <c r="RNY245" s="23"/>
      <c r="ROD245" s="26"/>
      <c r="ROH245" s="23"/>
      <c r="ROM245" s="26"/>
      <c r="ROQ245" s="23"/>
      <c r="ROV245" s="26"/>
      <c r="ROZ245" s="23"/>
      <c r="RPE245" s="26"/>
      <c r="RPI245" s="23"/>
      <c r="RPN245" s="26"/>
      <c r="RPR245" s="23"/>
      <c r="RPW245" s="26"/>
      <c r="RQA245" s="23"/>
      <c r="RQF245" s="26"/>
      <c r="RQJ245" s="23"/>
      <c r="RQO245" s="26"/>
      <c r="RQS245" s="23"/>
      <c r="RQX245" s="26"/>
      <c r="RRB245" s="23"/>
      <c r="RRG245" s="26"/>
      <c r="RRK245" s="23"/>
      <c r="RRP245" s="26"/>
      <c r="RRT245" s="23"/>
      <c r="RRY245" s="26"/>
      <c r="RSC245" s="23"/>
      <c r="RSH245" s="26"/>
      <c r="RSL245" s="23"/>
      <c r="RSQ245" s="26"/>
      <c r="RSU245" s="23"/>
      <c r="RSZ245" s="26"/>
      <c r="RTD245" s="23"/>
      <c r="RTI245" s="26"/>
      <c r="RTM245" s="23"/>
      <c r="RTR245" s="26"/>
      <c r="RTV245" s="23"/>
      <c r="RUA245" s="26"/>
      <c r="RUE245" s="23"/>
      <c r="RUJ245" s="26"/>
      <c r="RUN245" s="23"/>
      <c r="RUS245" s="26"/>
      <c r="RUW245" s="23"/>
      <c r="RVB245" s="26"/>
      <c r="RVF245" s="23"/>
      <c r="RVK245" s="26"/>
      <c r="RVO245" s="23"/>
      <c r="RVT245" s="26"/>
      <c r="RVX245" s="23"/>
      <c r="RWC245" s="26"/>
      <c r="RWG245" s="23"/>
      <c r="RWL245" s="26"/>
      <c r="RWP245" s="23"/>
      <c r="RWU245" s="26"/>
      <c r="RWY245" s="23"/>
      <c r="RXD245" s="26"/>
      <c r="RXH245" s="23"/>
      <c r="RXM245" s="26"/>
      <c r="RXQ245" s="23"/>
      <c r="RXV245" s="26"/>
      <c r="RXZ245" s="23"/>
      <c r="RYE245" s="26"/>
      <c r="RYI245" s="23"/>
      <c r="RYN245" s="26"/>
      <c r="RYR245" s="23"/>
      <c r="RYW245" s="26"/>
      <c r="RZA245" s="23"/>
      <c r="RZF245" s="26"/>
      <c r="RZJ245" s="23"/>
      <c r="RZO245" s="26"/>
      <c r="RZS245" s="23"/>
      <c r="RZX245" s="26"/>
      <c r="SAB245" s="23"/>
      <c r="SAG245" s="26"/>
      <c r="SAK245" s="23"/>
      <c r="SAP245" s="26"/>
      <c r="SAT245" s="23"/>
      <c r="SAY245" s="26"/>
      <c r="SBC245" s="23"/>
      <c r="SBH245" s="26"/>
      <c r="SBL245" s="23"/>
      <c r="SBQ245" s="26"/>
      <c r="SBU245" s="23"/>
      <c r="SBZ245" s="26"/>
      <c r="SCD245" s="23"/>
      <c r="SCI245" s="26"/>
      <c r="SCM245" s="23"/>
      <c r="SCR245" s="26"/>
      <c r="SCV245" s="23"/>
      <c r="SDA245" s="26"/>
      <c r="SDE245" s="23"/>
      <c r="SDJ245" s="26"/>
      <c r="SDN245" s="23"/>
      <c r="SDS245" s="26"/>
      <c r="SDW245" s="23"/>
      <c r="SEB245" s="26"/>
      <c r="SEF245" s="23"/>
      <c r="SEK245" s="26"/>
      <c r="SEO245" s="23"/>
      <c r="SET245" s="26"/>
      <c r="SEX245" s="23"/>
      <c r="SFC245" s="26"/>
      <c r="SFG245" s="23"/>
      <c r="SFL245" s="26"/>
      <c r="SFP245" s="23"/>
      <c r="SFU245" s="26"/>
      <c r="SFY245" s="23"/>
      <c r="SGD245" s="26"/>
      <c r="SGH245" s="23"/>
      <c r="SGM245" s="26"/>
      <c r="SGQ245" s="23"/>
      <c r="SGV245" s="26"/>
      <c r="SGZ245" s="23"/>
      <c r="SHE245" s="26"/>
      <c r="SHI245" s="23"/>
      <c r="SHN245" s="26"/>
      <c r="SHR245" s="23"/>
      <c r="SHW245" s="26"/>
      <c r="SIA245" s="23"/>
      <c r="SIF245" s="26"/>
      <c r="SIJ245" s="23"/>
      <c r="SIO245" s="26"/>
      <c r="SIS245" s="23"/>
      <c r="SIX245" s="26"/>
      <c r="SJB245" s="23"/>
      <c r="SJG245" s="26"/>
      <c r="SJK245" s="23"/>
      <c r="SJP245" s="26"/>
      <c r="SJT245" s="23"/>
      <c r="SJY245" s="26"/>
      <c r="SKC245" s="23"/>
      <c r="SKH245" s="26"/>
      <c r="SKL245" s="23"/>
      <c r="SKQ245" s="26"/>
      <c r="SKU245" s="23"/>
      <c r="SKZ245" s="26"/>
      <c r="SLD245" s="23"/>
      <c r="SLI245" s="26"/>
      <c r="SLM245" s="23"/>
      <c r="SLR245" s="26"/>
      <c r="SLV245" s="23"/>
      <c r="SMA245" s="26"/>
      <c r="SME245" s="23"/>
      <c r="SMJ245" s="26"/>
      <c r="SMN245" s="23"/>
      <c r="SMS245" s="26"/>
      <c r="SMW245" s="23"/>
      <c r="SNB245" s="26"/>
      <c r="SNF245" s="23"/>
      <c r="SNK245" s="26"/>
      <c r="SNO245" s="23"/>
      <c r="SNT245" s="26"/>
      <c r="SNX245" s="23"/>
      <c r="SOC245" s="26"/>
      <c r="SOG245" s="23"/>
      <c r="SOL245" s="26"/>
      <c r="SOP245" s="23"/>
      <c r="SOU245" s="26"/>
      <c r="SOY245" s="23"/>
      <c r="SPD245" s="26"/>
      <c r="SPH245" s="23"/>
      <c r="SPM245" s="26"/>
      <c r="SPQ245" s="23"/>
      <c r="SPV245" s="26"/>
      <c r="SPZ245" s="23"/>
      <c r="SQE245" s="26"/>
      <c r="SQI245" s="23"/>
      <c r="SQN245" s="26"/>
      <c r="SQR245" s="23"/>
      <c r="SQW245" s="26"/>
      <c r="SRA245" s="23"/>
      <c r="SRF245" s="26"/>
      <c r="SRJ245" s="23"/>
      <c r="SRO245" s="26"/>
      <c r="SRS245" s="23"/>
      <c r="SRX245" s="26"/>
      <c r="SSB245" s="23"/>
      <c r="SSG245" s="26"/>
      <c r="SSK245" s="23"/>
      <c r="SSP245" s="26"/>
      <c r="SST245" s="23"/>
      <c r="SSY245" s="26"/>
      <c r="STC245" s="23"/>
      <c r="STH245" s="26"/>
      <c r="STL245" s="23"/>
      <c r="STQ245" s="26"/>
      <c r="STU245" s="23"/>
      <c r="STZ245" s="26"/>
      <c r="SUD245" s="23"/>
      <c r="SUI245" s="26"/>
      <c r="SUM245" s="23"/>
      <c r="SUR245" s="26"/>
      <c r="SUV245" s="23"/>
      <c r="SVA245" s="26"/>
      <c r="SVE245" s="23"/>
      <c r="SVJ245" s="26"/>
      <c r="SVN245" s="23"/>
      <c r="SVS245" s="26"/>
      <c r="SVW245" s="23"/>
      <c r="SWB245" s="26"/>
      <c r="SWF245" s="23"/>
      <c r="SWK245" s="26"/>
      <c r="SWO245" s="23"/>
      <c r="SWT245" s="26"/>
      <c r="SWX245" s="23"/>
      <c r="SXC245" s="26"/>
      <c r="SXG245" s="23"/>
      <c r="SXL245" s="26"/>
      <c r="SXP245" s="23"/>
      <c r="SXU245" s="26"/>
      <c r="SXY245" s="23"/>
      <c r="SYD245" s="26"/>
      <c r="SYH245" s="23"/>
      <c r="SYM245" s="26"/>
      <c r="SYQ245" s="23"/>
      <c r="SYV245" s="26"/>
      <c r="SYZ245" s="23"/>
      <c r="SZE245" s="26"/>
      <c r="SZI245" s="23"/>
      <c r="SZN245" s="26"/>
      <c r="SZR245" s="23"/>
      <c r="SZW245" s="26"/>
      <c r="TAA245" s="23"/>
      <c r="TAF245" s="26"/>
      <c r="TAJ245" s="23"/>
      <c r="TAO245" s="26"/>
      <c r="TAS245" s="23"/>
      <c r="TAX245" s="26"/>
      <c r="TBB245" s="23"/>
      <c r="TBG245" s="26"/>
      <c r="TBK245" s="23"/>
      <c r="TBP245" s="26"/>
      <c r="TBT245" s="23"/>
      <c r="TBY245" s="26"/>
      <c r="TCC245" s="23"/>
      <c r="TCH245" s="26"/>
      <c r="TCL245" s="23"/>
      <c r="TCQ245" s="26"/>
      <c r="TCU245" s="23"/>
      <c r="TCZ245" s="26"/>
      <c r="TDD245" s="23"/>
      <c r="TDI245" s="26"/>
      <c r="TDM245" s="23"/>
      <c r="TDR245" s="26"/>
      <c r="TDV245" s="23"/>
      <c r="TEA245" s="26"/>
      <c r="TEE245" s="23"/>
      <c r="TEJ245" s="26"/>
      <c r="TEN245" s="23"/>
      <c r="TES245" s="26"/>
      <c r="TEW245" s="23"/>
      <c r="TFB245" s="26"/>
      <c r="TFF245" s="23"/>
      <c r="TFK245" s="26"/>
      <c r="TFO245" s="23"/>
      <c r="TFT245" s="26"/>
      <c r="TFX245" s="23"/>
      <c r="TGC245" s="26"/>
      <c r="TGG245" s="23"/>
      <c r="TGL245" s="26"/>
      <c r="TGP245" s="23"/>
      <c r="TGU245" s="26"/>
      <c r="TGY245" s="23"/>
      <c r="THD245" s="26"/>
      <c r="THH245" s="23"/>
      <c r="THM245" s="26"/>
      <c r="THQ245" s="23"/>
      <c r="THV245" s="26"/>
      <c r="THZ245" s="23"/>
      <c r="TIE245" s="26"/>
      <c r="TII245" s="23"/>
      <c r="TIN245" s="26"/>
      <c r="TIR245" s="23"/>
      <c r="TIW245" s="26"/>
      <c r="TJA245" s="23"/>
      <c r="TJF245" s="26"/>
      <c r="TJJ245" s="23"/>
      <c r="TJO245" s="26"/>
      <c r="TJS245" s="23"/>
      <c r="TJX245" s="26"/>
      <c r="TKB245" s="23"/>
      <c r="TKG245" s="26"/>
      <c r="TKK245" s="23"/>
      <c r="TKP245" s="26"/>
      <c r="TKT245" s="23"/>
      <c r="TKY245" s="26"/>
      <c r="TLC245" s="23"/>
      <c r="TLH245" s="26"/>
      <c r="TLL245" s="23"/>
      <c r="TLQ245" s="26"/>
      <c r="TLU245" s="23"/>
      <c r="TLZ245" s="26"/>
      <c r="TMD245" s="23"/>
      <c r="TMI245" s="26"/>
      <c r="TMM245" s="23"/>
      <c r="TMR245" s="26"/>
      <c r="TMV245" s="23"/>
      <c r="TNA245" s="26"/>
      <c r="TNE245" s="23"/>
      <c r="TNJ245" s="26"/>
      <c r="TNN245" s="23"/>
      <c r="TNS245" s="26"/>
      <c r="TNW245" s="23"/>
      <c r="TOB245" s="26"/>
      <c r="TOF245" s="23"/>
      <c r="TOK245" s="26"/>
      <c r="TOO245" s="23"/>
      <c r="TOT245" s="26"/>
      <c r="TOX245" s="23"/>
      <c r="TPC245" s="26"/>
      <c r="TPG245" s="23"/>
      <c r="TPL245" s="26"/>
      <c r="TPP245" s="23"/>
      <c r="TPU245" s="26"/>
      <c r="TPY245" s="23"/>
      <c r="TQD245" s="26"/>
      <c r="TQH245" s="23"/>
      <c r="TQM245" s="26"/>
      <c r="TQQ245" s="23"/>
      <c r="TQV245" s="26"/>
      <c r="TQZ245" s="23"/>
      <c r="TRE245" s="26"/>
      <c r="TRI245" s="23"/>
      <c r="TRN245" s="26"/>
      <c r="TRR245" s="23"/>
      <c r="TRW245" s="26"/>
      <c r="TSA245" s="23"/>
      <c r="TSF245" s="26"/>
      <c r="TSJ245" s="23"/>
      <c r="TSO245" s="26"/>
      <c r="TSS245" s="23"/>
      <c r="TSX245" s="26"/>
      <c r="TTB245" s="23"/>
      <c r="TTG245" s="26"/>
      <c r="TTK245" s="23"/>
      <c r="TTP245" s="26"/>
      <c r="TTT245" s="23"/>
      <c r="TTY245" s="26"/>
      <c r="TUC245" s="23"/>
      <c r="TUH245" s="26"/>
      <c r="TUL245" s="23"/>
      <c r="TUQ245" s="26"/>
      <c r="TUU245" s="23"/>
      <c r="TUZ245" s="26"/>
      <c r="TVD245" s="23"/>
      <c r="TVI245" s="26"/>
      <c r="TVM245" s="23"/>
      <c r="TVR245" s="26"/>
      <c r="TVV245" s="23"/>
      <c r="TWA245" s="26"/>
      <c r="TWE245" s="23"/>
      <c r="TWJ245" s="26"/>
      <c r="TWN245" s="23"/>
      <c r="TWS245" s="26"/>
      <c r="TWW245" s="23"/>
      <c r="TXB245" s="26"/>
      <c r="TXF245" s="23"/>
      <c r="TXK245" s="26"/>
      <c r="TXO245" s="23"/>
      <c r="TXT245" s="26"/>
      <c r="TXX245" s="23"/>
      <c r="TYC245" s="26"/>
      <c r="TYG245" s="23"/>
      <c r="TYL245" s="26"/>
      <c r="TYP245" s="23"/>
      <c r="TYU245" s="26"/>
      <c r="TYY245" s="23"/>
      <c r="TZD245" s="26"/>
      <c r="TZH245" s="23"/>
      <c r="TZM245" s="26"/>
      <c r="TZQ245" s="23"/>
      <c r="TZV245" s="26"/>
      <c r="TZZ245" s="23"/>
      <c r="UAE245" s="26"/>
      <c r="UAI245" s="23"/>
      <c r="UAN245" s="26"/>
      <c r="UAR245" s="23"/>
      <c r="UAW245" s="26"/>
      <c r="UBA245" s="23"/>
      <c r="UBF245" s="26"/>
      <c r="UBJ245" s="23"/>
      <c r="UBO245" s="26"/>
      <c r="UBS245" s="23"/>
      <c r="UBX245" s="26"/>
      <c r="UCB245" s="23"/>
      <c r="UCG245" s="26"/>
      <c r="UCK245" s="23"/>
      <c r="UCP245" s="26"/>
      <c r="UCT245" s="23"/>
      <c r="UCY245" s="26"/>
      <c r="UDC245" s="23"/>
      <c r="UDH245" s="26"/>
      <c r="UDL245" s="23"/>
      <c r="UDQ245" s="26"/>
      <c r="UDU245" s="23"/>
      <c r="UDZ245" s="26"/>
      <c r="UED245" s="23"/>
      <c r="UEI245" s="26"/>
      <c r="UEM245" s="23"/>
      <c r="UER245" s="26"/>
      <c r="UEV245" s="23"/>
      <c r="UFA245" s="26"/>
      <c r="UFE245" s="23"/>
      <c r="UFJ245" s="26"/>
      <c r="UFN245" s="23"/>
      <c r="UFS245" s="26"/>
      <c r="UFW245" s="23"/>
      <c r="UGB245" s="26"/>
      <c r="UGF245" s="23"/>
      <c r="UGK245" s="26"/>
      <c r="UGO245" s="23"/>
      <c r="UGT245" s="26"/>
      <c r="UGX245" s="23"/>
      <c r="UHC245" s="26"/>
      <c r="UHG245" s="23"/>
      <c r="UHL245" s="26"/>
      <c r="UHP245" s="23"/>
      <c r="UHU245" s="26"/>
      <c r="UHY245" s="23"/>
      <c r="UID245" s="26"/>
      <c r="UIH245" s="23"/>
      <c r="UIM245" s="26"/>
      <c r="UIQ245" s="23"/>
      <c r="UIV245" s="26"/>
      <c r="UIZ245" s="23"/>
      <c r="UJE245" s="26"/>
      <c r="UJI245" s="23"/>
      <c r="UJN245" s="26"/>
      <c r="UJR245" s="23"/>
      <c r="UJW245" s="26"/>
      <c r="UKA245" s="23"/>
      <c r="UKF245" s="26"/>
      <c r="UKJ245" s="23"/>
      <c r="UKO245" s="26"/>
      <c r="UKS245" s="23"/>
      <c r="UKX245" s="26"/>
      <c r="ULB245" s="23"/>
      <c r="ULG245" s="26"/>
      <c r="ULK245" s="23"/>
      <c r="ULP245" s="26"/>
      <c r="ULT245" s="23"/>
      <c r="ULY245" s="26"/>
      <c r="UMC245" s="23"/>
      <c r="UMH245" s="26"/>
      <c r="UML245" s="23"/>
      <c r="UMQ245" s="26"/>
      <c r="UMU245" s="23"/>
      <c r="UMZ245" s="26"/>
      <c r="UND245" s="23"/>
      <c r="UNI245" s="26"/>
      <c r="UNM245" s="23"/>
      <c r="UNR245" s="26"/>
      <c r="UNV245" s="23"/>
      <c r="UOA245" s="26"/>
      <c r="UOE245" s="23"/>
      <c r="UOJ245" s="26"/>
      <c r="UON245" s="23"/>
      <c r="UOS245" s="26"/>
      <c r="UOW245" s="23"/>
      <c r="UPB245" s="26"/>
      <c r="UPF245" s="23"/>
      <c r="UPK245" s="26"/>
      <c r="UPO245" s="23"/>
      <c r="UPT245" s="26"/>
      <c r="UPX245" s="23"/>
      <c r="UQC245" s="26"/>
      <c r="UQG245" s="23"/>
      <c r="UQL245" s="26"/>
      <c r="UQP245" s="23"/>
      <c r="UQU245" s="26"/>
      <c r="UQY245" s="23"/>
      <c r="URD245" s="26"/>
      <c r="URH245" s="23"/>
      <c r="URM245" s="26"/>
      <c r="URQ245" s="23"/>
      <c r="URV245" s="26"/>
      <c r="URZ245" s="23"/>
      <c r="USE245" s="26"/>
      <c r="USI245" s="23"/>
      <c r="USN245" s="26"/>
      <c r="USR245" s="23"/>
      <c r="USW245" s="26"/>
      <c r="UTA245" s="23"/>
      <c r="UTF245" s="26"/>
      <c r="UTJ245" s="23"/>
      <c r="UTO245" s="26"/>
      <c r="UTS245" s="23"/>
      <c r="UTX245" s="26"/>
      <c r="UUB245" s="23"/>
      <c r="UUG245" s="26"/>
      <c r="UUK245" s="23"/>
      <c r="UUP245" s="26"/>
      <c r="UUT245" s="23"/>
      <c r="UUY245" s="26"/>
      <c r="UVC245" s="23"/>
      <c r="UVH245" s="26"/>
      <c r="UVL245" s="23"/>
      <c r="UVQ245" s="26"/>
      <c r="UVU245" s="23"/>
      <c r="UVZ245" s="26"/>
      <c r="UWD245" s="23"/>
      <c r="UWI245" s="26"/>
      <c r="UWM245" s="23"/>
      <c r="UWR245" s="26"/>
      <c r="UWV245" s="23"/>
      <c r="UXA245" s="26"/>
      <c r="UXE245" s="23"/>
      <c r="UXJ245" s="26"/>
      <c r="UXN245" s="23"/>
      <c r="UXS245" s="26"/>
      <c r="UXW245" s="23"/>
      <c r="UYB245" s="26"/>
      <c r="UYF245" s="23"/>
      <c r="UYK245" s="26"/>
      <c r="UYO245" s="23"/>
      <c r="UYT245" s="26"/>
      <c r="UYX245" s="23"/>
      <c r="UZC245" s="26"/>
      <c r="UZG245" s="23"/>
      <c r="UZL245" s="26"/>
      <c r="UZP245" s="23"/>
      <c r="UZU245" s="26"/>
      <c r="UZY245" s="23"/>
      <c r="VAD245" s="26"/>
      <c r="VAH245" s="23"/>
      <c r="VAM245" s="26"/>
      <c r="VAQ245" s="23"/>
      <c r="VAV245" s="26"/>
      <c r="VAZ245" s="23"/>
      <c r="VBE245" s="26"/>
      <c r="VBI245" s="23"/>
      <c r="VBN245" s="26"/>
      <c r="VBR245" s="23"/>
      <c r="VBW245" s="26"/>
      <c r="VCA245" s="23"/>
      <c r="VCF245" s="26"/>
      <c r="VCJ245" s="23"/>
      <c r="VCO245" s="26"/>
      <c r="VCS245" s="23"/>
      <c r="VCX245" s="26"/>
      <c r="VDB245" s="23"/>
      <c r="VDG245" s="26"/>
      <c r="VDK245" s="23"/>
      <c r="VDP245" s="26"/>
      <c r="VDT245" s="23"/>
      <c r="VDY245" s="26"/>
      <c r="VEC245" s="23"/>
      <c r="VEH245" s="26"/>
      <c r="VEL245" s="23"/>
      <c r="VEQ245" s="26"/>
      <c r="VEU245" s="23"/>
      <c r="VEZ245" s="26"/>
      <c r="VFD245" s="23"/>
      <c r="VFI245" s="26"/>
      <c r="VFM245" s="23"/>
      <c r="VFR245" s="26"/>
      <c r="VFV245" s="23"/>
      <c r="VGA245" s="26"/>
      <c r="VGE245" s="23"/>
      <c r="VGJ245" s="26"/>
      <c r="VGN245" s="23"/>
      <c r="VGS245" s="26"/>
      <c r="VGW245" s="23"/>
      <c r="VHB245" s="26"/>
      <c r="VHF245" s="23"/>
      <c r="VHK245" s="26"/>
      <c r="VHO245" s="23"/>
      <c r="VHT245" s="26"/>
      <c r="VHX245" s="23"/>
      <c r="VIC245" s="26"/>
      <c r="VIG245" s="23"/>
      <c r="VIL245" s="26"/>
      <c r="VIP245" s="23"/>
      <c r="VIU245" s="26"/>
      <c r="VIY245" s="23"/>
      <c r="VJD245" s="26"/>
      <c r="VJH245" s="23"/>
      <c r="VJM245" s="26"/>
      <c r="VJQ245" s="23"/>
      <c r="VJV245" s="26"/>
      <c r="VJZ245" s="23"/>
      <c r="VKE245" s="26"/>
      <c r="VKI245" s="23"/>
      <c r="VKN245" s="26"/>
      <c r="VKR245" s="23"/>
      <c r="VKW245" s="26"/>
      <c r="VLA245" s="23"/>
      <c r="VLF245" s="26"/>
      <c r="VLJ245" s="23"/>
      <c r="VLO245" s="26"/>
      <c r="VLS245" s="23"/>
      <c r="VLX245" s="26"/>
      <c r="VMB245" s="23"/>
      <c r="VMG245" s="26"/>
      <c r="VMK245" s="23"/>
      <c r="VMP245" s="26"/>
      <c r="VMT245" s="23"/>
      <c r="VMY245" s="26"/>
      <c r="VNC245" s="23"/>
      <c r="VNH245" s="26"/>
      <c r="VNL245" s="23"/>
      <c r="VNQ245" s="26"/>
      <c r="VNU245" s="23"/>
      <c r="VNZ245" s="26"/>
      <c r="VOD245" s="23"/>
      <c r="VOI245" s="26"/>
      <c r="VOM245" s="23"/>
      <c r="VOR245" s="26"/>
      <c r="VOV245" s="23"/>
      <c r="VPA245" s="26"/>
      <c r="VPE245" s="23"/>
      <c r="VPJ245" s="26"/>
      <c r="VPN245" s="23"/>
      <c r="VPS245" s="26"/>
      <c r="VPW245" s="23"/>
      <c r="VQB245" s="26"/>
      <c r="VQF245" s="23"/>
      <c r="VQK245" s="26"/>
      <c r="VQO245" s="23"/>
      <c r="VQT245" s="26"/>
      <c r="VQX245" s="23"/>
      <c r="VRC245" s="26"/>
      <c r="VRG245" s="23"/>
      <c r="VRL245" s="26"/>
      <c r="VRP245" s="23"/>
      <c r="VRU245" s="26"/>
      <c r="VRY245" s="23"/>
      <c r="VSD245" s="26"/>
      <c r="VSH245" s="23"/>
      <c r="VSM245" s="26"/>
      <c r="VSQ245" s="23"/>
      <c r="VSV245" s="26"/>
      <c r="VSZ245" s="23"/>
      <c r="VTE245" s="26"/>
      <c r="VTI245" s="23"/>
      <c r="VTN245" s="26"/>
      <c r="VTR245" s="23"/>
      <c r="VTW245" s="26"/>
      <c r="VUA245" s="23"/>
      <c r="VUF245" s="26"/>
      <c r="VUJ245" s="23"/>
      <c r="VUO245" s="26"/>
      <c r="VUS245" s="23"/>
      <c r="VUX245" s="26"/>
      <c r="VVB245" s="23"/>
      <c r="VVG245" s="26"/>
      <c r="VVK245" s="23"/>
      <c r="VVP245" s="26"/>
      <c r="VVT245" s="23"/>
      <c r="VVY245" s="26"/>
      <c r="VWC245" s="23"/>
      <c r="VWH245" s="26"/>
      <c r="VWL245" s="23"/>
      <c r="VWQ245" s="26"/>
      <c r="VWU245" s="23"/>
      <c r="VWZ245" s="26"/>
      <c r="VXD245" s="23"/>
      <c r="VXI245" s="26"/>
      <c r="VXM245" s="23"/>
      <c r="VXR245" s="26"/>
      <c r="VXV245" s="23"/>
      <c r="VYA245" s="26"/>
      <c r="VYE245" s="23"/>
      <c r="VYJ245" s="26"/>
      <c r="VYN245" s="23"/>
      <c r="VYS245" s="26"/>
      <c r="VYW245" s="23"/>
      <c r="VZB245" s="26"/>
      <c r="VZF245" s="23"/>
      <c r="VZK245" s="26"/>
      <c r="VZO245" s="23"/>
      <c r="VZT245" s="26"/>
      <c r="VZX245" s="23"/>
      <c r="WAC245" s="26"/>
      <c r="WAG245" s="23"/>
      <c r="WAL245" s="26"/>
      <c r="WAP245" s="23"/>
      <c r="WAU245" s="26"/>
      <c r="WAY245" s="23"/>
      <c r="WBD245" s="26"/>
      <c r="WBH245" s="23"/>
      <c r="WBM245" s="26"/>
      <c r="WBQ245" s="23"/>
      <c r="WBV245" s="26"/>
      <c r="WBZ245" s="23"/>
      <c r="WCE245" s="26"/>
      <c r="WCI245" s="23"/>
      <c r="WCN245" s="26"/>
      <c r="WCR245" s="23"/>
      <c r="WCW245" s="26"/>
      <c r="WDA245" s="23"/>
      <c r="WDF245" s="26"/>
      <c r="WDJ245" s="23"/>
      <c r="WDO245" s="26"/>
      <c r="WDS245" s="23"/>
      <c r="WDX245" s="26"/>
      <c r="WEB245" s="23"/>
      <c r="WEG245" s="26"/>
      <c r="WEK245" s="23"/>
      <c r="WEP245" s="26"/>
      <c r="WET245" s="23"/>
      <c r="WEY245" s="26"/>
      <c r="WFC245" s="23"/>
      <c r="WFH245" s="26"/>
      <c r="WFL245" s="23"/>
      <c r="WFQ245" s="26"/>
      <c r="WFU245" s="23"/>
      <c r="WFZ245" s="26"/>
      <c r="WGD245" s="23"/>
      <c r="WGI245" s="26"/>
      <c r="WGM245" s="23"/>
      <c r="WGR245" s="26"/>
      <c r="WGV245" s="23"/>
      <c r="WHA245" s="26"/>
      <c r="WHE245" s="23"/>
      <c r="WHJ245" s="26"/>
      <c r="WHN245" s="23"/>
      <c r="WHS245" s="26"/>
      <c r="WHW245" s="23"/>
      <c r="WIB245" s="26"/>
      <c r="WIF245" s="23"/>
      <c r="WIK245" s="26"/>
      <c r="WIO245" s="23"/>
      <c r="WIT245" s="26"/>
      <c r="WIX245" s="23"/>
      <c r="WJC245" s="26"/>
      <c r="WJG245" s="23"/>
      <c r="WJL245" s="26"/>
      <c r="WJP245" s="23"/>
      <c r="WJU245" s="26"/>
      <c r="WJY245" s="23"/>
      <c r="WKD245" s="26"/>
      <c r="WKH245" s="23"/>
      <c r="WKM245" s="26"/>
      <c r="WKQ245" s="23"/>
      <c r="WKV245" s="26"/>
      <c r="WKZ245" s="23"/>
      <c r="WLE245" s="26"/>
      <c r="WLI245" s="23"/>
      <c r="WLN245" s="26"/>
      <c r="WLR245" s="23"/>
      <c r="WLW245" s="26"/>
      <c r="WMA245" s="23"/>
      <c r="WMF245" s="26"/>
      <c r="WMJ245" s="23"/>
      <c r="WMO245" s="26"/>
      <c r="WMS245" s="23"/>
      <c r="WMX245" s="26"/>
      <c r="WNB245" s="23"/>
      <c r="WNG245" s="26"/>
      <c r="WNK245" s="23"/>
      <c r="WNP245" s="26"/>
      <c r="WNT245" s="23"/>
      <c r="WNY245" s="26"/>
      <c r="WOC245" s="23"/>
      <c r="WOH245" s="26"/>
      <c r="WOL245" s="23"/>
      <c r="WOQ245" s="26"/>
      <c r="WOU245" s="23"/>
      <c r="WOZ245" s="26"/>
      <c r="WPD245" s="23"/>
      <c r="WPI245" s="26"/>
      <c r="WPM245" s="23"/>
      <c r="WPR245" s="26"/>
      <c r="WPV245" s="23"/>
      <c r="WQA245" s="26"/>
      <c r="WQE245" s="23"/>
      <c r="WQJ245" s="26"/>
      <c r="WQN245" s="23"/>
      <c r="WQS245" s="26"/>
      <c r="WQW245" s="23"/>
      <c r="WRB245" s="26"/>
      <c r="WRF245" s="23"/>
      <c r="WRK245" s="26"/>
      <c r="WRO245" s="23"/>
      <c r="WRT245" s="26"/>
      <c r="WRX245" s="23"/>
      <c r="WSC245" s="26"/>
      <c r="WSG245" s="23"/>
      <c r="WSL245" s="26"/>
      <c r="WSP245" s="23"/>
      <c r="WSU245" s="26"/>
      <c r="WSY245" s="23"/>
      <c r="WTD245" s="26"/>
      <c r="WTH245" s="23"/>
      <c r="WTM245" s="26"/>
      <c r="WTQ245" s="23"/>
      <c r="WTV245" s="26"/>
      <c r="WTZ245" s="23"/>
      <c r="WUE245" s="26"/>
      <c r="WUI245" s="23"/>
      <c r="WUN245" s="26"/>
      <c r="WUR245" s="23"/>
      <c r="WUW245" s="26"/>
      <c r="WVA245" s="23"/>
      <c r="WVF245" s="26"/>
      <c r="WVJ245" s="23"/>
      <c r="WVO245" s="26"/>
      <c r="WVS245" s="23"/>
      <c r="WVX245" s="26"/>
      <c r="WWB245" s="23"/>
      <c r="WWG245" s="26"/>
      <c r="WWK245" s="23"/>
      <c r="WWP245" s="26"/>
      <c r="WWT245" s="23"/>
      <c r="WWY245" s="26"/>
      <c r="WXC245" s="23"/>
      <c r="WXH245" s="26"/>
      <c r="WXL245" s="23"/>
      <c r="WXQ245" s="26"/>
      <c r="WXU245" s="23"/>
      <c r="WXZ245" s="26"/>
      <c r="WYD245" s="23"/>
      <c r="WYI245" s="26"/>
      <c r="WYM245" s="23"/>
      <c r="WYR245" s="26"/>
      <c r="WYV245" s="23"/>
      <c r="WZA245" s="26"/>
      <c r="WZE245" s="23"/>
      <c r="WZJ245" s="26"/>
      <c r="WZN245" s="23"/>
      <c r="WZS245" s="26"/>
      <c r="WZW245" s="23"/>
      <c r="XAB245" s="26"/>
      <c r="XAF245" s="23"/>
      <c r="XAK245" s="26"/>
      <c r="XAO245" s="23"/>
      <c r="XAT245" s="26"/>
      <c r="XAX245" s="23"/>
      <c r="XBC245" s="26"/>
      <c r="XBG245" s="23"/>
      <c r="XBL245" s="26"/>
      <c r="XBP245" s="23"/>
      <c r="XBU245" s="26"/>
      <c r="XBY245" s="23"/>
      <c r="XCD245" s="26"/>
      <c r="XCH245" s="23"/>
      <c r="XCM245" s="26"/>
      <c r="XCQ245" s="23"/>
      <c r="XCV245" s="26"/>
      <c r="XCZ245" s="23"/>
      <c r="XDE245" s="26"/>
      <c r="XDI245" s="23"/>
      <c r="XDN245" s="26"/>
      <c r="XDR245" s="23"/>
      <c r="XDW245" s="26"/>
      <c r="XEA245" s="23"/>
      <c r="XEF245" s="26"/>
      <c r="XEJ245" s="23"/>
      <c r="XEO245" s="26"/>
      <c r="XES245" s="23"/>
      <c r="XEX245" s="26"/>
      <c r="XFB245" s="23"/>
    </row>
    <row r="246" spans="2:1024 1028:2045 2050:3071 3076:4093 4097:5119 5123:6140 6145:7166 7171:8192 8197:9214 9218:10240 10244:11261 11266:12287 12292:13309 13313:14335 14339:15356 15361:16382" x14ac:dyDescent="0.3">
      <c r="B246" s="23"/>
      <c r="K246" s="23"/>
      <c r="P246" s="26"/>
      <c r="T246" s="23"/>
      <c r="Y246" s="26"/>
      <c r="AC246" s="23"/>
      <c r="AH246" s="26"/>
      <c r="AL246" s="23"/>
      <c r="AQ246" s="26"/>
      <c r="AU246" s="23"/>
      <c r="AZ246" s="26"/>
      <c r="BD246" s="23"/>
      <c r="BI246" s="26"/>
      <c r="BM246" s="23"/>
      <c r="BR246" s="26"/>
      <c r="BV246" s="23"/>
      <c r="CA246" s="26"/>
      <c r="CE246" s="23"/>
      <c r="CJ246" s="26"/>
      <c r="CN246" s="23"/>
      <c r="CS246" s="26"/>
      <c r="CW246" s="23"/>
      <c r="DB246" s="26"/>
      <c r="DF246" s="23"/>
      <c r="DK246" s="26"/>
      <c r="DO246" s="23"/>
      <c r="DT246" s="26"/>
      <c r="DX246" s="23"/>
      <c r="EC246" s="26"/>
      <c r="EG246" s="23"/>
      <c r="EL246" s="26"/>
      <c r="EP246" s="23"/>
      <c r="EU246" s="26"/>
      <c r="EY246" s="23"/>
      <c r="FD246" s="26"/>
      <c r="FH246" s="23"/>
      <c r="FM246" s="26"/>
      <c r="FQ246" s="23"/>
      <c r="FV246" s="26"/>
      <c r="FZ246" s="23"/>
      <c r="GE246" s="26"/>
      <c r="GI246" s="23"/>
      <c r="GN246" s="26"/>
      <c r="GR246" s="23"/>
      <c r="GW246" s="26"/>
      <c r="HA246" s="23"/>
      <c r="HF246" s="26"/>
      <c r="HJ246" s="23"/>
      <c r="HO246" s="26"/>
      <c r="HS246" s="23"/>
      <c r="HX246" s="26"/>
      <c r="IB246" s="23"/>
      <c r="IG246" s="26"/>
      <c r="IK246" s="23"/>
      <c r="IP246" s="26"/>
      <c r="IT246" s="23"/>
      <c r="IY246" s="26"/>
      <c r="JC246" s="23"/>
      <c r="JH246" s="26"/>
      <c r="JL246" s="23"/>
      <c r="JQ246" s="26"/>
      <c r="JU246" s="23"/>
      <c r="JZ246" s="26"/>
      <c r="KD246" s="23"/>
      <c r="KI246" s="26"/>
      <c r="KM246" s="23"/>
      <c r="KR246" s="26"/>
      <c r="KV246" s="23"/>
      <c r="LA246" s="26"/>
      <c r="LE246" s="23"/>
      <c r="LJ246" s="26"/>
      <c r="LN246" s="23"/>
      <c r="LS246" s="26"/>
      <c r="LW246" s="23"/>
      <c r="MB246" s="26"/>
      <c r="MF246" s="23"/>
      <c r="MK246" s="26"/>
      <c r="MO246" s="23"/>
      <c r="MT246" s="26"/>
      <c r="MX246" s="23"/>
      <c r="NC246" s="26"/>
      <c r="NG246" s="23"/>
      <c r="NL246" s="26"/>
      <c r="NP246" s="23"/>
      <c r="NU246" s="26"/>
      <c r="NY246" s="23"/>
      <c r="OD246" s="26"/>
      <c r="OH246" s="23"/>
      <c r="OM246" s="26"/>
      <c r="OQ246" s="23"/>
      <c r="OV246" s="26"/>
      <c r="OZ246" s="23"/>
      <c r="PE246" s="26"/>
      <c r="PI246" s="23"/>
      <c r="PN246" s="26"/>
      <c r="PR246" s="23"/>
      <c r="PW246" s="26"/>
      <c r="QA246" s="23"/>
      <c r="QF246" s="26"/>
      <c r="QJ246" s="23"/>
      <c r="QO246" s="26"/>
      <c r="QS246" s="23"/>
      <c r="QX246" s="26"/>
      <c r="RB246" s="23"/>
      <c r="RG246" s="26"/>
      <c r="RK246" s="23"/>
      <c r="RP246" s="26"/>
      <c r="RT246" s="23"/>
      <c r="RY246" s="26"/>
      <c r="SC246" s="23"/>
      <c r="SH246" s="26"/>
      <c r="SL246" s="23"/>
      <c r="SQ246" s="26"/>
      <c r="SU246" s="23"/>
      <c r="SZ246" s="26"/>
      <c r="TD246" s="23"/>
      <c r="TI246" s="26"/>
      <c r="TM246" s="23"/>
      <c r="TR246" s="26"/>
      <c r="TV246" s="23"/>
      <c r="UA246" s="26"/>
      <c r="UE246" s="23"/>
      <c r="UJ246" s="26"/>
      <c r="UN246" s="23"/>
      <c r="US246" s="26"/>
      <c r="UW246" s="23"/>
      <c r="VB246" s="26"/>
      <c r="VF246" s="23"/>
      <c r="VK246" s="26"/>
      <c r="VO246" s="23"/>
      <c r="VT246" s="26"/>
      <c r="VX246" s="23"/>
      <c r="WC246" s="26"/>
      <c r="WG246" s="23"/>
      <c r="WL246" s="26"/>
      <c r="WP246" s="23"/>
      <c r="WU246" s="26"/>
      <c r="WY246" s="23"/>
      <c r="XD246" s="26"/>
      <c r="XH246" s="23"/>
      <c r="XM246" s="26"/>
      <c r="XQ246" s="23"/>
      <c r="XV246" s="26"/>
      <c r="XZ246" s="23"/>
      <c r="YE246" s="26"/>
      <c r="YI246" s="23"/>
      <c r="YN246" s="26"/>
      <c r="YR246" s="23"/>
      <c r="YW246" s="26"/>
      <c r="ZA246" s="23"/>
      <c r="ZF246" s="26"/>
      <c r="ZJ246" s="23"/>
      <c r="ZO246" s="26"/>
      <c r="ZS246" s="23"/>
      <c r="ZX246" s="26"/>
      <c r="AAB246" s="23"/>
      <c r="AAG246" s="26"/>
      <c r="AAK246" s="23"/>
      <c r="AAP246" s="26"/>
      <c r="AAT246" s="23"/>
      <c r="AAY246" s="26"/>
      <c r="ABC246" s="23"/>
      <c r="ABH246" s="26"/>
      <c r="ABL246" s="23"/>
      <c r="ABQ246" s="26"/>
      <c r="ABU246" s="23"/>
      <c r="ABZ246" s="26"/>
      <c r="ACD246" s="23"/>
      <c r="ACI246" s="26"/>
      <c r="ACM246" s="23"/>
      <c r="ACR246" s="26"/>
      <c r="ACV246" s="23"/>
      <c r="ADA246" s="26"/>
      <c r="ADE246" s="23"/>
      <c r="ADJ246" s="26"/>
      <c r="ADN246" s="23"/>
      <c r="ADS246" s="26"/>
      <c r="ADW246" s="23"/>
      <c r="AEB246" s="26"/>
      <c r="AEF246" s="23"/>
      <c r="AEK246" s="26"/>
      <c r="AEO246" s="23"/>
      <c r="AET246" s="26"/>
      <c r="AEX246" s="23"/>
      <c r="AFC246" s="26"/>
      <c r="AFG246" s="23"/>
      <c r="AFL246" s="26"/>
      <c r="AFP246" s="23"/>
      <c r="AFU246" s="26"/>
      <c r="AFY246" s="23"/>
      <c r="AGD246" s="26"/>
      <c r="AGH246" s="23"/>
      <c r="AGM246" s="26"/>
      <c r="AGQ246" s="23"/>
      <c r="AGV246" s="26"/>
      <c r="AGZ246" s="23"/>
      <c r="AHE246" s="26"/>
      <c r="AHI246" s="23"/>
      <c r="AHN246" s="26"/>
      <c r="AHR246" s="23"/>
      <c r="AHW246" s="26"/>
      <c r="AIA246" s="23"/>
      <c r="AIF246" s="26"/>
      <c r="AIJ246" s="23"/>
      <c r="AIO246" s="26"/>
      <c r="AIS246" s="23"/>
      <c r="AIX246" s="26"/>
      <c r="AJB246" s="23"/>
      <c r="AJG246" s="26"/>
      <c r="AJK246" s="23"/>
      <c r="AJP246" s="26"/>
      <c r="AJT246" s="23"/>
      <c r="AJY246" s="26"/>
      <c r="AKC246" s="23"/>
      <c r="AKH246" s="26"/>
      <c r="AKL246" s="23"/>
      <c r="AKQ246" s="26"/>
      <c r="AKU246" s="23"/>
      <c r="AKZ246" s="26"/>
      <c r="ALD246" s="23"/>
      <c r="ALI246" s="26"/>
      <c r="ALM246" s="23"/>
      <c r="ALR246" s="26"/>
      <c r="ALV246" s="23"/>
      <c r="AMA246" s="26"/>
      <c r="AME246" s="23"/>
      <c r="AMJ246" s="26"/>
      <c r="AMN246" s="23"/>
      <c r="AMS246" s="26"/>
      <c r="AMW246" s="23"/>
      <c r="ANB246" s="26"/>
      <c r="ANF246" s="23"/>
      <c r="ANK246" s="26"/>
      <c r="ANO246" s="23"/>
      <c r="ANT246" s="26"/>
      <c r="ANX246" s="23"/>
      <c r="AOC246" s="26"/>
      <c r="AOG246" s="23"/>
      <c r="AOL246" s="26"/>
      <c r="AOP246" s="23"/>
      <c r="AOU246" s="26"/>
      <c r="AOY246" s="23"/>
      <c r="APD246" s="26"/>
      <c r="APH246" s="23"/>
      <c r="APM246" s="26"/>
      <c r="APQ246" s="23"/>
      <c r="APV246" s="26"/>
      <c r="APZ246" s="23"/>
      <c r="AQE246" s="26"/>
      <c r="AQI246" s="23"/>
      <c r="AQN246" s="26"/>
      <c r="AQR246" s="23"/>
      <c r="AQW246" s="26"/>
      <c r="ARA246" s="23"/>
      <c r="ARF246" s="26"/>
      <c r="ARJ246" s="23"/>
      <c r="ARO246" s="26"/>
      <c r="ARS246" s="23"/>
      <c r="ARX246" s="26"/>
      <c r="ASB246" s="23"/>
      <c r="ASG246" s="26"/>
      <c r="ASK246" s="23"/>
      <c r="ASP246" s="26"/>
      <c r="AST246" s="23"/>
      <c r="ASY246" s="26"/>
      <c r="ATC246" s="23"/>
      <c r="ATH246" s="26"/>
      <c r="ATL246" s="23"/>
      <c r="ATQ246" s="26"/>
      <c r="ATU246" s="23"/>
      <c r="ATZ246" s="26"/>
      <c r="AUD246" s="23"/>
      <c r="AUI246" s="26"/>
      <c r="AUM246" s="23"/>
      <c r="AUR246" s="26"/>
      <c r="AUV246" s="23"/>
      <c r="AVA246" s="26"/>
      <c r="AVE246" s="23"/>
      <c r="AVJ246" s="26"/>
      <c r="AVN246" s="23"/>
      <c r="AVS246" s="26"/>
      <c r="AVW246" s="23"/>
      <c r="AWB246" s="26"/>
      <c r="AWF246" s="23"/>
      <c r="AWK246" s="26"/>
      <c r="AWO246" s="23"/>
      <c r="AWT246" s="26"/>
      <c r="AWX246" s="23"/>
      <c r="AXC246" s="26"/>
      <c r="AXG246" s="23"/>
      <c r="AXL246" s="26"/>
      <c r="AXP246" s="23"/>
      <c r="AXU246" s="26"/>
      <c r="AXY246" s="23"/>
      <c r="AYD246" s="26"/>
      <c r="AYH246" s="23"/>
      <c r="AYM246" s="26"/>
      <c r="AYQ246" s="23"/>
      <c r="AYV246" s="26"/>
      <c r="AYZ246" s="23"/>
      <c r="AZE246" s="26"/>
      <c r="AZI246" s="23"/>
      <c r="AZN246" s="26"/>
      <c r="AZR246" s="23"/>
      <c r="AZW246" s="26"/>
      <c r="BAA246" s="23"/>
      <c r="BAF246" s="26"/>
      <c r="BAJ246" s="23"/>
      <c r="BAO246" s="26"/>
      <c r="BAS246" s="23"/>
      <c r="BAX246" s="26"/>
      <c r="BBB246" s="23"/>
      <c r="BBG246" s="26"/>
      <c r="BBK246" s="23"/>
      <c r="BBP246" s="26"/>
      <c r="BBT246" s="23"/>
      <c r="BBY246" s="26"/>
      <c r="BCC246" s="23"/>
      <c r="BCH246" s="26"/>
      <c r="BCL246" s="23"/>
      <c r="BCQ246" s="26"/>
      <c r="BCU246" s="23"/>
      <c r="BCZ246" s="26"/>
      <c r="BDD246" s="23"/>
      <c r="BDI246" s="26"/>
      <c r="BDM246" s="23"/>
      <c r="BDR246" s="26"/>
      <c r="BDV246" s="23"/>
      <c r="BEA246" s="26"/>
      <c r="BEE246" s="23"/>
      <c r="BEJ246" s="26"/>
      <c r="BEN246" s="23"/>
      <c r="BES246" s="26"/>
      <c r="BEW246" s="23"/>
      <c r="BFB246" s="26"/>
      <c r="BFF246" s="23"/>
      <c r="BFK246" s="26"/>
      <c r="BFO246" s="23"/>
      <c r="BFT246" s="26"/>
      <c r="BFX246" s="23"/>
      <c r="BGC246" s="26"/>
      <c r="BGG246" s="23"/>
      <c r="BGL246" s="26"/>
      <c r="BGP246" s="23"/>
      <c r="BGU246" s="26"/>
      <c r="BGY246" s="23"/>
      <c r="BHD246" s="26"/>
      <c r="BHH246" s="23"/>
      <c r="BHM246" s="26"/>
      <c r="BHQ246" s="23"/>
      <c r="BHV246" s="26"/>
      <c r="BHZ246" s="23"/>
      <c r="BIE246" s="26"/>
      <c r="BII246" s="23"/>
      <c r="BIN246" s="26"/>
      <c r="BIR246" s="23"/>
      <c r="BIW246" s="26"/>
      <c r="BJA246" s="23"/>
      <c r="BJF246" s="26"/>
      <c r="BJJ246" s="23"/>
      <c r="BJO246" s="26"/>
      <c r="BJS246" s="23"/>
      <c r="BJX246" s="26"/>
      <c r="BKB246" s="23"/>
      <c r="BKG246" s="26"/>
      <c r="BKK246" s="23"/>
      <c r="BKP246" s="26"/>
      <c r="BKT246" s="23"/>
      <c r="BKY246" s="26"/>
      <c r="BLC246" s="23"/>
      <c r="BLH246" s="26"/>
      <c r="BLL246" s="23"/>
      <c r="BLQ246" s="26"/>
      <c r="BLU246" s="23"/>
      <c r="BLZ246" s="26"/>
      <c r="BMD246" s="23"/>
      <c r="BMI246" s="26"/>
      <c r="BMM246" s="23"/>
      <c r="BMR246" s="26"/>
      <c r="BMV246" s="23"/>
      <c r="BNA246" s="26"/>
      <c r="BNE246" s="23"/>
      <c r="BNJ246" s="26"/>
      <c r="BNN246" s="23"/>
      <c r="BNS246" s="26"/>
      <c r="BNW246" s="23"/>
      <c r="BOB246" s="26"/>
      <c r="BOF246" s="23"/>
      <c r="BOK246" s="26"/>
      <c r="BOO246" s="23"/>
      <c r="BOT246" s="26"/>
      <c r="BOX246" s="23"/>
      <c r="BPC246" s="26"/>
      <c r="BPG246" s="23"/>
      <c r="BPL246" s="26"/>
      <c r="BPP246" s="23"/>
      <c r="BPU246" s="26"/>
      <c r="BPY246" s="23"/>
      <c r="BQD246" s="26"/>
      <c r="BQH246" s="23"/>
      <c r="BQM246" s="26"/>
      <c r="BQQ246" s="23"/>
      <c r="BQV246" s="26"/>
      <c r="BQZ246" s="23"/>
      <c r="BRE246" s="26"/>
      <c r="BRI246" s="23"/>
      <c r="BRN246" s="26"/>
      <c r="BRR246" s="23"/>
      <c r="BRW246" s="26"/>
      <c r="BSA246" s="23"/>
      <c r="BSF246" s="26"/>
      <c r="BSJ246" s="23"/>
      <c r="BSO246" s="26"/>
      <c r="BSS246" s="23"/>
      <c r="BSX246" s="26"/>
      <c r="BTB246" s="23"/>
      <c r="BTG246" s="26"/>
      <c r="BTK246" s="23"/>
      <c r="BTP246" s="26"/>
      <c r="BTT246" s="23"/>
      <c r="BTY246" s="26"/>
      <c r="BUC246" s="23"/>
      <c r="BUH246" s="26"/>
      <c r="BUL246" s="23"/>
      <c r="BUQ246" s="26"/>
      <c r="BUU246" s="23"/>
      <c r="BUZ246" s="26"/>
      <c r="BVD246" s="23"/>
      <c r="BVI246" s="26"/>
      <c r="BVM246" s="23"/>
      <c r="BVR246" s="26"/>
      <c r="BVV246" s="23"/>
      <c r="BWA246" s="26"/>
      <c r="BWE246" s="23"/>
      <c r="BWJ246" s="26"/>
      <c r="BWN246" s="23"/>
      <c r="BWS246" s="26"/>
      <c r="BWW246" s="23"/>
      <c r="BXB246" s="26"/>
      <c r="BXF246" s="23"/>
      <c r="BXK246" s="26"/>
      <c r="BXO246" s="23"/>
      <c r="BXT246" s="26"/>
      <c r="BXX246" s="23"/>
      <c r="BYC246" s="26"/>
      <c r="BYG246" s="23"/>
      <c r="BYL246" s="26"/>
      <c r="BYP246" s="23"/>
      <c r="BYU246" s="26"/>
      <c r="BYY246" s="23"/>
      <c r="BZD246" s="26"/>
      <c r="BZH246" s="23"/>
      <c r="BZM246" s="26"/>
      <c r="BZQ246" s="23"/>
      <c r="BZV246" s="26"/>
      <c r="BZZ246" s="23"/>
      <c r="CAE246" s="26"/>
      <c r="CAI246" s="23"/>
      <c r="CAN246" s="26"/>
      <c r="CAR246" s="23"/>
      <c r="CAW246" s="26"/>
      <c r="CBA246" s="23"/>
      <c r="CBF246" s="26"/>
      <c r="CBJ246" s="23"/>
      <c r="CBO246" s="26"/>
      <c r="CBS246" s="23"/>
      <c r="CBX246" s="26"/>
      <c r="CCB246" s="23"/>
      <c r="CCG246" s="26"/>
      <c r="CCK246" s="23"/>
      <c r="CCP246" s="26"/>
      <c r="CCT246" s="23"/>
      <c r="CCY246" s="26"/>
      <c r="CDC246" s="23"/>
      <c r="CDH246" s="26"/>
      <c r="CDL246" s="23"/>
      <c r="CDQ246" s="26"/>
      <c r="CDU246" s="23"/>
      <c r="CDZ246" s="26"/>
      <c r="CED246" s="23"/>
      <c r="CEI246" s="26"/>
      <c r="CEM246" s="23"/>
      <c r="CER246" s="26"/>
      <c r="CEV246" s="23"/>
      <c r="CFA246" s="26"/>
      <c r="CFE246" s="23"/>
      <c r="CFJ246" s="26"/>
      <c r="CFN246" s="23"/>
      <c r="CFS246" s="26"/>
      <c r="CFW246" s="23"/>
      <c r="CGB246" s="26"/>
      <c r="CGF246" s="23"/>
      <c r="CGK246" s="26"/>
      <c r="CGO246" s="23"/>
      <c r="CGT246" s="26"/>
      <c r="CGX246" s="23"/>
      <c r="CHC246" s="26"/>
      <c r="CHG246" s="23"/>
      <c r="CHL246" s="26"/>
      <c r="CHP246" s="23"/>
      <c r="CHU246" s="26"/>
      <c r="CHY246" s="23"/>
      <c r="CID246" s="26"/>
      <c r="CIH246" s="23"/>
      <c r="CIM246" s="26"/>
      <c r="CIQ246" s="23"/>
      <c r="CIV246" s="26"/>
      <c r="CIZ246" s="23"/>
      <c r="CJE246" s="26"/>
      <c r="CJI246" s="23"/>
      <c r="CJN246" s="26"/>
      <c r="CJR246" s="23"/>
      <c r="CJW246" s="26"/>
      <c r="CKA246" s="23"/>
      <c r="CKF246" s="26"/>
      <c r="CKJ246" s="23"/>
      <c r="CKO246" s="26"/>
      <c r="CKS246" s="23"/>
      <c r="CKX246" s="26"/>
      <c r="CLB246" s="23"/>
      <c r="CLG246" s="26"/>
      <c r="CLK246" s="23"/>
      <c r="CLP246" s="26"/>
      <c r="CLT246" s="23"/>
      <c r="CLY246" s="26"/>
      <c r="CMC246" s="23"/>
      <c r="CMH246" s="26"/>
      <c r="CML246" s="23"/>
      <c r="CMQ246" s="26"/>
      <c r="CMU246" s="23"/>
      <c r="CMZ246" s="26"/>
      <c r="CND246" s="23"/>
      <c r="CNI246" s="26"/>
      <c r="CNM246" s="23"/>
      <c r="CNR246" s="26"/>
      <c r="CNV246" s="23"/>
      <c r="COA246" s="26"/>
      <c r="COE246" s="23"/>
      <c r="COJ246" s="26"/>
      <c r="CON246" s="23"/>
      <c r="COS246" s="26"/>
      <c r="COW246" s="23"/>
      <c r="CPB246" s="26"/>
      <c r="CPF246" s="23"/>
      <c r="CPK246" s="26"/>
      <c r="CPO246" s="23"/>
      <c r="CPT246" s="26"/>
      <c r="CPX246" s="23"/>
      <c r="CQC246" s="26"/>
      <c r="CQG246" s="23"/>
      <c r="CQL246" s="26"/>
      <c r="CQP246" s="23"/>
      <c r="CQU246" s="26"/>
      <c r="CQY246" s="23"/>
      <c r="CRD246" s="26"/>
      <c r="CRH246" s="23"/>
      <c r="CRM246" s="26"/>
      <c r="CRQ246" s="23"/>
      <c r="CRV246" s="26"/>
      <c r="CRZ246" s="23"/>
      <c r="CSE246" s="26"/>
      <c r="CSI246" s="23"/>
      <c r="CSN246" s="26"/>
      <c r="CSR246" s="23"/>
      <c r="CSW246" s="26"/>
      <c r="CTA246" s="23"/>
      <c r="CTF246" s="26"/>
      <c r="CTJ246" s="23"/>
      <c r="CTO246" s="26"/>
      <c r="CTS246" s="23"/>
      <c r="CTX246" s="26"/>
      <c r="CUB246" s="23"/>
      <c r="CUG246" s="26"/>
      <c r="CUK246" s="23"/>
      <c r="CUP246" s="26"/>
      <c r="CUT246" s="23"/>
      <c r="CUY246" s="26"/>
      <c r="CVC246" s="23"/>
      <c r="CVH246" s="26"/>
      <c r="CVL246" s="23"/>
      <c r="CVQ246" s="26"/>
      <c r="CVU246" s="23"/>
      <c r="CVZ246" s="26"/>
      <c r="CWD246" s="23"/>
      <c r="CWI246" s="26"/>
      <c r="CWM246" s="23"/>
      <c r="CWR246" s="26"/>
      <c r="CWV246" s="23"/>
      <c r="CXA246" s="26"/>
      <c r="CXE246" s="23"/>
      <c r="CXJ246" s="26"/>
      <c r="CXN246" s="23"/>
      <c r="CXS246" s="26"/>
      <c r="CXW246" s="23"/>
      <c r="CYB246" s="26"/>
      <c r="CYF246" s="23"/>
      <c r="CYK246" s="26"/>
      <c r="CYO246" s="23"/>
      <c r="CYT246" s="26"/>
      <c r="CYX246" s="23"/>
      <c r="CZC246" s="26"/>
      <c r="CZG246" s="23"/>
      <c r="CZL246" s="26"/>
      <c r="CZP246" s="23"/>
      <c r="CZU246" s="26"/>
      <c r="CZY246" s="23"/>
      <c r="DAD246" s="26"/>
      <c r="DAH246" s="23"/>
      <c r="DAM246" s="26"/>
      <c r="DAQ246" s="23"/>
      <c r="DAV246" s="26"/>
      <c r="DAZ246" s="23"/>
      <c r="DBE246" s="26"/>
      <c r="DBI246" s="23"/>
      <c r="DBN246" s="26"/>
      <c r="DBR246" s="23"/>
      <c r="DBW246" s="26"/>
      <c r="DCA246" s="23"/>
      <c r="DCF246" s="26"/>
      <c r="DCJ246" s="23"/>
      <c r="DCO246" s="26"/>
      <c r="DCS246" s="23"/>
      <c r="DCX246" s="26"/>
      <c r="DDB246" s="23"/>
      <c r="DDG246" s="26"/>
      <c r="DDK246" s="23"/>
      <c r="DDP246" s="26"/>
      <c r="DDT246" s="23"/>
      <c r="DDY246" s="26"/>
      <c r="DEC246" s="23"/>
      <c r="DEH246" s="26"/>
      <c r="DEL246" s="23"/>
      <c r="DEQ246" s="26"/>
      <c r="DEU246" s="23"/>
      <c r="DEZ246" s="26"/>
      <c r="DFD246" s="23"/>
      <c r="DFI246" s="26"/>
      <c r="DFM246" s="23"/>
      <c r="DFR246" s="26"/>
      <c r="DFV246" s="23"/>
      <c r="DGA246" s="26"/>
      <c r="DGE246" s="23"/>
      <c r="DGJ246" s="26"/>
      <c r="DGN246" s="23"/>
      <c r="DGS246" s="26"/>
      <c r="DGW246" s="23"/>
      <c r="DHB246" s="26"/>
      <c r="DHF246" s="23"/>
      <c r="DHK246" s="26"/>
      <c r="DHO246" s="23"/>
      <c r="DHT246" s="26"/>
      <c r="DHX246" s="23"/>
      <c r="DIC246" s="26"/>
      <c r="DIG246" s="23"/>
      <c r="DIL246" s="26"/>
      <c r="DIP246" s="23"/>
      <c r="DIU246" s="26"/>
      <c r="DIY246" s="23"/>
      <c r="DJD246" s="26"/>
      <c r="DJH246" s="23"/>
      <c r="DJM246" s="26"/>
      <c r="DJQ246" s="23"/>
      <c r="DJV246" s="26"/>
      <c r="DJZ246" s="23"/>
      <c r="DKE246" s="26"/>
      <c r="DKI246" s="23"/>
      <c r="DKN246" s="26"/>
      <c r="DKR246" s="23"/>
      <c r="DKW246" s="26"/>
      <c r="DLA246" s="23"/>
      <c r="DLF246" s="26"/>
      <c r="DLJ246" s="23"/>
      <c r="DLO246" s="26"/>
      <c r="DLS246" s="23"/>
      <c r="DLX246" s="26"/>
      <c r="DMB246" s="23"/>
      <c r="DMG246" s="26"/>
      <c r="DMK246" s="23"/>
      <c r="DMP246" s="26"/>
      <c r="DMT246" s="23"/>
      <c r="DMY246" s="26"/>
      <c r="DNC246" s="23"/>
      <c r="DNH246" s="26"/>
      <c r="DNL246" s="23"/>
      <c r="DNQ246" s="26"/>
      <c r="DNU246" s="23"/>
      <c r="DNZ246" s="26"/>
      <c r="DOD246" s="23"/>
      <c r="DOI246" s="26"/>
      <c r="DOM246" s="23"/>
      <c r="DOR246" s="26"/>
      <c r="DOV246" s="23"/>
      <c r="DPA246" s="26"/>
      <c r="DPE246" s="23"/>
      <c r="DPJ246" s="26"/>
      <c r="DPN246" s="23"/>
      <c r="DPS246" s="26"/>
      <c r="DPW246" s="23"/>
      <c r="DQB246" s="26"/>
      <c r="DQF246" s="23"/>
      <c r="DQK246" s="26"/>
      <c r="DQO246" s="23"/>
      <c r="DQT246" s="26"/>
      <c r="DQX246" s="23"/>
      <c r="DRC246" s="26"/>
      <c r="DRG246" s="23"/>
      <c r="DRL246" s="26"/>
      <c r="DRP246" s="23"/>
      <c r="DRU246" s="26"/>
      <c r="DRY246" s="23"/>
      <c r="DSD246" s="26"/>
      <c r="DSH246" s="23"/>
      <c r="DSM246" s="26"/>
      <c r="DSQ246" s="23"/>
      <c r="DSV246" s="26"/>
      <c r="DSZ246" s="23"/>
      <c r="DTE246" s="26"/>
      <c r="DTI246" s="23"/>
      <c r="DTN246" s="26"/>
      <c r="DTR246" s="23"/>
      <c r="DTW246" s="26"/>
      <c r="DUA246" s="23"/>
      <c r="DUF246" s="26"/>
      <c r="DUJ246" s="23"/>
      <c r="DUO246" s="26"/>
      <c r="DUS246" s="23"/>
      <c r="DUX246" s="26"/>
      <c r="DVB246" s="23"/>
      <c r="DVG246" s="26"/>
      <c r="DVK246" s="23"/>
      <c r="DVP246" s="26"/>
      <c r="DVT246" s="23"/>
      <c r="DVY246" s="26"/>
      <c r="DWC246" s="23"/>
      <c r="DWH246" s="26"/>
      <c r="DWL246" s="23"/>
      <c r="DWQ246" s="26"/>
      <c r="DWU246" s="23"/>
      <c r="DWZ246" s="26"/>
      <c r="DXD246" s="23"/>
      <c r="DXI246" s="26"/>
      <c r="DXM246" s="23"/>
      <c r="DXR246" s="26"/>
      <c r="DXV246" s="23"/>
      <c r="DYA246" s="26"/>
      <c r="DYE246" s="23"/>
      <c r="DYJ246" s="26"/>
      <c r="DYN246" s="23"/>
      <c r="DYS246" s="26"/>
      <c r="DYW246" s="23"/>
      <c r="DZB246" s="26"/>
      <c r="DZF246" s="23"/>
      <c r="DZK246" s="26"/>
      <c r="DZO246" s="23"/>
      <c r="DZT246" s="26"/>
      <c r="DZX246" s="23"/>
      <c r="EAC246" s="26"/>
      <c r="EAG246" s="23"/>
      <c r="EAL246" s="26"/>
      <c r="EAP246" s="23"/>
      <c r="EAU246" s="26"/>
      <c r="EAY246" s="23"/>
      <c r="EBD246" s="26"/>
      <c r="EBH246" s="23"/>
      <c r="EBM246" s="26"/>
      <c r="EBQ246" s="23"/>
      <c r="EBV246" s="26"/>
      <c r="EBZ246" s="23"/>
      <c r="ECE246" s="26"/>
      <c r="ECI246" s="23"/>
      <c r="ECN246" s="26"/>
      <c r="ECR246" s="23"/>
      <c r="ECW246" s="26"/>
      <c r="EDA246" s="23"/>
      <c r="EDF246" s="26"/>
      <c r="EDJ246" s="23"/>
      <c r="EDO246" s="26"/>
      <c r="EDS246" s="23"/>
      <c r="EDX246" s="26"/>
      <c r="EEB246" s="23"/>
      <c r="EEG246" s="26"/>
      <c r="EEK246" s="23"/>
      <c r="EEP246" s="26"/>
      <c r="EET246" s="23"/>
      <c r="EEY246" s="26"/>
      <c r="EFC246" s="23"/>
      <c r="EFH246" s="26"/>
      <c r="EFL246" s="23"/>
      <c r="EFQ246" s="26"/>
      <c r="EFU246" s="23"/>
      <c r="EFZ246" s="26"/>
      <c r="EGD246" s="23"/>
      <c r="EGI246" s="26"/>
      <c r="EGM246" s="23"/>
      <c r="EGR246" s="26"/>
      <c r="EGV246" s="23"/>
      <c r="EHA246" s="26"/>
      <c r="EHE246" s="23"/>
      <c r="EHJ246" s="26"/>
      <c r="EHN246" s="23"/>
      <c r="EHS246" s="26"/>
      <c r="EHW246" s="23"/>
      <c r="EIB246" s="26"/>
      <c r="EIF246" s="23"/>
      <c r="EIK246" s="26"/>
      <c r="EIO246" s="23"/>
      <c r="EIT246" s="26"/>
      <c r="EIX246" s="23"/>
      <c r="EJC246" s="26"/>
      <c r="EJG246" s="23"/>
      <c r="EJL246" s="26"/>
      <c r="EJP246" s="23"/>
      <c r="EJU246" s="26"/>
      <c r="EJY246" s="23"/>
      <c r="EKD246" s="26"/>
      <c r="EKH246" s="23"/>
      <c r="EKM246" s="26"/>
      <c r="EKQ246" s="23"/>
      <c r="EKV246" s="26"/>
      <c r="EKZ246" s="23"/>
      <c r="ELE246" s="26"/>
      <c r="ELI246" s="23"/>
      <c r="ELN246" s="26"/>
      <c r="ELR246" s="23"/>
      <c r="ELW246" s="26"/>
      <c r="EMA246" s="23"/>
      <c r="EMF246" s="26"/>
      <c r="EMJ246" s="23"/>
      <c r="EMO246" s="26"/>
      <c r="EMS246" s="23"/>
      <c r="EMX246" s="26"/>
      <c r="ENB246" s="23"/>
      <c r="ENG246" s="26"/>
      <c r="ENK246" s="23"/>
      <c r="ENP246" s="26"/>
      <c r="ENT246" s="23"/>
      <c r="ENY246" s="26"/>
      <c r="EOC246" s="23"/>
      <c r="EOH246" s="26"/>
      <c r="EOL246" s="23"/>
      <c r="EOQ246" s="26"/>
      <c r="EOU246" s="23"/>
      <c r="EOZ246" s="26"/>
      <c r="EPD246" s="23"/>
      <c r="EPI246" s="26"/>
      <c r="EPM246" s="23"/>
      <c r="EPR246" s="26"/>
      <c r="EPV246" s="23"/>
      <c r="EQA246" s="26"/>
      <c r="EQE246" s="23"/>
      <c r="EQJ246" s="26"/>
      <c r="EQN246" s="23"/>
      <c r="EQS246" s="26"/>
      <c r="EQW246" s="23"/>
      <c r="ERB246" s="26"/>
      <c r="ERF246" s="23"/>
      <c r="ERK246" s="26"/>
      <c r="ERO246" s="23"/>
      <c r="ERT246" s="26"/>
      <c r="ERX246" s="23"/>
      <c r="ESC246" s="26"/>
      <c r="ESG246" s="23"/>
      <c r="ESL246" s="26"/>
      <c r="ESP246" s="23"/>
      <c r="ESU246" s="26"/>
      <c r="ESY246" s="23"/>
      <c r="ETD246" s="26"/>
      <c r="ETH246" s="23"/>
      <c r="ETM246" s="26"/>
      <c r="ETQ246" s="23"/>
      <c r="ETV246" s="26"/>
      <c r="ETZ246" s="23"/>
      <c r="EUE246" s="26"/>
      <c r="EUI246" s="23"/>
      <c r="EUN246" s="26"/>
      <c r="EUR246" s="23"/>
      <c r="EUW246" s="26"/>
      <c r="EVA246" s="23"/>
      <c r="EVF246" s="26"/>
      <c r="EVJ246" s="23"/>
      <c r="EVO246" s="26"/>
      <c r="EVS246" s="23"/>
      <c r="EVX246" s="26"/>
      <c r="EWB246" s="23"/>
      <c r="EWG246" s="26"/>
      <c r="EWK246" s="23"/>
      <c r="EWP246" s="26"/>
      <c r="EWT246" s="23"/>
      <c r="EWY246" s="26"/>
      <c r="EXC246" s="23"/>
      <c r="EXH246" s="26"/>
      <c r="EXL246" s="23"/>
      <c r="EXQ246" s="26"/>
      <c r="EXU246" s="23"/>
      <c r="EXZ246" s="26"/>
      <c r="EYD246" s="23"/>
      <c r="EYI246" s="26"/>
      <c r="EYM246" s="23"/>
      <c r="EYR246" s="26"/>
      <c r="EYV246" s="23"/>
      <c r="EZA246" s="26"/>
      <c r="EZE246" s="23"/>
      <c r="EZJ246" s="26"/>
      <c r="EZN246" s="23"/>
      <c r="EZS246" s="26"/>
      <c r="EZW246" s="23"/>
      <c r="FAB246" s="26"/>
      <c r="FAF246" s="23"/>
      <c r="FAK246" s="26"/>
      <c r="FAO246" s="23"/>
      <c r="FAT246" s="26"/>
      <c r="FAX246" s="23"/>
      <c r="FBC246" s="26"/>
      <c r="FBG246" s="23"/>
      <c r="FBL246" s="26"/>
      <c r="FBP246" s="23"/>
      <c r="FBU246" s="26"/>
      <c r="FBY246" s="23"/>
      <c r="FCD246" s="26"/>
      <c r="FCH246" s="23"/>
      <c r="FCM246" s="26"/>
      <c r="FCQ246" s="23"/>
      <c r="FCV246" s="26"/>
      <c r="FCZ246" s="23"/>
      <c r="FDE246" s="26"/>
      <c r="FDI246" s="23"/>
      <c r="FDN246" s="26"/>
      <c r="FDR246" s="23"/>
      <c r="FDW246" s="26"/>
      <c r="FEA246" s="23"/>
      <c r="FEF246" s="26"/>
      <c r="FEJ246" s="23"/>
      <c r="FEO246" s="26"/>
      <c r="FES246" s="23"/>
      <c r="FEX246" s="26"/>
      <c r="FFB246" s="23"/>
      <c r="FFG246" s="26"/>
      <c r="FFK246" s="23"/>
      <c r="FFP246" s="26"/>
      <c r="FFT246" s="23"/>
      <c r="FFY246" s="26"/>
      <c r="FGC246" s="23"/>
      <c r="FGH246" s="26"/>
      <c r="FGL246" s="23"/>
      <c r="FGQ246" s="26"/>
      <c r="FGU246" s="23"/>
      <c r="FGZ246" s="26"/>
      <c r="FHD246" s="23"/>
      <c r="FHI246" s="26"/>
      <c r="FHM246" s="23"/>
      <c r="FHR246" s="26"/>
      <c r="FHV246" s="23"/>
      <c r="FIA246" s="26"/>
      <c r="FIE246" s="23"/>
      <c r="FIJ246" s="26"/>
      <c r="FIN246" s="23"/>
      <c r="FIS246" s="26"/>
      <c r="FIW246" s="23"/>
      <c r="FJB246" s="26"/>
      <c r="FJF246" s="23"/>
      <c r="FJK246" s="26"/>
      <c r="FJO246" s="23"/>
      <c r="FJT246" s="26"/>
      <c r="FJX246" s="23"/>
      <c r="FKC246" s="26"/>
      <c r="FKG246" s="23"/>
      <c r="FKL246" s="26"/>
      <c r="FKP246" s="23"/>
      <c r="FKU246" s="26"/>
      <c r="FKY246" s="23"/>
      <c r="FLD246" s="26"/>
      <c r="FLH246" s="23"/>
      <c r="FLM246" s="26"/>
      <c r="FLQ246" s="23"/>
      <c r="FLV246" s="26"/>
      <c r="FLZ246" s="23"/>
      <c r="FME246" s="26"/>
      <c r="FMI246" s="23"/>
      <c r="FMN246" s="26"/>
      <c r="FMR246" s="23"/>
      <c r="FMW246" s="26"/>
      <c r="FNA246" s="23"/>
      <c r="FNF246" s="26"/>
      <c r="FNJ246" s="23"/>
      <c r="FNO246" s="26"/>
      <c r="FNS246" s="23"/>
      <c r="FNX246" s="26"/>
      <c r="FOB246" s="23"/>
      <c r="FOG246" s="26"/>
      <c r="FOK246" s="23"/>
      <c r="FOP246" s="26"/>
      <c r="FOT246" s="23"/>
      <c r="FOY246" s="26"/>
      <c r="FPC246" s="23"/>
      <c r="FPH246" s="26"/>
      <c r="FPL246" s="23"/>
      <c r="FPQ246" s="26"/>
      <c r="FPU246" s="23"/>
      <c r="FPZ246" s="26"/>
      <c r="FQD246" s="23"/>
      <c r="FQI246" s="26"/>
      <c r="FQM246" s="23"/>
      <c r="FQR246" s="26"/>
      <c r="FQV246" s="23"/>
      <c r="FRA246" s="26"/>
      <c r="FRE246" s="23"/>
      <c r="FRJ246" s="26"/>
      <c r="FRN246" s="23"/>
      <c r="FRS246" s="26"/>
      <c r="FRW246" s="23"/>
      <c r="FSB246" s="26"/>
      <c r="FSF246" s="23"/>
      <c r="FSK246" s="26"/>
      <c r="FSO246" s="23"/>
      <c r="FST246" s="26"/>
      <c r="FSX246" s="23"/>
      <c r="FTC246" s="26"/>
      <c r="FTG246" s="23"/>
      <c r="FTL246" s="26"/>
      <c r="FTP246" s="23"/>
      <c r="FTU246" s="26"/>
      <c r="FTY246" s="23"/>
      <c r="FUD246" s="26"/>
      <c r="FUH246" s="23"/>
      <c r="FUM246" s="26"/>
      <c r="FUQ246" s="23"/>
      <c r="FUV246" s="26"/>
      <c r="FUZ246" s="23"/>
      <c r="FVE246" s="26"/>
      <c r="FVI246" s="23"/>
      <c r="FVN246" s="26"/>
      <c r="FVR246" s="23"/>
      <c r="FVW246" s="26"/>
      <c r="FWA246" s="23"/>
      <c r="FWF246" s="26"/>
      <c r="FWJ246" s="23"/>
      <c r="FWO246" s="26"/>
      <c r="FWS246" s="23"/>
      <c r="FWX246" s="26"/>
      <c r="FXB246" s="23"/>
      <c r="FXG246" s="26"/>
      <c r="FXK246" s="23"/>
      <c r="FXP246" s="26"/>
      <c r="FXT246" s="23"/>
      <c r="FXY246" s="26"/>
      <c r="FYC246" s="23"/>
      <c r="FYH246" s="26"/>
      <c r="FYL246" s="23"/>
      <c r="FYQ246" s="26"/>
      <c r="FYU246" s="23"/>
      <c r="FYZ246" s="26"/>
      <c r="FZD246" s="23"/>
      <c r="FZI246" s="26"/>
      <c r="FZM246" s="23"/>
      <c r="FZR246" s="26"/>
      <c r="FZV246" s="23"/>
      <c r="GAA246" s="26"/>
      <c r="GAE246" s="23"/>
      <c r="GAJ246" s="26"/>
      <c r="GAN246" s="23"/>
      <c r="GAS246" s="26"/>
      <c r="GAW246" s="23"/>
      <c r="GBB246" s="26"/>
      <c r="GBF246" s="23"/>
      <c r="GBK246" s="26"/>
      <c r="GBO246" s="23"/>
      <c r="GBT246" s="26"/>
      <c r="GBX246" s="23"/>
      <c r="GCC246" s="26"/>
      <c r="GCG246" s="23"/>
      <c r="GCL246" s="26"/>
      <c r="GCP246" s="23"/>
      <c r="GCU246" s="26"/>
      <c r="GCY246" s="23"/>
      <c r="GDD246" s="26"/>
      <c r="GDH246" s="23"/>
      <c r="GDM246" s="26"/>
      <c r="GDQ246" s="23"/>
      <c r="GDV246" s="26"/>
      <c r="GDZ246" s="23"/>
      <c r="GEE246" s="26"/>
      <c r="GEI246" s="23"/>
      <c r="GEN246" s="26"/>
      <c r="GER246" s="23"/>
      <c r="GEW246" s="26"/>
      <c r="GFA246" s="23"/>
      <c r="GFF246" s="26"/>
      <c r="GFJ246" s="23"/>
      <c r="GFO246" s="26"/>
      <c r="GFS246" s="23"/>
      <c r="GFX246" s="26"/>
      <c r="GGB246" s="23"/>
      <c r="GGG246" s="26"/>
      <c r="GGK246" s="23"/>
      <c r="GGP246" s="26"/>
      <c r="GGT246" s="23"/>
      <c r="GGY246" s="26"/>
      <c r="GHC246" s="23"/>
      <c r="GHH246" s="26"/>
      <c r="GHL246" s="23"/>
      <c r="GHQ246" s="26"/>
      <c r="GHU246" s="23"/>
      <c r="GHZ246" s="26"/>
      <c r="GID246" s="23"/>
      <c r="GII246" s="26"/>
      <c r="GIM246" s="23"/>
      <c r="GIR246" s="26"/>
      <c r="GIV246" s="23"/>
      <c r="GJA246" s="26"/>
      <c r="GJE246" s="23"/>
      <c r="GJJ246" s="26"/>
      <c r="GJN246" s="23"/>
      <c r="GJS246" s="26"/>
      <c r="GJW246" s="23"/>
      <c r="GKB246" s="26"/>
      <c r="GKF246" s="23"/>
      <c r="GKK246" s="26"/>
      <c r="GKO246" s="23"/>
      <c r="GKT246" s="26"/>
      <c r="GKX246" s="23"/>
      <c r="GLC246" s="26"/>
      <c r="GLG246" s="23"/>
      <c r="GLL246" s="26"/>
      <c r="GLP246" s="23"/>
      <c r="GLU246" s="26"/>
      <c r="GLY246" s="23"/>
      <c r="GMD246" s="26"/>
      <c r="GMH246" s="23"/>
      <c r="GMM246" s="26"/>
      <c r="GMQ246" s="23"/>
      <c r="GMV246" s="26"/>
      <c r="GMZ246" s="23"/>
      <c r="GNE246" s="26"/>
      <c r="GNI246" s="23"/>
      <c r="GNN246" s="26"/>
      <c r="GNR246" s="23"/>
      <c r="GNW246" s="26"/>
      <c r="GOA246" s="23"/>
      <c r="GOF246" s="26"/>
      <c r="GOJ246" s="23"/>
      <c r="GOO246" s="26"/>
      <c r="GOS246" s="23"/>
      <c r="GOX246" s="26"/>
      <c r="GPB246" s="23"/>
      <c r="GPG246" s="26"/>
      <c r="GPK246" s="23"/>
      <c r="GPP246" s="26"/>
      <c r="GPT246" s="23"/>
      <c r="GPY246" s="26"/>
      <c r="GQC246" s="23"/>
      <c r="GQH246" s="26"/>
      <c r="GQL246" s="23"/>
      <c r="GQQ246" s="26"/>
      <c r="GQU246" s="23"/>
      <c r="GQZ246" s="26"/>
      <c r="GRD246" s="23"/>
      <c r="GRI246" s="26"/>
      <c r="GRM246" s="23"/>
      <c r="GRR246" s="26"/>
      <c r="GRV246" s="23"/>
      <c r="GSA246" s="26"/>
      <c r="GSE246" s="23"/>
      <c r="GSJ246" s="26"/>
      <c r="GSN246" s="23"/>
      <c r="GSS246" s="26"/>
      <c r="GSW246" s="23"/>
      <c r="GTB246" s="26"/>
      <c r="GTF246" s="23"/>
      <c r="GTK246" s="26"/>
      <c r="GTO246" s="23"/>
      <c r="GTT246" s="26"/>
      <c r="GTX246" s="23"/>
      <c r="GUC246" s="26"/>
      <c r="GUG246" s="23"/>
      <c r="GUL246" s="26"/>
      <c r="GUP246" s="23"/>
      <c r="GUU246" s="26"/>
      <c r="GUY246" s="23"/>
      <c r="GVD246" s="26"/>
      <c r="GVH246" s="23"/>
      <c r="GVM246" s="26"/>
      <c r="GVQ246" s="23"/>
      <c r="GVV246" s="26"/>
      <c r="GVZ246" s="23"/>
      <c r="GWE246" s="26"/>
      <c r="GWI246" s="23"/>
      <c r="GWN246" s="26"/>
      <c r="GWR246" s="23"/>
      <c r="GWW246" s="26"/>
      <c r="GXA246" s="23"/>
      <c r="GXF246" s="26"/>
      <c r="GXJ246" s="23"/>
      <c r="GXO246" s="26"/>
      <c r="GXS246" s="23"/>
      <c r="GXX246" s="26"/>
      <c r="GYB246" s="23"/>
      <c r="GYG246" s="26"/>
      <c r="GYK246" s="23"/>
      <c r="GYP246" s="26"/>
      <c r="GYT246" s="23"/>
      <c r="GYY246" s="26"/>
      <c r="GZC246" s="23"/>
      <c r="GZH246" s="26"/>
      <c r="GZL246" s="23"/>
      <c r="GZQ246" s="26"/>
      <c r="GZU246" s="23"/>
      <c r="GZZ246" s="26"/>
      <c r="HAD246" s="23"/>
      <c r="HAI246" s="26"/>
      <c r="HAM246" s="23"/>
      <c r="HAR246" s="26"/>
      <c r="HAV246" s="23"/>
      <c r="HBA246" s="26"/>
      <c r="HBE246" s="23"/>
      <c r="HBJ246" s="26"/>
      <c r="HBN246" s="23"/>
      <c r="HBS246" s="26"/>
      <c r="HBW246" s="23"/>
      <c r="HCB246" s="26"/>
      <c r="HCF246" s="23"/>
      <c r="HCK246" s="26"/>
      <c r="HCO246" s="23"/>
      <c r="HCT246" s="26"/>
      <c r="HCX246" s="23"/>
      <c r="HDC246" s="26"/>
      <c r="HDG246" s="23"/>
      <c r="HDL246" s="26"/>
      <c r="HDP246" s="23"/>
      <c r="HDU246" s="26"/>
      <c r="HDY246" s="23"/>
      <c r="HED246" s="26"/>
      <c r="HEH246" s="23"/>
      <c r="HEM246" s="26"/>
      <c r="HEQ246" s="23"/>
      <c r="HEV246" s="26"/>
      <c r="HEZ246" s="23"/>
      <c r="HFE246" s="26"/>
      <c r="HFI246" s="23"/>
      <c r="HFN246" s="26"/>
      <c r="HFR246" s="23"/>
      <c r="HFW246" s="26"/>
      <c r="HGA246" s="23"/>
      <c r="HGF246" s="26"/>
      <c r="HGJ246" s="23"/>
      <c r="HGO246" s="26"/>
      <c r="HGS246" s="23"/>
      <c r="HGX246" s="26"/>
      <c r="HHB246" s="23"/>
      <c r="HHG246" s="26"/>
      <c r="HHK246" s="23"/>
      <c r="HHP246" s="26"/>
      <c r="HHT246" s="23"/>
      <c r="HHY246" s="26"/>
      <c r="HIC246" s="23"/>
      <c r="HIH246" s="26"/>
      <c r="HIL246" s="23"/>
      <c r="HIQ246" s="26"/>
      <c r="HIU246" s="23"/>
      <c r="HIZ246" s="26"/>
      <c r="HJD246" s="23"/>
      <c r="HJI246" s="26"/>
      <c r="HJM246" s="23"/>
      <c r="HJR246" s="26"/>
      <c r="HJV246" s="23"/>
      <c r="HKA246" s="26"/>
      <c r="HKE246" s="23"/>
      <c r="HKJ246" s="26"/>
      <c r="HKN246" s="23"/>
      <c r="HKS246" s="26"/>
      <c r="HKW246" s="23"/>
      <c r="HLB246" s="26"/>
      <c r="HLF246" s="23"/>
      <c r="HLK246" s="26"/>
      <c r="HLO246" s="23"/>
      <c r="HLT246" s="26"/>
      <c r="HLX246" s="23"/>
      <c r="HMC246" s="26"/>
      <c r="HMG246" s="23"/>
      <c r="HML246" s="26"/>
      <c r="HMP246" s="23"/>
      <c r="HMU246" s="26"/>
      <c r="HMY246" s="23"/>
      <c r="HND246" s="26"/>
      <c r="HNH246" s="23"/>
      <c r="HNM246" s="26"/>
      <c r="HNQ246" s="23"/>
      <c r="HNV246" s="26"/>
      <c r="HNZ246" s="23"/>
      <c r="HOE246" s="26"/>
      <c r="HOI246" s="23"/>
      <c r="HON246" s="26"/>
      <c r="HOR246" s="23"/>
      <c r="HOW246" s="26"/>
      <c r="HPA246" s="23"/>
      <c r="HPF246" s="26"/>
      <c r="HPJ246" s="23"/>
      <c r="HPO246" s="26"/>
      <c r="HPS246" s="23"/>
      <c r="HPX246" s="26"/>
      <c r="HQB246" s="23"/>
      <c r="HQG246" s="26"/>
      <c r="HQK246" s="23"/>
      <c r="HQP246" s="26"/>
      <c r="HQT246" s="23"/>
      <c r="HQY246" s="26"/>
      <c r="HRC246" s="23"/>
      <c r="HRH246" s="26"/>
      <c r="HRL246" s="23"/>
      <c r="HRQ246" s="26"/>
      <c r="HRU246" s="23"/>
      <c r="HRZ246" s="26"/>
      <c r="HSD246" s="23"/>
      <c r="HSI246" s="26"/>
      <c r="HSM246" s="23"/>
      <c r="HSR246" s="26"/>
      <c r="HSV246" s="23"/>
      <c r="HTA246" s="26"/>
      <c r="HTE246" s="23"/>
      <c r="HTJ246" s="26"/>
      <c r="HTN246" s="23"/>
      <c r="HTS246" s="26"/>
      <c r="HTW246" s="23"/>
      <c r="HUB246" s="26"/>
      <c r="HUF246" s="23"/>
      <c r="HUK246" s="26"/>
      <c r="HUO246" s="23"/>
      <c r="HUT246" s="26"/>
      <c r="HUX246" s="23"/>
      <c r="HVC246" s="26"/>
      <c r="HVG246" s="23"/>
      <c r="HVL246" s="26"/>
      <c r="HVP246" s="23"/>
      <c r="HVU246" s="26"/>
      <c r="HVY246" s="23"/>
      <c r="HWD246" s="26"/>
      <c r="HWH246" s="23"/>
      <c r="HWM246" s="26"/>
      <c r="HWQ246" s="23"/>
      <c r="HWV246" s="26"/>
      <c r="HWZ246" s="23"/>
      <c r="HXE246" s="26"/>
      <c r="HXI246" s="23"/>
      <c r="HXN246" s="26"/>
      <c r="HXR246" s="23"/>
      <c r="HXW246" s="26"/>
      <c r="HYA246" s="23"/>
      <c r="HYF246" s="26"/>
      <c r="HYJ246" s="23"/>
      <c r="HYO246" s="26"/>
      <c r="HYS246" s="23"/>
      <c r="HYX246" s="26"/>
      <c r="HZB246" s="23"/>
      <c r="HZG246" s="26"/>
      <c r="HZK246" s="23"/>
      <c r="HZP246" s="26"/>
      <c r="HZT246" s="23"/>
      <c r="HZY246" s="26"/>
      <c r="IAC246" s="23"/>
      <c r="IAH246" s="26"/>
      <c r="IAL246" s="23"/>
      <c r="IAQ246" s="26"/>
      <c r="IAU246" s="23"/>
      <c r="IAZ246" s="26"/>
      <c r="IBD246" s="23"/>
      <c r="IBI246" s="26"/>
      <c r="IBM246" s="23"/>
      <c r="IBR246" s="26"/>
      <c r="IBV246" s="23"/>
      <c r="ICA246" s="26"/>
      <c r="ICE246" s="23"/>
      <c r="ICJ246" s="26"/>
      <c r="ICN246" s="23"/>
      <c r="ICS246" s="26"/>
      <c r="ICW246" s="23"/>
      <c r="IDB246" s="26"/>
      <c r="IDF246" s="23"/>
      <c r="IDK246" s="26"/>
      <c r="IDO246" s="23"/>
      <c r="IDT246" s="26"/>
      <c r="IDX246" s="23"/>
      <c r="IEC246" s="26"/>
      <c r="IEG246" s="23"/>
      <c r="IEL246" s="26"/>
      <c r="IEP246" s="23"/>
      <c r="IEU246" s="26"/>
      <c r="IEY246" s="23"/>
      <c r="IFD246" s="26"/>
      <c r="IFH246" s="23"/>
      <c r="IFM246" s="26"/>
      <c r="IFQ246" s="23"/>
      <c r="IFV246" s="26"/>
      <c r="IFZ246" s="23"/>
      <c r="IGE246" s="26"/>
      <c r="IGI246" s="23"/>
      <c r="IGN246" s="26"/>
      <c r="IGR246" s="23"/>
      <c r="IGW246" s="26"/>
      <c r="IHA246" s="23"/>
      <c r="IHF246" s="26"/>
      <c r="IHJ246" s="23"/>
      <c r="IHO246" s="26"/>
      <c r="IHS246" s="23"/>
      <c r="IHX246" s="26"/>
      <c r="IIB246" s="23"/>
      <c r="IIG246" s="26"/>
      <c r="IIK246" s="23"/>
      <c r="IIP246" s="26"/>
      <c r="IIT246" s="23"/>
      <c r="IIY246" s="26"/>
      <c r="IJC246" s="23"/>
      <c r="IJH246" s="26"/>
      <c r="IJL246" s="23"/>
      <c r="IJQ246" s="26"/>
      <c r="IJU246" s="23"/>
      <c r="IJZ246" s="26"/>
      <c r="IKD246" s="23"/>
      <c r="IKI246" s="26"/>
      <c r="IKM246" s="23"/>
      <c r="IKR246" s="26"/>
      <c r="IKV246" s="23"/>
      <c r="ILA246" s="26"/>
      <c r="ILE246" s="23"/>
      <c r="ILJ246" s="26"/>
      <c r="ILN246" s="23"/>
      <c r="ILS246" s="26"/>
      <c r="ILW246" s="23"/>
      <c r="IMB246" s="26"/>
      <c r="IMF246" s="23"/>
      <c r="IMK246" s="26"/>
      <c r="IMO246" s="23"/>
      <c r="IMT246" s="26"/>
      <c r="IMX246" s="23"/>
      <c r="INC246" s="26"/>
      <c r="ING246" s="23"/>
      <c r="INL246" s="26"/>
      <c r="INP246" s="23"/>
      <c r="INU246" s="26"/>
      <c r="INY246" s="23"/>
      <c r="IOD246" s="26"/>
      <c r="IOH246" s="23"/>
      <c r="IOM246" s="26"/>
      <c r="IOQ246" s="23"/>
      <c r="IOV246" s="26"/>
      <c r="IOZ246" s="23"/>
      <c r="IPE246" s="26"/>
      <c r="IPI246" s="23"/>
      <c r="IPN246" s="26"/>
      <c r="IPR246" s="23"/>
      <c r="IPW246" s="26"/>
      <c r="IQA246" s="23"/>
      <c r="IQF246" s="26"/>
      <c r="IQJ246" s="23"/>
      <c r="IQO246" s="26"/>
      <c r="IQS246" s="23"/>
      <c r="IQX246" s="26"/>
      <c r="IRB246" s="23"/>
      <c r="IRG246" s="26"/>
      <c r="IRK246" s="23"/>
      <c r="IRP246" s="26"/>
      <c r="IRT246" s="23"/>
      <c r="IRY246" s="26"/>
      <c r="ISC246" s="23"/>
      <c r="ISH246" s="26"/>
      <c r="ISL246" s="23"/>
      <c r="ISQ246" s="26"/>
      <c r="ISU246" s="23"/>
      <c r="ISZ246" s="26"/>
      <c r="ITD246" s="23"/>
      <c r="ITI246" s="26"/>
      <c r="ITM246" s="23"/>
      <c r="ITR246" s="26"/>
      <c r="ITV246" s="23"/>
      <c r="IUA246" s="26"/>
      <c r="IUE246" s="23"/>
      <c r="IUJ246" s="26"/>
      <c r="IUN246" s="23"/>
      <c r="IUS246" s="26"/>
      <c r="IUW246" s="23"/>
      <c r="IVB246" s="26"/>
      <c r="IVF246" s="23"/>
      <c r="IVK246" s="26"/>
      <c r="IVO246" s="23"/>
      <c r="IVT246" s="26"/>
      <c r="IVX246" s="23"/>
      <c r="IWC246" s="26"/>
      <c r="IWG246" s="23"/>
      <c r="IWL246" s="26"/>
      <c r="IWP246" s="23"/>
      <c r="IWU246" s="26"/>
      <c r="IWY246" s="23"/>
      <c r="IXD246" s="26"/>
      <c r="IXH246" s="23"/>
      <c r="IXM246" s="26"/>
      <c r="IXQ246" s="23"/>
      <c r="IXV246" s="26"/>
      <c r="IXZ246" s="23"/>
      <c r="IYE246" s="26"/>
      <c r="IYI246" s="23"/>
      <c r="IYN246" s="26"/>
      <c r="IYR246" s="23"/>
      <c r="IYW246" s="26"/>
      <c r="IZA246" s="23"/>
      <c r="IZF246" s="26"/>
      <c r="IZJ246" s="23"/>
      <c r="IZO246" s="26"/>
      <c r="IZS246" s="23"/>
      <c r="IZX246" s="26"/>
      <c r="JAB246" s="23"/>
      <c r="JAG246" s="26"/>
      <c r="JAK246" s="23"/>
      <c r="JAP246" s="26"/>
      <c r="JAT246" s="23"/>
      <c r="JAY246" s="26"/>
      <c r="JBC246" s="23"/>
      <c r="JBH246" s="26"/>
      <c r="JBL246" s="23"/>
      <c r="JBQ246" s="26"/>
      <c r="JBU246" s="23"/>
      <c r="JBZ246" s="26"/>
      <c r="JCD246" s="23"/>
      <c r="JCI246" s="26"/>
      <c r="JCM246" s="23"/>
      <c r="JCR246" s="26"/>
      <c r="JCV246" s="23"/>
      <c r="JDA246" s="26"/>
      <c r="JDE246" s="23"/>
      <c r="JDJ246" s="26"/>
      <c r="JDN246" s="23"/>
      <c r="JDS246" s="26"/>
      <c r="JDW246" s="23"/>
      <c r="JEB246" s="26"/>
      <c r="JEF246" s="23"/>
      <c r="JEK246" s="26"/>
      <c r="JEO246" s="23"/>
      <c r="JET246" s="26"/>
      <c r="JEX246" s="23"/>
      <c r="JFC246" s="26"/>
      <c r="JFG246" s="23"/>
      <c r="JFL246" s="26"/>
      <c r="JFP246" s="23"/>
      <c r="JFU246" s="26"/>
      <c r="JFY246" s="23"/>
      <c r="JGD246" s="26"/>
      <c r="JGH246" s="23"/>
      <c r="JGM246" s="26"/>
      <c r="JGQ246" s="23"/>
      <c r="JGV246" s="26"/>
      <c r="JGZ246" s="23"/>
      <c r="JHE246" s="26"/>
      <c r="JHI246" s="23"/>
      <c r="JHN246" s="26"/>
      <c r="JHR246" s="23"/>
      <c r="JHW246" s="26"/>
      <c r="JIA246" s="23"/>
      <c r="JIF246" s="26"/>
      <c r="JIJ246" s="23"/>
      <c r="JIO246" s="26"/>
      <c r="JIS246" s="23"/>
      <c r="JIX246" s="26"/>
      <c r="JJB246" s="23"/>
      <c r="JJG246" s="26"/>
      <c r="JJK246" s="23"/>
      <c r="JJP246" s="26"/>
      <c r="JJT246" s="23"/>
      <c r="JJY246" s="26"/>
      <c r="JKC246" s="23"/>
      <c r="JKH246" s="26"/>
      <c r="JKL246" s="23"/>
      <c r="JKQ246" s="26"/>
      <c r="JKU246" s="23"/>
      <c r="JKZ246" s="26"/>
      <c r="JLD246" s="23"/>
      <c r="JLI246" s="26"/>
      <c r="JLM246" s="23"/>
      <c r="JLR246" s="26"/>
      <c r="JLV246" s="23"/>
      <c r="JMA246" s="26"/>
      <c r="JME246" s="23"/>
      <c r="JMJ246" s="26"/>
      <c r="JMN246" s="23"/>
      <c r="JMS246" s="26"/>
      <c r="JMW246" s="23"/>
      <c r="JNB246" s="26"/>
      <c r="JNF246" s="23"/>
      <c r="JNK246" s="26"/>
      <c r="JNO246" s="23"/>
      <c r="JNT246" s="26"/>
      <c r="JNX246" s="23"/>
      <c r="JOC246" s="26"/>
      <c r="JOG246" s="23"/>
      <c r="JOL246" s="26"/>
      <c r="JOP246" s="23"/>
      <c r="JOU246" s="26"/>
      <c r="JOY246" s="23"/>
      <c r="JPD246" s="26"/>
      <c r="JPH246" s="23"/>
      <c r="JPM246" s="26"/>
      <c r="JPQ246" s="23"/>
      <c r="JPV246" s="26"/>
      <c r="JPZ246" s="23"/>
      <c r="JQE246" s="26"/>
      <c r="JQI246" s="23"/>
      <c r="JQN246" s="26"/>
      <c r="JQR246" s="23"/>
      <c r="JQW246" s="26"/>
      <c r="JRA246" s="23"/>
      <c r="JRF246" s="26"/>
      <c r="JRJ246" s="23"/>
      <c r="JRO246" s="26"/>
      <c r="JRS246" s="23"/>
      <c r="JRX246" s="26"/>
      <c r="JSB246" s="23"/>
      <c r="JSG246" s="26"/>
      <c r="JSK246" s="23"/>
      <c r="JSP246" s="26"/>
      <c r="JST246" s="23"/>
      <c r="JSY246" s="26"/>
      <c r="JTC246" s="23"/>
      <c r="JTH246" s="26"/>
      <c r="JTL246" s="23"/>
      <c r="JTQ246" s="26"/>
      <c r="JTU246" s="23"/>
      <c r="JTZ246" s="26"/>
      <c r="JUD246" s="23"/>
      <c r="JUI246" s="26"/>
      <c r="JUM246" s="23"/>
      <c r="JUR246" s="26"/>
      <c r="JUV246" s="23"/>
      <c r="JVA246" s="26"/>
      <c r="JVE246" s="23"/>
      <c r="JVJ246" s="26"/>
      <c r="JVN246" s="23"/>
      <c r="JVS246" s="26"/>
      <c r="JVW246" s="23"/>
      <c r="JWB246" s="26"/>
      <c r="JWF246" s="23"/>
      <c r="JWK246" s="26"/>
      <c r="JWO246" s="23"/>
      <c r="JWT246" s="26"/>
      <c r="JWX246" s="23"/>
      <c r="JXC246" s="26"/>
      <c r="JXG246" s="23"/>
      <c r="JXL246" s="26"/>
      <c r="JXP246" s="23"/>
      <c r="JXU246" s="26"/>
      <c r="JXY246" s="23"/>
      <c r="JYD246" s="26"/>
      <c r="JYH246" s="23"/>
      <c r="JYM246" s="26"/>
      <c r="JYQ246" s="23"/>
      <c r="JYV246" s="26"/>
      <c r="JYZ246" s="23"/>
      <c r="JZE246" s="26"/>
      <c r="JZI246" s="23"/>
      <c r="JZN246" s="26"/>
      <c r="JZR246" s="23"/>
      <c r="JZW246" s="26"/>
      <c r="KAA246" s="23"/>
      <c r="KAF246" s="26"/>
      <c r="KAJ246" s="23"/>
      <c r="KAO246" s="26"/>
      <c r="KAS246" s="23"/>
      <c r="KAX246" s="26"/>
      <c r="KBB246" s="23"/>
      <c r="KBG246" s="26"/>
      <c r="KBK246" s="23"/>
      <c r="KBP246" s="26"/>
      <c r="KBT246" s="23"/>
      <c r="KBY246" s="26"/>
      <c r="KCC246" s="23"/>
      <c r="KCH246" s="26"/>
      <c r="KCL246" s="23"/>
      <c r="KCQ246" s="26"/>
      <c r="KCU246" s="23"/>
      <c r="KCZ246" s="26"/>
      <c r="KDD246" s="23"/>
      <c r="KDI246" s="26"/>
      <c r="KDM246" s="23"/>
      <c r="KDR246" s="26"/>
      <c r="KDV246" s="23"/>
      <c r="KEA246" s="26"/>
      <c r="KEE246" s="23"/>
      <c r="KEJ246" s="26"/>
      <c r="KEN246" s="23"/>
      <c r="KES246" s="26"/>
      <c r="KEW246" s="23"/>
      <c r="KFB246" s="26"/>
      <c r="KFF246" s="23"/>
      <c r="KFK246" s="26"/>
      <c r="KFO246" s="23"/>
      <c r="KFT246" s="26"/>
      <c r="KFX246" s="23"/>
      <c r="KGC246" s="26"/>
      <c r="KGG246" s="23"/>
      <c r="KGL246" s="26"/>
      <c r="KGP246" s="23"/>
      <c r="KGU246" s="26"/>
      <c r="KGY246" s="23"/>
      <c r="KHD246" s="26"/>
      <c r="KHH246" s="23"/>
      <c r="KHM246" s="26"/>
      <c r="KHQ246" s="23"/>
      <c r="KHV246" s="26"/>
      <c r="KHZ246" s="23"/>
      <c r="KIE246" s="26"/>
      <c r="KII246" s="23"/>
      <c r="KIN246" s="26"/>
      <c r="KIR246" s="23"/>
      <c r="KIW246" s="26"/>
      <c r="KJA246" s="23"/>
      <c r="KJF246" s="26"/>
      <c r="KJJ246" s="23"/>
      <c r="KJO246" s="26"/>
      <c r="KJS246" s="23"/>
      <c r="KJX246" s="26"/>
      <c r="KKB246" s="23"/>
      <c r="KKG246" s="26"/>
      <c r="KKK246" s="23"/>
      <c r="KKP246" s="26"/>
      <c r="KKT246" s="23"/>
      <c r="KKY246" s="26"/>
      <c r="KLC246" s="23"/>
      <c r="KLH246" s="26"/>
      <c r="KLL246" s="23"/>
      <c r="KLQ246" s="26"/>
      <c r="KLU246" s="23"/>
      <c r="KLZ246" s="26"/>
      <c r="KMD246" s="23"/>
      <c r="KMI246" s="26"/>
      <c r="KMM246" s="23"/>
      <c r="KMR246" s="26"/>
      <c r="KMV246" s="23"/>
      <c r="KNA246" s="26"/>
      <c r="KNE246" s="23"/>
      <c r="KNJ246" s="26"/>
      <c r="KNN246" s="23"/>
      <c r="KNS246" s="26"/>
      <c r="KNW246" s="23"/>
      <c r="KOB246" s="26"/>
      <c r="KOF246" s="23"/>
      <c r="KOK246" s="26"/>
      <c r="KOO246" s="23"/>
      <c r="KOT246" s="26"/>
      <c r="KOX246" s="23"/>
      <c r="KPC246" s="26"/>
      <c r="KPG246" s="23"/>
      <c r="KPL246" s="26"/>
      <c r="KPP246" s="23"/>
      <c r="KPU246" s="26"/>
      <c r="KPY246" s="23"/>
      <c r="KQD246" s="26"/>
      <c r="KQH246" s="23"/>
      <c r="KQM246" s="26"/>
      <c r="KQQ246" s="23"/>
      <c r="KQV246" s="26"/>
      <c r="KQZ246" s="23"/>
      <c r="KRE246" s="26"/>
      <c r="KRI246" s="23"/>
      <c r="KRN246" s="26"/>
      <c r="KRR246" s="23"/>
      <c r="KRW246" s="26"/>
      <c r="KSA246" s="23"/>
      <c r="KSF246" s="26"/>
      <c r="KSJ246" s="23"/>
      <c r="KSO246" s="26"/>
      <c r="KSS246" s="23"/>
      <c r="KSX246" s="26"/>
      <c r="KTB246" s="23"/>
      <c r="KTG246" s="26"/>
      <c r="KTK246" s="23"/>
      <c r="KTP246" s="26"/>
      <c r="KTT246" s="23"/>
      <c r="KTY246" s="26"/>
      <c r="KUC246" s="23"/>
      <c r="KUH246" s="26"/>
      <c r="KUL246" s="23"/>
      <c r="KUQ246" s="26"/>
      <c r="KUU246" s="23"/>
      <c r="KUZ246" s="26"/>
      <c r="KVD246" s="23"/>
      <c r="KVI246" s="26"/>
      <c r="KVM246" s="23"/>
      <c r="KVR246" s="26"/>
      <c r="KVV246" s="23"/>
      <c r="KWA246" s="26"/>
      <c r="KWE246" s="23"/>
      <c r="KWJ246" s="26"/>
      <c r="KWN246" s="23"/>
      <c r="KWS246" s="26"/>
      <c r="KWW246" s="23"/>
      <c r="KXB246" s="26"/>
      <c r="KXF246" s="23"/>
      <c r="KXK246" s="26"/>
      <c r="KXO246" s="23"/>
      <c r="KXT246" s="26"/>
      <c r="KXX246" s="23"/>
      <c r="KYC246" s="26"/>
      <c r="KYG246" s="23"/>
      <c r="KYL246" s="26"/>
      <c r="KYP246" s="23"/>
      <c r="KYU246" s="26"/>
      <c r="KYY246" s="23"/>
      <c r="KZD246" s="26"/>
      <c r="KZH246" s="23"/>
      <c r="KZM246" s="26"/>
      <c r="KZQ246" s="23"/>
      <c r="KZV246" s="26"/>
      <c r="KZZ246" s="23"/>
      <c r="LAE246" s="26"/>
      <c r="LAI246" s="23"/>
      <c r="LAN246" s="26"/>
      <c r="LAR246" s="23"/>
      <c r="LAW246" s="26"/>
      <c r="LBA246" s="23"/>
      <c r="LBF246" s="26"/>
      <c r="LBJ246" s="23"/>
      <c r="LBO246" s="26"/>
      <c r="LBS246" s="23"/>
      <c r="LBX246" s="26"/>
      <c r="LCB246" s="23"/>
      <c r="LCG246" s="26"/>
      <c r="LCK246" s="23"/>
      <c r="LCP246" s="26"/>
      <c r="LCT246" s="23"/>
      <c r="LCY246" s="26"/>
      <c r="LDC246" s="23"/>
      <c r="LDH246" s="26"/>
      <c r="LDL246" s="23"/>
      <c r="LDQ246" s="26"/>
      <c r="LDU246" s="23"/>
      <c r="LDZ246" s="26"/>
      <c r="LED246" s="23"/>
      <c r="LEI246" s="26"/>
      <c r="LEM246" s="23"/>
      <c r="LER246" s="26"/>
      <c r="LEV246" s="23"/>
      <c r="LFA246" s="26"/>
      <c r="LFE246" s="23"/>
      <c r="LFJ246" s="26"/>
      <c r="LFN246" s="23"/>
      <c r="LFS246" s="26"/>
      <c r="LFW246" s="23"/>
      <c r="LGB246" s="26"/>
      <c r="LGF246" s="23"/>
      <c r="LGK246" s="26"/>
      <c r="LGO246" s="23"/>
      <c r="LGT246" s="26"/>
      <c r="LGX246" s="23"/>
      <c r="LHC246" s="26"/>
      <c r="LHG246" s="23"/>
      <c r="LHL246" s="26"/>
      <c r="LHP246" s="23"/>
      <c r="LHU246" s="26"/>
      <c r="LHY246" s="23"/>
      <c r="LID246" s="26"/>
      <c r="LIH246" s="23"/>
      <c r="LIM246" s="26"/>
      <c r="LIQ246" s="23"/>
      <c r="LIV246" s="26"/>
      <c r="LIZ246" s="23"/>
      <c r="LJE246" s="26"/>
      <c r="LJI246" s="23"/>
      <c r="LJN246" s="26"/>
      <c r="LJR246" s="23"/>
      <c r="LJW246" s="26"/>
      <c r="LKA246" s="23"/>
      <c r="LKF246" s="26"/>
      <c r="LKJ246" s="23"/>
      <c r="LKO246" s="26"/>
      <c r="LKS246" s="23"/>
      <c r="LKX246" s="26"/>
      <c r="LLB246" s="23"/>
      <c r="LLG246" s="26"/>
      <c r="LLK246" s="23"/>
      <c r="LLP246" s="26"/>
      <c r="LLT246" s="23"/>
      <c r="LLY246" s="26"/>
      <c r="LMC246" s="23"/>
      <c r="LMH246" s="26"/>
      <c r="LML246" s="23"/>
      <c r="LMQ246" s="26"/>
      <c r="LMU246" s="23"/>
      <c r="LMZ246" s="26"/>
      <c r="LND246" s="23"/>
      <c r="LNI246" s="26"/>
      <c r="LNM246" s="23"/>
      <c r="LNR246" s="26"/>
      <c r="LNV246" s="23"/>
      <c r="LOA246" s="26"/>
      <c r="LOE246" s="23"/>
      <c r="LOJ246" s="26"/>
      <c r="LON246" s="23"/>
      <c r="LOS246" s="26"/>
      <c r="LOW246" s="23"/>
      <c r="LPB246" s="26"/>
      <c r="LPF246" s="23"/>
      <c r="LPK246" s="26"/>
      <c r="LPO246" s="23"/>
      <c r="LPT246" s="26"/>
      <c r="LPX246" s="23"/>
      <c r="LQC246" s="26"/>
      <c r="LQG246" s="23"/>
      <c r="LQL246" s="26"/>
      <c r="LQP246" s="23"/>
      <c r="LQU246" s="26"/>
      <c r="LQY246" s="23"/>
      <c r="LRD246" s="26"/>
      <c r="LRH246" s="23"/>
      <c r="LRM246" s="26"/>
      <c r="LRQ246" s="23"/>
      <c r="LRV246" s="26"/>
      <c r="LRZ246" s="23"/>
      <c r="LSE246" s="26"/>
      <c r="LSI246" s="23"/>
      <c r="LSN246" s="26"/>
      <c r="LSR246" s="23"/>
      <c r="LSW246" s="26"/>
      <c r="LTA246" s="23"/>
      <c r="LTF246" s="26"/>
      <c r="LTJ246" s="23"/>
      <c r="LTO246" s="26"/>
      <c r="LTS246" s="23"/>
      <c r="LTX246" s="26"/>
      <c r="LUB246" s="23"/>
      <c r="LUG246" s="26"/>
      <c r="LUK246" s="23"/>
      <c r="LUP246" s="26"/>
      <c r="LUT246" s="23"/>
      <c r="LUY246" s="26"/>
      <c r="LVC246" s="23"/>
      <c r="LVH246" s="26"/>
      <c r="LVL246" s="23"/>
      <c r="LVQ246" s="26"/>
      <c r="LVU246" s="23"/>
      <c r="LVZ246" s="26"/>
      <c r="LWD246" s="23"/>
      <c r="LWI246" s="26"/>
      <c r="LWM246" s="23"/>
      <c r="LWR246" s="26"/>
      <c r="LWV246" s="23"/>
      <c r="LXA246" s="26"/>
      <c r="LXE246" s="23"/>
      <c r="LXJ246" s="26"/>
      <c r="LXN246" s="23"/>
      <c r="LXS246" s="26"/>
      <c r="LXW246" s="23"/>
      <c r="LYB246" s="26"/>
      <c r="LYF246" s="23"/>
      <c r="LYK246" s="26"/>
      <c r="LYO246" s="23"/>
      <c r="LYT246" s="26"/>
      <c r="LYX246" s="23"/>
      <c r="LZC246" s="26"/>
      <c r="LZG246" s="23"/>
      <c r="LZL246" s="26"/>
      <c r="LZP246" s="23"/>
      <c r="LZU246" s="26"/>
      <c r="LZY246" s="23"/>
      <c r="MAD246" s="26"/>
      <c r="MAH246" s="23"/>
      <c r="MAM246" s="26"/>
      <c r="MAQ246" s="23"/>
      <c r="MAV246" s="26"/>
      <c r="MAZ246" s="23"/>
      <c r="MBE246" s="26"/>
      <c r="MBI246" s="23"/>
      <c r="MBN246" s="26"/>
      <c r="MBR246" s="23"/>
      <c r="MBW246" s="26"/>
      <c r="MCA246" s="23"/>
      <c r="MCF246" s="26"/>
      <c r="MCJ246" s="23"/>
      <c r="MCO246" s="26"/>
      <c r="MCS246" s="23"/>
      <c r="MCX246" s="26"/>
      <c r="MDB246" s="23"/>
      <c r="MDG246" s="26"/>
      <c r="MDK246" s="23"/>
      <c r="MDP246" s="26"/>
      <c r="MDT246" s="23"/>
      <c r="MDY246" s="26"/>
      <c r="MEC246" s="23"/>
      <c r="MEH246" s="26"/>
      <c r="MEL246" s="23"/>
      <c r="MEQ246" s="26"/>
      <c r="MEU246" s="23"/>
      <c r="MEZ246" s="26"/>
      <c r="MFD246" s="23"/>
      <c r="MFI246" s="26"/>
      <c r="MFM246" s="23"/>
      <c r="MFR246" s="26"/>
      <c r="MFV246" s="23"/>
      <c r="MGA246" s="26"/>
      <c r="MGE246" s="23"/>
      <c r="MGJ246" s="26"/>
      <c r="MGN246" s="23"/>
      <c r="MGS246" s="26"/>
      <c r="MGW246" s="23"/>
      <c r="MHB246" s="26"/>
      <c r="MHF246" s="23"/>
      <c r="MHK246" s="26"/>
      <c r="MHO246" s="23"/>
      <c r="MHT246" s="26"/>
      <c r="MHX246" s="23"/>
      <c r="MIC246" s="26"/>
      <c r="MIG246" s="23"/>
      <c r="MIL246" s="26"/>
      <c r="MIP246" s="23"/>
      <c r="MIU246" s="26"/>
      <c r="MIY246" s="23"/>
      <c r="MJD246" s="26"/>
      <c r="MJH246" s="23"/>
      <c r="MJM246" s="26"/>
      <c r="MJQ246" s="23"/>
      <c r="MJV246" s="26"/>
      <c r="MJZ246" s="23"/>
      <c r="MKE246" s="26"/>
      <c r="MKI246" s="23"/>
      <c r="MKN246" s="26"/>
      <c r="MKR246" s="23"/>
      <c r="MKW246" s="26"/>
      <c r="MLA246" s="23"/>
      <c r="MLF246" s="26"/>
      <c r="MLJ246" s="23"/>
      <c r="MLO246" s="26"/>
      <c r="MLS246" s="23"/>
      <c r="MLX246" s="26"/>
      <c r="MMB246" s="23"/>
      <c r="MMG246" s="26"/>
      <c r="MMK246" s="23"/>
      <c r="MMP246" s="26"/>
      <c r="MMT246" s="23"/>
      <c r="MMY246" s="26"/>
      <c r="MNC246" s="23"/>
      <c r="MNH246" s="26"/>
      <c r="MNL246" s="23"/>
      <c r="MNQ246" s="26"/>
      <c r="MNU246" s="23"/>
      <c r="MNZ246" s="26"/>
      <c r="MOD246" s="23"/>
      <c r="MOI246" s="26"/>
      <c r="MOM246" s="23"/>
      <c r="MOR246" s="26"/>
      <c r="MOV246" s="23"/>
      <c r="MPA246" s="26"/>
      <c r="MPE246" s="23"/>
      <c r="MPJ246" s="26"/>
      <c r="MPN246" s="23"/>
      <c r="MPS246" s="26"/>
      <c r="MPW246" s="23"/>
      <c r="MQB246" s="26"/>
      <c r="MQF246" s="23"/>
      <c r="MQK246" s="26"/>
      <c r="MQO246" s="23"/>
      <c r="MQT246" s="26"/>
      <c r="MQX246" s="23"/>
      <c r="MRC246" s="26"/>
      <c r="MRG246" s="23"/>
      <c r="MRL246" s="26"/>
      <c r="MRP246" s="23"/>
      <c r="MRU246" s="26"/>
      <c r="MRY246" s="23"/>
      <c r="MSD246" s="26"/>
      <c r="MSH246" s="23"/>
      <c r="MSM246" s="26"/>
      <c r="MSQ246" s="23"/>
      <c r="MSV246" s="26"/>
      <c r="MSZ246" s="23"/>
      <c r="MTE246" s="26"/>
      <c r="MTI246" s="23"/>
      <c r="MTN246" s="26"/>
      <c r="MTR246" s="23"/>
      <c r="MTW246" s="26"/>
      <c r="MUA246" s="23"/>
      <c r="MUF246" s="26"/>
      <c r="MUJ246" s="23"/>
      <c r="MUO246" s="26"/>
      <c r="MUS246" s="23"/>
      <c r="MUX246" s="26"/>
      <c r="MVB246" s="23"/>
      <c r="MVG246" s="26"/>
      <c r="MVK246" s="23"/>
      <c r="MVP246" s="26"/>
      <c r="MVT246" s="23"/>
      <c r="MVY246" s="26"/>
      <c r="MWC246" s="23"/>
      <c r="MWH246" s="26"/>
      <c r="MWL246" s="23"/>
      <c r="MWQ246" s="26"/>
      <c r="MWU246" s="23"/>
      <c r="MWZ246" s="26"/>
      <c r="MXD246" s="23"/>
      <c r="MXI246" s="26"/>
      <c r="MXM246" s="23"/>
      <c r="MXR246" s="26"/>
      <c r="MXV246" s="23"/>
      <c r="MYA246" s="26"/>
      <c r="MYE246" s="23"/>
      <c r="MYJ246" s="26"/>
      <c r="MYN246" s="23"/>
      <c r="MYS246" s="26"/>
      <c r="MYW246" s="23"/>
      <c r="MZB246" s="26"/>
      <c r="MZF246" s="23"/>
      <c r="MZK246" s="26"/>
      <c r="MZO246" s="23"/>
      <c r="MZT246" s="26"/>
      <c r="MZX246" s="23"/>
      <c r="NAC246" s="26"/>
      <c r="NAG246" s="23"/>
      <c r="NAL246" s="26"/>
      <c r="NAP246" s="23"/>
      <c r="NAU246" s="26"/>
      <c r="NAY246" s="23"/>
      <c r="NBD246" s="26"/>
      <c r="NBH246" s="23"/>
      <c r="NBM246" s="26"/>
      <c r="NBQ246" s="23"/>
      <c r="NBV246" s="26"/>
      <c r="NBZ246" s="23"/>
      <c r="NCE246" s="26"/>
      <c r="NCI246" s="23"/>
      <c r="NCN246" s="26"/>
      <c r="NCR246" s="23"/>
      <c r="NCW246" s="26"/>
      <c r="NDA246" s="23"/>
      <c r="NDF246" s="26"/>
      <c r="NDJ246" s="23"/>
      <c r="NDO246" s="26"/>
      <c r="NDS246" s="23"/>
      <c r="NDX246" s="26"/>
      <c r="NEB246" s="23"/>
      <c r="NEG246" s="26"/>
      <c r="NEK246" s="23"/>
      <c r="NEP246" s="26"/>
      <c r="NET246" s="23"/>
      <c r="NEY246" s="26"/>
      <c r="NFC246" s="23"/>
      <c r="NFH246" s="26"/>
      <c r="NFL246" s="23"/>
      <c r="NFQ246" s="26"/>
      <c r="NFU246" s="23"/>
      <c r="NFZ246" s="26"/>
      <c r="NGD246" s="23"/>
      <c r="NGI246" s="26"/>
      <c r="NGM246" s="23"/>
      <c r="NGR246" s="26"/>
      <c r="NGV246" s="23"/>
      <c r="NHA246" s="26"/>
      <c r="NHE246" s="23"/>
      <c r="NHJ246" s="26"/>
      <c r="NHN246" s="23"/>
      <c r="NHS246" s="26"/>
      <c r="NHW246" s="23"/>
      <c r="NIB246" s="26"/>
      <c r="NIF246" s="23"/>
      <c r="NIK246" s="26"/>
      <c r="NIO246" s="23"/>
      <c r="NIT246" s="26"/>
      <c r="NIX246" s="23"/>
      <c r="NJC246" s="26"/>
      <c r="NJG246" s="23"/>
      <c r="NJL246" s="26"/>
      <c r="NJP246" s="23"/>
      <c r="NJU246" s="26"/>
      <c r="NJY246" s="23"/>
      <c r="NKD246" s="26"/>
      <c r="NKH246" s="23"/>
      <c r="NKM246" s="26"/>
      <c r="NKQ246" s="23"/>
      <c r="NKV246" s="26"/>
      <c r="NKZ246" s="23"/>
      <c r="NLE246" s="26"/>
      <c r="NLI246" s="23"/>
      <c r="NLN246" s="26"/>
      <c r="NLR246" s="23"/>
      <c r="NLW246" s="26"/>
      <c r="NMA246" s="23"/>
      <c r="NMF246" s="26"/>
      <c r="NMJ246" s="23"/>
      <c r="NMO246" s="26"/>
      <c r="NMS246" s="23"/>
      <c r="NMX246" s="26"/>
      <c r="NNB246" s="23"/>
      <c r="NNG246" s="26"/>
      <c r="NNK246" s="23"/>
      <c r="NNP246" s="26"/>
      <c r="NNT246" s="23"/>
      <c r="NNY246" s="26"/>
      <c r="NOC246" s="23"/>
      <c r="NOH246" s="26"/>
      <c r="NOL246" s="23"/>
      <c r="NOQ246" s="26"/>
      <c r="NOU246" s="23"/>
      <c r="NOZ246" s="26"/>
      <c r="NPD246" s="23"/>
      <c r="NPI246" s="26"/>
      <c r="NPM246" s="23"/>
      <c r="NPR246" s="26"/>
      <c r="NPV246" s="23"/>
      <c r="NQA246" s="26"/>
      <c r="NQE246" s="23"/>
      <c r="NQJ246" s="26"/>
      <c r="NQN246" s="23"/>
      <c r="NQS246" s="26"/>
      <c r="NQW246" s="23"/>
      <c r="NRB246" s="26"/>
      <c r="NRF246" s="23"/>
      <c r="NRK246" s="26"/>
      <c r="NRO246" s="23"/>
      <c r="NRT246" s="26"/>
      <c r="NRX246" s="23"/>
      <c r="NSC246" s="26"/>
      <c r="NSG246" s="23"/>
      <c r="NSL246" s="26"/>
      <c r="NSP246" s="23"/>
      <c r="NSU246" s="26"/>
      <c r="NSY246" s="23"/>
      <c r="NTD246" s="26"/>
      <c r="NTH246" s="23"/>
      <c r="NTM246" s="26"/>
      <c r="NTQ246" s="23"/>
      <c r="NTV246" s="26"/>
      <c r="NTZ246" s="23"/>
      <c r="NUE246" s="26"/>
      <c r="NUI246" s="23"/>
      <c r="NUN246" s="26"/>
      <c r="NUR246" s="23"/>
      <c r="NUW246" s="26"/>
      <c r="NVA246" s="23"/>
      <c r="NVF246" s="26"/>
      <c r="NVJ246" s="23"/>
      <c r="NVO246" s="26"/>
      <c r="NVS246" s="23"/>
      <c r="NVX246" s="26"/>
      <c r="NWB246" s="23"/>
      <c r="NWG246" s="26"/>
      <c r="NWK246" s="23"/>
      <c r="NWP246" s="26"/>
      <c r="NWT246" s="23"/>
      <c r="NWY246" s="26"/>
      <c r="NXC246" s="23"/>
      <c r="NXH246" s="26"/>
      <c r="NXL246" s="23"/>
      <c r="NXQ246" s="26"/>
      <c r="NXU246" s="23"/>
      <c r="NXZ246" s="26"/>
      <c r="NYD246" s="23"/>
      <c r="NYI246" s="26"/>
      <c r="NYM246" s="23"/>
      <c r="NYR246" s="26"/>
      <c r="NYV246" s="23"/>
      <c r="NZA246" s="26"/>
      <c r="NZE246" s="23"/>
      <c r="NZJ246" s="26"/>
      <c r="NZN246" s="23"/>
      <c r="NZS246" s="26"/>
      <c r="NZW246" s="23"/>
      <c r="OAB246" s="26"/>
      <c r="OAF246" s="23"/>
      <c r="OAK246" s="26"/>
      <c r="OAO246" s="23"/>
      <c r="OAT246" s="26"/>
      <c r="OAX246" s="23"/>
      <c r="OBC246" s="26"/>
      <c r="OBG246" s="23"/>
      <c r="OBL246" s="26"/>
      <c r="OBP246" s="23"/>
      <c r="OBU246" s="26"/>
      <c r="OBY246" s="23"/>
      <c r="OCD246" s="26"/>
      <c r="OCH246" s="23"/>
      <c r="OCM246" s="26"/>
      <c r="OCQ246" s="23"/>
      <c r="OCV246" s="26"/>
      <c r="OCZ246" s="23"/>
      <c r="ODE246" s="26"/>
      <c r="ODI246" s="23"/>
      <c r="ODN246" s="26"/>
      <c r="ODR246" s="23"/>
      <c r="ODW246" s="26"/>
      <c r="OEA246" s="23"/>
      <c r="OEF246" s="26"/>
      <c r="OEJ246" s="23"/>
      <c r="OEO246" s="26"/>
      <c r="OES246" s="23"/>
      <c r="OEX246" s="26"/>
      <c r="OFB246" s="23"/>
      <c r="OFG246" s="26"/>
      <c r="OFK246" s="23"/>
      <c r="OFP246" s="26"/>
      <c r="OFT246" s="23"/>
      <c r="OFY246" s="26"/>
      <c r="OGC246" s="23"/>
      <c r="OGH246" s="26"/>
      <c r="OGL246" s="23"/>
      <c r="OGQ246" s="26"/>
      <c r="OGU246" s="23"/>
      <c r="OGZ246" s="26"/>
      <c r="OHD246" s="23"/>
      <c r="OHI246" s="26"/>
      <c r="OHM246" s="23"/>
      <c r="OHR246" s="26"/>
      <c r="OHV246" s="23"/>
      <c r="OIA246" s="26"/>
      <c r="OIE246" s="23"/>
      <c r="OIJ246" s="26"/>
      <c r="OIN246" s="23"/>
      <c r="OIS246" s="26"/>
      <c r="OIW246" s="23"/>
      <c r="OJB246" s="26"/>
      <c r="OJF246" s="23"/>
      <c r="OJK246" s="26"/>
      <c r="OJO246" s="23"/>
      <c r="OJT246" s="26"/>
      <c r="OJX246" s="23"/>
      <c r="OKC246" s="26"/>
      <c r="OKG246" s="23"/>
      <c r="OKL246" s="26"/>
      <c r="OKP246" s="23"/>
      <c r="OKU246" s="26"/>
      <c r="OKY246" s="23"/>
      <c r="OLD246" s="26"/>
      <c r="OLH246" s="23"/>
      <c r="OLM246" s="26"/>
      <c r="OLQ246" s="23"/>
      <c r="OLV246" s="26"/>
      <c r="OLZ246" s="23"/>
      <c r="OME246" s="26"/>
      <c r="OMI246" s="23"/>
      <c r="OMN246" s="26"/>
      <c r="OMR246" s="23"/>
      <c r="OMW246" s="26"/>
      <c r="ONA246" s="23"/>
      <c r="ONF246" s="26"/>
      <c r="ONJ246" s="23"/>
      <c r="ONO246" s="26"/>
      <c r="ONS246" s="23"/>
      <c r="ONX246" s="26"/>
      <c r="OOB246" s="23"/>
      <c r="OOG246" s="26"/>
      <c r="OOK246" s="23"/>
      <c r="OOP246" s="26"/>
      <c r="OOT246" s="23"/>
      <c r="OOY246" s="26"/>
      <c r="OPC246" s="23"/>
      <c r="OPH246" s="26"/>
      <c r="OPL246" s="23"/>
      <c r="OPQ246" s="26"/>
      <c r="OPU246" s="23"/>
      <c r="OPZ246" s="26"/>
      <c r="OQD246" s="23"/>
      <c r="OQI246" s="26"/>
      <c r="OQM246" s="23"/>
      <c r="OQR246" s="26"/>
      <c r="OQV246" s="23"/>
      <c r="ORA246" s="26"/>
      <c r="ORE246" s="23"/>
      <c r="ORJ246" s="26"/>
      <c r="ORN246" s="23"/>
      <c r="ORS246" s="26"/>
      <c r="ORW246" s="23"/>
      <c r="OSB246" s="26"/>
      <c r="OSF246" s="23"/>
      <c r="OSK246" s="26"/>
      <c r="OSO246" s="23"/>
      <c r="OST246" s="26"/>
      <c r="OSX246" s="23"/>
      <c r="OTC246" s="26"/>
      <c r="OTG246" s="23"/>
      <c r="OTL246" s="26"/>
      <c r="OTP246" s="23"/>
      <c r="OTU246" s="26"/>
      <c r="OTY246" s="23"/>
      <c r="OUD246" s="26"/>
      <c r="OUH246" s="23"/>
      <c r="OUM246" s="26"/>
      <c r="OUQ246" s="23"/>
      <c r="OUV246" s="26"/>
      <c r="OUZ246" s="23"/>
      <c r="OVE246" s="26"/>
      <c r="OVI246" s="23"/>
      <c r="OVN246" s="26"/>
      <c r="OVR246" s="23"/>
      <c r="OVW246" s="26"/>
      <c r="OWA246" s="23"/>
      <c r="OWF246" s="26"/>
      <c r="OWJ246" s="23"/>
      <c r="OWO246" s="26"/>
      <c r="OWS246" s="23"/>
      <c r="OWX246" s="26"/>
      <c r="OXB246" s="23"/>
      <c r="OXG246" s="26"/>
      <c r="OXK246" s="23"/>
      <c r="OXP246" s="26"/>
      <c r="OXT246" s="23"/>
      <c r="OXY246" s="26"/>
      <c r="OYC246" s="23"/>
      <c r="OYH246" s="26"/>
      <c r="OYL246" s="23"/>
      <c r="OYQ246" s="26"/>
      <c r="OYU246" s="23"/>
      <c r="OYZ246" s="26"/>
      <c r="OZD246" s="23"/>
      <c r="OZI246" s="26"/>
      <c r="OZM246" s="23"/>
      <c r="OZR246" s="26"/>
      <c r="OZV246" s="23"/>
      <c r="PAA246" s="26"/>
      <c r="PAE246" s="23"/>
      <c r="PAJ246" s="26"/>
      <c r="PAN246" s="23"/>
      <c r="PAS246" s="26"/>
      <c r="PAW246" s="23"/>
      <c r="PBB246" s="26"/>
      <c r="PBF246" s="23"/>
      <c r="PBK246" s="26"/>
      <c r="PBO246" s="23"/>
      <c r="PBT246" s="26"/>
      <c r="PBX246" s="23"/>
      <c r="PCC246" s="26"/>
      <c r="PCG246" s="23"/>
      <c r="PCL246" s="26"/>
      <c r="PCP246" s="23"/>
      <c r="PCU246" s="26"/>
      <c r="PCY246" s="23"/>
      <c r="PDD246" s="26"/>
      <c r="PDH246" s="23"/>
      <c r="PDM246" s="26"/>
      <c r="PDQ246" s="23"/>
      <c r="PDV246" s="26"/>
      <c r="PDZ246" s="23"/>
      <c r="PEE246" s="26"/>
      <c r="PEI246" s="23"/>
      <c r="PEN246" s="26"/>
      <c r="PER246" s="23"/>
      <c r="PEW246" s="26"/>
      <c r="PFA246" s="23"/>
      <c r="PFF246" s="26"/>
      <c r="PFJ246" s="23"/>
      <c r="PFO246" s="26"/>
      <c r="PFS246" s="23"/>
      <c r="PFX246" s="26"/>
      <c r="PGB246" s="23"/>
      <c r="PGG246" s="26"/>
      <c r="PGK246" s="23"/>
      <c r="PGP246" s="26"/>
      <c r="PGT246" s="23"/>
      <c r="PGY246" s="26"/>
      <c r="PHC246" s="23"/>
      <c r="PHH246" s="26"/>
      <c r="PHL246" s="23"/>
      <c r="PHQ246" s="26"/>
      <c r="PHU246" s="23"/>
      <c r="PHZ246" s="26"/>
      <c r="PID246" s="23"/>
      <c r="PII246" s="26"/>
      <c r="PIM246" s="23"/>
      <c r="PIR246" s="26"/>
      <c r="PIV246" s="23"/>
      <c r="PJA246" s="26"/>
      <c r="PJE246" s="23"/>
      <c r="PJJ246" s="26"/>
      <c r="PJN246" s="23"/>
      <c r="PJS246" s="26"/>
      <c r="PJW246" s="23"/>
      <c r="PKB246" s="26"/>
      <c r="PKF246" s="23"/>
      <c r="PKK246" s="26"/>
      <c r="PKO246" s="23"/>
      <c r="PKT246" s="26"/>
      <c r="PKX246" s="23"/>
      <c r="PLC246" s="26"/>
      <c r="PLG246" s="23"/>
      <c r="PLL246" s="26"/>
      <c r="PLP246" s="23"/>
      <c r="PLU246" s="26"/>
      <c r="PLY246" s="23"/>
      <c r="PMD246" s="26"/>
      <c r="PMH246" s="23"/>
      <c r="PMM246" s="26"/>
      <c r="PMQ246" s="23"/>
      <c r="PMV246" s="26"/>
      <c r="PMZ246" s="23"/>
      <c r="PNE246" s="26"/>
      <c r="PNI246" s="23"/>
      <c r="PNN246" s="26"/>
      <c r="PNR246" s="23"/>
      <c r="PNW246" s="26"/>
      <c r="POA246" s="23"/>
      <c r="POF246" s="26"/>
      <c r="POJ246" s="23"/>
      <c r="POO246" s="26"/>
      <c r="POS246" s="23"/>
      <c r="POX246" s="26"/>
      <c r="PPB246" s="23"/>
      <c r="PPG246" s="26"/>
      <c r="PPK246" s="23"/>
      <c r="PPP246" s="26"/>
      <c r="PPT246" s="23"/>
      <c r="PPY246" s="26"/>
      <c r="PQC246" s="23"/>
      <c r="PQH246" s="26"/>
      <c r="PQL246" s="23"/>
      <c r="PQQ246" s="26"/>
      <c r="PQU246" s="23"/>
      <c r="PQZ246" s="26"/>
      <c r="PRD246" s="23"/>
      <c r="PRI246" s="26"/>
      <c r="PRM246" s="23"/>
      <c r="PRR246" s="26"/>
      <c r="PRV246" s="23"/>
      <c r="PSA246" s="26"/>
      <c r="PSE246" s="23"/>
      <c r="PSJ246" s="26"/>
      <c r="PSN246" s="23"/>
      <c r="PSS246" s="26"/>
      <c r="PSW246" s="23"/>
      <c r="PTB246" s="26"/>
      <c r="PTF246" s="23"/>
      <c r="PTK246" s="26"/>
      <c r="PTO246" s="23"/>
      <c r="PTT246" s="26"/>
      <c r="PTX246" s="23"/>
      <c r="PUC246" s="26"/>
      <c r="PUG246" s="23"/>
      <c r="PUL246" s="26"/>
      <c r="PUP246" s="23"/>
      <c r="PUU246" s="26"/>
      <c r="PUY246" s="23"/>
      <c r="PVD246" s="26"/>
      <c r="PVH246" s="23"/>
      <c r="PVM246" s="26"/>
      <c r="PVQ246" s="23"/>
      <c r="PVV246" s="26"/>
      <c r="PVZ246" s="23"/>
      <c r="PWE246" s="26"/>
      <c r="PWI246" s="23"/>
      <c r="PWN246" s="26"/>
      <c r="PWR246" s="23"/>
      <c r="PWW246" s="26"/>
      <c r="PXA246" s="23"/>
      <c r="PXF246" s="26"/>
      <c r="PXJ246" s="23"/>
      <c r="PXO246" s="26"/>
      <c r="PXS246" s="23"/>
      <c r="PXX246" s="26"/>
      <c r="PYB246" s="23"/>
      <c r="PYG246" s="26"/>
      <c r="PYK246" s="23"/>
      <c r="PYP246" s="26"/>
      <c r="PYT246" s="23"/>
      <c r="PYY246" s="26"/>
      <c r="PZC246" s="23"/>
      <c r="PZH246" s="26"/>
      <c r="PZL246" s="23"/>
      <c r="PZQ246" s="26"/>
      <c r="PZU246" s="23"/>
      <c r="PZZ246" s="26"/>
      <c r="QAD246" s="23"/>
      <c r="QAI246" s="26"/>
      <c r="QAM246" s="23"/>
      <c r="QAR246" s="26"/>
      <c r="QAV246" s="23"/>
      <c r="QBA246" s="26"/>
      <c r="QBE246" s="23"/>
      <c r="QBJ246" s="26"/>
      <c r="QBN246" s="23"/>
      <c r="QBS246" s="26"/>
      <c r="QBW246" s="23"/>
      <c r="QCB246" s="26"/>
      <c r="QCF246" s="23"/>
      <c r="QCK246" s="26"/>
      <c r="QCO246" s="23"/>
      <c r="QCT246" s="26"/>
      <c r="QCX246" s="23"/>
      <c r="QDC246" s="26"/>
      <c r="QDG246" s="23"/>
      <c r="QDL246" s="26"/>
      <c r="QDP246" s="23"/>
      <c r="QDU246" s="26"/>
      <c r="QDY246" s="23"/>
      <c r="QED246" s="26"/>
      <c r="QEH246" s="23"/>
      <c r="QEM246" s="26"/>
      <c r="QEQ246" s="23"/>
      <c r="QEV246" s="26"/>
      <c r="QEZ246" s="23"/>
      <c r="QFE246" s="26"/>
      <c r="QFI246" s="23"/>
      <c r="QFN246" s="26"/>
      <c r="QFR246" s="23"/>
      <c r="QFW246" s="26"/>
      <c r="QGA246" s="23"/>
      <c r="QGF246" s="26"/>
      <c r="QGJ246" s="23"/>
      <c r="QGO246" s="26"/>
      <c r="QGS246" s="23"/>
      <c r="QGX246" s="26"/>
      <c r="QHB246" s="23"/>
      <c r="QHG246" s="26"/>
      <c r="QHK246" s="23"/>
      <c r="QHP246" s="26"/>
      <c r="QHT246" s="23"/>
      <c r="QHY246" s="26"/>
      <c r="QIC246" s="23"/>
      <c r="QIH246" s="26"/>
      <c r="QIL246" s="23"/>
      <c r="QIQ246" s="26"/>
      <c r="QIU246" s="23"/>
      <c r="QIZ246" s="26"/>
      <c r="QJD246" s="23"/>
      <c r="QJI246" s="26"/>
      <c r="QJM246" s="23"/>
      <c r="QJR246" s="26"/>
      <c r="QJV246" s="23"/>
      <c r="QKA246" s="26"/>
      <c r="QKE246" s="23"/>
      <c r="QKJ246" s="26"/>
      <c r="QKN246" s="23"/>
      <c r="QKS246" s="26"/>
      <c r="QKW246" s="23"/>
      <c r="QLB246" s="26"/>
      <c r="QLF246" s="23"/>
      <c r="QLK246" s="26"/>
      <c r="QLO246" s="23"/>
      <c r="QLT246" s="26"/>
      <c r="QLX246" s="23"/>
      <c r="QMC246" s="26"/>
      <c r="QMG246" s="23"/>
      <c r="QML246" s="26"/>
      <c r="QMP246" s="23"/>
      <c r="QMU246" s="26"/>
      <c r="QMY246" s="23"/>
      <c r="QND246" s="26"/>
      <c r="QNH246" s="23"/>
      <c r="QNM246" s="26"/>
      <c r="QNQ246" s="23"/>
      <c r="QNV246" s="26"/>
      <c r="QNZ246" s="23"/>
      <c r="QOE246" s="26"/>
      <c r="QOI246" s="23"/>
      <c r="QON246" s="26"/>
      <c r="QOR246" s="23"/>
      <c r="QOW246" s="26"/>
      <c r="QPA246" s="23"/>
      <c r="QPF246" s="26"/>
      <c r="QPJ246" s="23"/>
      <c r="QPO246" s="26"/>
      <c r="QPS246" s="23"/>
      <c r="QPX246" s="26"/>
      <c r="QQB246" s="23"/>
      <c r="QQG246" s="26"/>
      <c r="QQK246" s="23"/>
      <c r="QQP246" s="26"/>
      <c r="QQT246" s="23"/>
      <c r="QQY246" s="26"/>
      <c r="QRC246" s="23"/>
      <c r="QRH246" s="26"/>
      <c r="QRL246" s="23"/>
      <c r="QRQ246" s="26"/>
      <c r="QRU246" s="23"/>
      <c r="QRZ246" s="26"/>
      <c r="QSD246" s="23"/>
      <c r="QSI246" s="26"/>
      <c r="QSM246" s="23"/>
      <c r="QSR246" s="26"/>
      <c r="QSV246" s="23"/>
      <c r="QTA246" s="26"/>
      <c r="QTE246" s="23"/>
      <c r="QTJ246" s="26"/>
      <c r="QTN246" s="23"/>
      <c r="QTS246" s="26"/>
      <c r="QTW246" s="23"/>
      <c r="QUB246" s="26"/>
      <c r="QUF246" s="23"/>
      <c r="QUK246" s="26"/>
      <c r="QUO246" s="23"/>
      <c r="QUT246" s="26"/>
      <c r="QUX246" s="23"/>
      <c r="QVC246" s="26"/>
      <c r="QVG246" s="23"/>
      <c r="QVL246" s="26"/>
      <c r="QVP246" s="23"/>
      <c r="QVU246" s="26"/>
      <c r="QVY246" s="23"/>
      <c r="QWD246" s="26"/>
      <c r="QWH246" s="23"/>
      <c r="QWM246" s="26"/>
      <c r="QWQ246" s="23"/>
      <c r="QWV246" s="26"/>
      <c r="QWZ246" s="23"/>
      <c r="QXE246" s="26"/>
      <c r="QXI246" s="23"/>
      <c r="QXN246" s="26"/>
      <c r="QXR246" s="23"/>
      <c r="QXW246" s="26"/>
      <c r="QYA246" s="23"/>
      <c r="QYF246" s="26"/>
      <c r="QYJ246" s="23"/>
      <c r="QYO246" s="26"/>
      <c r="QYS246" s="23"/>
      <c r="QYX246" s="26"/>
      <c r="QZB246" s="23"/>
      <c r="QZG246" s="26"/>
      <c r="QZK246" s="23"/>
      <c r="QZP246" s="26"/>
      <c r="QZT246" s="23"/>
      <c r="QZY246" s="26"/>
      <c r="RAC246" s="23"/>
      <c r="RAH246" s="26"/>
      <c r="RAL246" s="23"/>
      <c r="RAQ246" s="26"/>
      <c r="RAU246" s="23"/>
      <c r="RAZ246" s="26"/>
      <c r="RBD246" s="23"/>
      <c r="RBI246" s="26"/>
      <c r="RBM246" s="23"/>
      <c r="RBR246" s="26"/>
      <c r="RBV246" s="23"/>
      <c r="RCA246" s="26"/>
      <c r="RCE246" s="23"/>
      <c r="RCJ246" s="26"/>
      <c r="RCN246" s="23"/>
      <c r="RCS246" s="26"/>
      <c r="RCW246" s="23"/>
      <c r="RDB246" s="26"/>
      <c r="RDF246" s="23"/>
      <c r="RDK246" s="26"/>
      <c r="RDO246" s="23"/>
      <c r="RDT246" s="26"/>
      <c r="RDX246" s="23"/>
      <c r="REC246" s="26"/>
      <c r="REG246" s="23"/>
      <c r="REL246" s="26"/>
      <c r="REP246" s="23"/>
      <c r="REU246" s="26"/>
      <c r="REY246" s="23"/>
      <c r="RFD246" s="26"/>
      <c r="RFH246" s="23"/>
      <c r="RFM246" s="26"/>
      <c r="RFQ246" s="23"/>
      <c r="RFV246" s="26"/>
      <c r="RFZ246" s="23"/>
      <c r="RGE246" s="26"/>
      <c r="RGI246" s="23"/>
      <c r="RGN246" s="26"/>
      <c r="RGR246" s="23"/>
      <c r="RGW246" s="26"/>
      <c r="RHA246" s="23"/>
      <c r="RHF246" s="26"/>
      <c r="RHJ246" s="23"/>
      <c r="RHO246" s="26"/>
      <c r="RHS246" s="23"/>
      <c r="RHX246" s="26"/>
      <c r="RIB246" s="23"/>
      <c r="RIG246" s="26"/>
      <c r="RIK246" s="23"/>
      <c r="RIP246" s="26"/>
      <c r="RIT246" s="23"/>
      <c r="RIY246" s="26"/>
      <c r="RJC246" s="23"/>
      <c r="RJH246" s="26"/>
      <c r="RJL246" s="23"/>
      <c r="RJQ246" s="26"/>
      <c r="RJU246" s="23"/>
      <c r="RJZ246" s="26"/>
      <c r="RKD246" s="23"/>
      <c r="RKI246" s="26"/>
      <c r="RKM246" s="23"/>
      <c r="RKR246" s="26"/>
      <c r="RKV246" s="23"/>
      <c r="RLA246" s="26"/>
      <c r="RLE246" s="23"/>
      <c r="RLJ246" s="26"/>
      <c r="RLN246" s="23"/>
      <c r="RLS246" s="26"/>
      <c r="RLW246" s="23"/>
      <c r="RMB246" s="26"/>
      <c r="RMF246" s="23"/>
      <c r="RMK246" s="26"/>
      <c r="RMO246" s="23"/>
      <c r="RMT246" s="26"/>
      <c r="RMX246" s="23"/>
      <c r="RNC246" s="26"/>
      <c r="RNG246" s="23"/>
      <c r="RNL246" s="26"/>
      <c r="RNP246" s="23"/>
      <c r="RNU246" s="26"/>
      <c r="RNY246" s="23"/>
      <c r="ROD246" s="26"/>
      <c r="ROH246" s="23"/>
      <c r="ROM246" s="26"/>
      <c r="ROQ246" s="23"/>
      <c r="ROV246" s="26"/>
      <c r="ROZ246" s="23"/>
      <c r="RPE246" s="26"/>
      <c r="RPI246" s="23"/>
      <c r="RPN246" s="26"/>
      <c r="RPR246" s="23"/>
      <c r="RPW246" s="26"/>
      <c r="RQA246" s="23"/>
      <c r="RQF246" s="26"/>
      <c r="RQJ246" s="23"/>
      <c r="RQO246" s="26"/>
      <c r="RQS246" s="23"/>
      <c r="RQX246" s="26"/>
      <c r="RRB246" s="23"/>
      <c r="RRG246" s="26"/>
      <c r="RRK246" s="23"/>
      <c r="RRP246" s="26"/>
      <c r="RRT246" s="23"/>
      <c r="RRY246" s="26"/>
      <c r="RSC246" s="23"/>
      <c r="RSH246" s="26"/>
      <c r="RSL246" s="23"/>
      <c r="RSQ246" s="26"/>
      <c r="RSU246" s="23"/>
      <c r="RSZ246" s="26"/>
      <c r="RTD246" s="23"/>
      <c r="RTI246" s="26"/>
      <c r="RTM246" s="23"/>
      <c r="RTR246" s="26"/>
      <c r="RTV246" s="23"/>
      <c r="RUA246" s="26"/>
      <c r="RUE246" s="23"/>
      <c r="RUJ246" s="26"/>
      <c r="RUN246" s="23"/>
      <c r="RUS246" s="26"/>
      <c r="RUW246" s="23"/>
      <c r="RVB246" s="26"/>
      <c r="RVF246" s="23"/>
      <c r="RVK246" s="26"/>
      <c r="RVO246" s="23"/>
      <c r="RVT246" s="26"/>
      <c r="RVX246" s="23"/>
      <c r="RWC246" s="26"/>
      <c r="RWG246" s="23"/>
      <c r="RWL246" s="26"/>
      <c r="RWP246" s="23"/>
      <c r="RWU246" s="26"/>
      <c r="RWY246" s="23"/>
      <c r="RXD246" s="26"/>
      <c r="RXH246" s="23"/>
      <c r="RXM246" s="26"/>
      <c r="RXQ246" s="23"/>
      <c r="RXV246" s="26"/>
      <c r="RXZ246" s="23"/>
      <c r="RYE246" s="26"/>
      <c r="RYI246" s="23"/>
      <c r="RYN246" s="26"/>
      <c r="RYR246" s="23"/>
      <c r="RYW246" s="26"/>
      <c r="RZA246" s="23"/>
      <c r="RZF246" s="26"/>
      <c r="RZJ246" s="23"/>
      <c r="RZO246" s="26"/>
      <c r="RZS246" s="23"/>
      <c r="RZX246" s="26"/>
      <c r="SAB246" s="23"/>
      <c r="SAG246" s="26"/>
      <c r="SAK246" s="23"/>
      <c r="SAP246" s="26"/>
      <c r="SAT246" s="23"/>
      <c r="SAY246" s="26"/>
      <c r="SBC246" s="23"/>
      <c r="SBH246" s="26"/>
      <c r="SBL246" s="23"/>
      <c r="SBQ246" s="26"/>
      <c r="SBU246" s="23"/>
      <c r="SBZ246" s="26"/>
      <c r="SCD246" s="23"/>
      <c r="SCI246" s="26"/>
      <c r="SCM246" s="23"/>
      <c r="SCR246" s="26"/>
      <c r="SCV246" s="23"/>
      <c r="SDA246" s="26"/>
      <c r="SDE246" s="23"/>
      <c r="SDJ246" s="26"/>
      <c r="SDN246" s="23"/>
      <c r="SDS246" s="26"/>
      <c r="SDW246" s="23"/>
      <c r="SEB246" s="26"/>
      <c r="SEF246" s="23"/>
      <c r="SEK246" s="26"/>
      <c r="SEO246" s="23"/>
      <c r="SET246" s="26"/>
      <c r="SEX246" s="23"/>
      <c r="SFC246" s="26"/>
      <c r="SFG246" s="23"/>
      <c r="SFL246" s="26"/>
      <c r="SFP246" s="23"/>
      <c r="SFU246" s="26"/>
      <c r="SFY246" s="23"/>
      <c r="SGD246" s="26"/>
      <c r="SGH246" s="23"/>
      <c r="SGM246" s="26"/>
      <c r="SGQ246" s="23"/>
      <c r="SGV246" s="26"/>
      <c r="SGZ246" s="23"/>
      <c r="SHE246" s="26"/>
      <c r="SHI246" s="23"/>
      <c r="SHN246" s="26"/>
      <c r="SHR246" s="23"/>
      <c r="SHW246" s="26"/>
      <c r="SIA246" s="23"/>
      <c r="SIF246" s="26"/>
      <c r="SIJ246" s="23"/>
      <c r="SIO246" s="26"/>
      <c r="SIS246" s="23"/>
      <c r="SIX246" s="26"/>
      <c r="SJB246" s="23"/>
      <c r="SJG246" s="26"/>
      <c r="SJK246" s="23"/>
      <c r="SJP246" s="26"/>
      <c r="SJT246" s="23"/>
      <c r="SJY246" s="26"/>
      <c r="SKC246" s="23"/>
      <c r="SKH246" s="26"/>
      <c r="SKL246" s="23"/>
      <c r="SKQ246" s="26"/>
      <c r="SKU246" s="23"/>
      <c r="SKZ246" s="26"/>
      <c r="SLD246" s="23"/>
      <c r="SLI246" s="26"/>
      <c r="SLM246" s="23"/>
      <c r="SLR246" s="26"/>
      <c r="SLV246" s="23"/>
      <c r="SMA246" s="26"/>
      <c r="SME246" s="23"/>
      <c r="SMJ246" s="26"/>
      <c r="SMN246" s="23"/>
      <c r="SMS246" s="26"/>
      <c r="SMW246" s="23"/>
      <c r="SNB246" s="26"/>
      <c r="SNF246" s="23"/>
      <c r="SNK246" s="26"/>
      <c r="SNO246" s="23"/>
      <c r="SNT246" s="26"/>
      <c r="SNX246" s="23"/>
      <c r="SOC246" s="26"/>
      <c r="SOG246" s="23"/>
      <c r="SOL246" s="26"/>
      <c r="SOP246" s="23"/>
      <c r="SOU246" s="26"/>
      <c r="SOY246" s="23"/>
      <c r="SPD246" s="26"/>
      <c r="SPH246" s="23"/>
      <c r="SPM246" s="26"/>
      <c r="SPQ246" s="23"/>
      <c r="SPV246" s="26"/>
      <c r="SPZ246" s="23"/>
      <c r="SQE246" s="26"/>
      <c r="SQI246" s="23"/>
      <c r="SQN246" s="26"/>
      <c r="SQR246" s="23"/>
      <c r="SQW246" s="26"/>
      <c r="SRA246" s="23"/>
      <c r="SRF246" s="26"/>
      <c r="SRJ246" s="23"/>
      <c r="SRO246" s="26"/>
      <c r="SRS246" s="23"/>
      <c r="SRX246" s="26"/>
      <c r="SSB246" s="23"/>
      <c r="SSG246" s="26"/>
      <c r="SSK246" s="23"/>
      <c r="SSP246" s="26"/>
      <c r="SST246" s="23"/>
      <c r="SSY246" s="26"/>
      <c r="STC246" s="23"/>
      <c r="STH246" s="26"/>
      <c r="STL246" s="23"/>
      <c r="STQ246" s="26"/>
      <c r="STU246" s="23"/>
      <c r="STZ246" s="26"/>
      <c r="SUD246" s="23"/>
      <c r="SUI246" s="26"/>
      <c r="SUM246" s="23"/>
      <c r="SUR246" s="26"/>
      <c r="SUV246" s="23"/>
      <c r="SVA246" s="26"/>
      <c r="SVE246" s="23"/>
      <c r="SVJ246" s="26"/>
      <c r="SVN246" s="23"/>
      <c r="SVS246" s="26"/>
      <c r="SVW246" s="23"/>
      <c r="SWB246" s="26"/>
      <c r="SWF246" s="23"/>
      <c r="SWK246" s="26"/>
      <c r="SWO246" s="23"/>
      <c r="SWT246" s="26"/>
      <c r="SWX246" s="23"/>
      <c r="SXC246" s="26"/>
      <c r="SXG246" s="23"/>
      <c r="SXL246" s="26"/>
      <c r="SXP246" s="23"/>
      <c r="SXU246" s="26"/>
      <c r="SXY246" s="23"/>
      <c r="SYD246" s="26"/>
      <c r="SYH246" s="23"/>
      <c r="SYM246" s="26"/>
      <c r="SYQ246" s="23"/>
      <c r="SYV246" s="26"/>
      <c r="SYZ246" s="23"/>
      <c r="SZE246" s="26"/>
      <c r="SZI246" s="23"/>
      <c r="SZN246" s="26"/>
      <c r="SZR246" s="23"/>
      <c r="SZW246" s="26"/>
      <c r="TAA246" s="23"/>
      <c r="TAF246" s="26"/>
      <c r="TAJ246" s="23"/>
      <c r="TAO246" s="26"/>
      <c r="TAS246" s="23"/>
      <c r="TAX246" s="26"/>
      <c r="TBB246" s="23"/>
      <c r="TBG246" s="26"/>
      <c r="TBK246" s="23"/>
      <c r="TBP246" s="26"/>
      <c r="TBT246" s="23"/>
      <c r="TBY246" s="26"/>
      <c r="TCC246" s="23"/>
      <c r="TCH246" s="26"/>
      <c r="TCL246" s="23"/>
      <c r="TCQ246" s="26"/>
      <c r="TCU246" s="23"/>
      <c r="TCZ246" s="26"/>
      <c r="TDD246" s="23"/>
      <c r="TDI246" s="26"/>
      <c r="TDM246" s="23"/>
      <c r="TDR246" s="26"/>
      <c r="TDV246" s="23"/>
      <c r="TEA246" s="26"/>
      <c r="TEE246" s="23"/>
      <c r="TEJ246" s="26"/>
      <c r="TEN246" s="23"/>
      <c r="TES246" s="26"/>
      <c r="TEW246" s="23"/>
      <c r="TFB246" s="26"/>
      <c r="TFF246" s="23"/>
      <c r="TFK246" s="26"/>
      <c r="TFO246" s="23"/>
      <c r="TFT246" s="26"/>
      <c r="TFX246" s="23"/>
      <c r="TGC246" s="26"/>
      <c r="TGG246" s="23"/>
      <c r="TGL246" s="26"/>
      <c r="TGP246" s="23"/>
      <c r="TGU246" s="26"/>
      <c r="TGY246" s="23"/>
      <c r="THD246" s="26"/>
      <c r="THH246" s="23"/>
      <c r="THM246" s="26"/>
      <c r="THQ246" s="23"/>
      <c r="THV246" s="26"/>
      <c r="THZ246" s="23"/>
      <c r="TIE246" s="26"/>
      <c r="TII246" s="23"/>
      <c r="TIN246" s="26"/>
      <c r="TIR246" s="23"/>
      <c r="TIW246" s="26"/>
      <c r="TJA246" s="23"/>
      <c r="TJF246" s="26"/>
      <c r="TJJ246" s="23"/>
      <c r="TJO246" s="26"/>
      <c r="TJS246" s="23"/>
      <c r="TJX246" s="26"/>
      <c r="TKB246" s="23"/>
      <c r="TKG246" s="26"/>
      <c r="TKK246" s="23"/>
      <c r="TKP246" s="26"/>
      <c r="TKT246" s="23"/>
      <c r="TKY246" s="26"/>
      <c r="TLC246" s="23"/>
      <c r="TLH246" s="26"/>
      <c r="TLL246" s="23"/>
      <c r="TLQ246" s="26"/>
      <c r="TLU246" s="23"/>
      <c r="TLZ246" s="26"/>
      <c r="TMD246" s="23"/>
      <c r="TMI246" s="26"/>
      <c r="TMM246" s="23"/>
      <c r="TMR246" s="26"/>
      <c r="TMV246" s="23"/>
      <c r="TNA246" s="26"/>
      <c r="TNE246" s="23"/>
      <c r="TNJ246" s="26"/>
      <c r="TNN246" s="23"/>
      <c r="TNS246" s="26"/>
      <c r="TNW246" s="23"/>
      <c r="TOB246" s="26"/>
      <c r="TOF246" s="23"/>
      <c r="TOK246" s="26"/>
      <c r="TOO246" s="23"/>
      <c r="TOT246" s="26"/>
      <c r="TOX246" s="23"/>
      <c r="TPC246" s="26"/>
      <c r="TPG246" s="23"/>
      <c r="TPL246" s="26"/>
      <c r="TPP246" s="23"/>
      <c r="TPU246" s="26"/>
      <c r="TPY246" s="23"/>
      <c r="TQD246" s="26"/>
      <c r="TQH246" s="23"/>
      <c r="TQM246" s="26"/>
      <c r="TQQ246" s="23"/>
      <c r="TQV246" s="26"/>
      <c r="TQZ246" s="23"/>
      <c r="TRE246" s="26"/>
      <c r="TRI246" s="23"/>
      <c r="TRN246" s="26"/>
      <c r="TRR246" s="23"/>
      <c r="TRW246" s="26"/>
      <c r="TSA246" s="23"/>
      <c r="TSF246" s="26"/>
      <c r="TSJ246" s="23"/>
      <c r="TSO246" s="26"/>
      <c r="TSS246" s="23"/>
      <c r="TSX246" s="26"/>
      <c r="TTB246" s="23"/>
      <c r="TTG246" s="26"/>
      <c r="TTK246" s="23"/>
      <c r="TTP246" s="26"/>
      <c r="TTT246" s="23"/>
      <c r="TTY246" s="26"/>
      <c r="TUC246" s="23"/>
      <c r="TUH246" s="26"/>
      <c r="TUL246" s="23"/>
      <c r="TUQ246" s="26"/>
      <c r="TUU246" s="23"/>
      <c r="TUZ246" s="26"/>
      <c r="TVD246" s="23"/>
      <c r="TVI246" s="26"/>
      <c r="TVM246" s="23"/>
      <c r="TVR246" s="26"/>
      <c r="TVV246" s="23"/>
      <c r="TWA246" s="26"/>
      <c r="TWE246" s="23"/>
      <c r="TWJ246" s="26"/>
      <c r="TWN246" s="23"/>
      <c r="TWS246" s="26"/>
      <c r="TWW246" s="23"/>
      <c r="TXB246" s="26"/>
      <c r="TXF246" s="23"/>
      <c r="TXK246" s="26"/>
      <c r="TXO246" s="23"/>
      <c r="TXT246" s="26"/>
      <c r="TXX246" s="23"/>
      <c r="TYC246" s="26"/>
      <c r="TYG246" s="23"/>
      <c r="TYL246" s="26"/>
      <c r="TYP246" s="23"/>
      <c r="TYU246" s="26"/>
      <c r="TYY246" s="23"/>
      <c r="TZD246" s="26"/>
      <c r="TZH246" s="23"/>
      <c r="TZM246" s="26"/>
      <c r="TZQ246" s="23"/>
      <c r="TZV246" s="26"/>
      <c r="TZZ246" s="23"/>
      <c r="UAE246" s="26"/>
      <c r="UAI246" s="23"/>
      <c r="UAN246" s="26"/>
      <c r="UAR246" s="23"/>
      <c r="UAW246" s="26"/>
      <c r="UBA246" s="23"/>
      <c r="UBF246" s="26"/>
      <c r="UBJ246" s="23"/>
      <c r="UBO246" s="26"/>
      <c r="UBS246" s="23"/>
      <c r="UBX246" s="26"/>
      <c r="UCB246" s="23"/>
      <c r="UCG246" s="26"/>
      <c r="UCK246" s="23"/>
      <c r="UCP246" s="26"/>
      <c r="UCT246" s="23"/>
      <c r="UCY246" s="26"/>
      <c r="UDC246" s="23"/>
      <c r="UDH246" s="26"/>
      <c r="UDL246" s="23"/>
      <c r="UDQ246" s="26"/>
      <c r="UDU246" s="23"/>
      <c r="UDZ246" s="26"/>
      <c r="UED246" s="23"/>
      <c r="UEI246" s="26"/>
      <c r="UEM246" s="23"/>
      <c r="UER246" s="26"/>
      <c r="UEV246" s="23"/>
      <c r="UFA246" s="26"/>
      <c r="UFE246" s="23"/>
      <c r="UFJ246" s="26"/>
      <c r="UFN246" s="23"/>
      <c r="UFS246" s="26"/>
      <c r="UFW246" s="23"/>
      <c r="UGB246" s="26"/>
      <c r="UGF246" s="23"/>
      <c r="UGK246" s="26"/>
      <c r="UGO246" s="23"/>
      <c r="UGT246" s="26"/>
      <c r="UGX246" s="23"/>
      <c r="UHC246" s="26"/>
      <c r="UHG246" s="23"/>
      <c r="UHL246" s="26"/>
      <c r="UHP246" s="23"/>
      <c r="UHU246" s="26"/>
      <c r="UHY246" s="23"/>
      <c r="UID246" s="26"/>
      <c r="UIH246" s="23"/>
      <c r="UIM246" s="26"/>
      <c r="UIQ246" s="23"/>
      <c r="UIV246" s="26"/>
      <c r="UIZ246" s="23"/>
      <c r="UJE246" s="26"/>
      <c r="UJI246" s="23"/>
      <c r="UJN246" s="26"/>
      <c r="UJR246" s="23"/>
      <c r="UJW246" s="26"/>
      <c r="UKA246" s="23"/>
      <c r="UKF246" s="26"/>
      <c r="UKJ246" s="23"/>
      <c r="UKO246" s="26"/>
      <c r="UKS246" s="23"/>
      <c r="UKX246" s="26"/>
      <c r="ULB246" s="23"/>
      <c r="ULG246" s="26"/>
      <c r="ULK246" s="23"/>
      <c r="ULP246" s="26"/>
      <c r="ULT246" s="23"/>
      <c r="ULY246" s="26"/>
      <c r="UMC246" s="23"/>
      <c r="UMH246" s="26"/>
      <c r="UML246" s="23"/>
      <c r="UMQ246" s="26"/>
      <c r="UMU246" s="23"/>
      <c r="UMZ246" s="26"/>
      <c r="UND246" s="23"/>
      <c r="UNI246" s="26"/>
      <c r="UNM246" s="23"/>
      <c r="UNR246" s="26"/>
      <c r="UNV246" s="23"/>
      <c r="UOA246" s="26"/>
      <c r="UOE246" s="23"/>
      <c r="UOJ246" s="26"/>
      <c r="UON246" s="23"/>
      <c r="UOS246" s="26"/>
      <c r="UOW246" s="23"/>
      <c r="UPB246" s="26"/>
      <c r="UPF246" s="23"/>
      <c r="UPK246" s="26"/>
      <c r="UPO246" s="23"/>
      <c r="UPT246" s="26"/>
      <c r="UPX246" s="23"/>
      <c r="UQC246" s="26"/>
      <c r="UQG246" s="23"/>
      <c r="UQL246" s="26"/>
      <c r="UQP246" s="23"/>
      <c r="UQU246" s="26"/>
      <c r="UQY246" s="23"/>
      <c r="URD246" s="26"/>
      <c r="URH246" s="23"/>
      <c r="URM246" s="26"/>
      <c r="URQ246" s="23"/>
      <c r="URV246" s="26"/>
      <c r="URZ246" s="23"/>
      <c r="USE246" s="26"/>
      <c r="USI246" s="23"/>
      <c r="USN246" s="26"/>
      <c r="USR246" s="23"/>
      <c r="USW246" s="26"/>
      <c r="UTA246" s="23"/>
      <c r="UTF246" s="26"/>
      <c r="UTJ246" s="23"/>
      <c r="UTO246" s="26"/>
      <c r="UTS246" s="23"/>
      <c r="UTX246" s="26"/>
      <c r="UUB246" s="23"/>
      <c r="UUG246" s="26"/>
      <c r="UUK246" s="23"/>
      <c r="UUP246" s="26"/>
      <c r="UUT246" s="23"/>
      <c r="UUY246" s="26"/>
      <c r="UVC246" s="23"/>
      <c r="UVH246" s="26"/>
      <c r="UVL246" s="23"/>
      <c r="UVQ246" s="26"/>
      <c r="UVU246" s="23"/>
      <c r="UVZ246" s="26"/>
      <c r="UWD246" s="23"/>
      <c r="UWI246" s="26"/>
      <c r="UWM246" s="23"/>
      <c r="UWR246" s="26"/>
      <c r="UWV246" s="23"/>
      <c r="UXA246" s="26"/>
      <c r="UXE246" s="23"/>
      <c r="UXJ246" s="26"/>
      <c r="UXN246" s="23"/>
      <c r="UXS246" s="26"/>
      <c r="UXW246" s="23"/>
      <c r="UYB246" s="26"/>
      <c r="UYF246" s="23"/>
      <c r="UYK246" s="26"/>
      <c r="UYO246" s="23"/>
      <c r="UYT246" s="26"/>
      <c r="UYX246" s="23"/>
      <c r="UZC246" s="26"/>
      <c r="UZG246" s="23"/>
      <c r="UZL246" s="26"/>
      <c r="UZP246" s="23"/>
      <c r="UZU246" s="26"/>
      <c r="UZY246" s="23"/>
      <c r="VAD246" s="26"/>
      <c r="VAH246" s="23"/>
      <c r="VAM246" s="26"/>
      <c r="VAQ246" s="23"/>
      <c r="VAV246" s="26"/>
      <c r="VAZ246" s="23"/>
      <c r="VBE246" s="26"/>
      <c r="VBI246" s="23"/>
      <c r="VBN246" s="26"/>
      <c r="VBR246" s="23"/>
      <c r="VBW246" s="26"/>
      <c r="VCA246" s="23"/>
      <c r="VCF246" s="26"/>
      <c r="VCJ246" s="23"/>
      <c r="VCO246" s="26"/>
      <c r="VCS246" s="23"/>
      <c r="VCX246" s="26"/>
      <c r="VDB246" s="23"/>
      <c r="VDG246" s="26"/>
      <c r="VDK246" s="23"/>
      <c r="VDP246" s="26"/>
      <c r="VDT246" s="23"/>
      <c r="VDY246" s="26"/>
      <c r="VEC246" s="23"/>
      <c r="VEH246" s="26"/>
      <c r="VEL246" s="23"/>
      <c r="VEQ246" s="26"/>
      <c r="VEU246" s="23"/>
      <c r="VEZ246" s="26"/>
      <c r="VFD246" s="23"/>
      <c r="VFI246" s="26"/>
      <c r="VFM246" s="23"/>
      <c r="VFR246" s="26"/>
      <c r="VFV246" s="23"/>
      <c r="VGA246" s="26"/>
      <c r="VGE246" s="23"/>
      <c r="VGJ246" s="26"/>
      <c r="VGN246" s="23"/>
      <c r="VGS246" s="26"/>
      <c r="VGW246" s="23"/>
      <c r="VHB246" s="26"/>
      <c r="VHF246" s="23"/>
      <c r="VHK246" s="26"/>
      <c r="VHO246" s="23"/>
      <c r="VHT246" s="26"/>
      <c r="VHX246" s="23"/>
      <c r="VIC246" s="26"/>
      <c r="VIG246" s="23"/>
      <c r="VIL246" s="26"/>
      <c r="VIP246" s="23"/>
      <c r="VIU246" s="26"/>
      <c r="VIY246" s="23"/>
      <c r="VJD246" s="26"/>
      <c r="VJH246" s="23"/>
      <c r="VJM246" s="26"/>
      <c r="VJQ246" s="23"/>
      <c r="VJV246" s="26"/>
      <c r="VJZ246" s="23"/>
      <c r="VKE246" s="26"/>
      <c r="VKI246" s="23"/>
      <c r="VKN246" s="26"/>
      <c r="VKR246" s="23"/>
      <c r="VKW246" s="26"/>
      <c r="VLA246" s="23"/>
      <c r="VLF246" s="26"/>
      <c r="VLJ246" s="23"/>
      <c r="VLO246" s="26"/>
      <c r="VLS246" s="23"/>
      <c r="VLX246" s="26"/>
      <c r="VMB246" s="23"/>
      <c r="VMG246" s="26"/>
      <c r="VMK246" s="23"/>
      <c r="VMP246" s="26"/>
      <c r="VMT246" s="23"/>
      <c r="VMY246" s="26"/>
      <c r="VNC246" s="23"/>
      <c r="VNH246" s="26"/>
      <c r="VNL246" s="23"/>
      <c r="VNQ246" s="26"/>
      <c r="VNU246" s="23"/>
      <c r="VNZ246" s="26"/>
      <c r="VOD246" s="23"/>
      <c r="VOI246" s="26"/>
      <c r="VOM246" s="23"/>
      <c r="VOR246" s="26"/>
      <c r="VOV246" s="23"/>
      <c r="VPA246" s="26"/>
      <c r="VPE246" s="23"/>
      <c r="VPJ246" s="26"/>
      <c r="VPN246" s="23"/>
      <c r="VPS246" s="26"/>
      <c r="VPW246" s="23"/>
      <c r="VQB246" s="26"/>
      <c r="VQF246" s="23"/>
      <c r="VQK246" s="26"/>
      <c r="VQO246" s="23"/>
      <c r="VQT246" s="26"/>
      <c r="VQX246" s="23"/>
      <c r="VRC246" s="26"/>
      <c r="VRG246" s="23"/>
      <c r="VRL246" s="26"/>
      <c r="VRP246" s="23"/>
      <c r="VRU246" s="26"/>
      <c r="VRY246" s="23"/>
      <c r="VSD246" s="26"/>
      <c r="VSH246" s="23"/>
      <c r="VSM246" s="26"/>
      <c r="VSQ246" s="23"/>
      <c r="VSV246" s="26"/>
      <c r="VSZ246" s="23"/>
      <c r="VTE246" s="26"/>
      <c r="VTI246" s="23"/>
      <c r="VTN246" s="26"/>
      <c r="VTR246" s="23"/>
      <c r="VTW246" s="26"/>
      <c r="VUA246" s="23"/>
      <c r="VUF246" s="26"/>
      <c r="VUJ246" s="23"/>
      <c r="VUO246" s="26"/>
      <c r="VUS246" s="23"/>
      <c r="VUX246" s="26"/>
      <c r="VVB246" s="23"/>
      <c r="VVG246" s="26"/>
      <c r="VVK246" s="23"/>
      <c r="VVP246" s="26"/>
      <c r="VVT246" s="23"/>
      <c r="VVY246" s="26"/>
      <c r="VWC246" s="23"/>
      <c r="VWH246" s="26"/>
      <c r="VWL246" s="23"/>
      <c r="VWQ246" s="26"/>
      <c r="VWU246" s="23"/>
      <c r="VWZ246" s="26"/>
      <c r="VXD246" s="23"/>
      <c r="VXI246" s="26"/>
      <c r="VXM246" s="23"/>
      <c r="VXR246" s="26"/>
      <c r="VXV246" s="23"/>
      <c r="VYA246" s="26"/>
      <c r="VYE246" s="23"/>
      <c r="VYJ246" s="26"/>
      <c r="VYN246" s="23"/>
      <c r="VYS246" s="26"/>
      <c r="VYW246" s="23"/>
      <c r="VZB246" s="26"/>
      <c r="VZF246" s="23"/>
      <c r="VZK246" s="26"/>
      <c r="VZO246" s="23"/>
      <c r="VZT246" s="26"/>
      <c r="VZX246" s="23"/>
      <c r="WAC246" s="26"/>
      <c r="WAG246" s="23"/>
      <c r="WAL246" s="26"/>
      <c r="WAP246" s="23"/>
      <c r="WAU246" s="26"/>
      <c r="WAY246" s="23"/>
      <c r="WBD246" s="26"/>
      <c r="WBH246" s="23"/>
      <c r="WBM246" s="26"/>
      <c r="WBQ246" s="23"/>
      <c r="WBV246" s="26"/>
      <c r="WBZ246" s="23"/>
      <c r="WCE246" s="26"/>
      <c r="WCI246" s="23"/>
      <c r="WCN246" s="26"/>
      <c r="WCR246" s="23"/>
      <c r="WCW246" s="26"/>
      <c r="WDA246" s="23"/>
      <c r="WDF246" s="26"/>
      <c r="WDJ246" s="23"/>
      <c r="WDO246" s="26"/>
      <c r="WDS246" s="23"/>
      <c r="WDX246" s="26"/>
      <c r="WEB246" s="23"/>
      <c r="WEG246" s="26"/>
      <c r="WEK246" s="23"/>
      <c r="WEP246" s="26"/>
      <c r="WET246" s="23"/>
      <c r="WEY246" s="26"/>
      <c r="WFC246" s="23"/>
      <c r="WFH246" s="26"/>
      <c r="WFL246" s="23"/>
      <c r="WFQ246" s="26"/>
      <c r="WFU246" s="23"/>
      <c r="WFZ246" s="26"/>
      <c r="WGD246" s="23"/>
      <c r="WGI246" s="26"/>
      <c r="WGM246" s="23"/>
      <c r="WGR246" s="26"/>
      <c r="WGV246" s="23"/>
      <c r="WHA246" s="26"/>
      <c r="WHE246" s="23"/>
      <c r="WHJ246" s="26"/>
      <c r="WHN246" s="23"/>
      <c r="WHS246" s="26"/>
      <c r="WHW246" s="23"/>
      <c r="WIB246" s="26"/>
      <c r="WIF246" s="23"/>
      <c r="WIK246" s="26"/>
      <c r="WIO246" s="23"/>
      <c r="WIT246" s="26"/>
      <c r="WIX246" s="23"/>
      <c r="WJC246" s="26"/>
      <c r="WJG246" s="23"/>
      <c r="WJL246" s="26"/>
      <c r="WJP246" s="23"/>
      <c r="WJU246" s="26"/>
      <c r="WJY246" s="23"/>
      <c r="WKD246" s="26"/>
      <c r="WKH246" s="23"/>
      <c r="WKM246" s="26"/>
      <c r="WKQ246" s="23"/>
      <c r="WKV246" s="26"/>
      <c r="WKZ246" s="23"/>
      <c r="WLE246" s="26"/>
      <c r="WLI246" s="23"/>
      <c r="WLN246" s="26"/>
      <c r="WLR246" s="23"/>
      <c r="WLW246" s="26"/>
      <c r="WMA246" s="23"/>
      <c r="WMF246" s="26"/>
      <c r="WMJ246" s="23"/>
      <c r="WMO246" s="26"/>
      <c r="WMS246" s="23"/>
      <c r="WMX246" s="26"/>
      <c r="WNB246" s="23"/>
      <c r="WNG246" s="26"/>
      <c r="WNK246" s="23"/>
      <c r="WNP246" s="26"/>
      <c r="WNT246" s="23"/>
      <c r="WNY246" s="26"/>
      <c r="WOC246" s="23"/>
      <c r="WOH246" s="26"/>
      <c r="WOL246" s="23"/>
      <c r="WOQ246" s="26"/>
      <c r="WOU246" s="23"/>
      <c r="WOZ246" s="26"/>
      <c r="WPD246" s="23"/>
      <c r="WPI246" s="26"/>
      <c r="WPM246" s="23"/>
      <c r="WPR246" s="26"/>
      <c r="WPV246" s="23"/>
      <c r="WQA246" s="26"/>
      <c r="WQE246" s="23"/>
      <c r="WQJ246" s="26"/>
      <c r="WQN246" s="23"/>
      <c r="WQS246" s="26"/>
      <c r="WQW246" s="23"/>
      <c r="WRB246" s="26"/>
      <c r="WRF246" s="23"/>
      <c r="WRK246" s="26"/>
      <c r="WRO246" s="23"/>
      <c r="WRT246" s="26"/>
      <c r="WRX246" s="23"/>
      <c r="WSC246" s="26"/>
      <c r="WSG246" s="23"/>
      <c r="WSL246" s="26"/>
      <c r="WSP246" s="23"/>
      <c r="WSU246" s="26"/>
      <c r="WSY246" s="23"/>
      <c r="WTD246" s="26"/>
      <c r="WTH246" s="23"/>
      <c r="WTM246" s="26"/>
      <c r="WTQ246" s="23"/>
      <c r="WTV246" s="26"/>
      <c r="WTZ246" s="23"/>
      <c r="WUE246" s="26"/>
      <c r="WUI246" s="23"/>
      <c r="WUN246" s="26"/>
      <c r="WUR246" s="23"/>
      <c r="WUW246" s="26"/>
      <c r="WVA246" s="23"/>
      <c r="WVF246" s="26"/>
      <c r="WVJ246" s="23"/>
      <c r="WVO246" s="26"/>
      <c r="WVS246" s="23"/>
      <c r="WVX246" s="26"/>
      <c r="WWB246" s="23"/>
      <c r="WWG246" s="26"/>
      <c r="WWK246" s="23"/>
      <c r="WWP246" s="26"/>
      <c r="WWT246" s="23"/>
      <c r="WWY246" s="26"/>
      <c r="WXC246" s="23"/>
      <c r="WXH246" s="26"/>
      <c r="WXL246" s="23"/>
      <c r="WXQ246" s="26"/>
      <c r="WXU246" s="23"/>
      <c r="WXZ246" s="26"/>
      <c r="WYD246" s="23"/>
      <c r="WYI246" s="26"/>
      <c r="WYM246" s="23"/>
      <c r="WYR246" s="26"/>
      <c r="WYV246" s="23"/>
      <c r="WZA246" s="26"/>
      <c r="WZE246" s="23"/>
      <c r="WZJ246" s="26"/>
      <c r="WZN246" s="23"/>
      <c r="WZS246" s="26"/>
      <c r="WZW246" s="23"/>
      <c r="XAB246" s="26"/>
      <c r="XAF246" s="23"/>
      <c r="XAK246" s="26"/>
      <c r="XAO246" s="23"/>
      <c r="XAT246" s="26"/>
      <c r="XAX246" s="23"/>
      <c r="XBC246" s="26"/>
      <c r="XBG246" s="23"/>
      <c r="XBL246" s="26"/>
      <c r="XBP246" s="23"/>
      <c r="XBU246" s="26"/>
      <c r="XBY246" s="23"/>
      <c r="XCD246" s="26"/>
      <c r="XCH246" s="23"/>
      <c r="XCM246" s="26"/>
      <c r="XCQ246" s="23"/>
      <c r="XCV246" s="26"/>
      <c r="XCZ246" s="23"/>
      <c r="XDE246" s="26"/>
      <c r="XDI246" s="23"/>
      <c r="XDN246" s="26"/>
      <c r="XDR246" s="23"/>
      <c r="XDW246" s="26"/>
      <c r="XEA246" s="23"/>
      <c r="XEF246" s="26"/>
      <c r="XEJ246" s="23"/>
      <c r="XEO246" s="26"/>
      <c r="XES246" s="23"/>
      <c r="XEX246" s="26"/>
      <c r="XFB246" s="23"/>
    </row>
    <row r="247" spans="2:1024 1028:2045 2050:3071 3076:4093 4097:5119 5123:6140 6145:7166 7171:8192 8197:9214 9218:10240 10244:11261 11266:12287 12292:13309 13313:14335 14339:15356 15361:16382" x14ac:dyDescent="0.3">
      <c r="B247" s="23"/>
      <c r="K247" s="23"/>
      <c r="P247" s="26"/>
      <c r="T247" s="23"/>
      <c r="Y247" s="26"/>
      <c r="AC247" s="23"/>
      <c r="AH247" s="26"/>
      <c r="AL247" s="23"/>
      <c r="AQ247" s="26"/>
      <c r="AU247" s="23"/>
      <c r="AZ247" s="26"/>
      <c r="BD247" s="23"/>
      <c r="BI247" s="26"/>
      <c r="BM247" s="23"/>
      <c r="BR247" s="26"/>
      <c r="BV247" s="23"/>
      <c r="CA247" s="26"/>
      <c r="CE247" s="23"/>
      <c r="CJ247" s="26"/>
      <c r="CN247" s="23"/>
      <c r="CS247" s="26"/>
      <c r="CW247" s="23"/>
      <c r="DB247" s="26"/>
      <c r="DF247" s="23"/>
      <c r="DK247" s="26"/>
      <c r="DO247" s="23"/>
      <c r="DT247" s="26"/>
      <c r="DX247" s="23"/>
      <c r="EC247" s="26"/>
      <c r="EG247" s="23"/>
      <c r="EL247" s="26"/>
      <c r="EP247" s="23"/>
      <c r="EU247" s="26"/>
      <c r="EY247" s="23"/>
      <c r="FD247" s="26"/>
      <c r="FH247" s="23"/>
      <c r="FM247" s="26"/>
      <c r="FQ247" s="23"/>
      <c r="FV247" s="26"/>
      <c r="FZ247" s="23"/>
      <c r="GE247" s="26"/>
      <c r="GI247" s="23"/>
      <c r="GN247" s="26"/>
      <c r="GR247" s="23"/>
      <c r="GW247" s="26"/>
      <c r="HA247" s="23"/>
      <c r="HF247" s="26"/>
      <c r="HJ247" s="23"/>
      <c r="HO247" s="26"/>
      <c r="HS247" s="23"/>
      <c r="HX247" s="26"/>
      <c r="IB247" s="23"/>
      <c r="IG247" s="26"/>
      <c r="IK247" s="23"/>
      <c r="IP247" s="26"/>
      <c r="IT247" s="23"/>
      <c r="IY247" s="26"/>
      <c r="JC247" s="23"/>
      <c r="JH247" s="26"/>
      <c r="JL247" s="23"/>
      <c r="JQ247" s="26"/>
      <c r="JU247" s="23"/>
      <c r="JZ247" s="26"/>
      <c r="KD247" s="23"/>
      <c r="KI247" s="26"/>
      <c r="KM247" s="23"/>
      <c r="KR247" s="26"/>
      <c r="KV247" s="23"/>
      <c r="LA247" s="26"/>
      <c r="LE247" s="23"/>
      <c r="LJ247" s="26"/>
      <c r="LN247" s="23"/>
      <c r="LS247" s="26"/>
      <c r="LW247" s="23"/>
      <c r="MB247" s="26"/>
      <c r="MF247" s="23"/>
      <c r="MK247" s="26"/>
      <c r="MO247" s="23"/>
      <c r="MT247" s="26"/>
      <c r="MX247" s="23"/>
      <c r="NC247" s="26"/>
      <c r="NG247" s="23"/>
      <c r="NL247" s="26"/>
      <c r="NP247" s="23"/>
      <c r="NU247" s="26"/>
      <c r="NY247" s="23"/>
      <c r="OD247" s="26"/>
      <c r="OH247" s="23"/>
      <c r="OM247" s="26"/>
      <c r="OQ247" s="23"/>
      <c r="OV247" s="26"/>
      <c r="OZ247" s="23"/>
      <c r="PE247" s="26"/>
      <c r="PI247" s="23"/>
      <c r="PN247" s="26"/>
      <c r="PR247" s="23"/>
      <c r="PW247" s="26"/>
      <c r="QA247" s="23"/>
      <c r="QF247" s="26"/>
      <c r="QJ247" s="23"/>
      <c r="QO247" s="26"/>
      <c r="QS247" s="23"/>
      <c r="QX247" s="26"/>
      <c r="RB247" s="23"/>
      <c r="RG247" s="26"/>
      <c r="RK247" s="23"/>
      <c r="RP247" s="26"/>
      <c r="RT247" s="23"/>
      <c r="RY247" s="26"/>
      <c r="SC247" s="23"/>
      <c r="SH247" s="26"/>
      <c r="SL247" s="23"/>
      <c r="SQ247" s="26"/>
      <c r="SU247" s="23"/>
      <c r="SZ247" s="26"/>
      <c r="TD247" s="23"/>
      <c r="TI247" s="26"/>
      <c r="TM247" s="23"/>
      <c r="TR247" s="26"/>
      <c r="TV247" s="23"/>
      <c r="UA247" s="26"/>
      <c r="UE247" s="23"/>
      <c r="UJ247" s="26"/>
      <c r="UN247" s="23"/>
      <c r="US247" s="26"/>
      <c r="UW247" s="23"/>
      <c r="VB247" s="26"/>
      <c r="VF247" s="23"/>
      <c r="VK247" s="26"/>
      <c r="VO247" s="23"/>
      <c r="VT247" s="26"/>
      <c r="VX247" s="23"/>
      <c r="WC247" s="26"/>
      <c r="WG247" s="23"/>
      <c r="WL247" s="26"/>
      <c r="WP247" s="23"/>
      <c r="WU247" s="26"/>
      <c r="WY247" s="23"/>
      <c r="XD247" s="26"/>
      <c r="XH247" s="23"/>
      <c r="XM247" s="26"/>
      <c r="XQ247" s="23"/>
      <c r="XV247" s="26"/>
      <c r="XZ247" s="23"/>
      <c r="YE247" s="26"/>
      <c r="YI247" s="23"/>
      <c r="YN247" s="26"/>
      <c r="YR247" s="23"/>
      <c r="YW247" s="26"/>
      <c r="ZA247" s="23"/>
      <c r="ZF247" s="26"/>
      <c r="ZJ247" s="23"/>
      <c r="ZO247" s="26"/>
      <c r="ZS247" s="23"/>
      <c r="ZX247" s="26"/>
      <c r="AAB247" s="23"/>
      <c r="AAG247" s="26"/>
      <c r="AAK247" s="23"/>
      <c r="AAP247" s="26"/>
      <c r="AAT247" s="23"/>
      <c r="AAY247" s="26"/>
      <c r="ABC247" s="23"/>
      <c r="ABH247" s="26"/>
      <c r="ABL247" s="23"/>
      <c r="ABQ247" s="26"/>
      <c r="ABU247" s="23"/>
      <c r="ABZ247" s="26"/>
      <c r="ACD247" s="23"/>
      <c r="ACI247" s="26"/>
      <c r="ACM247" s="23"/>
      <c r="ACR247" s="26"/>
      <c r="ACV247" s="23"/>
      <c r="ADA247" s="26"/>
      <c r="ADE247" s="23"/>
      <c r="ADJ247" s="26"/>
      <c r="ADN247" s="23"/>
      <c r="ADS247" s="26"/>
      <c r="ADW247" s="23"/>
      <c r="AEB247" s="26"/>
      <c r="AEF247" s="23"/>
      <c r="AEK247" s="26"/>
      <c r="AEO247" s="23"/>
      <c r="AET247" s="26"/>
      <c r="AEX247" s="23"/>
      <c r="AFC247" s="26"/>
      <c r="AFG247" s="23"/>
      <c r="AFL247" s="26"/>
      <c r="AFP247" s="23"/>
      <c r="AFU247" s="26"/>
      <c r="AFY247" s="23"/>
      <c r="AGD247" s="26"/>
      <c r="AGH247" s="23"/>
      <c r="AGM247" s="26"/>
      <c r="AGQ247" s="23"/>
      <c r="AGV247" s="26"/>
      <c r="AGZ247" s="23"/>
      <c r="AHE247" s="26"/>
      <c r="AHI247" s="23"/>
      <c r="AHN247" s="26"/>
      <c r="AHR247" s="23"/>
      <c r="AHW247" s="26"/>
      <c r="AIA247" s="23"/>
      <c r="AIF247" s="26"/>
      <c r="AIJ247" s="23"/>
      <c r="AIO247" s="26"/>
      <c r="AIS247" s="23"/>
      <c r="AIX247" s="26"/>
      <c r="AJB247" s="23"/>
      <c r="AJG247" s="26"/>
      <c r="AJK247" s="23"/>
      <c r="AJP247" s="26"/>
      <c r="AJT247" s="23"/>
      <c r="AJY247" s="26"/>
      <c r="AKC247" s="23"/>
      <c r="AKH247" s="26"/>
      <c r="AKL247" s="23"/>
      <c r="AKQ247" s="26"/>
      <c r="AKU247" s="23"/>
      <c r="AKZ247" s="26"/>
      <c r="ALD247" s="23"/>
      <c r="ALI247" s="26"/>
      <c r="ALM247" s="23"/>
      <c r="ALR247" s="26"/>
      <c r="ALV247" s="23"/>
      <c r="AMA247" s="26"/>
      <c r="AME247" s="23"/>
      <c r="AMJ247" s="26"/>
      <c r="AMN247" s="23"/>
      <c r="AMS247" s="26"/>
      <c r="AMW247" s="23"/>
      <c r="ANB247" s="26"/>
      <c r="ANF247" s="23"/>
      <c r="ANK247" s="26"/>
      <c r="ANO247" s="23"/>
      <c r="ANT247" s="26"/>
      <c r="ANX247" s="23"/>
      <c r="AOC247" s="26"/>
      <c r="AOG247" s="23"/>
      <c r="AOL247" s="26"/>
      <c r="AOP247" s="23"/>
      <c r="AOU247" s="26"/>
      <c r="AOY247" s="23"/>
      <c r="APD247" s="26"/>
      <c r="APH247" s="23"/>
      <c r="APM247" s="26"/>
      <c r="APQ247" s="23"/>
      <c r="APV247" s="26"/>
      <c r="APZ247" s="23"/>
      <c r="AQE247" s="26"/>
      <c r="AQI247" s="23"/>
      <c r="AQN247" s="26"/>
      <c r="AQR247" s="23"/>
      <c r="AQW247" s="26"/>
      <c r="ARA247" s="23"/>
      <c r="ARF247" s="26"/>
      <c r="ARJ247" s="23"/>
      <c r="ARO247" s="26"/>
      <c r="ARS247" s="23"/>
      <c r="ARX247" s="26"/>
      <c r="ASB247" s="23"/>
      <c r="ASG247" s="26"/>
      <c r="ASK247" s="23"/>
      <c r="ASP247" s="26"/>
      <c r="AST247" s="23"/>
      <c r="ASY247" s="26"/>
      <c r="ATC247" s="23"/>
      <c r="ATH247" s="26"/>
      <c r="ATL247" s="23"/>
      <c r="ATQ247" s="26"/>
      <c r="ATU247" s="23"/>
      <c r="ATZ247" s="26"/>
      <c r="AUD247" s="23"/>
      <c r="AUI247" s="26"/>
      <c r="AUM247" s="23"/>
      <c r="AUR247" s="26"/>
      <c r="AUV247" s="23"/>
      <c r="AVA247" s="26"/>
      <c r="AVE247" s="23"/>
      <c r="AVJ247" s="26"/>
      <c r="AVN247" s="23"/>
      <c r="AVS247" s="26"/>
      <c r="AVW247" s="23"/>
      <c r="AWB247" s="26"/>
      <c r="AWF247" s="23"/>
      <c r="AWK247" s="26"/>
      <c r="AWO247" s="23"/>
      <c r="AWT247" s="26"/>
      <c r="AWX247" s="23"/>
      <c r="AXC247" s="26"/>
      <c r="AXG247" s="23"/>
      <c r="AXL247" s="26"/>
      <c r="AXP247" s="23"/>
      <c r="AXU247" s="26"/>
      <c r="AXY247" s="23"/>
      <c r="AYD247" s="26"/>
      <c r="AYH247" s="23"/>
      <c r="AYM247" s="26"/>
      <c r="AYQ247" s="23"/>
      <c r="AYV247" s="26"/>
      <c r="AYZ247" s="23"/>
      <c r="AZE247" s="26"/>
      <c r="AZI247" s="23"/>
      <c r="AZN247" s="26"/>
      <c r="AZR247" s="23"/>
      <c r="AZW247" s="26"/>
      <c r="BAA247" s="23"/>
      <c r="BAF247" s="26"/>
      <c r="BAJ247" s="23"/>
      <c r="BAO247" s="26"/>
      <c r="BAS247" s="23"/>
      <c r="BAX247" s="26"/>
      <c r="BBB247" s="23"/>
      <c r="BBG247" s="26"/>
      <c r="BBK247" s="23"/>
      <c r="BBP247" s="26"/>
      <c r="BBT247" s="23"/>
      <c r="BBY247" s="26"/>
      <c r="BCC247" s="23"/>
      <c r="BCH247" s="26"/>
      <c r="BCL247" s="23"/>
      <c r="BCQ247" s="26"/>
      <c r="BCU247" s="23"/>
      <c r="BCZ247" s="26"/>
      <c r="BDD247" s="23"/>
      <c r="BDI247" s="26"/>
      <c r="BDM247" s="23"/>
      <c r="BDR247" s="26"/>
      <c r="BDV247" s="23"/>
      <c r="BEA247" s="26"/>
      <c r="BEE247" s="23"/>
      <c r="BEJ247" s="26"/>
      <c r="BEN247" s="23"/>
      <c r="BES247" s="26"/>
      <c r="BEW247" s="23"/>
      <c r="BFB247" s="26"/>
      <c r="BFF247" s="23"/>
      <c r="BFK247" s="26"/>
      <c r="BFO247" s="23"/>
      <c r="BFT247" s="26"/>
      <c r="BFX247" s="23"/>
      <c r="BGC247" s="26"/>
      <c r="BGG247" s="23"/>
      <c r="BGL247" s="26"/>
      <c r="BGP247" s="23"/>
      <c r="BGU247" s="26"/>
      <c r="BGY247" s="23"/>
      <c r="BHD247" s="26"/>
      <c r="BHH247" s="23"/>
      <c r="BHM247" s="26"/>
      <c r="BHQ247" s="23"/>
      <c r="BHV247" s="26"/>
      <c r="BHZ247" s="23"/>
      <c r="BIE247" s="26"/>
      <c r="BII247" s="23"/>
      <c r="BIN247" s="26"/>
      <c r="BIR247" s="23"/>
      <c r="BIW247" s="26"/>
      <c r="BJA247" s="23"/>
      <c r="BJF247" s="26"/>
      <c r="BJJ247" s="23"/>
      <c r="BJO247" s="26"/>
      <c r="BJS247" s="23"/>
      <c r="BJX247" s="26"/>
      <c r="BKB247" s="23"/>
      <c r="BKG247" s="26"/>
      <c r="BKK247" s="23"/>
      <c r="BKP247" s="26"/>
      <c r="BKT247" s="23"/>
      <c r="BKY247" s="26"/>
      <c r="BLC247" s="23"/>
      <c r="BLH247" s="26"/>
      <c r="BLL247" s="23"/>
      <c r="BLQ247" s="26"/>
      <c r="BLU247" s="23"/>
      <c r="BLZ247" s="26"/>
      <c r="BMD247" s="23"/>
      <c r="BMI247" s="26"/>
      <c r="BMM247" s="23"/>
      <c r="BMR247" s="26"/>
      <c r="BMV247" s="23"/>
      <c r="BNA247" s="26"/>
      <c r="BNE247" s="23"/>
      <c r="BNJ247" s="26"/>
      <c r="BNN247" s="23"/>
      <c r="BNS247" s="26"/>
      <c r="BNW247" s="23"/>
      <c r="BOB247" s="26"/>
      <c r="BOF247" s="23"/>
      <c r="BOK247" s="26"/>
      <c r="BOO247" s="23"/>
      <c r="BOT247" s="26"/>
      <c r="BOX247" s="23"/>
      <c r="BPC247" s="26"/>
      <c r="BPG247" s="23"/>
      <c r="BPL247" s="26"/>
      <c r="BPP247" s="23"/>
      <c r="BPU247" s="26"/>
      <c r="BPY247" s="23"/>
      <c r="BQD247" s="26"/>
      <c r="BQH247" s="23"/>
      <c r="BQM247" s="26"/>
      <c r="BQQ247" s="23"/>
      <c r="BQV247" s="26"/>
      <c r="BQZ247" s="23"/>
      <c r="BRE247" s="26"/>
      <c r="BRI247" s="23"/>
      <c r="BRN247" s="26"/>
      <c r="BRR247" s="23"/>
      <c r="BRW247" s="26"/>
      <c r="BSA247" s="23"/>
      <c r="BSF247" s="26"/>
      <c r="BSJ247" s="23"/>
      <c r="BSO247" s="26"/>
      <c r="BSS247" s="23"/>
      <c r="BSX247" s="26"/>
      <c r="BTB247" s="23"/>
      <c r="BTG247" s="26"/>
      <c r="BTK247" s="23"/>
      <c r="BTP247" s="26"/>
      <c r="BTT247" s="23"/>
      <c r="BTY247" s="26"/>
      <c r="BUC247" s="23"/>
      <c r="BUH247" s="26"/>
      <c r="BUL247" s="23"/>
      <c r="BUQ247" s="26"/>
      <c r="BUU247" s="23"/>
      <c r="BUZ247" s="26"/>
      <c r="BVD247" s="23"/>
      <c r="BVI247" s="26"/>
      <c r="BVM247" s="23"/>
      <c r="BVR247" s="26"/>
      <c r="BVV247" s="23"/>
      <c r="BWA247" s="26"/>
      <c r="BWE247" s="23"/>
      <c r="BWJ247" s="26"/>
      <c r="BWN247" s="23"/>
      <c r="BWS247" s="26"/>
      <c r="BWW247" s="23"/>
      <c r="BXB247" s="26"/>
      <c r="BXF247" s="23"/>
      <c r="BXK247" s="26"/>
      <c r="BXO247" s="23"/>
      <c r="BXT247" s="26"/>
      <c r="BXX247" s="23"/>
      <c r="BYC247" s="26"/>
      <c r="BYG247" s="23"/>
      <c r="BYL247" s="26"/>
      <c r="BYP247" s="23"/>
      <c r="BYU247" s="26"/>
      <c r="BYY247" s="23"/>
      <c r="BZD247" s="26"/>
      <c r="BZH247" s="23"/>
      <c r="BZM247" s="26"/>
      <c r="BZQ247" s="23"/>
      <c r="BZV247" s="26"/>
      <c r="BZZ247" s="23"/>
      <c r="CAE247" s="26"/>
      <c r="CAI247" s="23"/>
      <c r="CAN247" s="26"/>
      <c r="CAR247" s="23"/>
      <c r="CAW247" s="26"/>
      <c r="CBA247" s="23"/>
      <c r="CBF247" s="26"/>
      <c r="CBJ247" s="23"/>
      <c r="CBO247" s="26"/>
      <c r="CBS247" s="23"/>
      <c r="CBX247" s="26"/>
      <c r="CCB247" s="23"/>
      <c r="CCG247" s="26"/>
      <c r="CCK247" s="23"/>
      <c r="CCP247" s="26"/>
      <c r="CCT247" s="23"/>
      <c r="CCY247" s="26"/>
      <c r="CDC247" s="23"/>
      <c r="CDH247" s="26"/>
      <c r="CDL247" s="23"/>
      <c r="CDQ247" s="26"/>
      <c r="CDU247" s="23"/>
      <c r="CDZ247" s="26"/>
      <c r="CED247" s="23"/>
      <c r="CEI247" s="26"/>
      <c r="CEM247" s="23"/>
      <c r="CER247" s="26"/>
      <c r="CEV247" s="23"/>
      <c r="CFA247" s="26"/>
      <c r="CFE247" s="23"/>
      <c r="CFJ247" s="26"/>
      <c r="CFN247" s="23"/>
      <c r="CFS247" s="26"/>
      <c r="CFW247" s="23"/>
      <c r="CGB247" s="26"/>
      <c r="CGF247" s="23"/>
      <c r="CGK247" s="26"/>
      <c r="CGO247" s="23"/>
      <c r="CGT247" s="26"/>
      <c r="CGX247" s="23"/>
      <c r="CHC247" s="26"/>
      <c r="CHG247" s="23"/>
      <c r="CHL247" s="26"/>
      <c r="CHP247" s="23"/>
      <c r="CHU247" s="26"/>
      <c r="CHY247" s="23"/>
      <c r="CID247" s="26"/>
      <c r="CIH247" s="23"/>
      <c r="CIM247" s="26"/>
      <c r="CIQ247" s="23"/>
      <c r="CIV247" s="26"/>
      <c r="CIZ247" s="23"/>
      <c r="CJE247" s="26"/>
      <c r="CJI247" s="23"/>
      <c r="CJN247" s="26"/>
      <c r="CJR247" s="23"/>
      <c r="CJW247" s="26"/>
      <c r="CKA247" s="23"/>
      <c r="CKF247" s="26"/>
      <c r="CKJ247" s="23"/>
      <c r="CKO247" s="26"/>
      <c r="CKS247" s="23"/>
      <c r="CKX247" s="26"/>
      <c r="CLB247" s="23"/>
      <c r="CLG247" s="26"/>
      <c r="CLK247" s="23"/>
      <c r="CLP247" s="26"/>
      <c r="CLT247" s="23"/>
      <c r="CLY247" s="26"/>
      <c r="CMC247" s="23"/>
      <c r="CMH247" s="26"/>
      <c r="CML247" s="23"/>
      <c r="CMQ247" s="26"/>
      <c r="CMU247" s="23"/>
      <c r="CMZ247" s="26"/>
      <c r="CND247" s="23"/>
      <c r="CNI247" s="26"/>
      <c r="CNM247" s="23"/>
      <c r="CNR247" s="26"/>
      <c r="CNV247" s="23"/>
      <c r="COA247" s="26"/>
      <c r="COE247" s="23"/>
      <c r="COJ247" s="26"/>
      <c r="CON247" s="23"/>
      <c r="COS247" s="26"/>
      <c r="COW247" s="23"/>
      <c r="CPB247" s="26"/>
      <c r="CPF247" s="23"/>
      <c r="CPK247" s="26"/>
      <c r="CPO247" s="23"/>
      <c r="CPT247" s="26"/>
      <c r="CPX247" s="23"/>
      <c r="CQC247" s="26"/>
      <c r="CQG247" s="23"/>
      <c r="CQL247" s="26"/>
      <c r="CQP247" s="23"/>
      <c r="CQU247" s="26"/>
      <c r="CQY247" s="23"/>
      <c r="CRD247" s="26"/>
      <c r="CRH247" s="23"/>
      <c r="CRM247" s="26"/>
      <c r="CRQ247" s="23"/>
      <c r="CRV247" s="26"/>
      <c r="CRZ247" s="23"/>
      <c r="CSE247" s="26"/>
      <c r="CSI247" s="23"/>
      <c r="CSN247" s="26"/>
      <c r="CSR247" s="23"/>
      <c r="CSW247" s="26"/>
      <c r="CTA247" s="23"/>
      <c r="CTF247" s="26"/>
      <c r="CTJ247" s="23"/>
      <c r="CTO247" s="26"/>
      <c r="CTS247" s="23"/>
      <c r="CTX247" s="26"/>
      <c r="CUB247" s="23"/>
      <c r="CUG247" s="26"/>
      <c r="CUK247" s="23"/>
      <c r="CUP247" s="26"/>
      <c r="CUT247" s="23"/>
      <c r="CUY247" s="26"/>
      <c r="CVC247" s="23"/>
      <c r="CVH247" s="26"/>
      <c r="CVL247" s="23"/>
      <c r="CVQ247" s="26"/>
      <c r="CVU247" s="23"/>
      <c r="CVZ247" s="26"/>
      <c r="CWD247" s="23"/>
      <c r="CWI247" s="26"/>
      <c r="CWM247" s="23"/>
      <c r="CWR247" s="26"/>
      <c r="CWV247" s="23"/>
      <c r="CXA247" s="26"/>
      <c r="CXE247" s="23"/>
      <c r="CXJ247" s="26"/>
      <c r="CXN247" s="23"/>
      <c r="CXS247" s="26"/>
      <c r="CXW247" s="23"/>
      <c r="CYB247" s="26"/>
      <c r="CYF247" s="23"/>
      <c r="CYK247" s="26"/>
      <c r="CYO247" s="23"/>
      <c r="CYT247" s="26"/>
      <c r="CYX247" s="23"/>
      <c r="CZC247" s="26"/>
      <c r="CZG247" s="23"/>
      <c r="CZL247" s="26"/>
      <c r="CZP247" s="23"/>
      <c r="CZU247" s="26"/>
      <c r="CZY247" s="23"/>
      <c r="DAD247" s="26"/>
      <c r="DAH247" s="23"/>
      <c r="DAM247" s="26"/>
      <c r="DAQ247" s="23"/>
      <c r="DAV247" s="26"/>
      <c r="DAZ247" s="23"/>
      <c r="DBE247" s="26"/>
      <c r="DBI247" s="23"/>
      <c r="DBN247" s="26"/>
      <c r="DBR247" s="23"/>
      <c r="DBW247" s="26"/>
      <c r="DCA247" s="23"/>
      <c r="DCF247" s="26"/>
      <c r="DCJ247" s="23"/>
      <c r="DCO247" s="26"/>
      <c r="DCS247" s="23"/>
      <c r="DCX247" s="26"/>
      <c r="DDB247" s="23"/>
      <c r="DDG247" s="26"/>
      <c r="DDK247" s="23"/>
      <c r="DDP247" s="26"/>
      <c r="DDT247" s="23"/>
      <c r="DDY247" s="26"/>
      <c r="DEC247" s="23"/>
      <c r="DEH247" s="26"/>
      <c r="DEL247" s="23"/>
      <c r="DEQ247" s="26"/>
      <c r="DEU247" s="23"/>
      <c r="DEZ247" s="26"/>
      <c r="DFD247" s="23"/>
      <c r="DFI247" s="26"/>
      <c r="DFM247" s="23"/>
      <c r="DFR247" s="26"/>
      <c r="DFV247" s="23"/>
      <c r="DGA247" s="26"/>
      <c r="DGE247" s="23"/>
      <c r="DGJ247" s="26"/>
      <c r="DGN247" s="23"/>
      <c r="DGS247" s="26"/>
      <c r="DGW247" s="23"/>
      <c r="DHB247" s="26"/>
      <c r="DHF247" s="23"/>
      <c r="DHK247" s="26"/>
      <c r="DHO247" s="23"/>
      <c r="DHT247" s="26"/>
      <c r="DHX247" s="23"/>
      <c r="DIC247" s="26"/>
      <c r="DIG247" s="23"/>
      <c r="DIL247" s="26"/>
      <c r="DIP247" s="23"/>
      <c r="DIU247" s="26"/>
      <c r="DIY247" s="23"/>
      <c r="DJD247" s="26"/>
      <c r="DJH247" s="23"/>
      <c r="DJM247" s="26"/>
      <c r="DJQ247" s="23"/>
      <c r="DJV247" s="26"/>
      <c r="DJZ247" s="23"/>
      <c r="DKE247" s="26"/>
      <c r="DKI247" s="23"/>
      <c r="DKN247" s="26"/>
      <c r="DKR247" s="23"/>
      <c r="DKW247" s="26"/>
      <c r="DLA247" s="23"/>
      <c r="DLF247" s="26"/>
      <c r="DLJ247" s="23"/>
      <c r="DLO247" s="26"/>
      <c r="DLS247" s="23"/>
      <c r="DLX247" s="26"/>
      <c r="DMB247" s="23"/>
      <c r="DMG247" s="26"/>
      <c r="DMK247" s="23"/>
      <c r="DMP247" s="26"/>
      <c r="DMT247" s="23"/>
      <c r="DMY247" s="26"/>
      <c r="DNC247" s="23"/>
      <c r="DNH247" s="26"/>
      <c r="DNL247" s="23"/>
      <c r="DNQ247" s="26"/>
      <c r="DNU247" s="23"/>
      <c r="DNZ247" s="26"/>
      <c r="DOD247" s="23"/>
      <c r="DOI247" s="26"/>
      <c r="DOM247" s="23"/>
      <c r="DOR247" s="26"/>
      <c r="DOV247" s="23"/>
      <c r="DPA247" s="26"/>
      <c r="DPE247" s="23"/>
      <c r="DPJ247" s="26"/>
      <c r="DPN247" s="23"/>
      <c r="DPS247" s="26"/>
      <c r="DPW247" s="23"/>
      <c r="DQB247" s="26"/>
      <c r="DQF247" s="23"/>
      <c r="DQK247" s="26"/>
      <c r="DQO247" s="23"/>
      <c r="DQT247" s="26"/>
      <c r="DQX247" s="23"/>
      <c r="DRC247" s="26"/>
      <c r="DRG247" s="23"/>
      <c r="DRL247" s="26"/>
      <c r="DRP247" s="23"/>
      <c r="DRU247" s="26"/>
      <c r="DRY247" s="23"/>
      <c r="DSD247" s="26"/>
      <c r="DSH247" s="23"/>
      <c r="DSM247" s="26"/>
      <c r="DSQ247" s="23"/>
      <c r="DSV247" s="26"/>
      <c r="DSZ247" s="23"/>
      <c r="DTE247" s="26"/>
      <c r="DTI247" s="23"/>
      <c r="DTN247" s="26"/>
      <c r="DTR247" s="23"/>
      <c r="DTW247" s="26"/>
      <c r="DUA247" s="23"/>
      <c r="DUF247" s="26"/>
      <c r="DUJ247" s="23"/>
      <c r="DUO247" s="26"/>
      <c r="DUS247" s="23"/>
      <c r="DUX247" s="26"/>
      <c r="DVB247" s="23"/>
      <c r="DVG247" s="26"/>
      <c r="DVK247" s="23"/>
      <c r="DVP247" s="26"/>
      <c r="DVT247" s="23"/>
      <c r="DVY247" s="26"/>
      <c r="DWC247" s="23"/>
      <c r="DWH247" s="26"/>
      <c r="DWL247" s="23"/>
      <c r="DWQ247" s="26"/>
      <c r="DWU247" s="23"/>
      <c r="DWZ247" s="26"/>
      <c r="DXD247" s="23"/>
      <c r="DXI247" s="26"/>
      <c r="DXM247" s="23"/>
      <c r="DXR247" s="26"/>
      <c r="DXV247" s="23"/>
      <c r="DYA247" s="26"/>
      <c r="DYE247" s="23"/>
      <c r="DYJ247" s="26"/>
      <c r="DYN247" s="23"/>
      <c r="DYS247" s="26"/>
      <c r="DYW247" s="23"/>
      <c r="DZB247" s="26"/>
      <c r="DZF247" s="23"/>
      <c r="DZK247" s="26"/>
      <c r="DZO247" s="23"/>
      <c r="DZT247" s="26"/>
      <c r="DZX247" s="23"/>
      <c r="EAC247" s="26"/>
      <c r="EAG247" s="23"/>
      <c r="EAL247" s="26"/>
      <c r="EAP247" s="23"/>
      <c r="EAU247" s="26"/>
      <c r="EAY247" s="23"/>
      <c r="EBD247" s="26"/>
      <c r="EBH247" s="23"/>
      <c r="EBM247" s="26"/>
      <c r="EBQ247" s="23"/>
      <c r="EBV247" s="26"/>
      <c r="EBZ247" s="23"/>
      <c r="ECE247" s="26"/>
      <c r="ECI247" s="23"/>
      <c r="ECN247" s="26"/>
      <c r="ECR247" s="23"/>
      <c r="ECW247" s="26"/>
      <c r="EDA247" s="23"/>
      <c r="EDF247" s="26"/>
      <c r="EDJ247" s="23"/>
      <c r="EDO247" s="26"/>
      <c r="EDS247" s="23"/>
      <c r="EDX247" s="26"/>
      <c r="EEB247" s="23"/>
      <c r="EEG247" s="26"/>
      <c r="EEK247" s="23"/>
      <c r="EEP247" s="26"/>
      <c r="EET247" s="23"/>
      <c r="EEY247" s="26"/>
      <c r="EFC247" s="23"/>
      <c r="EFH247" s="26"/>
      <c r="EFL247" s="23"/>
      <c r="EFQ247" s="26"/>
      <c r="EFU247" s="23"/>
      <c r="EFZ247" s="26"/>
      <c r="EGD247" s="23"/>
      <c r="EGI247" s="26"/>
      <c r="EGM247" s="23"/>
      <c r="EGR247" s="26"/>
      <c r="EGV247" s="23"/>
      <c r="EHA247" s="26"/>
      <c r="EHE247" s="23"/>
      <c r="EHJ247" s="26"/>
      <c r="EHN247" s="23"/>
      <c r="EHS247" s="26"/>
      <c r="EHW247" s="23"/>
      <c r="EIB247" s="26"/>
      <c r="EIF247" s="23"/>
      <c r="EIK247" s="26"/>
      <c r="EIO247" s="23"/>
      <c r="EIT247" s="26"/>
      <c r="EIX247" s="23"/>
      <c r="EJC247" s="26"/>
      <c r="EJG247" s="23"/>
      <c r="EJL247" s="26"/>
      <c r="EJP247" s="23"/>
      <c r="EJU247" s="26"/>
      <c r="EJY247" s="23"/>
      <c r="EKD247" s="26"/>
      <c r="EKH247" s="23"/>
      <c r="EKM247" s="26"/>
      <c r="EKQ247" s="23"/>
      <c r="EKV247" s="26"/>
      <c r="EKZ247" s="23"/>
      <c r="ELE247" s="26"/>
      <c r="ELI247" s="23"/>
      <c r="ELN247" s="26"/>
      <c r="ELR247" s="23"/>
      <c r="ELW247" s="26"/>
      <c r="EMA247" s="23"/>
      <c r="EMF247" s="26"/>
      <c r="EMJ247" s="23"/>
      <c r="EMO247" s="26"/>
      <c r="EMS247" s="23"/>
      <c r="EMX247" s="26"/>
      <c r="ENB247" s="23"/>
      <c r="ENG247" s="26"/>
      <c r="ENK247" s="23"/>
      <c r="ENP247" s="26"/>
      <c r="ENT247" s="23"/>
      <c r="ENY247" s="26"/>
      <c r="EOC247" s="23"/>
      <c r="EOH247" s="26"/>
      <c r="EOL247" s="23"/>
      <c r="EOQ247" s="26"/>
      <c r="EOU247" s="23"/>
      <c r="EOZ247" s="26"/>
      <c r="EPD247" s="23"/>
      <c r="EPI247" s="26"/>
      <c r="EPM247" s="23"/>
      <c r="EPR247" s="26"/>
      <c r="EPV247" s="23"/>
      <c r="EQA247" s="26"/>
      <c r="EQE247" s="23"/>
      <c r="EQJ247" s="26"/>
      <c r="EQN247" s="23"/>
      <c r="EQS247" s="26"/>
      <c r="EQW247" s="23"/>
      <c r="ERB247" s="26"/>
      <c r="ERF247" s="23"/>
      <c r="ERK247" s="26"/>
      <c r="ERO247" s="23"/>
      <c r="ERT247" s="26"/>
      <c r="ERX247" s="23"/>
      <c r="ESC247" s="26"/>
      <c r="ESG247" s="23"/>
      <c r="ESL247" s="26"/>
      <c r="ESP247" s="23"/>
      <c r="ESU247" s="26"/>
      <c r="ESY247" s="23"/>
      <c r="ETD247" s="26"/>
      <c r="ETH247" s="23"/>
      <c r="ETM247" s="26"/>
      <c r="ETQ247" s="23"/>
      <c r="ETV247" s="26"/>
      <c r="ETZ247" s="23"/>
      <c r="EUE247" s="26"/>
      <c r="EUI247" s="23"/>
      <c r="EUN247" s="26"/>
      <c r="EUR247" s="23"/>
      <c r="EUW247" s="26"/>
      <c r="EVA247" s="23"/>
      <c r="EVF247" s="26"/>
      <c r="EVJ247" s="23"/>
      <c r="EVO247" s="26"/>
      <c r="EVS247" s="23"/>
      <c r="EVX247" s="26"/>
      <c r="EWB247" s="23"/>
      <c r="EWG247" s="26"/>
      <c r="EWK247" s="23"/>
      <c r="EWP247" s="26"/>
      <c r="EWT247" s="23"/>
      <c r="EWY247" s="26"/>
      <c r="EXC247" s="23"/>
      <c r="EXH247" s="26"/>
      <c r="EXL247" s="23"/>
      <c r="EXQ247" s="26"/>
      <c r="EXU247" s="23"/>
      <c r="EXZ247" s="26"/>
      <c r="EYD247" s="23"/>
      <c r="EYI247" s="26"/>
      <c r="EYM247" s="23"/>
      <c r="EYR247" s="26"/>
      <c r="EYV247" s="23"/>
      <c r="EZA247" s="26"/>
      <c r="EZE247" s="23"/>
      <c r="EZJ247" s="26"/>
      <c r="EZN247" s="23"/>
      <c r="EZS247" s="26"/>
      <c r="EZW247" s="23"/>
      <c r="FAB247" s="26"/>
      <c r="FAF247" s="23"/>
      <c r="FAK247" s="26"/>
      <c r="FAO247" s="23"/>
      <c r="FAT247" s="26"/>
      <c r="FAX247" s="23"/>
      <c r="FBC247" s="26"/>
      <c r="FBG247" s="23"/>
      <c r="FBL247" s="26"/>
      <c r="FBP247" s="23"/>
      <c r="FBU247" s="26"/>
      <c r="FBY247" s="23"/>
      <c r="FCD247" s="26"/>
      <c r="FCH247" s="23"/>
      <c r="FCM247" s="26"/>
      <c r="FCQ247" s="23"/>
      <c r="FCV247" s="26"/>
      <c r="FCZ247" s="23"/>
      <c r="FDE247" s="26"/>
      <c r="FDI247" s="23"/>
      <c r="FDN247" s="26"/>
      <c r="FDR247" s="23"/>
      <c r="FDW247" s="26"/>
      <c r="FEA247" s="23"/>
      <c r="FEF247" s="26"/>
      <c r="FEJ247" s="23"/>
      <c r="FEO247" s="26"/>
      <c r="FES247" s="23"/>
      <c r="FEX247" s="26"/>
      <c r="FFB247" s="23"/>
      <c r="FFG247" s="26"/>
      <c r="FFK247" s="23"/>
      <c r="FFP247" s="26"/>
      <c r="FFT247" s="23"/>
      <c r="FFY247" s="26"/>
      <c r="FGC247" s="23"/>
      <c r="FGH247" s="26"/>
      <c r="FGL247" s="23"/>
      <c r="FGQ247" s="26"/>
      <c r="FGU247" s="23"/>
      <c r="FGZ247" s="26"/>
      <c r="FHD247" s="23"/>
      <c r="FHI247" s="26"/>
      <c r="FHM247" s="23"/>
      <c r="FHR247" s="26"/>
      <c r="FHV247" s="23"/>
      <c r="FIA247" s="26"/>
      <c r="FIE247" s="23"/>
      <c r="FIJ247" s="26"/>
      <c r="FIN247" s="23"/>
      <c r="FIS247" s="26"/>
      <c r="FIW247" s="23"/>
      <c r="FJB247" s="26"/>
      <c r="FJF247" s="23"/>
      <c r="FJK247" s="26"/>
      <c r="FJO247" s="23"/>
      <c r="FJT247" s="26"/>
      <c r="FJX247" s="23"/>
      <c r="FKC247" s="26"/>
      <c r="FKG247" s="23"/>
      <c r="FKL247" s="26"/>
      <c r="FKP247" s="23"/>
      <c r="FKU247" s="26"/>
      <c r="FKY247" s="23"/>
      <c r="FLD247" s="26"/>
      <c r="FLH247" s="23"/>
      <c r="FLM247" s="26"/>
      <c r="FLQ247" s="23"/>
      <c r="FLV247" s="26"/>
      <c r="FLZ247" s="23"/>
      <c r="FME247" s="26"/>
      <c r="FMI247" s="23"/>
      <c r="FMN247" s="26"/>
      <c r="FMR247" s="23"/>
      <c r="FMW247" s="26"/>
      <c r="FNA247" s="23"/>
      <c r="FNF247" s="26"/>
      <c r="FNJ247" s="23"/>
      <c r="FNO247" s="26"/>
      <c r="FNS247" s="23"/>
      <c r="FNX247" s="26"/>
      <c r="FOB247" s="23"/>
      <c r="FOG247" s="26"/>
      <c r="FOK247" s="23"/>
      <c r="FOP247" s="26"/>
      <c r="FOT247" s="23"/>
      <c r="FOY247" s="26"/>
      <c r="FPC247" s="23"/>
      <c r="FPH247" s="26"/>
      <c r="FPL247" s="23"/>
      <c r="FPQ247" s="26"/>
      <c r="FPU247" s="23"/>
      <c r="FPZ247" s="26"/>
      <c r="FQD247" s="23"/>
      <c r="FQI247" s="26"/>
      <c r="FQM247" s="23"/>
      <c r="FQR247" s="26"/>
      <c r="FQV247" s="23"/>
      <c r="FRA247" s="26"/>
      <c r="FRE247" s="23"/>
      <c r="FRJ247" s="26"/>
      <c r="FRN247" s="23"/>
      <c r="FRS247" s="26"/>
      <c r="FRW247" s="23"/>
      <c r="FSB247" s="26"/>
      <c r="FSF247" s="23"/>
      <c r="FSK247" s="26"/>
      <c r="FSO247" s="23"/>
      <c r="FST247" s="26"/>
      <c r="FSX247" s="23"/>
      <c r="FTC247" s="26"/>
      <c r="FTG247" s="23"/>
      <c r="FTL247" s="26"/>
      <c r="FTP247" s="23"/>
      <c r="FTU247" s="26"/>
      <c r="FTY247" s="23"/>
      <c r="FUD247" s="26"/>
      <c r="FUH247" s="23"/>
      <c r="FUM247" s="26"/>
      <c r="FUQ247" s="23"/>
      <c r="FUV247" s="26"/>
      <c r="FUZ247" s="23"/>
      <c r="FVE247" s="26"/>
      <c r="FVI247" s="23"/>
      <c r="FVN247" s="26"/>
      <c r="FVR247" s="23"/>
      <c r="FVW247" s="26"/>
      <c r="FWA247" s="23"/>
      <c r="FWF247" s="26"/>
      <c r="FWJ247" s="23"/>
      <c r="FWO247" s="26"/>
      <c r="FWS247" s="23"/>
      <c r="FWX247" s="26"/>
      <c r="FXB247" s="23"/>
      <c r="FXG247" s="26"/>
      <c r="FXK247" s="23"/>
      <c r="FXP247" s="26"/>
      <c r="FXT247" s="23"/>
      <c r="FXY247" s="26"/>
      <c r="FYC247" s="23"/>
      <c r="FYH247" s="26"/>
      <c r="FYL247" s="23"/>
      <c r="FYQ247" s="26"/>
      <c r="FYU247" s="23"/>
      <c r="FYZ247" s="26"/>
      <c r="FZD247" s="23"/>
      <c r="FZI247" s="26"/>
      <c r="FZM247" s="23"/>
      <c r="FZR247" s="26"/>
      <c r="FZV247" s="23"/>
      <c r="GAA247" s="26"/>
      <c r="GAE247" s="23"/>
      <c r="GAJ247" s="26"/>
      <c r="GAN247" s="23"/>
      <c r="GAS247" s="26"/>
      <c r="GAW247" s="23"/>
      <c r="GBB247" s="26"/>
      <c r="GBF247" s="23"/>
      <c r="GBK247" s="26"/>
      <c r="GBO247" s="23"/>
      <c r="GBT247" s="26"/>
      <c r="GBX247" s="23"/>
      <c r="GCC247" s="26"/>
      <c r="GCG247" s="23"/>
      <c r="GCL247" s="26"/>
      <c r="GCP247" s="23"/>
      <c r="GCU247" s="26"/>
      <c r="GCY247" s="23"/>
      <c r="GDD247" s="26"/>
      <c r="GDH247" s="23"/>
      <c r="GDM247" s="26"/>
      <c r="GDQ247" s="23"/>
      <c r="GDV247" s="26"/>
      <c r="GDZ247" s="23"/>
      <c r="GEE247" s="26"/>
      <c r="GEI247" s="23"/>
      <c r="GEN247" s="26"/>
      <c r="GER247" s="23"/>
      <c r="GEW247" s="26"/>
      <c r="GFA247" s="23"/>
      <c r="GFF247" s="26"/>
      <c r="GFJ247" s="23"/>
      <c r="GFO247" s="26"/>
      <c r="GFS247" s="23"/>
      <c r="GFX247" s="26"/>
      <c r="GGB247" s="23"/>
      <c r="GGG247" s="26"/>
      <c r="GGK247" s="23"/>
      <c r="GGP247" s="26"/>
      <c r="GGT247" s="23"/>
      <c r="GGY247" s="26"/>
      <c r="GHC247" s="23"/>
      <c r="GHH247" s="26"/>
      <c r="GHL247" s="23"/>
      <c r="GHQ247" s="26"/>
      <c r="GHU247" s="23"/>
      <c r="GHZ247" s="26"/>
      <c r="GID247" s="23"/>
      <c r="GII247" s="26"/>
      <c r="GIM247" s="23"/>
      <c r="GIR247" s="26"/>
      <c r="GIV247" s="23"/>
      <c r="GJA247" s="26"/>
      <c r="GJE247" s="23"/>
      <c r="GJJ247" s="26"/>
      <c r="GJN247" s="23"/>
      <c r="GJS247" s="26"/>
      <c r="GJW247" s="23"/>
      <c r="GKB247" s="26"/>
      <c r="GKF247" s="23"/>
      <c r="GKK247" s="26"/>
      <c r="GKO247" s="23"/>
      <c r="GKT247" s="26"/>
      <c r="GKX247" s="23"/>
      <c r="GLC247" s="26"/>
      <c r="GLG247" s="23"/>
      <c r="GLL247" s="26"/>
      <c r="GLP247" s="23"/>
      <c r="GLU247" s="26"/>
      <c r="GLY247" s="23"/>
      <c r="GMD247" s="26"/>
      <c r="GMH247" s="23"/>
      <c r="GMM247" s="26"/>
      <c r="GMQ247" s="23"/>
      <c r="GMV247" s="26"/>
      <c r="GMZ247" s="23"/>
      <c r="GNE247" s="26"/>
      <c r="GNI247" s="23"/>
      <c r="GNN247" s="26"/>
      <c r="GNR247" s="23"/>
      <c r="GNW247" s="26"/>
      <c r="GOA247" s="23"/>
      <c r="GOF247" s="26"/>
      <c r="GOJ247" s="23"/>
      <c r="GOO247" s="26"/>
      <c r="GOS247" s="23"/>
      <c r="GOX247" s="26"/>
      <c r="GPB247" s="23"/>
      <c r="GPG247" s="26"/>
      <c r="GPK247" s="23"/>
      <c r="GPP247" s="26"/>
      <c r="GPT247" s="23"/>
      <c r="GPY247" s="26"/>
      <c r="GQC247" s="23"/>
      <c r="GQH247" s="26"/>
      <c r="GQL247" s="23"/>
      <c r="GQQ247" s="26"/>
      <c r="GQU247" s="23"/>
      <c r="GQZ247" s="26"/>
      <c r="GRD247" s="23"/>
      <c r="GRI247" s="26"/>
      <c r="GRM247" s="23"/>
      <c r="GRR247" s="26"/>
      <c r="GRV247" s="23"/>
      <c r="GSA247" s="26"/>
      <c r="GSE247" s="23"/>
      <c r="GSJ247" s="26"/>
      <c r="GSN247" s="23"/>
      <c r="GSS247" s="26"/>
      <c r="GSW247" s="23"/>
      <c r="GTB247" s="26"/>
      <c r="GTF247" s="23"/>
      <c r="GTK247" s="26"/>
      <c r="GTO247" s="23"/>
      <c r="GTT247" s="26"/>
      <c r="GTX247" s="23"/>
      <c r="GUC247" s="26"/>
      <c r="GUG247" s="23"/>
      <c r="GUL247" s="26"/>
      <c r="GUP247" s="23"/>
      <c r="GUU247" s="26"/>
      <c r="GUY247" s="23"/>
      <c r="GVD247" s="26"/>
      <c r="GVH247" s="23"/>
      <c r="GVM247" s="26"/>
      <c r="GVQ247" s="23"/>
      <c r="GVV247" s="26"/>
      <c r="GVZ247" s="23"/>
      <c r="GWE247" s="26"/>
      <c r="GWI247" s="23"/>
      <c r="GWN247" s="26"/>
      <c r="GWR247" s="23"/>
      <c r="GWW247" s="26"/>
      <c r="GXA247" s="23"/>
      <c r="GXF247" s="26"/>
      <c r="GXJ247" s="23"/>
      <c r="GXO247" s="26"/>
      <c r="GXS247" s="23"/>
      <c r="GXX247" s="26"/>
      <c r="GYB247" s="23"/>
      <c r="GYG247" s="26"/>
      <c r="GYK247" s="23"/>
      <c r="GYP247" s="26"/>
      <c r="GYT247" s="23"/>
      <c r="GYY247" s="26"/>
      <c r="GZC247" s="23"/>
      <c r="GZH247" s="26"/>
      <c r="GZL247" s="23"/>
      <c r="GZQ247" s="26"/>
      <c r="GZU247" s="23"/>
      <c r="GZZ247" s="26"/>
      <c r="HAD247" s="23"/>
      <c r="HAI247" s="26"/>
      <c r="HAM247" s="23"/>
      <c r="HAR247" s="26"/>
      <c r="HAV247" s="23"/>
      <c r="HBA247" s="26"/>
      <c r="HBE247" s="23"/>
      <c r="HBJ247" s="26"/>
      <c r="HBN247" s="23"/>
      <c r="HBS247" s="26"/>
      <c r="HBW247" s="23"/>
      <c r="HCB247" s="26"/>
      <c r="HCF247" s="23"/>
      <c r="HCK247" s="26"/>
      <c r="HCO247" s="23"/>
      <c r="HCT247" s="26"/>
      <c r="HCX247" s="23"/>
      <c r="HDC247" s="26"/>
      <c r="HDG247" s="23"/>
      <c r="HDL247" s="26"/>
      <c r="HDP247" s="23"/>
      <c r="HDU247" s="26"/>
      <c r="HDY247" s="23"/>
      <c r="HED247" s="26"/>
      <c r="HEH247" s="23"/>
      <c r="HEM247" s="26"/>
      <c r="HEQ247" s="23"/>
      <c r="HEV247" s="26"/>
      <c r="HEZ247" s="23"/>
      <c r="HFE247" s="26"/>
      <c r="HFI247" s="23"/>
      <c r="HFN247" s="26"/>
      <c r="HFR247" s="23"/>
      <c r="HFW247" s="26"/>
      <c r="HGA247" s="23"/>
      <c r="HGF247" s="26"/>
      <c r="HGJ247" s="23"/>
      <c r="HGO247" s="26"/>
      <c r="HGS247" s="23"/>
      <c r="HGX247" s="26"/>
      <c r="HHB247" s="23"/>
      <c r="HHG247" s="26"/>
      <c r="HHK247" s="23"/>
      <c r="HHP247" s="26"/>
      <c r="HHT247" s="23"/>
      <c r="HHY247" s="26"/>
      <c r="HIC247" s="23"/>
      <c r="HIH247" s="26"/>
      <c r="HIL247" s="23"/>
      <c r="HIQ247" s="26"/>
      <c r="HIU247" s="23"/>
      <c r="HIZ247" s="26"/>
      <c r="HJD247" s="23"/>
      <c r="HJI247" s="26"/>
      <c r="HJM247" s="23"/>
      <c r="HJR247" s="26"/>
      <c r="HJV247" s="23"/>
      <c r="HKA247" s="26"/>
      <c r="HKE247" s="23"/>
      <c r="HKJ247" s="26"/>
      <c r="HKN247" s="23"/>
      <c r="HKS247" s="26"/>
      <c r="HKW247" s="23"/>
      <c r="HLB247" s="26"/>
      <c r="HLF247" s="23"/>
      <c r="HLK247" s="26"/>
      <c r="HLO247" s="23"/>
      <c r="HLT247" s="26"/>
      <c r="HLX247" s="23"/>
      <c r="HMC247" s="26"/>
      <c r="HMG247" s="23"/>
      <c r="HML247" s="26"/>
      <c r="HMP247" s="23"/>
      <c r="HMU247" s="26"/>
      <c r="HMY247" s="23"/>
      <c r="HND247" s="26"/>
      <c r="HNH247" s="23"/>
      <c r="HNM247" s="26"/>
      <c r="HNQ247" s="23"/>
      <c r="HNV247" s="26"/>
      <c r="HNZ247" s="23"/>
      <c r="HOE247" s="26"/>
      <c r="HOI247" s="23"/>
      <c r="HON247" s="26"/>
      <c r="HOR247" s="23"/>
      <c r="HOW247" s="26"/>
      <c r="HPA247" s="23"/>
      <c r="HPF247" s="26"/>
      <c r="HPJ247" s="23"/>
      <c r="HPO247" s="26"/>
      <c r="HPS247" s="23"/>
      <c r="HPX247" s="26"/>
      <c r="HQB247" s="23"/>
      <c r="HQG247" s="26"/>
      <c r="HQK247" s="23"/>
      <c r="HQP247" s="26"/>
      <c r="HQT247" s="23"/>
      <c r="HQY247" s="26"/>
      <c r="HRC247" s="23"/>
      <c r="HRH247" s="26"/>
      <c r="HRL247" s="23"/>
      <c r="HRQ247" s="26"/>
      <c r="HRU247" s="23"/>
      <c r="HRZ247" s="26"/>
      <c r="HSD247" s="23"/>
      <c r="HSI247" s="26"/>
      <c r="HSM247" s="23"/>
      <c r="HSR247" s="26"/>
      <c r="HSV247" s="23"/>
      <c r="HTA247" s="26"/>
      <c r="HTE247" s="23"/>
      <c r="HTJ247" s="26"/>
      <c r="HTN247" s="23"/>
      <c r="HTS247" s="26"/>
      <c r="HTW247" s="23"/>
      <c r="HUB247" s="26"/>
      <c r="HUF247" s="23"/>
      <c r="HUK247" s="26"/>
      <c r="HUO247" s="23"/>
      <c r="HUT247" s="26"/>
      <c r="HUX247" s="23"/>
      <c r="HVC247" s="26"/>
      <c r="HVG247" s="23"/>
      <c r="HVL247" s="26"/>
      <c r="HVP247" s="23"/>
      <c r="HVU247" s="26"/>
      <c r="HVY247" s="23"/>
      <c r="HWD247" s="26"/>
      <c r="HWH247" s="23"/>
      <c r="HWM247" s="26"/>
      <c r="HWQ247" s="23"/>
      <c r="HWV247" s="26"/>
      <c r="HWZ247" s="23"/>
      <c r="HXE247" s="26"/>
      <c r="HXI247" s="23"/>
      <c r="HXN247" s="26"/>
      <c r="HXR247" s="23"/>
      <c r="HXW247" s="26"/>
      <c r="HYA247" s="23"/>
      <c r="HYF247" s="26"/>
      <c r="HYJ247" s="23"/>
      <c r="HYO247" s="26"/>
      <c r="HYS247" s="23"/>
      <c r="HYX247" s="26"/>
      <c r="HZB247" s="23"/>
      <c r="HZG247" s="26"/>
      <c r="HZK247" s="23"/>
      <c r="HZP247" s="26"/>
      <c r="HZT247" s="23"/>
      <c r="HZY247" s="26"/>
      <c r="IAC247" s="23"/>
      <c r="IAH247" s="26"/>
      <c r="IAL247" s="23"/>
      <c r="IAQ247" s="26"/>
      <c r="IAU247" s="23"/>
      <c r="IAZ247" s="26"/>
      <c r="IBD247" s="23"/>
      <c r="IBI247" s="26"/>
      <c r="IBM247" s="23"/>
      <c r="IBR247" s="26"/>
      <c r="IBV247" s="23"/>
      <c r="ICA247" s="26"/>
      <c r="ICE247" s="23"/>
      <c r="ICJ247" s="26"/>
      <c r="ICN247" s="23"/>
      <c r="ICS247" s="26"/>
      <c r="ICW247" s="23"/>
      <c r="IDB247" s="26"/>
      <c r="IDF247" s="23"/>
      <c r="IDK247" s="26"/>
      <c r="IDO247" s="23"/>
      <c r="IDT247" s="26"/>
      <c r="IDX247" s="23"/>
      <c r="IEC247" s="26"/>
      <c r="IEG247" s="23"/>
      <c r="IEL247" s="26"/>
      <c r="IEP247" s="23"/>
      <c r="IEU247" s="26"/>
      <c r="IEY247" s="23"/>
      <c r="IFD247" s="26"/>
      <c r="IFH247" s="23"/>
      <c r="IFM247" s="26"/>
      <c r="IFQ247" s="23"/>
      <c r="IFV247" s="26"/>
      <c r="IFZ247" s="23"/>
      <c r="IGE247" s="26"/>
      <c r="IGI247" s="23"/>
      <c r="IGN247" s="26"/>
      <c r="IGR247" s="23"/>
      <c r="IGW247" s="26"/>
      <c r="IHA247" s="23"/>
      <c r="IHF247" s="26"/>
      <c r="IHJ247" s="23"/>
      <c r="IHO247" s="26"/>
      <c r="IHS247" s="23"/>
      <c r="IHX247" s="26"/>
      <c r="IIB247" s="23"/>
      <c r="IIG247" s="26"/>
      <c r="IIK247" s="23"/>
      <c r="IIP247" s="26"/>
      <c r="IIT247" s="23"/>
      <c r="IIY247" s="26"/>
      <c r="IJC247" s="23"/>
      <c r="IJH247" s="26"/>
      <c r="IJL247" s="23"/>
      <c r="IJQ247" s="26"/>
      <c r="IJU247" s="23"/>
      <c r="IJZ247" s="26"/>
      <c r="IKD247" s="23"/>
      <c r="IKI247" s="26"/>
      <c r="IKM247" s="23"/>
      <c r="IKR247" s="26"/>
      <c r="IKV247" s="23"/>
      <c r="ILA247" s="26"/>
      <c r="ILE247" s="23"/>
      <c r="ILJ247" s="26"/>
      <c r="ILN247" s="23"/>
      <c r="ILS247" s="26"/>
      <c r="ILW247" s="23"/>
      <c r="IMB247" s="26"/>
      <c r="IMF247" s="23"/>
      <c r="IMK247" s="26"/>
      <c r="IMO247" s="23"/>
      <c r="IMT247" s="26"/>
      <c r="IMX247" s="23"/>
      <c r="INC247" s="26"/>
      <c r="ING247" s="23"/>
      <c r="INL247" s="26"/>
      <c r="INP247" s="23"/>
      <c r="INU247" s="26"/>
      <c r="INY247" s="23"/>
      <c r="IOD247" s="26"/>
      <c r="IOH247" s="23"/>
      <c r="IOM247" s="26"/>
      <c r="IOQ247" s="23"/>
      <c r="IOV247" s="26"/>
      <c r="IOZ247" s="23"/>
      <c r="IPE247" s="26"/>
      <c r="IPI247" s="23"/>
      <c r="IPN247" s="26"/>
      <c r="IPR247" s="23"/>
      <c r="IPW247" s="26"/>
      <c r="IQA247" s="23"/>
      <c r="IQF247" s="26"/>
      <c r="IQJ247" s="23"/>
      <c r="IQO247" s="26"/>
      <c r="IQS247" s="23"/>
      <c r="IQX247" s="26"/>
      <c r="IRB247" s="23"/>
      <c r="IRG247" s="26"/>
      <c r="IRK247" s="23"/>
      <c r="IRP247" s="26"/>
      <c r="IRT247" s="23"/>
      <c r="IRY247" s="26"/>
      <c r="ISC247" s="23"/>
      <c r="ISH247" s="26"/>
      <c r="ISL247" s="23"/>
      <c r="ISQ247" s="26"/>
      <c r="ISU247" s="23"/>
      <c r="ISZ247" s="26"/>
      <c r="ITD247" s="23"/>
      <c r="ITI247" s="26"/>
      <c r="ITM247" s="23"/>
      <c r="ITR247" s="26"/>
      <c r="ITV247" s="23"/>
      <c r="IUA247" s="26"/>
      <c r="IUE247" s="23"/>
      <c r="IUJ247" s="26"/>
      <c r="IUN247" s="23"/>
      <c r="IUS247" s="26"/>
      <c r="IUW247" s="23"/>
      <c r="IVB247" s="26"/>
      <c r="IVF247" s="23"/>
      <c r="IVK247" s="26"/>
      <c r="IVO247" s="23"/>
      <c r="IVT247" s="26"/>
      <c r="IVX247" s="23"/>
      <c r="IWC247" s="26"/>
      <c r="IWG247" s="23"/>
      <c r="IWL247" s="26"/>
      <c r="IWP247" s="23"/>
      <c r="IWU247" s="26"/>
      <c r="IWY247" s="23"/>
      <c r="IXD247" s="26"/>
      <c r="IXH247" s="23"/>
      <c r="IXM247" s="26"/>
      <c r="IXQ247" s="23"/>
      <c r="IXV247" s="26"/>
      <c r="IXZ247" s="23"/>
      <c r="IYE247" s="26"/>
      <c r="IYI247" s="23"/>
      <c r="IYN247" s="26"/>
      <c r="IYR247" s="23"/>
      <c r="IYW247" s="26"/>
      <c r="IZA247" s="23"/>
      <c r="IZF247" s="26"/>
      <c r="IZJ247" s="23"/>
      <c r="IZO247" s="26"/>
      <c r="IZS247" s="23"/>
      <c r="IZX247" s="26"/>
      <c r="JAB247" s="23"/>
      <c r="JAG247" s="26"/>
      <c r="JAK247" s="23"/>
      <c r="JAP247" s="26"/>
      <c r="JAT247" s="23"/>
      <c r="JAY247" s="26"/>
      <c r="JBC247" s="23"/>
      <c r="JBH247" s="26"/>
      <c r="JBL247" s="23"/>
      <c r="JBQ247" s="26"/>
      <c r="JBU247" s="23"/>
      <c r="JBZ247" s="26"/>
      <c r="JCD247" s="23"/>
      <c r="JCI247" s="26"/>
      <c r="JCM247" s="23"/>
      <c r="JCR247" s="26"/>
      <c r="JCV247" s="23"/>
      <c r="JDA247" s="26"/>
      <c r="JDE247" s="23"/>
      <c r="JDJ247" s="26"/>
      <c r="JDN247" s="23"/>
      <c r="JDS247" s="26"/>
      <c r="JDW247" s="23"/>
      <c r="JEB247" s="26"/>
      <c r="JEF247" s="23"/>
      <c r="JEK247" s="26"/>
      <c r="JEO247" s="23"/>
      <c r="JET247" s="26"/>
      <c r="JEX247" s="23"/>
      <c r="JFC247" s="26"/>
      <c r="JFG247" s="23"/>
      <c r="JFL247" s="26"/>
      <c r="JFP247" s="23"/>
      <c r="JFU247" s="26"/>
      <c r="JFY247" s="23"/>
      <c r="JGD247" s="26"/>
      <c r="JGH247" s="23"/>
      <c r="JGM247" s="26"/>
      <c r="JGQ247" s="23"/>
      <c r="JGV247" s="26"/>
      <c r="JGZ247" s="23"/>
      <c r="JHE247" s="26"/>
      <c r="JHI247" s="23"/>
      <c r="JHN247" s="26"/>
      <c r="JHR247" s="23"/>
      <c r="JHW247" s="26"/>
      <c r="JIA247" s="23"/>
      <c r="JIF247" s="26"/>
      <c r="JIJ247" s="23"/>
      <c r="JIO247" s="26"/>
      <c r="JIS247" s="23"/>
      <c r="JIX247" s="26"/>
      <c r="JJB247" s="23"/>
      <c r="JJG247" s="26"/>
      <c r="JJK247" s="23"/>
      <c r="JJP247" s="26"/>
      <c r="JJT247" s="23"/>
      <c r="JJY247" s="26"/>
      <c r="JKC247" s="23"/>
      <c r="JKH247" s="26"/>
      <c r="JKL247" s="23"/>
      <c r="JKQ247" s="26"/>
      <c r="JKU247" s="23"/>
      <c r="JKZ247" s="26"/>
      <c r="JLD247" s="23"/>
      <c r="JLI247" s="26"/>
      <c r="JLM247" s="23"/>
      <c r="JLR247" s="26"/>
      <c r="JLV247" s="23"/>
      <c r="JMA247" s="26"/>
      <c r="JME247" s="23"/>
      <c r="JMJ247" s="26"/>
      <c r="JMN247" s="23"/>
      <c r="JMS247" s="26"/>
      <c r="JMW247" s="23"/>
      <c r="JNB247" s="26"/>
      <c r="JNF247" s="23"/>
      <c r="JNK247" s="26"/>
      <c r="JNO247" s="23"/>
      <c r="JNT247" s="26"/>
      <c r="JNX247" s="23"/>
      <c r="JOC247" s="26"/>
      <c r="JOG247" s="23"/>
      <c r="JOL247" s="26"/>
      <c r="JOP247" s="23"/>
      <c r="JOU247" s="26"/>
      <c r="JOY247" s="23"/>
      <c r="JPD247" s="26"/>
      <c r="JPH247" s="23"/>
      <c r="JPM247" s="26"/>
      <c r="JPQ247" s="23"/>
      <c r="JPV247" s="26"/>
      <c r="JPZ247" s="23"/>
      <c r="JQE247" s="26"/>
      <c r="JQI247" s="23"/>
      <c r="JQN247" s="26"/>
      <c r="JQR247" s="23"/>
      <c r="JQW247" s="26"/>
      <c r="JRA247" s="23"/>
      <c r="JRF247" s="26"/>
      <c r="JRJ247" s="23"/>
      <c r="JRO247" s="26"/>
      <c r="JRS247" s="23"/>
      <c r="JRX247" s="26"/>
      <c r="JSB247" s="23"/>
      <c r="JSG247" s="26"/>
      <c r="JSK247" s="23"/>
      <c r="JSP247" s="26"/>
      <c r="JST247" s="23"/>
      <c r="JSY247" s="26"/>
      <c r="JTC247" s="23"/>
      <c r="JTH247" s="26"/>
      <c r="JTL247" s="23"/>
      <c r="JTQ247" s="26"/>
      <c r="JTU247" s="23"/>
      <c r="JTZ247" s="26"/>
      <c r="JUD247" s="23"/>
      <c r="JUI247" s="26"/>
      <c r="JUM247" s="23"/>
      <c r="JUR247" s="26"/>
      <c r="JUV247" s="23"/>
      <c r="JVA247" s="26"/>
      <c r="JVE247" s="23"/>
      <c r="JVJ247" s="26"/>
      <c r="JVN247" s="23"/>
      <c r="JVS247" s="26"/>
      <c r="JVW247" s="23"/>
      <c r="JWB247" s="26"/>
      <c r="JWF247" s="23"/>
      <c r="JWK247" s="26"/>
      <c r="JWO247" s="23"/>
      <c r="JWT247" s="26"/>
      <c r="JWX247" s="23"/>
      <c r="JXC247" s="26"/>
      <c r="JXG247" s="23"/>
      <c r="JXL247" s="26"/>
      <c r="JXP247" s="23"/>
      <c r="JXU247" s="26"/>
      <c r="JXY247" s="23"/>
      <c r="JYD247" s="26"/>
      <c r="JYH247" s="23"/>
      <c r="JYM247" s="26"/>
      <c r="JYQ247" s="23"/>
      <c r="JYV247" s="26"/>
      <c r="JYZ247" s="23"/>
      <c r="JZE247" s="26"/>
      <c r="JZI247" s="23"/>
      <c r="JZN247" s="26"/>
      <c r="JZR247" s="23"/>
      <c r="JZW247" s="26"/>
      <c r="KAA247" s="23"/>
      <c r="KAF247" s="26"/>
      <c r="KAJ247" s="23"/>
      <c r="KAO247" s="26"/>
      <c r="KAS247" s="23"/>
      <c r="KAX247" s="26"/>
      <c r="KBB247" s="23"/>
      <c r="KBG247" s="26"/>
      <c r="KBK247" s="23"/>
      <c r="KBP247" s="26"/>
      <c r="KBT247" s="23"/>
      <c r="KBY247" s="26"/>
      <c r="KCC247" s="23"/>
      <c r="KCH247" s="26"/>
      <c r="KCL247" s="23"/>
      <c r="KCQ247" s="26"/>
      <c r="KCU247" s="23"/>
      <c r="KCZ247" s="26"/>
      <c r="KDD247" s="23"/>
      <c r="KDI247" s="26"/>
      <c r="KDM247" s="23"/>
      <c r="KDR247" s="26"/>
      <c r="KDV247" s="23"/>
      <c r="KEA247" s="26"/>
      <c r="KEE247" s="23"/>
      <c r="KEJ247" s="26"/>
      <c r="KEN247" s="23"/>
      <c r="KES247" s="26"/>
      <c r="KEW247" s="23"/>
      <c r="KFB247" s="26"/>
      <c r="KFF247" s="23"/>
      <c r="KFK247" s="26"/>
      <c r="KFO247" s="23"/>
      <c r="KFT247" s="26"/>
      <c r="KFX247" s="23"/>
      <c r="KGC247" s="26"/>
      <c r="KGG247" s="23"/>
      <c r="KGL247" s="26"/>
      <c r="KGP247" s="23"/>
      <c r="KGU247" s="26"/>
      <c r="KGY247" s="23"/>
      <c r="KHD247" s="26"/>
      <c r="KHH247" s="23"/>
      <c r="KHM247" s="26"/>
      <c r="KHQ247" s="23"/>
      <c r="KHV247" s="26"/>
      <c r="KHZ247" s="23"/>
      <c r="KIE247" s="26"/>
      <c r="KII247" s="23"/>
      <c r="KIN247" s="26"/>
      <c r="KIR247" s="23"/>
      <c r="KIW247" s="26"/>
      <c r="KJA247" s="23"/>
      <c r="KJF247" s="26"/>
      <c r="KJJ247" s="23"/>
      <c r="KJO247" s="26"/>
      <c r="KJS247" s="23"/>
      <c r="KJX247" s="26"/>
      <c r="KKB247" s="23"/>
      <c r="KKG247" s="26"/>
      <c r="KKK247" s="23"/>
      <c r="KKP247" s="26"/>
      <c r="KKT247" s="23"/>
      <c r="KKY247" s="26"/>
      <c r="KLC247" s="23"/>
      <c r="KLH247" s="26"/>
      <c r="KLL247" s="23"/>
      <c r="KLQ247" s="26"/>
      <c r="KLU247" s="23"/>
      <c r="KLZ247" s="26"/>
      <c r="KMD247" s="23"/>
      <c r="KMI247" s="26"/>
      <c r="KMM247" s="23"/>
      <c r="KMR247" s="26"/>
      <c r="KMV247" s="23"/>
      <c r="KNA247" s="26"/>
      <c r="KNE247" s="23"/>
      <c r="KNJ247" s="26"/>
      <c r="KNN247" s="23"/>
      <c r="KNS247" s="26"/>
      <c r="KNW247" s="23"/>
      <c r="KOB247" s="26"/>
      <c r="KOF247" s="23"/>
      <c r="KOK247" s="26"/>
      <c r="KOO247" s="23"/>
      <c r="KOT247" s="26"/>
      <c r="KOX247" s="23"/>
      <c r="KPC247" s="26"/>
      <c r="KPG247" s="23"/>
      <c r="KPL247" s="26"/>
      <c r="KPP247" s="23"/>
      <c r="KPU247" s="26"/>
      <c r="KPY247" s="23"/>
      <c r="KQD247" s="26"/>
      <c r="KQH247" s="23"/>
      <c r="KQM247" s="26"/>
      <c r="KQQ247" s="23"/>
      <c r="KQV247" s="26"/>
      <c r="KQZ247" s="23"/>
      <c r="KRE247" s="26"/>
      <c r="KRI247" s="23"/>
      <c r="KRN247" s="26"/>
      <c r="KRR247" s="23"/>
      <c r="KRW247" s="26"/>
      <c r="KSA247" s="23"/>
      <c r="KSF247" s="26"/>
      <c r="KSJ247" s="23"/>
      <c r="KSO247" s="26"/>
      <c r="KSS247" s="23"/>
      <c r="KSX247" s="26"/>
      <c r="KTB247" s="23"/>
      <c r="KTG247" s="26"/>
      <c r="KTK247" s="23"/>
      <c r="KTP247" s="26"/>
      <c r="KTT247" s="23"/>
      <c r="KTY247" s="26"/>
      <c r="KUC247" s="23"/>
      <c r="KUH247" s="26"/>
      <c r="KUL247" s="23"/>
      <c r="KUQ247" s="26"/>
      <c r="KUU247" s="23"/>
      <c r="KUZ247" s="26"/>
      <c r="KVD247" s="23"/>
      <c r="KVI247" s="26"/>
      <c r="KVM247" s="23"/>
      <c r="KVR247" s="26"/>
      <c r="KVV247" s="23"/>
      <c r="KWA247" s="26"/>
      <c r="KWE247" s="23"/>
      <c r="KWJ247" s="26"/>
      <c r="KWN247" s="23"/>
      <c r="KWS247" s="26"/>
      <c r="KWW247" s="23"/>
      <c r="KXB247" s="26"/>
      <c r="KXF247" s="23"/>
      <c r="KXK247" s="26"/>
      <c r="KXO247" s="23"/>
      <c r="KXT247" s="26"/>
      <c r="KXX247" s="23"/>
      <c r="KYC247" s="26"/>
      <c r="KYG247" s="23"/>
      <c r="KYL247" s="26"/>
      <c r="KYP247" s="23"/>
      <c r="KYU247" s="26"/>
      <c r="KYY247" s="23"/>
      <c r="KZD247" s="26"/>
      <c r="KZH247" s="23"/>
      <c r="KZM247" s="26"/>
      <c r="KZQ247" s="23"/>
      <c r="KZV247" s="26"/>
      <c r="KZZ247" s="23"/>
      <c r="LAE247" s="26"/>
      <c r="LAI247" s="23"/>
      <c r="LAN247" s="26"/>
      <c r="LAR247" s="23"/>
      <c r="LAW247" s="26"/>
      <c r="LBA247" s="23"/>
      <c r="LBF247" s="26"/>
      <c r="LBJ247" s="23"/>
      <c r="LBO247" s="26"/>
      <c r="LBS247" s="23"/>
      <c r="LBX247" s="26"/>
      <c r="LCB247" s="23"/>
      <c r="LCG247" s="26"/>
      <c r="LCK247" s="23"/>
      <c r="LCP247" s="26"/>
      <c r="LCT247" s="23"/>
      <c r="LCY247" s="26"/>
      <c r="LDC247" s="23"/>
      <c r="LDH247" s="26"/>
      <c r="LDL247" s="23"/>
      <c r="LDQ247" s="26"/>
      <c r="LDU247" s="23"/>
      <c r="LDZ247" s="26"/>
      <c r="LED247" s="23"/>
      <c r="LEI247" s="26"/>
      <c r="LEM247" s="23"/>
      <c r="LER247" s="26"/>
      <c r="LEV247" s="23"/>
      <c r="LFA247" s="26"/>
      <c r="LFE247" s="23"/>
      <c r="LFJ247" s="26"/>
      <c r="LFN247" s="23"/>
      <c r="LFS247" s="26"/>
      <c r="LFW247" s="23"/>
      <c r="LGB247" s="26"/>
      <c r="LGF247" s="23"/>
      <c r="LGK247" s="26"/>
      <c r="LGO247" s="23"/>
      <c r="LGT247" s="26"/>
      <c r="LGX247" s="23"/>
      <c r="LHC247" s="26"/>
      <c r="LHG247" s="23"/>
      <c r="LHL247" s="26"/>
      <c r="LHP247" s="23"/>
      <c r="LHU247" s="26"/>
      <c r="LHY247" s="23"/>
      <c r="LID247" s="26"/>
      <c r="LIH247" s="23"/>
      <c r="LIM247" s="26"/>
      <c r="LIQ247" s="23"/>
      <c r="LIV247" s="26"/>
      <c r="LIZ247" s="23"/>
      <c r="LJE247" s="26"/>
      <c r="LJI247" s="23"/>
      <c r="LJN247" s="26"/>
      <c r="LJR247" s="23"/>
      <c r="LJW247" s="26"/>
      <c r="LKA247" s="23"/>
      <c r="LKF247" s="26"/>
      <c r="LKJ247" s="23"/>
      <c r="LKO247" s="26"/>
      <c r="LKS247" s="23"/>
      <c r="LKX247" s="26"/>
      <c r="LLB247" s="23"/>
      <c r="LLG247" s="26"/>
      <c r="LLK247" s="23"/>
      <c r="LLP247" s="26"/>
      <c r="LLT247" s="23"/>
      <c r="LLY247" s="26"/>
      <c r="LMC247" s="23"/>
      <c r="LMH247" s="26"/>
      <c r="LML247" s="23"/>
      <c r="LMQ247" s="26"/>
      <c r="LMU247" s="23"/>
      <c r="LMZ247" s="26"/>
      <c r="LND247" s="23"/>
      <c r="LNI247" s="26"/>
      <c r="LNM247" s="23"/>
      <c r="LNR247" s="26"/>
      <c r="LNV247" s="23"/>
      <c r="LOA247" s="26"/>
      <c r="LOE247" s="23"/>
      <c r="LOJ247" s="26"/>
      <c r="LON247" s="23"/>
      <c r="LOS247" s="26"/>
      <c r="LOW247" s="23"/>
      <c r="LPB247" s="26"/>
      <c r="LPF247" s="23"/>
      <c r="LPK247" s="26"/>
      <c r="LPO247" s="23"/>
      <c r="LPT247" s="26"/>
      <c r="LPX247" s="23"/>
      <c r="LQC247" s="26"/>
      <c r="LQG247" s="23"/>
      <c r="LQL247" s="26"/>
      <c r="LQP247" s="23"/>
      <c r="LQU247" s="26"/>
      <c r="LQY247" s="23"/>
      <c r="LRD247" s="26"/>
      <c r="LRH247" s="23"/>
      <c r="LRM247" s="26"/>
      <c r="LRQ247" s="23"/>
      <c r="LRV247" s="26"/>
      <c r="LRZ247" s="23"/>
      <c r="LSE247" s="26"/>
      <c r="LSI247" s="23"/>
      <c r="LSN247" s="26"/>
      <c r="LSR247" s="23"/>
      <c r="LSW247" s="26"/>
      <c r="LTA247" s="23"/>
      <c r="LTF247" s="26"/>
      <c r="LTJ247" s="23"/>
      <c r="LTO247" s="26"/>
      <c r="LTS247" s="23"/>
      <c r="LTX247" s="26"/>
      <c r="LUB247" s="23"/>
      <c r="LUG247" s="26"/>
      <c r="LUK247" s="23"/>
      <c r="LUP247" s="26"/>
      <c r="LUT247" s="23"/>
      <c r="LUY247" s="26"/>
      <c r="LVC247" s="23"/>
      <c r="LVH247" s="26"/>
      <c r="LVL247" s="23"/>
      <c r="LVQ247" s="26"/>
      <c r="LVU247" s="23"/>
      <c r="LVZ247" s="26"/>
      <c r="LWD247" s="23"/>
      <c r="LWI247" s="26"/>
      <c r="LWM247" s="23"/>
      <c r="LWR247" s="26"/>
      <c r="LWV247" s="23"/>
      <c r="LXA247" s="26"/>
      <c r="LXE247" s="23"/>
      <c r="LXJ247" s="26"/>
      <c r="LXN247" s="23"/>
      <c r="LXS247" s="26"/>
      <c r="LXW247" s="23"/>
      <c r="LYB247" s="26"/>
      <c r="LYF247" s="23"/>
      <c r="LYK247" s="26"/>
      <c r="LYO247" s="23"/>
      <c r="LYT247" s="26"/>
      <c r="LYX247" s="23"/>
      <c r="LZC247" s="26"/>
      <c r="LZG247" s="23"/>
      <c r="LZL247" s="26"/>
      <c r="LZP247" s="23"/>
      <c r="LZU247" s="26"/>
      <c r="LZY247" s="23"/>
      <c r="MAD247" s="26"/>
      <c r="MAH247" s="23"/>
      <c r="MAM247" s="26"/>
      <c r="MAQ247" s="23"/>
      <c r="MAV247" s="26"/>
      <c r="MAZ247" s="23"/>
      <c r="MBE247" s="26"/>
      <c r="MBI247" s="23"/>
      <c r="MBN247" s="26"/>
      <c r="MBR247" s="23"/>
      <c r="MBW247" s="26"/>
      <c r="MCA247" s="23"/>
      <c r="MCF247" s="26"/>
      <c r="MCJ247" s="23"/>
      <c r="MCO247" s="26"/>
      <c r="MCS247" s="23"/>
      <c r="MCX247" s="26"/>
      <c r="MDB247" s="23"/>
      <c r="MDG247" s="26"/>
      <c r="MDK247" s="23"/>
      <c r="MDP247" s="26"/>
      <c r="MDT247" s="23"/>
      <c r="MDY247" s="26"/>
      <c r="MEC247" s="23"/>
      <c r="MEH247" s="26"/>
      <c r="MEL247" s="23"/>
      <c r="MEQ247" s="26"/>
      <c r="MEU247" s="23"/>
      <c r="MEZ247" s="26"/>
      <c r="MFD247" s="23"/>
      <c r="MFI247" s="26"/>
      <c r="MFM247" s="23"/>
      <c r="MFR247" s="26"/>
      <c r="MFV247" s="23"/>
      <c r="MGA247" s="26"/>
      <c r="MGE247" s="23"/>
      <c r="MGJ247" s="26"/>
      <c r="MGN247" s="23"/>
      <c r="MGS247" s="26"/>
      <c r="MGW247" s="23"/>
      <c r="MHB247" s="26"/>
      <c r="MHF247" s="23"/>
      <c r="MHK247" s="26"/>
      <c r="MHO247" s="23"/>
      <c r="MHT247" s="26"/>
      <c r="MHX247" s="23"/>
      <c r="MIC247" s="26"/>
      <c r="MIG247" s="23"/>
      <c r="MIL247" s="26"/>
      <c r="MIP247" s="23"/>
      <c r="MIU247" s="26"/>
      <c r="MIY247" s="23"/>
      <c r="MJD247" s="26"/>
      <c r="MJH247" s="23"/>
      <c r="MJM247" s="26"/>
      <c r="MJQ247" s="23"/>
      <c r="MJV247" s="26"/>
      <c r="MJZ247" s="23"/>
      <c r="MKE247" s="26"/>
      <c r="MKI247" s="23"/>
      <c r="MKN247" s="26"/>
      <c r="MKR247" s="23"/>
      <c r="MKW247" s="26"/>
      <c r="MLA247" s="23"/>
      <c r="MLF247" s="26"/>
      <c r="MLJ247" s="23"/>
      <c r="MLO247" s="26"/>
      <c r="MLS247" s="23"/>
      <c r="MLX247" s="26"/>
      <c r="MMB247" s="23"/>
      <c r="MMG247" s="26"/>
      <c r="MMK247" s="23"/>
      <c r="MMP247" s="26"/>
      <c r="MMT247" s="23"/>
      <c r="MMY247" s="26"/>
      <c r="MNC247" s="23"/>
      <c r="MNH247" s="26"/>
      <c r="MNL247" s="23"/>
      <c r="MNQ247" s="26"/>
      <c r="MNU247" s="23"/>
      <c r="MNZ247" s="26"/>
      <c r="MOD247" s="23"/>
      <c r="MOI247" s="26"/>
      <c r="MOM247" s="23"/>
      <c r="MOR247" s="26"/>
      <c r="MOV247" s="23"/>
      <c r="MPA247" s="26"/>
      <c r="MPE247" s="23"/>
      <c r="MPJ247" s="26"/>
      <c r="MPN247" s="23"/>
      <c r="MPS247" s="26"/>
      <c r="MPW247" s="23"/>
      <c r="MQB247" s="26"/>
      <c r="MQF247" s="23"/>
      <c r="MQK247" s="26"/>
      <c r="MQO247" s="23"/>
      <c r="MQT247" s="26"/>
      <c r="MQX247" s="23"/>
      <c r="MRC247" s="26"/>
      <c r="MRG247" s="23"/>
      <c r="MRL247" s="26"/>
      <c r="MRP247" s="23"/>
      <c r="MRU247" s="26"/>
      <c r="MRY247" s="23"/>
      <c r="MSD247" s="26"/>
      <c r="MSH247" s="23"/>
      <c r="MSM247" s="26"/>
      <c r="MSQ247" s="23"/>
      <c r="MSV247" s="26"/>
      <c r="MSZ247" s="23"/>
      <c r="MTE247" s="26"/>
      <c r="MTI247" s="23"/>
      <c r="MTN247" s="26"/>
      <c r="MTR247" s="23"/>
      <c r="MTW247" s="26"/>
      <c r="MUA247" s="23"/>
      <c r="MUF247" s="26"/>
      <c r="MUJ247" s="23"/>
      <c r="MUO247" s="26"/>
      <c r="MUS247" s="23"/>
      <c r="MUX247" s="26"/>
      <c r="MVB247" s="23"/>
      <c r="MVG247" s="26"/>
      <c r="MVK247" s="23"/>
      <c r="MVP247" s="26"/>
      <c r="MVT247" s="23"/>
      <c r="MVY247" s="26"/>
      <c r="MWC247" s="23"/>
      <c r="MWH247" s="26"/>
      <c r="MWL247" s="23"/>
      <c r="MWQ247" s="26"/>
      <c r="MWU247" s="23"/>
      <c r="MWZ247" s="26"/>
      <c r="MXD247" s="23"/>
      <c r="MXI247" s="26"/>
      <c r="MXM247" s="23"/>
      <c r="MXR247" s="26"/>
      <c r="MXV247" s="23"/>
      <c r="MYA247" s="26"/>
      <c r="MYE247" s="23"/>
      <c r="MYJ247" s="26"/>
      <c r="MYN247" s="23"/>
      <c r="MYS247" s="26"/>
      <c r="MYW247" s="23"/>
      <c r="MZB247" s="26"/>
      <c r="MZF247" s="23"/>
      <c r="MZK247" s="26"/>
      <c r="MZO247" s="23"/>
      <c r="MZT247" s="26"/>
      <c r="MZX247" s="23"/>
      <c r="NAC247" s="26"/>
      <c r="NAG247" s="23"/>
      <c r="NAL247" s="26"/>
      <c r="NAP247" s="23"/>
      <c r="NAU247" s="26"/>
      <c r="NAY247" s="23"/>
      <c r="NBD247" s="26"/>
      <c r="NBH247" s="23"/>
      <c r="NBM247" s="26"/>
      <c r="NBQ247" s="23"/>
      <c r="NBV247" s="26"/>
      <c r="NBZ247" s="23"/>
      <c r="NCE247" s="26"/>
      <c r="NCI247" s="23"/>
      <c r="NCN247" s="26"/>
      <c r="NCR247" s="23"/>
      <c r="NCW247" s="26"/>
      <c r="NDA247" s="23"/>
      <c r="NDF247" s="26"/>
      <c r="NDJ247" s="23"/>
      <c r="NDO247" s="26"/>
      <c r="NDS247" s="23"/>
      <c r="NDX247" s="26"/>
      <c r="NEB247" s="23"/>
      <c r="NEG247" s="26"/>
      <c r="NEK247" s="23"/>
      <c r="NEP247" s="26"/>
      <c r="NET247" s="23"/>
      <c r="NEY247" s="26"/>
      <c r="NFC247" s="23"/>
      <c r="NFH247" s="26"/>
      <c r="NFL247" s="23"/>
      <c r="NFQ247" s="26"/>
      <c r="NFU247" s="23"/>
      <c r="NFZ247" s="26"/>
      <c r="NGD247" s="23"/>
      <c r="NGI247" s="26"/>
      <c r="NGM247" s="23"/>
      <c r="NGR247" s="26"/>
      <c r="NGV247" s="23"/>
      <c r="NHA247" s="26"/>
      <c r="NHE247" s="23"/>
      <c r="NHJ247" s="26"/>
      <c r="NHN247" s="23"/>
      <c r="NHS247" s="26"/>
      <c r="NHW247" s="23"/>
      <c r="NIB247" s="26"/>
      <c r="NIF247" s="23"/>
      <c r="NIK247" s="26"/>
      <c r="NIO247" s="23"/>
      <c r="NIT247" s="26"/>
      <c r="NIX247" s="23"/>
      <c r="NJC247" s="26"/>
      <c r="NJG247" s="23"/>
      <c r="NJL247" s="26"/>
      <c r="NJP247" s="23"/>
      <c r="NJU247" s="26"/>
      <c r="NJY247" s="23"/>
      <c r="NKD247" s="26"/>
      <c r="NKH247" s="23"/>
      <c r="NKM247" s="26"/>
      <c r="NKQ247" s="23"/>
      <c r="NKV247" s="26"/>
      <c r="NKZ247" s="23"/>
      <c r="NLE247" s="26"/>
      <c r="NLI247" s="23"/>
      <c r="NLN247" s="26"/>
      <c r="NLR247" s="23"/>
      <c r="NLW247" s="26"/>
      <c r="NMA247" s="23"/>
      <c r="NMF247" s="26"/>
      <c r="NMJ247" s="23"/>
      <c r="NMO247" s="26"/>
      <c r="NMS247" s="23"/>
      <c r="NMX247" s="26"/>
      <c r="NNB247" s="23"/>
      <c r="NNG247" s="26"/>
      <c r="NNK247" s="23"/>
      <c r="NNP247" s="26"/>
      <c r="NNT247" s="23"/>
      <c r="NNY247" s="26"/>
      <c r="NOC247" s="23"/>
      <c r="NOH247" s="26"/>
      <c r="NOL247" s="23"/>
      <c r="NOQ247" s="26"/>
      <c r="NOU247" s="23"/>
      <c r="NOZ247" s="26"/>
      <c r="NPD247" s="23"/>
      <c r="NPI247" s="26"/>
      <c r="NPM247" s="23"/>
      <c r="NPR247" s="26"/>
      <c r="NPV247" s="23"/>
      <c r="NQA247" s="26"/>
      <c r="NQE247" s="23"/>
      <c r="NQJ247" s="26"/>
      <c r="NQN247" s="23"/>
      <c r="NQS247" s="26"/>
      <c r="NQW247" s="23"/>
      <c r="NRB247" s="26"/>
      <c r="NRF247" s="23"/>
      <c r="NRK247" s="26"/>
      <c r="NRO247" s="23"/>
      <c r="NRT247" s="26"/>
      <c r="NRX247" s="23"/>
      <c r="NSC247" s="26"/>
      <c r="NSG247" s="23"/>
      <c r="NSL247" s="26"/>
      <c r="NSP247" s="23"/>
      <c r="NSU247" s="26"/>
      <c r="NSY247" s="23"/>
      <c r="NTD247" s="26"/>
      <c r="NTH247" s="23"/>
      <c r="NTM247" s="26"/>
      <c r="NTQ247" s="23"/>
      <c r="NTV247" s="26"/>
      <c r="NTZ247" s="23"/>
      <c r="NUE247" s="26"/>
      <c r="NUI247" s="23"/>
      <c r="NUN247" s="26"/>
      <c r="NUR247" s="23"/>
      <c r="NUW247" s="26"/>
      <c r="NVA247" s="23"/>
      <c r="NVF247" s="26"/>
      <c r="NVJ247" s="23"/>
      <c r="NVO247" s="26"/>
      <c r="NVS247" s="23"/>
      <c r="NVX247" s="26"/>
      <c r="NWB247" s="23"/>
      <c r="NWG247" s="26"/>
      <c r="NWK247" s="23"/>
      <c r="NWP247" s="26"/>
      <c r="NWT247" s="23"/>
      <c r="NWY247" s="26"/>
      <c r="NXC247" s="23"/>
      <c r="NXH247" s="26"/>
      <c r="NXL247" s="23"/>
      <c r="NXQ247" s="26"/>
      <c r="NXU247" s="23"/>
      <c r="NXZ247" s="26"/>
      <c r="NYD247" s="23"/>
      <c r="NYI247" s="26"/>
      <c r="NYM247" s="23"/>
      <c r="NYR247" s="26"/>
      <c r="NYV247" s="23"/>
      <c r="NZA247" s="26"/>
      <c r="NZE247" s="23"/>
      <c r="NZJ247" s="26"/>
      <c r="NZN247" s="23"/>
      <c r="NZS247" s="26"/>
      <c r="NZW247" s="23"/>
      <c r="OAB247" s="26"/>
      <c r="OAF247" s="23"/>
      <c r="OAK247" s="26"/>
      <c r="OAO247" s="23"/>
      <c r="OAT247" s="26"/>
      <c r="OAX247" s="23"/>
      <c r="OBC247" s="26"/>
      <c r="OBG247" s="23"/>
      <c r="OBL247" s="26"/>
      <c r="OBP247" s="23"/>
      <c r="OBU247" s="26"/>
      <c r="OBY247" s="23"/>
      <c r="OCD247" s="26"/>
      <c r="OCH247" s="23"/>
      <c r="OCM247" s="26"/>
      <c r="OCQ247" s="23"/>
      <c r="OCV247" s="26"/>
      <c r="OCZ247" s="23"/>
      <c r="ODE247" s="26"/>
      <c r="ODI247" s="23"/>
      <c r="ODN247" s="26"/>
      <c r="ODR247" s="23"/>
      <c r="ODW247" s="26"/>
      <c r="OEA247" s="23"/>
      <c r="OEF247" s="26"/>
      <c r="OEJ247" s="23"/>
      <c r="OEO247" s="26"/>
      <c r="OES247" s="23"/>
      <c r="OEX247" s="26"/>
      <c r="OFB247" s="23"/>
      <c r="OFG247" s="26"/>
      <c r="OFK247" s="23"/>
      <c r="OFP247" s="26"/>
      <c r="OFT247" s="23"/>
      <c r="OFY247" s="26"/>
      <c r="OGC247" s="23"/>
      <c r="OGH247" s="26"/>
      <c r="OGL247" s="23"/>
      <c r="OGQ247" s="26"/>
      <c r="OGU247" s="23"/>
      <c r="OGZ247" s="26"/>
      <c r="OHD247" s="23"/>
      <c r="OHI247" s="26"/>
      <c r="OHM247" s="23"/>
      <c r="OHR247" s="26"/>
      <c r="OHV247" s="23"/>
      <c r="OIA247" s="26"/>
      <c r="OIE247" s="23"/>
      <c r="OIJ247" s="26"/>
      <c r="OIN247" s="23"/>
      <c r="OIS247" s="26"/>
      <c r="OIW247" s="23"/>
      <c r="OJB247" s="26"/>
      <c r="OJF247" s="23"/>
      <c r="OJK247" s="26"/>
      <c r="OJO247" s="23"/>
      <c r="OJT247" s="26"/>
      <c r="OJX247" s="23"/>
      <c r="OKC247" s="26"/>
      <c r="OKG247" s="23"/>
      <c r="OKL247" s="26"/>
      <c r="OKP247" s="23"/>
      <c r="OKU247" s="26"/>
      <c r="OKY247" s="23"/>
      <c r="OLD247" s="26"/>
      <c r="OLH247" s="23"/>
      <c r="OLM247" s="26"/>
      <c r="OLQ247" s="23"/>
      <c r="OLV247" s="26"/>
      <c r="OLZ247" s="23"/>
      <c r="OME247" s="26"/>
      <c r="OMI247" s="23"/>
      <c r="OMN247" s="26"/>
      <c r="OMR247" s="23"/>
      <c r="OMW247" s="26"/>
      <c r="ONA247" s="23"/>
      <c r="ONF247" s="26"/>
      <c r="ONJ247" s="23"/>
      <c r="ONO247" s="26"/>
      <c r="ONS247" s="23"/>
      <c r="ONX247" s="26"/>
      <c r="OOB247" s="23"/>
      <c r="OOG247" s="26"/>
      <c r="OOK247" s="23"/>
      <c r="OOP247" s="26"/>
      <c r="OOT247" s="23"/>
      <c r="OOY247" s="26"/>
      <c r="OPC247" s="23"/>
      <c r="OPH247" s="26"/>
      <c r="OPL247" s="23"/>
      <c r="OPQ247" s="26"/>
      <c r="OPU247" s="23"/>
      <c r="OPZ247" s="26"/>
      <c r="OQD247" s="23"/>
      <c r="OQI247" s="26"/>
      <c r="OQM247" s="23"/>
      <c r="OQR247" s="26"/>
      <c r="OQV247" s="23"/>
      <c r="ORA247" s="26"/>
      <c r="ORE247" s="23"/>
      <c r="ORJ247" s="26"/>
      <c r="ORN247" s="23"/>
      <c r="ORS247" s="26"/>
      <c r="ORW247" s="23"/>
      <c r="OSB247" s="26"/>
      <c r="OSF247" s="23"/>
      <c r="OSK247" s="26"/>
      <c r="OSO247" s="23"/>
      <c r="OST247" s="26"/>
      <c r="OSX247" s="23"/>
      <c r="OTC247" s="26"/>
      <c r="OTG247" s="23"/>
      <c r="OTL247" s="26"/>
      <c r="OTP247" s="23"/>
      <c r="OTU247" s="26"/>
      <c r="OTY247" s="23"/>
      <c r="OUD247" s="26"/>
      <c r="OUH247" s="23"/>
      <c r="OUM247" s="26"/>
      <c r="OUQ247" s="23"/>
      <c r="OUV247" s="26"/>
      <c r="OUZ247" s="23"/>
      <c r="OVE247" s="26"/>
      <c r="OVI247" s="23"/>
      <c r="OVN247" s="26"/>
      <c r="OVR247" s="23"/>
      <c r="OVW247" s="26"/>
      <c r="OWA247" s="23"/>
      <c r="OWF247" s="26"/>
      <c r="OWJ247" s="23"/>
      <c r="OWO247" s="26"/>
      <c r="OWS247" s="23"/>
      <c r="OWX247" s="26"/>
      <c r="OXB247" s="23"/>
      <c r="OXG247" s="26"/>
      <c r="OXK247" s="23"/>
      <c r="OXP247" s="26"/>
      <c r="OXT247" s="23"/>
      <c r="OXY247" s="26"/>
      <c r="OYC247" s="23"/>
      <c r="OYH247" s="26"/>
      <c r="OYL247" s="23"/>
      <c r="OYQ247" s="26"/>
      <c r="OYU247" s="23"/>
      <c r="OYZ247" s="26"/>
      <c r="OZD247" s="23"/>
      <c r="OZI247" s="26"/>
      <c r="OZM247" s="23"/>
      <c r="OZR247" s="26"/>
      <c r="OZV247" s="23"/>
      <c r="PAA247" s="26"/>
      <c r="PAE247" s="23"/>
      <c r="PAJ247" s="26"/>
      <c r="PAN247" s="23"/>
      <c r="PAS247" s="26"/>
      <c r="PAW247" s="23"/>
      <c r="PBB247" s="26"/>
      <c r="PBF247" s="23"/>
      <c r="PBK247" s="26"/>
      <c r="PBO247" s="23"/>
      <c r="PBT247" s="26"/>
      <c r="PBX247" s="23"/>
      <c r="PCC247" s="26"/>
      <c r="PCG247" s="23"/>
      <c r="PCL247" s="26"/>
      <c r="PCP247" s="23"/>
      <c r="PCU247" s="26"/>
      <c r="PCY247" s="23"/>
      <c r="PDD247" s="26"/>
      <c r="PDH247" s="23"/>
      <c r="PDM247" s="26"/>
      <c r="PDQ247" s="23"/>
      <c r="PDV247" s="26"/>
      <c r="PDZ247" s="23"/>
      <c r="PEE247" s="26"/>
      <c r="PEI247" s="23"/>
      <c r="PEN247" s="26"/>
      <c r="PER247" s="23"/>
      <c r="PEW247" s="26"/>
      <c r="PFA247" s="23"/>
      <c r="PFF247" s="26"/>
      <c r="PFJ247" s="23"/>
      <c r="PFO247" s="26"/>
      <c r="PFS247" s="23"/>
      <c r="PFX247" s="26"/>
      <c r="PGB247" s="23"/>
      <c r="PGG247" s="26"/>
      <c r="PGK247" s="23"/>
      <c r="PGP247" s="26"/>
      <c r="PGT247" s="23"/>
      <c r="PGY247" s="26"/>
      <c r="PHC247" s="23"/>
      <c r="PHH247" s="26"/>
      <c r="PHL247" s="23"/>
      <c r="PHQ247" s="26"/>
      <c r="PHU247" s="23"/>
      <c r="PHZ247" s="26"/>
      <c r="PID247" s="23"/>
      <c r="PII247" s="26"/>
      <c r="PIM247" s="23"/>
      <c r="PIR247" s="26"/>
      <c r="PIV247" s="23"/>
      <c r="PJA247" s="26"/>
      <c r="PJE247" s="23"/>
      <c r="PJJ247" s="26"/>
      <c r="PJN247" s="23"/>
      <c r="PJS247" s="26"/>
      <c r="PJW247" s="23"/>
      <c r="PKB247" s="26"/>
      <c r="PKF247" s="23"/>
      <c r="PKK247" s="26"/>
      <c r="PKO247" s="23"/>
      <c r="PKT247" s="26"/>
      <c r="PKX247" s="23"/>
      <c r="PLC247" s="26"/>
      <c r="PLG247" s="23"/>
      <c r="PLL247" s="26"/>
      <c r="PLP247" s="23"/>
      <c r="PLU247" s="26"/>
      <c r="PLY247" s="23"/>
      <c r="PMD247" s="26"/>
      <c r="PMH247" s="23"/>
      <c r="PMM247" s="26"/>
      <c r="PMQ247" s="23"/>
      <c r="PMV247" s="26"/>
      <c r="PMZ247" s="23"/>
      <c r="PNE247" s="26"/>
      <c r="PNI247" s="23"/>
      <c r="PNN247" s="26"/>
      <c r="PNR247" s="23"/>
      <c r="PNW247" s="26"/>
      <c r="POA247" s="23"/>
      <c r="POF247" s="26"/>
      <c r="POJ247" s="23"/>
      <c r="POO247" s="26"/>
      <c r="POS247" s="23"/>
      <c r="POX247" s="26"/>
      <c r="PPB247" s="23"/>
      <c r="PPG247" s="26"/>
      <c r="PPK247" s="23"/>
      <c r="PPP247" s="26"/>
      <c r="PPT247" s="23"/>
      <c r="PPY247" s="26"/>
      <c r="PQC247" s="23"/>
      <c r="PQH247" s="26"/>
      <c r="PQL247" s="23"/>
      <c r="PQQ247" s="26"/>
      <c r="PQU247" s="23"/>
      <c r="PQZ247" s="26"/>
      <c r="PRD247" s="23"/>
      <c r="PRI247" s="26"/>
      <c r="PRM247" s="23"/>
      <c r="PRR247" s="26"/>
      <c r="PRV247" s="23"/>
      <c r="PSA247" s="26"/>
      <c r="PSE247" s="23"/>
      <c r="PSJ247" s="26"/>
      <c r="PSN247" s="23"/>
      <c r="PSS247" s="26"/>
      <c r="PSW247" s="23"/>
      <c r="PTB247" s="26"/>
      <c r="PTF247" s="23"/>
      <c r="PTK247" s="26"/>
      <c r="PTO247" s="23"/>
      <c r="PTT247" s="26"/>
      <c r="PTX247" s="23"/>
      <c r="PUC247" s="26"/>
      <c r="PUG247" s="23"/>
      <c r="PUL247" s="26"/>
      <c r="PUP247" s="23"/>
      <c r="PUU247" s="26"/>
      <c r="PUY247" s="23"/>
      <c r="PVD247" s="26"/>
      <c r="PVH247" s="23"/>
      <c r="PVM247" s="26"/>
      <c r="PVQ247" s="23"/>
      <c r="PVV247" s="26"/>
      <c r="PVZ247" s="23"/>
      <c r="PWE247" s="26"/>
      <c r="PWI247" s="23"/>
      <c r="PWN247" s="26"/>
      <c r="PWR247" s="23"/>
      <c r="PWW247" s="26"/>
      <c r="PXA247" s="23"/>
      <c r="PXF247" s="26"/>
      <c r="PXJ247" s="23"/>
      <c r="PXO247" s="26"/>
      <c r="PXS247" s="23"/>
      <c r="PXX247" s="26"/>
      <c r="PYB247" s="23"/>
      <c r="PYG247" s="26"/>
      <c r="PYK247" s="23"/>
      <c r="PYP247" s="26"/>
      <c r="PYT247" s="23"/>
      <c r="PYY247" s="26"/>
      <c r="PZC247" s="23"/>
      <c r="PZH247" s="26"/>
      <c r="PZL247" s="23"/>
      <c r="PZQ247" s="26"/>
      <c r="PZU247" s="23"/>
      <c r="PZZ247" s="26"/>
      <c r="QAD247" s="23"/>
      <c r="QAI247" s="26"/>
      <c r="QAM247" s="23"/>
      <c r="QAR247" s="26"/>
      <c r="QAV247" s="23"/>
      <c r="QBA247" s="26"/>
      <c r="QBE247" s="23"/>
      <c r="QBJ247" s="26"/>
      <c r="QBN247" s="23"/>
      <c r="QBS247" s="26"/>
      <c r="QBW247" s="23"/>
      <c r="QCB247" s="26"/>
      <c r="QCF247" s="23"/>
      <c r="QCK247" s="26"/>
      <c r="QCO247" s="23"/>
      <c r="QCT247" s="26"/>
      <c r="QCX247" s="23"/>
      <c r="QDC247" s="26"/>
      <c r="QDG247" s="23"/>
      <c r="QDL247" s="26"/>
      <c r="QDP247" s="23"/>
      <c r="QDU247" s="26"/>
      <c r="QDY247" s="23"/>
      <c r="QED247" s="26"/>
      <c r="QEH247" s="23"/>
      <c r="QEM247" s="26"/>
      <c r="QEQ247" s="23"/>
      <c r="QEV247" s="26"/>
      <c r="QEZ247" s="23"/>
      <c r="QFE247" s="26"/>
      <c r="QFI247" s="23"/>
      <c r="QFN247" s="26"/>
      <c r="QFR247" s="23"/>
      <c r="QFW247" s="26"/>
      <c r="QGA247" s="23"/>
      <c r="QGF247" s="26"/>
      <c r="QGJ247" s="23"/>
      <c r="QGO247" s="26"/>
      <c r="QGS247" s="23"/>
      <c r="QGX247" s="26"/>
      <c r="QHB247" s="23"/>
      <c r="QHG247" s="26"/>
      <c r="QHK247" s="23"/>
      <c r="QHP247" s="26"/>
      <c r="QHT247" s="23"/>
      <c r="QHY247" s="26"/>
      <c r="QIC247" s="23"/>
      <c r="QIH247" s="26"/>
      <c r="QIL247" s="23"/>
      <c r="QIQ247" s="26"/>
      <c r="QIU247" s="23"/>
      <c r="QIZ247" s="26"/>
      <c r="QJD247" s="23"/>
      <c r="QJI247" s="26"/>
      <c r="QJM247" s="23"/>
      <c r="QJR247" s="26"/>
      <c r="QJV247" s="23"/>
      <c r="QKA247" s="26"/>
      <c r="QKE247" s="23"/>
      <c r="QKJ247" s="26"/>
      <c r="QKN247" s="23"/>
      <c r="QKS247" s="26"/>
      <c r="QKW247" s="23"/>
      <c r="QLB247" s="26"/>
      <c r="QLF247" s="23"/>
      <c r="QLK247" s="26"/>
      <c r="QLO247" s="23"/>
      <c r="QLT247" s="26"/>
      <c r="QLX247" s="23"/>
      <c r="QMC247" s="26"/>
      <c r="QMG247" s="23"/>
      <c r="QML247" s="26"/>
      <c r="QMP247" s="23"/>
      <c r="QMU247" s="26"/>
      <c r="QMY247" s="23"/>
      <c r="QND247" s="26"/>
      <c r="QNH247" s="23"/>
      <c r="QNM247" s="26"/>
      <c r="QNQ247" s="23"/>
      <c r="QNV247" s="26"/>
      <c r="QNZ247" s="23"/>
      <c r="QOE247" s="26"/>
      <c r="QOI247" s="23"/>
      <c r="QON247" s="26"/>
      <c r="QOR247" s="23"/>
      <c r="QOW247" s="26"/>
      <c r="QPA247" s="23"/>
      <c r="QPF247" s="26"/>
      <c r="QPJ247" s="23"/>
      <c r="QPO247" s="26"/>
      <c r="QPS247" s="23"/>
      <c r="QPX247" s="26"/>
      <c r="QQB247" s="23"/>
      <c r="QQG247" s="26"/>
      <c r="QQK247" s="23"/>
      <c r="QQP247" s="26"/>
      <c r="QQT247" s="23"/>
      <c r="QQY247" s="26"/>
      <c r="QRC247" s="23"/>
      <c r="QRH247" s="26"/>
      <c r="QRL247" s="23"/>
      <c r="QRQ247" s="26"/>
      <c r="QRU247" s="23"/>
      <c r="QRZ247" s="26"/>
      <c r="QSD247" s="23"/>
      <c r="QSI247" s="26"/>
      <c r="QSM247" s="23"/>
      <c r="QSR247" s="26"/>
      <c r="QSV247" s="23"/>
      <c r="QTA247" s="26"/>
      <c r="QTE247" s="23"/>
      <c r="QTJ247" s="26"/>
      <c r="QTN247" s="23"/>
      <c r="QTS247" s="26"/>
      <c r="QTW247" s="23"/>
      <c r="QUB247" s="26"/>
      <c r="QUF247" s="23"/>
      <c r="QUK247" s="26"/>
      <c r="QUO247" s="23"/>
      <c r="QUT247" s="26"/>
      <c r="QUX247" s="23"/>
      <c r="QVC247" s="26"/>
      <c r="QVG247" s="23"/>
      <c r="QVL247" s="26"/>
      <c r="QVP247" s="23"/>
      <c r="QVU247" s="26"/>
      <c r="QVY247" s="23"/>
      <c r="QWD247" s="26"/>
      <c r="QWH247" s="23"/>
      <c r="QWM247" s="26"/>
      <c r="QWQ247" s="23"/>
      <c r="QWV247" s="26"/>
      <c r="QWZ247" s="23"/>
      <c r="QXE247" s="26"/>
      <c r="QXI247" s="23"/>
      <c r="QXN247" s="26"/>
      <c r="QXR247" s="23"/>
      <c r="QXW247" s="26"/>
      <c r="QYA247" s="23"/>
      <c r="QYF247" s="26"/>
      <c r="QYJ247" s="23"/>
      <c r="QYO247" s="26"/>
      <c r="QYS247" s="23"/>
      <c r="QYX247" s="26"/>
      <c r="QZB247" s="23"/>
      <c r="QZG247" s="26"/>
      <c r="QZK247" s="23"/>
      <c r="QZP247" s="26"/>
      <c r="QZT247" s="23"/>
      <c r="QZY247" s="26"/>
      <c r="RAC247" s="23"/>
      <c r="RAH247" s="26"/>
      <c r="RAL247" s="23"/>
      <c r="RAQ247" s="26"/>
      <c r="RAU247" s="23"/>
      <c r="RAZ247" s="26"/>
      <c r="RBD247" s="23"/>
      <c r="RBI247" s="26"/>
      <c r="RBM247" s="23"/>
      <c r="RBR247" s="26"/>
      <c r="RBV247" s="23"/>
      <c r="RCA247" s="26"/>
      <c r="RCE247" s="23"/>
      <c r="RCJ247" s="26"/>
      <c r="RCN247" s="23"/>
      <c r="RCS247" s="26"/>
      <c r="RCW247" s="23"/>
      <c r="RDB247" s="26"/>
      <c r="RDF247" s="23"/>
      <c r="RDK247" s="26"/>
      <c r="RDO247" s="23"/>
      <c r="RDT247" s="26"/>
      <c r="RDX247" s="23"/>
      <c r="REC247" s="26"/>
      <c r="REG247" s="23"/>
      <c r="REL247" s="26"/>
      <c r="REP247" s="23"/>
      <c r="REU247" s="26"/>
      <c r="REY247" s="23"/>
      <c r="RFD247" s="26"/>
      <c r="RFH247" s="23"/>
      <c r="RFM247" s="26"/>
      <c r="RFQ247" s="23"/>
      <c r="RFV247" s="26"/>
      <c r="RFZ247" s="23"/>
      <c r="RGE247" s="26"/>
      <c r="RGI247" s="23"/>
      <c r="RGN247" s="26"/>
      <c r="RGR247" s="23"/>
      <c r="RGW247" s="26"/>
      <c r="RHA247" s="23"/>
      <c r="RHF247" s="26"/>
      <c r="RHJ247" s="23"/>
      <c r="RHO247" s="26"/>
      <c r="RHS247" s="23"/>
      <c r="RHX247" s="26"/>
      <c r="RIB247" s="23"/>
      <c r="RIG247" s="26"/>
      <c r="RIK247" s="23"/>
      <c r="RIP247" s="26"/>
      <c r="RIT247" s="23"/>
      <c r="RIY247" s="26"/>
      <c r="RJC247" s="23"/>
      <c r="RJH247" s="26"/>
      <c r="RJL247" s="23"/>
      <c r="RJQ247" s="26"/>
      <c r="RJU247" s="23"/>
      <c r="RJZ247" s="26"/>
      <c r="RKD247" s="23"/>
      <c r="RKI247" s="26"/>
      <c r="RKM247" s="23"/>
      <c r="RKR247" s="26"/>
      <c r="RKV247" s="23"/>
      <c r="RLA247" s="26"/>
      <c r="RLE247" s="23"/>
      <c r="RLJ247" s="26"/>
      <c r="RLN247" s="23"/>
      <c r="RLS247" s="26"/>
      <c r="RLW247" s="23"/>
      <c r="RMB247" s="26"/>
      <c r="RMF247" s="23"/>
      <c r="RMK247" s="26"/>
      <c r="RMO247" s="23"/>
      <c r="RMT247" s="26"/>
      <c r="RMX247" s="23"/>
      <c r="RNC247" s="26"/>
      <c r="RNG247" s="23"/>
      <c r="RNL247" s="26"/>
      <c r="RNP247" s="23"/>
      <c r="RNU247" s="26"/>
      <c r="RNY247" s="23"/>
      <c r="ROD247" s="26"/>
      <c r="ROH247" s="23"/>
      <c r="ROM247" s="26"/>
      <c r="ROQ247" s="23"/>
      <c r="ROV247" s="26"/>
      <c r="ROZ247" s="23"/>
      <c r="RPE247" s="26"/>
      <c r="RPI247" s="23"/>
      <c r="RPN247" s="26"/>
      <c r="RPR247" s="23"/>
      <c r="RPW247" s="26"/>
      <c r="RQA247" s="23"/>
      <c r="RQF247" s="26"/>
      <c r="RQJ247" s="23"/>
      <c r="RQO247" s="26"/>
      <c r="RQS247" s="23"/>
      <c r="RQX247" s="26"/>
      <c r="RRB247" s="23"/>
      <c r="RRG247" s="26"/>
      <c r="RRK247" s="23"/>
      <c r="RRP247" s="26"/>
      <c r="RRT247" s="23"/>
      <c r="RRY247" s="26"/>
      <c r="RSC247" s="23"/>
      <c r="RSH247" s="26"/>
      <c r="RSL247" s="23"/>
      <c r="RSQ247" s="26"/>
      <c r="RSU247" s="23"/>
      <c r="RSZ247" s="26"/>
      <c r="RTD247" s="23"/>
      <c r="RTI247" s="26"/>
      <c r="RTM247" s="23"/>
      <c r="RTR247" s="26"/>
      <c r="RTV247" s="23"/>
      <c r="RUA247" s="26"/>
      <c r="RUE247" s="23"/>
      <c r="RUJ247" s="26"/>
      <c r="RUN247" s="23"/>
      <c r="RUS247" s="26"/>
      <c r="RUW247" s="23"/>
      <c r="RVB247" s="26"/>
      <c r="RVF247" s="23"/>
      <c r="RVK247" s="26"/>
      <c r="RVO247" s="23"/>
      <c r="RVT247" s="26"/>
      <c r="RVX247" s="23"/>
      <c r="RWC247" s="26"/>
      <c r="RWG247" s="23"/>
      <c r="RWL247" s="26"/>
      <c r="RWP247" s="23"/>
      <c r="RWU247" s="26"/>
      <c r="RWY247" s="23"/>
      <c r="RXD247" s="26"/>
      <c r="RXH247" s="23"/>
      <c r="RXM247" s="26"/>
      <c r="RXQ247" s="23"/>
      <c r="RXV247" s="26"/>
      <c r="RXZ247" s="23"/>
      <c r="RYE247" s="26"/>
      <c r="RYI247" s="23"/>
      <c r="RYN247" s="26"/>
      <c r="RYR247" s="23"/>
      <c r="RYW247" s="26"/>
      <c r="RZA247" s="23"/>
      <c r="RZF247" s="26"/>
      <c r="RZJ247" s="23"/>
      <c r="RZO247" s="26"/>
      <c r="RZS247" s="23"/>
      <c r="RZX247" s="26"/>
      <c r="SAB247" s="23"/>
      <c r="SAG247" s="26"/>
      <c r="SAK247" s="23"/>
      <c r="SAP247" s="26"/>
      <c r="SAT247" s="23"/>
      <c r="SAY247" s="26"/>
      <c r="SBC247" s="23"/>
      <c r="SBH247" s="26"/>
      <c r="SBL247" s="23"/>
      <c r="SBQ247" s="26"/>
      <c r="SBU247" s="23"/>
      <c r="SBZ247" s="26"/>
      <c r="SCD247" s="23"/>
      <c r="SCI247" s="26"/>
      <c r="SCM247" s="23"/>
      <c r="SCR247" s="26"/>
      <c r="SCV247" s="23"/>
      <c r="SDA247" s="26"/>
      <c r="SDE247" s="23"/>
      <c r="SDJ247" s="26"/>
      <c r="SDN247" s="23"/>
      <c r="SDS247" s="26"/>
      <c r="SDW247" s="23"/>
      <c r="SEB247" s="26"/>
      <c r="SEF247" s="23"/>
      <c r="SEK247" s="26"/>
      <c r="SEO247" s="23"/>
      <c r="SET247" s="26"/>
      <c r="SEX247" s="23"/>
      <c r="SFC247" s="26"/>
      <c r="SFG247" s="23"/>
      <c r="SFL247" s="26"/>
      <c r="SFP247" s="23"/>
      <c r="SFU247" s="26"/>
      <c r="SFY247" s="23"/>
      <c r="SGD247" s="26"/>
      <c r="SGH247" s="23"/>
      <c r="SGM247" s="26"/>
      <c r="SGQ247" s="23"/>
      <c r="SGV247" s="26"/>
      <c r="SGZ247" s="23"/>
      <c r="SHE247" s="26"/>
      <c r="SHI247" s="23"/>
      <c r="SHN247" s="26"/>
      <c r="SHR247" s="23"/>
      <c r="SHW247" s="26"/>
      <c r="SIA247" s="23"/>
      <c r="SIF247" s="26"/>
      <c r="SIJ247" s="23"/>
      <c r="SIO247" s="26"/>
      <c r="SIS247" s="23"/>
      <c r="SIX247" s="26"/>
      <c r="SJB247" s="23"/>
      <c r="SJG247" s="26"/>
      <c r="SJK247" s="23"/>
      <c r="SJP247" s="26"/>
      <c r="SJT247" s="23"/>
      <c r="SJY247" s="26"/>
      <c r="SKC247" s="23"/>
      <c r="SKH247" s="26"/>
      <c r="SKL247" s="23"/>
      <c r="SKQ247" s="26"/>
      <c r="SKU247" s="23"/>
      <c r="SKZ247" s="26"/>
      <c r="SLD247" s="23"/>
      <c r="SLI247" s="26"/>
      <c r="SLM247" s="23"/>
      <c r="SLR247" s="26"/>
      <c r="SLV247" s="23"/>
      <c r="SMA247" s="26"/>
      <c r="SME247" s="23"/>
      <c r="SMJ247" s="26"/>
      <c r="SMN247" s="23"/>
      <c r="SMS247" s="26"/>
      <c r="SMW247" s="23"/>
      <c r="SNB247" s="26"/>
      <c r="SNF247" s="23"/>
      <c r="SNK247" s="26"/>
      <c r="SNO247" s="23"/>
      <c r="SNT247" s="26"/>
      <c r="SNX247" s="23"/>
      <c r="SOC247" s="26"/>
      <c r="SOG247" s="23"/>
      <c r="SOL247" s="26"/>
      <c r="SOP247" s="23"/>
      <c r="SOU247" s="26"/>
      <c r="SOY247" s="23"/>
      <c r="SPD247" s="26"/>
      <c r="SPH247" s="23"/>
      <c r="SPM247" s="26"/>
      <c r="SPQ247" s="23"/>
      <c r="SPV247" s="26"/>
      <c r="SPZ247" s="23"/>
      <c r="SQE247" s="26"/>
      <c r="SQI247" s="23"/>
      <c r="SQN247" s="26"/>
      <c r="SQR247" s="23"/>
      <c r="SQW247" s="26"/>
      <c r="SRA247" s="23"/>
      <c r="SRF247" s="26"/>
      <c r="SRJ247" s="23"/>
      <c r="SRO247" s="26"/>
      <c r="SRS247" s="23"/>
      <c r="SRX247" s="26"/>
      <c r="SSB247" s="23"/>
      <c r="SSG247" s="26"/>
      <c r="SSK247" s="23"/>
      <c r="SSP247" s="26"/>
      <c r="SST247" s="23"/>
      <c r="SSY247" s="26"/>
      <c r="STC247" s="23"/>
      <c r="STH247" s="26"/>
      <c r="STL247" s="23"/>
      <c r="STQ247" s="26"/>
      <c r="STU247" s="23"/>
      <c r="STZ247" s="26"/>
      <c r="SUD247" s="23"/>
      <c r="SUI247" s="26"/>
      <c r="SUM247" s="23"/>
      <c r="SUR247" s="26"/>
      <c r="SUV247" s="23"/>
      <c r="SVA247" s="26"/>
      <c r="SVE247" s="23"/>
      <c r="SVJ247" s="26"/>
      <c r="SVN247" s="23"/>
      <c r="SVS247" s="26"/>
      <c r="SVW247" s="23"/>
      <c r="SWB247" s="26"/>
      <c r="SWF247" s="23"/>
      <c r="SWK247" s="26"/>
      <c r="SWO247" s="23"/>
      <c r="SWT247" s="26"/>
      <c r="SWX247" s="23"/>
      <c r="SXC247" s="26"/>
      <c r="SXG247" s="23"/>
      <c r="SXL247" s="26"/>
      <c r="SXP247" s="23"/>
      <c r="SXU247" s="26"/>
      <c r="SXY247" s="23"/>
      <c r="SYD247" s="26"/>
      <c r="SYH247" s="23"/>
      <c r="SYM247" s="26"/>
      <c r="SYQ247" s="23"/>
      <c r="SYV247" s="26"/>
      <c r="SYZ247" s="23"/>
      <c r="SZE247" s="26"/>
      <c r="SZI247" s="23"/>
      <c r="SZN247" s="26"/>
      <c r="SZR247" s="23"/>
      <c r="SZW247" s="26"/>
      <c r="TAA247" s="23"/>
      <c r="TAF247" s="26"/>
      <c r="TAJ247" s="23"/>
      <c r="TAO247" s="26"/>
      <c r="TAS247" s="23"/>
      <c r="TAX247" s="26"/>
      <c r="TBB247" s="23"/>
      <c r="TBG247" s="26"/>
      <c r="TBK247" s="23"/>
      <c r="TBP247" s="26"/>
      <c r="TBT247" s="23"/>
      <c r="TBY247" s="26"/>
      <c r="TCC247" s="23"/>
      <c r="TCH247" s="26"/>
      <c r="TCL247" s="23"/>
      <c r="TCQ247" s="26"/>
      <c r="TCU247" s="23"/>
      <c r="TCZ247" s="26"/>
      <c r="TDD247" s="23"/>
      <c r="TDI247" s="26"/>
      <c r="TDM247" s="23"/>
      <c r="TDR247" s="26"/>
      <c r="TDV247" s="23"/>
      <c r="TEA247" s="26"/>
      <c r="TEE247" s="23"/>
      <c r="TEJ247" s="26"/>
      <c r="TEN247" s="23"/>
      <c r="TES247" s="26"/>
      <c r="TEW247" s="23"/>
      <c r="TFB247" s="26"/>
      <c r="TFF247" s="23"/>
      <c r="TFK247" s="26"/>
      <c r="TFO247" s="23"/>
      <c r="TFT247" s="26"/>
      <c r="TFX247" s="23"/>
      <c r="TGC247" s="26"/>
      <c r="TGG247" s="23"/>
      <c r="TGL247" s="26"/>
      <c r="TGP247" s="23"/>
      <c r="TGU247" s="26"/>
      <c r="TGY247" s="23"/>
      <c r="THD247" s="26"/>
      <c r="THH247" s="23"/>
      <c r="THM247" s="26"/>
      <c r="THQ247" s="23"/>
      <c r="THV247" s="26"/>
      <c r="THZ247" s="23"/>
      <c r="TIE247" s="26"/>
      <c r="TII247" s="23"/>
      <c r="TIN247" s="26"/>
      <c r="TIR247" s="23"/>
      <c r="TIW247" s="26"/>
      <c r="TJA247" s="23"/>
      <c r="TJF247" s="26"/>
      <c r="TJJ247" s="23"/>
      <c r="TJO247" s="26"/>
      <c r="TJS247" s="23"/>
      <c r="TJX247" s="26"/>
      <c r="TKB247" s="23"/>
      <c r="TKG247" s="26"/>
      <c r="TKK247" s="23"/>
      <c r="TKP247" s="26"/>
      <c r="TKT247" s="23"/>
      <c r="TKY247" s="26"/>
      <c r="TLC247" s="23"/>
      <c r="TLH247" s="26"/>
      <c r="TLL247" s="23"/>
      <c r="TLQ247" s="26"/>
      <c r="TLU247" s="23"/>
      <c r="TLZ247" s="26"/>
      <c r="TMD247" s="23"/>
      <c r="TMI247" s="26"/>
      <c r="TMM247" s="23"/>
      <c r="TMR247" s="26"/>
      <c r="TMV247" s="23"/>
      <c r="TNA247" s="26"/>
      <c r="TNE247" s="23"/>
      <c r="TNJ247" s="26"/>
      <c r="TNN247" s="23"/>
      <c r="TNS247" s="26"/>
      <c r="TNW247" s="23"/>
      <c r="TOB247" s="26"/>
      <c r="TOF247" s="23"/>
      <c r="TOK247" s="26"/>
      <c r="TOO247" s="23"/>
      <c r="TOT247" s="26"/>
      <c r="TOX247" s="23"/>
      <c r="TPC247" s="26"/>
      <c r="TPG247" s="23"/>
      <c r="TPL247" s="26"/>
      <c r="TPP247" s="23"/>
      <c r="TPU247" s="26"/>
      <c r="TPY247" s="23"/>
      <c r="TQD247" s="26"/>
      <c r="TQH247" s="23"/>
      <c r="TQM247" s="26"/>
      <c r="TQQ247" s="23"/>
      <c r="TQV247" s="26"/>
      <c r="TQZ247" s="23"/>
      <c r="TRE247" s="26"/>
      <c r="TRI247" s="23"/>
      <c r="TRN247" s="26"/>
      <c r="TRR247" s="23"/>
      <c r="TRW247" s="26"/>
      <c r="TSA247" s="23"/>
      <c r="TSF247" s="26"/>
      <c r="TSJ247" s="23"/>
      <c r="TSO247" s="26"/>
      <c r="TSS247" s="23"/>
      <c r="TSX247" s="26"/>
      <c r="TTB247" s="23"/>
      <c r="TTG247" s="26"/>
      <c r="TTK247" s="23"/>
      <c r="TTP247" s="26"/>
      <c r="TTT247" s="23"/>
      <c r="TTY247" s="26"/>
      <c r="TUC247" s="23"/>
      <c r="TUH247" s="26"/>
      <c r="TUL247" s="23"/>
      <c r="TUQ247" s="26"/>
      <c r="TUU247" s="23"/>
      <c r="TUZ247" s="26"/>
      <c r="TVD247" s="23"/>
      <c r="TVI247" s="26"/>
      <c r="TVM247" s="23"/>
      <c r="TVR247" s="26"/>
      <c r="TVV247" s="23"/>
      <c r="TWA247" s="26"/>
      <c r="TWE247" s="23"/>
      <c r="TWJ247" s="26"/>
      <c r="TWN247" s="23"/>
      <c r="TWS247" s="26"/>
      <c r="TWW247" s="23"/>
      <c r="TXB247" s="26"/>
      <c r="TXF247" s="23"/>
      <c r="TXK247" s="26"/>
      <c r="TXO247" s="23"/>
      <c r="TXT247" s="26"/>
      <c r="TXX247" s="23"/>
      <c r="TYC247" s="26"/>
      <c r="TYG247" s="23"/>
      <c r="TYL247" s="26"/>
      <c r="TYP247" s="23"/>
      <c r="TYU247" s="26"/>
      <c r="TYY247" s="23"/>
      <c r="TZD247" s="26"/>
      <c r="TZH247" s="23"/>
      <c r="TZM247" s="26"/>
      <c r="TZQ247" s="23"/>
      <c r="TZV247" s="26"/>
      <c r="TZZ247" s="23"/>
      <c r="UAE247" s="26"/>
      <c r="UAI247" s="23"/>
      <c r="UAN247" s="26"/>
      <c r="UAR247" s="23"/>
      <c r="UAW247" s="26"/>
      <c r="UBA247" s="23"/>
      <c r="UBF247" s="26"/>
      <c r="UBJ247" s="23"/>
      <c r="UBO247" s="26"/>
      <c r="UBS247" s="23"/>
      <c r="UBX247" s="26"/>
      <c r="UCB247" s="23"/>
      <c r="UCG247" s="26"/>
      <c r="UCK247" s="23"/>
      <c r="UCP247" s="26"/>
      <c r="UCT247" s="23"/>
      <c r="UCY247" s="26"/>
      <c r="UDC247" s="23"/>
      <c r="UDH247" s="26"/>
      <c r="UDL247" s="23"/>
      <c r="UDQ247" s="26"/>
      <c r="UDU247" s="23"/>
      <c r="UDZ247" s="26"/>
      <c r="UED247" s="23"/>
      <c r="UEI247" s="26"/>
      <c r="UEM247" s="23"/>
      <c r="UER247" s="26"/>
      <c r="UEV247" s="23"/>
      <c r="UFA247" s="26"/>
      <c r="UFE247" s="23"/>
      <c r="UFJ247" s="26"/>
      <c r="UFN247" s="23"/>
      <c r="UFS247" s="26"/>
      <c r="UFW247" s="23"/>
      <c r="UGB247" s="26"/>
      <c r="UGF247" s="23"/>
      <c r="UGK247" s="26"/>
      <c r="UGO247" s="23"/>
      <c r="UGT247" s="26"/>
      <c r="UGX247" s="23"/>
      <c r="UHC247" s="26"/>
      <c r="UHG247" s="23"/>
      <c r="UHL247" s="26"/>
      <c r="UHP247" s="23"/>
      <c r="UHU247" s="26"/>
      <c r="UHY247" s="23"/>
      <c r="UID247" s="26"/>
      <c r="UIH247" s="23"/>
      <c r="UIM247" s="26"/>
      <c r="UIQ247" s="23"/>
      <c r="UIV247" s="26"/>
      <c r="UIZ247" s="23"/>
      <c r="UJE247" s="26"/>
      <c r="UJI247" s="23"/>
      <c r="UJN247" s="26"/>
      <c r="UJR247" s="23"/>
      <c r="UJW247" s="26"/>
      <c r="UKA247" s="23"/>
      <c r="UKF247" s="26"/>
      <c r="UKJ247" s="23"/>
      <c r="UKO247" s="26"/>
      <c r="UKS247" s="23"/>
      <c r="UKX247" s="26"/>
      <c r="ULB247" s="23"/>
      <c r="ULG247" s="26"/>
      <c r="ULK247" s="23"/>
      <c r="ULP247" s="26"/>
      <c r="ULT247" s="23"/>
      <c r="ULY247" s="26"/>
      <c r="UMC247" s="23"/>
      <c r="UMH247" s="26"/>
      <c r="UML247" s="23"/>
      <c r="UMQ247" s="26"/>
      <c r="UMU247" s="23"/>
      <c r="UMZ247" s="26"/>
      <c r="UND247" s="23"/>
      <c r="UNI247" s="26"/>
      <c r="UNM247" s="23"/>
      <c r="UNR247" s="26"/>
      <c r="UNV247" s="23"/>
      <c r="UOA247" s="26"/>
      <c r="UOE247" s="23"/>
      <c r="UOJ247" s="26"/>
      <c r="UON247" s="23"/>
      <c r="UOS247" s="26"/>
      <c r="UOW247" s="23"/>
      <c r="UPB247" s="26"/>
      <c r="UPF247" s="23"/>
      <c r="UPK247" s="26"/>
      <c r="UPO247" s="23"/>
      <c r="UPT247" s="26"/>
      <c r="UPX247" s="23"/>
      <c r="UQC247" s="26"/>
      <c r="UQG247" s="23"/>
      <c r="UQL247" s="26"/>
      <c r="UQP247" s="23"/>
      <c r="UQU247" s="26"/>
      <c r="UQY247" s="23"/>
      <c r="URD247" s="26"/>
      <c r="URH247" s="23"/>
      <c r="URM247" s="26"/>
      <c r="URQ247" s="23"/>
      <c r="URV247" s="26"/>
      <c r="URZ247" s="23"/>
      <c r="USE247" s="26"/>
      <c r="USI247" s="23"/>
      <c r="USN247" s="26"/>
      <c r="USR247" s="23"/>
      <c r="USW247" s="26"/>
      <c r="UTA247" s="23"/>
      <c r="UTF247" s="26"/>
      <c r="UTJ247" s="23"/>
      <c r="UTO247" s="26"/>
      <c r="UTS247" s="23"/>
      <c r="UTX247" s="26"/>
      <c r="UUB247" s="23"/>
      <c r="UUG247" s="26"/>
      <c r="UUK247" s="23"/>
      <c r="UUP247" s="26"/>
      <c r="UUT247" s="23"/>
      <c r="UUY247" s="26"/>
      <c r="UVC247" s="23"/>
      <c r="UVH247" s="26"/>
      <c r="UVL247" s="23"/>
      <c r="UVQ247" s="26"/>
      <c r="UVU247" s="23"/>
      <c r="UVZ247" s="26"/>
      <c r="UWD247" s="23"/>
      <c r="UWI247" s="26"/>
      <c r="UWM247" s="23"/>
      <c r="UWR247" s="26"/>
      <c r="UWV247" s="23"/>
      <c r="UXA247" s="26"/>
      <c r="UXE247" s="23"/>
      <c r="UXJ247" s="26"/>
      <c r="UXN247" s="23"/>
      <c r="UXS247" s="26"/>
      <c r="UXW247" s="23"/>
      <c r="UYB247" s="26"/>
      <c r="UYF247" s="23"/>
      <c r="UYK247" s="26"/>
      <c r="UYO247" s="23"/>
      <c r="UYT247" s="26"/>
      <c r="UYX247" s="23"/>
      <c r="UZC247" s="26"/>
      <c r="UZG247" s="23"/>
      <c r="UZL247" s="26"/>
      <c r="UZP247" s="23"/>
      <c r="UZU247" s="26"/>
      <c r="UZY247" s="23"/>
      <c r="VAD247" s="26"/>
      <c r="VAH247" s="23"/>
      <c r="VAM247" s="26"/>
      <c r="VAQ247" s="23"/>
      <c r="VAV247" s="26"/>
      <c r="VAZ247" s="23"/>
      <c r="VBE247" s="26"/>
      <c r="VBI247" s="23"/>
      <c r="VBN247" s="26"/>
      <c r="VBR247" s="23"/>
      <c r="VBW247" s="26"/>
      <c r="VCA247" s="23"/>
      <c r="VCF247" s="26"/>
      <c r="VCJ247" s="23"/>
      <c r="VCO247" s="26"/>
      <c r="VCS247" s="23"/>
      <c r="VCX247" s="26"/>
      <c r="VDB247" s="23"/>
      <c r="VDG247" s="26"/>
      <c r="VDK247" s="23"/>
      <c r="VDP247" s="26"/>
      <c r="VDT247" s="23"/>
      <c r="VDY247" s="26"/>
      <c r="VEC247" s="23"/>
      <c r="VEH247" s="26"/>
      <c r="VEL247" s="23"/>
      <c r="VEQ247" s="26"/>
      <c r="VEU247" s="23"/>
      <c r="VEZ247" s="26"/>
      <c r="VFD247" s="23"/>
      <c r="VFI247" s="26"/>
      <c r="VFM247" s="23"/>
      <c r="VFR247" s="26"/>
      <c r="VFV247" s="23"/>
      <c r="VGA247" s="26"/>
      <c r="VGE247" s="23"/>
      <c r="VGJ247" s="26"/>
      <c r="VGN247" s="23"/>
      <c r="VGS247" s="26"/>
      <c r="VGW247" s="23"/>
      <c r="VHB247" s="26"/>
      <c r="VHF247" s="23"/>
      <c r="VHK247" s="26"/>
      <c r="VHO247" s="23"/>
      <c r="VHT247" s="26"/>
      <c r="VHX247" s="23"/>
      <c r="VIC247" s="26"/>
      <c r="VIG247" s="23"/>
      <c r="VIL247" s="26"/>
      <c r="VIP247" s="23"/>
      <c r="VIU247" s="26"/>
      <c r="VIY247" s="23"/>
      <c r="VJD247" s="26"/>
      <c r="VJH247" s="23"/>
      <c r="VJM247" s="26"/>
      <c r="VJQ247" s="23"/>
      <c r="VJV247" s="26"/>
      <c r="VJZ247" s="23"/>
      <c r="VKE247" s="26"/>
      <c r="VKI247" s="23"/>
      <c r="VKN247" s="26"/>
      <c r="VKR247" s="23"/>
      <c r="VKW247" s="26"/>
      <c r="VLA247" s="23"/>
      <c r="VLF247" s="26"/>
      <c r="VLJ247" s="23"/>
      <c r="VLO247" s="26"/>
      <c r="VLS247" s="23"/>
      <c r="VLX247" s="26"/>
      <c r="VMB247" s="23"/>
      <c r="VMG247" s="26"/>
      <c r="VMK247" s="23"/>
      <c r="VMP247" s="26"/>
      <c r="VMT247" s="23"/>
      <c r="VMY247" s="26"/>
      <c r="VNC247" s="23"/>
      <c r="VNH247" s="26"/>
      <c r="VNL247" s="23"/>
      <c r="VNQ247" s="26"/>
      <c r="VNU247" s="23"/>
      <c r="VNZ247" s="26"/>
      <c r="VOD247" s="23"/>
      <c r="VOI247" s="26"/>
      <c r="VOM247" s="23"/>
      <c r="VOR247" s="26"/>
      <c r="VOV247" s="23"/>
      <c r="VPA247" s="26"/>
      <c r="VPE247" s="23"/>
      <c r="VPJ247" s="26"/>
      <c r="VPN247" s="23"/>
      <c r="VPS247" s="26"/>
      <c r="VPW247" s="23"/>
      <c r="VQB247" s="26"/>
      <c r="VQF247" s="23"/>
      <c r="VQK247" s="26"/>
      <c r="VQO247" s="23"/>
      <c r="VQT247" s="26"/>
      <c r="VQX247" s="23"/>
      <c r="VRC247" s="26"/>
      <c r="VRG247" s="23"/>
      <c r="VRL247" s="26"/>
      <c r="VRP247" s="23"/>
      <c r="VRU247" s="26"/>
      <c r="VRY247" s="23"/>
      <c r="VSD247" s="26"/>
      <c r="VSH247" s="23"/>
      <c r="VSM247" s="26"/>
      <c r="VSQ247" s="23"/>
      <c r="VSV247" s="26"/>
      <c r="VSZ247" s="23"/>
      <c r="VTE247" s="26"/>
      <c r="VTI247" s="23"/>
      <c r="VTN247" s="26"/>
      <c r="VTR247" s="23"/>
      <c r="VTW247" s="26"/>
      <c r="VUA247" s="23"/>
      <c r="VUF247" s="26"/>
      <c r="VUJ247" s="23"/>
      <c r="VUO247" s="26"/>
      <c r="VUS247" s="23"/>
      <c r="VUX247" s="26"/>
      <c r="VVB247" s="23"/>
      <c r="VVG247" s="26"/>
      <c r="VVK247" s="23"/>
      <c r="VVP247" s="26"/>
      <c r="VVT247" s="23"/>
      <c r="VVY247" s="26"/>
      <c r="VWC247" s="23"/>
      <c r="VWH247" s="26"/>
      <c r="VWL247" s="23"/>
      <c r="VWQ247" s="26"/>
      <c r="VWU247" s="23"/>
      <c r="VWZ247" s="26"/>
      <c r="VXD247" s="23"/>
      <c r="VXI247" s="26"/>
      <c r="VXM247" s="23"/>
      <c r="VXR247" s="26"/>
      <c r="VXV247" s="23"/>
      <c r="VYA247" s="26"/>
      <c r="VYE247" s="23"/>
      <c r="VYJ247" s="26"/>
      <c r="VYN247" s="23"/>
      <c r="VYS247" s="26"/>
      <c r="VYW247" s="23"/>
      <c r="VZB247" s="26"/>
      <c r="VZF247" s="23"/>
      <c r="VZK247" s="26"/>
      <c r="VZO247" s="23"/>
      <c r="VZT247" s="26"/>
      <c r="VZX247" s="23"/>
      <c r="WAC247" s="26"/>
      <c r="WAG247" s="23"/>
      <c r="WAL247" s="26"/>
      <c r="WAP247" s="23"/>
      <c r="WAU247" s="26"/>
      <c r="WAY247" s="23"/>
      <c r="WBD247" s="26"/>
      <c r="WBH247" s="23"/>
      <c r="WBM247" s="26"/>
      <c r="WBQ247" s="23"/>
      <c r="WBV247" s="26"/>
      <c r="WBZ247" s="23"/>
      <c r="WCE247" s="26"/>
      <c r="WCI247" s="23"/>
      <c r="WCN247" s="26"/>
      <c r="WCR247" s="23"/>
      <c r="WCW247" s="26"/>
      <c r="WDA247" s="23"/>
      <c r="WDF247" s="26"/>
      <c r="WDJ247" s="23"/>
      <c r="WDO247" s="26"/>
      <c r="WDS247" s="23"/>
      <c r="WDX247" s="26"/>
      <c r="WEB247" s="23"/>
      <c r="WEG247" s="26"/>
      <c r="WEK247" s="23"/>
      <c r="WEP247" s="26"/>
      <c r="WET247" s="23"/>
      <c r="WEY247" s="26"/>
      <c r="WFC247" s="23"/>
      <c r="WFH247" s="26"/>
      <c r="WFL247" s="23"/>
      <c r="WFQ247" s="26"/>
      <c r="WFU247" s="23"/>
      <c r="WFZ247" s="26"/>
      <c r="WGD247" s="23"/>
      <c r="WGI247" s="26"/>
      <c r="WGM247" s="23"/>
      <c r="WGR247" s="26"/>
      <c r="WGV247" s="23"/>
      <c r="WHA247" s="26"/>
      <c r="WHE247" s="23"/>
      <c r="WHJ247" s="26"/>
      <c r="WHN247" s="23"/>
      <c r="WHS247" s="26"/>
      <c r="WHW247" s="23"/>
      <c r="WIB247" s="26"/>
      <c r="WIF247" s="23"/>
      <c r="WIK247" s="26"/>
      <c r="WIO247" s="23"/>
      <c r="WIT247" s="26"/>
      <c r="WIX247" s="23"/>
      <c r="WJC247" s="26"/>
      <c r="WJG247" s="23"/>
      <c r="WJL247" s="26"/>
      <c r="WJP247" s="23"/>
      <c r="WJU247" s="26"/>
      <c r="WJY247" s="23"/>
      <c r="WKD247" s="26"/>
      <c r="WKH247" s="23"/>
      <c r="WKM247" s="26"/>
      <c r="WKQ247" s="23"/>
      <c r="WKV247" s="26"/>
      <c r="WKZ247" s="23"/>
      <c r="WLE247" s="26"/>
      <c r="WLI247" s="23"/>
      <c r="WLN247" s="26"/>
      <c r="WLR247" s="23"/>
      <c r="WLW247" s="26"/>
      <c r="WMA247" s="23"/>
      <c r="WMF247" s="26"/>
      <c r="WMJ247" s="23"/>
      <c r="WMO247" s="26"/>
      <c r="WMS247" s="23"/>
      <c r="WMX247" s="26"/>
      <c r="WNB247" s="23"/>
      <c r="WNG247" s="26"/>
      <c r="WNK247" s="23"/>
      <c r="WNP247" s="26"/>
      <c r="WNT247" s="23"/>
      <c r="WNY247" s="26"/>
      <c r="WOC247" s="23"/>
      <c r="WOH247" s="26"/>
      <c r="WOL247" s="23"/>
      <c r="WOQ247" s="26"/>
      <c r="WOU247" s="23"/>
      <c r="WOZ247" s="26"/>
      <c r="WPD247" s="23"/>
      <c r="WPI247" s="26"/>
      <c r="WPM247" s="23"/>
      <c r="WPR247" s="26"/>
      <c r="WPV247" s="23"/>
      <c r="WQA247" s="26"/>
      <c r="WQE247" s="23"/>
      <c r="WQJ247" s="26"/>
      <c r="WQN247" s="23"/>
      <c r="WQS247" s="26"/>
      <c r="WQW247" s="23"/>
      <c r="WRB247" s="26"/>
      <c r="WRF247" s="23"/>
      <c r="WRK247" s="26"/>
      <c r="WRO247" s="23"/>
      <c r="WRT247" s="26"/>
      <c r="WRX247" s="23"/>
      <c r="WSC247" s="26"/>
      <c r="WSG247" s="23"/>
      <c r="WSL247" s="26"/>
      <c r="WSP247" s="23"/>
      <c r="WSU247" s="26"/>
      <c r="WSY247" s="23"/>
      <c r="WTD247" s="26"/>
      <c r="WTH247" s="23"/>
      <c r="WTM247" s="26"/>
      <c r="WTQ247" s="23"/>
      <c r="WTV247" s="26"/>
      <c r="WTZ247" s="23"/>
      <c r="WUE247" s="26"/>
      <c r="WUI247" s="23"/>
      <c r="WUN247" s="26"/>
      <c r="WUR247" s="23"/>
      <c r="WUW247" s="26"/>
      <c r="WVA247" s="23"/>
      <c r="WVF247" s="26"/>
      <c r="WVJ247" s="23"/>
      <c r="WVO247" s="26"/>
      <c r="WVS247" s="23"/>
      <c r="WVX247" s="26"/>
      <c r="WWB247" s="23"/>
      <c r="WWG247" s="26"/>
      <c r="WWK247" s="23"/>
      <c r="WWP247" s="26"/>
      <c r="WWT247" s="23"/>
      <c r="WWY247" s="26"/>
      <c r="WXC247" s="23"/>
      <c r="WXH247" s="26"/>
      <c r="WXL247" s="23"/>
      <c r="WXQ247" s="26"/>
      <c r="WXU247" s="23"/>
      <c r="WXZ247" s="26"/>
      <c r="WYD247" s="23"/>
      <c r="WYI247" s="26"/>
      <c r="WYM247" s="23"/>
      <c r="WYR247" s="26"/>
      <c r="WYV247" s="23"/>
      <c r="WZA247" s="26"/>
      <c r="WZE247" s="23"/>
      <c r="WZJ247" s="26"/>
      <c r="WZN247" s="23"/>
      <c r="WZS247" s="26"/>
      <c r="WZW247" s="23"/>
      <c r="XAB247" s="26"/>
      <c r="XAF247" s="23"/>
      <c r="XAK247" s="26"/>
      <c r="XAO247" s="23"/>
      <c r="XAT247" s="26"/>
      <c r="XAX247" s="23"/>
      <c r="XBC247" s="26"/>
      <c r="XBG247" s="23"/>
      <c r="XBL247" s="26"/>
      <c r="XBP247" s="23"/>
      <c r="XBU247" s="26"/>
      <c r="XBY247" s="23"/>
      <c r="XCD247" s="26"/>
      <c r="XCH247" s="23"/>
      <c r="XCM247" s="26"/>
      <c r="XCQ247" s="23"/>
      <c r="XCV247" s="26"/>
      <c r="XCZ247" s="23"/>
      <c r="XDE247" s="26"/>
      <c r="XDI247" s="23"/>
      <c r="XDN247" s="26"/>
      <c r="XDR247" s="23"/>
      <c r="XDW247" s="26"/>
      <c r="XEA247" s="23"/>
      <c r="XEF247" s="26"/>
      <c r="XEJ247" s="23"/>
      <c r="XEO247" s="26"/>
      <c r="XES247" s="23"/>
      <c r="XEX247" s="26"/>
      <c r="XFB247" s="23"/>
    </row>
    <row r="248" spans="2:1024 1028:2045 2050:3071 3076:4093 4097:5119 5123:6140 6145:7166 7171:8192 8197:9214 9218:10240 10244:11261 11266:12287 12292:13309 13313:14335 14339:15356 15361:16382" x14ac:dyDescent="0.3">
      <c r="B248" s="23"/>
      <c r="K248" s="23"/>
      <c r="P248" s="26"/>
      <c r="T248" s="23"/>
      <c r="Y248" s="26"/>
      <c r="AC248" s="23"/>
      <c r="AH248" s="26"/>
      <c r="AL248" s="23"/>
      <c r="AQ248" s="26"/>
      <c r="AU248" s="23"/>
      <c r="AZ248" s="26"/>
      <c r="BD248" s="23"/>
      <c r="BI248" s="26"/>
      <c r="BM248" s="23"/>
      <c r="BR248" s="26"/>
      <c r="BV248" s="23"/>
      <c r="CA248" s="26"/>
      <c r="CE248" s="23"/>
      <c r="CJ248" s="26"/>
      <c r="CN248" s="23"/>
      <c r="CS248" s="26"/>
      <c r="CW248" s="23"/>
      <c r="DB248" s="26"/>
      <c r="DF248" s="23"/>
      <c r="DK248" s="26"/>
      <c r="DO248" s="23"/>
      <c r="DT248" s="26"/>
      <c r="DX248" s="23"/>
      <c r="EC248" s="26"/>
      <c r="EG248" s="23"/>
      <c r="EL248" s="26"/>
      <c r="EP248" s="23"/>
      <c r="EU248" s="26"/>
      <c r="EY248" s="23"/>
      <c r="FD248" s="26"/>
      <c r="FH248" s="23"/>
      <c r="FM248" s="26"/>
      <c r="FQ248" s="23"/>
      <c r="FV248" s="26"/>
      <c r="FZ248" s="23"/>
      <c r="GE248" s="26"/>
      <c r="GI248" s="23"/>
      <c r="GN248" s="26"/>
      <c r="GR248" s="23"/>
      <c r="GW248" s="26"/>
      <c r="HA248" s="23"/>
      <c r="HF248" s="26"/>
      <c r="HJ248" s="23"/>
      <c r="HO248" s="26"/>
      <c r="HS248" s="23"/>
      <c r="HX248" s="26"/>
      <c r="IB248" s="23"/>
      <c r="IG248" s="26"/>
      <c r="IK248" s="23"/>
      <c r="IP248" s="26"/>
      <c r="IT248" s="23"/>
      <c r="IY248" s="26"/>
      <c r="JC248" s="23"/>
      <c r="JH248" s="26"/>
      <c r="JL248" s="23"/>
      <c r="JQ248" s="26"/>
      <c r="JU248" s="23"/>
      <c r="JZ248" s="26"/>
      <c r="KD248" s="23"/>
      <c r="KI248" s="26"/>
      <c r="KM248" s="23"/>
      <c r="KR248" s="26"/>
      <c r="KV248" s="23"/>
      <c r="LA248" s="26"/>
      <c r="LE248" s="23"/>
      <c r="LJ248" s="26"/>
      <c r="LN248" s="23"/>
      <c r="LS248" s="26"/>
      <c r="LW248" s="23"/>
      <c r="MB248" s="26"/>
      <c r="MF248" s="23"/>
      <c r="MK248" s="26"/>
      <c r="MO248" s="23"/>
      <c r="MT248" s="26"/>
      <c r="MX248" s="23"/>
      <c r="NC248" s="26"/>
      <c r="NG248" s="23"/>
      <c r="NL248" s="26"/>
      <c r="NP248" s="23"/>
      <c r="NU248" s="26"/>
      <c r="NY248" s="23"/>
      <c r="OD248" s="26"/>
      <c r="OH248" s="23"/>
      <c r="OM248" s="26"/>
      <c r="OQ248" s="23"/>
      <c r="OV248" s="26"/>
      <c r="OZ248" s="23"/>
      <c r="PE248" s="26"/>
      <c r="PI248" s="23"/>
      <c r="PN248" s="26"/>
      <c r="PR248" s="23"/>
      <c r="PW248" s="26"/>
      <c r="QA248" s="23"/>
      <c r="QF248" s="26"/>
      <c r="QJ248" s="23"/>
      <c r="QO248" s="26"/>
      <c r="QS248" s="23"/>
      <c r="QX248" s="26"/>
      <c r="RB248" s="23"/>
      <c r="RG248" s="26"/>
      <c r="RK248" s="23"/>
      <c r="RP248" s="26"/>
      <c r="RT248" s="23"/>
      <c r="RY248" s="26"/>
      <c r="SC248" s="23"/>
      <c r="SH248" s="26"/>
      <c r="SL248" s="23"/>
      <c r="SQ248" s="26"/>
      <c r="SU248" s="23"/>
      <c r="SZ248" s="26"/>
      <c r="TD248" s="23"/>
      <c r="TI248" s="26"/>
      <c r="TM248" s="23"/>
      <c r="TR248" s="26"/>
      <c r="TV248" s="23"/>
      <c r="UA248" s="26"/>
      <c r="UE248" s="23"/>
      <c r="UJ248" s="26"/>
      <c r="UN248" s="23"/>
      <c r="US248" s="26"/>
      <c r="UW248" s="23"/>
      <c r="VB248" s="26"/>
      <c r="VF248" s="23"/>
      <c r="VK248" s="26"/>
      <c r="VO248" s="23"/>
      <c r="VT248" s="26"/>
      <c r="VX248" s="23"/>
      <c r="WC248" s="26"/>
      <c r="WG248" s="23"/>
      <c r="WL248" s="26"/>
      <c r="WP248" s="23"/>
      <c r="WU248" s="26"/>
      <c r="WY248" s="23"/>
      <c r="XD248" s="26"/>
      <c r="XH248" s="23"/>
      <c r="XM248" s="26"/>
      <c r="XQ248" s="23"/>
      <c r="XV248" s="26"/>
      <c r="XZ248" s="23"/>
      <c r="YE248" s="26"/>
      <c r="YI248" s="23"/>
      <c r="YN248" s="26"/>
      <c r="YR248" s="23"/>
      <c r="YW248" s="26"/>
      <c r="ZA248" s="23"/>
      <c r="ZF248" s="26"/>
      <c r="ZJ248" s="23"/>
      <c r="ZO248" s="26"/>
      <c r="ZS248" s="23"/>
      <c r="ZX248" s="26"/>
      <c r="AAB248" s="23"/>
      <c r="AAG248" s="26"/>
      <c r="AAK248" s="23"/>
      <c r="AAP248" s="26"/>
      <c r="AAT248" s="23"/>
      <c r="AAY248" s="26"/>
      <c r="ABC248" s="23"/>
      <c r="ABH248" s="26"/>
      <c r="ABL248" s="23"/>
      <c r="ABQ248" s="26"/>
      <c r="ABU248" s="23"/>
      <c r="ABZ248" s="26"/>
      <c r="ACD248" s="23"/>
      <c r="ACI248" s="26"/>
      <c r="ACM248" s="23"/>
      <c r="ACR248" s="26"/>
      <c r="ACV248" s="23"/>
      <c r="ADA248" s="26"/>
      <c r="ADE248" s="23"/>
      <c r="ADJ248" s="26"/>
      <c r="ADN248" s="23"/>
      <c r="ADS248" s="26"/>
      <c r="ADW248" s="23"/>
      <c r="AEB248" s="26"/>
      <c r="AEF248" s="23"/>
      <c r="AEK248" s="26"/>
      <c r="AEO248" s="23"/>
      <c r="AET248" s="26"/>
      <c r="AEX248" s="23"/>
      <c r="AFC248" s="26"/>
      <c r="AFG248" s="23"/>
      <c r="AFL248" s="26"/>
      <c r="AFP248" s="23"/>
      <c r="AFU248" s="26"/>
      <c r="AFY248" s="23"/>
      <c r="AGD248" s="26"/>
      <c r="AGH248" s="23"/>
      <c r="AGM248" s="26"/>
      <c r="AGQ248" s="23"/>
      <c r="AGV248" s="26"/>
      <c r="AGZ248" s="23"/>
      <c r="AHE248" s="26"/>
      <c r="AHI248" s="23"/>
      <c r="AHN248" s="26"/>
      <c r="AHR248" s="23"/>
      <c r="AHW248" s="26"/>
      <c r="AIA248" s="23"/>
      <c r="AIF248" s="26"/>
      <c r="AIJ248" s="23"/>
      <c r="AIO248" s="26"/>
      <c r="AIS248" s="23"/>
      <c r="AIX248" s="26"/>
      <c r="AJB248" s="23"/>
      <c r="AJG248" s="26"/>
      <c r="AJK248" s="23"/>
      <c r="AJP248" s="26"/>
      <c r="AJT248" s="23"/>
      <c r="AJY248" s="26"/>
      <c r="AKC248" s="23"/>
      <c r="AKH248" s="26"/>
      <c r="AKL248" s="23"/>
      <c r="AKQ248" s="26"/>
      <c r="AKU248" s="23"/>
      <c r="AKZ248" s="26"/>
      <c r="ALD248" s="23"/>
      <c r="ALI248" s="26"/>
      <c r="ALM248" s="23"/>
      <c r="ALR248" s="26"/>
      <c r="ALV248" s="23"/>
      <c r="AMA248" s="26"/>
      <c r="AME248" s="23"/>
      <c r="AMJ248" s="26"/>
      <c r="AMN248" s="23"/>
      <c r="AMS248" s="26"/>
      <c r="AMW248" s="23"/>
      <c r="ANB248" s="26"/>
      <c r="ANF248" s="23"/>
      <c r="ANK248" s="26"/>
      <c r="ANO248" s="23"/>
      <c r="ANT248" s="26"/>
      <c r="ANX248" s="23"/>
      <c r="AOC248" s="26"/>
      <c r="AOG248" s="23"/>
      <c r="AOL248" s="26"/>
      <c r="AOP248" s="23"/>
      <c r="AOU248" s="26"/>
      <c r="AOY248" s="23"/>
      <c r="APD248" s="26"/>
      <c r="APH248" s="23"/>
      <c r="APM248" s="26"/>
      <c r="APQ248" s="23"/>
      <c r="APV248" s="26"/>
      <c r="APZ248" s="23"/>
      <c r="AQE248" s="26"/>
      <c r="AQI248" s="23"/>
      <c r="AQN248" s="26"/>
      <c r="AQR248" s="23"/>
      <c r="AQW248" s="26"/>
      <c r="ARA248" s="23"/>
      <c r="ARF248" s="26"/>
      <c r="ARJ248" s="23"/>
      <c r="ARO248" s="26"/>
      <c r="ARS248" s="23"/>
      <c r="ARX248" s="26"/>
      <c r="ASB248" s="23"/>
      <c r="ASG248" s="26"/>
      <c r="ASK248" s="23"/>
      <c r="ASP248" s="26"/>
      <c r="AST248" s="23"/>
      <c r="ASY248" s="26"/>
      <c r="ATC248" s="23"/>
      <c r="ATH248" s="26"/>
      <c r="ATL248" s="23"/>
      <c r="ATQ248" s="26"/>
      <c r="ATU248" s="23"/>
      <c r="ATZ248" s="26"/>
      <c r="AUD248" s="23"/>
      <c r="AUI248" s="26"/>
      <c r="AUM248" s="23"/>
      <c r="AUR248" s="26"/>
      <c r="AUV248" s="23"/>
      <c r="AVA248" s="26"/>
      <c r="AVE248" s="23"/>
      <c r="AVJ248" s="26"/>
      <c r="AVN248" s="23"/>
      <c r="AVS248" s="26"/>
      <c r="AVW248" s="23"/>
      <c r="AWB248" s="26"/>
      <c r="AWF248" s="23"/>
      <c r="AWK248" s="26"/>
      <c r="AWO248" s="23"/>
      <c r="AWT248" s="26"/>
      <c r="AWX248" s="23"/>
      <c r="AXC248" s="26"/>
      <c r="AXG248" s="23"/>
      <c r="AXL248" s="26"/>
      <c r="AXP248" s="23"/>
      <c r="AXU248" s="26"/>
      <c r="AXY248" s="23"/>
      <c r="AYD248" s="26"/>
      <c r="AYH248" s="23"/>
      <c r="AYM248" s="26"/>
      <c r="AYQ248" s="23"/>
      <c r="AYV248" s="26"/>
      <c r="AYZ248" s="23"/>
      <c r="AZE248" s="26"/>
      <c r="AZI248" s="23"/>
      <c r="AZN248" s="26"/>
      <c r="AZR248" s="23"/>
      <c r="AZW248" s="26"/>
      <c r="BAA248" s="23"/>
      <c r="BAF248" s="26"/>
      <c r="BAJ248" s="23"/>
      <c r="BAO248" s="26"/>
      <c r="BAS248" s="23"/>
      <c r="BAX248" s="26"/>
      <c r="BBB248" s="23"/>
      <c r="BBG248" s="26"/>
      <c r="BBK248" s="23"/>
      <c r="BBP248" s="26"/>
      <c r="BBT248" s="23"/>
      <c r="BBY248" s="26"/>
      <c r="BCC248" s="23"/>
      <c r="BCH248" s="26"/>
      <c r="BCL248" s="23"/>
      <c r="BCQ248" s="26"/>
      <c r="BCU248" s="23"/>
      <c r="BCZ248" s="26"/>
      <c r="BDD248" s="23"/>
      <c r="BDI248" s="26"/>
      <c r="BDM248" s="23"/>
      <c r="BDR248" s="26"/>
      <c r="BDV248" s="23"/>
      <c r="BEA248" s="26"/>
      <c r="BEE248" s="23"/>
      <c r="BEJ248" s="26"/>
      <c r="BEN248" s="23"/>
      <c r="BES248" s="26"/>
      <c r="BEW248" s="23"/>
      <c r="BFB248" s="26"/>
      <c r="BFF248" s="23"/>
      <c r="BFK248" s="26"/>
      <c r="BFO248" s="23"/>
      <c r="BFT248" s="26"/>
      <c r="BFX248" s="23"/>
      <c r="BGC248" s="26"/>
      <c r="BGG248" s="23"/>
      <c r="BGL248" s="26"/>
      <c r="BGP248" s="23"/>
      <c r="BGU248" s="26"/>
      <c r="BGY248" s="23"/>
      <c r="BHD248" s="26"/>
      <c r="BHH248" s="23"/>
      <c r="BHM248" s="26"/>
      <c r="BHQ248" s="23"/>
      <c r="BHV248" s="26"/>
      <c r="BHZ248" s="23"/>
      <c r="BIE248" s="26"/>
      <c r="BII248" s="23"/>
      <c r="BIN248" s="26"/>
      <c r="BIR248" s="23"/>
      <c r="BIW248" s="26"/>
      <c r="BJA248" s="23"/>
      <c r="BJF248" s="26"/>
      <c r="BJJ248" s="23"/>
      <c r="BJO248" s="26"/>
      <c r="BJS248" s="23"/>
      <c r="BJX248" s="26"/>
      <c r="BKB248" s="23"/>
      <c r="BKG248" s="26"/>
      <c r="BKK248" s="23"/>
      <c r="BKP248" s="26"/>
      <c r="BKT248" s="23"/>
      <c r="BKY248" s="26"/>
      <c r="BLC248" s="23"/>
      <c r="BLH248" s="26"/>
      <c r="BLL248" s="23"/>
      <c r="BLQ248" s="26"/>
      <c r="BLU248" s="23"/>
      <c r="BLZ248" s="26"/>
      <c r="BMD248" s="23"/>
      <c r="BMI248" s="26"/>
      <c r="BMM248" s="23"/>
      <c r="BMR248" s="26"/>
      <c r="BMV248" s="23"/>
      <c r="BNA248" s="26"/>
      <c r="BNE248" s="23"/>
      <c r="BNJ248" s="26"/>
      <c r="BNN248" s="23"/>
      <c r="BNS248" s="26"/>
      <c r="BNW248" s="23"/>
      <c r="BOB248" s="26"/>
      <c r="BOF248" s="23"/>
      <c r="BOK248" s="26"/>
      <c r="BOO248" s="23"/>
      <c r="BOT248" s="26"/>
      <c r="BOX248" s="23"/>
      <c r="BPC248" s="26"/>
      <c r="BPG248" s="23"/>
      <c r="BPL248" s="26"/>
      <c r="BPP248" s="23"/>
      <c r="BPU248" s="26"/>
      <c r="BPY248" s="23"/>
      <c r="BQD248" s="26"/>
      <c r="BQH248" s="23"/>
      <c r="BQM248" s="26"/>
      <c r="BQQ248" s="23"/>
      <c r="BQV248" s="26"/>
      <c r="BQZ248" s="23"/>
      <c r="BRE248" s="26"/>
      <c r="BRI248" s="23"/>
      <c r="BRN248" s="26"/>
      <c r="BRR248" s="23"/>
      <c r="BRW248" s="26"/>
      <c r="BSA248" s="23"/>
      <c r="BSF248" s="26"/>
      <c r="BSJ248" s="23"/>
      <c r="BSO248" s="26"/>
      <c r="BSS248" s="23"/>
      <c r="BSX248" s="26"/>
      <c r="BTB248" s="23"/>
      <c r="BTG248" s="26"/>
      <c r="BTK248" s="23"/>
      <c r="BTP248" s="26"/>
      <c r="BTT248" s="23"/>
      <c r="BTY248" s="26"/>
      <c r="BUC248" s="23"/>
      <c r="BUH248" s="26"/>
      <c r="BUL248" s="23"/>
      <c r="BUQ248" s="26"/>
      <c r="BUU248" s="23"/>
      <c r="BUZ248" s="26"/>
      <c r="BVD248" s="23"/>
      <c r="BVI248" s="26"/>
      <c r="BVM248" s="23"/>
      <c r="BVR248" s="26"/>
      <c r="BVV248" s="23"/>
      <c r="BWA248" s="26"/>
      <c r="BWE248" s="23"/>
      <c r="BWJ248" s="26"/>
      <c r="BWN248" s="23"/>
      <c r="BWS248" s="26"/>
      <c r="BWW248" s="23"/>
      <c r="BXB248" s="26"/>
      <c r="BXF248" s="23"/>
      <c r="BXK248" s="26"/>
      <c r="BXO248" s="23"/>
      <c r="BXT248" s="26"/>
      <c r="BXX248" s="23"/>
      <c r="BYC248" s="26"/>
      <c r="BYG248" s="23"/>
      <c r="BYL248" s="26"/>
      <c r="BYP248" s="23"/>
      <c r="BYU248" s="26"/>
      <c r="BYY248" s="23"/>
      <c r="BZD248" s="26"/>
      <c r="BZH248" s="23"/>
      <c r="BZM248" s="26"/>
      <c r="BZQ248" s="23"/>
      <c r="BZV248" s="26"/>
      <c r="BZZ248" s="23"/>
      <c r="CAE248" s="26"/>
      <c r="CAI248" s="23"/>
      <c r="CAN248" s="26"/>
      <c r="CAR248" s="23"/>
      <c r="CAW248" s="26"/>
      <c r="CBA248" s="23"/>
      <c r="CBF248" s="26"/>
      <c r="CBJ248" s="23"/>
      <c r="CBO248" s="26"/>
      <c r="CBS248" s="23"/>
      <c r="CBX248" s="26"/>
      <c r="CCB248" s="23"/>
      <c r="CCG248" s="26"/>
      <c r="CCK248" s="23"/>
      <c r="CCP248" s="26"/>
      <c r="CCT248" s="23"/>
      <c r="CCY248" s="26"/>
      <c r="CDC248" s="23"/>
      <c r="CDH248" s="26"/>
      <c r="CDL248" s="23"/>
      <c r="CDQ248" s="26"/>
      <c r="CDU248" s="23"/>
      <c r="CDZ248" s="26"/>
      <c r="CED248" s="23"/>
      <c r="CEI248" s="26"/>
      <c r="CEM248" s="23"/>
      <c r="CER248" s="26"/>
      <c r="CEV248" s="23"/>
      <c r="CFA248" s="26"/>
      <c r="CFE248" s="23"/>
      <c r="CFJ248" s="26"/>
      <c r="CFN248" s="23"/>
      <c r="CFS248" s="26"/>
      <c r="CFW248" s="23"/>
      <c r="CGB248" s="26"/>
      <c r="CGF248" s="23"/>
      <c r="CGK248" s="26"/>
      <c r="CGO248" s="23"/>
      <c r="CGT248" s="26"/>
      <c r="CGX248" s="23"/>
      <c r="CHC248" s="26"/>
      <c r="CHG248" s="23"/>
      <c r="CHL248" s="26"/>
      <c r="CHP248" s="23"/>
      <c r="CHU248" s="26"/>
      <c r="CHY248" s="23"/>
      <c r="CID248" s="26"/>
      <c r="CIH248" s="23"/>
      <c r="CIM248" s="26"/>
      <c r="CIQ248" s="23"/>
      <c r="CIV248" s="26"/>
      <c r="CIZ248" s="23"/>
      <c r="CJE248" s="26"/>
      <c r="CJI248" s="23"/>
      <c r="CJN248" s="26"/>
      <c r="CJR248" s="23"/>
      <c r="CJW248" s="26"/>
      <c r="CKA248" s="23"/>
      <c r="CKF248" s="26"/>
      <c r="CKJ248" s="23"/>
      <c r="CKO248" s="26"/>
      <c r="CKS248" s="23"/>
      <c r="CKX248" s="26"/>
      <c r="CLB248" s="23"/>
      <c r="CLG248" s="26"/>
      <c r="CLK248" s="23"/>
      <c r="CLP248" s="26"/>
      <c r="CLT248" s="23"/>
      <c r="CLY248" s="26"/>
      <c r="CMC248" s="23"/>
      <c r="CMH248" s="26"/>
      <c r="CML248" s="23"/>
      <c r="CMQ248" s="26"/>
      <c r="CMU248" s="23"/>
      <c r="CMZ248" s="26"/>
      <c r="CND248" s="23"/>
      <c r="CNI248" s="26"/>
      <c r="CNM248" s="23"/>
      <c r="CNR248" s="26"/>
      <c r="CNV248" s="23"/>
      <c r="COA248" s="26"/>
      <c r="COE248" s="23"/>
      <c r="COJ248" s="26"/>
      <c r="CON248" s="23"/>
      <c r="COS248" s="26"/>
      <c r="COW248" s="23"/>
      <c r="CPB248" s="26"/>
      <c r="CPF248" s="23"/>
      <c r="CPK248" s="26"/>
      <c r="CPO248" s="23"/>
      <c r="CPT248" s="26"/>
      <c r="CPX248" s="23"/>
      <c r="CQC248" s="26"/>
      <c r="CQG248" s="23"/>
      <c r="CQL248" s="26"/>
      <c r="CQP248" s="23"/>
      <c r="CQU248" s="26"/>
      <c r="CQY248" s="23"/>
      <c r="CRD248" s="26"/>
      <c r="CRH248" s="23"/>
      <c r="CRM248" s="26"/>
      <c r="CRQ248" s="23"/>
      <c r="CRV248" s="26"/>
      <c r="CRZ248" s="23"/>
      <c r="CSE248" s="26"/>
      <c r="CSI248" s="23"/>
      <c r="CSN248" s="26"/>
      <c r="CSR248" s="23"/>
      <c r="CSW248" s="26"/>
      <c r="CTA248" s="23"/>
      <c r="CTF248" s="26"/>
      <c r="CTJ248" s="23"/>
      <c r="CTO248" s="26"/>
      <c r="CTS248" s="23"/>
      <c r="CTX248" s="26"/>
      <c r="CUB248" s="23"/>
      <c r="CUG248" s="26"/>
      <c r="CUK248" s="23"/>
      <c r="CUP248" s="26"/>
      <c r="CUT248" s="23"/>
      <c r="CUY248" s="26"/>
      <c r="CVC248" s="23"/>
      <c r="CVH248" s="26"/>
      <c r="CVL248" s="23"/>
      <c r="CVQ248" s="26"/>
      <c r="CVU248" s="23"/>
      <c r="CVZ248" s="26"/>
      <c r="CWD248" s="23"/>
      <c r="CWI248" s="26"/>
      <c r="CWM248" s="23"/>
      <c r="CWR248" s="26"/>
      <c r="CWV248" s="23"/>
      <c r="CXA248" s="26"/>
      <c r="CXE248" s="23"/>
      <c r="CXJ248" s="26"/>
      <c r="CXN248" s="23"/>
      <c r="CXS248" s="26"/>
      <c r="CXW248" s="23"/>
      <c r="CYB248" s="26"/>
      <c r="CYF248" s="23"/>
      <c r="CYK248" s="26"/>
      <c r="CYO248" s="23"/>
      <c r="CYT248" s="26"/>
      <c r="CYX248" s="23"/>
      <c r="CZC248" s="26"/>
      <c r="CZG248" s="23"/>
      <c r="CZL248" s="26"/>
      <c r="CZP248" s="23"/>
      <c r="CZU248" s="26"/>
      <c r="CZY248" s="23"/>
      <c r="DAD248" s="26"/>
      <c r="DAH248" s="23"/>
      <c r="DAM248" s="26"/>
      <c r="DAQ248" s="23"/>
      <c r="DAV248" s="26"/>
      <c r="DAZ248" s="23"/>
      <c r="DBE248" s="26"/>
      <c r="DBI248" s="23"/>
      <c r="DBN248" s="26"/>
      <c r="DBR248" s="23"/>
      <c r="DBW248" s="26"/>
      <c r="DCA248" s="23"/>
      <c r="DCF248" s="26"/>
      <c r="DCJ248" s="23"/>
      <c r="DCO248" s="26"/>
      <c r="DCS248" s="23"/>
      <c r="DCX248" s="26"/>
      <c r="DDB248" s="23"/>
      <c r="DDG248" s="26"/>
      <c r="DDK248" s="23"/>
      <c r="DDP248" s="26"/>
      <c r="DDT248" s="23"/>
      <c r="DDY248" s="26"/>
      <c r="DEC248" s="23"/>
      <c r="DEH248" s="26"/>
      <c r="DEL248" s="23"/>
      <c r="DEQ248" s="26"/>
      <c r="DEU248" s="23"/>
      <c r="DEZ248" s="26"/>
      <c r="DFD248" s="23"/>
      <c r="DFI248" s="26"/>
      <c r="DFM248" s="23"/>
      <c r="DFR248" s="26"/>
      <c r="DFV248" s="23"/>
      <c r="DGA248" s="26"/>
      <c r="DGE248" s="23"/>
      <c r="DGJ248" s="26"/>
      <c r="DGN248" s="23"/>
      <c r="DGS248" s="26"/>
      <c r="DGW248" s="23"/>
      <c r="DHB248" s="26"/>
      <c r="DHF248" s="23"/>
      <c r="DHK248" s="26"/>
      <c r="DHO248" s="23"/>
      <c r="DHT248" s="26"/>
      <c r="DHX248" s="23"/>
      <c r="DIC248" s="26"/>
      <c r="DIG248" s="23"/>
      <c r="DIL248" s="26"/>
      <c r="DIP248" s="23"/>
      <c r="DIU248" s="26"/>
      <c r="DIY248" s="23"/>
      <c r="DJD248" s="26"/>
      <c r="DJH248" s="23"/>
      <c r="DJM248" s="26"/>
      <c r="DJQ248" s="23"/>
      <c r="DJV248" s="26"/>
      <c r="DJZ248" s="23"/>
      <c r="DKE248" s="26"/>
      <c r="DKI248" s="23"/>
      <c r="DKN248" s="26"/>
      <c r="DKR248" s="23"/>
      <c r="DKW248" s="26"/>
      <c r="DLA248" s="23"/>
      <c r="DLF248" s="26"/>
      <c r="DLJ248" s="23"/>
      <c r="DLO248" s="26"/>
      <c r="DLS248" s="23"/>
      <c r="DLX248" s="26"/>
      <c r="DMB248" s="23"/>
      <c r="DMG248" s="26"/>
      <c r="DMK248" s="23"/>
      <c r="DMP248" s="26"/>
      <c r="DMT248" s="23"/>
      <c r="DMY248" s="26"/>
      <c r="DNC248" s="23"/>
      <c r="DNH248" s="26"/>
      <c r="DNL248" s="23"/>
      <c r="DNQ248" s="26"/>
      <c r="DNU248" s="23"/>
      <c r="DNZ248" s="26"/>
      <c r="DOD248" s="23"/>
      <c r="DOI248" s="26"/>
      <c r="DOM248" s="23"/>
      <c r="DOR248" s="26"/>
      <c r="DOV248" s="23"/>
      <c r="DPA248" s="26"/>
      <c r="DPE248" s="23"/>
      <c r="DPJ248" s="26"/>
      <c r="DPN248" s="23"/>
      <c r="DPS248" s="26"/>
      <c r="DPW248" s="23"/>
      <c r="DQB248" s="26"/>
      <c r="DQF248" s="23"/>
      <c r="DQK248" s="26"/>
      <c r="DQO248" s="23"/>
      <c r="DQT248" s="26"/>
      <c r="DQX248" s="23"/>
      <c r="DRC248" s="26"/>
      <c r="DRG248" s="23"/>
      <c r="DRL248" s="26"/>
      <c r="DRP248" s="23"/>
      <c r="DRU248" s="26"/>
      <c r="DRY248" s="23"/>
      <c r="DSD248" s="26"/>
      <c r="DSH248" s="23"/>
      <c r="DSM248" s="26"/>
      <c r="DSQ248" s="23"/>
      <c r="DSV248" s="26"/>
      <c r="DSZ248" s="23"/>
      <c r="DTE248" s="26"/>
      <c r="DTI248" s="23"/>
      <c r="DTN248" s="26"/>
      <c r="DTR248" s="23"/>
      <c r="DTW248" s="26"/>
      <c r="DUA248" s="23"/>
      <c r="DUF248" s="26"/>
      <c r="DUJ248" s="23"/>
      <c r="DUO248" s="26"/>
      <c r="DUS248" s="23"/>
      <c r="DUX248" s="26"/>
      <c r="DVB248" s="23"/>
      <c r="DVG248" s="26"/>
      <c r="DVK248" s="23"/>
      <c r="DVP248" s="26"/>
      <c r="DVT248" s="23"/>
      <c r="DVY248" s="26"/>
      <c r="DWC248" s="23"/>
      <c r="DWH248" s="26"/>
      <c r="DWL248" s="23"/>
      <c r="DWQ248" s="26"/>
      <c r="DWU248" s="23"/>
      <c r="DWZ248" s="26"/>
      <c r="DXD248" s="23"/>
      <c r="DXI248" s="26"/>
      <c r="DXM248" s="23"/>
      <c r="DXR248" s="26"/>
      <c r="DXV248" s="23"/>
      <c r="DYA248" s="26"/>
      <c r="DYE248" s="23"/>
      <c r="DYJ248" s="26"/>
      <c r="DYN248" s="23"/>
      <c r="DYS248" s="26"/>
      <c r="DYW248" s="23"/>
      <c r="DZB248" s="26"/>
      <c r="DZF248" s="23"/>
      <c r="DZK248" s="26"/>
      <c r="DZO248" s="23"/>
      <c r="DZT248" s="26"/>
      <c r="DZX248" s="23"/>
      <c r="EAC248" s="26"/>
      <c r="EAG248" s="23"/>
      <c r="EAL248" s="26"/>
      <c r="EAP248" s="23"/>
      <c r="EAU248" s="26"/>
      <c r="EAY248" s="23"/>
      <c r="EBD248" s="26"/>
      <c r="EBH248" s="23"/>
      <c r="EBM248" s="26"/>
      <c r="EBQ248" s="23"/>
      <c r="EBV248" s="26"/>
      <c r="EBZ248" s="23"/>
      <c r="ECE248" s="26"/>
      <c r="ECI248" s="23"/>
      <c r="ECN248" s="26"/>
      <c r="ECR248" s="23"/>
      <c r="ECW248" s="26"/>
      <c r="EDA248" s="23"/>
      <c r="EDF248" s="26"/>
      <c r="EDJ248" s="23"/>
      <c r="EDO248" s="26"/>
      <c r="EDS248" s="23"/>
      <c r="EDX248" s="26"/>
      <c r="EEB248" s="23"/>
      <c r="EEG248" s="26"/>
      <c r="EEK248" s="23"/>
      <c r="EEP248" s="26"/>
      <c r="EET248" s="23"/>
      <c r="EEY248" s="26"/>
      <c r="EFC248" s="23"/>
      <c r="EFH248" s="26"/>
      <c r="EFL248" s="23"/>
      <c r="EFQ248" s="26"/>
      <c r="EFU248" s="23"/>
      <c r="EFZ248" s="26"/>
      <c r="EGD248" s="23"/>
      <c r="EGI248" s="26"/>
      <c r="EGM248" s="23"/>
      <c r="EGR248" s="26"/>
      <c r="EGV248" s="23"/>
      <c r="EHA248" s="26"/>
      <c r="EHE248" s="23"/>
      <c r="EHJ248" s="26"/>
      <c r="EHN248" s="23"/>
      <c r="EHS248" s="26"/>
      <c r="EHW248" s="23"/>
      <c r="EIB248" s="26"/>
      <c r="EIF248" s="23"/>
      <c r="EIK248" s="26"/>
      <c r="EIO248" s="23"/>
      <c r="EIT248" s="26"/>
      <c r="EIX248" s="23"/>
      <c r="EJC248" s="26"/>
      <c r="EJG248" s="23"/>
      <c r="EJL248" s="26"/>
      <c r="EJP248" s="23"/>
      <c r="EJU248" s="26"/>
      <c r="EJY248" s="23"/>
      <c r="EKD248" s="26"/>
      <c r="EKH248" s="23"/>
      <c r="EKM248" s="26"/>
      <c r="EKQ248" s="23"/>
      <c r="EKV248" s="26"/>
      <c r="EKZ248" s="23"/>
      <c r="ELE248" s="26"/>
      <c r="ELI248" s="23"/>
      <c r="ELN248" s="26"/>
      <c r="ELR248" s="23"/>
      <c r="ELW248" s="26"/>
      <c r="EMA248" s="23"/>
      <c r="EMF248" s="26"/>
      <c r="EMJ248" s="23"/>
      <c r="EMO248" s="26"/>
      <c r="EMS248" s="23"/>
      <c r="EMX248" s="26"/>
      <c r="ENB248" s="23"/>
      <c r="ENG248" s="26"/>
      <c r="ENK248" s="23"/>
      <c r="ENP248" s="26"/>
      <c r="ENT248" s="23"/>
      <c r="ENY248" s="26"/>
      <c r="EOC248" s="23"/>
      <c r="EOH248" s="26"/>
      <c r="EOL248" s="23"/>
      <c r="EOQ248" s="26"/>
      <c r="EOU248" s="23"/>
      <c r="EOZ248" s="26"/>
      <c r="EPD248" s="23"/>
      <c r="EPI248" s="26"/>
      <c r="EPM248" s="23"/>
      <c r="EPR248" s="26"/>
      <c r="EPV248" s="23"/>
      <c r="EQA248" s="26"/>
      <c r="EQE248" s="23"/>
      <c r="EQJ248" s="26"/>
      <c r="EQN248" s="23"/>
      <c r="EQS248" s="26"/>
      <c r="EQW248" s="23"/>
      <c r="ERB248" s="26"/>
      <c r="ERF248" s="23"/>
      <c r="ERK248" s="26"/>
      <c r="ERO248" s="23"/>
      <c r="ERT248" s="26"/>
      <c r="ERX248" s="23"/>
      <c r="ESC248" s="26"/>
      <c r="ESG248" s="23"/>
      <c r="ESL248" s="26"/>
      <c r="ESP248" s="23"/>
      <c r="ESU248" s="26"/>
      <c r="ESY248" s="23"/>
      <c r="ETD248" s="26"/>
      <c r="ETH248" s="23"/>
      <c r="ETM248" s="26"/>
      <c r="ETQ248" s="23"/>
      <c r="ETV248" s="26"/>
      <c r="ETZ248" s="23"/>
      <c r="EUE248" s="26"/>
      <c r="EUI248" s="23"/>
      <c r="EUN248" s="26"/>
      <c r="EUR248" s="23"/>
      <c r="EUW248" s="26"/>
      <c r="EVA248" s="23"/>
      <c r="EVF248" s="26"/>
      <c r="EVJ248" s="23"/>
      <c r="EVO248" s="26"/>
      <c r="EVS248" s="23"/>
      <c r="EVX248" s="26"/>
      <c r="EWB248" s="23"/>
      <c r="EWG248" s="26"/>
      <c r="EWK248" s="23"/>
      <c r="EWP248" s="26"/>
      <c r="EWT248" s="23"/>
      <c r="EWY248" s="26"/>
      <c r="EXC248" s="23"/>
      <c r="EXH248" s="26"/>
      <c r="EXL248" s="23"/>
      <c r="EXQ248" s="26"/>
      <c r="EXU248" s="23"/>
      <c r="EXZ248" s="26"/>
      <c r="EYD248" s="23"/>
      <c r="EYI248" s="26"/>
      <c r="EYM248" s="23"/>
      <c r="EYR248" s="26"/>
      <c r="EYV248" s="23"/>
      <c r="EZA248" s="26"/>
      <c r="EZE248" s="23"/>
      <c r="EZJ248" s="26"/>
      <c r="EZN248" s="23"/>
      <c r="EZS248" s="26"/>
      <c r="EZW248" s="23"/>
      <c r="FAB248" s="26"/>
      <c r="FAF248" s="23"/>
      <c r="FAK248" s="26"/>
      <c r="FAO248" s="23"/>
      <c r="FAT248" s="26"/>
      <c r="FAX248" s="23"/>
      <c r="FBC248" s="26"/>
      <c r="FBG248" s="23"/>
      <c r="FBL248" s="26"/>
      <c r="FBP248" s="23"/>
      <c r="FBU248" s="26"/>
      <c r="FBY248" s="23"/>
      <c r="FCD248" s="26"/>
      <c r="FCH248" s="23"/>
      <c r="FCM248" s="26"/>
      <c r="FCQ248" s="23"/>
      <c r="FCV248" s="26"/>
      <c r="FCZ248" s="23"/>
      <c r="FDE248" s="26"/>
      <c r="FDI248" s="23"/>
      <c r="FDN248" s="26"/>
      <c r="FDR248" s="23"/>
      <c r="FDW248" s="26"/>
      <c r="FEA248" s="23"/>
      <c r="FEF248" s="26"/>
      <c r="FEJ248" s="23"/>
      <c r="FEO248" s="26"/>
      <c r="FES248" s="23"/>
      <c r="FEX248" s="26"/>
      <c r="FFB248" s="23"/>
      <c r="FFG248" s="26"/>
      <c r="FFK248" s="23"/>
      <c r="FFP248" s="26"/>
      <c r="FFT248" s="23"/>
      <c r="FFY248" s="26"/>
      <c r="FGC248" s="23"/>
      <c r="FGH248" s="26"/>
      <c r="FGL248" s="23"/>
      <c r="FGQ248" s="26"/>
      <c r="FGU248" s="23"/>
      <c r="FGZ248" s="26"/>
      <c r="FHD248" s="23"/>
      <c r="FHI248" s="26"/>
      <c r="FHM248" s="23"/>
      <c r="FHR248" s="26"/>
      <c r="FHV248" s="23"/>
      <c r="FIA248" s="26"/>
      <c r="FIE248" s="23"/>
      <c r="FIJ248" s="26"/>
      <c r="FIN248" s="23"/>
      <c r="FIS248" s="26"/>
      <c r="FIW248" s="23"/>
      <c r="FJB248" s="26"/>
      <c r="FJF248" s="23"/>
      <c r="FJK248" s="26"/>
      <c r="FJO248" s="23"/>
      <c r="FJT248" s="26"/>
      <c r="FJX248" s="23"/>
      <c r="FKC248" s="26"/>
      <c r="FKG248" s="23"/>
      <c r="FKL248" s="26"/>
      <c r="FKP248" s="23"/>
      <c r="FKU248" s="26"/>
      <c r="FKY248" s="23"/>
      <c r="FLD248" s="26"/>
      <c r="FLH248" s="23"/>
      <c r="FLM248" s="26"/>
      <c r="FLQ248" s="23"/>
      <c r="FLV248" s="26"/>
      <c r="FLZ248" s="23"/>
      <c r="FME248" s="26"/>
      <c r="FMI248" s="23"/>
      <c r="FMN248" s="26"/>
      <c r="FMR248" s="23"/>
      <c r="FMW248" s="26"/>
      <c r="FNA248" s="23"/>
      <c r="FNF248" s="26"/>
      <c r="FNJ248" s="23"/>
      <c r="FNO248" s="26"/>
      <c r="FNS248" s="23"/>
      <c r="FNX248" s="26"/>
      <c r="FOB248" s="23"/>
      <c r="FOG248" s="26"/>
      <c r="FOK248" s="23"/>
      <c r="FOP248" s="26"/>
      <c r="FOT248" s="23"/>
      <c r="FOY248" s="26"/>
      <c r="FPC248" s="23"/>
      <c r="FPH248" s="26"/>
      <c r="FPL248" s="23"/>
      <c r="FPQ248" s="26"/>
      <c r="FPU248" s="23"/>
      <c r="FPZ248" s="26"/>
      <c r="FQD248" s="23"/>
      <c r="FQI248" s="26"/>
      <c r="FQM248" s="23"/>
      <c r="FQR248" s="26"/>
      <c r="FQV248" s="23"/>
      <c r="FRA248" s="26"/>
      <c r="FRE248" s="23"/>
      <c r="FRJ248" s="26"/>
      <c r="FRN248" s="23"/>
      <c r="FRS248" s="26"/>
      <c r="FRW248" s="23"/>
      <c r="FSB248" s="26"/>
      <c r="FSF248" s="23"/>
      <c r="FSK248" s="26"/>
      <c r="FSO248" s="23"/>
      <c r="FST248" s="26"/>
      <c r="FSX248" s="23"/>
      <c r="FTC248" s="26"/>
      <c r="FTG248" s="23"/>
      <c r="FTL248" s="26"/>
      <c r="FTP248" s="23"/>
      <c r="FTU248" s="26"/>
      <c r="FTY248" s="23"/>
      <c r="FUD248" s="26"/>
      <c r="FUH248" s="23"/>
      <c r="FUM248" s="26"/>
      <c r="FUQ248" s="23"/>
      <c r="FUV248" s="26"/>
      <c r="FUZ248" s="23"/>
      <c r="FVE248" s="26"/>
      <c r="FVI248" s="23"/>
      <c r="FVN248" s="26"/>
      <c r="FVR248" s="23"/>
      <c r="FVW248" s="26"/>
      <c r="FWA248" s="23"/>
      <c r="FWF248" s="26"/>
      <c r="FWJ248" s="23"/>
      <c r="FWO248" s="26"/>
      <c r="FWS248" s="23"/>
      <c r="FWX248" s="26"/>
      <c r="FXB248" s="23"/>
      <c r="FXG248" s="26"/>
      <c r="FXK248" s="23"/>
      <c r="FXP248" s="26"/>
      <c r="FXT248" s="23"/>
      <c r="FXY248" s="26"/>
      <c r="FYC248" s="23"/>
      <c r="FYH248" s="26"/>
      <c r="FYL248" s="23"/>
      <c r="FYQ248" s="26"/>
      <c r="FYU248" s="23"/>
      <c r="FYZ248" s="26"/>
      <c r="FZD248" s="23"/>
      <c r="FZI248" s="26"/>
      <c r="FZM248" s="23"/>
      <c r="FZR248" s="26"/>
      <c r="FZV248" s="23"/>
      <c r="GAA248" s="26"/>
      <c r="GAE248" s="23"/>
      <c r="GAJ248" s="26"/>
      <c r="GAN248" s="23"/>
      <c r="GAS248" s="26"/>
      <c r="GAW248" s="23"/>
      <c r="GBB248" s="26"/>
      <c r="GBF248" s="23"/>
      <c r="GBK248" s="26"/>
      <c r="GBO248" s="23"/>
      <c r="GBT248" s="26"/>
      <c r="GBX248" s="23"/>
      <c r="GCC248" s="26"/>
      <c r="GCG248" s="23"/>
      <c r="GCL248" s="26"/>
      <c r="GCP248" s="23"/>
      <c r="GCU248" s="26"/>
      <c r="GCY248" s="23"/>
      <c r="GDD248" s="26"/>
      <c r="GDH248" s="23"/>
      <c r="GDM248" s="26"/>
      <c r="GDQ248" s="23"/>
      <c r="GDV248" s="26"/>
      <c r="GDZ248" s="23"/>
      <c r="GEE248" s="26"/>
      <c r="GEI248" s="23"/>
      <c r="GEN248" s="26"/>
      <c r="GER248" s="23"/>
      <c r="GEW248" s="26"/>
      <c r="GFA248" s="23"/>
      <c r="GFF248" s="26"/>
      <c r="GFJ248" s="23"/>
      <c r="GFO248" s="26"/>
      <c r="GFS248" s="23"/>
      <c r="GFX248" s="26"/>
      <c r="GGB248" s="23"/>
      <c r="GGG248" s="26"/>
      <c r="GGK248" s="23"/>
      <c r="GGP248" s="26"/>
      <c r="GGT248" s="23"/>
      <c r="GGY248" s="26"/>
      <c r="GHC248" s="23"/>
      <c r="GHH248" s="26"/>
      <c r="GHL248" s="23"/>
      <c r="GHQ248" s="26"/>
      <c r="GHU248" s="23"/>
      <c r="GHZ248" s="26"/>
      <c r="GID248" s="23"/>
      <c r="GII248" s="26"/>
      <c r="GIM248" s="23"/>
      <c r="GIR248" s="26"/>
      <c r="GIV248" s="23"/>
      <c r="GJA248" s="26"/>
      <c r="GJE248" s="23"/>
      <c r="GJJ248" s="26"/>
      <c r="GJN248" s="23"/>
      <c r="GJS248" s="26"/>
      <c r="GJW248" s="23"/>
      <c r="GKB248" s="26"/>
      <c r="GKF248" s="23"/>
      <c r="GKK248" s="26"/>
      <c r="GKO248" s="23"/>
      <c r="GKT248" s="26"/>
      <c r="GKX248" s="23"/>
      <c r="GLC248" s="26"/>
      <c r="GLG248" s="23"/>
      <c r="GLL248" s="26"/>
      <c r="GLP248" s="23"/>
      <c r="GLU248" s="26"/>
      <c r="GLY248" s="23"/>
      <c r="GMD248" s="26"/>
      <c r="GMH248" s="23"/>
      <c r="GMM248" s="26"/>
      <c r="GMQ248" s="23"/>
      <c r="GMV248" s="26"/>
      <c r="GMZ248" s="23"/>
      <c r="GNE248" s="26"/>
      <c r="GNI248" s="23"/>
      <c r="GNN248" s="26"/>
      <c r="GNR248" s="23"/>
      <c r="GNW248" s="26"/>
      <c r="GOA248" s="23"/>
      <c r="GOF248" s="26"/>
      <c r="GOJ248" s="23"/>
      <c r="GOO248" s="26"/>
      <c r="GOS248" s="23"/>
      <c r="GOX248" s="26"/>
      <c r="GPB248" s="23"/>
      <c r="GPG248" s="26"/>
      <c r="GPK248" s="23"/>
      <c r="GPP248" s="26"/>
      <c r="GPT248" s="23"/>
      <c r="GPY248" s="26"/>
      <c r="GQC248" s="23"/>
      <c r="GQH248" s="26"/>
      <c r="GQL248" s="23"/>
      <c r="GQQ248" s="26"/>
      <c r="GQU248" s="23"/>
      <c r="GQZ248" s="26"/>
      <c r="GRD248" s="23"/>
      <c r="GRI248" s="26"/>
      <c r="GRM248" s="23"/>
      <c r="GRR248" s="26"/>
      <c r="GRV248" s="23"/>
      <c r="GSA248" s="26"/>
      <c r="GSE248" s="23"/>
      <c r="GSJ248" s="26"/>
      <c r="GSN248" s="23"/>
      <c r="GSS248" s="26"/>
      <c r="GSW248" s="23"/>
      <c r="GTB248" s="26"/>
      <c r="GTF248" s="23"/>
      <c r="GTK248" s="26"/>
      <c r="GTO248" s="23"/>
      <c r="GTT248" s="26"/>
      <c r="GTX248" s="23"/>
      <c r="GUC248" s="26"/>
      <c r="GUG248" s="23"/>
      <c r="GUL248" s="26"/>
      <c r="GUP248" s="23"/>
      <c r="GUU248" s="26"/>
      <c r="GUY248" s="23"/>
      <c r="GVD248" s="26"/>
      <c r="GVH248" s="23"/>
      <c r="GVM248" s="26"/>
      <c r="GVQ248" s="23"/>
      <c r="GVV248" s="26"/>
      <c r="GVZ248" s="23"/>
      <c r="GWE248" s="26"/>
      <c r="GWI248" s="23"/>
      <c r="GWN248" s="26"/>
      <c r="GWR248" s="23"/>
      <c r="GWW248" s="26"/>
      <c r="GXA248" s="23"/>
      <c r="GXF248" s="26"/>
      <c r="GXJ248" s="23"/>
      <c r="GXO248" s="26"/>
      <c r="GXS248" s="23"/>
      <c r="GXX248" s="26"/>
      <c r="GYB248" s="23"/>
      <c r="GYG248" s="26"/>
      <c r="GYK248" s="23"/>
      <c r="GYP248" s="26"/>
      <c r="GYT248" s="23"/>
      <c r="GYY248" s="26"/>
      <c r="GZC248" s="23"/>
      <c r="GZH248" s="26"/>
      <c r="GZL248" s="23"/>
      <c r="GZQ248" s="26"/>
      <c r="GZU248" s="23"/>
      <c r="GZZ248" s="26"/>
      <c r="HAD248" s="23"/>
      <c r="HAI248" s="26"/>
      <c r="HAM248" s="23"/>
      <c r="HAR248" s="26"/>
      <c r="HAV248" s="23"/>
      <c r="HBA248" s="26"/>
      <c r="HBE248" s="23"/>
      <c r="HBJ248" s="26"/>
      <c r="HBN248" s="23"/>
      <c r="HBS248" s="26"/>
      <c r="HBW248" s="23"/>
      <c r="HCB248" s="26"/>
      <c r="HCF248" s="23"/>
      <c r="HCK248" s="26"/>
      <c r="HCO248" s="23"/>
      <c r="HCT248" s="26"/>
      <c r="HCX248" s="23"/>
      <c r="HDC248" s="26"/>
      <c r="HDG248" s="23"/>
      <c r="HDL248" s="26"/>
      <c r="HDP248" s="23"/>
      <c r="HDU248" s="26"/>
      <c r="HDY248" s="23"/>
      <c r="HED248" s="26"/>
      <c r="HEH248" s="23"/>
      <c r="HEM248" s="26"/>
      <c r="HEQ248" s="23"/>
      <c r="HEV248" s="26"/>
      <c r="HEZ248" s="23"/>
      <c r="HFE248" s="26"/>
      <c r="HFI248" s="23"/>
      <c r="HFN248" s="26"/>
      <c r="HFR248" s="23"/>
      <c r="HFW248" s="26"/>
      <c r="HGA248" s="23"/>
      <c r="HGF248" s="26"/>
      <c r="HGJ248" s="23"/>
      <c r="HGO248" s="26"/>
      <c r="HGS248" s="23"/>
      <c r="HGX248" s="26"/>
      <c r="HHB248" s="23"/>
      <c r="HHG248" s="26"/>
      <c r="HHK248" s="23"/>
      <c r="HHP248" s="26"/>
      <c r="HHT248" s="23"/>
      <c r="HHY248" s="26"/>
      <c r="HIC248" s="23"/>
      <c r="HIH248" s="26"/>
      <c r="HIL248" s="23"/>
      <c r="HIQ248" s="26"/>
      <c r="HIU248" s="23"/>
      <c r="HIZ248" s="26"/>
      <c r="HJD248" s="23"/>
      <c r="HJI248" s="26"/>
      <c r="HJM248" s="23"/>
      <c r="HJR248" s="26"/>
      <c r="HJV248" s="23"/>
      <c r="HKA248" s="26"/>
      <c r="HKE248" s="23"/>
      <c r="HKJ248" s="26"/>
      <c r="HKN248" s="23"/>
      <c r="HKS248" s="26"/>
      <c r="HKW248" s="23"/>
      <c r="HLB248" s="26"/>
      <c r="HLF248" s="23"/>
      <c r="HLK248" s="26"/>
      <c r="HLO248" s="23"/>
      <c r="HLT248" s="26"/>
      <c r="HLX248" s="23"/>
      <c r="HMC248" s="26"/>
      <c r="HMG248" s="23"/>
      <c r="HML248" s="26"/>
      <c r="HMP248" s="23"/>
      <c r="HMU248" s="26"/>
      <c r="HMY248" s="23"/>
      <c r="HND248" s="26"/>
      <c r="HNH248" s="23"/>
      <c r="HNM248" s="26"/>
      <c r="HNQ248" s="23"/>
      <c r="HNV248" s="26"/>
      <c r="HNZ248" s="23"/>
      <c r="HOE248" s="26"/>
      <c r="HOI248" s="23"/>
      <c r="HON248" s="26"/>
      <c r="HOR248" s="23"/>
      <c r="HOW248" s="26"/>
      <c r="HPA248" s="23"/>
      <c r="HPF248" s="26"/>
      <c r="HPJ248" s="23"/>
      <c r="HPO248" s="26"/>
      <c r="HPS248" s="23"/>
      <c r="HPX248" s="26"/>
      <c r="HQB248" s="23"/>
      <c r="HQG248" s="26"/>
      <c r="HQK248" s="23"/>
      <c r="HQP248" s="26"/>
      <c r="HQT248" s="23"/>
      <c r="HQY248" s="26"/>
      <c r="HRC248" s="23"/>
      <c r="HRH248" s="26"/>
      <c r="HRL248" s="23"/>
      <c r="HRQ248" s="26"/>
      <c r="HRU248" s="23"/>
      <c r="HRZ248" s="26"/>
      <c r="HSD248" s="23"/>
      <c r="HSI248" s="26"/>
      <c r="HSM248" s="23"/>
      <c r="HSR248" s="26"/>
      <c r="HSV248" s="23"/>
      <c r="HTA248" s="26"/>
      <c r="HTE248" s="23"/>
      <c r="HTJ248" s="26"/>
      <c r="HTN248" s="23"/>
      <c r="HTS248" s="26"/>
      <c r="HTW248" s="23"/>
      <c r="HUB248" s="26"/>
      <c r="HUF248" s="23"/>
      <c r="HUK248" s="26"/>
      <c r="HUO248" s="23"/>
      <c r="HUT248" s="26"/>
      <c r="HUX248" s="23"/>
      <c r="HVC248" s="26"/>
      <c r="HVG248" s="23"/>
      <c r="HVL248" s="26"/>
      <c r="HVP248" s="23"/>
      <c r="HVU248" s="26"/>
      <c r="HVY248" s="23"/>
      <c r="HWD248" s="26"/>
      <c r="HWH248" s="23"/>
      <c r="HWM248" s="26"/>
      <c r="HWQ248" s="23"/>
      <c r="HWV248" s="26"/>
      <c r="HWZ248" s="23"/>
      <c r="HXE248" s="26"/>
      <c r="HXI248" s="23"/>
      <c r="HXN248" s="26"/>
      <c r="HXR248" s="23"/>
      <c r="HXW248" s="26"/>
      <c r="HYA248" s="23"/>
      <c r="HYF248" s="26"/>
      <c r="HYJ248" s="23"/>
      <c r="HYO248" s="26"/>
      <c r="HYS248" s="23"/>
      <c r="HYX248" s="26"/>
      <c r="HZB248" s="23"/>
      <c r="HZG248" s="26"/>
      <c r="HZK248" s="23"/>
      <c r="HZP248" s="26"/>
      <c r="HZT248" s="23"/>
      <c r="HZY248" s="26"/>
      <c r="IAC248" s="23"/>
      <c r="IAH248" s="26"/>
      <c r="IAL248" s="23"/>
      <c r="IAQ248" s="26"/>
      <c r="IAU248" s="23"/>
      <c r="IAZ248" s="26"/>
      <c r="IBD248" s="23"/>
      <c r="IBI248" s="26"/>
      <c r="IBM248" s="23"/>
      <c r="IBR248" s="26"/>
      <c r="IBV248" s="23"/>
      <c r="ICA248" s="26"/>
      <c r="ICE248" s="23"/>
      <c r="ICJ248" s="26"/>
      <c r="ICN248" s="23"/>
      <c r="ICS248" s="26"/>
      <c r="ICW248" s="23"/>
      <c r="IDB248" s="26"/>
      <c r="IDF248" s="23"/>
      <c r="IDK248" s="26"/>
      <c r="IDO248" s="23"/>
      <c r="IDT248" s="26"/>
      <c r="IDX248" s="23"/>
      <c r="IEC248" s="26"/>
      <c r="IEG248" s="23"/>
      <c r="IEL248" s="26"/>
      <c r="IEP248" s="23"/>
      <c r="IEU248" s="26"/>
      <c r="IEY248" s="23"/>
      <c r="IFD248" s="26"/>
      <c r="IFH248" s="23"/>
      <c r="IFM248" s="26"/>
      <c r="IFQ248" s="23"/>
      <c r="IFV248" s="26"/>
      <c r="IFZ248" s="23"/>
      <c r="IGE248" s="26"/>
      <c r="IGI248" s="23"/>
      <c r="IGN248" s="26"/>
      <c r="IGR248" s="23"/>
      <c r="IGW248" s="26"/>
      <c r="IHA248" s="23"/>
      <c r="IHF248" s="26"/>
      <c r="IHJ248" s="23"/>
      <c r="IHO248" s="26"/>
      <c r="IHS248" s="23"/>
      <c r="IHX248" s="26"/>
      <c r="IIB248" s="23"/>
      <c r="IIG248" s="26"/>
      <c r="IIK248" s="23"/>
      <c r="IIP248" s="26"/>
      <c r="IIT248" s="23"/>
      <c r="IIY248" s="26"/>
      <c r="IJC248" s="23"/>
      <c r="IJH248" s="26"/>
      <c r="IJL248" s="23"/>
      <c r="IJQ248" s="26"/>
      <c r="IJU248" s="23"/>
      <c r="IJZ248" s="26"/>
      <c r="IKD248" s="23"/>
      <c r="IKI248" s="26"/>
      <c r="IKM248" s="23"/>
      <c r="IKR248" s="26"/>
      <c r="IKV248" s="23"/>
      <c r="ILA248" s="26"/>
      <c r="ILE248" s="23"/>
      <c r="ILJ248" s="26"/>
      <c r="ILN248" s="23"/>
      <c r="ILS248" s="26"/>
      <c r="ILW248" s="23"/>
      <c r="IMB248" s="26"/>
      <c r="IMF248" s="23"/>
      <c r="IMK248" s="26"/>
      <c r="IMO248" s="23"/>
      <c r="IMT248" s="26"/>
      <c r="IMX248" s="23"/>
      <c r="INC248" s="26"/>
      <c r="ING248" s="23"/>
      <c r="INL248" s="26"/>
      <c r="INP248" s="23"/>
      <c r="INU248" s="26"/>
      <c r="INY248" s="23"/>
      <c r="IOD248" s="26"/>
      <c r="IOH248" s="23"/>
      <c r="IOM248" s="26"/>
      <c r="IOQ248" s="23"/>
      <c r="IOV248" s="26"/>
      <c r="IOZ248" s="23"/>
      <c r="IPE248" s="26"/>
      <c r="IPI248" s="23"/>
      <c r="IPN248" s="26"/>
      <c r="IPR248" s="23"/>
      <c r="IPW248" s="26"/>
      <c r="IQA248" s="23"/>
      <c r="IQF248" s="26"/>
      <c r="IQJ248" s="23"/>
      <c r="IQO248" s="26"/>
      <c r="IQS248" s="23"/>
      <c r="IQX248" s="26"/>
      <c r="IRB248" s="23"/>
      <c r="IRG248" s="26"/>
      <c r="IRK248" s="23"/>
      <c r="IRP248" s="26"/>
      <c r="IRT248" s="23"/>
      <c r="IRY248" s="26"/>
      <c r="ISC248" s="23"/>
      <c r="ISH248" s="26"/>
      <c r="ISL248" s="23"/>
      <c r="ISQ248" s="26"/>
      <c r="ISU248" s="23"/>
      <c r="ISZ248" s="26"/>
      <c r="ITD248" s="23"/>
      <c r="ITI248" s="26"/>
      <c r="ITM248" s="23"/>
      <c r="ITR248" s="26"/>
      <c r="ITV248" s="23"/>
      <c r="IUA248" s="26"/>
      <c r="IUE248" s="23"/>
      <c r="IUJ248" s="26"/>
      <c r="IUN248" s="23"/>
      <c r="IUS248" s="26"/>
      <c r="IUW248" s="23"/>
      <c r="IVB248" s="26"/>
      <c r="IVF248" s="23"/>
      <c r="IVK248" s="26"/>
      <c r="IVO248" s="23"/>
      <c r="IVT248" s="26"/>
      <c r="IVX248" s="23"/>
      <c r="IWC248" s="26"/>
      <c r="IWG248" s="23"/>
      <c r="IWL248" s="26"/>
      <c r="IWP248" s="23"/>
      <c r="IWU248" s="26"/>
      <c r="IWY248" s="23"/>
      <c r="IXD248" s="26"/>
      <c r="IXH248" s="23"/>
      <c r="IXM248" s="26"/>
      <c r="IXQ248" s="23"/>
      <c r="IXV248" s="26"/>
      <c r="IXZ248" s="23"/>
      <c r="IYE248" s="26"/>
      <c r="IYI248" s="23"/>
      <c r="IYN248" s="26"/>
      <c r="IYR248" s="23"/>
      <c r="IYW248" s="26"/>
      <c r="IZA248" s="23"/>
      <c r="IZF248" s="26"/>
      <c r="IZJ248" s="23"/>
      <c r="IZO248" s="26"/>
      <c r="IZS248" s="23"/>
      <c r="IZX248" s="26"/>
      <c r="JAB248" s="23"/>
      <c r="JAG248" s="26"/>
      <c r="JAK248" s="23"/>
      <c r="JAP248" s="26"/>
      <c r="JAT248" s="23"/>
      <c r="JAY248" s="26"/>
      <c r="JBC248" s="23"/>
      <c r="JBH248" s="26"/>
      <c r="JBL248" s="23"/>
      <c r="JBQ248" s="26"/>
      <c r="JBU248" s="23"/>
      <c r="JBZ248" s="26"/>
      <c r="JCD248" s="23"/>
      <c r="JCI248" s="26"/>
      <c r="JCM248" s="23"/>
      <c r="JCR248" s="26"/>
      <c r="JCV248" s="23"/>
      <c r="JDA248" s="26"/>
      <c r="JDE248" s="23"/>
      <c r="JDJ248" s="26"/>
      <c r="JDN248" s="23"/>
      <c r="JDS248" s="26"/>
      <c r="JDW248" s="23"/>
      <c r="JEB248" s="26"/>
      <c r="JEF248" s="23"/>
      <c r="JEK248" s="26"/>
      <c r="JEO248" s="23"/>
      <c r="JET248" s="26"/>
      <c r="JEX248" s="23"/>
      <c r="JFC248" s="26"/>
      <c r="JFG248" s="23"/>
      <c r="JFL248" s="26"/>
      <c r="JFP248" s="23"/>
      <c r="JFU248" s="26"/>
      <c r="JFY248" s="23"/>
      <c r="JGD248" s="26"/>
      <c r="JGH248" s="23"/>
      <c r="JGM248" s="26"/>
      <c r="JGQ248" s="23"/>
      <c r="JGV248" s="26"/>
      <c r="JGZ248" s="23"/>
      <c r="JHE248" s="26"/>
      <c r="JHI248" s="23"/>
      <c r="JHN248" s="26"/>
      <c r="JHR248" s="23"/>
      <c r="JHW248" s="26"/>
      <c r="JIA248" s="23"/>
      <c r="JIF248" s="26"/>
      <c r="JIJ248" s="23"/>
      <c r="JIO248" s="26"/>
      <c r="JIS248" s="23"/>
      <c r="JIX248" s="26"/>
      <c r="JJB248" s="23"/>
      <c r="JJG248" s="26"/>
      <c r="JJK248" s="23"/>
      <c r="JJP248" s="26"/>
      <c r="JJT248" s="23"/>
      <c r="JJY248" s="26"/>
      <c r="JKC248" s="23"/>
      <c r="JKH248" s="26"/>
      <c r="JKL248" s="23"/>
      <c r="JKQ248" s="26"/>
      <c r="JKU248" s="23"/>
      <c r="JKZ248" s="26"/>
      <c r="JLD248" s="23"/>
      <c r="JLI248" s="26"/>
      <c r="JLM248" s="23"/>
      <c r="JLR248" s="26"/>
      <c r="JLV248" s="23"/>
      <c r="JMA248" s="26"/>
      <c r="JME248" s="23"/>
      <c r="JMJ248" s="26"/>
      <c r="JMN248" s="23"/>
      <c r="JMS248" s="26"/>
      <c r="JMW248" s="23"/>
      <c r="JNB248" s="26"/>
      <c r="JNF248" s="23"/>
      <c r="JNK248" s="26"/>
      <c r="JNO248" s="23"/>
      <c r="JNT248" s="26"/>
      <c r="JNX248" s="23"/>
      <c r="JOC248" s="26"/>
      <c r="JOG248" s="23"/>
      <c r="JOL248" s="26"/>
      <c r="JOP248" s="23"/>
      <c r="JOU248" s="26"/>
      <c r="JOY248" s="23"/>
      <c r="JPD248" s="26"/>
      <c r="JPH248" s="23"/>
      <c r="JPM248" s="26"/>
      <c r="JPQ248" s="23"/>
      <c r="JPV248" s="26"/>
      <c r="JPZ248" s="23"/>
      <c r="JQE248" s="26"/>
      <c r="JQI248" s="23"/>
      <c r="JQN248" s="26"/>
      <c r="JQR248" s="23"/>
      <c r="JQW248" s="26"/>
      <c r="JRA248" s="23"/>
      <c r="JRF248" s="26"/>
      <c r="JRJ248" s="23"/>
      <c r="JRO248" s="26"/>
      <c r="JRS248" s="23"/>
      <c r="JRX248" s="26"/>
      <c r="JSB248" s="23"/>
      <c r="JSG248" s="26"/>
      <c r="JSK248" s="23"/>
      <c r="JSP248" s="26"/>
      <c r="JST248" s="23"/>
      <c r="JSY248" s="26"/>
      <c r="JTC248" s="23"/>
      <c r="JTH248" s="26"/>
      <c r="JTL248" s="23"/>
      <c r="JTQ248" s="26"/>
      <c r="JTU248" s="23"/>
      <c r="JTZ248" s="26"/>
      <c r="JUD248" s="23"/>
      <c r="JUI248" s="26"/>
      <c r="JUM248" s="23"/>
      <c r="JUR248" s="26"/>
      <c r="JUV248" s="23"/>
      <c r="JVA248" s="26"/>
      <c r="JVE248" s="23"/>
      <c r="JVJ248" s="26"/>
      <c r="JVN248" s="23"/>
      <c r="JVS248" s="26"/>
      <c r="JVW248" s="23"/>
      <c r="JWB248" s="26"/>
      <c r="JWF248" s="23"/>
      <c r="JWK248" s="26"/>
      <c r="JWO248" s="23"/>
      <c r="JWT248" s="26"/>
      <c r="JWX248" s="23"/>
      <c r="JXC248" s="26"/>
      <c r="JXG248" s="23"/>
      <c r="JXL248" s="26"/>
      <c r="JXP248" s="23"/>
      <c r="JXU248" s="26"/>
      <c r="JXY248" s="23"/>
      <c r="JYD248" s="26"/>
      <c r="JYH248" s="23"/>
      <c r="JYM248" s="26"/>
      <c r="JYQ248" s="23"/>
      <c r="JYV248" s="26"/>
      <c r="JYZ248" s="23"/>
      <c r="JZE248" s="26"/>
      <c r="JZI248" s="23"/>
      <c r="JZN248" s="26"/>
      <c r="JZR248" s="23"/>
      <c r="JZW248" s="26"/>
      <c r="KAA248" s="23"/>
      <c r="KAF248" s="26"/>
      <c r="KAJ248" s="23"/>
      <c r="KAO248" s="26"/>
      <c r="KAS248" s="23"/>
      <c r="KAX248" s="26"/>
      <c r="KBB248" s="23"/>
      <c r="KBG248" s="26"/>
      <c r="KBK248" s="23"/>
      <c r="KBP248" s="26"/>
      <c r="KBT248" s="23"/>
      <c r="KBY248" s="26"/>
      <c r="KCC248" s="23"/>
      <c r="KCH248" s="26"/>
      <c r="KCL248" s="23"/>
      <c r="KCQ248" s="26"/>
      <c r="KCU248" s="23"/>
      <c r="KCZ248" s="26"/>
      <c r="KDD248" s="23"/>
      <c r="KDI248" s="26"/>
      <c r="KDM248" s="23"/>
      <c r="KDR248" s="26"/>
      <c r="KDV248" s="23"/>
      <c r="KEA248" s="26"/>
      <c r="KEE248" s="23"/>
      <c r="KEJ248" s="26"/>
      <c r="KEN248" s="23"/>
      <c r="KES248" s="26"/>
      <c r="KEW248" s="23"/>
      <c r="KFB248" s="26"/>
      <c r="KFF248" s="23"/>
      <c r="KFK248" s="26"/>
      <c r="KFO248" s="23"/>
      <c r="KFT248" s="26"/>
      <c r="KFX248" s="23"/>
      <c r="KGC248" s="26"/>
      <c r="KGG248" s="23"/>
      <c r="KGL248" s="26"/>
      <c r="KGP248" s="23"/>
      <c r="KGU248" s="26"/>
      <c r="KGY248" s="23"/>
      <c r="KHD248" s="26"/>
      <c r="KHH248" s="23"/>
      <c r="KHM248" s="26"/>
      <c r="KHQ248" s="23"/>
      <c r="KHV248" s="26"/>
      <c r="KHZ248" s="23"/>
      <c r="KIE248" s="26"/>
      <c r="KII248" s="23"/>
      <c r="KIN248" s="26"/>
      <c r="KIR248" s="23"/>
      <c r="KIW248" s="26"/>
      <c r="KJA248" s="23"/>
      <c r="KJF248" s="26"/>
      <c r="KJJ248" s="23"/>
      <c r="KJO248" s="26"/>
      <c r="KJS248" s="23"/>
      <c r="KJX248" s="26"/>
      <c r="KKB248" s="23"/>
      <c r="KKG248" s="26"/>
      <c r="KKK248" s="23"/>
      <c r="KKP248" s="26"/>
      <c r="KKT248" s="23"/>
      <c r="KKY248" s="26"/>
      <c r="KLC248" s="23"/>
      <c r="KLH248" s="26"/>
      <c r="KLL248" s="23"/>
      <c r="KLQ248" s="26"/>
      <c r="KLU248" s="23"/>
      <c r="KLZ248" s="26"/>
      <c r="KMD248" s="23"/>
      <c r="KMI248" s="26"/>
      <c r="KMM248" s="23"/>
      <c r="KMR248" s="26"/>
      <c r="KMV248" s="23"/>
      <c r="KNA248" s="26"/>
      <c r="KNE248" s="23"/>
      <c r="KNJ248" s="26"/>
      <c r="KNN248" s="23"/>
      <c r="KNS248" s="26"/>
      <c r="KNW248" s="23"/>
      <c r="KOB248" s="26"/>
      <c r="KOF248" s="23"/>
      <c r="KOK248" s="26"/>
      <c r="KOO248" s="23"/>
      <c r="KOT248" s="26"/>
      <c r="KOX248" s="23"/>
      <c r="KPC248" s="26"/>
      <c r="KPG248" s="23"/>
      <c r="KPL248" s="26"/>
      <c r="KPP248" s="23"/>
      <c r="KPU248" s="26"/>
      <c r="KPY248" s="23"/>
      <c r="KQD248" s="26"/>
      <c r="KQH248" s="23"/>
      <c r="KQM248" s="26"/>
      <c r="KQQ248" s="23"/>
      <c r="KQV248" s="26"/>
      <c r="KQZ248" s="23"/>
      <c r="KRE248" s="26"/>
      <c r="KRI248" s="23"/>
      <c r="KRN248" s="26"/>
      <c r="KRR248" s="23"/>
      <c r="KRW248" s="26"/>
      <c r="KSA248" s="23"/>
      <c r="KSF248" s="26"/>
      <c r="KSJ248" s="23"/>
      <c r="KSO248" s="26"/>
      <c r="KSS248" s="23"/>
      <c r="KSX248" s="26"/>
      <c r="KTB248" s="23"/>
      <c r="KTG248" s="26"/>
      <c r="KTK248" s="23"/>
      <c r="KTP248" s="26"/>
      <c r="KTT248" s="23"/>
      <c r="KTY248" s="26"/>
      <c r="KUC248" s="23"/>
      <c r="KUH248" s="26"/>
      <c r="KUL248" s="23"/>
      <c r="KUQ248" s="26"/>
      <c r="KUU248" s="23"/>
      <c r="KUZ248" s="26"/>
      <c r="KVD248" s="23"/>
      <c r="KVI248" s="26"/>
      <c r="KVM248" s="23"/>
      <c r="KVR248" s="26"/>
      <c r="KVV248" s="23"/>
      <c r="KWA248" s="26"/>
      <c r="KWE248" s="23"/>
      <c r="KWJ248" s="26"/>
      <c r="KWN248" s="23"/>
      <c r="KWS248" s="26"/>
      <c r="KWW248" s="23"/>
      <c r="KXB248" s="26"/>
      <c r="KXF248" s="23"/>
      <c r="KXK248" s="26"/>
      <c r="KXO248" s="23"/>
      <c r="KXT248" s="26"/>
      <c r="KXX248" s="23"/>
      <c r="KYC248" s="26"/>
      <c r="KYG248" s="23"/>
      <c r="KYL248" s="26"/>
      <c r="KYP248" s="23"/>
      <c r="KYU248" s="26"/>
      <c r="KYY248" s="23"/>
      <c r="KZD248" s="26"/>
      <c r="KZH248" s="23"/>
      <c r="KZM248" s="26"/>
      <c r="KZQ248" s="23"/>
      <c r="KZV248" s="26"/>
      <c r="KZZ248" s="23"/>
      <c r="LAE248" s="26"/>
      <c r="LAI248" s="23"/>
      <c r="LAN248" s="26"/>
      <c r="LAR248" s="23"/>
      <c r="LAW248" s="26"/>
      <c r="LBA248" s="23"/>
      <c r="LBF248" s="26"/>
      <c r="LBJ248" s="23"/>
      <c r="LBO248" s="26"/>
      <c r="LBS248" s="23"/>
      <c r="LBX248" s="26"/>
      <c r="LCB248" s="23"/>
      <c r="LCG248" s="26"/>
      <c r="LCK248" s="23"/>
      <c r="LCP248" s="26"/>
      <c r="LCT248" s="23"/>
      <c r="LCY248" s="26"/>
      <c r="LDC248" s="23"/>
      <c r="LDH248" s="26"/>
      <c r="LDL248" s="23"/>
      <c r="LDQ248" s="26"/>
      <c r="LDU248" s="23"/>
      <c r="LDZ248" s="26"/>
      <c r="LED248" s="23"/>
      <c r="LEI248" s="26"/>
      <c r="LEM248" s="23"/>
      <c r="LER248" s="26"/>
      <c r="LEV248" s="23"/>
      <c r="LFA248" s="26"/>
      <c r="LFE248" s="23"/>
      <c r="LFJ248" s="26"/>
      <c r="LFN248" s="23"/>
      <c r="LFS248" s="26"/>
      <c r="LFW248" s="23"/>
      <c r="LGB248" s="26"/>
      <c r="LGF248" s="23"/>
      <c r="LGK248" s="26"/>
      <c r="LGO248" s="23"/>
      <c r="LGT248" s="26"/>
      <c r="LGX248" s="23"/>
      <c r="LHC248" s="26"/>
      <c r="LHG248" s="23"/>
      <c r="LHL248" s="26"/>
      <c r="LHP248" s="23"/>
      <c r="LHU248" s="26"/>
      <c r="LHY248" s="23"/>
      <c r="LID248" s="26"/>
      <c r="LIH248" s="23"/>
      <c r="LIM248" s="26"/>
      <c r="LIQ248" s="23"/>
      <c r="LIV248" s="26"/>
      <c r="LIZ248" s="23"/>
      <c r="LJE248" s="26"/>
      <c r="LJI248" s="23"/>
      <c r="LJN248" s="26"/>
      <c r="LJR248" s="23"/>
      <c r="LJW248" s="26"/>
      <c r="LKA248" s="23"/>
      <c r="LKF248" s="26"/>
      <c r="LKJ248" s="23"/>
      <c r="LKO248" s="26"/>
      <c r="LKS248" s="23"/>
      <c r="LKX248" s="26"/>
      <c r="LLB248" s="23"/>
      <c r="LLG248" s="26"/>
      <c r="LLK248" s="23"/>
      <c r="LLP248" s="26"/>
      <c r="LLT248" s="23"/>
      <c r="LLY248" s="26"/>
      <c r="LMC248" s="23"/>
      <c r="LMH248" s="26"/>
      <c r="LML248" s="23"/>
      <c r="LMQ248" s="26"/>
      <c r="LMU248" s="23"/>
      <c r="LMZ248" s="26"/>
      <c r="LND248" s="23"/>
      <c r="LNI248" s="26"/>
      <c r="LNM248" s="23"/>
      <c r="LNR248" s="26"/>
      <c r="LNV248" s="23"/>
      <c r="LOA248" s="26"/>
      <c r="LOE248" s="23"/>
      <c r="LOJ248" s="26"/>
      <c r="LON248" s="23"/>
      <c r="LOS248" s="26"/>
      <c r="LOW248" s="23"/>
      <c r="LPB248" s="26"/>
      <c r="LPF248" s="23"/>
      <c r="LPK248" s="26"/>
      <c r="LPO248" s="23"/>
      <c r="LPT248" s="26"/>
      <c r="LPX248" s="23"/>
      <c r="LQC248" s="26"/>
      <c r="LQG248" s="23"/>
      <c r="LQL248" s="26"/>
      <c r="LQP248" s="23"/>
      <c r="LQU248" s="26"/>
      <c r="LQY248" s="23"/>
      <c r="LRD248" s="26"/>
      <c r="LRH248" s="23"/>
      <c r="LRM248" s="26"/>
      <c r="LRQ248" s="23"/>
      <c r="LRV248" s="26"/>
      <c r="LRZ248" s="23"/>
      <c r="LSE248" s="26"/>
      <c r="LSI248" s="23"/>
      <c r="LSN248" s="26"/>
      <c r="LSR248" s="23"/>
      <c r="LSW248" s="26"/>
      <c r="LTA248" s="23"/>
      <c r="LTF248" s="26"/>
      <c r="LTJ248" s="23"/>
      <c r="LTO248" s="26"/>
      <c r="LTS248" s="23"/>
      <c r="LTX248" s="26"/>
      <c r="LUB248" s="23"/>
      <c r="LUG248" s="26"/>
      <c r="LUK248" s="23"/>
      <c r="LUP248" s="26"/>
      <c r="LUT248" s="23"/>
      <c r="LUY248" s="26"/>
      <c r="LVC248" s="23"/>
      <c r="LVH248" s="26"/>
      <c r="LVL248" s="23"/>
      <c r="LVQ248" s="26"/>
      <c r="LVU248" s="23"/>
      <c r="LVZ248" s="26"/>
      <c r="LWD248" s="23"/>
      <c r="LWI248" s="26"/>
      <c r="LWM248" s="23"/>
      <c r="LWR248" s="26"/>
      <c r="LWV248" s="23"/>
      <c r="LXA248" s="26"/>
      <c r="LXE248" s="23"/>
      <c r="LXJ248" s="26"/>
      <c r="LXN248" s="23"/>
      <c r="LXS248" s="26"/>
      <c r="LXW248" s="23"/>
      <c r="LYB248" s="26"/>
      <c r="LYF248" s="23"/>
      <c r="LYK248" s="26"/>
      <c r="LYO248" s="23"/>
      <c r="LYT248" s="26"/>
      <c r="LYX248" s="23"/>
      <c r="LZC248" s="26"/>
      <c r="LZG248" s="23"/>
      <c r="LZL248" s="26"/>
      <c r="LZP248" s="23"/>
      <c r="LZU248" s="26"/>
      <c r="LZY248" s="23"/>
      <c r="MAD248" s="26"/>
      <c r="MAH248" s="23"/>
      <c r="MAM248" s="26"/>
      <c r="MAQ248" s="23"/>
      <c r="MAV248" s="26"/>
      <c r="MAZ248" s="23"/>
      <c r="MBE248" s="26"/>
      <c r="MBI248" s="23"/>
      <c r="MBN248" s="26"/>
      <c r="MBR248" s="23"/>
      <c r="MBW248" s="26"/>
      <c r="MCA248" s="23"/>
      <c r="MCF248" s="26"/>
      <c r="MCJ248" s="23"/>
      <c r="MCO248" s="26"/>
      <c r="MCS248" s="23"/>
      <c r="MCX248" s="26"/>
      <c r="MDB248" s="23"/>
      <c r="MDG248" s="26"/>
      <c r="MDK248" s="23"/>
      <c r="MDP248" s="26"/>
      <c r="MDT248" s="23"/>
      <c r="MDY248" s="26"/>
      <c r="MEC248" s="23"/>
      <c r="MEH248" s="26"/>
      <c r="MEL248" s="23"/>
      <c r="MEQ248" s="26"/>
      <c r="MEU248" s="23"/>
      <c r="MEZ248" s="26"/>
      <c r="MFD248" s="23"/>
      <c r="MFI248" s="26"/>
      <c r="MFM248" s="23"/>
      <c r="MFR248" s="26"/>
      <c r="MFV248" s="23"/>
      <c r="MGA248" s="26"/>
      <c r="MGE248" s="23"/>
      <c r="MGJ248" s="26"/>
      <c r="MGN248" s="23"/>
      <c r="MGS248" s="26"/>
      <c r="MGW248" s="23"/>
      <c r="MHB248" s="26"/>
      <c r="MHF248" s="23"/>
      <c r="MHK248" s="26"/>
      <c r="MHO248" s="23"/>
      <c r="MHT248" s="26"/>
      <c r="MHX248" s="23"/>
      <c r="MIC248" s="26"/>
      <c r="MIG248" s="23"/>
      <c r="MIL248" s="26"/>
      <c r="MIP248" s="23"/>
      <c r="MIU248" s="26"/>
      <c r="MIY248" s="23"/>
      <c r="MJD248" s="26"/>
      <c r="MJH248" s="23"/>
      <c r="MJM248" s="26"/>
      <c r="MJQ248" s="23"/>
      <c r="MJV248" s="26"/>
      <c r="MJZ248" s="23"/>
      <c r="MKE248" s="26"/>
      <c r="MKI248" s="23"/>
      <c r="MKN248" s="26"/>
      <c r="MKR248" s="23"/>
      <c r="MKW248" s="26"/>
      <c r="MLA248" s="23"/>
      <c r="MLF248" s="26"/>
      <c r="MLJ248" s="23"/>
      <c r="MLO248" s="26"/>
      <c r="MLS248" s="23"/>
      <c r="MLX248" s="26"/>
      <c r="MMB248" s="23"/>
      <c r="MMG248" s="26"/>
      <c r="MMK248" s="23"/>
      <c r="MMP248" s="26"/>
      <c r="MMT248" s="23"/>
      <c r="MMY248" s="26"/>
      <c r="MNC248" s="23"/>
      <c r="MNH248" s="26"/>
      <c r="MNL248" s="23"/>
      <c r="MNQ248" s="26"/>
      <c r="MNU248" s="23"/>
      <c r="MNZ248" s="26"/>
      <c r="MOD248" s="23"/>
      <c r="MOI248" s="26"/>
      <c r="MOM248" s="23"/>
      <c r="MOR248" s="26"/>
      <c r="MOV248" s="23"/>
      <c r="MPA248" s="26"/>
      <c r="MPE248" s="23"/>
      <c r="MPJ248" s="26"/>
      <c r="MPN248" s="23"/>
      <c r="MPS248" s="26"/>
      <c r="MPW248" s="23"/>
      <c r="MQB248" s="26"/>
      <c r="MQF248" s="23"/>
      <c r="MQK248" s="26"/>
      <c r="MQO248" s="23"/>
      <c r="MQT248" s="26"/>
      <c r="MQX248" s="23"/>
      <c r="MRC248" s="26"/>
      <c r="MRG248" s="23"/>
      <c r="MRL248" s="26"/>
      <c r="MRP248" s="23"/>
      <c r="MRU248" s="26"/>
      <c r="MRY248" s="23"/>
      <c r="MSD248" s="26"/>
      <c r="MSH248" s="23"/>
      <c r="MSM248" s="26"/>
      <c r="MSQ248" s="23"/>
      <c r="MSV248" s="26"/>
      <c r="MSZ248" s="23"/>
      <c r="MTE248" s="26"/>
      <c r="MTI248" s="23"/>
      <c r="MTN248" s="26"/>
      <c r="MTR248" s="23"/>
      <c r="MTW248" s="26"/>
      <c r="MUA248" s="23"/>
      <c r="MUF248" s="26"/>
      <c r="MUJ248" s="23"/>
      <c r="MUO248" s="26"/>
      <c r="MUS248" s="23"/>
      <c r="MUX248" s="26"/>
      <c r="MVB248" s="23"/>
      <c r="MVG248" s="26"/>
      <c r="MVK248" s="23"/>
      <c r="MVP248" s="26"/>
      <c r="MVT248" s="23"/>
      <c r="MVY248" s="26"/>
      <c r="MWC248" s="23"/>
      <c r="MWH248" s="26"/>
      <c r="MWL248" s="23"/>
      <c r="MWQ248" s="26"/>
      <c r="MWU248" s="23"/>
      <c r="MWZ248" s="26"/>
      <c r="MXD248" s="23"/>
      <c r="MXI248" s="26"/>
      <c r="MXM248" s="23"/>
      <c r="MXR248" s="26"/>
      <c r="MXV248" s="23"/>
      <c r="MYA248" s="26"/>
      <c r="MYE248" s="23"/>
      <c r="MYJ248" s="26"/>
      <c r="MYN248" s="23"/>
      <c r="MYS248" s="26"/>
      <c r="MYW248" s="23"/>
      <c r="MZB248" s="26"/>
      <c r="MZF248" s="23"/>
      <c r="MZK248" s="26"/>
      <c r="MZO248" s="23"/>
      <c r="MZT248" s="26"/>
      <c r="MZX248" s="23"/>
      <c r="NAC248" s="26"/>
      <c r="NAG248" s="23"/>
      <c r="NAL248" s="26"/>
      <c r="NAP248" s="23"/>
      <c r="NAU248" s="26"/>
      <c r="NAY248" s="23"/>
      <c r="NBD248" s="26"/>
      <c r="NBH248" s="23"/>
      <c r="NBM248" s="26"/>
      <c r="NBQ248" s="23"/>
      <c r="NBV248" s="26"/>
      <c r="NBZ248" s="23"/>
      <c r="NCE248" s="26"/>
      <c r="NCI248" s="23"/>
      <c r="NCN248" s="26"/>
      <c r="NCR248" s="23"/>
      <c r="NCW248" s="26"/>
      <c r="NDA248" s="23"/>
      <c r="NDF248" s="26"/>
      <c r="NDJ248" s="23"/>
      <c r="NDO248" s="26"/>
      <c r="NDS248" s="23"/>
      <c r="NDX248" s="26"/>
      <c r="NEB248" s="23"/>
      <c r="NEG248" s="26"/>
      <c r="NEK248" s="23"/>
      <c r="NEP248" s="26"/>
      <c r="NET248" s="23"/>
      <c r="NEY248" s="26"/>
      <c r="NFC248" s="23"/>
      <c r="NFH248" s="26"/>
      <c r="NFL248" s="23"/>
      <c r="NFQ248" s="26"/>
      <c r="NFU248" s="23"/>
      <c r="NFZ248" s="26"/>
      <c r="NGD248" s="23"/>
      <c r="NGI248" s="26"/>
      <c r="NGM248" s="23"/>
      <c r="NGR248" s="26"/>
      <c r="NGV248" s="23"/>
      <c r="NHA248" s="26"/>
      <c r="NHE248" s="23"/>
      <c r="NHJ248" s="26"/>
      <c r="NHN248" s="23"/>
      <c r="NHS248" s="26"/>
      <c r="NHW248" s="23"/>
      <c r="NIB248" s="26"/>
      <c r="NIF248" s="23"/>
      <c r="NIK248" s="26"/>
      <c r="NIO248" s="23"/>
      <c r="NIT248" s="26"/>
      <c r="NIX248" s="23"/>
      <c r="NJC248" s="26"/>
      <c r="NJG248" s="23"/>
      <c r="NJL248" s="26"/>
      <c r="NJP248" s="23"/>
      <c r="NJU248" s="26"/>
      <c r="NJY248" s="23"/>
      <c r="NKD248" s="26"/>
      <c r="NKH248" s="23"/>
      <c r="NKM248" s="26"/>
      <c r="NKQ248" s="23"/>
      <c r="NKV248" s="26"/>
      <c r="NKZ248" s="23"/>
      <c r="NLE248" s="26"/>
      <c r="NLI248" s="23"/>
      <c r="NLN248" s="26"/>
      <c r="NLR248" s="23"/>
      <c r="NLW248" s="26"/>
      <c r="NMA248" s="23"/>
      <c r="NMF248" s="26"/>
      <c r="NMJ248" s="23"/>
      <c r="NMO248" s="26"/>
      <c r="NMS248" s="23"/>
      <c r="NMX248" s="26"/>
      <c r="NNB248" s="23"/>
      <c r="NNG248" s="26"/>
      <c r="NNK248" s="23"/>
      <c r="NNP248" s="26"/>
      <c r="NNT248" s="23"/>
      <c r="NNY248" s="26"/>
      <c r="NOC248" s="23"/>
      <c r="NOH248" s="26"/>
      <c r="NOL248" s="23"/>
      <c r="NOQ248" s="26"/>
      <c r="NOU248" s="23"/>
      <c r="NOZ248" s="26"/>
      <c r="NPD248" s="23"/>
      <c r="NPI248" s="26"/>
      <c r="NPM248" s="23"/>
      <c r="NPR248" s="26"/>
      <c r="NPV248" s="23"/>
      <c r="NQA248" s="26"/>
      <c r="NQE248" s="23"/>
      <c r="NQJ248" s="26"/>
      <c r="NQN248" s="23"/>
      <c r="NQS248" s="26"/>
      <c r="NQW248" s="23"/>
      <c r="NRB248" s="26"/>
      <c r="NRF248" s="23"/>
      <c r="NRK248" s="26"/>
      <c r="NRO248" s="23"/>
      <c r="NRT248" s="26"/>
      <c r="NRX248" s="23"/>
      <c r="NSC248" s="26"/>
      <c r="NSG248" s="23"/>
      <c r="NSL248" s="26"/>
      <c r="NSP248" s="23"/>
      <c r="NSU248" s="26"/>
      <c r="NSY248" s="23"/>
      <c r="NTD248" s="26"/>
      <c r="NTH248" s="23"/>
      <c r="NTM248" s="26"/>
      <c r="NTQ248" s="23"/>
      <c r="NTV248" s="26"/>
      <c r="NTZ248" s="23"/>
      <c r="NUE248" s="26"/>
      <c r="NUI248" s="23"/>
      <c r="NUN248" s="26"/>
      <c r="NUR248" s="23"/>
      <c r="NUW248" s="26"/>
      <c r="NVA248" s="23"/>
      <c r="NVF248" s="26"/>
      <c r="NVJ248" s="23"/>
      <c r="NVO248" s="26"/>
      <c r="NVS248" s="23"/>
      <c r="NVX248" s="26"/>
      <c r="NWB248" s="23"/>
      <c r="NWG248" s="26"/>
      <c r="NWK248" s="23"/>
      <c r="NWP248" s="26"/>
      <c r="NWT248" s="23"/>
      <c r="NWY248" s="26"/>
      <c r="NXC248" s="23"/>
      <c r="NXH248" s="26"/>
      <c r="NXL248" s="23"/>
      <c r="NXQ248" s="26"/>
      <c r="NXU248" s="23"/>
      <c r="NXZ248" s="26"/>
      <c r="NYD248" s="23"/>
      <c r="NYI248" s="26"/>
      <c r="NYM248" s="23"/>
      <c r="NYR248" s="26"/>
      <c r="NYV248" s="23"/>
      <c r="NZA248" s="26"/>
      <c r="NZE248" s="23"/>
      <c r="NZJ248" s="26"/>
      <c r="NZN248" s="23"/>
      <c r="NZS248" s="26"/>
      <c r="NZW248" s="23"/>
      <c r="OAB248" s="26"/>
      <c r="OAF248" s="23"/>
      <c r="OAK248" s="26"/>
      <c r="OAO248" s="23"/>
      <c r="OAT248" s="26"/>
      <c r="OAX248" s="23"/>
      <c r="OBC248" s="26"/>
      <c r="OBG248" s="23"/>
      <c r="OBL248" s="26"/>
      <c r="OBP248" s="23"/>
      <c r="OBU248" s="26"/>
      <c r="OBY248" s="23"/>
      <c r="OCD248" s="26"/>
      <c r="OCH248" s="23"/>
      <c r="OCM248" s="26"/>
      <c r="OCQ248" s="23"/>
      <c r="OCV248" s="26"/>
      <c r="OCZ248" s="23"/>
      <c r="ODE248" s="26"/>
      <c r="ODI248" s="23"/>
      <c r="ODN248" s="26"/>
      <c r="ODR248" s="23"/>
      <c r="ODW248" s="26"/>
      <c r="OEA248" s="23"/>
      <c r="OEF248" s="26"/>
      <c r="OEJ248" s="23"/>
      <c r="OEO248" s="26"/>
      <c r="OES248" s="23"/>
      <c r="OEX248" s="26"/>
      <c r="OFB248" s="23"/>
      <c r="OFG248" s="26"/>
      <c r="OFK248" s="23"/>
      <c r="OFP248" s="26"/>
      <c r="OFT248" s="23"/>
      <c r="OFY248" s="26"/>
      <c r="OGC248" s="23"/>
      <c r="OGH248" s="26"/>
      <c r="OGL248" s="23"/>
      <c r="OGQ248" s="26"/>
      <c r="OGU248" s="23"/>
      <c r="OGZ248" s="26"/>
      <c r="OHD248" s="23"/>
      <c r="OHI248" s="26"/>
      <c r="OHM248" s="23"/>
      <c r="OHR248" s="26"/>
      <c r="OHV248" s="23"/>
      <c r="OIA248" s="26"/>
      <c r="OIE248" s="23"/>
      <c r="OIJ248" s="26"/>
      <c r="OIN248" s="23"/>
      <c r="OIS248" s="26"/>
      <c r="OIW248" s="23"/>
      <c r="OJB248" s="26"/>
      <c r="OJF248" s="23"/>
      <c r="OJK248" s="26"/>
      <c r="OJO248" s="23"/>
      <c r="OJT248" s="26"/>
      <c r="OJX248" s="23"/>
      <c r="OKC248" s="26"/>
      <c r="OKG248" s="23"/>
      <c r="OKL248" s="26"/>
      <c r="OKP248" s="23"/>
      <c r="OKU248" s="26"/>
      <c r="OKY248" s="23"/>
      <c r="OLD248" s="26"/>
      <c r="OLH248" s="23"/>
      <c r="OLM248" s="26"/>
      <c r="OLQ248" s="23"/>
      <c r="OLV248" s="26"/>
      <c r="OLZ248" s="23"/>
      <c r="OME248" s="26"/>
      <c r="OMI248" s="23"/>
      <c r="OMN248" s="26"/>
      <c r="OMR248" s="23"/>
      <c r="OMW248" s="26"/>
      <c r="ONA248" s="23"/>
      <c r="ONF248" s="26"/>
      <c r="ONJ248" s="23"/>
      <c r="ONO248" s="26"/>
      <c r="ONS248" s="23"/>
      <c r="ONX248" s="26"/>
      <c r="OOB248" s="23"/>
      <c r="OOG248" s="26"/>
      <c r="OOK248" s="23"/>
      <c r="OOP248" s="26"/>
      <c r="OOT248" s="23"/>
      <c r="OOY248" s="26"/>
      <c r="OPC248" s="23"/>
      <c r="OPH248" s="26"/>
      <c r="OPL248" s="23"/>
      <c r="OPQ248" s="26"/>
      <c r="OPU248" s="23"/>
      <c r="OPZ248" s="26"/>
      <c r="OQD248" s="23"/>
      <c r="OQI248" s="26"/>
      <c r="OQM248" s="23"/>
      <c r="OQR248" s="26"/>
      <c r="OQV248" s="23"/>
      <c r="ORA248" s="26"/>
      <c r="ORE248" s="23"/>
      <c r="ORJ248" s="26"/>
      <c r="ORN248" s="23"/>
      <c r="ORS248" s="26"/>
      <c r="ORW248" s="23"/>
      <c r="OSB248" s="26"/>
      <c r="OSF248" s="23"/>
      <c r="OSK248" s="26"/>
      <c r="OSO248" s="23"/>
      <c r="OST248" s="26"/>
      <c r="OSX248" s="23"/>
      <c r="OTC248" s="26"/>
      <c r="OTG248" s="23"/>
      <c r="OTL248" s="26"/>
      <c r="OTP248" s="23"/>
      <c r="OTU248" s="26"/>
      <c r="OTY248" s="23"/>
      <c r="OUD248" s="26"/>
      <c r="OUH248" s="23"/>
      <c r="OUM248" s="26"/>
      <c r="OUQ248" s="23"/>
      <c r="OUV248" s="26"/>
      <c r="OUZ248" s="23"/>
      <c r="OVE248" s="26"/>
      <c r="OVI248" s="23"/>
      <c r="OVN248" s="26"/>
      <c r="OVR248" s="23"/>
      <c r="OVW248" s="26"/>
      <c r="OWA248" s="23"/>
      <c r="OWF248" s="26"/>
      <c r="OWJ248" s="23"/>
      <c r="OWO248" s="26"/>
      <c r="OWS248" s="23"/>
      <c r="OWX248" s="26"/>
      <c r="OXB248" s="23"/>
      <c r="OXG248" s="26"/>
      <c r="OXK248" s="23"/>
      <c r="OXP248" s="26"/>
      <c r="OXT248" s="23"/>
      <c r="OXY248" s="26"/>
      <c r="OYC248" s="23"/>
      <c r="OYH248" s="26"/>
      <c r="OYL248" s="23"/>
      <c r="OYQ248" s="26"/>
      <c r="OYU248" s="23"/>
      <c r="OYZ248" s="26"/>
      <c r="OZD248" s="23"/>
      <c r="OZI248" s="26"/>
      <c r="OZM248" s="23"/>
      <c r="OZR248" s="26"/>
      <c r="OZV248" s="23"/>
      <c r="PAA248" s="26"/>
      <c r="PAE248" s="23"/>
      <c r="PAJ248" s="26"/>
      <c r="PAN248" s="23"/>
      <c r="PAS248" s="26"/>
      <c r="PAW248" s="23"/>
      <c r="PBB248" s="26"/>
      <c r="PBF248" s="23"/>
      <c r="PBK248" s="26"/>
      <c r="PBO248" s="23"/>
      <c r="PBT248" s="26"/>
      <c r="PBX248" s="23"/>
      <c r="PCC248" s="26"/>
      <c r="PCG248" s="23"/>
      <c r="PCL248" s="26"/>
      <c r="PCP248" s="23"/>
      <c r="PCU248" s="26"/>
      <c r="PCY248" s="23"/>
      <c r="PDD248" s="26"/>
      <c r="PDH248" s="23"/>
      <c r="PDM248" s="26"/>
      <c r="PDQ248" s="23"/>
      <c r="PDV248" s="26"/>
      <c r="PDZ248" s="23"/>
      <c r="PEE248" s="26"/>
      <c r="PEI248" s="23"/>
      <c r="PEN248" s="26"/>
      <c r="PER248" s="23"/>
      <c r="PEW248" s="26"/>
      <c r="PFA248" s="23"/>
      <c r="PFF248" s="26"/>
      <c r="PFJ248" s="23"/>
      <c r="PFO248" s="26"/>
      <c r="PFS248" s="23"/>
      <c r="PFX248" s="26"/>
      <c r="PGB248" s="23"/>
      <c r="PGG248" s="26"/>
      <c r="PGK248" s="23"/>
      <c r="PGP248" s="26"/>
      <c r="PGT248" s="23"/>
      <c r="PGY248" s="26"/>
      <c r="PHC248" s="23"/>
      <c r="PHH248" s="26"/>
      <c r="PHL248" s="23"/>
      <c r="PHQ248" s="26"/>
      <c r="PHU248" s="23"/>
      <c r="PHZ248" s="26"/>
      <c r="PID248" s="23"/>
      <c r="PII248" s="26"/>
      <c r="PIM248" s="23"/>
      <c r="PIR248" s="26"/>
      <c r="PIV248" s="23"/>
      <c r="PJA248" s="26"/>
      <c r="PJE248" s="23"/>
      <c r="PJJ248" s="26"/>
      <c r="PJN248" s="23"/>
      <c r="PJS248" s="26"/>
      <c r="PJW248" s="23"/>
      <c r="PKB248" s="26"/>
      <c r="PKF248" s="23"/>
      <c r="PKK248" s="26"/>
      <c r="PKO248" s="23"/>
      <c r="PKT248" s="26"/>
      <c r="PKX248" s="23"/>
      <c r="PLC248" s="26"/>
      <c r="PLG248" s="23"/>
      <c r="PLL248" s="26"/>
      <c r="PLP248" s="23"/>
      <c r="PLU248" s="26"/>
      <c r="PLY248" s="23"/>
      <c r="PMD248" s="26"/>
      <c r="PMH248" s="23"/>
      <c r="PMM248" s="26"/>
      <c r="PMQ248" s="23"/>
      <c r="PMV248" s="26"/>
      <c r="PMZ248" s="23"/>
      <c r="PNE248" s="26"/>
      <c r="PNI248" s="23"/>
      <c r="PNN248" s="26"/>
      <c r="PNR248" s="23"/>
      <c r="PNW248" s="26"/>
      <c r="POA248" s="23"/>
      <c r="POF248" s="26"/>
      <c r="POJ248" s="23"/>
      <c r="POO248" s="26"/>
      <c r="POS248" s="23"/>
      <c r="POX248" s="26"/>
      <c r="PPB248" s="23"/>
      <c r="PPG248" s="26"/>
      <c r="PPK248" s="23"/>
      <c r="PPP248" s="26"/>
      <c r="PPT248" s="23"/>
      <c r="PPY248" s="26"/>
      <c r="PQC248" s="23"/>
      <c r="PQH248" s="26"/>
      <c r="PQL248" s="23"/>
      <c r="PQQ248" s="26"/>
      <c r="PQU248" s="23"/>
      <c r="PQZ248" s="26"/>
      <c r="PRD248" s="23"/>
      <c r="PRI248" s="26"/>
      <c r="PRM248" s="23"/>
      <c r="PRR248" s="26"/>
      <c r="PRV248" s="23"/>
      <c r="PSA248" s="26"/>
      <c r="PSE248" s="23"/>
      <c r="PSJ248" s="26"/>
      <c r="PSN248" s="23"/>
      <c r="PSS248" s="26"/>
      <c r="PSW248" s="23"/>
      <c r="PTB248" s="26"/>
      <c r="PTF248" s="23"/>
      <c r="PTK248" s="26"/>
      <c r="PTO248" s="23"/>
      <c r="PTT248" s="26"/>
      <c r="PTX248" s="23"/>
      <c r="PUC248" s="26"/>
      <c r="PUG248" s="23"/>
      <c r="PUL248" s="26"/>
      <c r="PUP248" s="23"/>
      <c r="PUU248" s="26"/>
      <c r="PUY248" s="23"/>
      <c r="PVD248" s="26"/>
      <c r="PVH248" s="23"/>
      <c r="PVM248" s="26"/>
      <c r="PVQ248" s="23"/>
      <c r="PVV248" s="26"/>
      <c r="PVZ248" s="23"/>
      <c r="PWE248" s="26"/>
      <c r="PWI248" s="23"/>
      <c r="PWN248" s="26"/>
      <c r="PWR248" s="23"/>
      <c r="PWW248" s="26"/>
      <c r="PXA248" s="23"/>
      <c r="PXF248" s="26"/>
      <c r="PXJ248" s="23"/>
      <c r="PXO248" s="26"/>
      <c r="PXS248" s="23"/>
      <c r="PXX248" s="26"/>
      <c r="PYB248" s="23"/>
      <c r="PYG248" s="26"/>
      <c r="PYK248" s="23"/>
      <c r="PYP248" s="26"/>
      <c r="PYT248" s="23"/>
      <c r="PYY248" s="26"/>
      <c r="PZC248" s="23"/>
      <c r="PZH248" s="26"/>
      <c r="PZL248" s="23"/>
      <c r="PZQ248" s="26"/>
      <c r="PZU248" s="23"/>
      <c r="PZZ248" s="26"/>
      <c r="QAD248" s="23"/>
      <c r="QAI248" s="26"/>
      <c r="QAM248" s="23"/>
      <c r="QAR248" s="26"/>
      <c r="QAV248" s="23"/>
      <c r="QBA248" s="26"/>
      <c r="QBE248" s="23"/>
      <c r="QBJ248" s="26"/>
      <c r="QBN248" s="23"/>
      <c r="QBS248" s="26"/>
      <c r="QBW248" s="23"/>
      <c r="QCB248" s="26"/>
      <c r="QCF248" s="23"/>
      <c r="QCK248" s="26"/>
      <c r="QCO248" s="23"/>
      <c r="QCT248" s="26"/>
      <c r="QCX248" s="23"/>
      <c r="QDC248" s="26"/>
      <c r="QDG248" s="23"/>
      <c r="QDL248" s="26"/>
      <c r="QDP248" s="23"/>
      <c r="QDU248" s="26"/>
      <c r="QDY248" s="23"/>
      <c r="QED248" s="26"/>
      <c r="QEH248" s="23"/>
      <c r="QEM248" s="26"/>
      <c r="QEQ248" s="23"/>
      <c r="QEV248" s="26"/>
      <c r="QEZ248" s="23"/>
      <c r="QFE248" s="26"/>
      <c r="QFI248" s="23"/>
      <c r="QFN248" s="26"/>
      <c r="QFR248" s="23"/>
      <c r="QFW248" s="26"/>
      <c r="QGA248" s="23"/>
      <c r="QGF248" s="26"/>
      <c r="QGJ248" s="23"/>
      <c r="QGO248" s="26"/>
      <c r="QGS248" s="23"/>
      <c r="QGX248" s="26"/>
      <c r="QHB248" s="23"/>
      <c r="QHG248" s="26"/>
      <c r="QHK248" s="23"/>
      <c r="QHP248" s="26"/>
      <c r="QHT248" s="23"/>
      <c r="QHY248" s="26"/>
      <c r="QIC248" s="23"/>
      <c r="QIH248" s="26"/>
      <c r="QIL248" s="23"/>
      <c r="QIQ248" s="26"/>
      <c r="QIU248" s="23"/>
      <c r="QIZ248" s="26"/>
      <c r="QJD248" s="23"/>
      <c r="QJI248" s="26"/>
      <c r="QJM248" s="23"/>
      <c r="QJR248" s="26"/>
      <c r="QJV248" s="23"/>
      <c r="QKA248" s="26"/>
      <c r="QKE248" s="23"/>
      <c r="QKJ248" s="26"/>
      <c r="QKN248" s="23"/>
      <c r="QKS248" s="26"/>
      <c r="QKW248" s="23"/>
      <c r="QLB248" s="26"/>
      <c r="QLF248" s="23"/>
      <c r="QLK248" s="26"/>
      <c r="QLO248" s="23"/>
      <c r="QLT248" s="26"/>
      <c r="QLX248" s="23"/>
      <c r="QMC248" s="26"/>
      <c r="QMG248" s="23"/>
      <c r="QML248" s="26"/>
      <c r="QMP248" s="23"/>
      <c r="QMU248" s="26"/>
      <c r="QMY248" s="23"/>
      <c r="QND248" s="26"/>
      <c r="QNH248" s="23"/>
      <c r="QNM248" s="26"/>
      <c r="QNQ248" s="23"/>
      <c r="QNV248" s="26"/>
      <c r="QNZ248" s="23"/>
      <c r="QOE248" s="26"/>
      <c r="QOI248" s="23"/>
      <c r="QON248" s="26"/>
      <c r="QOR248" s="23"/>
      <c r="QOW248" s="26"/>
      <c r="QPA248" s="23"/>
      <c r="QPF248" s="26"/>
      <c r="QPJ248" s="23"/>
      <c r="QPO248" s="26"/>
      <c r="QPS248" s="23"/>
      <c r="QPX248" s="26"/>
      <c r="QQB248" s="23"/>
      <c r="QQG248" s="26"/>
      <c r="QQK248" s="23"/>
      <c r="QQP248" s="26"/>
      <c r="QQT248" s="23"/>
      <c r="QQY248" s="26"/>
      <c r="QRC248" s="23"/>
      <c r="QRH248" s="26"/>
      <c r="QRL248" s="23"/>
      <c r="QRQ248" s="26"/>
      <c r="QRU248" s="23"/>
      <c r="QRZ248" s="26"/>
      <c r="QSD248" s="23"/>
      <c r="QSI248" s="26"/>
      <c r="QSM248" s="23"/>
      <c r="QSR248" s="26"/>
      <c r="QSV248" s="23"/>
      <c r="QTA248" s="26"/>
      <c r="QTE248" s="23"/>
      <c r="QTJ248" s="26"/>
      <c r="QTN248" s="23"/>
      <c r="QTS248" s="26"/>
      <c r="QTW248" s="23"/>
      <c r="QUB248" s="26"/>
      <c r="QUF248" s="23"/>
      <c r="QUK248" s="26"/>
      <c r="QUO248" s="23"/>
      <c r="QUT248" s="26"/>
      <c r="QUX248" s="23"/>
      <c r="QVC248" s="26"/>
      <c r="QVG248" s="23"/>
      <c r="QVL248" s="26"/>
      <c r="QVP248" s="23"/>
      <c r="QVU248" s="26"/>
      <c r="QVY248" s="23"/>
      <c r="QWD248" s="26"/>
      <c r="QWH248" s="23"/>
      <c r="QWM248" s="26"/>
      <c r="QWQ248" s="23"/>
      <c r="QWV248" s="26"/>
      <c r="QWZ248" s="23"/>
      <c r="QXE248" s="26"/>
      <c r="QXI248" s="23"/>
      <c r="QXN248" s="26"/>
      <c r="QXR248" s="23"/>
      <c r="QXW248" s="26"/>
      <c r="QYA248" s="23"/>
      <c r="QYF248" s="26"/>
      <c r="QYJ248" s="23"/>
      <c r="QYO248" s="26"/>
      <c r="QYS248" s="23"/>
      <c r="QYX248" s="26"/>
      <c r="QZB248" s="23"/>
      <c r="QZG248" s="26"/>
      <c r="QZK248" s="23"/>
      <c r="QZP248" s="26"/>
      <c r="QZT248" s="23"/>
      <c r="QZY248" s="26"/>
      <c r="RAC248" s="23"/>
      <c r="RAH248" s="26"/>
      <c r="RAL248" s="23"/>
      <c r="RAQ248" s="26"/>
      <c r="RAU248" s="23"/>
      <c r="RAZ248" s="26"/>
      <c r="RBD248" s="23"/>
      <c r="RBI248" s="26"/>
      <c r="RBM248" s="23"/>
      <c r="RBR248" s="26"/>
      <c r="RBV248" s="23"/>
      <c r="RCA248" s="26"/>
      <c r="RCE248" s="23"/>
      <c r="RCJ248" s="26"/>
      <c r="RCN248" s="23"/>
      <c r="RCS248" s="26"/>
      <c r="RCW248" s="23"/>
      <c r="RDB248" s="26"/>
      <c r="RDF248" s="23"/>
      <c r="RDK248" s="26"/>
      <c r="RDO248" s="23"/>
      <c r="RDT248" s="26"/>
      <c r="RDX248" s="23"/>
      <c r="REC248" s="26"/>
      <c r="REG248" s="23"/>
      <c r="REL248" s="26"/>
      <c r="REP248" s="23"/>
      <c r="REU248" s="26"/>
      <c r="REY248" s="23"/>
      <c r="RFD248" s="26"/>
      <c r="RFH248" s="23"/>
      <c r="RFM248" s="26"/>
      <c r="RFQ248" s="23"/>
      <c r="RFV248" s="26"/>
      <c r="RFZ248" s="23"/>
      <c r="RGE248" s="26"/>
      <c r="RGI248" s="23"/>
      <c r="RGN248" s="26"/>
      <c r="RGR248" s="23"/>
      <c r="RGW248" s="26"/>
      <c r="RHA248" s="23"/>
      <c r="RHF248" s="26"/>
      <c r="RHJ248" s="23"/>
      <c r="RHO248" s="26"/>
      <c r="RHS248" s="23"/>
      <c r="RHX248" s="26"/>
      <c r="RIB248" s="23"/>
      <c r="RIG248" s="26"/>
      <c r="RIK248" s="23"/>
      <c r="RIP248" s="26"/>
      <c r="RIT248" s="23"/>
      <c r="RIY248" s="26"/>
      <c r="RJC248" s="23"/>
      <c r="RJH248" s="26"/>
      <c r="RJL248" s="23"/>
      <c r="RJQ248" s="26"/>
      <c r="RJU248" s="23"/>
      <c r="RJZ248" s="26"/>
      <c r="RKD248" s="23"/>
      <c r="RKI248" s="26"/>
      <c r="RKM248" s="23"/>
      <c r="RKR248" s="26"/>
      <c r="RKV248" s="23"/>
      <c r="RLA248" s="26"/>
      <c r="RLE248" s="23"/>
      <c r="RLJ248" s="26"/>
      <c r="RLN248" s="23"/>
      <c r="RLS248" s="26"/>
      <c r="RLW248" s="23"/>
      <c r="RMB248" s="26"/>
      <c r="RMF248" s="23"/>
      <c r="RMK248" s="26"/>
      <c r="RMO248" s="23"/>
      <c r="RMT248" s="26"/>
      <c r="RMX248" s="23"/>
      <c r="RNC248" s="26"/>
      <c r="RNG248" s="23"/>
      <c r="RNL248" s="26"/>
      <c r="RNP248" s="23"/>
      <c r="RNU248" s="26"/>
      <c r="RNY248" s="23"/>
      <c r="ROD248" s="26"/>
      <c r="ROH248" s="23"/>
      <c r="ROM248" s="26"/>
      <c r="ROQ248" s="23"/>
      <c r="ROV248" s="26"/>
      <c r="ROZ248" s="23"/>
      <c r="RPE248" s="26"/>
      <c r="RPI248" s="23"/>
      <c r="RPN248" s="26"/>
      <c r="RPR248" s="23"/>
      <c r="RPW248" s="26"/>
      <c r="RQA248" s="23"/>
      <c r="RQF248" s="26"/>
      <c r="RQJ248" s="23"/>
      <c r="RQO248" s="26"/>
      <c r="RQS248" s="23"/>
      <c r="RQX248" s="26"/>
      <c r="RRB248" s="23"/>
      <c r="RRG248" s="26"/>
      <c r="RRK248" s="23"/>
      <c r="RRP248" s="26"/>
      <c r="RRT248" s="23"/>
      <c r="RRY248" s="26"/>
      <c r="RSC248" s="23"/>
      <c r="RSH248" s="26"/>
      <c r="RSL248" s="23"/>
      <c r="RSQ248" s="26"/>
      <c r="RSU248" s="23"/>
      <c r="RSZ248" s="26"/>
      <c r="RTD248" s="23"/>
      <c r="RTI248" s="26"/>
      <c r="RTM248" s="23"/>
      <c r="RTR248" s="26"/>
      <c r="RTV248" s="23"/>
      <c r="RUA248" s="26"/>
      <c r="RUE248" s="23"/>
      <c r="RUJ248" s="26"/>
      <c r="RUN248" s="23"/>
      <c r="RUS248" s="26"/>
      <c r="RUW248" s="23"/>
      <c r="RVB248" s="26"/>
      <c r="RVF248" s="23"/>
      <c r="RVK248" s="26"/>
      <c r="RVO248" s="23"/>
      <c r="RVT248" s="26"/>
      <c r="RVX248" s="23"/>
      <c r="RWC248" s="26"/>
      <c r="RWG248" s="23"/>
      <c r="RWL248" s="26"/>
      <c r="RWP248" s="23"/>
      <c r="RWU248" s="26"/>
      <c r="RWY248" s="23"/>
      <c r="RXD248" s="26"/>
      <c r="RXH248" s="23"/>
      <c r="RXM248" s="26"/>
      <c r="RXQ248" s="23"/>
      <c r="RXV248" s="26"/>
      <c r="RXZ248" s="23"/>
      <c r="RYE248" s="26"/>
      <c r="RYI248" s="23"/>
      <c r="RYN248" s="26"/>
      <c r="RYR248" s="23"/>
      <c r="RYW248" s="26"/>
      <c r="RZA248" s="23"/>
      <c r="RZF248" s="26"/>
      <c r="RZJ248" s="23"/>
      <c r="RZO248" s="26"/>
      <c r="RZS248" s="23"/>
      <c r="RZX248" s="26"/>
      <c r="SAB248" s="23"/>
      <c r="SAG248" s="26"/>
      <c r="SAK248" s="23"/>
      <c r="SAP248" s="26"/>
      <c r="SAT248" s="23"/>
      <c r="SAY248" s="26"/>
      <c r="SBC248" s="23"/>
      <c r="SBH248" s="26"/>
      <c r="SBL248" s="23"/>
      <c r="SBQ248" s="26"/>
      <c r="SBU248" s="23"/>
      <c r="SBZ248" s="26"/>
      <c r="SCD248" s="23"/>
      <c r="SCI248" s="26"/>
      <c r="SCM248" s="23"/>
      <c r="SCR248" s="26"/>
      <c r="SCV248" s="23"/>
      <c r="SDA248" s="26"/>
      <c r="SDE248" s="23"/>
      <c r="SDJ248" s="26"/>
      <c r="SDN248" s="23"/>
      <c r="SDS248" s="26"/>
      <c r="SDW248" s="23"/>
      <c r="SEB248" s="26"/>
      <c r="SEF248" s="23"/>
      <c r="SEK248" s="26"/>
      <c r="SEO248" s="23"/>
      <c r="SET248" s="26"/>
      <c r="SEX248" s="23"/>
      <c r="SFC248" s="26"/>
      <c r="SFG248" s="23"/>
      <c r="SFL248" s="26"/>
      <c r="SFP248" s="23"/>
      <c r="SFU248" s="26"/>
      <c r="SFY248" s="23"/>
      <c r="SGD248" s="26"/>
      <c r="SGH248" s="23"/>
      <c r="SGM248" s="26"/>
      <c r="SGQ248" s="23"/>
      <c r="SGV248" s="26"/>
      <c r="SGZ248" s="23"/>
      <c r="SHE248" s="26"/>
      <c r="SHI248" s="23"/>
      <c r="SHN248" s="26"/>
      <c r="SHR248" s="23"/>
      <c r="SHW248" s="26"/>
      <c r="SIA248" s="23"/>
      <c r="SIF248" s="26"/>
      <c r="SIJ248" s="23"/>
      <c r="SIO248" s="26"/>
      <c r="SIS248" s="23"/>
      <c r="SIX248" s="26"/>
      <c r="SJB248" s="23"/>
      <c r="SJG248" s="26"/>
      <c r="SJK248" s="23"/>
      <c r="SJP248" s="26"/>
      <c r="SJT248" s="23"/>
      <c r="SJY248" s="26"/>
      <c r="SKC248" s="23"/>
      <c r="SKH248" s="26"/>
      <c r="SKL248" s="23"/>
      <c r="SKQ248" s="26"/>
      <c r="SKU248" s="23"/>
      <c r="SKZ248" s="26"/>
      <c r="SLD248" s="23"/>
      <c r="SLI248" s="26"/>
      <c r="SLM248" s="23"/>
      <c r="SLR248" s="26"/>
      <c r="SLV248" s="23"/>
      <c r="SMA248" s="26"/>
      <c r="SME248" s="23"/>
      <c r="SMJ248" s="26"/>
      <c r="SMN248" s="23"/>
      <c r="SMS248" s="26"/>
      <c r="SMW248" s="23"/>
      <c r="SNB248" s="26"/>
      <c r="SNF248" s="23"/>
      <c r="SNK248" s="26"/>
      <c r="SNO248" s="23"/>
      <c r="SNT248" s="26"/>
      <c r="SNX248" s="23"/>
      <c r="SOC248" s="26"/>
      <c r="SOG248" s="23"/>
      <c r="SOL248" s="26"/>
      <c r="SOP248" s="23"/>
      <c r="SOU248" s="26"/>
      <c r="SOY248" s="23"/>
      <c r="SPD248" s="26"/>
      <c r="SPH248" s="23"/>
      <c r="SPM248" s="26"/>
      <c r="SPQ248" s="23"/>
      <c r="SPV248" s="26"/>
      <c r="SPZ248" s="23"/>
      <c r="SQE248" s="26"/>
      <c r="SQI248" s="23"/>
      <c r="SQN248" s="26"/>
      <c r="SQR248" s="23"/>
      <c r="SQW248" s="26"/>
      <c r="SRA248" s="23"/>
      <c r="SRF248" s="26"/>
      <c r="SRJ248" s="23"/>
      <c r="SRO248" s="26"/>
      <c r="SRS248" s="23"/>
      <c r="SRX248" s="26"/>
      <c r="SSB248" s="23"/>
      <c r="SSG248" s="26"/>
      <c r="SSK248" s="23"/>
      <c r="SSP248" s="26"/>
      <c r="SST248" s="23"/>
      <c r="SSY248" s="26"/>
      <c r="STC248" s="23"/>
      <c r="STH248" s="26"/>
      <c r="STL248" s="23"/>
      <c r="STQ248" s="26"/>
      <c r="STU248" s="23"/>
      <c r="STZ248" s="26"/>
      <c r="SUD248" s="23"/>
      <c r="SUI248" s="26"/>
      <c r="SUM248" s="23"/>
      <c r="SUR248" s="26"/>
      <c r="SUV248" s="23"/>
      <c r="SVA248" s="26"/>
      <c r="SVE248" s="23"/>
      <c r="SVJ248" s="26"/>
      <c r="SVN248" s="23"/>
      <c r="SVS248" s="26"/>
      <c r="SVW248" s="23"/>
      <c r="SWB248" s="26"/>
      <c r="SWF248" s="23"/>
      <c r="SWK248" s="26"/>
      <c r="SWO248" s="23"/>
      <c r="SWT248" s="26"/>
      <c r="SWX248" s="23"/>
      <c r="SXC248" s="26"/>
      <c r="SXG248" s="23"/>
      <c r="SXL248" s="26"/>
      <c r="SXP248" s="23"/>
      <c r="SXU248" s="26"/>
      <c r="SXY248" s="23"/>
      <c r="SYD248" s="26"/>
      <c r="SYH248" s="23"/>
      <c r="SYM248" s="26"/>
      <c r="SYQ248" s="23"/>
      <c r="SYV248" s="26"/>
      <c r="SYZ248" s="23"/>
      <c r="SZE248" s="26"/>
      <c r="SZI248" s="23"/>
      <c r="SZN248" s="26"/>
      <c r="SZR248" s="23"/>
      <c r="SZW248" s="26"/>
      <c r="TAA248" s="23"/>
      <c r="TAF248" s="26"/>
      <c r="TAJ248" s="23"/>
      <c r="TAO248" s="26"/>
      <c r="TAS248" s="23"/>
      <c r="TAX248" s="26"/>
      <c r="TBB248" s="23"/>
      <c r="TBG248" s="26"/>
      <c r="TBK248" s="23"/>
      <c r="TBP248" s="26"/>
      <c r="TBT248" s="23"/>
      <c r="TBY248" s="26"/>
      <c r="TCC248" s="23"/>
      <c r="TCH248" s="26"/>
      <c r="TCL248" s="23"/>
      <c r="TCQ248" s="26"/>
      <c r="TCU248" s="23"/>
      <c r="TCZ248" s="26"/>
      <c r="TDD248" s="23"/>
      <c r="TDI248" s="26"/>
      <c r="TDM248" s="23"/>
      <c r="TDR248" s="26"/>
      <c r="TDV248" s="23"/>
      <c r="TEA248" s="26"/>
      <c r="TEE248" s="23"/>
      <c r="TEJ248" s="26"/>
      <c r="TEN248" s="23"/>
      <c r="TES248" s="26"/>
      <c r="TEW248" s="23"/>
      <c r="TFB248" s="26"/>
      <c r="TFF248" s="23"/>
      <c r="TFK248" s="26"/>
      <c r="TFO248" s="23"/>
      <c r="TFT248" s="26"/>
      <c r="TFX248" s="23"/>
      <c r="TGC248" s="26"/>
      <c r="TGG248" s="23"/>
      <c r="TGL248" s="26"/>
      <c r="TGP248" s="23"/>
      <c r="TGU248" s="26"/>
      <c r="TGY248" s="23"/>
      <c r="THD248" s="26"/>
      <c r="THH248" s="23"/>
      <c r="THM248" s="26"/>
      <c r="THQ248" s="23"/>
      <c r="THV248" s="26"/>
      <c r="THZ248" s="23"/>
      <c r="TIE248" s="26"/>
      <c r="TII248" s="23"/>
      <c r="TIN248" s="26"/>
      <c r="TIR248" s="23"/>
      <c r="TIW248" s="26"/>
      <c r="TJA248" s="23"/>
      <c r="TJF248" s="26"/>
      <c r="TJJ248" s="23"/>
      <c r="TJO248" s="26"/>
      <c r="TJS248" s="23"/>
      <c r="TJX248" s="26"/>
      <c r="TKB248" s="23"/>
      <c r="TKG248" s="26"/>
      <c r="TKK248" s="23"/>
      <c r="TKP248" s="26"/>
      <c r="TKT248" s="23"/>
      <c r="TKY248" s="26"/>
      <c r="TLC248" s="23"/>
      <c r="TLH248" s="26"/>
      <c r="TLL248" s="23"/>
      <c r="TLQ248" s="26"/>
      <c r="TLU248" s="23"/>
      <c r="TLZ248" s="26"/>
      <c r="TMD248" s="23"/>
      <c r="TMI248" s="26"/>
      <c r="TMM248" s="23"/>
      <c r="TMR248" s="26"/>
      <c r="TMV248" s="23"/>
      <c r="TNA248" s="26"/>
      <c r="TNE248" s="23"/>
      <c r="TNJ248" s="26"/>
      <c r="TNN248" s="23"/>
      <c r="TNS248" s="26"/>
      <c r="TNW248" s="23"/>
      <c r="TOB248" s="26"/>
      <c r="TOF248" s="23"/>
      <c r="TOK248" s="26"/>
      <c r="TOO248" s="23"/>
      <c r="TOT248" s="26"/>
      <c r="TOX248" s="23"/>
      <c r="TPC248" s="26"/>
      <c r="TPG248" s="23"/>
      <c r="TPL248" s="26"/>
      <c r="TPP248" s="23"/>
      <c r="TPU248" s="26"/>
      <c r="TPY248" s="23"/>
      <c r="TQD248" s="26"/>
      <c r="TQH248" s="23"/>
      <c r="TQM248" s="26"/>
      <c r="TQQ248" s="23"/>
      <c r="TQV248" s="26"/>
      <c r="TQZ248" s="23"/>
      <c r="TRE248" s="26"/>
      <c r="TRI248" s="23"/>
      <c r="TRN248" s="26"/>
      <c r="TRR248" s="23"/>
      <c r="TRW248" s="26"/>
      <c r="TSA248" s="23"/>
      <c r="TSF248" s="26"/>
      <c r="TSJ248" s="23"/>
      <c r="TSO248" s="26"/>
      <c r="TSS248" s="23"/>
      <c r="TSX248" s="26"/>
      <c r="TTB248" s="23"/>
      <c r="TTG248" s="26"/>
      <c r="TTK248" s="23"/>
      <c r="TTP248" s="26"/>
      <c r="TTT248" s="23"/>
      <c r="TTY248" s="26"/>
      <c r="TUC248" s="23"/>
      <c r="TUH248" s="26"/>
      <c r="TUL248" s="23"/>
      <c r="TUQ248" s="26"/>
      <c r="TUU248" s="23"/>
      <c r="TUZ248" s="26"/>
      <c r="TVD248" s="23"/>
      <c r="TVI248" s="26"/>
      <c r="TVM248" s="23"/>
      <c r="TVR248" s="26"/>
      <c r="TVV248" s="23"/>
      <c r="TWA248" s="26"/>
      <c r="TWE248" s="23"/>
      <c r="TWJ248" s="26"/>
      <c r="TWN248" s="23"/>
      <c r="TWS248" s="26"/>
      <c r="TWW248" s="23"/>
      <c r="TXB248" s="26"/>
      <c r="TXF248" s="23"/>
      <c r="TXK248" s="26"/>
      <c r="TXO248" s="23"/>
      <c r="TXT248" s="26"/>
      <c r="TXX248" s="23"/>
      <c r="TYC248" s="26"/>
      <c r="TYG248" s="23"/>
      <c r="TYL248" s="26"/>
      <c r="TYP248" s="23"/>
      <c r="TYU248" s="26"/>
      <c r="TYY248" s="23"/>
      <c r="TZD248" s="26"/>
      <c r="TZH248" s="23"/>
      <c r="TZM248" s="26"/>
      <c r="TZQ248" s="23"/>
      <c r="TZV248" s="26"/>
      <c r="TZZ248" s="23"/>
      <c r="UAE248" s="26"/>
      <c r="UAI248" s="23"/>
      <c r="UAN248" s="26"/>
      <c r="UAR248" s="23"/>
      <c r="UAW248" s="26"/>
      <c r="UBA248" s="23"/>
      <c r="UBF248" s="26"/>
      <c r="UBJ248" s="23"/>
      <c r="UBO248" s="26"/>
      <c r="UBS248" s="23"/>
      <c r="UBX248" s="26"/>
      <c r="UCB248" s="23"/>
      <c r="UCG248" s="26"/>
      <c r="UCK248" s="23"/>
      <c r="UCP248" s="26"/>
      <c r="UCT248" s="23"/>
      <c r="UCY248" s="26"/>
      <c r="UDC248" s="23"/>
      <c r="UDH248" s="26"/>
      <c r="UDL248" s="23"/>
      <c r="UDQ248" s="26"/>
      <c r="UDU248" s="23"/>
      <c r="UDZ248" s="26"/>
      <c r="UED248" s="23"/>
      <c r="UEI248" s="26"/>
      <c r="UEM248" s="23"/>
      <c r="UER248" s="26"/>
      <c r="UEV248" s="23"/>
      <c r="UFA248" s="26"/>
      <c r="UFE248" s="23"/>
      <c r="UFJ248" s="26"/>
      <c r="UFN248" s="23"/>
      <c r="UFS248" s="26"/>
      <c r="UFW248" s="23"/>
      <c r="UGB248" s="26"/>
      <c r="UGF248" s="23"/>
      <c r="UGK248" s="26"/>
      <c r="UGO248" s="23"/>
      <c r="UGT248" s="26"/>
      <c r="UGX248" s="23"/>
      <c r="UHC248" s="26"/>
      <c r="UHG248" s="23"/>
      <c r="UHL248" s="26"/>
      <c r="UHP248" s="23"/>
      <c r="UHU248" s="26"/>
      <c r="UHY248" s="23"/>
      <c r="UID248" s="26"/>
      <c r="UIH248" s="23"/>
      <c r="UIM248" s="26"/>
      <c r="UIQ248" s="23"/>
      <c r="UIV248" s="26"/>
      <c r="UIZ248" s="23"/>
      <c r="UJE248" s="26"/>
      <c r="UJI248" s="23"/>
      <c r="UJN248" s="26"/>
      <c r="UJR248" s="23"/>
      <c r="UJW248" s="26"/>
      <c r="UKA248" s="23"/>
      <c r="UKF248" s="26"/>
      <c r="UKJ248" s="23"/>
      <c r="UKO248" s="26"/>
      <c r="UKS248" s="23"/>
      <c r="UKX248" s="26"/>
      <c r="ULB248" s="23"/>
      <c r="ULG248" s="26"/>
      <c r="ULK248" s="23"/>
      <c r="ULP248" s="26"/>
      <c r="ULT248" s="23"/>
      <c r="ULY248" s="26"/>
      <c r="UMC248" s="23"/>
      <c r="UMH248" s="26"/>
      <c r="UML248" s="23"/>
      <c r="UMQ248" s="26"/>
      <c r="UMU248" s="23"/>
      <c r="UMZ248" s="26"/>
      <c r="UND248" s="23"/>
      <c r="UNI248" s="26"/>
      <c r="UNM248" s="23"/>
      <c r="UNR248" s="26"/>
      <c r="UNV248" s="23"/>
      <c r="UOA248" s="26"/>
      <c r="UOE248" s="23"/>
      <c r="UOJ248" s="26"/>
      <c r="UON248" s="23"/>
      <c r="UOS248" s="26"/>
      <c r="UOW248" s="23"/>
      <c r="UPB248" s="26"/>
      <c r="UPF248" s="23"/>
      <c r="UPK248" s="26"/>
      <c r="UPO248" s="23"/>
      <c r="UPT248" s="26"/>
      <c r="UPX248" s="23"/>
      <c r="UQC248" s="26"/>
      <c r="UQG248" s="23"/>
      <c r="UQL248" s="26"/>
      <c r="UQP248" s="23"/>
      <c r="UQU248" s="26"/>
      <c r="UQY248" s="23"/>
      <c r="URD248" s="26"/>
      <c r="URH248" s="23"/>
      <c r="URM248" s="26"/>
      <c r="URQ248" s="23"/>
      <c r="URV248" s="26"/>
      <c r="URZ248" s="23"/>
      <c r="USE248" s="26"/>
      <c r="USI248" s="23"/>
      <c r="USN248" s="26"/>
      <c r="USR248" s="23"/>
      <c r="USW248" s="26"/>
      <c r="UTA248" s="23"/>
      <c r="UTF248" s="26"/>
      <c r="UTJ248" s="23"/>
      <c r="UTO248" s="26"/>
      <c r="UTS248" s="23"/>
      <c r="UTX248" s="26"/>
      <c r="UUB248" s="23"/>
      <c r="UUG248" s="26"/>
      <c r="UUK248" s="23"/>
      <c r="UUP248" s="26"/>
      <c r="UUT248" s="23"/>
      <c r="UUY248" s="26"/>
      <c r="UVC248" s="23"/>
      <c r="UVH248" s="26"/>
      <c r="UVL248" s="23"/>
      <c r="UVQ248" s="26"/>
      <c r="UVU248" s="23"/>
      <c r="UVZ248" s="26"/>
      <c r="UWD248" s="23"/>
      <c r="UWI248" s="26"/>
      <c r="UWM248" s="23"/>
      <c r="UWR248" s="26"/>
      <c r="UWV248" s="23"/>
      <c r="UXA248" s="26"/>
      <c r="UXE248" s="23"/>
      <c r="UXJ248" s="26"/>
      <c r="UXN248" s="23"/>
      <c r="UXS248" s="26"/>
      <c r="UXW248" s="23"/>
      <c r="UYB248" s="26"/>
      <c r="UYF248" s="23"/>
      <c r="UYK248" s="26"/>
      <c r="UYO248" s="23"/>
      <c r="UYT248" s="26"/>
      <c r="UYX248" s="23"/>
      <c r="UZC248" s="26"/>
      <c r="UZG248" s="23"/>
      <c r="UZL248" s="26"/>
      <c r="UZP248" s="23"/>
      <c r="UZU248" s="26"/>
      <c r="UZY248" s="23"/>
      <c r="VAD248" s="26"/>
      <c r="VAH248" s="23"/>
      <c r="VAM248" s="26"/>
      <c r="VAQ248" s="23"/>
      <c r="VAV248" s="26"/>
      <c r="VAZ248" s="23"/>
      <c r="VBE248" s="26"/>
      <c r="VBI248" s="23"/>
      <c r="VBN248" s="26"/>
      <c r="VBR248" s="23"/>
      <c r="VBW248" s="26"/>
      <c r="VCA248" s="23"/>
      <c r="VCF248" s="26"/>
      <c r="VCJ248" s="23"/>
      <c r="VCO248" s="26"/>
      <c r="VCS248" s="23"/>
      <c r="VCX248" s="26"/>
      <c r="VDB248" s="23"/>
      <c r="VDG248" s="26"/>
      <c r="VDK248" s="23"/>
      <c r="VDP248" s="26"/>
      <c r="VDT248" s="23"/>
      <c r="VDY248" s="26"/>
      <c r="VEC248" s="23"/>
      <c r="VEH248" s="26"/>
      <c r="VEL248" s="23"/>
      <c r="VEQ248" s="26"/>
      <c r="VEU248" s="23"/>
      <c r="VEZ248" s="26"/>
      <c r="VFD248" s="23"/>
      <c r="VFI248" s="26"/>
      <c r="VFM248" s="23"/>
      <c r="VFR248" s="26"/>
      <c r="VFV248" s="23"/>
      <c r="VGA248" s="26"/>
      <c r="VGE248" s="23"/>
      <c r="VGJ248" s="26"/>
      <c r="VGN248" s="23"/>
      <c r="VGS248" s="26"/>
      <c r="VGW248" s="23"/>
      <c r="VHB248" s="26"/>
      <c r="VHF248" s="23"/>
      <c r="VHK248" s="26"/>
      <c r="VHO248" s="23"/>
      <c r="VHT248" s="26"/>
      <c r="VHX248" s="23"/>
      <c r="VIC248" s="26"/>
      <c r="VIG248" s="23"/>
      <c r="VIL248" s="26"/>
      <c r="VIP248" s="23"/>
      <c r="VIU248" s="26"/>
      <c r="VIY248" s="23"/>
      <c r="VJD248" s="26"/>
      <c r="VJH248" s="23"/>
      <c r="VJM248" s="26"/>
      <c r="VJQ248" s="23"/>
      <c r="VJV248" s="26"/>
      <c r="VJZ248" s="23"/>
      <c r="VKE248" s="26"/>
      <c r="VKI248" s="23"/>
      <c r="VKN248" s="26"/>
      <c r="VKR248" s="23"/>
      <c r="VKW248" s="26"/>
      <c r="VLA248" s="23"/>
      <c r="VLF248" s="26"/>
      <c r="VLJ248" s="23"/>
      <c r="VLO248" s="26"/>
      <c r="VLS248" s="23"/>
      <c r="VLX248" s="26"/>
      <c r="VMB248" s="23"/>
      <c r="VMG248" s="26"/>
      <c r="VMK248" s="23"/>
      <c r="VMP248" s="26"/>
      <c r="VMT248" s="23"/>
      <c r="VMY248" s="26"/>
      <c r="VNC248" s="23"/>
      <c r="VNH248" s="26"/>
      <c r="VNL248" s="23"/>
      <c r="VNQ248" s="26"/>
      <c r="VNU248" s="23"/>
      <c r="VNZ248" s="26"/>
      <c r="VOD248" s="23"/>
      <c r="VOI248" s="26"/>
      <c r="VOM248" s="23"/>
      <c r="VOR248" s="26"/>
      <c r="VOV248" s="23"/>
      <c r="VPA248" s="26"/>
      <c r="VPE248" s="23"/>
      <c r="VPJ248" s="26"/>
      <c r="VPN248" s="23"/>
      <c r="VPS248" s="26"/>
      <c r="VPW248" s="23"/>
      <c r="VQB248" s="26"/>
      <c r="VQF248" s="23"/>
      <c r="VQK248" s="26"/>
      <c r="VQO248" s="23"/>
      <c r="VQT248" s="26"/>
      <c r="VQX248" s="23"/>
      <c r="VRC248" s="26"/>
      <c r="VRG248" s="23"/>
      <c r="VRL248" s="26"/>
      <c r="VRP248" s="23"/>
      <c r="VRU248" s="26"/>
      <c r="VRY248" s="23"/>
      <c r="VSD248" s="26"/>
      <c r="VSH248" s="23"/>
      <c r="VSM248" s="26"/>
      <c r="VSQ248" s="23"/>
      <c r="VSV248" s="26"/>
      <c r="VSZ248" s="23"/>
      <c r="VTE248" s="26"/>
      <c r="VTI248" s="23"/>
      <c r="VTN248" s="26"/>
      <c r="VTR248" s="23"/>
      <c r="VTW248" s="26"/>
      <c r="VUA248" s="23"/>
      <c r="VUF248" s="26"/>
      <c r="VUJ248" s="23"/>
      <c r="VUO248" s="26"/>
      <c r="VUS248" s="23"/>
      <c r="VUX248" s="26"/>
      <c r="VVB248" s="23"/>
      <c r="VVG248" s="26"/>
      <c r="VVK248" s="23"/>
      <c r="VVP248" s="26"/>
      <c r="VVT248" s="23"/>
      <c r="VVY248" s="26"/>
      <c r="VWC248" s="23"/>
      <c r="VWH248" s="26"/>
      <c r="VWL248" s="23"/>
      <c r="VWQ248" s="26"/>
      <c r="VWU248" s="23"/>
      <c r="VWZ248" s="26"/>
      <c r="VXD248" s="23"/>
      <c r="VXI248" s="26"/>
      <c r="VXM248" s="23"/>
      <c r="VXR248" s="26"/>
      <c r="VXV248" s="23"/>
      <c r="VYA248" s="26"/>
      <c r="VYE248" s="23"/>
      <c r="VYJ248" s="26"/>
      <c r="VYN248" s="23"/>
      <c r="VYS248" s="26"/>
      <c r="VYW248" s="23"/>
      <c r="VZB248" s="26"/>
      <c r="VZF248" s="23"/>
      <c r="VZK248" s="26"/>
      <c r="VZO248" s="23"/>
      <c r="VZT248" s="26"/>
      <c r="VZX248" s="23"/>
      <c r="WAC248" s="26"/>
      <c r="WAG248" s="23"/>
      <c r="WAL248" s="26"/>
      <c r="WAP248" s="23"/>
      <c r="WAU248" s="26"/>
      <c r="WAY248" s="23"/>
      <c r="WBD248" s="26"/>
      <c r="WBH248" s="23"/>
      <c r="WBM248" s="26"/>
      <c r="WBQ248" s="23"/>
      <c r="WBV248" s="26"/>
      <c r="WBZ248" s="23"/>
      <c r="WCE248" s="26"/>
      <c r="WCI248" s="23"/>
      <c r="WCN248" s="26"/>
      <c r="WCR248" s="23"/>
      <c r="WCW248" s="26"/>
      <c r="WDA248" s="23"/>
      <c r="WDF248" s="26"/>
      <c r="WDJ248" s="23"/>
      <c r="WDO248" s="26"/>
      <c r="WDS248" s="23"/>
      <c r="WDX248" s="26"/>
      <c r="WEB248" s="23"/>
      <c r="WEG248" s="26"/>
      <c r="WEK248" s="23"/>
      <c r="WEP248" s="26"/>
      <c r="WET248" s="23"/>
      <c r="WEY248" s="26"/>
      <c r="WFC248" s="23"/>
      <c r="WFH248" s="26"/>
      <c r="WFL248" s="23"/>
      <c r="WFQ248" s="26"/>
      <c r="WFU248" s="23"/>
      <c r="WFZ248" s="26"/>
      <c r="WGD248" s="23"/>
      <c r="WGI248" s="26"/>
      <c r="WGM248" s="23"/>
      <c r="WGR248" s="26"/>
      <c r="WGV248" s="23"/>
      <c r="WHA248" s="26"/>
      <c r="WHE248" s="23"/>
      <c r="WHJ248" s="26"/>
      <c r="WHN248" s="23"/>
      <c r="WHS248" s="26"/>
      <c r="WHW248" s="23"/>
      <c r="WIB248" s="26"/>
      <c r="WIF248" s="23"/>
      <c r="WIK248" s="26"/>
      <c r="WIO248" s="23"/>
      <c r="WIT248" s="26"/>
      <c r="WIX248" s="23"/>
      <c r="WJC248" s="26"/>
      <c r="WJG248" s="23"/>
      <c r="WJL248" s="26"/>
      <c r="WJP248" s="23"/>
      <c r="WJU248" s="26"/>
      <c r="WJY248" s="23"/>
      <c r="WKD248" s="26"/>
      <c r="WKH248" s="23"/>
      <c r="WKM248" s="26"/>
      <c r="WKQ248" s="23"/>
      <c r="WKV248" s="26"/>
      <c r="WKZ248" s="23"/>
      <c r="WLE248" s="26"/>
      <c r="WLI248" s="23"/>
      <c r="WLN248" s="26"/>
      <c r="WLR248" s="23"/>
      <c r="WLW248" s="26"/>
      <c r="WMA248" s="23"/>
      <c r="WMF248" s="26"/>
      <c r="WMJ248" s="23"/>
      <c r="WMO248" s="26"/>
      <c r="WMS248" s="23"/>
      <c r="WMX248" s="26"/>
      <c r="WNB248" s="23"/>
      <c r="WNG248" s="26"/>
      <c r="WNK248" s="23"/>
      <c r="WNP248" s="26"/>
      <c r="WNT248" s="23"/>
      <c r="WNY248" s="26"/>
      <c r="WOC248" s="23"/>
      <c r="WOH248" s="26"/>
      <c r="WOL248" s="23"/>
      <c r="WOQ248" s="26"/>
      <c r="WOU248" s="23"/>
      <c r="WOZ248" s="26"/>
      <c r="WPD248" s="23"/>
      <c r="WPI248" s="26"/>
      <c r="WPM248" s="23"/>
      <c r="WPR248" s="26"/>
      <c r="WPV248" s="23"/>
      <c r="WQA248" s="26"/>
      <c r="WQE248" s="23"/>
      <c r="WQJ248" s="26"/>
      <c r="WQN248" s="23"/>
      <c r="WQS248" s="26"/>
      <c r="WQW248" s="23"/>
      <c r="WRB248" s="26"/>
      <c r="WRF248" s="23"/>
      <c r="WRK248" s="26"/>
      <c r="WRO248" s="23"/>
      <c r="WRT248" s="26"/>
      <c r="WRX248" s="23"/>
      <c r="WSC248" s="26"/>
      <c r="WSG248" s="23"/>
      <c r="WSL248" s="26"/>
      <c r="WSP248" s="23"/>
      <c r="WSU248" s="26"/>
      <c r="WSY248" s="23"/>
      <c r="WTD248" s="26"/>
      <c r="WTH248" s="23"/>
      <c r="WTM248" s="26"/>
      <c r="WTQ248" s="23"/>
      <c r="WTV248" s="26"/>
      <c r="WTZ248" s="23"/>
      <c r="WUE248" s="26"/>
      <c r="WUI248" s="23"/>
      <c r="WUN248" s="26"/>
      <c r="WUR248" s="23"/>
      <c r="WUW248" s="26"/>
      <c r="WVA248" s="23"/>
      <c r="WVF248" s="26"/>
      <c r="WVJ248" s="23"/>
      <c r="WVO248" s="26"/>
      <c r="WVS248" s="23"/>
      <c r="WVX248" s="26"/>
      <c r="WWB248" s="23"/>
      <c r="WWG248" s="26"/>
      <c r="WWK248" s="23"/>
      <c r="WWP248" s="26"/>
      <c r="WWT248" s="23"/>
      <c r="WWY248" s="26"/>
      <c r="WXC248" s="23"/>
      <c r="WXH248" s="26"/>
      <c r="WXL248" s="23"/>
      <c r="WXQ248" s="26"/>
      <c r="WXU248" s="23"/>
      <c r="WXZ248" s="26"/>
      <c r="WYD248" s="23"/>
      <c r="WYI248" s="26"/>
      <c r="WYM248" s="23"/>
      <c r="WYR248" s="26"/>
      <c r="WYV248" s="23"/>
      <c r="WZA248" s="26"/>
      <c r="WZE248" s="23"/>
      <c r="WZJ248" s="26"/>
      <c r="WZN248" s="23"/>
      <c r="WZS248" s="26"/>
      <c r="WZW248" s="23"/>
      <c r="XAB248" s="26"/>
      <c r="XAF248" s="23"/>
      <c r="XAK248" s="26"/>
      <c r="XAO248" s="23"/>
      <c r="XAT248" s="26"/>
      <c r="XAX248" s="23"/>
      <c r="XBC248" s="26"/>
      <c r="XBG248" s="23"/>
      <c r="XBL248" s="26"/>
      <c r="XBP248" s="23"/>
      <c r="XBU248" s="26"/>
      <c r="XBY248" s="23"/>
      <c r="XCD248" s="26"/>
      <c r="XCH248" s="23"/>
      <c r="XCM248" s="26"/>
      <c r="XCQ248" s="23"/>
      <c r="XCV248" s="26"/>
      <c r="XCZ248" s="23"/>
      <c r="XDE248" s="26"/>
      <c r="XDI248" s="23"/>
      <c r="XDN248" s="26"/>
      <c r="XDR248" s="23"/>
      <c r="XDW248" s="26"/>
      <c r="XEA248" s="23"/>
      <c r="XEF248" s="26"/>
      <c r="XEJ248" s="23"/>
      <c r="XEO248" s="26"/>
      <c r="XES248" s="23"/>
      <c r="XEX248" s="26"/>
      <c r="XFB248" s="23"/>
    </row>
    <row r="249" spans="2:1024 1028:2045 2050:3071 3076:4093 4097:5119 5123:6140 6145:7166 7171:8192 8197:9214 9218:10240 10244:11261 11266:12287 12292:13309 13313:14335 14339:15356 15361:16382" x14ac:dyDescent="0.3">
      <c r="B249" s="23"/>
      <c r="K249" s="23"/>
      <c r="P249" s="26"/>
      <c r="T249" s="23"/>
      <c r="Y249" s="26"/>
      <c r="AC249" s="23"/>
      <c r="AH249" s="26"/>
      <c r="AL249" s="23"/>
      <c r="AQ249" s="26"/>
      <c r="AU249" s="23"/>
      <c r="AZ249" s="26"/>
      <c r="BD249" s="23"/>
      <c r="BI249" s="26"/>
      <c r="BM249" s="23"/>
      <c r="BR249" s="26"/>
      <c r="BV249" s="23"/>
      <c r="CA249" s="26"/>
      <c r="CE249" s="23"/>
      <c r="CJ249" s="26"/>
      <c r="CN249" s="23"/>
      <c r="CS249" s="26"/>
      <c r="CW249" s="23"/>
      <c r="DB249" s="26"/>
      <c r="DF249" s="23"/>
      <c r="DK249" s="26"/>
      <c r="DO249" s="23"/>
      <c r="DT249" s="26"/>
      <c r="DX249" s="23"/>
      <c r="EC249" s="26"/>
      <c r="EG249" s="23"/>
      <c r="EL249" s="26"/>
      <c r="EP249" s="23"/>
      <c r="EU249" s="26"/>
      <c r="EY249" s="23"/>
      <c r="FD249" s="26"/>
      <c r="FH249" s="23"/>
      <c r="FM249" s="26"/>
      <c r="FQ249" s="23"/>
      <c r="FV249" s="26"/>
      <c r="FZ249" s="23"/>
      <c r="GE249" s="26"/>
      <c r="GI249" s="23"/>
      <c r="GN249" s="26"/>
      <c r="GR249" s="23"/>
      <c r="GW249" s="26"/>
      <c r="HA249" s="23"/>
      <c r="HF249" s="26"/>
      <c r="HJ249" s="23"/>
      <c r="HO249" s="26"/>
      <c r="HS249" s="23"/>
      <c r="HX249" s="26"/>
      <c r="IB249" s="23"/>
      <c r="IG249" s="26"/>
      <c r="IK249" s="23"/>
      <c r="IP249" s="26"/>
      <c r="IT249" s="23"/>
      <c r="IY249" s="26"/>
      <c r="JC249" s="23"/>
      <c r="JH249" s="26"/>
      <c r="JL249" s="23"/>
      <c r="JQ249" s="26"/>
      <c r="JU249" s="23"/>
      <c r="JZ249" s="26"/>
      <c r="KD249" s="23"/>
      <c r="KI249" s="26"/>
      <c r="KM249" s="23"/>
      <c r="KR249" s="26"/>
      <c r="KV249" s="23"/>
      <c r="LA249" s="26"/>
      <c r="LE249" s="23"/>
      <c r="LJ249" s="26"/>
      <c r="LN249" s="23"/>
      <c r="LS249" s="26"/>
      <c r="LW249" s="23"/>
      <c r="MB249" s="26"/>
      <c r="MF249" s="23"/>
      <c r="MK249" s="26"/>
      <c r="MO249" s="23"/>
      <c r="MT249" s="26"/>
      <c r="MX249" s="23"/>
      <c r="NC249" s="26"/>
      <c r="NG249" s="23"/>
      <c r="NL249" s="26"/>
      <c r="NP249" s="23"/>
      <c r="NU249" s="26"/>
      <c r="NY249" s="23"/>
      <c r="OD249" s="26"/>
      <c r="OH249" s="23"/>
      <c r="OM249" s="26"/>
      <c r="OQ249" s="23"/>
      <c r="OV249" s="26"/>
      <c r="OZ249" s="23"/>
      <c r="PE249" s="26"/>
      <c r="PI249" s="23"/>
      <c r="PN249" s="26"/>
      <c r="PR249" s="23"/>
      <c r="PW249" s="26"/>
      <c r="QA249" s="23"/>
      <c r="QF249" s="26"/>
      <c r="QJ249" s="23"/>
      <c r="QO249" s="26"/>
      <c r="QS249" s="23"/>
      <c r="QX249" s="26"/>
      <c r="RB249" s="23"/>
      <c r="RG249" s="26"/>
      <c r="RK249" s="23"/>
      <c r="RP249" s="26"/>
      <c r="RT249" s="23"/>
      <c r="RY249" s="26"/>
      <c r="SC249" s="23"/>
      <c r="SH249" s="26"/>
      <c r="SL249" s="23"/>
      <c r="SQ249" s="26"/>
      <c r="SU249" s="23"/>
      <c r="SZ249" s="26"/>
      <c r="TD249" s="23"/>
      <c r="TI249" s="26"/>
      <c r="TM249" s="23"/>
      <c r="TR249" s="26"/>
      <c r="TV249" s="23"/>
      <c r="UA249" s="26"/>
      <c r="UE249" s="23"/>
      <c r="UJ249" s="26"/>
      <c r="UN249" s="23"/>
      <c r="US249" s="26"/>
      <c r="UW249" s="23"/>
      <c r="VB249" s="26"/>
      <c r="VF249" s="23"/>
      <c r="VK249" s="26"/>
      <c r="VO249" s="23"/>
      <c r="VT249" s="26"/>
      <c r="VX249" s="23"/>
      <c r="WC249" s="26"/>
      <c r="WG249" s="23"/>
      <c r="WL249" s="26"/>
      <c r="WP249" s="23"/>
      <c r="WU249" s="26"/>
      <c r="WY249" s="23"/>
      <c r="XD249" s="26"/>
      <c r="XH249" s="23"/>
      <c r="XM249" s="26"/>
      <c r="XQ249" s="23"/>
      <c r="XV249" s="26"/>
      <c r="XZ249" s="23"/>
      <c r="YE249" s="26"/>
      <c r="YI249" s="23"/>
      <c r="YN249" s="26"/>
      <c r="YR249" s="23"/>
      <c r="YW249" s="26"/>
      <c r="ZA249" s="23"/>
      <c r="ZF249" s="26"/>
      <c r="ZJ249" s="23"/>
      <c r="ZO249" s="26"/>
      <c r="ZS249" s="23"/>
      <c r="ZX249" s="26"/>
      <c r="AAB249" s="23"/>
      <c r="AAG249" s="26"/>
      <c r="AAK249" s="23"/>
      <c r="AAP249" s="26"/>
      <c r="AAT249" s="23"/>
      <c r="AAY249" s="26"/>
      <c r="ABC249" s="23"/>
      <c r="ABH249" s="26"/>
      <c r="ABL249" s="23"/>
      <c r="ABQ249" s="26"/>
      <c r="ABU249" s="23"/>
      <c r="ABZ249" s="26"/>
      <c r="ACD249" s="23"/>
      <c r="ACI249" s="26"/>
      <c r="ACM249" s="23"/>
      <c r="ACR249" s="26"/>
      <c r="ACV249" s="23"/>
      <c r="ADA249" s="26"/>
      <c r="ADE249" s="23"/>
      <c r="ADJ249" s="26"/>
      <c r="ADN249" s="23"/>
      <c r="ADS249" s="26"/>
      <c r="ADW249" s="23"/>
      <c r="AEB249" s="26"/>
      <c r="AEF249" s="23"/>
      <c r="AEK249" s="26"/>
      <c r="AEO249" s="23"/>
      <c r="AET249" s="26"/>
      <c r="AEX249" s="23"/>
      <c r="AFC249" s="26"/>
      <c r="AFG249" s="23"/>
      <c r="AFL249" s="26"/>
      <c r="AFP249" s="23"/>
      <c r="AFU249" s="26"/>
      <c r="AFY249" s="23"/>
      <c r="AGD249" s="26"/>
      <c r="AGH249" s="23"/>
      <c r="AGM249" s="26"/>
      <c r="AGQ249" s="23"/>
      <c r="AGV249" s="26"/>
      <c r="AGZ249" s="23"/>
      <c r="AHE249" s="26"/>
      <c r="AHI249" s="23"/>
      <c r="AHN249" s="26"/>
      <c r="AHR249" s="23"/>
      <c r="AHW249" s="26"/>
      <c r="AIA249" s="23"/>
      <c r="AIF249" s="26"/>
      <c r="AIJ249" s="23"/>
      <c r="AIO249" s="26"/>
      <c r="AIS249" s="23"/>
      <c r="AIX249" s="26"/>
      <c r="AJB249" s="23"/>
      <c r="AJG249" s="26"/>
      <c r="AJK249" s="23"/>
      <c r="AJP249" s="26"/>
      <c r="AJT249" s="23"/>
      <c r="AJY249" s="26"/>
      <c r="AKC249" s="23"/>
      <c r="AKH249" s="26"/>
      <c r="AKL249" s="23"/>
      <c r="AKQ249" s="26"/>
      <c r="AKU249" s="23"/>
      <c r="AKZ249" s="26"/>
      <c r="ALD249" s="23"/>
      <c r="ALI249" s="26"/>
      <c r="ALM249" s="23"/>
      <c r="ALR249" s="26"/>
      <c r="ALV249" s="23"/>
      <c r="AMA249" s="26"/>
      <c r="AME249" s="23"/>
      <c r="AMJ249" s="26"/>
      <c r="AMN249" s="23"/>
      <c r="AMS249" s="26"/>
      <c r="AMW249" s="23"/>
      <c r="ANB249" s="26"/>
      <c r="ANF249" s="23"/>
      <c r="ANK249" s="26"/>
      <c r="ANO249" s="23"/>
      <c r="ANT249" s="26"/>
      <c r="ANX249" s="23"/>
      <c r="AOC249" s="26"/>
      <c r="AOG249" s="23"/>
      <c r="AOL249" s="26"/>
      <c r="AOP249" s="23"/>
      <c r="AOU249" s="26"/>
      <c r="AOY249" s="23"/>
      <c r="APD249" s="26"/>
      <c r="APH249" s="23"/>
      <c r="APM249" s="26"/>
      <c r="APQ249" s="23"/>
      <c r="APV249" s="26"/>
      <c r="APZ249" s="23"/>
      <c r="AQE249" s="26"/>
      <c r="AQI249" s="23"/>
      <c r="AQN249" s="26"/>
      <c r="AQR249" s="23"/>
      <c r="AQW249" s="26"/>
      <c r="ARA249" s="23"/>
      <c r="ARF249" s="26"/>
      <c r="ARJ249" s="23"/>
      <c r="ARO249" s="26"/>
      <c r="ARS249" s="23"/>
      <c r="ARX249" s="26"/>
      <c r="ASB249" s="23"/>
      <c r="ASG249" s="26"/>
      <c r="ASK249" s="23"/>
      <c r="ASP249" s="26"/>
      <c r="AST249" s="23"/>
      <c r="ASY249" s="26"/>
      <c r="ATC249" s="23"/>
      <c r="ATH249" s="26"/>
      <c r="ATL249" s="23"/>
      <c r="ATQ249" s="26"/>
      <c r="ATU249" s="23"/>
      <c r="ATZ249" s="26"/>
      <c r="AUD249" s="23"/>
      <c r="AUI249" s="26"/>
      <c r="AUM249" s="23"/>
      <c r="AUR249" s="26"/>
      <c r="AUV249" s="23"/>
      <c r="AVA249" s="26"/>
      <c r="AVE249" s="23"/>
      <c r="AVJ249" s="26"/>
      <c r="AVN249" s="23"/>
      <c r="AVS249" s="26"/>
      <c r="AVW249" s="23"/>
      <c r="AWB249" s="26"/>
      <c r="AWF249" s="23"/>
      <c r="AWK249" s="26"/>
      <c r="AWO249" s="23"/>
      <c r="AWT249" s="26"/>
      <c r="AWX249" s="23"/>
      <c r="AXC249" s="26"/>
      <c r="AXG249" s="23"/>
      <c r="AXL249" s="26"/>
      <c r="AXP249" s="23"/>
      <c r="AXU249" s="26"/>
      <c r="AXY249" s="23"/>
      <c r="AYD249" s="26"/>
      <c r="AYH249" s="23"/>
      <c r="AYM249" s="26"/>
      <c r="AYQ249" s="23"/>
      <c r="AYV249" s="26"/>
      <c r="AYZ249" s="23"/>
      <c r="AZE249" s="26"/>
      <c r="AZI249" s="23"/>
      <c r="AZN249" s="26"/>
      <c r="AZR249" s="23"/>
      <c r="AZW249" s="26"/>
      <c r="BAA249" s="23"/>
      <c r="BAF249" s="26"/>
      <c r="BAJ249" s="23"/>
      <c r="BAO249" s="26"/>
      <c r="BAS249" s="23"/>
      <c r="BAX249" s="26"/>
      <c r="BBB249" s="23"/>
      <c r="BBG249" s="26"/>
      <c r="BBK249" s="23"/>
      <c r="BBP249" s="26"/>
      <c r="BBT249" s="23"/>
      <c r="BBY249" s="26"/>
      <c r="BCC249" s="23"/>
      <c r="BCH249" s="26"/>
      <c r="BCL249" s="23"/>
      <c r="BCQ249" s="26"/>
      <c r="BCU249" s="23"/>
      <c r="BCZ249" s="26"/>
      <c r="BDD249" s="23"/>
      <c r="BDI249" s="26"/>
      <c r="BDM249" s="23"/>
      <c r="BDR249" s="26"/>
      <c r="BDV249" s="23"/>
      <c r="BEA249" s="26"/>
      <c r="BEE249" s="23"/>
      <c r="BEJ249" s="26"/>
      <c r="BEN249" s="23"/>
      <c r="BES249" s="26"/>
      <c r="BEW249" s="23"/>
      <c r="BFB249" s="26"/>
      <c r="BFF249" s="23"/>
      <c r="BFK249" s="26"/>
      <c r="BFO249" s="23"/>
      <c r="BFT249" s="26"/>
      <c r="BFX249" s="23"/>
      <c r="BGC249" s="26"/>
      <c r="BGG249" s="23"/>
      <c r="BGL249" s="26"/>
      <c r="BGP249" s="23"/>
      <c r="BGU249" s="26"/>
      <c r="BGY249" s="23"/>
      <c r="BHD249" s="26"/>
      <c r="BHH249" s="23"/>
      <c r="BHM249" s="26"/>
      <c r="BHQ249" s="23"/>
      <c r="BHV249" s="26"/>
      <c r="BHZ249" s="23"/>
      <c r="BIE249" s="26"/>
      <c r="BII249" s="23"/>
      <c r="BIN249" s="26"/>
      <c r="BIR249" s="23"/>
      <c r="BIW249" s="26"/>
      <c r="BJA249" s="23"/>
      <c r="BJF249" s="26"/>
      <c r="BJJ249" s="23"/>
      <c r="BJO249" s="26"/>
      <c r="BJS249" s="23"/>
      <c r="BJX249" s="26"/>
      <c r="BKB249" s="23"/>
      <c r="BKG249" s="26"/>
      <c r="BKK249" s="23"/>
      <c r="BKP249" s="26"/>
      <c r="BKT249" s="23"/>
      <c r="BKY249" s="26"/>
      <c r="BLC249" s="23"/>
      <c r="BLH249" s="26"/>
      <c r="BLL249" s="23"/>
      <c r="BLQ249" s="26"/>
      <c r="BLU249" s="23"/>
      <c r="BLZ249" s="26"/>
      <c r="BMD249" s="23"/>
      <c r="BMI249" s="26"/>
      <c r="BMM249" s="23"/>
      <c r="BMR249" s="26"/>
      <c r="BMV249" s="23"/>
      <c r="BNA249" s="26"/>
      <c r="BNE249" s="23"/>
      <c r="BNJ249" s="26"/>
      <c r="BNN249" s="23"/>
      <c r="BNS249" s="26"/>
      <c r="BNW249" s="23"/>
      <c r="BOB249" s="26"/>
      <c r="BOF249" s="23"/>
      <c r="BOK249" s="26"/>
      <c r="BOO249" s="23"/>
      <c r="BOT249" s="26"/>
      <c r="BOX249" s="23"/>
      <c r="BPC249" s="26"/>
      <c r="BPG249" s="23"/>
      <c r="BPL249" s="26"/>
      <c r="BPP249" s="23"/>
      <c r="BPU249" s="26"/>
      <c r="BPY249" s="23"/>
      <c r="BQD249" s="26"/>
      <c r="BQH249" s="23"/>
      <c r="BQM249" s="26"/>
      <c r="BQQ249" s="23"/>
      <c r="BQV249" s="26"/>
      <c r="BQZ249" s="23"/>
      <c r="BRE249" s="26"/>
      <c r="BRI249" s="23"/>
      <c r="BRN249" s="26"/>
      <c r="BRR249" s="23"/>
      <c r="BRW249" s="26"/>
      <c r="BSA249" s="23"/>
      <c r="BSF249" s="26"/>
      <c r="BSJ249" s="23"/>
      <c r="BSO249" s="26"/>
      <c r="BSS249" s="23"/>
      <c r="BSX249" s="26"/>
      <c r="BTB249" s="23"/>
      <c r="BTG249" s="26"/>
      <c r="BTK249" s="23"/>
      <c r="BTP249" s="26"/>
      <c r="BTT249" s="23"/>
      <c r="BTY249" s="26"/>
      <c r="BUC249" s="23"/>
      <c r="BUH249" s="26"/>
      <c r="BUL249" s="23"/>
      <c r="BUQ249" s="26"/>
      <c r="BUU249" s="23"/>
      <c r="BUZ249" s="26"/>
      <c r="BVD249" s="23"/>
      <c r="BVI249" s="26"/>
      <c r="BVM249" s="23"/>
      <c r="BVR249" s="26"/>
      <c r="BVV249" s="23"/>
      <c r="BWA249" s="26"/>
      <c r="BWE249" s="23"/>
      <c r="BWJ249" s="26"/>
      <c r="BWN249" s="23"/>
      <c r="BWS249" s="26"/>
      <c r="BWW249" s="23"/>
      <c r="BXB249" s="26"/>
      <c r="BXF249" s="23"/>
      <c r="BXK249" s="26"/>
      <c r="BXO249" s="23"/>
      <c r="BXT249" s="26"/>
      <c r="BXX249" s="23"/>
      <c r="BYC249" s="26"/>
      <c r="BYG249" s="23"/>
      <c r="BYL249" s="26"/>
      <c r="BYP249" s="23"/>
      <c r="BYU249" s="26"/>
      <c r="BYY249" s="23"/>
      <c r="BZD249" s="26"/>
      <c r="BZH249" s="23"/>
      <c r="BZM249" s="26"/>
      <c r="BZQ249" s="23"/>
      <c r="BZV249" s="26"/>
      <c r="BZZ249" s="23"/>
      <c r="CAE249" s="26"/>
      <c r="CAI249" s="23"/>
      <c r="CAN249" s="26"/>
      <c r="CAR249" s="23"/>
      <c r="CAW249" s="26"/>
      <c r="CBA249" s="23"/>
      <c r="CBF249" s="26"/>
      <c r="CBJ249" s="23"/>
      <c r="CBO249" s="26"/>
      <c r="CBS249" s="23"/>
      <c r="CBX249" s="26"/>
      <c r="CCB249" s="23"/>
      <c r="CCG249" s="26"/>
      <c r="CCK249" s="23"/>
      <c r="CCP249" s="26"/>
      <c r="CCT249" s="23"/>
      <c r="CCY249" s="26"/>
      <c r="CDC249" s="23"/>
      <c r="CDH249" s="26"/>
      <c r="CDL249" s="23"/>
      <c r="CDQ249" s="26"/>
      <c r="CDU249" s="23"/>
      <c r="CDZ249" s="26"/>
      <c r="CED249" s="23"/>
      <c r="CEI249" s="26"/>
      <c r="CEM249" s="23"/>
      <c r="CER249" s="26"/>
      <c r="CEV249" s="23"/>
      <c r="CFA249" s="26"/>
      <c r="CFE249" s="23"/>
      <c r="CFJ249" s="26"/>
      <c r="CFN249" s="23"/>
      <c r="CFS249" s="26"/>
      <c r="CFW249" s="23"/>
      <c r="CGB249" s="26"/>
      <c r="CGF249" s="23"/>
      <c r="CGK249" s="26"/>
      <c r="CGO249" s="23"/>
      <c r="CGT249" s="26"/>
      <c r="CGX249" s="23"/>
      <c r="CHC249" s="26"/>
      <c r="CHG249" s="23"/>
      <c r="CHL249" s="26"/>
      <c r="CHP249" s="23"/>
      <c r="CHU249" s="26"/>
      <c r="CHY249" s="23"/>
      <c r="CID249" s="26"/>
      <c r="CIH249" s="23"/>
      <c r="CIM249" s="26"/>
      <c r="CIQ249" s="23"/>
      <c r="CIV249" s="26"/>
      <c r="CIZ249" s="23"/>
      <c r="CJE249" s="26"/>
      <c r="CJI249" s="23"/>
      <c r="CJN249" s="26"/>
      <c r="CJR249" s="23"/>
      <c r="CJW249" s="26"/>
      <c r="CKA249" s="23"/>
      <c r="CKF249" s="26"/>
      <c r="CKJ249" s="23"/>
      <c r="CKO249" s="26"/>
      <c r="CKS249" s="23"/>
      <c r="CKX249" s="26"/>
      <c r="CLB249" s="23"/>
      <c r="CLG249" s="26"/>
      <c r="CLK249" s="23"/>
      <c r="CLP249" s="26"/>
      <c r="CLT249" s="23"/>
      <c r="CLY249" s="26"/>
      <c r="CMC249" s="23"/>
      <c r="CMH249" s="26"/>
      <c r="CML249" s="23"/>
      <c r="CMQ249" s="26"/>
      <c r="CMU249" s="23"/>
      <c r="CMZ249" s="26"/>
      <c r="CND249" s="23"/>
      <c r="CNI249" s="26"/>
      <c r="CNM249" s="23"/>
      <c r="CNR249" s="26"/>
      <c r="CNV249" s="23"/>
      <c r="COA249" s="26"/>
      <c r="COE249" s="23"/>
      <c r="COJ249" s="26"/>
      <c r="CON249" s="23"/>
      <c r="COS249" s="26"/>
      <c r="COW249" s="23"/>
      <c r="CPB249" s="26"/>
      <c r="CPF249" s="23"/>
      <c r="CPK249" s="26"/>
      <c r="CPO249" s="23"/>
      <c r="CPT249" s="26"/>
      <c r="CPX249" s="23"/>
      <c r="CQC249" s="26"/>
      <c r="CQG249" s="23"/>
      <c r="CQL249" s="26"/>
      <c r="CQP249" s="23"/>
      <c r="CQU249" s="26"/>
      <c r="CQY249" s="23"/>
      <c r="CRD249" s="26"/>
      <c r="CRH249" s="23"/>
      <c r="CRM249" s="26"/>
      <c r="CRQ249" s="23"/>
      <c r="CRV249" s="26"/>
      <c r="CRZ249" s="23"/>
      <c r="CSE249" s="26"/>
      <c r="CSI249" s="23"/>
      <c r="CSN249" s="26"/>
      <c r="CSR249" s="23"/>
      <c r="CSW249" s="26"/>
      <c r="CTA249" s="23"/>
      <c r="CTF249" s="26"/>
      <c r="CTJ249" s="23"/>
      <c r="CTO249" s="26"/>
      <c r="CTS249" s="23"/>
      <c r="CTX249" s="26"/>
      <c r="CUB249" s="23"/>
      <c r="CUG249" s="26"/>
      <c r="CUK249" s="23"/>
      <c r="CUP249" s="26"/>
      <c r="CUT249" s="23"/>
      <c r="CUY249" s="26"/>
      <c r="CVC249" s="23"/>
      <c r="CVH249" s="26"/>
      <c r="CVL249" s="23"/>
      <c r="CVQ249" s="26"/>
      <c r="CVU249" s="23"/>
      <c r="CVZ249" s="26"/>
      <c r="CWD249" s="23"/>
      <c r="CWI249" s="26"/>
      <c r="CWM249" s="23"/>
      <c r="CWR249" s="26"/>
      <c r="CWV249" s="23"/>
      <c r="CXA249" s="26"/>
      <c r="CXE249" s="23"/>
      <c r="CXJ249" s="26"/>
      <c r="CXN249" s="23"/>
      <c r="CXS249" s="26"/>
      <c r="CXW249" s="23"/>
      <c r="CYB249" s="26"/>
      <c r="CYF249" s="23"/>
      <c r="CYK249" s="26"/>
      <c r="CYO249" s="23"/>
      <c r="CYT249" s="26"/>
      <c r="CYX249" s="23"/>
      <c r="CZC249" s="26"/>
      <c r="CZG249" s="23"/>
      <c r="CZL249" s="26"/>
      <c r="CZP249" s="23"/>
      <c r="CZU249" s="26"/>
      <c r="CZY249" s="23"/>
      <c r="DAD249" s="26"/>
      <c r="DAH249" s="23"/>
      <c r="DAM249" s="26"/>
      <c r="DAQ249" s="23"/>
      <c r="DAV249" s="26"/>
      <c r="DAZ249" s="23"/>
      <c r="DBE249" s="26"/>
      <c r="DBI249" s="23"/>
      <c r="DBN249" s="26"/>
      <c r="DBR249" s="23"/>
      <c r="DBW249" s="26"/>
      <c r="DCA249" s="23"/>
      <c r="DCF249" s="26"/>
      <c r="DCJ249" s="23"/>
      <c r="DCO249" s="26"/>
      <c r="DCS249" s="23"/>
      <c r="DCX249" s="26"/>
      <c r="DDB249" s="23"/>
      <c r="DDG249" s="26"/>
      <c r="DDK249" s="23"/>
      <c r="DDP249" s="26"/>
      <c r="DDT249" s="23"/>
      <c r="DDY249" s="26"/>
      <c r="DEC249" s="23"/>
      <c r="DEH249" s="26"/>
      <c r="DEL249" s="23"/>
      <c r="DEQ249" s="26"/>
      <c r="DEU249" s="23"/>
      <c r="DEZ249" s="26"/>
      <c r="DFD249" s="23"/>
      <c r="DFI249" s="26"/>
      <c r="DFM249" s="23"/>
      <c r="DFR249" s="26"/>
      <c r="DFV249" s="23"/>
      <c r="DGA249" s="26"/>
      <c r="DGE249" s="23"/>
      <c r="DGJ249" s="26"/>
      <c r="DGN249" s="23"/>
      <c r="DGS249" s="26"/>
      <c r="DGW249" s="23"/>
      <c r="DHB249" s="26"/>
      <c r="DHF249" s="23"/>
      <c r="DHK249" s="26"/>
      <c r="DHO249" s="23"/>
      <c r="DHT249" s="26"/>
      <c r="DHX249" s="23"/>
      <c r="DIC249" s="26"/>
      <c r="DIG249" s="23"/>
      <c r="DIL249" s="26"/>
      <c r="DIP249" s="23"/>
      <c r="DIU249" s="26"/>
      <c r="DIY249" s="23"/>
      <c r="DJD249" s="26"/>
      <c r="DJH249" s="23"/>
      <c r="DJM249" s="26"/>
      <c r="DJQ249" s="23"/>
      <c r="DJV249" s="26"/>
      <c r="DJZ249" s="23"/>
      <c r="DKE249" s="26"/>
      <c r="DKI249" s="23"/>
      <c r="DKN249" s="26"/>
      <c r="DKR249" s="23"/>
      <c r="DKW249" s="26"/>
      <c r="DLA249" s="23"/>
      <c r="DLF249" s="26"/>
      <c r="DLJ249" s="23"/>
      <c r="DLO249" s="26"/>
      <c r="DLS249" s="23"/>
      <c r="DLX249" s="26"/>
      <c r="DMB249" s="23"/>
      <c r="DMG249" s="26"/>
      <c r="DMK249" s="23"/>
      <c r="DMP249" s="26"/>
      <c r="DMT249" s="23"/>
      <c r="DMY249" s="26"/>
      <c r="DNC249" s="23"/>
      <c r="DNH249" s="26"/>
      <c r="DNL249" s="23"/>
      <c r="DNQ249" s="26"/>
      <c r="DNU249" s="23"/>
      <c r="DNZ249" s="26"/>
      <c r="DOD249" s="23"/>
      <c r="DOI249" s="26"/>
      <c r="DOM249" s="23"/>
      <c r="DOR249" s="26"/>
      <c r="DOV249" s="23"/>
      <c r="DPA249" s="26"/>
      <c r="DPE249" s="23"/>
      <c r="DPJ249" s="26"/>
      <c r="DPN249" s="23"/>
      <c r="DPS249" s="26"/>
      <c r="DPW249" s="23"/>
      <c r="DQB249" s="26"/>
      <c r="DQF249" s="23"/>
      <c r="DQK249" s="26"/>
      <c r="DQO249" s="23"/>
      <c r="DQT249" s="26"/>
      <c r="DQX249" s="23"/>
      <c r="DRC249" s="26"/>
      <c r="DRG249" s="23"/>
      <c r="DRL249" s="26"/>
      <c r="DRP249" s="23"/>
      <c r="DRU249" s="26"/>
      <c r="DRY249" s="23"/>
      <c r="DSD249" s="26"/>
      <c r="DSH249" s="23"/>
      <c r="DSM249" s="26"/>
      <c r="DSQ249" s="23"/>
      <c r="DSV249" s="26"/>
      <c r="DSZ249" s="23"/>
      <c r="DTE249" s="26"/>
      <c r="DTI249" s="23"/>
      <c r="DTN249" s="26"/>
      <c r="DTR249" s="23"/>
      <c r="DTW249" s="26"/>
      <c r="DUA249" s="23"/>
      <c r="DUF249" s="26"/>
      <c r="DUJ249" s="23"/>
      <c r="DUO249" s="26"/>
      <c r="DUS249" s="23"/>
      <c r="DUX249" s="26"/>
      <c r="DVB249" s="23"/>
      <c r="DVG249" s="26"/>
      <c r="DVK249" s="23"/>
      <c r="DVP249" s="26"/>
      <c r="DVT249" s="23"/>
      <c r="DVY249" s="26"/>
      <c r="DWC249" s="23"/>
      <c r="DWH249" s="26"/>
      <c r="DWL249" s="23"/>
      <c r="DWQ249" s="26"/>
      <c r="DWU249" s="23"/>
      <c r="DWZ249" s="26"/>
      <c r="DXD249" s="23"/>
      <c r="DXI249" s="26"/>
      <c r="DXM249" s="23"/>
      <c r="DXR249" s="26"/>
      <c r="DXV249" s="23"/>
      <c r="DYA249" s="26"/>
      <c r="DYE249" s="23"/>
      <c r="DYJ249" s="26"/>
      <c r="DYN249" s="23"/>
      <c r="DYS249" s="26"/>
      <c r="DYW249" s="23"/>
      <c r="DZB249" s="26"/>
      <c r="DZF249" s="23"/>
      <c r="DZK249" s="26"/>
      <c r="DZO249" s="23"/>
      <c r="DZT249" s="26"/>
      <c r="DZX249" s="23"/>
      <c r="EAC249" s="26"/>
      <c r="EAG249" s="23"/>
      <c r="EAL249" s="26"/>
      <c r="EAP249" s="23"/>
      <c r="EAU249" s="26"/>
      <c r="EAY249" s="23"/>
      <c r="EBD249" s="26"/>
      <c r="EBH249" s="23"/>
      <c r="EBM249" s="26"/>
      <c r="EBQ249" s="23"/>
      <c r="EBV249" s="26"/>
      <c r="EBZ249" s="23"/>
      <c r="ECE249" s="26"/>
      <c r="ECI249" s="23"/>
      <c r="ECN249" s="26"/>
      <c r="ECR249" s="23"/>
      <c r="ECW249" s="26"/>
      <c r="EDA249" s="23"/>
      <c r="EDF249" s="26"/>
      <c r="EDJ249" s="23"/>
      <c r="EDO249" s="26"/>
      <c r="EDS249" s="23"/>
      <c r="EDX249" s="26"/>
      <c r="EEB249" s="23"/>
      <c r="EEG249" s="26"/>
      <c r="EEK249" s="23"/>
      <c r="EEP249" s="26"/>
      <c r="EET249" s="23"/>
      <c r="EEY249" s="26"/>
      <c r="EFC249" s="23"/>
      <c r="EFH249" s="26"/>
      <c r="EFL249" s="23"/>
      <c r="EFQ249" s="26"/>
      <c r="EFU249" s="23"/>
      <c r="EFZ249" s="26"/>
      <c r="EGD249" s="23"/>
      <c r="EGI249" s="26"/>
      <c r="EGM249" s="23"/>
      <c r="EGR249" s="26"/>
      <c r="EGV249" s="23"/>
      <c r="EHA249" s="26"/>
      <c r="EHE249" s="23"/>
      <c r="EHJ249" s="26"/>
      <c r="EHN249" s="23"/>
      <c r="EHS249" s="26"/>
      <c r="EHW249" s="23"/>
      <c r="EIB249" s="26"/>
      <c r="EIF249" s="23"/>
      <c r="EIK249" s="26"/>
      <c r="EIO249" s="23"/>
      <c r="EIT249" s="26"/>
      <c r="EIX249" s="23"/>
      <c r="EJC249" s="26"/>
      <c r="EJG249" s="23"/>
      <c r="EJL249" s="26"/>
      <c r="EJP249" s="23"/>
      <c r="EJU249" s="26"/>
      <c r="EJY249" s="23"/>
      <c r="EKD249" s="26"/>
      <c r="EKH249" s="23"/>
      <c r="EKM249" s="26"/>
      <c r="EKQ249" s="23"/>
      <c r="EKV249" s="26"/>
      <c r="EKZ249" s="23"/>
      <c r="ELE249" s="26"/>
      <c r="ELI249" s="23"/>
      <c r="ELN249" s="26"/>
      <c r="ELR249" s="23"/>
      <c r="ELW249" s="26"/>
      <c r="EMA249" s="23"/>
      <c r="EMF249" s="26"/>
      <c r="EMJ249" s="23"/>
      <c r="EMO249" s="26"/>
      <c r="EMS249" s="23"/>
      <c r="EMX249" s="26"/>
      <c r="ENB249" s="23"/>
      <c r="ENG249" s="26"/>
      <c r="ENK249" s="23"/>
      <c r="ENP249" s="26"/>
      <c r="ENT249" s="23"/>
      <c r="ENY249" s="26"/>
      <c r="EOC249" s="23"/>
      <c r="EOH249" s="26"/>
      <c r="EOL249" s="23"/>
      <c r="EOQ249" s="26"/>
      <c r="EOU249" s="23"/>
      <c r="EOZ249" s="26"/>
      <c r="EPD249" s="23"/>
      <c r="EPI249" s="26"/>
      <c r="EPM249" s="23"/>
      <c r="EPR249" s="26"/>
      <c r="EPV249" s="23"/>
      <c r="EQA249" s="26"/>
      <c r="EQE249" s="23"/>
      <c r="EQJ249" s="26"/>
      <c r="EQN249" s="23"/>
      <c r="EQS249" s="26"/>
      <c r="EQW249" s="23"/>
      <c r="ERB249" s="26"/>
      <c r="ERF249" s="23"/>
      <c r="ERK249" s="26"/>
      <c r="ERO249" s="23"/>
      <c r="ERT249" s="26"/>
      <c r="ERX249" s="23"/>
      <c r="ESC249" s="26"/>
      <c r="ESG249" s="23"/>
      <c r="ESL249" s="26"/>
      <c r="ESP249" s="23"/>
      <c r="ESU249" s="26"/>
      <c r="ESY249" s="23"/>
      <c r="ETD249" s="26"/>
      <c r="ETH249" s="23"/>
      <c r="ETM249" s="26"/>
      <c r="ETQ249" s="23"/>
      <c r="ETV249" s="26"/>
      <c r="ETZ249" s="23"/>
      <c r="EUE249" s="26"/>
      <c r="EUI249" s="23"/>
      <c r="EUN249" s="26"/>
      <c r="EUR249" s="23"/>
      <c r="EUW249" s="26"/>
      <c r="EVA249" s="23"/>
      <c r="EVF249" s="26"/>
      <c r="EVJ249" s="23"/>
      <c r="EVO249" s="26"/>
      <c r="EVS249" s="23"/>
      <c r="EVX249" s="26"/>
      <c r="EWB249" s="23"/>
      <c r="EWG249" s="26"/>
      <c r="EWK249" s="23"/>
      <c r="EWP249" s="26"/>
      <c r="EWT249" s="23"/>
      <c r="EWY249" s="26"/>
      <c r="EXC249" s="23"/>
      <c r="EXH249" s="26"/>
      <c r="EXL249" s="23"/>
      <c r="EXQ249" s="26"/>
      <c r="EXU249" s="23"/>
      <c r="EXZ249" s="26"/>
      <c r="EYD249" s="23"/>
      <c r="EYI249" s="26"/>
      <c r="EYM249" s="23"/>
      <c r="EYR249" s="26"/>
      <c r="EYV249" s="23"/>
      <c r="EZA249" s="26"/>
      <c r="EZE249" s="23"/>
      <c r="EZJ249" s="26"/>
      <c r="EZN249" s="23"/>
      <c r="EZS249" s="26"/>
      <c r="EZW249" s="23"/>
      <c r="FAB249" s="26"/>
      <c r="FAF249" s="23"/>
      <c r="FAK249" s="26"/>
      <c r="FAO249" s="23"/>
      <c r="FAT249" s="26"/>
      <c r="FAX249" s="23"/>
      <c r="FBC249" s="26"/>
      <c r="FBG249" s="23"/>
      <c r="FBL249" s="26"/>
      <c r="FBP249" s="23"/>
      <c r="FBU249" s="26"/>
      <c r="FBY249" s="23"/>
      <c r="FCD249" s="26"/>
      <c r="FCH249" s="23"/>
      <c r="FCM249" s="26"/>
      <c r="FCQ249" s="23"/>
      <c r="FCV249" s="26"/>
      <c r="FCZ249" s="23"/>
      <c r="FDE249" s="26"/>
      <c r="FDI249" s="23"/>
      <c r="FDN249" s="26"/>
      <c r="FDR249" s="23"/>
      <c r="FDW249" s="26"/>
      <c r="FEA249" s="23"/>
      <c r="FEF249" s="26"/>
      <c r="FEJ249" s="23"/>
      <c r="FEO249" s="26"/>
      <c r="FES249" s="23"/>
      <c r="FEX249" s="26"/>
      <c r="FFB249" s="23"/>
      <c r="FFG249" s="26"/>
      <c r="FFK249" s="23"/>
      <c r="FFP249" s="26"/>
      <c r="FFT249" s="23"/>
      <c r="FFY249" s="26"/>
      <c r="FGC249" s="23"/>
      <c r="FGH249" s="26"/>
      <c r="FGL249" s="23"/>
      <c r="FGQ249" s="26"/>
      <c r="FGU249" s="23"/>
      <c r="FGZ249" s="26"/>
      <c r="FHD249" s="23"/>
      <c r="FHI249" s="26"/>
      <c r="FHM249" s="23"/>
      <c r="FHR249" s="26"/>
      <c r="FHV249" s="23"/>
      <c r="FIA249" s="26"/>
      <c r="FIE249" s="23"/>
      <c r="FIJ249" s="26"/>
      <c r="FIN249" s="23"/>
      <c r="FIS249" s="26"/>
      <c r="FIW249" s="23"/>
      <c r="FJB249" s="26"/>
      <c r="FJF249" s="23"/>
      <c r="FJK249" s="26"/>
      <c r="FJO249" s="23"/>
      <c r="FJT249" s="26"/>
      <c r="FJX249" s="23"/>
      <c r="FKC249" s="26"/>
      <c r="FKG249" s="23"/>
      <c r="FKL249" s="26"/>
      <c r="FKP249" s="23"/>
      <c r="FKU249" s="26"/>
      <c r="FKY249" s="23"/>
      <c r="FLD249" s="26"/>
      <c r="FLH249" s="23"/>
      <c r="FLM249" s="26"/>
      <c r="FLQ249" s="23"/>
      <c r="FLV249" s="26"/>
      <c r="FLZ249" s="23"/>
      <c r="FME249" s="26"/>
      <c r="FMI249" s="23"/>
      <c r="FMN249" s="26"/>
      <c r="FMR249" s="23"/>
      <c r="FMW249" s="26"/>
      <c r="FNA249" s="23"/>
      <c r="FNF249" s="26"/>
      <c r="FNJ249" s="23"/>
      <c r="FNO249" s="26"/>
      <c r="FNS249" s="23"/>
      <c r="FNX249" s="26"/>
      <c r="FOB249" s="23"/>
      <c r="FOG249" s="26"/>
      <c r="FOK249" s="23"/>
      <c r="FOP249" s="26"/>
      <c r="FOT249" s="23"/>
      <c r="FOY249" s="26"/>
      <c r="FPC249" s="23"/>
      <c r="FPH249" s="26"/>
      <c r="FPL249" s="23"/>
      <c r="FPQ249" s="26"/>
      <c r="FPU249" s="23"/>
      <c r="FPZ249" s="26"/>
      <c r="FQD249" s="23"/>
      <c r="FQI249" s="26"/>
      <c r="FQM249" s="23"/>
      <c r="FQR249" s="26"/>
      <c r="FQV249" s="23"/>
      <c r="FRA249" s="26"/>
      <c r="FRE249" s="23"/>
      <c r="FRJ249" s="26"/>
      <c r="FRN249" s="23"/>
      <c r="FRS249" s="26"/>
      <c r="FRW249" s="23"/>
      <c r="FSB249" s="26"/>
      <c r="FSF249" s="23"/>
      <c r="FSK249" s="26"/>
      <c r="FSO249" s="23"/>
      <c r="FST249" s="26"/>
      <c r="FSX249" s="23"/>
      <c r="FTC249" s="26"/>
      <c r="FTG249" s="23"/>
      <c r="FTL249" s="26"/>
      <c r="FTP249" s="23"/>
      <c r="FTU249" s="26"/>
      <c r="FTY249" s="23"/>
      <c r="FUD249" s="26"/>
      <c r="FUH249" s="23"/>
      <c r="FUM249" s="26"/>
      <c r="FUQ249" s="23"/>
      <c r="FUV249" s="26"/>
      <c r="FUZ249" s="23"/>
      <c r="FVE249" s="26"/>
      <c r="FVI249" s="23"/>
      <c r="FVN249" s="26"/>
      <c r="FVR249" s="23"/>
      <c r="FVW249" s="26"/>
      <c r="FWA249" s="23"/>
      <c r="FWF249" s="26"/>
      <c r="FWJ249" s="23"/>
      <c r="FWO249" s="26"/>
      <c r="FWS249" s="23"/>
      <c r="FWX249" s="26"/>
      <c r="FXB249" s="23"/>
      <c r="FXG249" s="26"/>
      <c r="FXK249" s="23"/>
      <c r="FXP249" s="26"/>
      <c r="FXT249" s="23"/>
      <c r="FXY249" s="26"/>
      <c r="FYC249" s="23"/>
      <c r="FYH249" s="26"/>
      <c r="FYL249" s="23"/>
      <c r="FYQ249" s="26"/>
      <c r="FYU249" s="23"/>
      <c r="FYZ249" s="26"/>
      <c r="FZD249" s="23"/>
      <c r="FZI249" s="26"/>
      <c r="FZM249" s="23"/>
      <c r="FZR249" s="26"/>
      <c r="FZV249" s="23"/>
      <c r="GAA249" s="26"/>
      <c r="GAE249" s="23"/>
      <c r="GAJ249" s="26"/>
      <c r="GAN249" s="23"/>
      <c r="GAS249" s="26"/>
      <c r="GAW249" s="23"/>
      <c r="GBB249" s="26"/>
      <c r="GBF249" s="23"/>
      <c r="GBK249" s="26"/>
      <c r="GBO249" s="23"/>
      <c r="GBT249" s="26"/>
      <c r="GBX249" s="23"/>
      <c r="GCC249" s="26"/>
      <c r="GCG249" s="23"/>
      <c r="GCL249" s="26"/>
      <c r="GCP249" s="23"/>
      <c r="GCU249" s="26"/>
      <c r="GCY249" s="23"/>
      <c r="GDD249" s="26"/>
      <c r="GDH249" s="23"/>
      <c r="GDM249" s="26"/>
      <c r="GDQ249" s="23"/>
      <c r="GDV249" s="26"/>
      <c r="GDZ249" s="23"/>
      <c r="GEE249" s="26"/>
      <c r="GEI249" s="23"/>
      <c r="GEN249" s="26"/>
      <c r="GER249" s="23"/>
      <c r="GEW249" s="26"/>
      <c r="GFA249" s="23"/>
      <c r="GFF249" s="26"/>
      <c r="GFJ249" s="23"/>
      <c r="GFO249" s="26"/>
      <c r="GFS249" s="23"/>
      <c r="GFX249" s="26"/>
      <c r="GGB249" s="23"/>
      <c r="GGG249" s="26"/>
      <c r="GGK249" s="23"/>
      <c r="GGP249" s="26"/>
      <c r="GGT249" s="23"/>
      <c r="GGY249" s="26"/>
      <c r="GHC249" s="23"/>
      <c r="GHH249" s="26"/>
      <c r="GHL249" s="23"/>
      <c r="GHQ249" s="26"/>
      <c r="GHU249" s="23"/>
      <c r="GHZ249" s="26"/>
      <c r="GID249" s="23"/>
      <c r="GII249" s="26"/>
      <c r="GIM249" s="23"/>
      <c r="GIR249" s="26"/>
      <c r="GIV249" s="23"/>
      <c r="GJA249" s="26"/>
      <c r="GJE249" s="23"/>
      <c r="GJJ249" s="26"/>
      <c r="GJN249" s="23"/>
      <c r="GJS249" s="26"/>
      <c r="GJW249" s="23"/>
      <c r="GKB249" s="26"/>
      <c r="GKF249" s="23"/>
      <c r="GKK249" s="26"/>
      <c r="GKO249" s="23"/>
      <c r="GKT249" s="26"/>
      <c r="GKX249" s="23"/>
      <c r="GLC249" s="26"/>
      <c r="GLG249" s="23"/>
      <c r="GLL249" s="26"/>
      <c r="GLP249" s="23"/>
      <c r="GLU249" s="26"/>
      <c r="GLY249" s="23"/>
      <c r="GMD249" s="26"/>
      <c r="GMH249" s="23"/>
      <c r="GMM249" s="26"/>
      <c r="GMQ249" s="23"/>
      <c r="GMV249" s="26"/>
      <c r="GMZ249" s="23"/>
      <c r="GNE249" s="26"/>
      <c r="GNI249" s="23"/>
      <c r="GNN249" s="26"/>
      <c r="GNR249" s="23"/>
      <c r="GNW249" s="26"/>
      <c r="GOA249" s="23"/>
      <c r="GOF249" s="26"/>
      <c r="GOJ249" s="23"/>
      <c r="GOO249" s="26"/>
      <c r="GOS249" s="23"/>
      <c r="GOX249" s="26"/>
      <c r="GPB249" s="23"/>
      <c r="GPG249" s="26"/>
      <c r="GPK249" s="23"/>
      <c r="GPP249" s="26"/>
      <c r="GPT249" s="23"/>
      <c r="GPY249" s="26"/>
      <c r="GQC249" s="23"/>
      <c r="GQH249" s="26"/>
      <c r="GQL249" s="23"/>
      <c r="GQQ249" s="26"/>
      <c r="GQU249" s="23"/>
      <c r="GQZ249" s="26"/>
      <c r="GRD249" s="23"/>
      <c r="GRI249" s="26"/>
      <c r="GRM249" s="23"/>
      <c r="GRR249" s="26"/>
      <c r="GRV249" s="23"/>
      <c r="GSA249" s="26"/>
      <c r="GSE249" s="23"/>
      <c r="GSJ249" s="26"/>
      <c r="GSN249" s="23"/>
      <c r="GSS249" s="26"/>
      <c r="GSW249" s="23"/>
      <c r="GTB249" s="26"/>
      <c r="GTF249" s="23"/>
      <c r="GTK249" s="26"/>
      <c r="GTO249" s="23"/>
      <c r="GTT249" s="26"/>
      <c r="GTX249" s="23"/>
      <c r="GUC249" s="26"/>
      <c r="GUG249" s="23"/>
      <c r="GUL249" s="26"/>
      <c r="GUP249" s="23"/>
      <c r="GUU249" s="26"/>
      <c r="GUY249" s="23"/>
      <c r="GVD249" s="26"/>
      <c r="GVH249" s="23"/>
      <c r="GVM249" s="26"/>
      <c r="GVQ249" s="23"/>
      <c r="GVV249" s="26"/>
      <c r="GVZ249" s="23"/>
      <c r="GWE249" s="26"/>
      <c r="GWI249" s="23"/>
      <c r="GWN249" s="26"/>
      <c r="GWR249" s="23"/>
      <c r="GWW249" s="26"/>
      <c r="GXA249" s="23"/>
      <c r="GXF249" s="26"/>
      <c r="GXJ249" s="23"/>
      <c r="GXO249" s="26"/>
      <c r="GXS249" s="23"/>
      <c r="GXX249" s="26"/>
      <c r="GYB249" s="23"/>
      <c r="GYG249" s="26"/>
      <c r="GYK249" s="23"/>
      <c r="GYP249" s="26"/>
      <c r="GYT249" s="23"/>
      <c r="GYY249" s="26"/>
      <c r="GZC249" s="23"/>
      <c r="GZH249" s="26"/>
      <c r="GZL249" s="23"/>
      <c r="GZQ249" s="26"/>
      <c r="GZU249" s="23"/>
      <c r="GZZ249" s="26"/>
      <c r="HAD249" s="23"/>
      <c r="HAI249" s="26"/>
      <c r="HAM249" s="23"/>
      <c r="HAR249" s="26"/>
      <c r="HAV249" s="23"/>
      <c r="HBA249" s="26"/>
      <c r="HBE249" s="23"/>
      <c r="HBJ249" s="26"/>
      <c r="HBN249" s="23"/>
      <c r="HBS249" s="26"/>
      <c r="HBW249" s="23"/>
      <c r="HCB249" s="26"/>
      <c r="HCF249" s="23"/>
      <c r="HCK249" s="26"/>
      <c r="HCO249" s="23"/>
      <c r="HCT249" s="26"/>
      <c r="HCX249" s="23"/>
      <c r="HDC249" s="26"/>
      <c r="HDG249" s="23"/>
      <c r="HDL249" s="26"/>
      <c r="HDP249" s="23"/>
      <c r="HDU249" s="26"/>
      <c r="HDY249" s="23"/>
      <c r="HED249" s="26"/>
      <c r="HEH249" s="23"/>
      <c r="HEM249" s="26"/>
      <c r="HEQ249" s="23"/>
      <c r="HEV249" s="26"/>
      <c r="HEZ249" s="23"/>
      <c r="HFE249" s="26"/>
      <c r="HFI249" s="23"/>
      <c r="HFN249" s="26"/>
      <c r="HFR249" s="23"/>
      <c r="HFW249" s="26"/>
      <c r="HGA249" s="23"/>
      <c r="HGF249" s="26"/>
      <c r="HGJ249" s="23"/>
      <c r="HGO249" s="26"/>
      <c r="HGS249" s="23"/>
      <c r="HGX249" s="26"/>
      <c r="HHB249" s="23"/>
      <c r="HHG249" s="26"/>
      <c r="HHK249" s="23"/>
      <c r="HHP249" s="26"/>
      <c r="HHT249" s="23"/>
      <c r="HHY249" s="26"/>
      <c r="HIC249" s="23"/>
      <c r="HIH249" s="26"/>
      <c r="HIL249" s="23"/>
      <c r="HIQ249" s="26"/>
      <c r="HIU249" s="23"/>
      <c r="HIZ249" s="26"/>
      <c r="HJD249" s="23"/>
      <c r="HJI249" s="26"/>
      <c r="HJM249" s="23"/>
      <c r="HJR249" s="26"/>
      <c r="HJV249" s="23"/>
      <c r="HKA249" s="26"/>
      <c r="HKE249" s="23"/>
      <c r="HKJ249" s="26"/>
      <c r="HKN249" s="23"/>
      <c r="HKS249" s="26"/>
      <c r="HKW249" s="23"/>
      <c r="HLB249" s="26"/>
      <c r="HLF249" s="23"/>
      <c r="HLK249" s="26"/>
      <c r="HLO249" s="23"/>
      <c r="HLT249" s="26"/>
      <c r="HLX249" s="23"/>
      <c r="HMC249" s="26"/>
      <c r="HMG249" s="23"/>
      <c r="HML249" s="26"/>
      <c r="HMP249" s="23"/>
      <c r="HMU249" s="26"/>
      <c r="HMY249" s="23"/>
      <c r="HND249" s="26"/>
      <c r="HNH249" s="23"/>
      <c r="HNM249" s="26"/>
      <c r="HNQ249" s="23"/>
      <c r="HNV249" s="26"/>
      <c r="HNZ249" s="23"/>
      <c r="HOE249" s="26"/>
      <c r="HOI249" s="23"/>
      <c r="HON249" s="26"/>
      <c r="HOR249" s="23"/>
      <c r="HOW249" s="26"/>
      <c r="HPA249" s="23"/>
      <c r="HPF249" s="26"/>
      <c r="HPJ249" s="23"/>
      <c r="HPO249" s="26"/>
      <c r="HPS249" s="23"/>
      <c r="HPX249" s="26"/>
      <c r="HQB249" s="23"/>
      <c r="HQG249" s="26"/>
      <c r="HQK249" s="23"/>
      <c r="HQP249" s="26"/>
      <c r="HQT249" s="23"/>
      <c r="HQY249" s="26"/>
      <c r="HRC249" s="23"/>
      <c r="HRH249" s="26"/>
      <c r="HRL249" s="23"/>
      <c r="HRQ249" s="26"/>
      <c r="HRU249" s="23"/>
      <c r="HRZ249" s="26"/>
      <c r="HSD249" s="23"/>
      <c r="HSI249" s="26"/>
      <c r="HSM249" s="23"/>
      <c r="HSR249" s="26"/>
      <c r="HSV249" s="23"/>
      <c r="HTA249" s="26"/>
      <c r="HTE249" s="23"/>
      <c r="HTJ249" s="26"/>
      <c r="HTN249" s="23"/>
      <c r="HTS249" s="26"/>
      <c r="HTW249" s="23"/>
      <c r="HUB249" s="26"/>
      <c r="HUF249" s="23"/>
      <c r="HUK249" s="26"/>
      <c r="HUO249" s="23"/>
      <c r="HUT249" s="26"/>
      <c r="HUX249" s="23"/>
      <c r="HVC249" s="26"/>
      <c r="HVG249" s="23"/>
      <c r="HVL249" s="26"/>
      <c r="HVP249" s="23"/>
      <c r="HVU249" s="26"/>
      <c r="HVY249" s="23"/>
      <c r="HWD249" s="26"/>
      <c r="HWH249" s="23"/>
      <c r="HWM249" s="26"/>
      <c r="HWQ249" s="23"/>
      <c r="HWV249" s="26"/>
      <c r="HWZ249" s="23"/>
      <c r="HXE249" s="26"/>
      <c r="HXI249" s="23"/>
      <c r="HXN249" s="26"/>
      <c r="HXR249" s="23"/>
      <c r="HXW249" s="26"/>
      <c r="HYA249" s="23"/>
      <c r="HYF249" s="26"/>
      <c r="HYJ249" s="23"/>
      <c r="HYO249" s="26"/>
      <c r="HYS249" s="23"/>
      <c r="HYX249" s="26"/>
      <c r="HZB249" s="23"/>
      <c r="HZG249" s="26"/>
      <c r="HZK249" s="23"/>
      <c r="HZP249" s="26"/>
      <c r="HZT249" s="23"/>
      <c r="HZY249" s="26"/>
      <c r="IAC249" s="23"/>
      <c r="IAH249" s="26"/>
      <c r="IAL249" s="23"/>
      <c r="IAQ249" s="26"/>
      <c r="IAU249" s="23"/>
      <c r="IAZ249" s="26"/>
      <c r="IBD249" s="23"/>
      <c r="IBI249" s="26"/>
      <c r="IBM249" s="23"/>
      <c r="IBR249" s="26"/>
      <c r="IBV249" s="23"/>
      <c r="ICA249" s="26"/>
      <c r="ICE249" s="23"/>
      <c r="ICJ249" s="26"/>
      <c r="ICN249" s="23"/>
      <c r="ICS249" s="26"/>
      <c r="ICW249" s="23"/>
      <c r="IDB249" s="26"/>
      <c r="IDF249" s="23"/>
      <c r="IDK249" s="26"/>
      <c r="IDO249" s="23"/>
      <c r="IDT249" s="26"/>
      <c r="IDX249" s="23"/>
      <c r="IEC249" s="26"/>
      <c r="IEG249" s="23"/>
      <c r="IEL249" s="26"/>
      <c r="IEP249" s="23"/>
      <c r="IEU249" s="26"/>
      <c r="IEY249" s="23"/>
      <c r="IFD249" s="26"/>
      <c r="IFH249" s="23"/>
      <c r="IFM249" s="26"/>
      <c r="IFQ249" s="23"/>
      <c r="IFV249" s="26"/>
      <c r="IFZ249" s="23"/>
      <c r="IGE249" s="26"/>
      <c r="IGI249" s="23"/>
      <c r="IGN249" s="26"/>
      <c r="IGR249" s="23"/>
      <c r="IGW249" s="26"/>
      <c r="IHA249" s="23"/>
      <c r="IHF249" s="26"/>
      <c r="IHJ249" s="23"/>
      <c r="IHO249" s="26"/>
      <c r="IHS249" s="23"/>
      <c r="IHX249" s="26"/>
      <c r="IIB249" s="23"/>
      <c r="IIG249" s="26"/>
      <c r="IIK249" s="23"/>
      <c r="IIP249" s="26"/>
      <c r="IIT249" s="23"/>
      <c r="IIY249" s="26"/>
      <c r="IJC249" s="23"/>
      <c r="IJH249" s="26"/>
      <c r="IJL249" s="23"/>
      <c r="IJQ249" s="26"/>
      <c r="IJU249" s="23"/>
      <c r="IJZ249" s="26"/>
      <c r="IKD249" s="23"/>
      <c r="IKI249" s="26"/>
      <c r="IKM249" s="23"/>
      <c r="IKR249" s="26"/>
      <c r="IKV249" s="23"/>
      <c r="ILA249" s="26"/>
      <c r="ILE249" s="23"/>
      <c r="ILJ249" s="26"/>
      <c r="ILN249" s="23"/>
      <c r="ILS249" s="26"/>
      <c r="ILW249" s="23"/>
      <c r="IMB249" s="26"/>
      <c r="IMF249" s="23"/>
      <c r="IMK249" s="26"/>
      <c r="IMO249" s="23"/>
      <c r="IMT249" s="26"/>
      <c r="IMX249" s="23"/>
      <c r="INC249" s="26"/>
      <c r="ING249" s="23"/>
      <c r="INL249" s="26"/>
      <c r="INP249" s="23"/>
      <c r="INU249" s="26"/>
      <c r="INY249" s="23"/>
      <c r="IOD249" s="26"/>
      <c r="IOH249" s="23"/>
      <c r="IOM249" s="26"/>
      <c r="IOQ249" s="23"/>
      <c r="IOV249" s="26"/>
      <c r="IOZ249" s="23"/>
      <c r="IPE249" s="26"/>
      <c r="IPI249" s="23"/>
      <c r="IPN249" s="26"/>
      <c r="IPR249" s="23"/>
      <c r="IPW249" s="26"/>
      <c r="IQA249" s="23"/>
      <c r="IQF249" s="26"/>
      <c r="IQJ249" s="23"/>
      <c r="IQO249" s="26"/>
      <c r="IQS249" s="23"/>
      <c r="IQX249" s="26"/>
      <c r="IRB249" s="23"/>
      <c r="IRG249" s="26"/>
      <c r="IRK249" s="23"/>
      <c r="IRP249" s="26"/>
      <c r="IRT249" s="23"/>
      <c r="IRY249" s="26"/>
      <c r="ISC249" s="23"/>
      <c r="ISH249" s="26"/>
      <c r="ISL249" s="23"/>
      <c r="ISQ249" s="26"/>
      <c r="ISU249" s="23"/>
      <c r="ISZ249" s="26"/>
      <c r="ITD249" s="23"/>
      <c r="ITI249" s="26"/>
      <c r="ITM249" s="23"/>
      <c r="ITR249" s="26"/>
      <c r="ITV249" s="23"/>
      <c r="IUA249" s="26"/>
      <c r="IUE249" s="23"/>
      <c r="IUJ249" s="26"/>
      <c r="IUN249" s="23"/>
      <c r="IUS249" s="26"/>
      <c r="IUW249" s="23"/>
      <c r="IVB249" s="26"/>
      <c r="IVF249" s="23"/>
      <c r="IVK249" s="26"/>
      <c r="IVO249" s="23"/>
      <c r="IVT249" s="26"/>
      <c r="IVX249" s="23"/>
      <c r="IWC249" s="26"/>
      <c r="IWG249" s="23"/>
      <c r="IWL249" s="26"/>
      <c r="IWP249" s="23"/>
      <c r="IWU249" s="26"/>
      <c r="IWY249" s="23"/>
      <c r="IXD249" s="26"/>
      <c r="IXH249" s="23"/>
      <c r="IXM249" s="26"/>
      <c r="IXQ249" s="23"/>
      <c r="IXV249" s="26"/>
      <c r="IXZ249" s="23"/>
      <c r="IYE249" s="26"/>
      <c r="IYI249" s="23"/>
      <c r="IYN249" s="26"/>
      <c r="IYR249" s="23"/>
      <c r="IYW249" s="26"/>
      <c r="IZA249" s="23"/>
      <c r="IZF249" s="26"/>
      <c r="IZJ249" s="23"/>
      <c r="IZO249" s="26"/>
      <c r="IZS249" s="23"/>
      <c r="IZX249" s="26"/>
      <c r="JAB249" s="23"/>
      <c r="JAG249" s="26"/>
      <c r="JAK249" s="23"/>
      <c r="JAP249" s="26"/>
      <c r="JAT249" s="23"/>
      <c r="JAY249" s="26"/>
      <c r="JBC249" s="23"/>
      <c r="JBH249" s="26"/>
      <c r="JBL249" s="23"/>
      <c r="JBQ249" s="26"/>
      <c r="JBU249" s="23"/>
      <c r="JBZ249" s="26"/>
      <c r="JCD249" s="23"/>
      <c r="JCI249" s="26"/>
      <c r="JCM249" s="23"/>
      <c r="JCR249" s="26"/>
      <c r="JCV249" s="23"/>
      <c r="JDA249" s="26"/>
      <c r="JDE249" s="23"/>
      <c r="JDJ249" s="26"/>
      <c r="JDN249" s="23"/>
      <c r="JDS249" s="26"/>
      <c r="JDW249" s="23"/>
      <c r="JEB249" s="26"/>
      <c r="JEF249" s="23"/>
      <c r="JEK249" s="26"/>
      <c r="JEO249" s="23"/>
      <c r="JET249" s="26"/>
      <c r="JEX249" s="23"/>
      <c r="JFC249" s="26"/>
      <c r="JFG249" s="23"/>
      <c r="JFL249" s="26"/>
      <c r="JFP249" s="23"/>
      <c r="JFU249" s="26"/>
      <c r="JFY249" s="23"/>
      <c r="JGD249" s="26"/>
      <c r="JGH249" s="23"/>
      <c r="JGM249" s="26"/>
      <c r="JGQ249" s="23"/>
      <c r="JGV249" s="26"/>
      <c r="JGZ249" s="23"/>
      <c r="JHE249" s="26"/>
      <c r="JHI249" s="23"/>
      <c r="JHN249" s="26"/>
      <c r="JHR249" s="23"/>
      <c r="JHW249" s="26"/>
      <c r="JIA249" s="23"/>
      <c r="JIF249" s="26"/>
      <c r="JIJ249" s="23"/>
      <c r="JIO249" s="26"/>
      <c r="JIS249" s="23"/>
      <c r="JIX249" s="26"/>
      <c r="JJB249" s="23"/>
      <c r="JJG249" s="26"/>
      <c r="JJK249" s="23"/>
      <c r="JJP249" s="26"/>
      <c r="JJT249" s="23"/>
      <c r="JJY249" s="26"/>
      <c r="JKC249" s="23"/>
      <c r="JKH249" s="26"/>
      <c r="JKL249" s="23"/>
      <c r="JKQ249" s="26"/>
      <c r="JKU249" s="23"/>
      <c r="JKZ249" s="26"/>
      <c r="JLD249" s="23"/>
      <c r="JLI249" s="26"/>
      <c r="JLM249" s="23"/>
      <c r="JLR249" s="26"/>
      <c r="JLV249" s="23"/>
      <c r="JMA249" s="26"/>
      <c r="JME249" s="23"/>
      <c r="JMJ249" s="26"/>
      <c r="JMN249" s="23"/>
      <c r="JMS249" s="26"/>
      <c r="JMW249" s="23"/>
      <c r="JNB249" s="26"/>
      <c r="JNF249" s="23"/>
      <c r="JNK249" s="26"/>
      <c r="JNO249" s="23"/>
      <c r="JNT249" s="26"/>
      <c r="JNX249" s="23"/>
      <c r="JOC249" s="26"/>
      <c r="JOG249" s="23"/>
      <c r="JOL249" s="26"/>
      <c r="JOP249" s="23"/>
      <c r="JOU249" s="26"/>
      <c r="JOY249" s="23"/>
      <c r="JPD249" s="26"/>
      <c r="JPH249" s="23"/>
      <c r="JPM249" s="26"/>
      <c r="JPQ249" s="23"/>
      <c r="JPV249" s="26"/>
      <c r="JPZ249" s="23"/>
      <c r="JQE249" s="26"/>
      <c r="JQI249" s="23"/>
      <c r="JQN249" s="26"/>
      <c r="JQR249" s="23"/>
      <c r="JQW249" s="26"/>
      <c r="JRA249" s="23"/>
      <c r="JRF249" s="26"/>
      <c r="JRJ249" s="23"/>
      <c r="JRO249" s="26"/>
      <c r="JRS249" s="23"/>
      <c r="JRX249" s="26"/>
      <c r="JSB249" s="23"/>
      <c r="JSG249" s="26"/>
      <c r="JSK249" s="23"/>
      <c r="JSP249" s="26"/>
      <c r="JST249" s="23"/>
      <c r="JSY249" s="26"/>
      <c r="JTC249" s="23"/>
      <c r="JTH249" s="26"/>
      <c r="JTL249" s="23"/>
      <c r="JTQ249" s="26"/>
      <c r="JTU249" s="23"/>
      <c r="JTZ249" s="26"/>
      <c r="JUD249" s="23"/>
      <c r="JUI249" s="26"/>
      <c r="JUM249" s="23"/>
      <c r="JUR249" s="26"/>
      <c r="JUV249" s="23"/>
      <c r="JVA249" s="26"/>
      <c r="JVE249" s="23"/>
      <c r="JVJ249" s="26"/>
      <c r="JVN249" s="23"/>
      <c r="JVS249" s="26"/>
      <c r="JVW249" s="23"/>
      <c r="JWB249" s="26"/>
      <c r="JWF249" s="23"/>
      <c r="JWK249" s="26"/>
      <c r="JWO249" s="23"/>
      <c r="JWT249" s="26"/>
      <c r="JWX249" s="23"/>
      <c r="JXC249" s="26"/>
      <c r="JXG249" s="23"/>
      <c r="JXL249" s="26"/>
      <c r="JXP249" s="23"/>
      <c r="JXU249" s="26"/>
      <c r="JXY249" s="23"/>
      <c r="JYD249" s="26"/>
      <c r="JYH249" s="23"/>
      <c r="JYM249" s="26"/>
      <c r="JYQ249" s="23"/>
      <c r="JYV249" s="26"/>
      <c r="JYZ249" s="23"/>
      <c r="JZE249" s="26"/>
      <c r="JZI249" s="23"/>
      <c r="JZN249" s="26"/>
      <c r="JZR249" s="23"/>
      <c r="JZW249" s="26"/>
      <c r="KAA249" s="23"/>
      <c r="KAF249" s="26"/>
      <c r="KAJ249" s="23"/>
      <c r="KAO249" s="26"/>
      <c r="KAS249" s="23"/>
      <c r="KAX249" s="26"/>
      <c r="KBB249" s="23"/>
      <c r="KBG249" s="26"/>
      <c r="KBK249" s="23"/>
      <c r="KBP249" s="26"/>
      <c r="KBT249" s="23"/>
      <c r="KBY249" s="26"/>
      <c r="KCC249" s="23"/>
      <c r="KCH249" s="26"/>
      <c r="KCL249" s="23"/>
      <c r="KCQ249" s="26"/>
      <c r="KCU249" s="23"/>
      <c r="KCZ249" s="26"/>
      <c r="KDD249" s="23"/>
      <c r="KDI249" s="26"/>
      <c r="KDM249" s="23"/>
      <c r="KDR249" s="26"/>
      <c r="KDV249" s="23"/>
      <c r="KEA249" s="26"/>
      <c r="KEE249" s="23"/>
      <c r="KEJ249" s="26"/>
      <c r="KEN249" s="23"/>
      <c r="KES249" s="26"/>
      <c r="KEW249" s="23"/>
      <c r="KFB249" s="26"/>
      <c r="KFF249" s="23"/>
      <c r="KFK249" s="26"/>
      <c r="KFO249" s="23"/>
      <c r="KFT249" s="26"/>
      <c r="KFX249" s="23"/>
      <c r="KGC249" s="26"/>
      <c r="KGG249" s="23"/>
      <c r="KGL249" s="26"/>
      <c r="KGP249" s="23"/>
      <c r="KGU249" s="26"/>
      <c r="KGY249" s="23"/>
      <c r="KHD249" s="26"/>
      <c r="KHH249" s="23"/>
      <c r="KHM249" s="26"/>
      <c r="KHQ249" s="23"/>
      <c r="KHV249" s="26"/>
      <c r="KHZ249" s="23"/>
      <c r="KIE249" s="26"/>
      <c r="KII249" s="23"/>
      <c r="KIN249" s="26"/>
      <c r="KIR249" s="23"/>
      <c r="KIW249" s="26"/>
      <c r="KJA249" s="23"/>
      <c r="KJF249" s="26"/>
      <c r="KJJ249" s="23"/>
      <c r="KJO249" s="26"/>
      <c r="KJS249" s="23"/>
      <c r="KJX249" s="26"/>
      <c r="KKB249" s="23"/>
      <c r="KKG249" s="26"/>
      <c r="KKK249" s="23"/>
      <c r="KKP249" s="26"/>
      <c r="KKT249" s="23"/>
      <c r="KKY249" s="26"/>
      <c r="KLC249" s="23"/>
      <c r="KLH249" s="26"/>
      <c r="KLL249" s="23"/>
      <c r="KLQ249" s="26"/>
      <c r="KLU249" s="23"/>
      <c r="KLZ249" s="26"/>
      <c r="KMD249" s="23"/>
      <c r="KMI249" s="26"/>
      <c r="KMM249" s="23"/>
      <c r="KMR249" s="26"/>
      <c r="KMV249" s="23"/>
      <c r="KNA249" s="26"/>
      <c r="KNE249" s="23"/>
      <c r="KNJ249" s="26"/>
      <c r="KNN249" s="23"/>
      <c r="KNS249" s="26"/>
      <c r="KNW249" s="23"/>
      <c r="KOB249" s="26"/>
      <c r="KOF249" s="23"/>
      <c r="KOK249" s="26"/>
      <c r="KOO249" s="23"/>
      <c r="KOT249" s="26"/>
      <c r="KOX249" s="23"/>
      <c r="KPC249" s="26"/>
      <c r="KPG249" s="23"/>
      <c r="KPL249" s="26"/>
      <c r="KPP249" s="23"/>
      <c r="KPU249" s="26"/>
      <c r="KPY249" s="23"/>
      <c r="KQD249" s="26"/>
      <c r="KQH249" s="23"/>
      <c r="KQM249" s="26"/>
      <c r="KQQ249" s="23"/>
      <c r="KQV249" s="26"/>
      <c r="KQZ249" s="23"/>
      <c r="KRE249" s="26"/>
      <c r="KRI249" s="23"/>
      <c r="KRN249" s="26"/>
      <c r="KRR249" s="23"/>
      <c r="KRW249" s="26"/>
      <c r="KSA249" s="23"/>
      <c r="KSF249" s="26"/>
      <c r="KSJ249" s="23"/>
      <c r="KSO249" s="26"/>
      <c r="KSS249" s="23"/>
      <c r="KSX249" s="26"/>
      <c r="KTB249" s="23"/>
      <c r="KTG249" s="26"/>
      <c r="KTK249" s="23"/>
      <c r="KTP249" s="26"/>
      <c r="KTT249" s="23"/>
      <c r="KTY249" s="26"/>
      <c r="KUC249" s="23"/>
      <c r="KUH249" s="26"/>
      <c r="KUL249" s="23"/>
      <c r="KUQ249" s="26"/>
      <c r="KUU249" s="23"/>
      <c r="KUZ249" s="26"/>
      <c r="KVD249" s="23"/>
      <c r="KVI249" s="26"/>
      <c r="KVM249" s="23"/>
      <c r="KVR249" s="26"/>
      <c r="KVV249" s="23"/>
      <c r="KWA249" s="26"/>
      <c r="KWE249" s="23"/>
      <c r="KWJ249" s="26"/>
      <c r="KWN249" s="23"/>
      <c r="KWS249" s="26"/>
      <c r="KWW249" s="23"/>
      <c r="KXB249" s="26"/>
      <c r="KXF249" s="23"/>
      <c r="KXK249" s="26"/>
      <c r="KXO249" s="23"/>
      <c r="KXT249" s="26"/>
      <c r="KXX249" s="23"/>
      <c r="KYC249" s="26"/>
      <c r="KYG249" s="23"/>
      <c r="KYL249" s="26"/>
      <c r="KYP249" s="23"/>
      <c r="KYU249" s="26"/>
      <c r="KYY249" s="23"/>
      <c r="KZD249" s="26"/>
      <c r="KZH249" s="23"/>
      <c r="KZM249" s="26"/>
      <c r="KZQ249" s="23"/>
      <c r="KZV249" s="26"/>
      <c r="KZZ249" s="23"/>
      <c r="LAE249" s="26"/>
      <c r="LAI249" s="23"/>
      <c r="LAN249" s="26"/>
      <c r="LAR249" s="23"/>
      <c r="LAW249" s="26"/>
      <c r="LBA249" s="23"/>
      <c r="LBF249" s="26"/>
      <c r="LBJ249" s="23"/>
      <c r="LBO249" s="26"/>
      <c r="LBS249" s="23"/>
      <c r="LBX249" s="26"/>
      <c r="LCB249" s="23"/>
      <c r="LCG249" s="26"/>
      <c r="LCK249" s="23"/>
      <c r="LCP249" s="26"/>
      <c r="LCT249" s="23"/>
      <c r="LCY249" s="26"/>
      <c r="LDC249" s="23"/>
      <c r="LDH249" s="26"/>
      <c r="LDL249" s="23"/>
      <c r="LDQ249" s="26"/>
      <c r="LDU249" s="23"/>
      <c r="LDZ249" s="26"/>
      <c r="LED249" s="23"/>
      <c r="LEI249" s="26"/>
      <c r="LEM249" s="23"/>
      <c r="LER249" s="26"/>
      <c r="LEV249" s="23"/>
      <c r="LFA249" s="26"/>
      <c r="LFE249" s="23"/>
      <c r="LFJ249" s="26"/>
      <c r="LFN249" s="23"/>
      <c r="LFS249" s="26"/>
      <c r="LFW249" s="23"/>
      <c r="LGB249" s="26"/>
      <c r="LGF249" s="23"/>
      <c r="LGK249" s="26"/>
      <c r="LGO249" s="23"/>
      <c r="LGT249" s="26"/>
      <c r="LGX249" s="23"/>
      <c r="LHC249" s="26"/>
      <c r="LHG249" s="23"/>
      <c r="LHL249" s="26"/>
      <c r="LHP249" s="23"/>
      <c r="LHU249" s="26"/>
      <c r="LHY249" s="23"/>
      <c r="LID249" s="26"/>
      <c r="LIH249" s="23"/>
      <c r="LIM249" s="26"/>
      <c r="LIQ249" s="23"/>
      <c r="LIV249" s="26"/>
      <c r="LIZ249" s="23"/>
      <c r="LJE249" s="26"/>
      <c r="LJI249" s="23"/>
      <c r="LJN249" s="26"/>
      <c r="LJR249" s="23"/>
      <c r="LJW249" s="26"/>
      <c r="LKA249" s="23"/>
      <c r="LKF249" s="26"/>
      <c r="LKJ249" s="23"/>
      <c r="LKO249" s="26"/>
      <c r="LKS249" s="23"/>
      <c r="LKX249" s="26"/>
      <c r="LLB249" s="23"/>
      <c r="LLG249" s="26"/>
      <c r="LLK249" s="23"/>
      <c r="LLP249" s="26"/>
      <c r="LLT249" s="23"/>
      <c r="LLY249" s="26"/>
      <c r="LMC249" s="23"/>
      <c r="LMH249" s="26"/>
      <c r="LML249" s="23"/>
      <c r="LMQ249" s="26"/>
      <c r="LMU249" s="23"/>
      <c r="LMZ249" s="26"/>
      <c r="LND249" s="23"/>
      <c r="LNI249" s="26"/>
      <c r="LNM249" s="23"/>
      <c r="LNR249" s="26"/>
      <c r="LNV249" s="23"/>
      <c r="LOA249" s="26"/>
      <c r="LOE249" s="23"/>
      <c r="LOJ249" s="26"/>
      <c r="LON249" s="23"/>
      <c r="LOS249" s="26"/>
      <c r="LOW249" s="23"/>
      <c r="LPB249" s="26"/>
      <c r="LPF249" s="23"/>
      <c r="LPK249" s="26"/>
      <c r="LPO249" s="23"/>
      <c r="LPT249" s="26"/>
      <c r="LPX249" s="23"/>
      <c r="LQC249" s="26"/>
      <c r="LQG249" s="23"/>
      <c r="LQL249" s="26"/>
      <c r="LQP249" s="23"/>
      <c r="LQU249" s="26"/>
      <c r="LQY249" s="23"/>
      <c r="LRD249" s="26"/>
      <c r="LRH249" s="23"/>
      <c r="LRM249" s="26"/>
      <c r="LRQ249" s="23"/>
      <c r="LRV249" s="26"/>
      <c r="LRZ249" s="23"/>
      <c r="LSE249" s="26"/>
      <c r="LSI249" s="23"/>
      <c r="LSN249" s="26"/>
      <c r="LSR249" s="23"/>
      <c r="LSW249" s="26"/>
      <c r="LTA249" s="23"/>
      <c r="LTF249" s="26"/>
      <c r="LTJ249" s="23"/>
      <c r="LTO249" s="26"/>
      <c r="LTS249" s="23"/>
      <c r="LTX249" s="26"/>
      <c r="LUB249" s="23"/>
      <c r="LUG249" s="26"/>
      <c r="LUK249" s="23"/>
      <c r="LUP249" s="26"/>
      <c r="LUT249" s="23"/>
      <c r="LUY249" s="26"/>
      <c r="LVC249" s="23"/>
      <c r="LVH249" s="26"/>
      <c r="LVL249" s="23"/>
      <c r="LVQ249" s="26"/>
      <c r="LVU249" s="23"/>
      <c r="LVZ249" s="26"/>
      <c r="LWD249" s="23"/>
      <c r="LWI249" s="26"/>
      <c r="LWM249" s="23"/>
      <c r="LWR249" s="26"/>
      <c r="LWV249" s="23"/>
      <c r="LXA249" s="26"/>
      <c r="LXE249" s="23"/>
      <c r="LXJ249" s="26"/>
      <c r="LXN249" s="23"/>
      <c r="LXS249" s="26"/>
      <c r="LXW249" s="23"/>
      <c r="LYB249" s="26"/>
      <c r="LYF249" s="23"/>
      <c r="LYK249" s="26"/>
      <c r="LYO249" s="23"/>
      <c r="LYT249" s="26"/>
      <c r="LYX249" s="23"/>
      <c r="LZC249" s="26"/>
      <c r="LZG249" s="23"/>
      <c r="LZL249" s="26"/>
      <c r="LZP249" s="23"/>
      <c r="LZU249" s="26"/>
      <c r="LZY249" s="23"/>
      <c r="MAD249" s="26"/>
      <c r="MAH249" s="23"/>
      <c r="MAM249" s="26"/>
      <c r="MAQ249" s="23"/>
      <c r="MAV249" s="26"/>
      <c r="MAZ249" s="23"/>
      <c r="MBE249" s="26"/>
      <c r="MBI249" s="23"/>
      <c r="MBN249" s="26"/>
      <c r="MBR249" s="23"/>
      <c r="MBW249" s="26"/>
      <c r="MCA249" s="23"/>
      <c r="MCF249" s="26"/>
      <c r="MCJ249" s="23"/>
      <c r="MCO249" s="26"/>
      <c r="MCS249" s="23"/>
      <c r="MCX249" s="26"/>
      <c r="MDB249" s="23"/>
      <c r="MDG249" s="26"/>
      <c r="MDK249" s="23"/>
      <c r="MDP249" s="26"/>
      <c r="MDT249" s="23"/>
      <c r="MDY249" s="26"/>
      <c r="MEC249" s="23"/>
      <c r="MEH249" s="26"/>
      <c r="MEL249" s="23"/>
      <c r="MEQ249" s="26"/>
      <c r="MEU249" s="23"/>
      <c r="MEZ249" s="26"/>
      <c r="MFD249" s="23"/>
      <c r="MFI249" s="26"/>
      <c r="MFM249" s="23"/>
      <c r="MFR249" s="26"/>
      <c r="MFV249" s="23"/>
      <c r="MGA249" s="26"/>
      <c r="MGE249" s="23"/>
      <c r="MGJ249" s="26"/>
      <c r="MGN249" s="23"/>
      <c r="MGS249" s="26"/>
      <c r="MGW249" s="23"/>
      <c r="MHB249" s="26"/>
      <c r="MHF249" s="23"/>
      <c r="MHK249" s="26"/>
      <c r="MHO249" s="23"/>
      <c r="MHT249" s="26"/>
      <c r="MHX249" s="23"/>
      <c r="MIC249" s="26"/>
      <c r="MIG249" s="23"/>
      <c r="MIL249" s="26"/>
      <c r="MIP249" s="23"/>
      <c r="MIU249" s="26"/>
      <c r="MIY249" s="23"/>
      <c r="MJD249" s="26"/>
      <c r="MJH249" s="23"/>
      <c r="MJM249" s="26"/>
      <c r="MJQ249" s="23"/>
      <c r="MJV249" s="26"/>
      <c r="MJZ249" s="23"/>
      <c r="MKE249" s="26"/>
      <c r="MKI249" s="23"/>
      <c r="MKN249" s="26"/>
      <c r="MKR249" s="23"/>
      <c r="MKW249" s="26"/>
      <c r="MLA249" s="23"/>
      <c r="MLF249" s="26"/>
      <c r="MLJ249" s="23"/>
      <c r="MLO249" s="26"/>
      <c r="MLS249" s="23"/>
      <c r="MLX249" s="26"/>
      <c r="MMB249" s="23"/>
      <c r="MMG249" s="26"/>
      <c r="MMK249" s="23"/>
      <c r="MMP249" s="26"/>
      <c r="MMT249" s="23"/>
      <c r="MMY249" s="26"/>
      <c r="MNC249" s="23"/>
      <c r="MNH249" s="26"/>
      <c r="MNL249" s="23"/>
      <c r="MNQ249" s="26"/>
      <c r="MNU249" s="23"/>
      <c r="MNZ249" s="26"/>
      <c r="MOD249" s="23"/>
      <c r="MOI249" s="26"/>
      <c r="MOM249" s="23"/>
      <c r="MOR249" s="26"/>
      <c r="MOV249" s="23"/>
      <c r="MPA249" s="26"/>
      <c r="MPE249" s="23"/>
      <c r="MPJ249" s="26"/>
      <c r="MPN249" s="23"/>
      <c r="MPS249" s="26"/>
      <c r="MPW249" s="23"/>
      <c r="MQB249" s="26"/>
      <c r="MQF249" s="23"/>
      <c r="MQK249" s="26"/>
      <c r="MQO249" s="23"/>
      <c r="MQT249" s="26"/>
      <c r="MQX249" s="23"/>
      <c r="MRC249" s="26"/>
      <c r="MRG249" s="23"/>
      <c r="MRL249" s="26"/>
      <c r="MRP249" s="23"/>
      <c r="MRU249" s="26"/>
      <c r="MRY249" s="23"/>
      <c r="MSD249" s="26"/>
      <c r="MSH249" s="23"/>
      <c r="MSM249" s="26"/>
      <c r="MSQ249" s="23"/>
      <c r="MSV249" s="26"/>
      <c r="MSZ249" s="23"/>
      <c r="MTE249" s="26"/>
      <c r="MTI249" s="23"/>
      <c r="MTN249" s="26"/>
      <c r="MTR249" s="23"/>
      <c r="MTW249" s="26"/>
      <c r="MUA249" s="23"/>
      <c r="MUF249" s="26"/>
      <c r="MUJ249" s="23"/>
      <c r="MUO249" s="26"/>
      <c r="MUS249" s="23"/>
      <c r="MUX249" s="26"/>
      <c r="MVB249" s="23"/>
      <c r="MVG249" s="26"/>
      <c r="MVK249" s="23"/>
      <c r="MVP249" s="26"/>
      <c r="MVT249" s="23"/>
      <c r="MVY249" s="26"/>
      <c r="MWC249" s="23"/>
      <c r="MWH249" s="26"/>
      <c r="MWL249" s="23"/>
      <c r="MWQ249" s="26"/>
      <c r="MWU249" s="23"/>
      <c r="MWZ249" s="26"/>
      <c r="MXD249" s="23"/>
      <c r="MXI249" s="26"/>
      <c r="MXM249" s="23"/>
      <c r="MXR249" s="26"/>
      <c r="MXV249" s="23"/>
      <c r="MYA249" s="26"/>
      <c r="MYE249" s="23"/>
      <c r="MYJ249" s="26"/>
      <c r="MYN249" s="23"/>
      <c r="MYS249" s="26"/>
      <c r="MYW249" s="23"/>
      <c r="MZB249" s="26"/>
      <c r="MZF249" s="23"/>
      <c r="MZK249" s="26"/>
      <c r="MZO249" s="23"/>
      <c r="MZT249" s="26"/>
      <c r="MZX249" s="23"/>
      <c r="NAC249" s="26"/>
      <c r="NAG249" s="23"/>
      <c r="NAL249" s="26"/>
      <c r="NAP249" s="23"/>
      <c r="NAU249" s="26"/>
      <c r="NAY249" s="23"/>
      <c r="NBD249" s="26"/>
      <c r="NBH249" s="23"/>
      <c r="NBM249" s="26"/>
      <c r="NBQ249" s="23"/>
      <c r="NBV249" s="26"/>
      <c r="NBZ249" s="23"/>
      <c r="NCE249" s="26"/>
      <c r="NCI249" s="23"/>
      <c r="NCN249" s="26"/>
      <c r="NCR249" s="23"/>
      <c r="NCW249" s="26"/>
      <c r="NDA249" s="23"/>
      <c r="NDF249" s="26"/>
      <c r="NDJ249" s="23"/>
      <c r="NDO249" s="26"/>
      <c r="NDS249" s="23"/>
      <c r="NDX249" s="26"/>
      <c r="NEB249" s="23"/>
      <c r="NEG249" s="26"/>
      <c r="NEK249" s="23"/>
      <c r="NEP249" s="26"/>
      <c r="NET249" s="23"/>
      <c r="NEY249" s="26"/>
      <c r="NFC249" s="23"/>
      <c r="NFH249" s="26"/>
      <c r="NFL249" s="23"/>
      <c r="NFQ249" s="26"/>
      <c r="NFU249" s="23"/>
      <c r="NFZ249" s="26"/>
      <c r="NGD249" s="23"/>
      <c r="NGI249" s="26"/>
      <c r="NGM249" s="23"/>
      <c r="NGR249" s="26"/>
      <c r="NGV249" s="23"/>
      <c r="NHA249" s="26"/>
      <c r="NHE249" s="23"/>
      <c r="NHJ249" s="26"/>
      <c r="NHN249" s="23"/>
      <c r="NHS249" s="26"/>
      <c r="NHW249" s="23"/>
      <c r="NIB249" s="26"/>
      <c r="NIF249" s="23"/>
      <c r="NIK249" s="26"/>
      <c r="NIO249" s="23"/>
      <c r="NIT249" s="26"/>
      <c r="NIX249" s="23"/>
      <c r="NJC249" s="26"/>
      <c r="NJG249" s="23"/>
      <c r="NJL249" s="26"/>
      <c r="NJP249" s="23"/>
      <c r="NJU249" s="26"/>
      <c r="NJY249" s="23"/>
      <c r="NKD249" s="26"/>
      <c r="NKH249" s="23"/>
      <c r="NKM249" s="26"/>
      <c r="NKQ249" s="23"/>
      <c r="NKV249" s="26"/>
      <c r="NKZ249" s="23"/>
      <c r="NLE249" s="26"/>
      <c r="NLI249" s="23"/>
      <c r="NLN249" s="26"/>
      <c r="NLR249" s="23"/>
      <c r="NLW249" s="26"/>
      <c r="NMA249" s="23"/>
      <c r="NMF249" s="26"/>
      <c r="NMJ249" s="23"/>
      <c r="NMO249" s="26"/>
      <c r="NMS249" s="23"/>
      <c r="NMX249" s="26"/>
      <c r="NNB249" s="23"/>
      <c r="NNG249" s="26"/>
      <c r="NNK249" s="23"/>
      <c r="NNP249" s="26"/>
      <c r="NNT249" s="23"/>
      <c r="NNY249" s="26"/>
      <c r="NOC249" s="23"/>
      <c r="NOH249" s="26"/>
      <c r="NOL249" s="23"/>
      <c r="NOQ249" s="26"/>
      <c r="NOU249" s="23"/>
      <c r="NOZ249" s="26"/>
      <c r="NPD249" s="23"/>
      <c r="NPI249" s="26"/>
      <c r="NPM249" s="23"/>
      <c r="NPR249" s="26"/>
      <c r="NPV249" s="23"/>
      <c r="NQA249" s="26"/>
      <c r="NQE249" s="23"/>
      <c r="NQJ249" s="26"/>
      <c r="NQN249" s="23"/>
      <c r="NQS249" s="26"/>
      <c r="NQW249" s="23"/>
      <c r="NRB249" s="26"/>
      <c r="NRF249" s="23"/>
      <c r="NRK249" s="26"/>
      <c r="NRO249" s="23"/>
      <c r="NRT249" s="26"/>
      <c r="NRX249" s="23"/>
      <c r="NSC249" s="26"/>
      <c r="NSG249" s="23"/>
      <c r="NSL249" s="26"/>
      <c r="NSP249" s="23"/>
      <c r="NSU249" s="26"/>
      <c r="NSY249" s="23"/>
      <c r="NTD249" s="26"/>
      <c r="NTH249" s="23"/>
      <c r="NTM249" s="26"/>
      <c r="NTQ249" s="23"/>
      <c r="NTV249" s="26"/>
      <c r="NTZ249" s="23"/>
      <c r="NUE249" s="26"/>
      <c r="NUI249" s="23"/>
      <c r="NUN249" s="26"/>
      <c r="NUR249" s="23"/>
      <c r="NUW249" s="26"/>
      <c r="NVA249" s="23"/>
      <c r="NVF249" s="26"/>
      <c r="NVJ249" s="23"/>
      <c r="NVO249" s="26"/>
      <c r="NVS249" s="23"/>
      <c r="NVX249" s="26"/>
      <c r="NWB249" s="23"/>
      <c r="NWG249" s="26"/>
      <c r="NWK249" s="23"/>
      <c r="NWP249" s="26"/>
      <c r="NWT249" s="23"/>
      <c r="NWY249" s="26"/>
      <c r="NXC249" s="23"/>
      <c r="NXH249" s="26"/>
      <c r="NXL249" s="23"/>
      <c r="NXQ249" s="26"/>
      <c r="NXU249" s="23"/>
      <c r="NXZ249" s="26"/>
      <c r="NYD249" s="23"/>
      <c r="NYI249" s="26"/>
      <c r="NYM249" s="23"/>
      <c r="NYR249" s="26"/>
      <c r="NYV249" s="23"/>
      <c r="NZA249" s="26"/>
      <c r="NZE249" s="23"/>
      <c r="NZJ249" s="26"/>
      <c r="NZN249" s="23"/>
      <c r="NZS249" s="26"/>
      <c r="NZW249" s="23"/>
      <c r="OAB249" s="26"/>
      <c r="OAF249" s="23"/>
      <c r="OAK249" s="26"/>
      <c r="OAO249" s="23"/>
      <c r="OAT249" s="26"/>
      <c r="OAX249" s="23"/>
      <c r="OBC249" s="26"/>
      <c r="OBG249" s="23"/>
      <c r="OBL249" s="26"/>
      <c r="OBP249" s="23"/>
      <c r="OBU249" s="26"/>
      <c r="OBY249" s="23"/>
      <c r="OCD249" s="26"/>
      <c r="OCH249" s="23"/>
      <c r="OCM249" s="26"/>
      <c r="OCQ249" s="23"/>
      <c r="OCV249" s="26"/>
      <c r="OCZ249" s="23"/>
      <c r="ODE249" s="26"/>
      <c r="ODI249" s="23"/>
      <c r="ODN249" s="26"/>
      <c r="ODR249" s="23"/>
      <c r="ODW249" s="26"/>
      <c r="OEA249" s="23"/>
      <c r="OEF249" s="26"/>
      <c r="OEJ249" s="23"/>
      <c r="OEO249" s="26"/>
      <c r="OES249" s="23"/>
      <c r="OEX249" s="26"/>
      <c r="OFB249" s="23"/>
      <c r="OFG249" s="26"/>
      <c r="OFK249" s="23"/>
      <c r="OFP249" s="26"/>
      <c r="OFT249" s="23"/>
      <c r="OFY249" s="26"/>
      <c r="OGC249" s="23"/>
      <c r="OGH249" s="26"/>
      <c r="OGL249" s="23"/>
      <c r="OGQ249" s="26"/>
      <c r="OGU249" s="23"/>
      <c r="OGZ249" s="26"/>
      <c r="OHD249" s="23"/>
      <c r="OHI249" s="26"/>
      <c r="OHM249" s="23"/>
      <c r="OHR249" s="26"/>
      <c r="OHV249" s="23"/>
      <c r="OIA249" s="26"/>
      <c r="OIE249" s="23"/>
      <c r="OIJ249" s="26"/>
      <c r="OIN249" s="23"/>
      <c r="OIS249" s="26"/>
      <c r="OIW249" s="23"/>
      <c r="OJB249" s="26"/>
      <c r="OJF249" s="23"/>
      <c r="OJK249" s="26"/>
      <c r="OJO249" s="23"/>
      <c r="OJT249" s="26"/>
      <c r="OJX249" s="23"/>
      <c r="OKC249" s="26"/>
      <c r="OKG249" s="23"/>
      <c r="OKL249" s="26"/>
      <c r="OKP249" s="23"/>
      <c r="OKU249" s="26"/>
      <c r="OKY249" s="23"/>
      <c r="OLD249" s="26"/>
      <c r="OLH249" s="23"/>
      <c r="OLM249" s="26"/>
      <c r="OLQ249" s="23"/>
      <c r="OLV249" s="26"/>
      <c r="OLZ249" s="23"/>
      <c r="OME249" s="26"/>
      <c r="OMI249" s="23"/>
      <c r="OMN249" s="26"/>
      <c r="OMR249" s="23"/>
      <c r="OMW249" s="26"/>
      <c r="ONA249" s="23"/>
      <c r="ONF249" s="26"/>
      <c r="ONJ249" s="23"/>
      <c r="ONO249" s="26"/>
      <c r="ONS249" s="23"/>
      <c r="ONX249" s="26"/>
      <c r="OOB249" s="23"/>
      <c r="OOG249" s="26"/>
      <c r="OOK249" s="23"/>
      <c r="OOP249" s="26"/>
      <c r="OOT249" s="23"/>
      <c r="OOY249" s="26"/>
      <c r="OPC249" s="23"/>
      <c r="OPH249" s="26"/>
      <c r="OPL249" s="23"/>
      <c r="OPQ249" s="26"/>
      <c r="OPU249" s="23"/>
      <c r="OPZ249" s="26"/>
      <c r="OQD249" s="23"/>
      <c r="OQI249" s="26"/>
      <c r="OQM249" s="23"/>
      <c r="OQR249" s="26"/>
      <c r="OQV249" s="23"/>
      <c r="ORA249" s="26"/>
      <c r="ORE249" s="23"/>
      <c r="ORJ249" s="26"/>
      <c r="ORN249" s="23"/>
      <c r="ORS249" s="26"/>
      <c r="ORW249" s="23"/>
      <c r="OSB249" s="26"/>
      <c r="OSF249" s="23"/>
      <c r="OSK249" s="26"/>
      <c r="OSO249" s="23"/>
      <c r="OST249" s="26"/>
      <c r="OSX249" s="23"/>
      <c r="OTC249" s="26"/>
      <c r="OTG249" s="23"/>
      <c r="OTL249" s="26"/>
      <c r="OTP249" s="23"/>
      <c r="OTU249" s="26"/>
      <c r="OTY249" s="23"/>
      <c r="OUD249" s="26"/>
      <c r="OUH249" s="23"/>
      <c r="OUM249" s="26"/>
      <c r="OUQ249" s="23"/>
      <c r="OUV249" s="26"/>
      <c r="OUZ249" s="23"/>
      <c r="OVE249" s="26"/>
      <c r="OVI249" s="23"/>
      <c r="OVN249" s="26"/>
      <c r="OVR249" s="23"/>
      <c r="OVW249" s="26"/>
      <c r="OWA249" s="23"/>
      <c r="OWF249" s="26"/>
      <c r="OWJ249" s="23"/>
      <c r="OWO249" s="26"/>
      <c r="OWS249" s="23"/>
      <c r="OWX249" s="26"/>
      <c r="OXB249" s="23"/>
      <c r="OXG249" s="26"/>
      <c r="OXK249" s="23"/>
      <c r="OXP249" s="26"/>
      <c r="OXT249" s="23"/>
      <c r="OXY249" s="26"/>
      <c r="OYC249" s="23"/>
      <c r="OYH249" s="26"/>
      <c r="OYL249" s="23"/>
      <c r="OYQ249" s="26"/>
      <c r="OYU249" s="23"/>
      <c r="OYZ249" s="26"/>
      <c r="OZD249" s="23"/>
      <c r="OZI249" s="26"/>
      <c r="OZM249" s="23"/>
      <c r="OZR249" s="26"/>
      <c r="OZV249" s="23"/>
      <c r="PAA249" s="26"/>
      <c r="PAE249" s="23"/>
      <c r="PAJ249" s="26"/>
      <c r="PAN249" s="23"/>
      <c r="PAS249" s="26"/>
      <c r="PAW249" s="23"/>
      <c r="PBB249" s="26"/>
      <c r="PBF249" s="23"/>
      <c r="PBK249" s="26"/>
      <c r="PBO249" s="23"/>
      <c r="PBT249" s="26"/>
      <c r="PBX249" s="23"/>
      <c r="PCC249" s="26"/>
      <c r="PCG249" s="23"/>
      <c r="PCL249" s="26"/>
      <c r="PCP249" s="23"/>
      <c r="PCU249" s="26"/>
      <c r="PCY249" s="23"/>
      <c r="PDD249" s="26"/>
      <c r="PDH249" s="23"/>
      <c r="PDM249" s="26"/>
      <c r="PDQ249" s="23"/>
      <c r="PDV249" s="26"/>
      <c r="PDZ249" s="23"/>
      <c r="PEE249" s="26"/>
      <c r="PEI249" s="23"/>
      <c r="PEN249" s="26"/>
      <c r="PER249" s="23"/>
      <c r="PEW249" s="26"/>
      <c r="PFA249" s="23"/>
      <c r="PFF249" s="26"/>
      <c r="PFJ249" s="23"/>
      <c r="PFO249" s="26"/>
      <c r="PFS249" s="23"/>
      <c r="PFX249" s="26"/>
      <c r="PGB249" s="23"/>
      <c r="PGG249" s="26"/>
      <c r="PGK249" s="23"/>
      <c r="PGP249" s="26"/>
      <c r="PGT249" s="23"/>
      <c r="PGY249" s="26"/>
      <c r="PHC249" s="23"/>
      <c r="PHH249" s="26"/>
      <c r="PHL249" s="23"/>
      <c r="PHQ249" s="26"/>
      <c r="PHU249" s="23"/>
      <c r="PHZ249" s="26"/>
      <c r="PID249" s="23"/>
      <c r="PII249" s="26"/>
      <c r="PIM249" s="23"/>
      <c r="PIR249" s="26"/>
      <c r="PIV249" s="23"/>
      <c r="PJA249" s="26"/>
      <c r="PJE249" s="23"/>
      <c r="PJJ249" s="26"/>
      <c r="PJN249" s="23"/>
      <c r="PJS249" s="26"/>
      <c r="PJW249" s="23"/>
      <c r="PKB249" s="26"/>
      <c r="PKF249" s="23"/>
      <c r="PKK249" s="26"/>
      <c r="PKO249" s="23"/>
      <c r="PKT249" s="26"/>
      <c r="PKX249" s="23"/>
      <c r="PLC249" s="26"/>
      <c r="PLG249" s="23"/>
      <c r="PLL249" s="26"/>
      <c r="PLP249" s="23"/>
      <c r="PLU249" s="26"/>
      <c r="PLY249" s="23"/>
      <c r="PMD249" s="26"/>
      <c r="PMH249" s="23"/>
      <c r="PMM249" s="26"/>
      <c r="PMQ249" s="23"/>
      <c r="PMV249" s="26"/>
      <c r="PMZ249" s="23"/>
      <c r="PNE249" s="26"/>
      <c r="PNI249" s="23"/>
      <c r="PNN249" s="26"/>
      <c r="PNR249" s="23"/>
      <c r="PNW249" s="26"/>
      <c r="POA249" s="23"/>
      <c r="POF249" s="26"/>
      <c r="POJ249" s="23"/>
      <c r="POO249" s="26"/>
      <c r="POS249" s="23"/>
      <c r="POX249" s="26"/>
      <c r="PPB249" s="23"/>
      <c r="PPG249" s="26"/>
      <c r="PPK249" s="23"/>
      <c r="PPP249" s="26"/>
      <c r="PPT249" s="23"/>
      <c r="PPY249" s="26"/>
      <c r="PQC249" s="23"/>
      <c r="PQH249" s="26"/>
      <c r="PQL249" s="23"/>
      <c r="PQQ249" s="26"/>
      <c r="PQU249" s="23"/>
      <c r="PQZ249" s="26"/>
      <c r="PRD249" s="23"/>
      <c r="PRI249" s="26"/>
      <c r="PRM249" s="23"/>
      <c r="PRR249" s="26"/>
      <c r="PRV249" s="23"/>
      <c r="PSA249" s="26"/>
      <c r="PSE249" s="23"/>
      <c r="PSJ249" s="26"/>
      <c r="PSN249" s="23"/>
      <c r="PSS249" s="26"/>
      <c r="PSW249" s="23"/>
      <c r="PTB249" s="26"/>
      <c r="PTF249" s="23"/>
      <c r="PTK249" s="26"/>
      <c r="PTO249" s="23"/>
      <c r="PTT249" s="26"/>
      <c r="PTX249" s="23"/>
      <c r="PUC249" s="26"/>
      <c r="PUG249" s="23"/>
      <c r="PUL249" s="26"/>
      <c r="PUP249" s="23"/>
      <c r="PUU249" s="26"/>
      <c r="PUY249" s="23"/>
      <c r="PVD249" s="26"/>
      <c r="PVH249" s="23"/>
      <c r="PVM249" s="26"/>
      <c r="PVQ249" s="23"/>
      <c r="PVV249" s="26"/>
      <c r="PVZ249" s="23"/>
      <c r="PWE249" s="26"/>
      <c r="PWI249" s="23"/>
      <c r="PWN249" s="26"/>
      <c r="PWR249" s="23"/>
      <c r="PWW249" s="26"/>
      <c r="PXA249" s="23"/>
      <c r="PXF249" s="26"/>
      <c r="PXJ249" s="23"/>
      <c r="PXO249" s="26"/>
      <c r="PXS249" s="23"/>
      <c r="PXX249" s="26"/>
      <c r="PYB249" s="23"/>
      <c r="PYG249" s="26"/>
      <c r="PYK249" s="23"/>
      <c r="PYP249" s="26"/>
      <c r="PYT249" s="23"/>
      <c r="PYY249" s="26"/>
      <c r="PZC249" s="23"/>
      <c r="PZH249" s="26"/>
      <c r="PZL249" s="23"/>
      <c r="PZQ249" s="26"/>
      <c r="PZU249" s="23"/>
      <c r="PZZ249" s="26"/>
      <c r="QAD249" s="23"/>
      <c r="QAI249" s="26"/>
      <c r="QAM249" s="23"/>
      <c r="QAR249" s="26"/>
      <c r="QAV249" s="23"/>
      <c r="QBA249" s="26"/>
      <c r="QBE249" s="23"/>
      <c r="QBJ249" s="26"/>
      <c r="QBN249" s="23"/>
      <c r="QBS249" s="26"/>
      <c r="QBW249" s="23"/>
      <c r="QCB249" s="26"/>
      <c r="QCF249" s="23"/>
      <c r="QCK249" s="26"/>
      <c r="QCO249" s="23"/>
      <c r="QCT249" s="26"/>
      <c r="QCX249" s="23"/>
      <c r="QDC249" s="26"/>
      <c r="QDG249" s="23"/>
      <c r="QDL249" s="26"/>
      <c r="QDP249" s="23"/>
      <c r="QDU249" s="26"/>
      <c r="QDY249" s="23"/>
      <c r="QED249" s="26"/>
      <c r="QEH249" s="23"/>
      <c r="QEM249" s="26"/>
      <c r="QEQ249" s="23"/>
      <c r="QEV249" s="26"/>
      <c r="QEZ249" s="23"/>
      <c r="QFE249" s="26"/>
      <c r="QFI249" s="23"/>
      <c r="QFN249" s="26"/>
      <c r="QFR249" s="23"/>
      <c r="QFW249" s="26"/>
      <c r="QGA249" s="23"/>
      <c r="QGF249" s="26"/>
      <c r="QGJ249" s="23"/>
      <c r="QGO249" s="26"/>
      <c r="QGS249" s="23"/>
      <c r="QGX249" s="26"/>
      <c r="QHB249" s="23"/>
      <c r="QHG249" s="26"/>
      <c r="QHK249" s="23"/>
      <c r="QHP249" s="26"/>
      <c r="QHT249" s="23"/>
      <c r="QHY249" s="26"/>
      <c r="QIC249" s="23"/>
      <c r="QIH249" s="26"/>
      <c r="QIL249" s="23"/>
      <c r="QIQ249" s="26"/>
      <c r="QIU249" s="23"/>
      <c r="QIZ249" s="26"/>
      <c r="QJD249" s="23"/>
      <c r="QJI249" s="26"/>
      <c r="QJM249" s="23"/>
      <c r="QJR249" s="26"/>
      <c r="QJV249" s="23"/>
      <c r="QKA249" s="26"/>
      <c r="QKE249" s="23"/>
      <c r="QKJ249" s="26"/>
      <c r="QKN249" s="23"/>
      <c r="QKS249" s="26"/>
      <c r="QKW249" s="23"/>
      <c r="QLB249" s="26"/>
      <c r="QLF249" s="23"/>
      <c r="QLK249" s="26"/>
      <c r="QLO249" s="23"/>
      <c r="QLT249" s="26"/>
      <c r="QLX249" s="23"/>
      <c r="QMC249" s="26"/>
      <c r="QMG249" s="23"/>
      <c r="QML249" s="26"/>
      <c r="QMP249" s="23"/>
      <c r="QMU249" s="26"/>
      <c r="QMY249" s="23"/>
      <c r="QND249" s="26"/>
      <c r="QNH249" s="23"/>
      <c r="QNM249" s="26"/>
      <c r="QNQ249" s="23"/>
      <c r="QNV249" s="26"/>
      <c r="QNZ249" s="23"/>
      <c r="QOE249" s="26"/>
      <c r="QOI249" s="23"/>
      <c r="QON249" s="26"/>
      <c r="QOR249" s="23"/>
      <c r="QOW249" s="26"/>
      <c r="QPA249" s="23"/>
      <c r="QPF249" s="26"/>
      <c r="QPJ249" s="23"/>
      <c r="QPO249" s="26"/>
      <c r="QPS249" s="23"/>
      <c r="QPX249" s="26"/>
      <c r="QQB249" s="23"/>
      <c r="QQG249" s="26"/>
      <c r="QQK249" s="23"/>
      <c r="QQP249" s="26"/>
      <c r="QQT249" s="23"/>
      <c r="QQY249" s="26"/>
      <c r="QRC249" s="23"/>
      <c r="QRH249" s="26"/>
      <c r="QRL249" s="23"/>
      <c r="QRQ249" s="26"/>
      <c r="QRU249" s="23"/>
      <c r="QRZ249" s="26"/>
      <c r="QSD249" s="23"/>
      <c r="QSI249" s="26"/>
      <c r="QSM249" s="23"/>
      <c r="QSR249" s="26"/>
      <c r="QSV249" s="23"/>
      <c r="QTA249" s="26"/>
      <c r="QTE249" s="23"/>
      <c r="QTJ249" s="26"/>
      <c r="QTN249" s="23"/>
      <c r="QTS249" s="26"/>
      <c r="QTW249" s="23"/>
      <c r="QUB249" s="26"/>
      <c r="QUF249" s="23"/>
      <c r="QUK249" s="26"/>
      <c r="QUO249" s="23"/>
      <c r="QUT249" s="26"/>
      <c r="QUX249" s="23"/>
      <c r="QVC249" s="26"/>
      <c r="QVG249" s="23"/>
      <c r="QVL249" s="26"/>
      <c r="QVP249" s="23"/>
      <c r="QVU249" s="26"/>
      <c r="QVY249" s="23"/>
      <c r="QWD249" s="26"/>
      <c r="QWH249" s="23"/>
      <c r="QWM249" s="26"/>
      <c r="QWQ249" s="23"/>
      <c r="QWV249" s="26"/>
      <c r="QWZ249" s="23"/>
      <c r="QXE249" s="26"/>
      <c r="QXI249" s="23"/>
      <c r="QXN249" s="26"/>
      <c r="QXR249" s="23"/>
      <c r="QXW249" s="26"/>
      <c r="QYA249" s="23"/>
      <c r="QYF249" s="26"/>
      <c r="QYJ249" s="23"/>
      <c r="QYO249" s="26"/>
      <c r="QYS249" s="23"/>
      <c r="QYX249" s="26"/>
      <c r="QZB249" s="23"/>
      <c r="QZG249" s="26"/>
      <c r="QZK249" s="23"/>
      <c r="QZP249" s="26"/>
      <c r="QZT249" s="23"/>
      <c r="QZY249" s="26"/>
      <c r="RAC249" s="23"/>
      <c r="RAH249" s="26"/>
      <c r="RAL249" s="23"/>
      <c r="RAQ249" s="26"/>
      <c r="RAU249" s="23"/>
      <c r="RAZ249" s="26"/>
      <c r="RBD249" s="23"/>
      <c r="RBI249" s="26"/>
      <c r="RBM249" s="23"/>
      <c r="RBR249" s="26"/>
      <c r="RBV249" s="23"/>
      <c r="RCA249" s="26"/>
      <c r="RCE249" s="23"/>
      <c r="RCJ249" s="26"/>
      <c r="RCN249" s="23"/>
      <c r="RCS249" s="26"/>
      <c r="RCW249" s="23"/>
      <c r="RDB249" s="26"/>
      <c r="RDF249" s="23"/>
      <c r="RDK249" s="26"/>
      <c r="RDO249" s="23"/>
      <c r="RDT249" s="26"/>
      <c r="RDX249" s="23"/>
      <c r="REC249" s="26"/>
      <c r="REG249" s="23"/>
      <c r="REL249" s="26"/>
      <c r="REP249" s="23"/>
      <c r="REU249" s="26"/>
      <c r="REY249" s="23"/>
      <c r="RFD249" s="26"/>
      <c r="RFH249" s="23"/>
      <c r="RFM249" s="26"/>
      <c r="RFQ249" s="23"/>
      <c r="RFV249" s="26"/>
      <c r="RFZ249" s="23"/>
      <c r="RGE249" s="26"/>
      <c r="RGI249" s="23"/>
      <c r="RGN249" s="26"/>
      <c r="RGR249" s="23"/>
      <c r="RGW249" s="26"/>
      <c r="RHA249" s="23"/>
      <c r="RHF249" s="26"/>
      <c r="RHJ249" s="23"/>
      <c r="RHO249" s="26"/>
      <c r="RHS249" s="23"/>
      <c r="RHX249" s="26"/>
      <c r="RIB249" s="23"/>
      <c r="RIG249" s="26"/>
      <c r="RIK249" s="23"/>
      <c r="RIP249" s="26"/>
      <c r="RIT249" s="23"/>
      <c r="RIY249" s="26"/>
      <c r="RJC249" s="23"/>
      <c r="RJH249" s="26"/>
      <c r="RJL249" s="23"/>
      <c r="RJQ249" s="26"/>
      <c r="RJU249" s="23"/>
      <c r="RJZ249" s="26"/>
      <c r="RKD249" s="23"/>
      <c r="RKI249" s="26"/>
      <c r="RKM249" s="23"/>
      <c r="RKR249" s="26"/>
      <c r="RKV249" s="23"/>
      <c r="RLA249" s="26"/>
      <c r="RLE249" s="23"/>
      <c r="RLJ249" s="26"/>
      <c r="RLN249" s="23"/>
      <c r="RLS249" s="26"/>
      <c r="RLW249" s="23"/>
      <c r="RMB249" s="26"/>
      <c r="RMF249" s="23"/>
      <c r="RMK249" s="26"/>
      <c r="RMO249" s="23"/>
      <c r="RMT249" s="26"/>
      <c r="RMX249" s="23"/>
      <c r="RNC249" s="26"/>
      <c r="RNG249" s="23"/>
      <c r="RNL249" s="26"/>
      <c r="RNP249" s="23"/>
      <c r="RNU249" s="26"/>
      <c r="RNY249" s="23"/>
      <c r="ROD249" s="26"/>
      <c r="ROH249" s="23"/>
      <c r="ROM249" s="26"/>
      <c r="ROQ249" s="23"/>
      <c r="ROV249" s="26"/>
      <c r="ROZ249" s="23"/>
      <c r="RPE249" s="26"/>
      <c r="RPI249" s="23"/>
      <c r="RPN249" s="26"/>
      <c r="RPR249" s="23"/>
      <c r="RPW249" s="26"/>
      <c r="RQA249" s="23"/>
      <c r="RQF249" s="26"/>
      <c r="RQJ249" s="23"/>
      <c r="RQO249" s="26"/>
      <c r="RQS249" s="23"/>
      <c r="RQX249" s="26"/>
      <c r="RRB249" s="23"/>
      <c r="RRG249" s="26"/>
      <c r="RRK249" s="23"/>
      <c r="RRP249" s="26"/>
      <c r="RRT249" s="23"/>
      <c r="RRY249" s="26"/>
      <c r="RSC249" s="23"/>
      <c r="RSH249" s="26"/>
      <c r="RSL249" s="23"/>
      <c r="RSQ249" s="26"/>
      <c r="RSU249" s="23"/>
      <c r="RSZ249" s="26"/>
      <c r="RTD249" s="23"/>
      <c r="RTI249" s="26"/>
      <c r="RTM249" s="23"/>
      <c r="RTR249" s="26"/>
      <c r="RTV249" s="23"/>
      <c r="RUA249" s="26"/>
      <c r="RUE249" s="23"/>
      <c r="RUJ249" s="26"/>
      <c r="RUN249" s="23"/>
      <c r="RUS249" s="26"/>
      <c r="RUW249" s="23"/>
      <c r="RVB249" s="26"/>
      <c r="RVF249" s="23"/>
      <c r="RVK249" s="26"/>
      <c r="RVO249" s="23"/>
      <c r="RVT249" s="26"/>
      <c r="RVX249" s="23"/>
      <c r="RWC249" s="26"/>
      <c r="RWG249" s="23"/>
      <c r="RWL249" s="26"/>
      <c r="RWP249" s="23"/>
      <c r="RWU249" s="26"/>
      <c r="RWY249" s="23"/>
      <c r="RXD249" s="26"/>
      <c r="RXH249" s="23"/>
      <c r="RXM249" s="26"/>
      <c r="RXQ249" s="23"/>
      <c r="RXV249" s="26"/>
      <c r="RXZ249" s="23"/>
      <c r="RYE249" s="26"/>
      <c r="RYI249" s="23"/>
      <c r="RYN249" s="26"/>
      <c r="RYR249" s="23"/>
      <c r="RYW249" s="26"/>
      <c r="RZA249" s="23"/>
      <c r="RZF249" s="26"/>
      <c r="RZJ249" s="23"/>
      <c r="RZO249" s="26"/>
      <c r="RZS249" s="23"/>
      <c r="RZX249" s="26"/>
      <c r="SAB249" s="23"/>
      <c r="SAG249" s="26"/>
      <c r="SAK249" s="23"/>
      <c r="SAP249" s="26"/>
      <c r="SAT249" s="23"/>
      <c r="SAY249" s="26"/>
      <c r="SBC249" s="23"/>
      <c r="SBH249" s="26"/>
      <c r="SBL249" s="23"/>
      <c r="SBQ249" s="26"/>
      <c r="SBU249" s="23"/>
      <c r="SBZ249" s="26"/>
      <c r="SCD249" s="23"/>
      <c r="SCI249" s="26"/>
      <c r="SCM249" s="23"/>
      <c r="SCR249" s="26"/>
      <c r="SCV249" s="23"/>
      <c r="SDA249" s="26"/>
      <c r="SDE249" s="23"/>
      <c r="SDJ249" s="26"/>
      <c r="SDN249" s="23"/>
      <c r="SDS249" s="26"/>
      <c r="SDW249" s="23"/>
      <c r="SEB249" s="26"/>
      <c r="SEF249" s="23"/>
      <c r="SEK249" s="26"/>
      <c r="SEO249" s="23"/>
      <c r="SET249" s="26"/>
      <c r="SEX249" s="23"/>
      <c r="SFC249" s="26"/>
      <c r="SFG249" s="23"/>
      <c r="SFL249" s="26"/>
      <c r="SFP249" s="23"/>
      <c r="SFU249" s="26"/>
      <c r="SFY249" s="23"/>
      <c r="SGD249" s="26"/>
      <c r="SGH249" s="23"/>
      <c r="SGM249" s="26"/>
      <c r="SGQ249" s="23"/>
      <c r="SGV249" s="26"/>
      <c r="SGZ249" s="23"/>
      <c r="SHE249" s="26"/>
      <c r="SHI249" s="23"/>
      <c r="SHN249" s="26"/>
      <c r="SHR249" s="23"/>
      <c r="SHW249" s="26"/>
      <c r="SIA249" s="23"/>
      <c r="SIF249" s="26"/>
      <c r="SIJ249" s="23"/>
      <c r="SIO249" s="26"/>
      <c r="SIS249" s="23"/>
      <c r="SIX249" s="26"/>
      <c r="SJB249" s="23"/>
      <c r="SJG249" s="26"/>
      <c r="SJK249" s="23"/>
      <c r="SJP249" s="26"/>
      <c r="SJT249" s="23"/>
      <c r="SJY249" s="26"/>
      <c r="SKC249" s="23"/>
      <c r="SKH249" s="26"/>
      <c r="SKL249" s="23"/>
      <c r="SKQ249" s="26"/>
      <c r="SKU249" s="23"/>
      <c r="SKZ249" s="26"/>
      <c r="SLD249" s="23"/>
      <c r="SLI249" s="26"/>
      <c r="SLM249" s="23"/>
      <c r="SLR249" s="26"/>
      <c r="SLV249" s="23"/>
      <c r="SMA249" s="26"/>
      <c r="SME249" s="23"/>
      <c r="SMJ249" s="26"/>
      <c r="SMN249" s="23"/>
      <c r="SMS249" s="26"/>
      <c r="SMW249" s="23"/>
      <c r="SNB249" s="26"/>
      <c r="SNF249" s="23"/>
      <c r="SNK249" s="26"/>
      <c r="SNO249" s="23"/>
      <c r="SNT249" s="26"/>
      <c r="SNX249" s="23"/>
      <c r="SOC249" s="26"/>
      <c r="SOG249" s="23"/>
      <c r="SOL249" s="26"/>
      <c r="SOP249" s="23"/>
      <c r="SOU249" s="26"/>
      <c r="SOY249" s="23"/>
      <c r="SPD249" s="26"/>
      <c r="SPH249" s="23"/>
      <c r="SPM249" s="26"/>
      <c r="SPQ249" s="23"/>
      <c r="SPV249" s="26"/>
      <c r="SPZ249" s="23"/>
      <c r="SQE249" s="26"/>
      <c r="SQI249" s="23"/>
      <c r="SQN249" s="26"/>
      <c r="SQR249" s="23"/>
      <c r="SQW249" s="26"/>
      <c r="SRA249" s="23"/>
      <c r="SRF249" s="26"/>
      <c r="SRJ249" s="23"/>
      <c r="SRO249" s="26"/>
      <c r="SRS249" s="23"/>
      <c r="SRX249" s="26"/>
      <c r="SSB249" s="23"/>
      <c r="SSG249" s="26"/>
      <c r="SSK249" s="23"/>
      <c r="SSP249" s="26"/>
      <c r="SST249" s="23"/>
      <c r="SSY249" s="26"/>
      <c r="STC249" s="23"/>
      <c r="STH249" s="26"/>
      <c r="STL249" s="23"/>
      <c r="STQ249" s="26"/>
      <c r="STU249" s="23"/>
      <c r="STZ249" s="26"/>
      <c r="SUD249" s="23"/>
      <c r="SUI249" s="26"/>
      <c r="SUM249" s="23"/>
      <c r="SUR249" s="26"/>
      <c r="SUV249" s="23"/>
      <c r="SVA249" s="26"/>
      <c r="SVE249" s="23"/>
      <c r="SVJ249" s="26"/>
      <c r="SVN249" s="23"/>
      <c r="SVS249" s="26"/>
      <c r="SVW249" s="23"/>
      <c r="SWB249" s="26"/>
      <c r="SWF249" s="23"/>
      <c r="SWK249" s="26"/>
      <c r="SWO249" s="23"/>
      <c r="SWT249" s="26"/>
      <c r="SWX249" s="23"/>
      <c r="SXC249" s="26"/>
      <c r="SXG249" s="23"/>
      <c r="SXL249" s="26"/>
      <c r="SXP249" s="23"/>
      <c r="SXU249" s="26"/>
      <c r="SXY249" s="23"/>
      <c r="SYD249" s="26"/>
      <c r="SYH249" s="23"/>
      <c r="SYM249" s="26"/>
      <c r="SYQ249" s="23"/>
      <c r="SYV249" s="26"/>
      <c r="SYZ249" s="23"/>
      <c r="SZE249" s="26"/>
      <c r="SZI249" s="23"/>
      <c r="SZN249" s="26"/>
      <c r="SZR249" s="23"/>
      <c r="SZW249" s="26"/>
      <c r="TAA249" s="23"/>
      <c r="TAF249" s="26"/>
      <c r="TAJ249" s="23"/>
      <c r="TAO249" s="26"/>
      <c r="TAS249" s="23"/>
      <c r="TAX249" s="26"/>
      <c r="TBB249" s="23"/>
      <c r="TBG249" s="26"/>
      <c r="TBK249" s="23"/>
      <c r="TBP249" s="26"/>
      <c r="TBT249" s="23"/>
      <c r="TBY249" s="26"/>
      <c r="TCC249" s="23"/>
      <c r="TCH249" s="26"/>
      <c r="TCL249" s="23"/>
      <c r="TCQ249" s="26"/>
      <c r="TCU249" s="23"/>
      <c r="TCZ249" s="26"/>
      <c r="TDD249" s="23"/>
      <c r="TDI249" s="26"/>
      <c r="TDM249" s="23"/>
      <c r="TDR249" s="26"/>
      <c r="TDV249" s="23"/>
      <c r="TEA249" s="26"/>
      <c r="TEE249" s="23"/>
      <c r="TEJ249" s="26"/>
      <c r="TEN249" s="23"/>
      <c r="TES249" s="26"/>
      <c r="TEW249" s="23"/>
      <c r="TFB249" s="26"/>
      <c r="TFF249" s="23"/>
      <c r="TFK249" s="26"/>
      <c r="TFO249" s="23"/>
      <c r="TFT249" s="26"/>
      <c r="TFX249" s="23"/>
      <c r="TGC249" s="26"/>
      <c r="TGG249" s="23"/>
      <c r="TGL249" s="26"/>
      <c r="TGP249" s="23"/>
      <c r="TGU249" s="26"/>
      <c r="TGY249" s="23"/>
      <c r="THD249" s="26"/>
      <c r="THH249" s="23"/>
      <c r="THM249" s="26"/>
      <c r="THQ249" s="23"/>
      <c r="THV249" s="26"/>
      <c r="THZ249" s="23"/>
      <c r="TIE249" s="26"/>
      <c r="TII249" s="23"/>
      <c r="TIN249" s="26"/>
      <c r="TIR249" s="23"/>
      <c r="TIW249" s="26"/>
      <c r="TJA249" s="23"/>
      <c r="TJF249" s="26"/>
      <c r="TJJ249" s="23"/>
      <c r="TJO249" s="26"/>
      <c r="TJS249" s="23"/>
      <c r="TJX249" s="26"/>
      <c r="TKB249" s="23"/>
      <c r="TKG249" s="26"/>
      <c r="TKK249" s="23"/>
      <c r="TKP249" s="26"/>
      <c r="TKT249" s="23"/>
      <c r="TKY249" s="26"/>
      <c r="TLC249" s="23"/>
      <c r="TLH249" s="26"/>
      <c r="TLL249" s="23"/>
      <c r="TLQ249" s="26"/>
      <c r="TLU249" s="23"/>
      <c r="TLZ249" s="26"/>
      <c r="TMD249" s="23"/>
      <c r="TMI249" s="26"/>
      <c r="TMM249" s="23"/>
      <c r="TMR249" s="26"/>
      <c r="TMV249" s="23"/>
      <c r="TNA249" s="26"/>
      <c r="TNE249" s="23"/>
      <c r="TNJ249" s="26"/>
      <c r="TNN249" s="23"/>
      <c r="TNS249" s="26"/>
      <c r="TNW249" s="23"/>
      <c r="TOB249" s="26"/>
      <c r="TOF249" s="23"/>
      <c r="TOK249" s="26"/>
      <c r="TOO249" s="23"/>
      <c r="TOT249" s="26"/>
      <c r="TOX249" s="23"/>
      <c r="TPC249" s="26"/>
      <c r="TPG249" s="23"/>
      <c r="TPL249" s="26"/>
      <c r="TPP249" s="23"/>
      <c r="TPU249" s="26"/>
      <c r="TPY249" s="23"/>
      <c r="TQD249" s="26"/>
      <c r="TQH249" s="23"/>
      <c r="TQM249" s="26"/>
      <c r="TQQ249" s="23"/>
      <c r="TQV249" s="26"/>
      <c r="TQZ249" s="23"/>
      <c r="TRE249" s="26"/>
      <c r="TRI249" s="23"/>
      <c r="TRN249" s="26"/>
      <c r="TRR249" s="23"/>
      <c r="TRW249" s="26"/>
      <c r="TSA249" s="23"/>
      <c r="TSF249" s="26"/>
      <c r="TSJ249" s="23"/>
      <c r="TSO249" s="26"/>
      <c r="TSS249" s="23"/>
      <c r="TSX249" s="26"/>
      <c r="TTB249" s="23"/>
      <c r="TTG249" s="26"/>
      <c r="TTK249" s="23"/>
      <c r="TTP249" s="26"/>
      <c r="TTT249" s="23"/>
      <c r="TTY249" s="26"/>
      <c r="TUC249" s="23"/>
      <c r="TUH249" s="26"/>
      <c r="TUL249" s="23"/>
      <c r="TUQ249" s="26"/>
      <c r="TUU249" s="23"/>
      <c r="TUZ249" s="26"/>
      <c r="TVD249" s="23"/>
      <c r="TVI249" s="26"/>
      <c r="TVM249" s="23"/>
      <c r="TVR249" s="26"/>
      <c r="TVV249" s="23"/>
      <c r="TWA249" s="26"/>
      <c r="TWE249" s="23"/>
      <c r="TWJ249" s="26"/>
      <c r="TWN249" s="23"/>
      <c r="TWS249" s="26"/>
      <c r="TWW249" s="23"/>
      <c r="TXB249" s="26"/>
      <c r="TXF249" s="23"/>
      <c r="TXK249" s="26"/>
      <c r="TXO249" s="23"/>
      <c r="TXT249" s="26"/>
      <c r="TXX249" s="23"/>
      <c r="TYC249" s="26"/>
      <c r="TYG249" s="23"/>
      <c r="TYL249" s="26"/>
      <c r="TYP249" s="23"/>
      <c r="TYU249" s="26"/>
      <c r="TYY249" s="23"/>
      <c r="TZD249" s="26"/>
      <c r="TZH249" s="23"/>
      <c r="TZM249" s="26"/>
      <c r="TZQ249" s="23"/>
      <c r="TZV249" s="26"/>
      <c r="TZZ249" s="23"/>
      <c r="UAE249" s="26"/>
      <c r="UAI249" s="23"/>
      <c r="UAN249" s="26"/>
      <c r="UAR249" s="23"/>
      <c r="UAW249" s="26"/>
      <c r="UBA249" s="23"/>
      <c r="UBF249" s="26"/>
      <c r="UBJ249" s="23"/>
      <c r="UBO249" s="26"/>
      <c r="UBS249" s="23"/>
      <c r="UBX249" s="26"/>
      <c r="UCB249" s="23"/>
      <c r="UCG249" s="26"/>
      <c r="UCK249" s="23"/>
      <c r="UCP249" s="26"/>
      <c r="UCT249" s="23"/>
      <c r="UCY249" s="26"/>
      <c r="UDC249" s="23"/>
      <c r="UDH249" s="26"/>
      <c r="UDL249" s="23"/>
      <c r="UDQ249" s="26"/>
      <c r="UDU249" s="23"/>
      <c r="UDZ249" s="26"/>
      <c r="UED249" s="23"/>
      <c r="UEI249" s="26"/>
      <c r="UEM249" s="23"/>
      <c r="UER249" s="26"/>
      <c r="UEV249" s="23"/>
      <c r="UFA249" s="26"/>
      <c r="UFE249" s="23"/>
      <c r="UFJ249" s="26"/>
      <c r="UFN249" s="23"/>
      <c r="UFS249" s="26"/>
      <c r="UFW249" s="23"/>
      <c r="UGB249" s="26"/>
      <c r="UGF249" s="23"/>
      <c r="UGK249" s="26"/>
      <c r="UGO249" s="23"/>
      <c r="UGT249" s="26"/>
      <c r="UGX249" s="23"/>
      <c r="UHC249" s="26"/>
      <c r="UHG249" s="23"/>
      <c r="UHL249" s="26"/>
      <c r="UHP249" s="23"/>
      <c r="UHU249" s="26"/>
      <c r="UHY249" s="23"/>
      <c r="UID249" s="26"/>
      <c r="UIH249" s="23"/>
      <c r="UIM249" s="26"/>
      <c r="UIQ249" s="23"/>
      <c r="UIV249" s="26"/>
      <c r="UIZ249" s="23"/>
      <c r="UJE249" s="26"/>
      <c r="UJI249" s="23"/>
      <c r="UJN249" s="26"/>
      <c r="UJR249" s="23"/>
      <c r="UJW249" s="26"/>
      <c r="UKA249" s="23"/>
      <c r="UKF249" s="26"/>
      <c r="UKJ249" s="23"/>
      <c r="UKO249" s="26"/>
      <c r="UKS249" s="23"/>
      <c r="UKX249" s="26"/>
      <c r="ULB249" s="23"/>
      <c r="ULG249" s="26"/>
      <c r="ULK249" s="23"/>
      <c r="ULP249" s="26"/>
      <c r="ULT249" s="23"/>
      <c r="ULY249" s="26"/>
      <c r="UMC249" s="23"/>
      <c r="UMH249" s="26"/>
      <c r="UML249" s="23"/>
      <c r="UMQ249" s="26"/>
      <c r="UMU249" s="23"/>
      <c r="UMZ249" s="26"/>
      <c r="UND249" s="23"/>
      <c r="UNI249" s="26"/>
      <c r="UNM249" s="23"/>
      <c r="UNR249" s="26"/>
      <c r="UNV249" s="23"/>
      <c r="UOA249" s="26"/>
      <c r="UOE249" s="23"/>
      <c r="UOJ249" s="26"/>
      <c r="UON249" s="23"/>
      <c r="UOS249" s="26"/>
      <c r="UOW249" s="23"/>
      <c r="UPB249" s="26"/>
      <c r="UPF249" s="23"/>
      <c r="UPK249" s="26"/>
      <c r="UPO249" s="23"/>
      <c r="UPT249" s="26"/>
      <c r="UPX249" s="23"/>
      <c r="UQC249" s="26"/>
      <c r="UQG249" s="23"/>
      <c r="UQL249" s="26"/>
      <c r="UQP249" s="23"/>
      <c r="UQU249" s="26"/>
      <c r="UQY249" s="23"/>
      <c r="URD249" s="26"/>
      <c r="URH249" s="23"/>
      <c r="URM249" s="26"/>
      <c r="URQ249" s="23"/>
      <c r="URV249" s="26"/>
      <c r="URZ249" s="23"/>
      <c r="USE249" s="26"/>
      <c r="USI249" s="23"/>
      <c r="USN249" s="26"/>
      <c r="USR249" s="23"/>
      <c r="USW249" s="26"/>
      <c r="UTA249" s="23"/>
      <c r="UTF249" s="26"/>
      <c r="UTJ249" s="23"/>
      <c r="UTO249" s="26"/>
      <c r="UTS249" s="23"/>
      <c r="UTX249" s="26"/>
      <c r="UUB249" s="23"/>
      <c r="UUG249" s="26"/>
      <c r="UUK249" s="23"/>
      <c r="UUP249" s="26"/>
      <c r="UUT249" s="23"/>
      <c r="UUY249" s="26"/>
      <c r="UVC249" s="23"/>
      <c r="UVH249" s="26"/>
      <c r="UVL249" s="23"/>
      <c r="UVQ249" s="26"/>
      <c r="UVU249" s="23"/>
      <c r="UVZ249" s="26"/>
      <c r="UWD249" s="23"/>
      <c r="UWI249" s="26"/>
      <c r="UWM249" s="23"/>
      <c r="UWR249" s="26"/>
      <c r="UWV249" s="23"/>
      <c r="UXA249" s="26"/>
      <c r="UXE249" s="23"/>
      <c r="UXJ249" s="26"/>
      <c r="UXN249" s="23"/>
      <c r="UXS249" s="26"/>
      <c r="UXW249" s="23"/>
      <c r="UYB249" s="26"/>
      <c r="UYF249" s="23"/>
      <c r="UYK249" s="26"/>
      <c r="UYO249" s="23"/>
      <c r="UYT249" s="26"/>
      <c r="UYX249" s="23"/>
      <c r="UZC249" s="26"/>
      <c r="UZG249" s="23"/>
      <c r="UZL249" s="26"/>
      <c r="UZP249" s="23"/>
      <c r="UZU249" s="26"/>
      <c r="UZY249" s="23"/>
      <c r="VAD249" s="26"/>
      <c r="VAH249" s="23"/>
      <c r="VAM249" s="26"/>
      <c r="VAQ249" s="23"/>
      <c r="VAV249" s="26"/>
      <c r="VAZ249" s="23"/>
      <c r="VBE249" s="26"/>
      <c r="VBI249" s="23"/>
      <c r="VBN249" s="26"/>
      <c r="VBR249" s="23"/>
      <c r="VBW249" s="26"/>
      <c r="VCA249" s="23"/>
      <c r="VCF249" s="26"/>
      <c r="VCJ249" s="23"/>
      <c r="VCO249" s="26"/>
      <c r="VCS249" s="23"/>
      <c r="VCX249" s="26"/>
      <c r="VDB249" s="23"/>
      <c r="VDG249" s="26"/>
      <c r="VDK249" s="23"/>
      <c r="VDP249" s="26"/>
      <c r="VDT249" s="23"/>
      <c r="VDY249" s="26"/>
      <c r="VEC249" s="23"/>
      <c r="VEH249" s="26"/>
      <c r="VEL249" s="23"/>
      <c r="VEQ249" s="26"/>
      <c r="VEU249" s="23"/>
      <c r="VEZ249" s="26"/>
      <c r="VFD249" s="23"/>
      <c r="VFI249" s="26"/>
      <c r="VFM249" s="23"/>
      <c r="VFR249" s="26"/>
      <c r="VFV249" s="23"/>
      <c r="VGA249" s="26"/>
      <c r="VGE249" s="23"/>
      <c r="VGJ249" s="26"/>
      <c r="VGN249" s="23"/>
      <c r="VGS249" s="26"/>
      <c r="VGW249" s="23"/>
      <c r="VHB249" s="26"/>
      <c r="VHF249" s="23"/>
      <c r="VHK249" s="26"/>
      <c r="VHO249" s="23"/>
      <c r="VHT249" s="26"/>
      <c r="VHX249" s="23"/>
      <c r="VIC249" s="26"/>
      <c r="VIG249" s="23"/>
      <c r="VIL249" s="26"/>
      <c r="VIP249" s="23"/>
      <c r="VIU249" s="26"/>
      <c r="VIY249" s="23"/>
      <c r="VJD249" s="26"/>
      <c r="VJH249" s="23"/>
      <c r="VJM249" s="26"/>
      <c r="VJQ249" s="23"/>
      <c r="VJV249" s="26"/>
      <c r="VJZ249" s="23"/>
      <c r="VKE249" s="26"/>
      <c r="VKI249" s="23"/>
      <c r="VKN249" s="26"/>
      <c r="VKR249" s="23"/>
      <c r="VKW249" s="26"/>
      <c r="VLA249" s="23"/>
      <c r="VLF249" s="26"/>
      <c r="VLJ249" s="23"/>
      <c r="VLO249" s="26"/>
      <c r="VLS249" s="23"/>
      <c r="VLX249" s="26"/>
      <c r="VMB249" s="23"/>
      <c r="VMG249" s="26"/>
      <c r="VMK249" s="23"/>
      <c r="VMP249" s="26"/>
      <c r="VMT249" s="23"/>
      <c r="VMY249" s="26"/>
      <c r="VNC249" s="23"/>
      <c r="VNH249" s="26"/>
      <c r="VNL249" s="23"/>
      <c r="VNQ249" s="26"/>
      <c r="VNU249" s="23"/>
      <c r="VNZ249" s="26"/>
      <c r="VOD249" s="23"/>
      <c r="VOI249" s="26"/>
      <c r="VOM249" s="23"/>
      <c r="VOR249" s="26"/>
      <c r="VOV249" s="23"/>
      <c r="VPA249" s="26"/>
      <c r="VPE249" s="23"/>
      <c r="VPJ249" s="26"/>
      <c r="VPN249" s="23"/>
      <c r="VPS249" s="26"/>
      <c r="VPW249" s="23"/>
      <c r="VQB249" s="26"/>
      <c r="VQF249" s="23"/>
      <c r="VQK249" s="26"/>
      <c r="VQO249" s="23"/>
      <c r="VQT249" s="26"/>
      <c r="VQX249" s="23"/>
      <c r="VRC249" s="26"/>
      <c r="VRG249" s="23"/>
      <c r="VRL249" s="26"/>
      <c r="VRP249" s="23"/>
      <c r="VRU249" s="26"/>
      <c r="VRY249" s="23"/>
      <c r="VSD249" s="26"/>
      <c r="VSH249" s="23"/>
      <c r="VSM249" s="26"/>
      <c r="VSQ249" s="23"/>
      <c r="VSV249" s="26"/>
      <c r="VSZ249" s="23"/>
      <c r="VTE249" s="26"/>
      <c r="VTI249" s="23"/>
      <c r="VTN249" s="26"/>
      <c r="VTR249" s="23"/>
      <c r="VTW249" s="26"/>
      <c r="VUA249" s="23"/>
      <c r="VUF249" s="26"/>
      <c r="VUJ249" s="23"/>
      <c r="VUO249" s="26"/>
      <c r="VUS249" s="23"/>
      <c r="VUX249" s="26"/>
      <c r="VVB249" s="23"/>
      <c r="VVG249" s="26"/>
      <c r="VVK249" s="23"/>
      <c r="VVP249" s="26"/>
      <c r="VVT249" s="23"/>
      <c r="VVY249" s="26"/>
      <c r="VWC249" s="23"/>
      <c r="VWH249" s="26"/>
      <c r="VWL249" s="23"/>
      <c r="VWQ249" s="26"/>
      <c r="VWU249" s="23"/>
      <c r="VWZ249" s="26"/>
      <c r="VXD249" s="23"/>
      <c r="VXI249" s="26"/>
      <c r="VXM249" s="23"/>
      <c r="VXR249" s="26"/>
      <c r="VXV249" s="23"/>
      <c r="VYA249" s="26"/>
      <c r="VYE249" s="23"/>
      <c r="VYJ249" s="26"/>
      <c r="VYN249" s="23"/>
      <c r="VYS249" s="26"/>
      <c r="VYW249" s="23"/>
      <c r="VZB249" s="26"/>
      <c r="VZF249" s="23"/>
      <c r="VZK249" s="26"/>
      <c r="VZO249" s="23"/>
      <c r="VZT249" s="26"/>
      <c r="VZX249" s="23"/>
      <c r="WAC249" s="26"/>
      <c r="WAG249" s="23"/>
      <c r="WAL249" s="26"/>
      <c r="WAP249" s="23"/>
      <c r="WAU249" s="26"/>
      <c r="WAY249" s="23"/>
      <c r="WBD249" s="26"/>
      <c r="WBH249" s="23"/>
      <c r="WBM249" s="26"/>
      <c r="WBQ249" s="23"/>
      <c r="WBV249" s="26"/>
      <c r="WBZ249" s="23"/>
      <c r="WCE249" s="26"/>
      <c r="WCI249" s="23"/>
      <c r="WCN249" s="26"/>
      <c r="WCR249" s="23"/>
      <c r="WCW249" s="26"/>
      <c r="WDA249" s="23"/>
      <c r="WDF249" s="26"/>
      <c r="WDJ249" s="23"/>
      <c r="WDO249" s="26"/>
      <c r="WDS249" s="23"/>
      <c r="WDX249" s="26"/>
      <c r="WEB249" s="23"/>
      <c r="WEG249" s="26"/>
      <c r="WEK249" s="23"/>
      <c r="WEP249" s="26"/>
      <c r="WET249" s="23"/>
      <c r="WEY249" s="26"/>
      <c r="WFC249" s="23"/>
      <c r="WFH249" s="26"/>
      <c r="WFL249" s="23"/>
      <c r="WFQ249" s="26"/>
      <c r="WFU249" s="23"/>
      <c r="WFZ249" s="26"/>
      <c r="WGD249" s="23"/>
      <c r="WGI249" s="26"/>
      <c r="WGM249" s="23"/>
      <c r="WGR249" s="26"/>
      <c r="WGV249" s="23"/>
      <c r="WHA249" s="26"/>
      <c r="WHE249" s="23"/>
      <c r="WHJ249" s="26"/>
      <c r="WHN249" s="23"/>
      <c r="WHS249" s="26"/>
      <c r="WHW249" s="23"/>
      <c r="WIB249" s="26"/>
      <c r="WIF249" s="23"/>
      <c r="WIK249" s="26"/>
      <c r="WIO249" s="23"/>
      <c r="WIT249" s="26"/>
      <c r="WIX249" s="23"/>
      <c r="WJC249" s="26"/>
      <c r="WJG249" s="23"/>
      <c r="WJL249" s="26"/>
      <c r="WJP249" s="23"/>
      <c r="WJU249" s="26"/>
      <c r="WJY249" s="23"/>
      <c r="WKD249" s="26"/>
      <c r="WKH249" s="23"/>
      <c r="WKM249" s="26"/>
      <c r="WKQ249" s="23"/>
      <c r="WKV249" s="26"/>
      <c r="WKZ249" s="23"/>
      <c r="WLE249" s="26"/>
      <c r="WLI249" s="23"/>
      <c r="WLN249" s="26"/>
      <c r="WLR249" s="23"/>
      <c r="WLW249" s="26"/>
      <c r="WMA249" s="23"/>
      <c r="WMF249" s="26"/>
      <c r="WMJ249" s="23"/>
      <c r="WMO249" s="26"/>
      <c r="WMS249" s="23"/>
      <c r="WMX249" s="26"/>
      <c r="WNB249" s="23"/>
      <c r="WNG249" s="26"/>
      <c r="WNK249" s="23"/>
      <c r="WNP249" s="26"/>
      <c r="WNT249" s="23"/>
      <c r="WNY249" s="26"/>
      <c r="WOC249" s="23"/>
      <c r="WOH249" s="26"/>
      <c r="WOL249" s="23"/>
      <c r="WOQ249" s="26"/>
      <c r="WOU249" s="23"/>
      <c r="WOZ249" s="26"/>
      <c r="WPD249" s="23"/>
      <c r="WPI249" s="26"/>
      <c r="WPM249" s="23"/>
      <c r="WPR249" s="26"/>
      <c r="WPV249" s="23"/>
      <c r="WQA249" s="26"/>
      <c r="WQE249" s="23"/>
      <c r="WQJ249" s="26"/>
      <c r="WQN249" s="23"/>
      <c r="WQS249" s="26"/>
      <c r="WQW249" s="23"/>
      <c r="WRB249" s="26"/>
      <c r="WRF249" s="23"/>
      <c r="WRK249" s="26"/>
      <c r="WRO249" s="23"/>
      <c r="WRT249" s="26"/>
      <c r="WRX249" s="23"/>
      <c r="WSC249" s="26"/>
      <c r="WSG249" s="23"/>
      <c r="WSL249" s="26"/>
      <c r="WSP249" s="23"/>
      <c r="WSU249" s="26"/>
      <c r="WSY249" s="23"/>
      <c r="WTD249" s="26"/>
      <c r="WTH249" s="23"/>
      <c r="WTM249" s="26"/>
      <c r="WTQ249" s="23"/>
      <c r="WTV249" s="26"/>
      <c r="WTZ249" s="23"/>
      <c r="WUE249" s="26"/>
      <c r="WUI249" s="23"/>
      <c r="WUN249" s="26"/>
      <c r="WUR249" s="23"/>
      <c r="WUW249" s="26"/>
      <c r="WVA249" s="23"/>
      <c r="WVF249" s="26"/>
      <c r="WVJ249" s="23"/>
      <c r="WVO249" s="26"/>
      <c r="WVS249" s="23"/>
      <c r="WVX249" s="26"/>
      <c r="WWB249" s="23"/>
      <c r="WWG249" s="26"/>
      <c r="WWK249" s="23"/>
      <c r="WWP249" s="26"/>
      <c r="WWT249" s="23"/>
      <c r="WWY249" s="26"/>
      <c r="WXC249" s="23"/>
      <c r="WXH249" s="26"/>
      <c r="WXL249" s="23"/>
      <c r="WXQ249" s="26"/>
      <c r="WXU249" s="23"/>
      <c r="WXZ249" s="26"/>
      <c r="WYD249" s="23"/>
      <c r="WYI249" s="26"/>
      <c r="WYM249" s="23"/>
      <c r="WYR249" s="26"/>
      <c r="WYV249" s="23"/>
      <c r="WZA249" s="26"/>
      <c r="WZE249" s="23"/>
      <c r="WZJ249" s="26"/>
      <c r="WZN249" s="23"/>
      <c r="WZS249" s="26"/>
      <c r="WZW249" s="23"/>
      <c r="XAB249" s="26"/>
      <c r="XAF249" s="23"/>
      <c r="XAK249" s="26"/>
      <c r="XAO249" s="23"/>
      <c r="XAT249" s="26"/>
      <c r="XAX249" s="23"/>
      <c r="XBC249" s="26"/>
      <c r="XBG249" s="23"/>
      <c r="XBL249" s="26"/>
      <c r="XBP249" s="23"/>
      <c r="XBU249" s="26"/>
      <c r="XBY249" s="23"/>
      <c r="XCD249" s="26"/>
      <c r="XCH249" s="23"/>
      <c r="XCM249" s="26"/>
      <c r="XCQ249" s="23"/>
      <c r="XCV249" s="26"/>
      <c r="XCZ249" s="23"/>
      <c r="XDE249" s="26"/>
      <c r="XDI249" s="23"/>
      <c r="XDN249" s="26"/>
      <c r="XDR249" s="23"/>
      <c r="XDW249" s="26"/>
      <c r="XEA249" s="23"/>
      <c r="XEF249" s="26"/>
      <c r="XEJ249" s="23"/>
      <c r="XEO249" s="26"/>
      <c r="XES249" s="23"/>
      <c r="XEX249" s="26"/>
      <c r="XFB249" s="23"/>
    </row>
    <row r="250" spans="2:1024 1028:2045 2050:3071 3076:4093 4097:5119 5123:6140 6145:7166 7171:8192 8197:9214 9218:10240 10244:11261 11266:12287 12292:13309 13313:14335 14339:15356 15361:16382" x14ac:dyDescent="0.3">
      <c r="B250" s="23"/>
      <c r="K250" s="23"/>
      <c r="P250" s="26"/>
      <c r="T250" s="23"/>
      <c r="Y250" s="26"/>
      <c r="AC250" s="23"/>
      <c r="AH250" s="26"/>
      <c r="AL250" s="23"/>
      <c r="AQ250" s="26"/>
      <c r="AU250" s="23"/>
      <c r="AZ250" s="26"/>
      <c r="BD250" s="23"/>
      <c r="BI250" s="26"/>
      <c r="BM250" s="23"/>
      <c r="BR250" s="26"/>
      <c r="BV250" s="23"/>
      <c r="CA250" s="26"/>
      <c r="CE250" s="23"/>
      <c r="CJ250" s="26"/>
      <c r="CN250" s="23"/>
      <c r="CS250" s="26"/>
      <c r="CW250" s="23"/>
      <c r="DB250" s="26"/>
      <c r="DF250" s="23"/>
      <c r="DK250" s="26"/>
      <c r="DO250" s="23"/>
      <c r="DT250" s="26"/>
      <c r="DX250" s="23"/>
      <c r="EC250" s="26"/>
      <c r="EG250" s="23"/>
      <c r="EL250" s="26"/>
      <c r="EP250" s="23"/>
      <c r="EU250" s="26"/>
      <c r="EY250" s="23"/>
      <c r="FD250" s="26"/>
      <c r="FH250" s="23"/>
      <c r="FM250" s="26"/>
      <c r="FQ250" s="23"/>
      <c r="FV250" s="26"/>
      <c r="FZ250" s="23"/>
      <c r="GE250" s="26"/>
      <c r="GI250" s="23"/>
      <c r="GN250" s="26"/>
      <c r="GR250" s="23"/>
      <c r="GW250" s="26"/>
      <c r="HA250" s="23"/>
      <c r="HF250" s="26"/>
      <c r="HJ250" s="23"/>
      <c r="HO250" s="26"/>
      <c r="HS250" s="23"/>
      <c r="HX250" s="26"/>
      <c r="IB250" s="23"/>
      <c r="IG250" s="26"/>
      <c r="IK250" s="23"/>
      <c r="IP250" s="26"/>
      <c r="IT250" s="23"/>
      <c r="IY250" s="26"/>
      <c r="JC250" s="23"/>
      <c r="JH250" s="26"/>
      <c r="JL250" s="23"/>
      <c r="JQ250" s="26"/>
      <c r="JU250" s="23"/>
      <c r="JZ250" s="26"/>
      <c r="KD250" s="23"/>
      <c r="KI250" s="26"/>
      <c r="KM250" s="23"/>
      <c r="KR250" s="26"/>
      <c r="KV250" s="23"/>
      <c r="LA250" s="26"/>
      <c r="LE250" s="23"/>
      <c r="LJ250" s="26"/>
      <c r="LN250" s="23"/>
      <c r="LS250" s="26"/>
      <c r="LW250" s="23"/>
      <c r="MB250" s="26"/>
      <c r="MF250" s="23"/>
      <c r="MK250" s="26"/>
      <c r="MO250" s="23"/>
      <c r="MT250" s="26"/>
      <c r="MX250" s="23"/>
      <c r="NC250" s="26"/>
      <c r="NG250" s="23"/>
      <c r="NL250" s="26"/>
      <c r="NP250" s="23"/>
      <c r="NU250" s="26"/>
      <c r="NY250" s="23"/>
      <c r="OD250" s="26"/>
      <c r="OH250" s="23"/>
      <c r="OM250" s="26"/>
      <c r="OQ250" s="23"/>
      <c r="OV250" s="26"/>
      <c r="OZ250" s="23"/>
      <c r="PE250" s="26"/>
      <c r="PI250" s="23"/>
      <c r="PN250" s="26"/>
      <c r="PR250" s="23"/>
      <c r="PW250" s="26"/>
      <c r="QA250" s="23"/>
      <c r="QF250" s="26"/>
      <c r="QJ250" s="23"/>
      <c r="QO250" s="26"/>
      <c r="QS250" s="23"/>
      <c r="QX250" s="26"/>
      <c r="RB250" s="23"/>
      <c r="RG250" s="26"/>
      <c r="RK250" s="23"/>
      <c r="RP250" s="26"/>
      <c r="RT250" s="23"/>
      <c r="RY250" s="26"/>
      <c r="SC250" s="23"/>
      <c r="SH250" s="26"/>
      <c r="SL250" s="23"/>
      <c r="SQ250" s="26"/>
      <c r="SU250" s="23"/>
      <c r="SZ250" s="26"/>
      <c r="TD250" s="23"/>
      <c r="TI250" s="26"/>
      <c r="TM250" s="23"/>
      <c r="TR250" s="26"/>
      <c r="TV250" s="23"/>
      <c r="UA250" s="26"/>
      <c r="UE250" s="23"/>
      <c r="UJ250" s="26"/>
      <c r="UN250" s="23"/>
      <c r="US250" s="26"/>
      <c r="UW250" s="23"/>
      <c r="VB250" s="26"/>
      <c r="VF250" s="23"/>
      <c r="VK250" s="26"/>
      <c r="VO250" s="23"/>
      <c r="VT250" s="26"/>
      <c r="VX250" s="23"/>
      <c r="WC250" s="26"/>
      <c r="WG250" s="23"/>
      <c r="WL250" s="26"/>
      <c r="WP250" s="23"/>
      <c r="WU250" s="26"/>
      <c r="WY250" s="23"/>
      <c r="XD250" s="26"/>
      <c r="XH250" s="23"/>
      <c r="XM250" s="26"/>
      <c r="XQ250" s="23"/>
      <c r="XV250" s="26"/>
      <c r="XZ250" s="23"/>
      <c r="YE250" s="26"/>
      <c r="YI250" s="23"/>
      <c r="YN250" s="26"/>
      <c r="YR250" s="23"/>
      <c r="YW250" s="26"/>
      <c r="ZA250" s="23"/>
      <c r="ZF250" s="26"/>
      <c r="ZJ250" s="23"/>
      <c r="ZO250" s="26"/>
      <c r="ZS250" s="23"/>
      <c r="ZX250" s="26"/>
      <c r="AAB250" s="23"/>
      <c r="AAG250" s="26"/>
      <c r="AAK250" s="23"/>
      <c r="AAP250" s="26"/>
      <c r="AAT250" s="23"/>
      <c r="AAY250" s="26"/>
      <c r="ABC250" s="23"/>
      <c r="ABH250" s="26"/>
      <c r="ABL250" s="23"/>
      <c r="ABQ250" s="26"/>
      <c r="ABU250" s="23"/>
      <c r="ABZ250" s="26"/>
      <c r="ACD250" s="23"/>
      <c r="ACI250" s="26"/>
      <c r="ACM250" s="23"/>
      <c r="ACR250" s="26"/>
      <c r="ACV250" s="23"/>
      <c r="ADA250" s="26"/>
      <c r="ADE250" s="23"/>
      <c r="ADJ250" s="26"/>
      <c r="ADN250" s="23"/>
      <c r="ADS250" s="26"/>
      <c r="ADW250" s="23"/>
      <c r="AEB250" s="26"/>
      <c r="AEF250" s="23"/>
      <c r="AEK250" s="26"/>
      <c r="AEO250" s="23"/>
      <c r="AET250" s="26"/>
      <c r="AEX250" s="23"/>
      <c r="AFC250" s="26"/>
      <c r="AFG250" s="23"/>
      <c r="AFL250" s="26"/>
      <c r="AFP250" s="23"/>
      <c r="AFU250" s="26"/>
      <c r="AFY250" s="23"/>
      <c r="AGD250" s="26"/>
      <c r="AGH250" s="23"/>
      <c r="AGM250" s="26"/>
      <c r="AGQ250" s="23"/>
      <c r="AGV250" s="26"/>
      <c r="AGZ250" s="23"/>
      <c r="AHE250" s="26"/>
      <c r="AHI250" s="23"/>
      <c r="AHN250" s="26"/>
      <c r="AHR250" s="23"/>
      <c r="AHW250" s="26"/>
      <c r="AIA250" s="23"/>
      <c r="AIF250" s="26"/>
      <c r="AIJ250" s="23"/>
      <c r="AIO250" s="26"/>
      <c r="AIS250" s="23"/>
      <c r="AIX250" s="26"/>
      <c r="AJB250" s="23"/>
      <c r="AJG250" s="26"/>
      <c r="AJK250" s="23"/>
      <c r="AJP250" s="26"/>
      <c r="AJT250" s="23"/>
      <c r="AJY250" s="26"/>
      <c r="AKC250" s="23"/>
      <c r="AKH250" s="26"/>
      <c r="AKL250" s="23"/>
      <c r="AKQ250" s="26"/>
      <c r="AKU250" s="23"/>
      <c r="AKZ250" s="26"/>
      <c r="ALD250" s="23"/>
      <c r="ALI250" s="26"/>
      <c r="ALM250" s="23"/>
      <c r="ALR250" s="26"/>
      <c r="ALV250" s="23"/>
      <c r="AMA250" s="26"/>
      <c r="AME250" s="23"/>
      <c r="AMJ250" s="26"/>
      <c r="AMN250" s="23"/>
      <c r="AMS250" s="26"/>
      <c r="AMW250" s="23"/>
      <c r="ANB250" s="26"/>
      <c r="ANF250" s="23"/>
      <c r="ANK250" s="26"/>
      <c r="ANO250" s="23"/>
      <c r="ANT250" s="26"/>
      <c r="ANX250" s="23"/>
      <c r="AOC250" s="26"/>
      <c r="AOG250" s="23"/>
      <c r="AOL250" s="26"/>
      <c r="AOP250" s="23"/>
      <c r="AOU250" s="26"/>
      <c r="AOY250" s="23"/>
      <c r="APD250" s="26"/>
      <c r="APH250" s="23"/>
      <c r="APM250" s="26"/>
      <c r="APQ250" s="23"/>
      <c r="APV250" s="26"/>
      <c r="APZ250" s="23"/>
      <c r="AQE250" s="26"/>
      <c r="AQI250" s="23"/>
      <c r="AQN250" s="26"/>
      <c r="AQR250" s="23"/>
      <c r="AQW250" s="26"/>
      <c r="ARA250" s="23"/>
      <c r="ARF250" s="26"/>
      <c r="ARJ250" s="23"/>
      <c r="ARO250" s="26"/>
      <c r="ARS250" s="23"/>
      <c r="ARX250" s="26"/>
      <c r="ASB250" s="23"/>
      <c r="ASG250" s="26"/>
      <c r="ASK250" s="23"/>
      <c r="ASP250" s="26"/>
      <c r="AST250" s="23"/>
      <c r="ASY250" s="26"/>
      <c r="ATC250" s="23"/>
      <c r="ATH250" s="26"/>
      <c r="ATL250" s="23"/>
      <c r="ATQ250" s="26"/>
      <c r="ATU250" s="23"/>
      <c r="ATZ250" s="26"/>
      <c r="AUD250" s="23"/>
      <c r="AUI250" s="26"/>
      <c r="AUM250" s="23"/>
      <c r="AUR250" s="26"/>
      <c r="AUV250" s="23"/>
      <c r="AVA250" s="26"/>
      <c r="AVE250" s="23"/>
      <c r="AVJ250" s="26"/>
      <c r="AVN250" s="23"/>
      <c r="AVS250" s="26"/>
      <c r="AVW250" s="23"/>
      <c r="AWB250" s="26"/>
      <c r="AWF250" s="23"/>
      <c r="AWK250" s="26"/>
      <c r="AWO250" s="23"/>
      <c r="AWT250" s="26"/>
      <c r="AWX250" s="23"/>
      <c r="AXC250" s="26"/>
      <c r="AXG250" s="23"/>
      <c r="AXL250" s="26"/>
      <c r="AXP250" s="23"/>
      <c r="AXU250" s="26"/>
      <c r="AXY250" s="23"/>
      <c r="AYD250" s="26"/>
      <c r="AYH250" s="23"/>
      <c r="AYM250" s="26"/>
      <c r="AYQ250" s="23"/>
      <c r="AYV250" s="26"/>
      <c r="AYZ250" s="23"/>
      <c r="AZE250" s="26"/>
      <c r="AZI250" s="23"/>
      <c r="AZN250" s="26"/>
      <c r="AZR250" s="23"/>
      <c r="AZW250" s="26"/>
      <c r="BAA250" s="23"/>
      <c r="BAF250" s="26"/>
      <c r="BAJ250" s="23"/>
      <c r="BAO250" s="26"/>
      <c r="BAS250" s="23"/>
      <c r="BAX250" s="26"/>
      <c r="BBB250" s="23"/>
      <c r="BBG250" s="26"/>
      <c r="BBK250" s="23"/>
      <c r="BBP250" s="26"/>
      <c r="BBT250" s="23"/>
      <c r="BBY250" s="26"/>
      <c r="BCC250" s="23"/>
      <c r="BCH250" s="26"/>
      <c r="BCL250" s="23"/>
      <c r="BCQ250" s="26"/>
      <c r="BCU250" s="23"/>
      <c r="BCZ250" s="26"/>
      <c r="BDD250" s="23"/>
      <c r="BDI250" s="26"/>
      <c r="BDM250" s="23"/>
      <c r="BDR250" s="26"/>
      <c r="BDV250" s="23"/>
      <c r="BEA250" s="26"/>
      <c r="BEE250" s="23"/>
      <c r="BEJ250" s="26"/>
      <c r="BEN250" s="23"/>
      <c r="BES250" s="26"/>
      <c r="BEW250" s="23"/>
      <c r="BFB250" s="26"/>
      <c r="BFF250" s="23"/>
      <c r="BFK250" s="26"/>
      <c r="BFO250" s="23"/>
      <c r="BFT250" s="26"/>
      <c r="BFX250" s="23"/>
      <c r="BGC250" s="26"/>
      <c r="BGG250" s="23"/>
      <c r="BGL250" s="26"/>
      <c r="BGP250" s="23"/>
      <c r="BGU250" s="26"/>
      <c r="BGY250" s="23"/>
      <c r="BHD250" s="26"/>
      <c r="BHH250" s="23"/>
      <c r="BHM250" s="26"/>
      <c r="BHQ250" s="23"/>
      <c r="BHV250" s="26"/>
      <c r="BHZ250" s="23"/>
      <c r="BIE250" s="26"/>
      <c r="BII250" s="23"/>
      <c r="BIN250" s="26"/>
      <c r="BIR250" s="23"/>
      <c r="BIW250" s="26"/>
      <c r="BJA250" s="23"/>
      <c r="BJF250" s="26"/>
      <c r="BJJ250" s="23"/>
      <c r="BJO250" s="26"/>
      <c r="BJS250" s="23"/>
      <c r="BJX250" s="26"/>
      <c r="BKB250" s="23"/>
      <c r="BKG250" s="26"/>
      <c r="BKK250" s="23"/>
      <c r="BKP250" s="26"/>
      <c r="BKT250" s="23"/>
      <c r="BKY250" s="26"/>
      <c r="BLC250" s="23"/>
      <c r="BLH250" s="26"/>
      <c r="BLL250" s="23"/>
      <c r="BLQ250" s="26"/>
      <c r="BLU250" s="23"/>
      <c r="BLZ250" s="26"/>
      <c r="BMD250" s="23"/>
      <c r="BMI250" s="26"/>
      <c r="BMM250" s="23"/>
      <c r="BMR250" s="26"/>
      <c r="BMV250" s="23"/>
      <c r="BNA250" s="26"/>
      <c r="BNE250" s="23"/>
      <c r="BNJ250" s="26"/>
      <c r="BNN250" s="23"/>
      <c r="BNS250" s="26"/>
      <c r="BNW250" s="23"/>
      <c r="BOB250" s="26"/>
      <c r="BOF250" s="23"/>
      <c r="BOK250" s="26"/>
      <c r="BOO250" s="23"/>
      <c r="BOT250" s="26"/>
      <c r="BOX250" s="23"/>
      <c r="BPC250" s="26"/>
      <c r="BPG250" s="23"/>
      <c r="BPL250" s="26"/>
      <c r="BPP250" s="23"/>
      <c r="BPU250" s="26"/>
      <c r="BPY250" s="23"/>
      <c r="BQD250" s="26"/>
      <c r="BQH250" s="23"/>
      <c r="BQM250" s="26"/>
      <c r="BQQ250" s="23"/>
      <c r="BQV250" s="26"/>
      <c r="BQZ250" s="23"/>
      <c r="BRE250" s="26"/>
      <c r="BRI250" s="23"/>
      <c r="BRN250" s="26"/>
      <c r="BRR250" s="23"/>
      <c r="BRW250" s="26"/>
      <c r="BSA250" s="23"/>
      <c r="BSF250" s="26"/>
      <c r="BSJ250" s="23"/>
      <c r="BSO250" s="26"/>
      <c r="BSS250" s="23"/>
      <c r="BSX250" s="26"/>
      <c r="BTB250" s="23"/>
      <c r="BTG250" s="26"/>
      <c r="BTK250" s="23"/>
      <c r="BTP250" s="26"/>
      <c r="BTT250" s="23"/>
      <c r="BTY250" s="26"/>
      <c r="BUC250" s="23"/>
      <c r="BUH250" s="26"/>
      <c r="BUL250" s="23"/>
      <c r="BUQ250" s="26"/>
      <c r="BUU250" s="23"/>
      <c r="BUZ250" s="26"/>
      <c r="BVD250" s="23"/>
      <c r="BVI250" s="26"/>
      <c r="BVM250" s="23"/>
      <c r="BVR250" s="26"/>
      <c r="BVV250" s="23"/>
      <c r="BWA250" s="26"/>
      <c r="BWE250" s="23"/>
      <c r="BWJ250" s="26"/>
      <c r="BWN250" s="23"/>
      <c r="BWS250" s="26"/>
      <c r="BWW250" s="23"/>
      <c r="BXB250" s="26"/>
      <c r="BXF250" s="23"/>
      <c r="BXK250" s="26"/>
      <c r="BXO250" s="23"/>
      <c r="BXT250" s="26"/>
      <c r="BXX250" s="23"/>
      <c r="BYC250" s="26"/>
      <c r="BYG250" s="23"/>
      <c r="BYL250" s="26"/>
      <c r="BYP250" s="23"/>
      <c r="BYU250" s="26"/>
      <c r="BYY250" s="23"/>
      <c r="BZD250" s="26"/>
      <c r="BZH250" s="23"/>
      <c r="BZM250" s="26"/>
      <c r="BZQ250" s="23"/>
      <c r="BZV250" s="26"/>
      <c r="BZZ250" s="23"/>
      <c r="CAE250" s="26"/>
      <c r="CAI250" s="23"/>
      <c r="CAN250" s="26"/>
      <c r="CAR250" s="23"/>
      <c r="CAW250" s="26"/>
      <c r="CBA250" s="23"/>
      <c r="CBF250" s="26"/>
      <c r="CBJ250" s="23"/>
      <c r="CBO250" s="26"/>
      <c r="CBS250" s="23"/>
      <c r="CBX250" s="26"/>
      <c r="CCB250" s="23"/>
      <c r="CCG250" s="26"/>
      <c r="CCK250" s="23"/>
      <c r="CCP250" s="26"/>
      <c r="CCT250" s="23"/>
      <c r="CCY250" s="26"/>
      <c r="CDC250" s="23"/>
      <c r="CDH250" s="26"/>
      <c r="CDL250" s="23"/>
      <c r="CDQ250" s="26"/>
      <c r="CDU250" s="23"/>
      <c r="CDZ250" s="26"/>
      <c r="CED250" s="23"/>
      <c r="CEI250" s="26"/>
      <c r="CEM250" s="23"/>
      <c r="CER250" s="26"/>
      <c r="CEV250" s="23"/>
      <c r="CFA250" s="26"/>
      <c r="CFE250" s="23"/>
      <c r="CFJ250" s="26"/>
      <c r="CFN250" s="23"/>
      <c r="CFS250" s="26"/>
      <c r="CFW250" s="23"/>
      <c r="CGB250" s="26"/>
      <c r="CGF250" s="23"/>
      <c r="CGK250" s="26"/>
      <c r="CGO250" s="23"/>
      <c r="CGT250" s="26"/>
      <c r="CGX250" s="23"/>
      <c r="CHC250" s="26"/>
      <c r="CHG250" s="23"/>
      <c r="CHL250" s="26"/>
      <c r="CHP250" s="23"/>
      <c r="CHU250" s="26"/>
      <c r="CHY250" s="23"/>
      <c r="CID250" s="26"/>
      <c r="CIH250" s="23"/>
      <c r="CIM250" s="26"/>
      <c r="CIQ250" s="23"/>
      <c r="CIV250" s="26"/>
      <c r="CIZ250" s="23"/>
      <c r="CJE250" s="26"/>
      <c r="CJI250" s="23"/>
      <c r="CJN250" s="26"/>
      <c r="CJR250" s="23"/>
      <c r="CJW250" s="26"/>
      <c r="CKA250" s="23"/>
      <c r="CKF250" s="26"/>
      <c r="CKJ250" s="23"/>
      <c r="CKO250" s="26"/>
      <c r="CKS250" s="23"/>
      <c r="CKX250" s="26"/>
      <c r="CLB250" s="23"/>
      <c r="CLG250" s="26"/>
      <c r="CLK250" s="23"/>
      <c r="CLP250" s="26"/>
      <c r="CLT250" s="23"/>
      <c r="CLY250" s="26"/>
      <c r="CMC250" s="23"/>
      <c r="CMH250" s="26"/>
      <c r="CML250" s="23"/>
      <c r="CMQ250" s="26"/>
      <c r="CMU250" s="23"/>
      <c r="CMZ250" s="26"/>
      <c r="CND250" s="23"/>
      <c r="CNI250" s="26"/>
      <c r="CNM250" s="23"/>
      <c r="CNR250" s="26"/>
      <c r="CNV250" s="23"/>
      <c r="COA250" s="26"/>
      <c r="COE250" s="23"/>
      <c r="COJ250" s="26"/>
      <c r="CON250" s="23"/>
      <c r="COS250" s="26"/>
      <c r="COW250" s="23"/>
      <c r="CPB250" s="26"/>
      <c r="CPF250" s="23"/>
      <c r="CPK250" s="26"/>
      <c r="CPO250" s="23"/>
      <c r="CPT250" s="26"/>
      <c r="CPX250" s="23"/>
      <c r="CQC250" s="26"/>
      <c r="CQG250" s="23"/>
      <c r="CQL250" s="26"/>
      <c r="CQP250" s="23"/>
      <c r="CQU250" s="26"/>
      <c r="CQY250" s="23"/>
      <c r="CRD250" s="26"/>
      <c r="CRH250" s="23"/>
      <c r="CRM250" s="26"/>
      <c r="CRQ250" s="23"/>
      <c r="CRV250" s="26"/>
      <c r="CRZ250" s="23"/>
      <c r="CSE250" s="26"/>
      <c r="CSI250" s="23"/>
      <c r="CSN250" s="26"/>
      <c r="CSR250" s="23"/>
      <c r="CSW250" s="26"/>
      <c r="CTA250" s="23"/>
      <c r="CTF250" s="26"/>
      <c r="CTJ250" s="23"/>
      <c r="CTO250" s="26"/>
      <c r="CTS250" s="23"/>
      <c r="CTX250" s="26"/>
      <c r="CUB250" s="23"/>
      <c r="CUG250" s="26"/>
      <c r="CUK250" s="23"/>
      <c r="CUP250" s="26"/>
      <c r="CUT250" s="23"/>
      <c r="CUY250" s="26"/>
      <c r="CVC250" s="23"/>
      <c r="CVH250" s="26"/>
      <c r="CVL250" s="23"/>
      <c r="CVQ250" s="26"/>
      <c r="CVU250" s="23"/>
      <c r="CVZ250" s="26"/>
      <c r="CWD250" s="23"/>
      <c r="CWI250" s="26"/>
      <c r="CWM250" s="23"/>
      <c r="CWR250" s="26"/>
      <c r="CWV250" s="23"/>
      <c r="CXA250" s="26"/>
      <c r="CXE250" s="23"/>
      <c r="CXJ250" s="26"/>
      <c r="CXN250" s="23"/>
      <c r="CXS250" s="26"/>
      <c r="CXW250" s="23"/>
      <c r="CYB250" s="26"/>
      <c r="CYF250" s="23"/>
      <c r="CYK250" s="26"/>
      <c r="CYO250" s="23"/>
      <c r="CYT250" s="26"/>
      <c r="CYX250" s="23"/>
      <c r="CZC250" s="26"/>
      <c r="CZG250" s="23"/>
      <c r="CZL250" s="26"/>
      <c r="CZP250" s="23"/>
      <c r="CZU250" s="26"/>
      <c r="CZY250" s="23"/>
      <c r="DAD250" s="26"/>
      <c r="DAH250" s="23"/>
      <c r="DAM250" s="26"/>
      <c r="DAQ250" s="23"/>
      <c r="DAV250" s="26"/>
      <c r="DAZ250" s="23"/>
      <c r="DBE250" s="26"/>
      <c r="DBI250" s="23"/>
      <c r="DBN250" s="26"/>
      <c r="DBR250" s="23"/>
      <c r="DBW250" s="26"/>
      <c r="DCA250" s="23"/>
      <c r="DCF250" s="26"/>
      <c r="DCJ250" s="23"/>
      <c r="DCO250" s="26"/>
      <c r="DCS250" s="23"/>
      <c r="DCX250" s="26"/>
      <c r="DDB250" s="23"/>
      <c r="DDG250" s="26"/>
      <c r="DDK250" s="23"/>
      <c r="DDP250" s="26"/>
      <c r="DDT250" s="23"/>
      <c r="DDY250" s="26"/>
      <c r="DEC250" s="23"/>
      <c r="DEH250" s="26"/>
      <c r="DEL250" s="23"/>
      <c r="DEQ250" s="26"/>
      <c r="DEU250" s="23"/>
      <c r="DEZ250" s="26"/>
      <c r="DFD250" s="23"/>
      <c r="DFI250" s="26"/>
      <c r="DFM250" s="23"/>
      <c r="DFR250" s="26"/>
      <c r="DFV250" s="23"/>
      <c r="DGA250" s="26"/>
      <c r="DGE250" s="23"/>
      <c r="DGJ250" s="26"/>
      <c r="DGN250" s="23"/>
      <c r="DGS250" s="26"/>
      <c r="DGW250" s="23"/>
      <c r="DHB250" s="26"/>
      <c r="DHF250" s="23"/>
      <c r="DHK250" s="26"/>
      <c r="DHO250" s="23"/>
      <c r="DHT250" s="26"/>
      <c r="DHX250" s="23"/>
      <c r="DIC250" s="26"/>
      <c r="DIG250" s="23"/>
      <c r="DIL250" s="26"/>
      <c r="DIP250" s="23"/>
      <c r="DIU250" s="26"/>
      <c r="DIY250" s="23"/>
      <c r="DJD250" s="26"/>
      <c r="DJH250" s="23"/>
      <c r="DJM250" s="26"/>
      <c r="DJQ250" s="23"/>
      <c r="DJV250" s="26"/>
      <c r="DJZ250" s="23"/>
      <c r="DKE250" s="26"/>
      <c r="DKI250" s="23"/>
      <c r="DKN250" s="26"/>
      <c r="DKR250" s="23"/>
      <c r="DKW250" s="26"/>
      <c r="DLA250" s="23"/>
      <c r="DLF250" s="26"/>
      <c r="DLJ250" s="23"/>
      <c r="DLO250" s="26"/>
      <c r="DLS250" s="23"/>
      <c r="DLX250" s="26"/>
      <c r="DMB250" s="23"/>
      <c r="DMG250" s="26"/>
      <c r="DMK250" s="23"/>
      <c r="DMP250" s="26"/>
      <c r="DMT250" s="23"/>
      <c r="DMY250" s="26"/>
      <c r="DNC250" s="23"/>
      <c r="DNH250" s="26"/>
      <c r="DNL250" s="23"/>
      <c r="DNQ250" s="26"/>
      <c r="DNU250" s="23"/>
      <c r="DNZ250" s="26"/>
      <c r="DOD250" s="23"/>
      <c r="DOI250" s="26"/>
      <c r="DOM250" s="23"/>
      <c r="DOR250" s="26"/>
      <c r="DOV250" s="23"/>
      <c r="DPA250" s="26"/>
      <c r="DPE250" s="23"/>
      <c r="DPJ250" s="26"/>
      <c r="DPN250" s="23"/>
      <c r="DPS250" s="26"/>
      <c r="DPW250" s="23"/>
      <c r="DQB250" s="26"/>
      <c r="DQF250" s="23"/>
      <c r="DQK250" s="26"/>
      <c r="DQO250" s="23"/>
      <c r="DQT250" s="26"/>
      <c r="DQX250" s="23"/>
      <c r="DRC250" s="26"/>
      <c r="DRG250" s="23"/>
      <c r="DRL250" s="26"/>
      <c r="DRP250" s="23"/>
      <c r="DRU250" s="26"/>
      <c r="DRY250" s="23"/>
      <c r="DSD250" s="26"/>
      <c r="DSH250" s="23"/>
      <c r="DSM250" s="26"/>
      <c r="DSQ250" s="23"/>
      <c r="DSV250" s="26"/>
      <c r="DSZ250" s="23"/>
      <c r="DTE250" s="26"/>
      <c r="DTI250" s="23"/>
      <c r="DTN250" s="26"/>
      <c r="DTR250" s="23"/>
      <c r="DTW250" s="26"/>
      <c r="DUA250" s="23"/>
      <c r="DUF250" s="26"/>
      <c r="DUJ250" s="23"/>
      <c r="DUO250" s="26"/>
      <c r="DUS250" s="23"/>
      <c r="DUX250" s="26"/>
      <c r="DVB250" s="23"/>
      <c r="DVG250" s="26"/>
      <c r="DVK250" s="23"/>
      <c r="DVP250" s="26"/>
      <c r="DVT250" s="23"/>
      <c r="DVY250" s="26"/>
      <c r="DWC250" s="23"/>
      <c r="DWH250" s="26"/>
      <c r="DWL250" s="23"/>
      <c r="DWQ250" s="26"/>
      <c r="DWU250" s="23"/>
      <c r="DWZ250" s="26"/>
      <c r="DXD250" s="23"/>
      <c r="DXI250" s="26"/>
      <c r="DXM250" s="23"/>
      <c r="DXR250" s="26"/>
      <c r="DXV250" s="23"/>
      <c r="DYA250" s="26"/>
      <c r="DYE250" s="23"/>
      <c r="DYJ250" s="26"/>
      <c r="DYN250" s="23"/>
      <c r="DYS250" s="26"/>
      <c r="DYW250" s="23"/>
      <c r="DZB250" s="26"/>
      <c r="DZF250" s="23"/>
      <c r="DZK250" s="26"/>
      <c r="DZO250" s="23"/>
      <c r="DZT250" s="26"/>
      <c r="DZX250" s="23"/>
      <c r="EAC250" s="26"/>
      <c r="EAG250" s="23"/>
      <c r="EAL250" s="26"/>
      <c r="EAP250" s="23"/>
      <c r="EAU250" s="26"/>
      <c r="EAY250" s="23"/>
      <c r="EBD250" s="26"/>
      <c r="EBH250" s="23"/>
      <c r="EBM250" s="26"/>
      <c r="EBQ250" s="23"/>
      <c r="EBV250" s="26"/>
      <c r="EBZ250" s="23"/>
      <c r="ECE250" s="26"/>
      <c r="ECI250" s="23"/>
      <c r="ECN250" s="26"/>
      <c r="ECR250" s="23"/>
      <c r="ECW250" s="26"/>
      <c r="EDA250" s="23"/>
      <c r="EDF250" s="26"/>
      <c r="EDJ250" s="23"/>
      <c r="EDO250" s="26"/>
      <c r="EDS250" s="23"/>
      <c r="EDX250" s="26"/>
      <c r="EEB250" s="23"/>
      <c r="EEG250" s="26"/>
      <c r="EEK250" s="23"/>
      <c r="EEP250" s="26"/>
      <c r="EET250" s="23"/>
      <c r="EEY250" s="26"/>
      <c r="EFC250" s="23"/>
      <c r="EFH250" s="26"/>
      <c r="EFL250" s="23"/>
      <c r="EFQ250" s="26"/>
      <c r="EFU250" s="23"/>
      <c r="EFZ250" s="26"/>
      <c r="EGD250" s="23"/>
      <c r="EGI250" s="26"/>
      <c r="EGM250" s="23"/>
      <c r="EGR250" s="26"/>
      <c r="EGV250" s="23"/>
      <c r="EHA250" s="26"/>
      <c r="EHE250" s="23"/>
      <c r="EHJ250" s="26"/>
      <c r="EHN250" s="23"/>
      <c r="EHS250" s="26"/>
      <c r="EHW250" s="23"/>
      <c r="EIB250" s="26"/>
      <c r="EIF250" s="23"/>
      <c r="EIK250" s="26"/>
      <c r="EIO250" s="23"/>
      <c r="EIT250" s="26"/>
      <c r="EIX250" s="23"/>
      <c r="EJC250" s="26"/>
      <c r="EJG250" s="23"/>
      <c r="EJL250" s="26"/>
      <c r="EJP250" s="23"/>
      <c r="EJU250" s="26"/>
      <c r="EJY250" s="23"/>
      <c r="EKD250" s="26"/>
      <c r="EKH250" s="23"/>
      <c r="EKM250" s="26"/>
      <c r="EKQ250" s="23"/>
      <c r="EKV250" s="26"/>
      <c r="EKZ250" s="23"/>
      <c r="ELE250" s="26"/>
      <c r="ELI250" s="23"/>
      <c r="ELN250" s="26"/>
      <c r="ELR250" s="23"/>
      <c r="ELW250" s="26"/>
      <c r="EMA250" s="23"/>
      <c r="EMF250" s="26"/>
      <c r="EMJ250" s="23"/>
      <c r="EMO250" s="26"/>
      <c r="EMS250" s="23"/>
      <c r="EMX250" s="26"/>
      <c r="ENB250" s="23"/>
      <c r="ENG250" s="26"/>
      <c r="ENK250" s="23"/>
      <c r="ENP250" s="26"/>
      <c r="ENT250" s="23"/>
      <c r="ENY250" s="26"/>
      <c r="EOC250" s="23"/>
      <c r="EOH250" s="26"/>
      <c r="EOL250" s="23"/>
      <c r="EOQ250" s="26"/>
      <c r="EOU250" s="23"/>
      <c r="EOZ250" s="26"/>
      <c r="EPD250" s="23"/>
      <c r="EPI250" s="26"/>
      <c r="EPM250" s="23"/>
      <c r="EPR250" s="26"/>
      <c r="EPV250" s="23"/>
      <c r="EQA250" s="26"/>
      <c r="EQE250" s="23"/>
      <c r="EQJ250" s="26"/>
      <c r="EQN250" s="23"/>
      <c r="EQS250" s="26"/>
      <c r="EQW250" s="23"/>
      <c r="ERB250" s="26"/>
      <c r="ERF250" s="23"/>
      <c r="ERK250" s="26"/>
      <c r="ERO250" s="23"/>
      <c r="ERT250" s="26"/>
      <c r="ERX250" s="23"/>
      <c r="ESC250" s="26"/>
      <c r="ESG250" s="23"/>
      <c r="ESL250" s="26"/>
      <c r="ESP250" s="23"/>
      <c r="ESU250" s="26"/>
      <c r="ESY250" s="23"/>
      <c r="ETD250" s="26"/>
      <c r="ETH250" s="23"/>
      <c r="ETM250" s="26"/>
      <c r="ETQ250" s="23"/>
      <c r="ETV250" s="26"/>
      <c r="ETZ250" s="23"/>
      <c r="EUE250" s="26"/>
      <c r="EUI250" s="23"/>
      <c r="EUN250" s="26"/>
      <c r="EUR250" s="23"/>
      <c r="EUW250" s="26"/>
      <c r="EVA250" s="23"/>
      <c r="EVF250" s="26"/>
      <c r="EVJ250" s="23"/>
      <c r="EVO250" s="26"/>
      <c r="EVS250" s="23"/>
      <c r="EVX250" s="26"/>
      <c r="EWB250" s="23"/>
      <c r="EWG250" s="26"/>
      <c r="EWK250" s="23"/>
      <c r="EWP250" s="26"/>
      <c r="EWT250" s="23"/>
      <c r="EWY250" s="26"/>
      <c r="EXC250" s="23"/>
      <c r="EXH250" s="26"/>
      <c r="EXL250" s="23"/>
      <c r="EXQ250" s="26"/>
      <c r="EXU250" s="23"/>
      <c r="EXZ250" s="26"/>
      <c r="EYD250" s="23"/>
      <c r="EYI250" s="26"/>
      <c r="EYM250" s="23"/>
      <c r="EYR250" s="26"/>
      <c r="EYV250" s="23"/>
      <c r="EZA250" s="26"/>
      <c r="EZE250" s="23"/>
      <c r="EZJ250" s="26"/>
      <c r="EZN250" s="23"/>
      <c r="EZS250" s="26"/>
      <c r="EZW250" s="23"/>
      <c r="FAB250" s="26"/>
      <c r="FAF250" s="23"/>
      <c r="FAK250" s="26"/>
      <c r="FAO250" s="23"/>
      <c r="FAT250" s="26"/>
      <c r="FAX250" s="23"/>
      <c r="FBC250" s="26"/>
      <c r="FBG250" s="23"/>
      <c r="FBL250" s="26"/>
      <c r="FBP250" s="23"/>
      <c r="FBU250" s="26"/>
      <c r="FBY250" s="23"/>
      <c r="FCD250" s="26"/>
      <c r="FCH250" s="23"/>
      <c r="FCM250" s="26"/>
      <c r="FCQ250" s="23"/>
      <c r="FCV250" s="26"/>
      <c r="FCZ250" s="23"/>
      <c r="FDE250" s="26"/>
      <c r="FDI250" s="23"/>
      <c r="FDN250" s="26"/>
      <c r="FDR250" s="23"/>
      <c r="FDW250" s="26"/>
      <c r="FEA250" s="23"/>
      <c r="FEF250" s="26"/>
      <c r="FEJ250" s="23"/>
      <c r="FEO250" s="26"/>
      <c r="FES250" s="23"/>
      <c r="FEX250" s="26"/>
      <c r="FFB250" s="23"/>
      <c r="FFG250" s="26"/>
      <c r="FFK250" s="23"/>
      <c r="FFP250" s="26"/>
      <c r="FFT250" s="23"/>
      <c r="FFY250" s="26"/>
      <c r="FGC250" s="23"/>
      <c r="FGH250" s="26"/>
      <c r="FGL250" s="23"/>
      <c r="FGQ250" s="26"/>
      <c r="FGU250" s="23"/>
      <c r="FGZ250" s="26"/>
      <c r="FHD250" s="23"/>
      <c r="FHI250" s="26"/>
      <c r="FHM250" s="23"/>
      <c r="FHR250" s="26"/>
      <c r="FHV250" s="23"/>
      <c r="FIA250" s="26"/>
      <c r="FIE250" s="23"/>
      <c r="FIJ250" s="26"/>
      <c r="FIN250" s="23"/>
      <c r="FIS250" s="26"/>
      <c r="FIW250" s="23"/>
      <c r="FJB250" s="26"/>
      <c r="FJF250" s="23"/>
      <c r="FJK250" s="26"/>
      <c r="FJO250" s="23"/>
      <c r="FJT250" s="26"/>
      <c r="FJX250" s="23"/>
      <c r="FKC250" s="26"/>
      <c r="FKG250" s="23"/>
      <c r="FKL250" s="26"/>
      <c r="FKP250" s="23"/>
      <c r="FKU250" s="26"/>
      <c r="FKY250" s="23"/>
      <c r="FLD250" s="26"/>
      <c r="FLH250" s="23"/>
      <c r="FLM250" s="26"/>
      <c r="FLQ250" s="23"/>
      <c r="FLV250" s="26"/>
      <c r="FLZ250" s="23"/>
      <c r="FME250" s="26"/>
      <c r="FMI250" s="23"/>
      <c r="FMN250" s="26"/>
      <c r="FMR250" s="23"/>
      <c r="FMW250" s="26"/>
      <c r="FNA250" s="23"/>
      <c r="FNF250" s="26"/>
      <c r="FNJ250" s="23"/>
      <c r="FNO250" s="26"/>
      <c r="FNS250" s="23"/>
      <c r="FNX250" s="26"/>
      <c r="FOB250" s="23"/>
      <c r="FOG250" s="26"/>
      <c r="FOK250" s="23"/>
      <c r="FOP250" s="26"/>
      <c r="FOT250" s="23"/>
      <c r="FOY250" s="26"/>
      <c r="FPC250" s="23"/>
      <c r="FPH250" s="26"/>
      <c r="FPL250" s="23"/>
      <c r="FPQ250" s="26"/>
      <c r="FPU250" s="23"/>
      <c r="FPZ250" s="26"/>
      <c r="FQD250" s="23"/>
      <c r="FQI250" s="26"/>
      <c r="FQM250" s="23"/>
      <c r="FQR250" s="26"/>
      <c r="FQV250" s="23"/>
      <c r="FRA250" s="26"/>
      <c r="FRE250" s="23"/>
      <c r="FRJ250" s="26"/>
      <c r="FRN250" s="23"/>
      <c r="FRS250" s="26"/>
      <c r="FRW250" s="23"/>
      <c r="FSB250" s="26"/>
      <c r="FSF250" s="23"/>
      <c r="FSK250" s="26"/>
      <c r="FSO250" s="23"/>
      <c r="FST250" s="26"/>
      <c r="FSX250" s="23"/>
      <c r="FTC250" s="26"/>
      <c r="FTG250" s="23"/>
      <c r="FTL250" s="26"/>
      <c r="FTP250" s="23"/>
      <c r="FTU250" s="26"/>
      <c r="FTY250" s="23"/>
      <c r="FUD250" s="26"/>
      <c r="FUH250" s="23"/>
      <c r="FUM250" s="26"/>
      <c r="FUQ250" s="23"/>
      <c r="FUV250" s="26"/>
      <c r="FUZ250" s="23"/>
      <c r="FVE250" s="26"/>
      <c r="FVI250" s="23"/>
      <c r="FVN250" s="26"/>
      <c r="FVR250" s="23"/>
      <c r="FVW250" s="26"/>
      <c r="FWA250" s="23"/>
      <c r="FWF250" s="26"/>
      <c r="FWJ250" s="23"/>
      <c r="FWO250" s="26"/>
      <c r="FWS250" s="23"/>
      <c r="FWX250" s="26"/>
      <c r="FXB250" s="23"/>
      <c r="FXG250" s="26"/>
      <c r="FXK250" s="23"/>
      <c r="FXP250" s="26"/>
      <c r="FXT250" s="23"/>
      <c r="FXY250" s="26"/>
      <c r="FYC250" s="23"/>
      <c r="FYH250" s="26"/>
      <c r="FYL250" s="23"/>
      <c r="FYQ250" s="26"/>
      <c r="FYU250" s="23"/>
      <c r="FYZ250" s="26"/>
      <c r="FZD250" s="23"/>
      <c r="FZI250" s="26"/>
      <c r="FZM250" s="23"/>
      <c r="FZR250" s="26"/>
      <c r="FZV250" s="23"/>
      <c r="GAA250" s="26"/>
      <c r="GAE250" s="23"/>
      <c r="GAJ250" s="26"/>
      <c r="GAN250" s="23"/>
      <c r="GAS250" s="26"/>
      <c r="GAW250" s="23"/>
      <c r="GBB250" s="26"/>
      <c r="GBF250" s="23"/>
      <c r="GBK250" s="26"/>
      <c r="GBO250" s="23"/>
      <c r="GBT250" s="26"/>
      <c r="GBX250" s="23"/>
      <c r="GCC250" s="26"/>
      <c r="GCG250" s="23"/>
      <c r="GCL250" s="26"/>
      <c r="GCP250" s="23"/>
      <c r="GCU250" s="26"/>
      <c r="GCY250" s="23"/>
      <c r="GDD250" s="26"/>
      <c r="GDH250" s="23"/>
      <c r="GDM250" s="26"/>
      <c r="GDQ250" s="23"/>
      <c r="GDV250" s="26"/>
      <c r="GDZ250" s="23"/>
      <c r="GEE250" s="26"/>
      <c r="GEI250" s="23"/>
      <c r="GEN250" s="26"/>
      <c r="GER250" s="23"/>
      <c r="GEW250" s="26"/>
      <c r="GFA250" s="23"/>
      <c r="GFF250" s="26"/>
      <c r="GFJ250" s="23"/>
      <c r="GFO250" s="26"/>
      <c r="GFS250" s="23"/>
      <c r="GFX250" s="26"/>
      <c r="GGB250" s="23"/>
      <c r="GGG250" s="26"/>
      <c r="GGK250" s="23"/>
      <c r="GGP250" s="26"/>
      <c r="GGT250" s="23"/>
      <c r="GGY250" s="26"/>
      <c r="GHC250" s="23"/>
      <c r="GHH250" s="26"/>
      <c r="GHL250" s="23"/>
      <c r="GHQ250" s="26"/>
      <c r="GHU250" s="23"/>
      <c r="GHZ250" s="26"/>
      <c r="GID250" s="23"/>
      <c r="GII250" s="26"/>
      <c r="GIM250" s="23"/>
      <c r="GIR250" s="26"/>
      <c r="GIV250" s="23"/>
      <c r="GJA250" s="26"/>
      <c r="GJE250" s="23"/>
      <c r="GJJ250" s="26"/>
      <c r="GJN250" s="23"/>
      <c r="GJS250" s="26"/>
      <c r="GJW250" s="23"/>
      <c r="GKB250" s="26"/>
      <c r="GKF250" s="23"/>
      <c r="GKK250" s="26"/>
      <c r="GKO250" s="23"/>
      <c r="GKT250" s="26"/>
      <c r="GKX250" s="23"/>
      <c r="GLC250" s="26"/>
      <c r="GLG250" s="23"/>
      <c r="GLL250" s="26"/>
      <c r="GLP250" s="23"/>
      <c r="GLU250" s="26"/>
      <c r="GLY250" s="23"/>
      <c r="GMD250" s="26"/>
      <c r="GMH250" s="23"/>
      <c r="GMM250" s="26"/>
      <c r="GMQ250" s="23"/>
      <c r="GMV250" s="26"/>
      <c r="GMZ250" s="23"/>
      <c r="GNE250" s="26"/>
      <c r="GNI250" s="23"/>
      <c r="GNN250" s="26"/>
      <c r="GNR250" s="23"/>
      <c r="GNW250" s="26"/>
      <c r="GOA250" s="23"/>
      <c r="GOF250" s="26"/>
      <c r="GOJ250" s="23"/>
      <c r="GOO250" s="26"/>
      <c r="GOS250" s="23"/>
      <c r="GOX250" s="26"/>
      <c r="GPB250" s="23"/>
      <c r="GPG250" s="26"/>
      <c r="GPK250" s="23"/>
      <c r="GPP250" s="26"/>
      <c r="GPT250" s="23"/>
      <c r="GPY250" s="26"/>
      <c r="GQC250" s="23"/>
      <c r="GQH250" s="26"/>
      <c r="GQL250" s="23"/>
      <c r="GQQ250" s="26"/>
      <c r="GQU250" s="23"/>
      <c r="GQZ250" s="26"/>
      <c r="GRD250" s="23"/>
      <c r="GRI250" s="26"/>
      <c r="GRM250" s="23"/>
      <c r="GRR250" s="26"/>
      <c r="GRV250" s="23"/>
      <c r="GSA250" s="26"/>
      <c r="GSE250" s="23"/>
      <c r="GSJ250" s="26"/>
      <c r="GSN250" s="23"/>
      <c r="GSS250" s="26"/>
      <c r="GSW250" s="23"/>
      <c r="GTB250" s="26"/>
      <c r="GTF250" s="23"/>
      <c r="GTK250" s="26"/>
      <c r="GTO250" s="23"/>
      <c r="GTT250" s="26"/>
      <c r="GTX250" s="23"/>
      <c r="GUC250" s="26"/>
      <c r="GUG250" s="23"/>
      <c r="GUL250" s="26"/>
      <c r="GUP250" s="23"/>
      <c r="GUU250" s="26"/>
      <c r="GUY250" s="23"/>
      <c r="GVD250" s="26"/>
      <c r="GVH250" s="23"/>
      <c r="GVM250" s="26"/>
      <c r="GVQ250" s="23"/>
      <c r="GVV250" s="26"/>
      <c r="GVZ250" s="23"/>
      <c r="GWE250" s="26"/>
      <c r="GWI250" s="23"/>
      <c r="GWN250" s="26"/>
      <c r="GWR250" s="23"/>
      <c r="GWW250" s="26"/>
      <c r="GXA250" s="23"/>
      <c r="GXF250" s="26"/>
      <c r="GXJ250" s="23"/>
      <c r="GXO250" s="26"/>
      <c r="GXS250" s="23"/>
      <c r="GXX250" s="26"/>
      <c r="GYB250" s="23"/>
      <c r="GYG250" s="26"/>
      <c r="GYK250" s="23"/>
      <c r="GYP250" s="26"/>
      <c r="GYT250" s="23"/>
      <c r="GYY250" s="26"/>
      <c r="GZC250" s="23"/>
      <c r="GZH250" s="26"/>
      <c r="GZL250" s="23"/>
      <c r="GZQ250" s="26"/>
      <c r="GZU250" s="23"/>
      <c r="GZZ250" s="26"/>
      <c r="HAD250" s="23"/>
      <c r="HAI250" s="26"/>
      <c r="HAM250" s="23"/>
      <c r="HAR250" s="26"/>
      <c r="HAV250" s="23"/>
      <c r="HBA250" s="26"/>
      <c r="HBE250" s="23"/>
      <c r="HBJ250" s="26"/>
      <c r="HBN250" s="23"/>
      <c r="HBS250" s="26"/>
      <c r="HBW250" s="23"/>
      <c r="HCB250" s="26"/>
      <c r="HCF250" s="23"/>
      <c r="HCK250" s="26"/>
      <c r="HCO250" s="23"/>
      <c r="HCT250" s="26"/>
      <c r="HCX250" s="23"/>
      <c r="HDC250" s="26"/>
      <c r="HDG250" s="23"/>
      <c r="HDL250" s="26"/>
      <c r="HDP250" s="23"/>
      <c r="HDU250" s="26"/>
      <c r="HDY250" s="23"/>
      <c r="HED250" s="26"/>
      <c r="HEH250" s="23"/>
      <c r="HEM250" s="26"/>
      <c r="HEQ250" s="23"/>
      <c r="HEV250" s="26"/>
      <c r="HEZ250" s="23"/>
      <c r="HFE250" s="26"/>
      <c r="HFI250" s="23"/>
      <c r="HFN250" s="26"/>
      <c r="HFR250" s="23"/>
      <c r="HFW250" s="26"/>
      <c r="HGA250" s="23"/>
      <c r="HGF250" s="26"/>
      <c r="HGJ250" s="23"/>
      <c r="HGO250" s="26"/>
      <c r="HGS250" s="23"/>
      <c r="HGX250" s="26"/>
      <c r="HHB250" s="23"/>
      <c r="HHG250" s="26"/>
      <c r="HHK250" s="23"/>
      <c r="HHP250" s="26"/>
      <c r="HHT250" s="23"/>
      <c r="HHY250" s="26"/>
      <c r="HIC250" s="23"/>
      <c r="HIH250" s="26"/>
      <c r="HIL250" s="23"/>
      <c r="HIQ250" s="26"/>
      <c r="HIU250" s="23"/>
      <c r="HIZ250" s="26"/>
      <c r="HJD250" s="23"/>
      <c r="HJI250" s="26"/>
      <c r="HJM250" s="23"/>
      <c r="HJR250" s="26"/>
      <c r="HJV250" s="23"/>
      <c r="HKA250" s="26"/>
      <c r="HKE250" s="23"/>
      <c r="HKJ250" s="26"/>
      <c r="HKN250" s="23"/>
      <c r="HKS250" s="26"/>
      <c r="HKW250" s="23"/>
      <c r="HLB250" s="26"/>
      <c r="HLF250" s="23"/>
      <c r="HLK250" s="26"/>
      <c r="HLO250" s="23"/>
      <c r="HLT250" s="26"/>
      <c r="HLX250" s="23"/>
      <c r="HMC250" s="26"/>
      <c r="HMG250" s="23"/>
      <c r="HML250" s="26"/>
      <c r="HMP250" s="23"/>
      <c r="HMU250" s="26"/>
      <c r="HMY250" s="23"/>
      <c r="HND250" s="26"/>
      <c r="HNH250" s="23"/>
      <c r="HNM250" s="26"/>
      <c r="HNQ250" s="23"/>
      <c r="HNV250" s="26"/>
      <c r="HNZ250" s="23"/>
      <c r="HOE250" s="26"/>
      <c r="HOI250" s="23"/>
      <c r="HON250" s="26"/>
      <c r="HOR250" s="23"/>
      <c r="HOW250" s="26"/>
      <c r="HPA250" s="23"/>
      <c r="HPF250" s="26"/>
      <c r="HPJ250" s="23"/>
      <c r="HPO250" s="26"/>
      <c r="HPS250" s="23"/>
      <c r="HPX250" s="26"/>
      <c r="HQB250" s="23"/>
      <c r="HQG250" s="26"/>
      <c r="HQK250" s="23"/>
      <c r="HQP250" s="26"/>
      <c r="HQT250" s="23"/>
      <c r="HQY250" s="26"/>
      <c r="HRC250" s="23"/>
      <c r="HRH250" s="26"/>
      <c r="HRL250" s="23"/>
      <c r="HRQ250" s="26"/>
      <c r="HRU250" s="23"/>
      <c r="HRZ250" s="26"/>
      <c r="HSD250" s="23"/>
      <c r="HSI250" s="26"/>
      <c r="HSM250" s="23"/>
      <c r="HSR250" s="26"/>
      <c r="HSV250" s="23"/>
      <c r="HTA250" s="26"/>
      <c r="HTE250" s="23"/>
      <c r="HTJ250" s="26"/>
      <c r="HTN250" s="23"/>
      <c r="HTS250" s="26"/>
      <c r="HTW250" s="23"/>
      <c r="HUB250" s="26"/>
      <c r="HUF250" s="23"/>
      <c r="HUK250" s="26"/>
      <c r="HUO250" s="23"/>
      <c r="HUT250" s="26"/>
      <c r="HUX250" s="23"/>
      <c r="HVC250" s="26"/>
      <c r="HVG250" s="23"/>
      <c r="HVL250" s="26"/>
      <c r="HVP250" s="23"/>
      <c r="HVU250" s="26"/>
      <c r="HVY250" s="23"/>
      <c r="HWD250" s="26"/>
      <c r="HWH250" s="23"/>
      <c r="HWM250" s="26"/>
      <c r="HWQ250" s="23"/>
      <c r="HWV250" s="26"/>
      <c r="HWZ250" s="23"/>
      <c r="HXE250" s="26"/>
      <c r="HXI250" s="23"/>
      <c r="HXN250" s="26"/>
      <c r="HXR250" s="23"/>
      <c r="HXW250" s="26"/>
      <c r="HYA250" s="23"/>
      <c r="HYF250" s="26"/>
      <c r="HYJ250" s="23"/>
      <c r="HYO250" s="26"/>
      <c r="HYS250" s="23"/>
      <c r="HYX250" s="26"/>
      <c r="HZB250" s="23"/>
      <c r="HZG250" s="26"/>
      <c r="HZK250" s="23"/>
      <c r="HZP250" s="26"/>
      <c r="HZT250" s="23"/>
      <c r="HZY250" s="26"/>
      <c r="IAC250" s="23"/>
      <c r="IAH250" s="26"/>
      <c r="IAL250" s="23"/>
      <c r="IAQ250" s="26"/>
      <c r="IAU250" s="23"/>
      <c r="IAZ250" s="26"/>
      <c r="IBD250" s="23"/>
      <c r="IBI250" s="26"/>
      <c r="IBM250" s="23"/>
      <c r="IBR250" s="26"/>
      <c r="IBV250" s="23"/>
      <c r="ICA250" s="26"/>
      <c r="ICE250" s="23"/>
      <c r="ICJ250" s="26"/>
      <c r="ICN250" s="23"/>
      <c r="ICS250" s="26"/>
      <c r="ICW250" s="23"/>
      <c r="IDB250" s="26"/>
      <c r="IDF250" s="23"/>
      <c r="IDK250" s="26"/>
      <c r="IDO250" s="23"/>
      <c r="IDT250" s="26"/>
      <c r="IDX250" s="23"/>
      <c r="IEC250" s="26"/>
      <c r="IEG250" s="23"/>
      <c r="IEL250" s="26"/>
      <c r="IEP250" s="23"/>
      <c r="IEU250" s="26"/>
      <c r="IEY250" s="23"/>
      <c r="IFD250" s="26"/>
      <c r="IFH250" s="23"/>
      <c r="IFM250" s="26"/>
      <c r="IFQ250" s="23"/>
      <c r="IFV250" s="26"/>
      <c r="IFZ250" s="23"/>
      <c r="IGE250" s="26"/>
      <c r="IGI250" s="23"/>
      <c r="IGN250" s="26"/>
      <c r="IGR250" s="23"/>
      <c r="IGW250" s="26"/>
      <c r="IHA250" s="23"/>
      <c r="IHF250" s="26"/>
      <c r="IHJ250" s="23"/>
      <c r="IHO250" s="26"/>
      <c r="IHS250" s="23"/>
      <c r="IHX250" s="26"/>
      <c r="IIB250" s="23"/>
      <c r="IIG250" s="26"/>
      <c r="IIK250" s="23"/>
      <c r="IIP250" s="26"/>
      <c r="IIT250" s="23"/>
      <c r="IIY250" s="26"/>
      <c r="IJC250" s="23"/>
      <c r="IJH250" s="26"/>
      <c r="IJL250" s="23"/>
      <c r="IJQ250" s="26"/>
      <c r="IJU250" s="23"/>
      <c r="IJZ250" s="26"/>
      <c r="IKD250" s="23"/>
      <c r="IKI250" s="26"/>
      <c r="IKM250" s="23"/>
      <c r="IKR250" s="26"/>
      <c r="IKV250" s="23"/>
      <c r="ILA250" s="26"/>
      <c r="ILE250" s="23"/>
      <c r="ILJ250" s="26"/>
      <c r="ILN250" s="23"/>
      <c r="ILS250" s="26"/>
      <c r="ILW250" s="23"/>
      <c r="IMB250" s="26"/>
      <c r="IMF250" s="23"/>
      <c r="IMK250" s="26"/>
      <c r="IMO250" s="23"/>
      <c r="IMT250" s="26"/>
      <c r="IMX250" s="23"/>
      <c r="INC250" s="26"/>
      <c r="ING250" s="23"/>
      <c r="INL250" s="26"/>
      <c r="INP250" s="23"/>
      <c r="INU250" s="26"/>
      <c r="INY250" s="23"/>
      <c r="IOD250" s="26"/>
      <c r="IOH250" s="23"/>
      <c r="IOM250" s="26"/>
      <c r="IOQ250" s="23"/>
      <c r="IOV250" s="26"/>
      <c r="IOZ250" s="23"/>
      <c r="IPE250" s="26"/>
      <c r="IPI250" s="23"/>
      <c r="IPN250" s="26"/>
      <c r="IPR250" s="23"/>
      <c r="IPW250" s="26"/>
      <c r="IQA250" s="23"/>
      <c r="IQF250" s="26"/>
      <c r="IQJ250" s="23"/>
      <c r="IQO250" s="26"/>
      <c r="IQS250" s="23"/>
      <c r="IQX250" s="26"/>
      <c r="IRB250" s="23"/>
      <c r="IRG250" s="26"/>
      <c r="IRK250" s="23"/>
      <c r="IRP250" s="26"/>
      <c r="IRT250" s="23"/>
      <c r="IRY250" s="26"/>
      <c r="ISC250" s="23"/>
      <c r="ISH250" s="26"/>
      <c r="ISL250" s="23"/>
      <c r="ISQ250" s="26"/>
      <c r="ISU250" s="23"/>
      <c r="ISZ250" s="26"/>
      <c r="ITD250" s="23"/>
      <c r="ITI250" s="26"/>
      <c r="ITM250" s="23"/>
      <c r="ITR250" s="26"/>
      <c r="ITV250" s="23"/>
      <c r="IUA250" s="26"/>
      <c r="IUE250" s="23"/>
      <c r="IUJ250" s="26"/>
      <c r="IUN250" s="23"/>
      <c r="IUS250" s="26"/>
      <c r="IUW250" s="23"/>
      <c r="IVB250" s="26"/>
      <c r="IVF250" s="23"/>
      <c r="IVK250" s="26"/>
      <c r="IVO250" s="23"/>
      <c r="IVT250" s="26"/>
      <c r="IVX250" s="23"/>
      <c r="IWC250" s="26"/>
      <c r="IWG250" s="23"/>
      <c r="IWL250" s="26"/>
      <c r="IWP250" s="23"/>
      <c r="IWU250" s="26"/>
      <c r="IWY250" s="23"/>
      <c r="IXD250" s="26"/>
      <c r="IXH250" s="23"/>
      <c r="IXM250" s="26"/>
      <c r="IXQ250" s="23"/>
      <c r="IXV250" s="26"/>
      <c r="IXZ250" s="23"/>
      <c r="IYE250" s="26"/>
      <c r="IYI250" s="23"/>
      <c r="IYN250" s="26"/>
      <c r="IYR250" s="23"/>
      <c r="IYW250" s="26"/>
      <c r="IZA250" s="23"/>
      <c r="IZF250" s="26"/>
      <c r="IZJ250" s="23"/>
      <c r="IZO250" s="26"/>
      <c r="IZS250" s="23"/>
      <c r="IZX250" s="26"/>
      <c r="JAB250" s="23"/>
      <c r="JAG250" s="26"/>
      <c r="JAK250" s="23"/>
      <c r="JAP250" s="26"/>
      <c r="JAT250" s="23"/>
      <c r="JAY250" s="26"/>
      <c r="JBC250" s="23"/>
      <c r="JBH250" s="26"/>
      <c r="JBL250" s="23"/>
      <c r="JBQ250" s="26"/>
      <c r="JBU250" s="23"/>
      <c r="JBZ250" s="26"/>
      <c r="JCD250" s="23"/>
      <c r="JCI250" s="26"/>
      <c r="JCM250" s="23"/>
      <c r="JCR250" s="26"/>
      <c r="JCV250" s="23"/>
      <c r="JDA250" s="26"/>
      <c r="JDE250" s="23"/>
      <c r="JDJ250" s="26"/>
      <c r="JDN250" s="23"/>
      <c r="JDS250" s="26"/>
      <c r="JDW250" s="23"/>
      <c r="JEB250" s="26"/>
      <c r="JEF250" s="23"/>
      <c r="JEK250" s="26"/>
      <c r="JEO250" s="23"/>
      <c r="JET250" s="26"/>
      <c r="JEX250" s="23"/>
      <c r="JFC250" s="26"/>
      <c r="JFG250" s="23"/>
      <c r="JFL250" s="26"/>
      <c r="JFP250" s="23"/>
      <c r="JFU250" s="26"/>
      <c r="JFY250" s="23"/>
      <c r="JGD250" s="26"/>
      <c r="JGH250" s="23"/>
      <c r="JGM250" s="26"/>
      <c r="JGQ250" s="23"/>
      <c r="JGV250" s="26"/>
      <c r="JGZ250" s="23"/>
      <c r="JHE250" s="26"/>
      <c r="JHI250" s="23"/>
      <c r="JHN250" s="26"/>
      <c r="JHR250" s="23"/>
      <c r="JHW250" s="26"/>
      <c r="JIA250" s="23"/>
      <c r="JIF250" s="26"/>
      <c r="JIJ250" s="23"/>
      <c r="JIO250" s="26"/>
      <c r="JIS250" s="23"/>
      <c r="JIX250" s="26"/>
      <c r="JJB250" s="23"/>
      <c r="JJG250" s="26"/>
      <c r="JJK250" s="23"/>
      <c r="JJP250" s="26"/>
      <c r="JJT250" s="23"/>
      <c r="JJY250" s="26"/>
      <c r="JKC250" s="23"/>
      <c r="JKH250" s="26"/>
      <c r="JKL250" s="23"/>
      <c r="JKQ250" s="26"/>
      <c r="JKU250" s="23"/>
      <c r="JKZ250" s="26"/>
      <c r="JLD250" s="23"/>
      <c r="JLI250" s="26"/>
      <c r="JLM250" s="23"/>
      <c r="JLR250" s="26"/>
      <c r="JLV250" s="23"/>
      <c r="JMA250" s="26"/>
      <c r="JME250" s="23"/>
      <c r="JMJ250" s="26"/>
      <c r="JMN250" s="23"/>
      <c r="JMS250" s="26"/>
      <c r="JMW250" s="23"/>
      <c r="JNB250" s="26"/>
      <c r="JNF250" s="23"/>
      <c r="JNK250" s="26"/>
      <c r="JNO250" s="23"/>
      <c r="JNT250" s="26"/>
      <c r="JNX250" s="23"/>
      <c r="JOC250" s="26"/>
      <c r="JOG250" s="23"/>
      <c r="JOL250" s="26"/>
      <c r="JOP250" s="23"/>
      <c r="JOU250" s="26"/>
      <c r="JOY250" s="23"/>
      <c r="JPD250" s="26"/>
      <c r="JPH250" s="23"/>
      <c r="JPM250" s="26"/>
      <c r="JPQ250" s="23"/>
      <c r="JPV250" s="26"/>
      <c r="JPZ250" s="23"/>
      <c r="JQE250" s="26"/>
      <c r="JQI250" s="23"/>
      <c r="JQN250" s="26"/>
      <c r="JQR250" s="23"/>
      <c r="JQW250" s="26"/>
      <c r="JRA250" s="23"/>
      <c r="JRF250" s="26"/>
      <c r="JRJ250" s="23"/>
      <c r="JRO250" s="26"/>
      <c r="JRS250" s="23"/>
      <c r="JRX250" s="26"/>
      <c r="JSB250" s="23"/>
      <c r="JSG250" s="26"/>
      <c r="JSK250" s="23"/>
      <c r="JSP250" s="26"/>
      <c r="JST250" s="23"/>
      <c r="JSY250" s="26"/>
      <c r="JTC250" s="23"/>
      <c r="JTH250" s="26"/>
      <c r="JTL250" s="23"/>
      <c r="JTQ250" s="26"/>
      <c r="JTU250" s="23"/>
      <c r="JTZ250" s="26"/>
      <c r="JUD250" s="23"/>
      <c r="JUI250" s="26"/>
      <c r="JUM250" s="23"/>
      <c r="JUR250" s="26"/>
      <c r="JUV250" s="23"/>
      <c r="JVA250" s="26"/>
      <c r="JVE250" s="23"/>
      <c r="JVJ250" s="26"/>
      <c r="JVN250" s="23"/>
      <c r="JVS250" s="26"/>
      <c r="JVW250" s="23"/>
      <c r="JWB250" s="26"/>
      <c r="JWF250" s="23"/>
      <c r="JWK250" s="26"/>
      <c r="JWO250" s="23"/>
      <c r="JWT250" s="26"/>
      <c r="JWX250" s="23"/>
      <c r="JXC250" s="26"/>
      <c r="JXG250" s="23"/>
      <c r="JXL250" s="26"/>
      <c r="JXP250" s="23"/>
      <c r="JXU250" s="26"/>
      <c r="JXY250" s="23"/>
      <c r="JYD250" s="26"/>
      <c r="JYH250" s="23"/>
      <c r="JYM250" s="26"/>
      <c r="JYQ250" s="23"/>
      <c r="JYV250" s="26"/>
      <c r="JYZ250" s="23"/>
      <c r="JZE250" s="26"/>
      <c r="JZI250" s="23"/>
      <c r="JZN250" s="26"/>
      <c r="JZR250" s="23"/>
      <c r="JZW250" s="26"/>
      <c r="KAA250" s="23"/>
      <c r="KAF250" s="26"/>
      <c r="KAJ250" s="23"/>
      <c r="KAO250" s="26"/>
      <c r="KAS250" s="23"/>
      <c r="KAX250" s="26"/>
      <c r="KBB250" s="23"/>
      <c r="KBG250" s="26"/>
      <c r="KBK250" s="23"/>
      <c r="KBP250" s="26"/>
      <c r="KBT250" s="23"/>
      <c r="KBY250" s="26"/>
      <c r="KCC250" s="23"/>
      <c r="KCH250" s="26"/>
      <c r="KCL250" s="23"/>
      <c r="KCQ250" s="26"/>
      <c r="KCU250" s="23"/>
      <c r="KCZ250" s="26"/>
      <c r="KDD250" s="23"/>
      <c r="KDI250" s="26"/>
      <c r="KDM250" s="23"/>
      <c r="KDR250" s="26"/>
      <c r="KDV250" s="23"/>
      <c r="KEA250" s="26"/>
      <c r="KEE250" s="23"/>
      <c r="KEJ250" s="26"/>
      <c r="KEN250" s="23"/>
      <c r="KES250" s="26"/>
      <c r="KEW250" s="23"/>
      <c r="KFB250" s="26"/>
      <c r="KFF250" s="23"/>
      <c r="KFK250" s="26"/>
      <c r="KFO250" s="23"/>
      <c r="KFT250" s="26"/>
      <c r="KFX250" s="23"/>
      <c r="KGC250" s="26"/>
      <c r="KGG250" s="23"/>
      <c r="KGL250" s="26"/>
      <c r="KGP250" s="23"/>
      <c r="KGU250" s="26"/>
      <c r="KGY250" s="23"/>
      <c r="KHD250" s="26"/>
      <c r="KHH250" s="23"/>
      <c r="KHM250" s="26"/>
      <c r="KHQ250" s="23"/>
      <c r="KHV250" s="26"/>
      <c r="KHZ250" s="23"/>
      <c r="KIE250" s="26"/>
      <c r="KII250" s="23"/>
      <c r="KIN250" s="26"/>
      <c r="KIR250" s="23"/>
      <c r="KIW250" s="26"/>
      <c r="KJA250" s="23"/>
      <c r="KJF250" s="26"/>
      <c r="KJJ250" s="23"/>
      <c r="KJO250" s="26"/>
      <c r="KJS250" s="23"/>
      <c r="KJX250" s="26"/>
      <c r="KKB250" s="23"/>
      <c r="KKG250" s="26"/>
      <c r="KKK250" s="23"/>
      <c r="KKP250" s="26"/>
      <c r="KKT250" s="23"/>
      <c r="KKY250" s="26"/>
      <c r="KLC250" s="23"/>
      <c r="KLH250" s="26"/>
      <c r="KLL250" s="23"/>
      <c r="KLQ250" s="26"/>
      <c r="KLU250" s="23"/>
      <c r="KLZ250" s="26"/>
      <c r="KMD250" s="23"/>
      <c r="KMI250" s="26"/>
      <c r="KMM250" s="23"/>
      <c r="KMR250" s="26"/>
      <c r="KMV250" s="23"/>
      <c r="KNA250" s="26"/>
      <c r="KNE250" s="23"/>
      <c r="KNJ250" s="26"/>
      <c r="KNN250" s="23"/>
      <c r="KNS250" s="26"/>
      <c r="KNW250" s="23"/>
      <c r="KOB250" s="26"/>
      <c r="KOF250" s="23"/>
      <c r="KOK250" s="26"/>
      <c r="KOO250" s="23"/>
      <c r="KOT250" s="26"/>
      <c r="KOX250" s="23"/>
      <c r="KPC250" s="26"/>
      <c r="KPG250" s="23"/>
      <c r="KPL250" s="26"/>
      <c r="KPP250" s="23"/>
      <c r="KPU250" s="26"/>
      <c r="KPY250" s="23"/>
      <c r="KQD250" s="26"/>
      <c r="KQH250" s="23"/>
      <c r="KQM250" s="26"/>
      <c r="KQQ250" s="23"/>
      <c r="KQV250" s="26"/>
      <c r="KQZ250" s="23"/>
      <c r="KRE250" s="26"/>
      <c r="KRI250" s="23"/>
      <c r="KRN250" s="26"/>
      <c r="KRR250" s="23"/>
      <c r="KRW250" s="26"/>
      <c r="KSA250" s="23"/>
      <c r="KSF250" s="26"/>
      <c r="KSJ250" s="23"/>
      <c r="KSO250" s="26"/>
      <c r="KSS250" s="23"/>
      <c r="KSX250" s="26"/>
      <c r="KTB250" s="23"/>
      <c r="KTG250" s="26"/>
      <c r="KTK250" s="23"/>
      <c r="KTP250" s="26"/>
      <c r="KTT250" s="23"/>
      <c r="KTY250" s="26"/>
      <c r="KUC250" s="23"/>
      <c r="KUH250" s="26"/>
      <c r="KUL250" s="23"/>
      <c r="KUQ250" s="26"/>
      <c r="KUU250" s="23"/>
      <c r="KUZ250" s="26"/>
      <c r="KVD250" s="23"/>
      <c r="KVI250" s="26"/>
      <c r="KVM250" s="23"/>
      <c r="KVR250" s="26"/>
      <c r="KVV250" s="23"/>
      <c r="KWA250" s="26"/>
      <c r="KWE250" s="23"/>
      <c r="KWJ250" s="26"/>
      <c r="KWN250" s="23"/>
      <c r="KWS250" s="26"/>
      <c r="KWW250" s="23"/>
      <c r="KXB250" s="26"/>
      <c r="KXF250" s="23"/>
      <c r="KXK250" s="26"/>
      <c r="KXO250" s="23"/>
      <c r="KXT250" s="26"/>
      <c r="KXX250" s="23"/>
      <c r="KYC250" s="26"/>
      <c r="KYG250" s="23"/>
      <c r="KYL250" s="26"/>
      <c r="KYP250" s="23"/>
      <c r="KYU250" s="26"/>
      <c r="KYY250" s="23"/>
      <c r="KZD250" s="26"/>
      <c r="KZH250" s="23"/>
      <c r="KZM250" s="26"/>
      <c r="KZQ250" s="23"/>
      <c r="KZV250" s="26"/>
      <c r="KZZ250" s="23"/>
      <c r="LAE250" s="26"/>
      <c r="LAI250" s="23"/>
      <c r="LAN250" s="26"/>
      <c r="LAR250" s="23"/>
      <c r="LAW250" s="26"/>
      <c r="LBA250" s="23"/>
      <c r="LBF250" s="26"/>
      <c r="LBJ250" s="23"/>
      <c r="LBO250" s="26"/>
      <c r="LBS250" s="23"/>
      <c r="LBX250" s="26"/>
      <c r="LCB250" s="23"/>
      <c r="LCG250" s="26"/>
      <c r="LCK250" s="23"/>
      <c r="LCP250" s="26"/>
      <c r="LCT250" s="23"/>
      <c r="LCY250" s="26"/>
      <c r="LDC250" s="23"/>
      <c r="LDH250" s="26"/>
      <c r="LDL250" s="23"/>
      <c r="LDQ250" s="26"/>
      <c r="LDU250" s="23"/>
      <c r="LDZ250" s="26"/>
      <c r="LED250" s="23"/>
      <c r="LEI250" s="26"/>
      <c r="LEM250" s="23"/>
      <c r="LER250" s="26"/>
      <c r="LEV250" s="23"/>
      <c r="LFA250" s="26"/>
      <c r="LFE250" s="23"/>
      <c r="LFJ250" s="26"/>
      <c r="LFN250" s="23"/>
      <c r="LFS250" s="26"/>
      <c r="LFW250" s="23"/>
      <c r="LGB250" s="26"/>
      <c r="LGF250" s="23"/>
      <c r="LGK250" s="26"/>
      <c r="LGO250" s="23"/>
      <c r="LGT250" s="26"/>
      <c r="LGX250" s="23"/>
      <c r="LHC250" s="26"/>
      <c r="LHG250" s="23"/>
      <c r="LHL250" s="26"/>
      <c r="LHP250" s="23"/>
      <c r="LHU250" s="26"/>
      <c r="LHY250" s="23"/>
      <c r="LID250" s="26"/>
      <c r="LIH250" s="23"/>
      <c r="LIM250" s="26"/>
      <c r="LIQ250" s="23"/>
      <c r="LIV250" s="26"/>
      <c r="LIZ250" s="23"/>
      <c r="LJE250" s="26"/>
      <c r="LJI250" s="23"/>
      <c r="LJN250" s="26"/>
      <c r="LJR250" s="23"/>
      <c r="LJW250" s="26"/>
      <c r="LKA250" s="23"/>
      <c r="LKF250" s="26"/>
      <c r="LKJ250" s="23"/>
      <c r="LKO250" s="26"/>
      <c r="LKS250" s="23"/>
      <c r="LKX250" s="26"/>
      <c r="LLB250" s="23"/>
      <c r="LLG250" s="26"/>
      <c r="LLK250" s="23"/>
      <c r="LLP250" s="26"/>
      <c r="LLT250" s="23"/>
      <c r="LLY250" s="26"/>
      <c r="LMC250" s="23"/>
      <c r="LMH250" s="26"/>
      <c r="LML250" s="23"/>
      <c r="LMQ250" s="26"/>
      <c r="LMU250" s="23"/>
      <c r="LMZ250" s="26"/>
      <c r="LND250" s="23"/>
      <c r="LNI250" s="26"/>
      <c r="LNM250" s="23"/>
      <c r="LNR250" s="26"/>
      <c r="LNV250" s="23"/>
      <c r="LOA250" s="26"/>
      <c r="LOE250" s="23"/>
      <c r="LOJ250" s="26"/>
      <c r="LON250" s="23"/>
      <c r="LOS250" s="26"/>
      <c r="LOW250" s="23"/>
      <c r="LPB250" s="26"/>
      <c r="LPF250" s="23"/>
      <c r="LPK250" s="26"/>
      <c r="LPO250" s="23"/>
      <c r="LPT250" s="26"/>
      <c r="LPX250" s="23"/>
      <c r="LQC250" s="26"/>
      <c r="LQG250" s="23"/>
      <c r="LQL250" s="26"/>
      <c r="LQP250" s="23"/>
      <c r="LQU250" s="26"/>
      <c r="LQY250" s="23"/>
      <c r="LRD250" s="26"/>
      <c r="LRH250" s="23"/>
      <c r="LRM250" s="26"/>
      <c r="LRQ250" s="23"/>
      <c r="LRV250" s="26"/>
      <c r="LRZ250" s="23"/>
      <c r="LSE250" s="26"/>
      <c r="LSI250" s="23"/>
      <c r="LSN250" s="26"/>
      <c r="LSR250" s="23"/>
      <c r="LSW250" s="26"/>
      <c r="LTA250" s="23"/>
      <c r="LTF250" s="26"/>
      <c r="LTJ250" s="23"/>
      <c r="LTO250" s="26"/>
      <c r="LTS250" s="23"/>
      <c r="LTX250" s="26"/>
      <c r="LUB250" s="23"/>
      <c r="LUG250" s="26"/>
      <c r="LUK250" s="23"/>
      <c r="LUP250" s="26"/>
      <c r="LUT250" s="23"/>
      <c r="LUY250" s="26"/>
      <c r="LVC250" s="23"/>
      <c r="LVH250" s="26"/>
      <c r="LVL250" s="23"/>
      <c r="LVQ250" s="26"/>
      <c r="LVU250" s="23"/>
      <c r="LVZ250" s="26"/>
      <c r="LWD250" s="23"/>
      <c r="LWI250" s="26"/>
      <c r="LWM250" s="23"/>
      <c r="LWR250" s="26"/>
      <c r="LWV250" s="23"/>
      <c r="LXA250" s="26"/>
      <c r="LXE250" s="23"/>
      <c r="LXJ250" s="26"/>
      <c r="LXN250" s="23"/>
      <c r="LXS250" s="26"/>
      <c r="LXW250" s="23"/>
      <c r="LYB250" s="26"/>
      <c r="LYF250" s="23"/>
      <c r="LYK250" s="26"/>
      <c r="LYO250" s="23"/>
      <c r="LYT250" s="26"/>
      <c r="LYX250" s="23"/>
      <c r="LZC250" s="26"/>
      <c r="LZG250" s="23"/>
      <c r="LZL250" s="26"/>
      <c r="LZP250" s="23"/>
      <c r="LZU250" s="26"/>
      <c r="LZY250" s="23"/>
      <c r="MAD250" s="26"/>
      <c r="MAH250" s="23"/>
      <c r="MAM250" s="26"/>
      <c r="MAQ250" s="23"/>
      <c r="MAV250" s="26"/>
      <c r="MAZ250" s="23"/>
      <c r="MBE250" s="26"/>
      <c r="MBI250" s="23"/>
      <c r="MBN250" s="26"/>
      <c r="MBR250" s="23"/>
      <c r="MBW250" s="26"/>
      <c r="MCA250" s="23"/>
      <c r="MCF250" s="26"/>
      <c r="MCJ250" s="23"/>
      <c r="MCO250" s="26"/>
      <c r="MCS250" s="23"/>
      <c r="MCX250" s="26"/>
      <c r="MDB250" s="23"/>
      <c r="MDG250" s="26"/>
      <c r="MDK250" s="23"/>
      <c r="MDP250" s="26"/>
      <c r="MDT250" s="23"/>
      <c r="MDY250" s="26"/>
      <c r="MEC250" s="23"/>
      <c r="MEH250" s="26"/>
      <c r="MEL250" s="23"/>
      <c r="MEQ250" s="26"/>
      <c r="MEU250" s="23"/>
      <c r="MEZ250" s="26"/>
      <c r="MFD250" s="23"/>
      <c r="MFI250" s="26"/>
      <c r="MFM250" s="23"/>
      <c r="MFR250" s="26"/>
      <c r="MFV250" s="23"/>
      <c r="MGA250" s="26"/>
      <c r="MGE250" s="23"/>
      <c r="MGJ250" s="26"/>
      <c r="MGN250" s="23"/>
      <c r="MGS250" s="26"/>
      <c r="MGW250" s="23"/>
      <c r="MHB250" s="26"/>
      <c r="MHF250" s="23"/>
      <c r="MHK250" s="26"/>
      <c r="MHO250" s="23"/>
      <c r="MHT250" s="26"/>
      <c r="MHX250" s="23"/>
      <c r="MIC250" s="26"/>
      <c r="MIG250" s="23"/>
      <c r="MIL250" s="26"/>
      <c r="MIP250" s="23"/>
      <c r="MIU250" s="26"/>
      <c r="MIY250" s="23"/>
      <c r="MJD250" s="26"/>
      <c r="MJH250" s="23"/>
      <c r="MJM250" s="26"/>
      <c r="MJQ250" s="23"/>
      <c r="MJV250" s="26"/>
      <c r="MJZ250" s="23"/>
      <c r="MKE250" s="26"/>
      <c r="MKI250" s="23"/>
      <c r="MKN250" s="26"/>
      <c r="MKR250" s="23"/>
      <c r="MKW250" s="26"/>
      <c r="MLA250" s="23"/>
      <c r="MLF250" s="26"/>
      <c r="MLJ250" s="23"/>
      <c r="MLO250" s="26"/>
      <c r="MLS250" s="23"/>
      <c r="MLX250" s="26"/>
      <c r="MMB250" s="23"/>
      <c r="MMG250" s="26"/>
      <c r="MMK250" s="23"/>
      <c r="MMP250" s="26"/>
      <c r="MMT250" s="23"/>
      <c r="MMY250" s="26"/>
      <c r="MNC250" s="23"/>
      <c r="MNH250" s="26"/>
      <c r="MNL250" s="23"/>
      <c r="MNQ250" s="26"/>
      <c r="MNU250" s="23"/>
      <c r="MNZ250" s="26"/>
      <c r="MOD250" s="23"/>
      <c r="MOI250" s="26"/>
      <c r="MOM250" s="23"/>
      <c r="MOR250" s="26"/>
      <c r="MOV250" s="23"/>
      <c r="MPA250" s="26"/>
      <c r="MPE250" s="23"/>
      <c r="MPJ250" s="26"/>
      <c r="MPN250" s="23"/>
      <c r="MPS250" s="26"/>
      <c r="MPW250" s="23"/>
      <c r="MQB250" s="26"/>
      <c r="MQF250" s="23"/>
      <c r="MQK250" s="26"/>
      <c r="MQO250" s="23"/>
      <c r="MQT250" s="26"/>
      <c r="MQX250" s="23"/>
      <c r="MRC250" s="26"/>
      <c r="MRG250" s="23"/>
      <c r="MRL250" s="26"/>
      <c r="MRP250" s="23"/>
      <c r="MRU250" s="26"/>
      <c r="MRY250" s="23"/>
      <c r="MSD250" s="26"/>
      <c r="MSH250" s="23"/>
      <c r="MSM250" s="26"/>
      <c r="MSQ250" s="23"/>
      <c r="MSV250" s="26"/>
      <c r="MSZ250" s="23"/>
      <c r="MTE250" s="26"/>
      <c r="MTI250" s="23"/>
      <c r="MTN250" s="26"/>
      <c r="MTR250" s="23"/>
      <c r="MTW250" s="26"/>
      <c r="MUA250" s="23"/>
      <c r="MUF250" s="26"/>
      <c r="MUJ250" s="23"/>
      <c r="MUO250" s="26"/>
      <c r="MUS250" s="23"/>
      <c r="MUX250" s="26"/>
      <c r="MVB250" s="23"/>
      <c r="MVG250" s="26"/>
      <c r="MVK250" s="23"/>
      <c r="MVP250" s="26"/>
      <c r="MVT250" s="23"/>
      <c r="MVY250" s="26"/>
      <c r="MWC250" s="23"/>
      <c r="MWH250" s="26"/>
      <c r="MWL250" s="23"/>
      <c r="MWQ250" s="26"/>
      <c r="MWU250" s="23"/>
      <c r="MWZ250" s="26"/>
      <c r="MXD250" s="23"/>
      <c r="MXI250" s="26"/>
      <c r="MXM250" s="23"/>
      <c r="MXR250" s="26"/>
      <c r="MXV250" s="23"/>
      <c r="MYA250" s="26"/>
      <c r="MYE250" s="23"/>
      <c r="MYJ250" s="26"/>
      <c r="MYN250" s="23"/>
      <c r="MYS250" s="26"/>
      <c r="MYW250" s="23"/>
      <c r="MZB250" s="26"/>
      <c r="MZF250" s="23"/>
      <c r="MZK250" s="26"/>
      <c r="MZO250" s="23"/>
      <c r="MZT250" s="26"/>
      <c r="MZX250" s="23"/>
      <c r="NAC250" s="26"/>
      <c r="NAG250" s="23"/>
      <c r="NAL250" s="26"/>
      <c r="NAP250" s="23"/>
      <c r="NAU250" s="26"/>
      <c r="NAY250" s="23"/>
      <c r="NBD250" s="26"/>
      <c r="NBH250" s="23"/>
      <c r="NBM250" s="26"/>
      <c r="NBQ250" s="23"/>
      <c r="NBV250" s="26"/>
      <c r="NBZ250" s="23"/>
      <c r="NCE250" s="26"/>
      <c r="NCI250" s="23"/>
      <c r="NCN250" s="26"/>
      <c r="NCR250" s="23"/>
      <c r="NCW250" s="26"/>
      <c r="NDA250" s="23"/>
      <c r="NDF250" s="26"/>
      <c r="NDJ250" s="23"/>
      <c r="NDO250" s="26"/>
      <c r="NDS250" s="23"/>
      <c r="NDX250" s="26"/>
      <c r="NEB250" s="23"/>
      <c r="NEG250" s="26"/>
      <c r="NEK250" s="23"/>
      <c r="NEP250" s="26"/>
      <c r="NET250" s="23"/>
      <c r="NEY250" s="26"/>
      <c r="NFC250" s="23"/>
      <c r="NFH250" s="26"/>
      <c r="NFL250" s="23"/>
      <c r="NFQ250" s="26"/>
      <c r="NFU250" s="23"/>
      <c r="NFZ250" s="26"/>
      <c r="NGD250" s="23"/>
      <c r="NGI250" s="26"/>
      <c r="NGM250" s="23"/>
      <c r="NGR250" s="26"/>
      <c r="NGV250" s="23"/>
      <c r="NHA250" s="26"/>
      <c r="NHE250" s="23"/>
      <c r="NHJ250" s="26"/>
      <c r="NHN250" s="23"/>
      <c r="NHS250" s="26"/>
      <c r="NHW250" s="23"/>
      <c r="NIB250" s="26"/>
      <c r="NIF250" s="23"/>
      <c r="NIK250" s="26"/>
      <c r="NIO250" s="23"/>
      <c r="NIT250" s="26"/>
      <c r="NIX250" s="23"/>
      <c r="NJC250" s="26"/>
      <c r="NJG250" s="23"/>
      <c r="NJL250" s="26"/>
      <c r="NJP250" s="23"/>
      <c r="NJU250" s="26"/>
      <c r="NJY250" s="23"/>
      <c r="NKD250" s="26"/>
      <c r="NKH250" s="23"/>
      <c r="NKM250" s="26"/>
      <c r="NKQ250" s="23"/>
      <c r="NKV250" s="26"/>
      <c r="NKZ250" s="23"/>
      <c r="NLE250" s="26"/>
      <c r="NLI250" s="23"/>
      <c r="NLN250" s="26"/>
      <c r="NLR250" s="23"/>
      <c r="NLW250" s="26"/>
      <c r="NMA250" s="23"/>
      <c r="NMF250" s="26"/>
      <c r="NMJ250" s="23"/>
      <c r="NMO250" s="26"/>
      <c r="NMS250" s="23"/>
      <c r="NMX250" s="26"/>
      <c r="NNB250" s="23"/>
      <c r="NNG250" s="26"/>
      <c r="NNK250" s="23"/>
      <c r="NNP250" s="26"/>
      <c r="NNT250" s="23"/>
      <c r="NNY250" s="26"/>
      <c r="NOC250" s="23"/>
      <c r="NOH250" s="26"/>
      <c r="NOL250" s="23"/>
      <c r="NOQ250" s="26"/>
      <c r="NOU250" s="23"/>
      <c r="NOZ250" s="26"/>
      <c r="NPD250" s="23"/>
      <c r="NPI250" s="26"/>
      <c r="NPM250" s="23"/>
      <c r="NPR250" s="26"/>
      <c r="NPV250" s="23"/>
      <c r="NQA250" s="26"/>
      <c r="NQE250" s="23"/>
      <c r="NQJ250" s="26"/>
      <c r="NQN250" s="23"/>
      <c r="NQS250" s="26"/>
      <c r="NQW250" s="23"/>
      <c r="NRB250" s="26"/>
      <c r="NRF250" s="23"/>
      <c r="NRK250" s="26"/>
      <c r="NRO250" s="23"/>
      <c r="NRT250" s="26"/>
      <c r="NRX250" s="23"/>
      <c r="NSC250" s="26"/>
      <c r="NSG250" s="23"/>
      <c r="NSL250" s="26"/>
      <c r="NSP250" s="23"/>
      <c r="NSU250" s="26"/>
      <c r="NSY250" s="23"/>
      <c r="NTD250" s="26"/>
      <c r="NTH250" s="23"/>
      <c r="NTM250" s="26"/>
      <c r="NTQ250" s="23"/>
      <c r="NTV250" s="26"/>
      <c r="NTZ250" s="23"/>
      <c r="NUE250" s="26"/>
      <c r="NUI250" s="23"/>
      <c r="NUN250" s="26"/>
      <c r="NUR250" s="23"/>
      <c r="NUW250" s="26"/>
      <c r="NVA250" s="23"/>
      <c r="NVF250" s="26"/>
      <c r="NVJ250" s="23"/>
      <c r="NVO250" s="26"/>
      <c r="NVS250" s="23"/>
      <c r="NVX250" s="26"/>
      <c r="NWB250" s="23"/>
      <c r="NWG250" s="26"/>
      <c r="NWK250" s="23"/>
      <c r="NWP250" s="26"/>
      <c r="NWT250" s="23"/>
      <c r="NWY250" s="26"/>
      <c r="NXC250" s="23"/>
      <c r="NXH250" s="26"/>
      <c r="NXL250" s="23"/>
      <c r="NXQ250" s="26"/>
      <c r="NXU250" s="23"/>
      <c r="NXZ250" s="26"/>
      <c r="NYD250" s="23"/>
      <c r="NYI250" s="26"/>
      <c r="NYM250" s="23"/>
      <c r="NYR250" s="26"/>
      <c r="NYV250" s="23"/>
      <c r="NZA250" s="26"/>
      <c r="NZE250" s="23"/>
      <c r="NZJ250" s="26"/>
      <c r="NZN250" s="23"/>
      <c r="NZS250" s="26"/>
      <c r="NZW250" s="23"/>
      <c r="OAB250" s="26"/>
      <c r="OAF250" s="23"/>
      <c r="OAK250" s="26"/>
      <c r="OAO250" s="23"/>
      <c r="OAT250" s="26"/>
      <c r="OAX250" s="23"/>
      <c r="OBC250" s="26"/>
      <c r="OBG250" s="23"/>
      <c r="OBL250" s="26"/>
      <c r="OBP250" s="23"/>
      <c r="OBU250" s="26"/>
      <c r="OBY250" s="23"/>
      <c r="OCD250" s="26"/>
      <c r="OCH250" s="23"/>
      <c r="OCM250" s="26"/>
      <c r="OCQ250" s="23"/>
      <c r="OCV250" s="26"/>
      <c r="OCZ250" s="23"/>
      <c r="ODE250" s="26"/>
      <c r="ODI250" s="23"/>
      <c r="ODN250" s="26"/>
      <c r="ODR250" s="23"/>
      <c r="ODW250" s="26"/>
      <c r="OEA250" s="23"/>
      <c r="OEF250" s="26"/>
      <c r="OEJ250" s="23"/>
      <c r="OEO250" s="26"/>
      <c r="OES250" s="23"/>
      <c r="OEX250" s="26"/>
      <c r="OFB250" s="23"/>
      <c r="OFG250" s="26"/>
      <c r="OFK250" s="23"/>
      <c r="OFP250" s="26"/>
      <c r="OFT250" s="23"/>
      <c r="OFY250" s="26"/>
      <c r="OGC250" s="23"/>
      <c r="OGH250" s="26"/>
      <c r="OGL250" s="23"/>
      <c r="OGQ250" s="26"/>
      <c r="OGU250" s="23"/>
      <c r="OGZ250" s="26"/>
      <c r="OHD250" s="23"/>
      <c r="OHI250" s="26"/>
      <c r="OHM250" s="23"/>
      <c r="OHR250" s="26"/>
      <c r="OHV250" s="23"/>
      <c r="OIA250" s="26"/>
      <c r="OIE250" s="23"/>
      <c r="OIJ250" s="26"/>
      <c r="OIN250" s="23"/>
      <c r="OIS250" s="26"/>
      <c r="OIW250" s="23"/>
      <c r="OJB250" s="26"/>
      <c r="OJF250" s="23"/>
      <c r="OJK250" s="26"/>
      <c r="OJO250" s="23"/>
      <c r="OJT250" s="26"/>
      <c r="OJX250" s="23"/>
      <c r="OKC250" s="26"/>
      <c r="OKG250" s="23"/>
      <c r="OKL250" s="26"/>
      <c r="OKP250" s="23"/>
      <c r="OKU250" s="26"/>
      <c r="OKY250" s="23"/>
      <c r="OLD250" s="26"/>
      <c r="OLH250" s="23"/>
      <c r="OLM250" s="26"/>
      <c r="OLQ250" s="23"/>
      <c r="OLV250" s="26"/>
      <c r="OLZ250" s="23"/>
      <c r="OME250" s="26"/>
      <c r="OMI250" s="23"/>
      <c r="OMN250" s="26"/>
      <c r="OMR250" s="23"/>
      <c r="OMW250" s="26"/>
      <c r="ONA250" s="23"/>
      <c r="ONF250" s="26"/>
      <c r="ONJ250" s="23"/>
      <c r="ONO250" s="26"/>
      <c r="ONS250" s="23"/>
      <c r="ONX250" s="26"/>
      <c r="OOB250" s="23"/>
      <c r="OOG250" s="26"/>
      <c r="OOK250" s="23"/>
      <c r="OOP250" s="26"/>
      <c r="OOT250" s="23"/>
      <c r="OOY250" s="26"/>
      <c r="OPC250" s="23"/>
      <c r="OPH250" s="26"/>
      <c r="OPL250" s="23"/>
      <c r="OPQ250" s="26"/>
      <c r="OPU250" s="23"/>
      <c r="OPZ250" s="26"/>
      <c r="OQD250" s="23"/>
      <c r="OQI250" s="26"/>
      <c r="OQM250" s="23"/>
      <c r="OQR250" s="26"/>
      <c r="OQV250" s="23"/>
      <c r="ORA250" s="26"/>
      <c r="ORE250" s="23"/>
      <c r="ORJ250" s="26"/>
      <c r="ORN250" s="23"/>
      <c r="ORS250" s="26"/>
      <c r="ORW250" s="23"/>
      <c r="OSB250" s="26"/>
      <c r="OSF250" s="23"/>
      <c r="OSK250" s="26"/>
      <c r="OSO250" s="23"/>
      <c r="OST250" s="26"/>
      <c r="OSX250" s="23"/>
      <c r="OTC250" s="26"/>
      <c r="OTG250" s="23"/>
      <c r="OTL250" s="26"/>
      <c r="OTP250" s="23"/>
      <c r="OTU250" s="26"/>
      <c r="OTY250" s="23"/>
      <c r="OUD250" s="26"/>
      <c r="OUH250" s="23"/>
      <c r="OUM250" s="26"/>
      <c r="OUQ250" s="23"/>
      <c r="OUV250" s="26"/>
      <c r="OUZ250" s="23"/>
      <c r="OVE250" s="26"/>
      <c r="OVI250" s="23"/>
      <c r="OVN250" s="26"/>
      <c r="OVR250" s="23"/>
      <c r="OVW250" s="26"/>
      <c r="OWA250" s="23"/>
      <c r="OWF250" s="26"/>
      <c r="OWJ250" s="23"/>
      <c r="OWO250" s="26"/>
      <c r="OWS250" s="23"/>
      <c r="OWX250" s="26"/>
      <c r="OXB250" s="23"/>
      <c r="OXG250" s="26"/>
      <c r="OXK250" s="23"/>
      <c r="OXP250" s="26"/>
      <c r="OXT250" s="23"/>
      <c r="OXY250" s="26"/>
      <c r="OYC250" s="23"/>
      <c r="OYH250" s="26"/>
      <c r="OYL250" s="23"/>
      <c r="OYQ250" s="26"/>
      <c r="OYU250" s="23"/>
      <c r="OYZ250" s="26"/>
      <c r="OZD250" s="23"/>
      <c r="OZI250" s="26"/>
      <c r="OZM250" s="23"/>
      <c r="OZR250" s="26"/>
      <c r="OZV250" s="23"/>
      <c r="PAA250" s="26"/>
      <c r="PAE250" s="23"/>
      <c r="PAJ250" s="26"/>
      <c r="PAN250" s="23"/>
      <c r="PAS250" s="26"/>
      <c r="PAW250" s="23"/>
      <c r="PBB250" s="26"/>
      <c r="PBF250" s="23"/>
      <c r="PBK250" s="26"/>
      <c r="PBO250" s="23"/>
      <c r="PBT250" s="26"/>
      <c r="PBX250" s="23"/>
      <c r="PCC250" s="26"/>
      <c r="PCG250" s="23"/>
      <c r="PCL250" s="26"/>
      <c r="PCP250" s="23"/>
      <c r="PCU250" s="26"/>
      <c r="PCY250" s="23"/>
      <c r="PDD250" s="26"/>
      <c r="PDH250" s="23"/>
      <c r="PDM250" s="26"/>
      <c r="PDQ250" s="23"/>
      <c r="PDV250" s="26"/>
      <c r="PDZ250" s="23"/>
      <c r="PEE250" s="26"/>
      <c r="PEI250" s="23"/>
      <c r="PEN250" s="26"/>
      <c r="PER250" s="23"/>
      <c r="PEW250" s="26"/>
      <c r="PFA250" s="23"/>
      <c r="PFF250" s="26"/>
      <c r="PFJ250" s="23"/>
      <c r="PFO250" s="26"/>
      <c r="PFS250" s="23"/>
      <c r="PFX250" s="26"/>
      <c r="PGB250" s="23"/>
      <c r="PGG250" s="26"/>
      <c r="PGK250" s="23"/>
      <c r="PGP250" s="26"/>
      <c r="PGT250" s="23"/>
      <c r="PGY250" s="26"/>
      <c r="PHC250" s="23"/>
      <c r="PHH250" s="26"/>
      <c r="PHL250" s="23"/>
      <c r="PHQ250" s="26"/>
      <c r="PHU250" s="23"/>
      <c r="PHZ250" s="26"/>
      <c r="PID250" s="23"/>
      <c r="PII250" s="26"/>
      <c r="PIM250" s="23"/>
      <c r="PIR250" s="26"/>
      <c r="PIV250" s="23"/>
      <c r="PJA250" s="26"/>
      <c r="PJE250" s="23"/>
      <c r="PJJ250" s="26"/>
      <c r="PJN250" s="23"/>
      <c r="PJS250" s="26"/>
      <c r="PJW250" s="23"/>
      <c r="PKB250" s="26"/>
      <c r="PKF250" s="23"/>
      <c r="PKK250" s="26"/>
      <c r="PKO250" s="23"/>
      <c r="PKT250" s="26"/>
      <c r="PKX250" s="23"/>
      <c r="PLC250" s="26"/>
      <c r="PLG250" s="23"/>
      <c r="PLL250" s="26"/>
      <c r="PLP250" s="23"/>
      <c r="PLU250" s="26"/>
      <c r="PLY250" s="23"/>
      <c r="PMD250" s="26"/>
      <c r="PMH250" s="23"/>
      <c r="PMM250" s="26"/>
      <c r="PMQ250" s="23"/>
      <c r="PMV250" s="26"/>
      <c r="PMZ250" s="23"/>
      <c r="PNE250" s="26"/>
      <c r="PNI250" s="23"/>
      <c r="PNN250" s="26"/>
      <c r="PNR250" s="23"/>
      <c r="PNW250" s="26"/>
      <c r="POA250" s="23"/>
      <c r="POF250" s="26"/>
      <c r="POJ250" s="23"/>
      <c r="POO250" s="26"/>
      <c r="POS250" s="23"/>
      <c r="POX250" s="26"/>
      <c r="PPB250" s="23"/>
      <c r="PPG250" s="26"/>
      <c r="PPK250" s="23"/>
      <c r="PPP250" s="26"/>
      <c r="PPT250" s="23"/>
      <c r="PPY250" s="26"/>
      <c r="PQC250" s="23"/>
      <c r="PQH250" s="26"/>
      <c r="PQL250" s="23"/>
      <c r="PQQ250" s="26"/>
      <c r="PQU250" s="23"/>
      <c r="PQZ250" s="26"/>
      <c r="PRD250" s="23"/>
      <c r="PRI250" s="26"/>
      <c r="PRM250" s="23"/>
      <c r="PRR250" s="26"/>
      <c r="PRV250" s="23"/>
      <c r="PSA250" s="26"/>
      <c r="PSE250" s="23"/>
      <c r="PSJ250" s="26"/>
      <c r="PSN250" s="23"/>
      <c r="PSS250" s="26"/>
      <c r="PSW250" s="23"/>
      <c r="PTB250" s="26"/>
      <c r="PTF250" s="23"/>
      <c r="PTK250" s="26"/>
      <c r="PTO250" s="23"/>
      <c r="PTT250" s="26"/>
      <c r="PTX250" s="23"/>
      <c r="PUC250" s="26"/>
      <c r="PUG250" s="23"/>
      <c r="PUL250" s="26"/>
      <c r="PUP250" s="23"/>
      <c r="PUU250" s="26"/>
      <c r="PUY250" s="23"/>
      <c r="PVD250" s="26"/>
      <c r="PVH250" s="23"/>
      <c r="PVM250" s="26"/>
      <c r="PVQ250" s="23"/>
      <c r="PVV250" s="26"/>
      <c r="PVZ250" s="23"/>
      <c r="PWE250" s="26"/>
      <c r="PWI250" s="23"/>
      <c r="PWN250" s="26"/>
      <c r="PWR250" s="23"/>
      <c r="PWW250" s="26"/>
      <c r="PXA250" s="23"/>
      <c r="PXF250" s="26"/>
      <c r="PXJ250" s="23"/>
      <c r="PXO250" s="26"/>
      <c r="PXS250" s="23"/>
      <c r="PXX250" s="26"/>
      <c r="PYB250" s="23"/>
      <c r="PYG250" s="26"/>
      <c r="PYK250" s="23"/>
      <c r="PYP250" s="26"/>
      <c r="PYT250" s="23"/>
      <c r="PYY250" s="26"/>
      <c r="PZC250" s="23"/>
      <c r="PZH250" s="26"/>
      <c r="PZL250" s="23"/>
      <c r="PZQ250" s="26"/>
      <c r="PZU250" s="23"/>
      <c r="PZZ250" s="26"/>
      <c r="QAD250" s="23"/>
      <c r="QAI250" s="26"/>
      <c r="QAM250" s="23"/>
      <c r="QAR250" s="26"/>
      <c r="QAV250" s="23"/>
      <c r="QBA250" s="26"/>
      <c r="QBE250" s="23"/>
      <c r="QBJ250" s="26"/>
      <c r="QBN250" s="23"/>
      <c r="QBS250" s="26"/>
      <c r="QBW250" s="23"/>
      <c r="QCB250" s="26"/>
      <c r="QCF250" s="23"/>
      <c r="QCK250" s="26"/>
      <c r="QCO250" s="23"/>
      <c r="QCT250" s="26"/>
      <c r="QCX250" s="23"/>
      <c r="QDC250" s="26"/>
      <c r="QDG250" s="23"/>
      <c r="QDL250" s="26"/>
      <c r="QDP250" s="23"/>
      <c r="QDU250" s="26"/>
      <c r="QDY250" s="23"/>
      <c r="QED250" s="26"/>
      <c r="QEH250" s="23"/>
      <c r="QEM250" s="26"/>
      <c r="QEQ250" s="23"/>
      <c r="QEV250" s="26"/>
      <c r="QEZ250" s="23"/>
      <c r="QFE250" s="26"/>
      <c r="QFI250" s="23"/>
      <c r="QFN250" s="26"/>
      <c r="QFR250" s="23"/>
      <c r="QFW250" s="26"/>
      <c r="QGA250" s="23"/>
      <c r="QGF250" s="26"/>
      <c r="QGJ250" s="23"/>
      <c r="QGO250" s="26"/>
      <c r="QGS250" s="23"/>
      <c r="QGX250" s="26"/>
      <c r="QHB250" s="23"/>
      <c r="QHG250" s="26"/>
      <c r="QHK250" s="23"/>
      <c r="QHP250" s="26"/>
      <c r="QHT250" s="23"/>
      <c r="QHY250" s="26"/>
      <c r="QIC250" s="23"/>
      <c r="QIH250" s="26"/>
      <c r="QIL250" s="23"/>
      <c r="QIQ250" s="26"/>
      <c r="QIU250" s="23"/>
      <c r="QIZ250" s="26"/>
      <c r="QJD250" s="23"/>
      <c r="QJI250" s="26"/>
      <c r="QJM250" s="23"/>
      <c r="QJR250" s="26"/>
      <c r="QJV250" s="23"/>
      <c r="QKA250" s="26"/>
      <c r="QKE250" s="23"/>
      <c r="QKJ250" s="26"/>
      <c r="QKN250" s="23"/>
      <c r="QKS250" s="26"/>
      <c r="QKW250" s="23"/>
      <c r="QLB250" s="26"/>
      <c r="QLF250" s="23"/>
      <c r="QLK250" s="26"/>
      <c r="QLO250" s="23"/>
      <c r="QLT250" s="26"/>
      <c r="QLX250" s="23"/>
      <c r="QMC250" s="26"/>
      <c r="QMG250" s="23"/>
      <c r="QML250" s="26"/>
      <c r="QMP250" s="23"/>
      <c r="QMU250" s="26"/>
      <c r="QMY250" s="23"/>
      <c r="QND250" s="26"/>
      <c r="QNH250" s="23"/>
      <c r="QNM250" s="26"/>
      <c r="QNQ250" s="23"/>
      <c r="QNV250" s="26"/>
      <c r="QNZ250" s="23"/>
      <c r="QOE250" s="26"/>
      <c r="QOI250" s="23"/>
      <c r="QON250" s="26"/>
      <c r="QOR250" s="23"/>
      <c r="QOW250" s="26"/>
      <c r="QPA250" s="23"/>
      <c r="QPF250" s="26"/>
      <c r="QPJ250" s="23"/>
      <c r="QPO250" s="26"/>
      <c r="QPS250" s="23"/>
      <c r="QPX250" s="26"/>
      <c r="QQB250" s="23"/>
      <c r="QQG250" s="26"/>
      <c r="QQK250" s="23"/>
      <c r="QQP250" s="26"/>
      <c r="QQT250" s="23"/>
      <c r="QQY250" s="26"/>
      <c r="QRC250" s="23"/>
      <c r="QRH250" s="26"/>
      <c r="QRL250" s="23"/>
      <c r="QRQ250" s="26"/>
      <c r="QRU250" s="23"/>
      <c r="QRZ250" s="26"/>
      <c r="QSD250" s="23"/>
      <c r="QSI250" s="26"/>
      <c r="QSM250" s="23"/>
      <c r="QSR250" s="26"/>
      <c r="QSV250" s="23"/>
      <c r="QTA250" s="26"/>
      <c r="QTE250" s="23"/>
      <c r="QTJ250" s="26"/>
      <c r="QTN250" s="23"/>
      <c r="QTS250" s="26"/>
      <c r="QTW250" s="23"/>
      <c r="QUB250" s="26"/>
      <c r="QUF250" s="23"/>
      <c r="QUK250" s="26"/>
      <c r="QUO250" s="23"/>
      <c r="QUT250" s="26"/>
      <c r="QUX250" s="23"/>
      <c r="QVC250" s="26"/>
      <c r="QVG250" s="23"/>
      <c r="QVL250" s="26"/>
      <c r="QVP250" s="23"/>
      <c r="QVU250" s="26"/>
      <c r="QVY250" s="23"/>
      <c r="QWD250" s="26"/>
      <c r="QWH250" s="23"/>
      <c r="QWM250" s="26"/>
      <c r="QWQ250" s="23"/>
      <c r="QWV250" s="26"/>
      <c r="QWZ250" s="23"/>
      <c r="QXE250" s="26"/>
      <c r="QXI250" s="23"/>
      <c r="QXN250" s="26"/>
      <c r="QXR250" s="23"/>
      <c r="QXW250" s="26"/>
      <c r="QYA250" s="23"/>
      <c r="QYF250" s="26"/>
      <c r="QYJ250" s="23"/>
      <c r="QYO250" s="26"/>
      <c r="QYS250" s="23"/>
      <c r="QYX250" s="26"/>
      <c r="QZB250" s="23"/>
      <c r="QZG250" s="26"/>
      <c r="QZK250" s="23"/>
      <c r="QZP250" s="26"/>
      <c r="QZT250" s="23"/>
      <c r="QZY250" s="26"/>
      <c r="RAC250" s="23"/>
      <c r="RAH250" s="26"/>
      <c r="RAL250" s="23"/>
      <c r="RAQ250" s="26"/>
      <c r="RAU250" s="23"/>
      <c r="RAZ250" s="26"/>
      <c r="RBD250" s="23"/>
      <c r="RBI250" s="26"/>
      <c r="RBM250" s="23"/>
      <c r="RBR250" s="26"/>
      <c r="RBV250" s="23"/>
      <c r="RCA250" s="26"/>
      <c r="RCE250" s="23"/>
      <c r="RCJ250" s="26"/>
      <c r="RCN250" s="23"/>
      <c r="RCS250" s="26"/>
      <c r="RCW250" s="23"/>
      <c r="RDB250" s="26"/>
      <c r="RDF250" s="23"/>
      <c r="RDK250" s="26"/>
      <c r="RDO250" s="23"/>
      <c r="RDT250" s="26"/>
      <c r="RDX250" s="23"/>
      <c r="REC250" s="26"/>
      <c r="REG250" s="23"/>
      <c r="REL250" s="26"/>
      <c r="REP250" s="23"/>
      <c r="REU250" s="26"/>
      <c r="REY250" s="23"/>
      <c r="RFD250" s="26"/>
      <c r="RFH250" s="23"/>
      <c r="RFM250" s="26"/>
      <c r="RFQ250" s="23"/>
      <c r="RFV250" s="26"/>
      <c r="RFZ250" s="23"/>
      <c r="RGE250" s="26"/>
      <c r="RGI250" s="23"/>
      <c r="RGN250" s="26"/>
      <c r="RGR250" s="23"/>
      <c r="RGW250" s="26"/>
      <c r="RHA250" s="23"/>
      <c r="RHF250" s="26"/>
      <c r="RHJ250" s="23"/>
      <c r="RHO250" s="26"/>
      <c r="RHS250" s="23"/>
      <c r="RHX250" s="26"/>
      <c r="RIB250" s="23"/>
      <c r="RIG250" s="26"/>
      <c r="RIK250" s="23"/>
      <c r="RIP250" s="26"/>
      <c r="RIT250" s="23"/>
      <c r="RIY250" s="26"/>
      <c r="RJC250" s="23"/>
      <c r="RJH250" s="26"/>
      <c r="RJL250" s="23"/>
      <c r="RJQ250" s="26"/>
      <c r="RJU250" s="23"/>
      <c r="RJZ250" s="26"/>
      <c r="RKD250" s="23"/>
      <c r="RKI250" s="26"/>
      <c r="RKM250" s="23"/>
      <c r="RKR250" s="26"/>
      <c r="RKV250" s="23"/>
      <c r="RLA250" s="26"/>
      <c r="RLE250" s="23"/>
      <c r="RLJ250" s="26"/>
      <c r="RLN250" s="23"/>
      <c r="RLS250" s="26"/>
      <c r="RLW250" s="23"/>
      <c r="RMB250" s="26"/>
      <c r="RMF250" s="23"/>
      <c r="RMK250" s="26"/>
      <c r="RMO250" s="23"/>
      <c r="RMT250" s="26"/>
      <c r="RMX250" s="23"/>
      <c r="RNC250" s="26"/>
      <c r="RNG250" s="23"/>
      <c r="RNL250" s="26"/>
      <c r="RNP250" s="23"/>
      <c r="RNU250" s="26"/>
      <c r="RNY250" s="23"/>
      <c r="ROD250" s="26"/>
      <c r="ROH250" s="23"/>
      <c r="ROM250" s="26"/>
      <c r="ROQ250" s="23"/>
      <c r="ROV250" s="26"/>
      <c r="ROZ250" s="23"/>
      <c r="RPE250" s="26"/>
      <c r="RPI250" s="23"/>
      <c r="RPN250" s="26"/>
      <c r="RPR250" s="23"/>
      <c r="RPW250" s="26"/>
      <c r="RQA250" s="23"/>
      <c r="RQF250" s="26"/>
      <c r="RQJ250" s="23"/>
      <c r="RQO250" s="26"/>
      <c r="RQS250" s="23"/>
      <c r="RQX250" s="26"/>
      <c r="RRB250" s="23"/>
      <c r="RRG250" s="26"/>
      <c r="RRK250" s="23"/>
      <c r="RRP250" s="26"/>
      <c r="RRT250" s="23"/>
      <c r="RRY250" s="26"/>
      <c r="RSC250" s="23"/>
      <c r="RSH250" s="26"/>
      <c r="RSL250" s="23"/>
      <c r="RSQ250" s="26"/>
      <c r="RSU250" s="23"/>
      <c r="RSZ250" s="26"/>
      <c r="RTD250" s="23"/>
      <c r="RTI250" s="26"/>
      <c r="RTM250" s="23"/>
      <c r="RTR250" s="26"/>
      <c r="RTV250" s="23"/>
      <c r="RUA250" s="26"/>
      <c r="RUE250" s="23"/>
      <c r="RUJ250" s="26"/>
      <c r="RUN250" s="23"/>
      <c r="RUS250" s="26"/>
      <c r="RUW250" s="23"/>
      <c r="RVB250" s="26"/>
      <c r="RVF250" s="23"/>
      <c r="RVK250" s="26"/>
      <c r="RVO250" s="23"/>
      <c r="RVT250" s="26"/>
      <c r="RVX250" s="23"/>
      <c r="RWC250" s="26"/>
      <c r="RWG250" s="23"/>
      <c r="RWL250" s="26"/>
      <c r="RWP250" s="23"/>
      <c r="RWU250" s="26"/>
      <c r="RWY250" s="23"/>
      <c r="RXD250" s="26"/>
      <c r="RXH250" s="23"/>
      <c r="RXM250" s="26"/>
      <c r="RXQ250" s="23"/>
      <c r="RXV250" s="26"/>
      <c r="RXZ250" s="23"/>
      <c r="RYE250" s="26"/>
      <c r="RYI250" s="23"/>
      <c r="RYN250" s="26"/>
      <c r="RYR250" s="23"/>
      <c r="RYW250" s="26"/>
      <c r="RZA250" s="23"/>
      <c r="RZF250" s="26"/>
      <c r="RZJ250" s="23"/>
      <c r="RZO250" s="26"/>
      <c r="RZS250" s="23"/>
      <c r="RZX250" s="26"/>
      <c r="SAB250" s="23"/>
      <c r="SAG250" s="26"/>
      <c r="SAK250" s="23"/>
      <c r="SAP250" s="26"/>
      <c r="SAT250" s="23"/>
      <c r="SAY250" s="26"/>
      <c r="SBC250" s="23"/>
      <c r="SBH250" s="26"/>
      <c r="SBL250" s="23"/>
      <c r="SBQ250" s="26"/>
      <c r="SBU250" s="23"/>
      <c r="SBZ250" s="26"/>
      <c r="SCD250" s="23"/>
      <c r="SCI250" s="26"/>
      <c r="SCM250" s="23"/>
      <c r="SCR250" s="26"/>
      <c r="SCV250" s="23"/>
      <c r="SDA250" s="26"/>
      <c r="SDE250" s="23"/>
      <c r="SDJ250" s="26"/>
      <c r="SDN250" s="23"/>
      <c r="SDS250" s="26"/>
      <c r="SDW250" s="23"/>
      <c r="SEB250" s="26"/>
      <c r="SEF250" s="23"/>
      <c r="SEK250" s="26"/>
      <c r="SEO250" s="23"/>
      <c r="SET250" s="26"/>
      <c r="SEX250" s="23"/>
      <c r="SFC250" s="26"/>
      <c r="SFG250" s="23"/>
      <c r="SFL250" s="26"/>
      <c r="SFP250" s="23"/>
      <c r="SFU250" s="26"/>
      <c r="SFY250" s="23"/>
      <c r="SGD250" s="26"/>
      <c r="SGH250" s="23"/>
      <c r="SGM250" s="26"/>
      <c r="SGQ250" s="23"/>
      <c r="SGV250" s="26"/>
      <c r="SGZ250" s="23"/>
      <c r="SHE250" s="26"/>
      <c r="SHI250" s="23"/>
      <c r="SHN250" s="26"/>
      <c r="SHR250" s="23"/>
      <c r="SHW250" s="26"/>
      <c r="SIA250" s="23"/>
      <c r="SIF250" s="26"/>
      <c r="SIJ250" s="23"/>
      <c r="SIO250" s="26"/>
      <c r="SIS250" s="23"/>
      <c r="SIX250" s="26"/>
      <c r="SJB250" s="23"/>
      <c r="SJG250" s="26"/>
      <c r="SJK250" s="23"/>
      <c r="SJP250" s="26"/>
      <c r="SJT250" s="23"/>
      <c r="SJY250" s="26"/>
      <c r="SKC250" s="23"/>
      <c r="SKH250" s="26"/>
      <c r="SKL250" s="23"/>
      <c r="SKQ250" s="26"/>
      <c r="SKU250" s="23"/>
      <c r="SKZ250" s="26"/>
      <c r="SLD250" s="23"/>
      <c r="SLI250" s="26"/>
      <c r="SLM250" s="23"/>
      <c r="SLR250" s="26"/>
      <c r="SLV250" s="23"/>
      <c r="SMA250" s="26"/>
      <c r="SME250" s="23"/>
      <c r="SMJ250" s="26"/>
      <c r="SMN250" s="23"/>
      <c r="SMS250" s="26"/>
      <c r="SMW250" s="23"/>
      <c r="SNB250" s="26"/>
      <c r="SNF250" s="23"/>
      <c r="SNK250" s="26"/>
      <c r="SNO250" s="23"/>
      <c r="SNT250" s="26"/>
      <c r="SNX250" s="23"/>
      <c r="SOC250" s="26"/>
      <c r="SOG250" s="23"/>
      <c r="SOL250" s="26"/>
      <c r="SOP250" s="23"/>
      <c r="SOU250" s="26"/>
      <c r="SOY250" s="23"/>
      <c r="SPD250" s="26"/>
      <c r="SPH250" s="23"/>
      <c r="SPM250" s="26"/>
      <c r="SPQ250" s="23"/>
      <c r="SPV250" s="26"/>
      <c r="SPZ250" s="23"/>
      <c r="SQE250" s="26"/>
      <c r="SQI250" s="23"/>
      <c r="SQN250" s="26"/>
      <c r="SQR250" s="23"/>
      <c r="SQW250" s="26"/>
      <c r="SRA250" s="23"/>
      <c r="SRF250" s="26"/>
      <c r="SRJ250" s="23"/>
      <c r="SRO250" s="26"/>
      <c r="SRS250" s="23"/>
      <c r="SRX250" s="26"/>
      <c r="SSB250" s="23"/>
      <c r="SSG250" s="26"/>
      <c r="SSK250" s="23"/>
      <c r="SSP250" s="26"/>
      <c r="SST250" s="23"/>
      <c r="SSY250" s="26"/>
      <c r="STC250" s="23"/>
      <c r="STH250" s="26"/>
      <c r="STL250" s="23"/>
      <c r="STQ250" s="26"/>
      <c r="STU250" s="23"/>
      <c r="STZ250" s="26"/>
      <c r="SUD250" s="23"/>
      <c r="SUI250" s="26"/>
      <c r="SUM250" s="23"/>
      <c r="SUR250" s="26"/>
      <c r="SUV250" s="23"/>
      <c r="SVA250" s="26"/>
      <c r="SVE250" s="23"/>
      <c r="SVJ250" s="26"/>
      <c r="SVN250" s="23"/>
      <c r="SVS250" s="26"/>
      <c r="SVW250" s="23"/>
      <c r="SWB250" s="26"/>
      <c r="SWF250" s="23"/>
      <c r="SWK250" s="26"/>
      <c r="SWO250" s="23"/>
      <c r="SWT250" s="26"/>
      <c r="SWX250" s="23"/>
      <c r="SXC250" s="26"/>
      <c r="SXG250" s="23"/>
      <c r="SXL250" s="26"/>
      <c r="SXP250" s="23"/>
      <c r="SXU250" s="26"/>
      <c r="SXY250" s="23"/>
      <c r="SYD250" s="26"/>
      <c r="SYH250" s="23"/>
      <c r="SYM250" s="26"/>
      <c r="SYQ250" s="23"/>
      <c r="SYV250" s="26"/>
      <c r="SYZ250" s="23"/>
      <c r="SZE250" s="26"/>
      <c r="SZI250" s="23"/>
      <c r="SZN250" s="26"/>
      <c r="SZR250" s="23"/>
      <c r="SZW250" s="26"/>
      <c r="TAA250" s="23"/>
      <c r="TAF250" s="26"/>
      <c r="TAJ250" s="23"/>
      <c r="TAO250" s="26"/>
      <c r="TAS250" s="23"/>
      <c r="TAX250" s="26"/>
      <c r="TBB250" s="23"/>
      <c r="TBG250" s="26"/>
      <c r="TBK250" s="23"/>
      <c r="TBP250" s="26"/>
      <c r="TBT250" s="23"/>
      <c r="TBY250" s="26"/>
      <c r="TCC250" s="23"/>
      <c r="TCH250" s="26"/>
      <c r="TCL250" s="23"/>
      <c r="TCQ250" s="26"/>
      <c r="TCU250" s="23"/>
      <c r="TCZ250" s="26"/>
      <c r="TDD250" s="23"/>
      <c r="TDI250" s="26"/>
      <c r="TDM250" s="23"/>
      <c r="TDR250" s="26"/>
      <c r="TDV250" s="23"/>
      <c r="TEA250" s="26"/>
      <c r="TEE250" s="23"/>
      <c r="TEJ250" s="26"/>
      <c r="TEN250" s="23"/>
      <c r="TES250" s="26"/>
      <c r="TEW250" s="23"/>
      <c r="TFB250" s="26"/>
      <c r="TFF250" s="23"/>
      <c r="TFK250" s="26"/>
      <c r="TFO250" s="23"/>
      <c r="TFT250" s="26"/>
      <c r="TFX250" s="23"/>
      <c r="TGC250" s="26"/>
      <c r="TGG250" s="23"/>
      <c r="TGL250" s="26"/>
      <c r="TGP250" s="23"/>
      <c r="TGU250" s="26"/>
      <c r="TGY250" s="23"/>
      <c r="THD250" s="26"/>
      <c r="THH250" s="23"/>
      <c r="THM250" s="26"/>
      <c r="THQ250" s="23"/>
      <c r="THV250" s="26"/>
      <c r="THZ250" s="23"/>
      <c r="TIE250" s="26"/>
      <c r="TII250" s="23"/>
      <c r="TIN250" s="26"/>
      <c r="TIR250" s="23"/>
      <c r="TIW250" s="26"/>
      <c r="TJA250" s="23"/>
      <c r="TJF250" s="26"/>
      <c r="TJJ250" s="23"/>
      <c r="TJO250" s="26"/>
      <c r="TJS250" s="23"/>
      <c r="TJX250" s="26"/>
      <c r="TKB250" s="23"/>
      <c r="TKG250" s="26"/>
      <c r="TKK250" s="23"/>
      <c r="TKP250" s="26"/>
      <c r="TKT250" s="23"/>
      <c r="TKY250" s="26"/>
      <c r="TLC250" s="23"/>
      <c r="TLH250" s="26"/>
      <c r="TLL250" s="23"/>
      <c r="TLQ250" s="26"/>
      <c r="TLU250" s="23"/>
      <c r="TLZ250" s="26"/>
      <c r="TMD250" s="23"/>
      <c r="TMI250" s="26"/>
      <c r="TMM250" s="23"/>
      <c r="TMR250" s="26"/>
      <c r="TMV250" s="23"/>
      <c r="TNA250" s="26"/>
      <c r="TNE250" s="23"/>
      <c r="TNJ250" s="26"/>
      <c r="TNN250" s="23"/>
      <c r="TNS250" s="26"/>
      <c r="TNW250" s="23"/>
      <c r="TOB250" s="26"/>
      <c r="TOF250" s="23"/>
      <c r="TOK250" s="26"/>
      <c r="TOO250" s="23"/>
      <c r="TOT250" s="26"/>
      <c r="TOX250" s="23"/>
      <c r="TPC250" s="26"/>
      <c r="TPG250" s="23"/>
      <c r="TPL250" s="26"/>
      <c r="TPP250" s="23"/>
      <c r="TPU250" s="26"/>
      <c r="TPY250" s="23"/>
      <c r="TQD250" s="26"/>
      <c r="TQH250" s="23"/>
      <c r="TQM250" s="26"/>
      <c r="TQQ250" s="23"/>
      <c r="TQV250" s="26"/>
      <c r="TQZ250" s="23"/>
      <c r="TRE250" s="26"/>
      <c r="TRI250" s="23"/>
      <c r="TRN250" s="26"/>
      <c r="TRR250" s="23"/>
      <c r="TRW250" s="26"/>
      <c r="TSA250" s="23"/>
      <c r="TSF250" s="26"/>
      <c r="TSJ250" s="23"/>
      <c r="TSO250" s="26"/>
      <c r="TSS250" s="23"/>
      <c r="TSX250" s="26"/>
      <c r="TTB250" s="23"/>
      <c r="TTG250" s="26"/>
      <c r="TTK250" s="23"/>
      <c r="TTP250" s="26"/>
      <c r="TTT250" s="23"/>
      <c r="TTY250" s="26"/>
      <c r="TUC250" s="23"/>
      <c r="TUH250" s="26"/>
      <c r="TUL250" s="23"/>
      <c r="TUQ250" s="26"/>
      <c r="TUU250" s="23"/>
      <c r="TUZ250" s="26"/>
      <c r="TVD250" s="23"/>
      <c r="TVI250" s="26"/>
      <c r="TVM250" s="23"/>
      <c r="TVR250" s="26"/>
      <c r="TVV250" s="23"/>
      <c r="TWA250" s="26"/>
      <c r="TWE250" s="23"/>
      <c r="TWJ250" s="26"/>
      <c r="TWN250" s="23"/>
      <c r="TWS250" s="26"/>
      <c r="TWW250" s="23"/>
      <c r="TXB250" s="26"/>
      <c r="TXF250" s="23"/>
      <c r="TXK250" s="26"/>
      <c r="TXO250" s="23"/>
      <c r="TXT250" s="26"/>
      <c r="TXX250" s="23"/>
      <c r="TYC250" s="26"/>
      <c r="TYG250" s="23"/>
      <c r="TYL250" s="26"/>
      <c r="TYP250" s="23"/>
      <c r="TYU250" s="26"/>
      <c r="TYY250" s="23"/>
      <c r="TZD250" s="26"/>
      <c r="TZH250" s="23"/>
      <c r="TZM250" s="26"/>
      <c r="TZQ250" s="23"/>
      <c r="TZV250" s="26"/>
      <c r="TZZ250" s="23"/>
      <c r="UAE250" s="26"/>
      <c r="UAI250" s="23"/>
      <c r="UAN250" s="26"/>
      <c r="UAR250" s="23"/>
      <c r="UAW250" s="26"/>
      <c r="UBA250" s="23"/>
      <c r="UBF250" s="26"/>
      <c r="UBJ250" s="23"/>
      <c r="UBO250" s="26"/>
      <c r="UBS250" s="23"/>
      <c r="UBX250" s="26"/>
      <c r="UCB250" s="23"/>
      <c r="UCG250" s="26"/>
      <c r="UCK250" s="23"/>
      <c r="UCP250" s="26"/>
      <c r="UCT250" s="23"/>
      <c r="UCY250" s="26"/>
      <c r="UDC250" s="23"/>
      <c r="UDH250" s="26"/>
      <c r="UDL250" s="23"/>
      <c r="UDQ250" s="26"/>
      <c r="UDU250" s="23"/>
      <c r="UDZ250" s="26"/>
      <c r="UED250" s="23"/>
      <c r="UEI250" s="26"/>
      <c r="UEM250" s="23"/>
      <c r="UER250" s="26"/>
      <c r="UEV250" s="23"/>
      <c r="UFA250" s="26"/>
      <c r="UFE250" s="23"/>
      <c r="UFJ250" s="26"/>
      <c r="UFN250" s="23"/>
      <c r="UFS250" s="26"/>
      <c r="UFW250" s="23"/>
      <c r="UGB250" s="26"/>
      <c r="UGF250" s="23"/>
      <c r="UGK250" s="26"/>
      <c r="UGO250" s="23"/>
      <c r="UGT250" s="26"/>
      <c r="UGX250" s="23"/>
      <c r="UHC250" s="26"/>
      <c r="UHG250" s="23"/>
      <c r="UHL250" s="26"/>
      <c r="UHP250" s="23"/>
      <c r="UHU250" s="26"/>
      <c r="UHY250" s="23"/>
      <c r="UID250" s="26"/>
      <c r="UIH250" s="23"/>
      <c r="UIM250" s="26"/>
      <c r="UIQ250" s="23"/>
      <c r="UIV250" s="26"/>
      <c r="UIZ250" s="23"/>
      <c r="UJE250" s="26"/>
      <c r="UJI250" s="23"/>
      <c r="UJN250" s="26"/>
      <c r="UJR250" s="23"/>
      <c r="UJW250" s="26"/>
      <c r="UKA250" s="23"/>
      <c r="UKF250" s="26"/>
      <c r="UKJ250" s="23"/>
      <c r="UKO250" s="26"/>
      <c r="UKS250" s="23"/>
      <c r="UKX250" s="26"/>
      <c r="ULB250" s="23"/>
      <c r="ULG250" s="26"/>
      <c r="ULK250" s="23"/>
      <c r="ULP250" s="26"/>
      <c r="ULT250" s="23"/>
      <c r="ULY250" s="26"/>
      <c r="UMC250" s="23"/>
      <c r="UMH250" s="26"/>
      <c r="UML250" s="23"/>
      <c r="UMQ250" s="26"/>
      <c r="UMU250" s="23"/>
      <c r="UMZ250" s="26"/>
      <c r="UND250" s="23"/>
      <c r="UNI250" s="26"/>
      <c r="UNM250" s="23"/>
      <c r="UNR250" s="26"/>
      <c r="UNV250" s="23"/>
      <c r="UOA250" s="26"/>
      <c r="UOE250" s="23"/>
      <c r="UOJ250" s="26"/>
      <c r="UON250" s="23"/>
      <c r="UOS250" s="26"/>
      <c r="UOW250" s="23"/>
      <c r="UPB250" s="26"/>
      <c r="UPF250" s="23"/>
      <c r="UPK250" s="26"/>
      <c r="UPO250" s="23"/>
      <c r="UPT250" s="26"/>
      <c r="UPX250" s="23"/>
      <c r="UQC250" s="26"/>
      <c r="UQG250" s="23"/>
      <c r="UQL250" s="26"/>
      <c r="UQP250" s="23"/>
      <c r="UQU250" s="26"/>
      <c r="UQY250" s="23"/>
      <c r="URD250" s="26"/>
      <c r="URH250" s="23"/>
      <c r="URM250" s="26"/>
      <c r="URQ250" s="23"/>
      <c r="URV250" s="26"/>
      <c r="URZ250" s="23"/>
      <c r="USE250" s="26"/>
      <c r="USI250" s="23"/>
      <c r="USN250" s="26"/>
      <c r="USR250" s="23"/>
      <c r="USW250" s="26"/>
      <c r="UTA250" s="23"/>
      <c r="UTF250" s="26"/>
      <c r="UTJ250" s="23"/>
      <c r="UTO250" s="26"/>
      <c r="UTS250" s="23"/>
      <c r="UTX250" s="26"/>
      <c r="UUB250" s="23"/>
      <c r="UUG250" s="26"/>
      <c r="UUK250" s="23"/>
      <c r="UUP250" s="26"/>
      <c r="UUT250" s="23"/>
      <c r="UUY250" s="26"/>
      <c r="UVC250" s="23"/>
      <c r="UVH250" s="26"/>
      <c r="UVL250" s="23"/>
      <c r="UVQ250" s="26"/>
      <c r="UVU250" s="23"/>
      <c r="UVZ250" s="26"/>
      <c r="UWD250" s="23"/>
      <c r="UWI250" s="26"/>
      <c r="UWM250" s="23"/>
      <c r="UWR250" s="26"/>
      <c r="UWV250" s="23"/>
      <c r="UXA250" s="26"/>
      <c r="UXE250" s="23"/>
      <c r="UXJ250" s="26"/>
      <c r="UXN250" s="23"/>
      <c r="UXS250" s="26"/>
      <c r="UXW250" s="23"/>
      <c r="UYB250" s="26"/>
      <c r="UYF250" s="23"/>
      <c r="UYK250" s="26"/>
      <c r="UYO250" s="23"/>
      <c r="UYT250" s="26"/>
      <c r="UYX250" s="23"/>
      <c r="UZC250" s="26"/>
      <c r="UZG250" s="23"/>
      <c r="UZL250" s="26"/>
      <c r="UZP250" s="23"/>
      <c r="UZU250" s="26"/>
      <c r="UZY250" s="23"/>
      <c r="VAD250" s="26"/>
      <c r="VAH250" s="23"/>
      <c r="VAM250" s="26"/>
      <c r="VAQ250" s="23"/>
      <c r="VAV250" s="26"/>
      <c r="VAZ250" s="23"/>
      <c r="VBE250" s="26"/>
      <c r="VBI250" s="23"/>
      <c r="VBN250" s="26"/>
      <c r="VBR250" s="23"/>
      <c r="VBW250" s="26"/>
      <c r="VCA250" s="23"/>
      <c r="VCF250" s="26"/>
      <c r="VCJ250" s="23"/>
      <c r="VCO250" s="26"/>
      <c r="VCS250" s="23"/>
      <c r="VCX250" s="26"/>
      <c r="VDB250" s="23"/>
      <c r="VDG250" s="26"/>
      <c r="VDK250" s="23"/>
      <c r="VDP250" s="26"/>
      <c r="VDT250" s="23"/>
      <c r="VDY250" s="26"/>
      <c r="VEC250" s="23"/>
      <c r="VEH250" s="26"/>
      <c r="VEL250" s="23"/>
      <c r="VEQ250" s="26"/>
      <c r="VEU250" s="23"/>
      <c r="VEZ250" s="26"/>
      <c r="VFD250" s="23"/>
      <c r="VFI250" s="26"/>
      <c r="VFM250" s="23"/>
      <c r="VFR250" s="26"/>
      <c r="VFV250" s="23"/>
      <c r="VGA250" s="26"/>
      <c r="VGE250" s="23"/>
      <c r="VGJ250" s="26"/>
      <c r="VGN250" s="23"/>
      <c r="VGS250" s="26"/>
      <c r="VGW250" s="23"/>
      <c r="VHB250" s="26"/>
      <c r="VHF250" s="23"/>
      <c r="VHK250" s="26"/>
      <c r="VHO250" s="23"/>
      <c r="VHT250" s="26"/>
      <c r="VHX250" s="23"/>
      <c r="VIC250" s="26"/>
      <c r="VIG250" s="23"/>
      <c r="VIL250" s="26"/>
      <c r="VIP250" s="23"/>
      <c r="VIU250" s="26"/>
      <c r="VIY250" s="23"/>
      <c r="VJD250" s="26"/>
      <c r="VJH250" s="23"/>
      <c r="VJM250" s="26"/>
      <c r="VJQ250" s="23"/>
      <c r="VJV250" s="26"/>
      <c r="VJZ250" s="23"/>
      <c r="VKE250" s="26"/>
      <c r="VKI250" s="23"/>
      <c r="VKN250" s="26"/>
      <c r="VKR250" s="23"/>
      <c r="VKW250" s="26"/>
      <c r="VLA250" s="23"/>
      <c r="VLF250" s="26"/>
      <c r="VLJ250" s="23"/>
      <c r="VLO250" s="26"/>
      <c r="VLS250" s="23"/>
      <c r="VLX250" s="26"/>
      <c r="VMB250" s="23"/>
      <c r="VMG250" s="26"/>
      <c r="VMK250" s="23"/>
      <c r="VMP250" s="26"/>
      <c r="VMT250" s="23"/>
      <c r="VMY250" s="26"/>
      <c r="VNC250" s="23"/>
      <c r="VNH250" s="26"/>
      <c r="VNL250" s="23"/>
      <c r="VNQ250" s="26"/>
      <c r="VNU250" s="23"/>
      <c r="VNZ250" s="26"/>
      <c r="VOD250" s="23"/>
      <c r="VOI250" s="26"/>
      <c r="VOM250" s="23"/>
      <c r="VOR250" s="26"/>
      <c r="VOV250" s="23"/>
      <c r="VPA250" s="26"/>
      <c r="VPE250" s="23"/>
      <c r="VPJ250" s="26"/>
      <c r="VPN250" s="23"/>
      <c r="VPS250" s="26"/>
      <c r="VPW250" s="23"/>
      <c r="VQB250" s="26"/>
      <c r="VQF250" s="23"/>
      <c r="VQK250" s="26"/>
      <c r="VQO250" s="23"/>
      <c r="VQT250" s="26"/>
      <c r="VQX250" s="23"/>
      <c r="VRC250" s="26"/>
      <c r="VRG250" s="23"/>
      <c r="VRL250" s="26"/>
      <c r="VRP250" s="23"/>
      <c r="VRU250" s="26"/>
      <c r="VRY250" s="23"/>
      <c r="VSD250" s="26"/>
      <c r="VSH250" s="23"/>
      <c r="VSM250" s="26"/>
      <c r="VSQ250" s="23"/>
      <c r="VSV250" s="26"/>
      <c r="VSZ250" s="23"/>
      <c r="VTE250" s="26"/>
      <c r="VTI250" s="23"/>
      <c r="VTN250" s="26"/>
      <c r="VTR250" s="23"/>
      <c r="VTW250" s="26"/>
      <c r="VUA250" s="23"/>
      <c r="VUF250" s="26"/>
      <c r="VUJ250" s="23"/>
      <c r="VUO250" s="26"/>
      <c r="VUS250" s="23"/>
      <c r="VUX250" s="26"/>
      <c r="VVB250" s="23"/>
      <c r="VVG250" s="26"/>
      <c r="VVK250" s="23"/>
      <c r="VVP250" s="26"/>
      <c r="VVT250" s="23"/>
      <c r="VVY250" s="26"/>
      <c r="VWC250" s="23"/>
      <c r="VWH250" s="26"/>
      <c r="VWL250" s="23"/>
      <c r="VWQ250" s="26"/>
      <c r="VWU250" s="23"/>
      <c r="VWZ250" s="26"/>
      <c r="VXD250" s="23"/>
      <c r="VXI250" s="26"/>
      <c r="VXM250" s="23"/>
      <c r="VXR250" s="26"/>
      <c r="VXV250" s="23"/>
      <c r="VYA250" s="26"/>
      <c r="VYE250" s="23"/>
      <c r="VYJ250" s="26"/>
      <c r="VYN250" s="23"/>
      <c r="VYS250" s="26"/>
      <c r="VYW250" s="23"/>
      <c r="VZB250" s="26"/>
      <c r="VZF250" s="23"/>
      <c r="VZK250" s="26"/>
      <c r="VZO250" s="23"/>
      <c r="VZT250" s="26"/>
      <c r="VZX250" s="23"/>
      <c r="WAC250" s="26"/>
      <c r="WAG250" s="23"/>
      <c r="WAL250" s="26"/>
      <c r="WAP250" s="23"/>
      <c r="WAU250" s="26"/>
      <c r="WAY250" s="23"/>
      <c r="WBD250" s="26"/>
      <c r="WBH250" s="23"/>
      <c r="WBM250" s="26"/>
      <c r="WBQ250" s="23"/>
      <c r="WBV250" s="26"/>
      <c r="WBZ250" s="23"/>
      <c r="WCE250" s="26"/>
      <c r="WCI250" s="23"/>
      <c r="WCN250" s="26"/>
      <c r="WCR250" s="23"/>
      <c r="WCW250" s="26"/>
      <c r="WDA250" s="23"/>
      <c r="WDF250" s="26"/>
      <c r="WDJ250" s="23"/>
      <c r="WDO250" s="26"/>
      <c r="WDS250" s="23"/>
      <c r="WDX250" s="26"/>
      <c r="WEB250" s="23"/>
      <c r="WEG250" s="26"/>
      <c r="WEK250" s="23"/>
      <c r="WEP250" s="26"/>
      <c r="WET250" s="23"/>
      <c r="WEY250" s="26"/>
      <c r="WFC250" s="23"/>
      <c r="WFH250" s="26"/>
      <c r="WFL250" s="23"/>
      <c r="WFQ250" s="26"/>
      <c r="WFU250" s="23"/>
      <c r="WFZ250" s="26"/>
      <c r="WGD250" s="23"/>
      <c r="WGI250" s="26"/>
      <c r="WGM250" s="23"/>
      <c r="WGR250" s="26"/>
      <c r="WGV250" s="23"/>
      <c r="WHA250" s="26"/>
      <c r="WHE250" s="23"/>
      <c r="WHJ250" s="26"/>
      <c r="WHN250" s="23"/>
      <c r="WHS250" s="26"/>
      <c r="WHW250" s="23"/>
      <c r="WIB250" s="26"/>
      <c r="WIF250" s="23"/>
      <c r="WIK250" s="26"/>
      <c r="WIO250" s="23"/>
      <c r="WIT250" s="26"/>
      <c r="WIX250" s="23"/>
      <c r="WJC250" s="26"/>
      <c r="WJG250" s="23"/>
      <c r="WJL250" s="26"/>
      <c r="WJP250" s="23"/>
      <c r="WJU250" s="26"/>
      <c r="WJY250" s="23"/>
      <c r="WKD250" s="26"/>
      <c r="WKH250" s="23"/>
      <c r="WKM250" s="26"/>
      <c r="WKQ250" s="23"/>
      <c r="WKV250" s="26"/>
      <c r="WKZ250" s="23"/>
      <c r="WLE250" s="26"/>
      <c r="WLI250" s="23"/>
      <c r="WLN250" s="26"/>
      <c r="WLR250" s="23"/>
      <c r="WLW250" s="26"/>
      <c r="WMA250" s="23"/>
      <c r="WMF250" s="26"/>
      <c r="WMJ250" s="23"/>
      <c r="WMO250" s="26"/>
      <c r="WMS250" s="23"/>
      <c r="WMX250" s="26"/>
      <c r="WNB250" s="23"/>
      <c r="WNG250" s="26"/>
      <c r="WNK250" s="23"/>
      <c r="WNP250" s="26"/>
      <c r="WNT250" s="23"/>
      <c r="WNY250" s="26"/>
      <c r="WOC250" s="23"/>
      <c r="WOH250" s="26"/>
      <c r="WOL250" s="23"/>
      <c r="WOQ250" s="26"/>
      <c r="WOU250" s="23"/>
      <c r="WOZ250" s="26"/>
      <c r="WPD250" s="23"/>
      <c r="WPI250" s="26"/>
      <c r="WPM250" s="23"/>
      <c r="WPR250" s="26"/>
      <c r="WPV250" s="23"/>
      <c r="WQA250" s="26"/>
      <c r="WQE250" s="23"/>
      <c r="WQJ250" s="26"/>
      <c r="WQN250" s="23"/>
      <c r="WQS250" s="26"/>
      <c r="WQW250" s="23"/>
      <c r="WRB250" s="26"/>
      <c r="WRF250" s="23"/>
      <c r="WRK250" s="26"/>
      <c r="WRO250" s="23"/>
      <c r="WRT250" s="26"/>
      <c r="WRX250" s="23"/>
      <c r="WSC250" s="26"/>
      <c r="WSG250" s="23"/>
      <c r="WSL250" s="26"/>
      <c r="WSP250" s="23"/>
      <c r="WSU250" s="26"/>
      <c r="WSY250" s="23"/>
      <c r="WTD250" s="26"/>
      <c r="WTH250" s="23"/>
      <c r="WTM250" s="26"/>
      <c r="WTQ250" s="23"/>
      <c r="WTV250" s="26"/>
      <c r="WTZ250" s="23"/>
      <c r="WUE250" s="26"/>
      <c r="WUI250" s="23"/>
      <c r="WUN250" s="26"/>
      <c r="WUR250" s="23"/>
      <c r="WUW250" s="26"/>
      <c r="WVA250" s="23"/>
      <c r="WVF250" s="26"/>
      <c r="WVJ250" s="23"/>
      <c r="WVO250" s="26"/>
      <c r="WVS250" s="23"/>
      <c r="WVX250" s="26"/>
      <c r="WWB250" s="23"/>
      <c r="WWG250" s="26"/>
      <c r="WWK250" s="23"/>
      <c r="WWP250" s="26"/>
      <c r="WWT250" s="23"/>
      <c r="WWY250" s="26"/>
      <c r="WXC250" s="23"/>
      <c r="WXH250" s="26"/>
      <c r="WXL250" s="23"/>
      <c r="WXQ250" s="26"/>
      <c r="WXU250" s="23"/>
      <c r="WXZ250" s="26"/>
      <c r="WYD250" s="23"/>
      <c r="WYI250" s="26"/>
      <c r="WYM250" s="23"/>
      <c r="WYR250" s="26"/>
      <c r="WYV250" s="23"/>
      <c r="WZA250" s="26"/>
      <c r="WZE250" s="23"/>
      <c r="WZJ250" s="26"/>
      <c r="WZN250" s="23"/>
      <c r="WZS250" s="26"/>
      <c r="WZW250" s="23"/>
      <c r="XAB250" s="26"/>
      <c r="XAF250" s="23"/>
      <c r="XAK250" s="26"/>
      <c r="XAO250" s="23"/>
      <c r="XAT250" s="26"/>
      <c r="XAX250" s="23"/>
      <c r="XBC250" s="26"/>
      <c r="XBG250" s="23"/>
      <c r="XBL250" s="26"/>
      <c r="XBP250" s="23"/>
      <c r="XBU250" s="26"/>
      <c r="XBY250" s="23"/>
      <c r="XCD250" s="26"/>
      <c r="XCH250" s="23"/>
      <c r="XCM250" s="26"/>
      <c r="XCQ250" s="23"/>
      <c r="XCV250" s="26"/>
      <c r="XCZ250" s="23"/>
      <c r="XDE250" s="26"/>
      <c r="XDI250" s="23"/>
      <c r="XDN250" s="26"/>
      <c r="XDR250" s="23"/>
      <c r="XDW250" s="26"/>
      <c r="XEA250" s="23"/>
      <c r="XEF250" s="26"/>
      <c r="XEJ250" s="23"/>
      <c r="XEO250" s="26"/>
      <c r="XES250" s="23"/>
      <c r="XEX250" s="26"/>
      <c r="XFB250" s="23"/>
    </row>
    <row r="251" spans="2:1024 1028:2045 2050:3071 3076:4093 4097:5119 5123:6140 6145:7166 7171:8192 8197:9214 9218:10240 10244:11261 11266:12287 12292:13309 13313:14335 14339:15356 15361:16382" x14ac:dyDescent="0.3">
      <c r="B251" s="23"/>
      <c r="K251" s="23"/>
      <c r="P251" s="26"/>
      <c r="T251" s="23"/>
      <c r="Y251" s="26"/>
      <c r="AC251" s="23"/>
      <c r="AH251" s="26"/>
      <c r="AL251" s="23"/>
      <c r="AQ251" s="26"/>
      <c r="AU251" s="23"/>
      <c r="AZ251" s="26"/>
      <c r="BD251" s="23"/>
      <c r="BI251" s="26"/>
      <c r="BM251" s="23"/>
      <c r="BR251" s="26"/>
      <c r="BV251" s="23"/>
      <c r="CA251" s="26"/>
      <c r="CE251" s="23"/>
      <c r="CJ251" s="26"/>
      <c r="CN251" s="23"/>
      <c r="CS251" s="26"/>
      <c r="CW251" s="23"/>
      <c r="DB251" s="26"/>
      <c r="DF251" s="23"/>
      <c r="DK251" s="26"/>
      <c r="DO251" s="23"/>
      <c r="DT251" s="26"/>
      <c r="DX251" s="23"/>
      <c r="EC251" s="26"/>
      <c r="EG251" s="23"/>
      <c r="EL251" s="26"/>
      <c r="EP251" s="23"/>
      <c r="EU251" s="26"/>
      <c r="EY251" s="23"/>
      <c r="FD251" s="26"/>
      <c r="FH251" s="23"/>
      <c r="FM251" s="26"/>
      <c r="FQ251" s="23"/>
      <c r="FV251" s="26"/>
      <c r="FZ251" s="23"/>
      <c r="GE251" s="26"/>
      <c r="GI251" s="23"/>
      <c r="GN251" s="26"/>
      <c r="GR251" s="23"/>
      <c r="GW251" s="26"/>
      <c r="HA251" s="23"/>
      <c r="HF251" s="26"/>
      <c r="HJ251" s="23"/>
      <c r="HO251" s="26"/>
      <c r="HS251" s="23"/>
      <c r="HX251" s="26"/>
      <c r="IB251" s="23"/>
      <c r="IG251" s="26"/>
      <c r="IK251" s="23"/>
      <c r="IP251" s="26"/>
      <c r="IT251" s="23"/>
      <c r="IY251" s="26"/>
      <c r="JC251" s="23"/>
      <c r="JH251" s="26"/>
      <c r="JL251" s="23"/>
      <c r="JQ251" s="26"/>
      <c r="JU251" s="23"/>
      <c r="JZ251" s="26"/>
      <c r="KD251" s="23"/>
      <c r="KI251" s="26"/>
      <c r="KM251" s="23"/>
      <c r="KR251" s="26"/>
      <c r="KV251" s="23"/>
      <c r="LA251" s="26"/>
      <c r="LE251" s="23"/>
      <c r="LJ251" s="26"/>
      <c r="LN251" s="23"/>
      <c r="LS251" s="26"/>
      <c r="LW251" s="23"/>
      <c r="MB251" s="26"/>
      <c r="MF251" s="23"/>
      <c r="MK251" s="26"/>
      <c r="MO251" s="23"/>
      <c r="MT251" s="26"/>
      <c r="MX251" s="23"/>
      <c r="NC251" s="26"/>
      <c r="NG251" s="23"/>
      <c r="NL251" s="26"/>
      <c r="NP251" s="23"/>
      <c r="NU251" s="26"/>
      <c r="NY251" s="23"/>
      <c r="OD251" s="26"/>
      <c r="OH251" s="23"/>
      <c r="OM251" s="26"/>
      <c r="OQ251" s="23"/>
      <c r="OV251" s="26"/>
      <c r="OZ251" s="23"/>
      <c r="PE251" s="26"/>
      <c r="PI251" s="23"/>
      <c r="PN251" s="26"/>
      <c r="PR251" s="23"/>
      <c r="PW251" s="26"/>
      <c r="QA251" s="23"/>
      <c r="QF251" s="26"/>
      <c r="QJ251" s="23"/>
      <c r="QO251" s="26"/>
      <c r="QS251" s="23"/>
      <c r="QX251" s="26"/>
      <c r="RB251" s="23"/>
      <c r="RG251" s="26"/>
      <c r="RK251" s="23"/>
      <c r="RP251" s="26"/>
      <c r="RT251" s="23"/>
      <c r="RY251" s="26"/>
      <c r="SC251" s="23"/>
      <c r="SH251" s="26"/>
      <c r="SL251" s="23"/>
      <c r="SQ251" s="26"/>
      <c r="SU251" s="23"/>
      <c r="SZ251" s="26"/>
      <c r="TD251" s="23"/>
      <c r="TI251" s="26"/>
      <c r="TM251" s="23"/>
      <c r="TR251" s="26"/>
      <c r="TV251" s="23"/>
      <c r="UA251" s="26"/>
      <c r="UE251" s="23"/>
      <c r="UJ251" s="26"/>
      <c r="UN251" s="23"/>
      <c r="US251" s="26"/>
      <c r="UW251" s="23"/>
      <c r="VB251" s="26"/>
      <c r="VF251" s="23"/>
      <c r="VK251" s="26"/>
      <c r="VO251" s="23"/>
      <c r="VT251" s="26"/>
      <c r="VX251" s="23"/>
      <c r="WC251" s="26"/>
      <c r="WG251" s="23"/>
      <c r="WL251" s="26"/>
      <c r="WP251" s="23"/>
      <c r="WU251" s="26"/>
      <c r="WY251" s="23"/>
      <c r="XD251" s="26"/>
      <c r="XH251" s="23"/>
      <c r="XM251" s="26"/>
      <c r="XQ251" s="23"/>
      <c r="XV251" s="26"/>
      <c r="XZ251" s="23"/>
      <c r="YE251" s="26"/>
      <c r="YI251" s="23"/>
      <c r="YN251" s="26"/>
      <c r="YR251" s="23"/>
      <c r="YW251" s="26"/>
      <c r="ZA251" s="23"/>
      <c r="ZF251" s="26"/>
      <c r="ZJ251" s="23"/>
      <c r="ZO251" s="26"/>
      <c r="ZS251" s="23"/>
      <c r="ZX251" s="26"/>
      <c r="AAB251" s="23"/>
      <c r="AAG251" s="26"/>
      <c r="AAK251" s="23"/>
      <c r="AAP251" s="26"/>
      <c r="AAT251" s="23"/>
      <c r="AAY251" s="26"/>
      <c r="ABC251" s="23"/>
      <c r="ABH251" s="26"/>
      <c r="ABL251" s="23"/>
      <c r="ABQ251" s="26"/>
      <c r="ABU251" s="23"/>
      <c r="ABZ251" s="26"/>
      <c r="ACD251" s="23"/>
      <c r="ACI251" s="26"/>
      <c r="ACM251" s="23"/>
      <c r="ACR251" s="26"/>
      <c r="ACV251" s="23"/>
      <c r="ADA251" s="26"/>
      <c r="ADE251" s="23"/>
      <c r="ADJ251" s="26"/>
      <c r="ADN251" s="23"/>
      <c r="ADS251" s="26"/>
      <c r="ADW251" s="23"/>
      <c r="AEB251" s="26"/>
      <c r="AEF251" s="23"/>
      <c r="AEK251" s="26"/>
      <c r="AEO251" s="23"/>
      <c r="AET251" s="26"/>
      <c r="AEX251" s="23"/>
      <c r="AFC251" s="26"/>
      <c r="AFG251" s="23"/>
      <c r="AFL251" s="26"/>
      <c r="AFP251" s="23"/>
      <c r="AFU251" s="26"/>
      <c r="AFY251" s="23"/>
      <c r="AGD251" s="26"/>
      <c r="AGH251" s="23"/>
      <c r="AGM251" s="26"/>
      <c r="AGQ251" s="23"/>
      <c r="AGV251" s="26"/>
      <c r="AGZ251" s="23"/>
      <c r="AHE251" s="26"/>
      <c r="AHI251" s="23"/>
      <c r="AHN251" s="26"/>
      <c r="AHR251" s="23"/>
      <c r="AHW251" s="26"/>
      <c r="AIA251" s="23"/>
      <c r="AIF251" s="26"/>
      <c r="AIJ251" s="23"/>
      <c r="AIO251" s="26"/>
      <c r="AIS251" s="23"/>
      <c r="AIX251" s="26"/>
      <c r="AJB251" s="23"/>
      <c r="AJG251" s="26"/>
      <c r="AJK251" s="23"/>
      <c r="AJP251" s="26"/>
      <c r="AJT251" s="23"/>
      <c r="AJY251" s="26"/>
      <c r="AKC251" s="23"/>
      <c r="AKH251" s="26"/>
      <c r="AKL251" s="23"/>
      <c r="AKQ251" s="26"/>
      <c r="AKU251" s="23"/>
      <c r="AKZ251" s="26"/>
      <c r="ALD251" s="23"/>
      <c r="ALI251" s="26"/>
      <c r="ALM251" s="23"/>
      <c r="ALR251" s="26"/>
      <c r="ALV251" s="23"/>
      <c r="AMA251" s="26"/>
      <c r="AME251" s="23"/>
      <c r="AMJ251" s="26"/>
      <c r="AMN251" s="23"/>
      <c r="AMS251" s="26"/>
      <c r="AMW251" s="23"/>
      <c r="ANB251" s="26"/>
      <c r="ANF251" s="23"/>
      <c r="ANK251" s="26"/>
      <c r="ANO251" s="23"/>
      <c r="ANT251" s="26"/>
      <c r="ANX251" s="23"/>
      <c r="AOC251" s="26"/>
      <c r="AOG251" s="23"/>
      <c r="AOL251" s="26"/>
      <c r="AOP251" s="23"/>
      <c r="AOU251" s="26"/>
      <c r="AOY251" s="23"/>
      <c r="APD251" s="26"/>
      <c r="APH251" s="23"/>
      <c r="APM251" s="26"/>
      <c r="APQ251" s="23"/>
      <c r="APV251" s="26"/>
      <c r="APZ251" s="23"/>
      <c r="AQE251" s="26"/>
      <c r="AQI251" s="23"/>
      <c r="AQN251" s="26"/>
      <c r="AQR251" s="23"/>
      <c r="AQW251" s="26"/>
      <c r="ARA251" s="23"/>
      <c r="ARF251" s="26"/>
      <c r="ARJ251" s="23"/>
      <c r="ARO251" s="26"/>
      <c r="ARS251" s="23"/>
      <c r="ARX251" s="26"/>
      <c r="ASB251" s="23"/>
      <c r="ASG251" s="26"/>
      <c r="ASK251" s="23"/>
      <c r="ASP251" s="26"/>
      <c r="AST251" s="23"/>
      <c r="ASY251" s="26"/>
      <c r="ATC251" s="23"/>
      <c r="ATH251" s="26"/>
      <c r="ATL251" s="23"/>
      <c r="ATQ251" s="26"/>
      <c r="ATU251" s="23"/>
      <c r="ATZ251" s="26"/>
      <c r="AUD251" s="23"/>
      <c r="AUI251" s="26"/>
      <c r="AUM251" s="23"/>
      <c r="AUR251" s="26"/>
      <c r="AUV251" s="23"/>
      <c r="AVA251" s="26"/>
      <c r="AVE251" s="23"/>
      <c r="AVJ251" s="26"/>
      <c r="AVN251" s="23"/>
      <c r="AVS251" s="26"/>
      <c r="AVW251" s="23"/>
      <c r="AWB251" s="26"/>
      <c r="AWF251" s="23"/>
      <c r="AWK251" s="26"/>
      <c r="AWO251" s="23"/>
      <c r="AWT251" s="26"/>
      <c r="AWX251" s="23"/>
      <c r="AXC251" s="26"/>
      <c r="AXG251" s="23"/>
      <c r="AXL251" s="26"/>
      <c r="AXP251" s="23"/>
      <c r="AXU251" s="26"/>
      <c r="AXY251" s="23"/>
      <c r="AYD251" s="26"/>
      <c r="AYH251" s="23"/>
      <c r="AYM251" s="26"/>
      <c r="AYQ251" s="23"/>
      <c r="AYV251" s="26"/>
      <c r="AYZ251" s="23"/>
      <c r="AZE251" s="26"/>
      <c r="AZI251" s="23"/>
      <c r="AZN251" s="26"/>
      <c r="AZR251" s="23"/>
      <c r="AZW251" s="26"/>
      <c r="BAA251" s="23"/>
      <c r="BAF251" s="26"/>
      <c r="BAJ251" s="23"/>
      <c r="BAO251" s="26"/>
      <c r="BAS251" s="23"/>
      <c r="BAX251" s="26"/>
      <c r="BBB251" s="23"/>
      <c r="BBG251" s="26"/>
      <c r="BBK251" s="23"/>
      <c r="BBP251" s="26"/>
      <c r="BBT251" s="23"/>
      <c r="BBY251" s="26"/>
      <c r="BCC251" s="23"/>
      <c r="BCH251" s="26"/>
      <c r="BCL251" s="23"/>
      <c r="BCQ251" s="26"/>
      <c r="BCU251" s="23"/>
      <c r="BCZ251" s="26"/>
      <c r="BDD251" s="23"/>
      <c r="BDI251" s="26"/>
      <c r="BDM251" s="23"/>
      <c r="BDR251" s="26"/>
      <c r="BDV251" s="23"/>
      <c r="BEA251" s="26"/>
      <c r="BEE251" s="23"/>
      <c r="BEJ251" s="26"/>
      <c r="BEN251" s="23"/>
      <c r="BES251" s="26"/>
      <c r="BEW251" s="23"/>
      <c r="BFB251" s="26"/>
      <c r="BFF251" s="23"/>
      <c r="BFK251" s="26"/>
      <c r="BFO251" s="23"/>
      <c r="BFT251" s="26"/>
      <c r="BFX251" s="23"/>
      <c r="BGC251" s="26"/>
      <c r="BGG251" s="23"/>
      <c r="BGL251" s="26"/>
      <c r="BGP251" s="23"/>
      <c r="BGU251" s="26"/>
      <c r="BGY251" s="23"/>
      <c r="BHD251" s="26"/>
      <c r="BHH251" s="23"/>
      <c r="BHM251" s="26"/>
      <c r="BHQ251" s="23"/>
      <c r="BHV251" s="26"/>
      <c r="BHZ251" s="23"/>
      <c r="BIE251" s="26"/>
      <c r="BII251" s="23"/>
      <c r="BIN251" s="26"/>
      <c r="BIR251" s="23"/>
      <c r="BIW251" s="26"/>
      <c r="BJA251" s="23"/>
      <c r="BJF251" s="26"/>
      <c r="BJJ251" s="23"/>
      <c r="BJO251" s="26"/>
      <c r="BJS251" s="23"/>
      <c r="BJX251" s="26"/>
      <c r="BKB251" s="23"/>
      <c r="BKG251" s="26"/>
      <c r="BKK251" s="23"/>
      <c r="BKP251" s="26"/>
      <c r="BKT251" s="23"/>
      <c r="BKY251" s="26"/>
      <c r="BLC251" s="23"/>
      <c r="BLH251" s="26"/>
      <c r="BLL251" s="23"/>
      <c r="BLQ251" s="26"/>
      <c r="BLU251" s="23"/>
      <c r="BLZ251" s="26"/>
      <c r="BMD251" s="23"/>
      <c r="BMI251" s="26"/>
      <c r="BMM251" s="23"/>
      <c r="BMR251" s="26"/>
      <c r="BMV251" s="23"/>
      <c r="BNA251" s="26"/>
      <c r="BNE251" s="23"/>
      <c r="BNJ251" s="26"/>
      <c r="BNN251" s="23"/>
      <c r="BNS251" s="26"/>
      <c r="BNW251" s="23"/>
      <c r="BOB251" s="26"/>
      <c r="BOF251" s="23"/>
      <c r="BOK251" s="26"/>
      <c r="BOO251" s="23"/>
      <c r="BOT251" s="26"/>
      <c r="BOX251" s="23"/>
      <c r="BPC251" s="26"/>
      <c r="BPG251" s="23"/>
      <c r="BPL251" s="26"/>
      <c r="BPP251" s="23"/>
      <c r="BPU251" s="26"/>
      <c r="BPY251" s="23"/>
      <c r="BQD251" s="26"/>
      <c r="BQH251" s="23"/>
      <c r="BQM251" s="26"/>
      <c r="BQQ251" s="23"/>
      <c r="BQV251" s="26"/>
      <c r="BQZ251" s="23"/>
      <c r="BRE251" s="26"/>
      <c r="BRI251" s="23"/>
      <c r="BRN251" s="26"/>
      <c r="BRR251" s="23"/>
      <c r="BRW251" s="26"/>
      <c r="BSA251" s="23"/>
      <c r="BSF251" s="26"/>
      <c r="BSJ251" s="23"/>
      <c r="BSO251" s="26"/>
      <c r="BSS251" s="23"/>
      <c r="BSX251" s="26"/>
      <c r="BTB251" s="23"/>
      <c r="BTG251" s="26"/>
      <c r="BTK251" s="23"/>
      <c r="BTP251" s="26"/>
      <c r="BTT251" s="23"/>
      <c r="BTY251" s="26"/>
      <c r="BUC251" s="23"/>
      <c r="BUH251" s="26"/>
      <c r="BUL251" s="23"/>
      <c r="BUQ251" s="26"/>
      <c r="BUU251" s="23"/>
      <c r="BUZ251" s="26"/>
      <c r="BVD251" s="23"/>
      <c r="BVI251" s="26"/>
      <c r="BVM251" s="23"/>
      <c r="BVR251" s="26"/>
      <c r="BVV251" s="23"/>
      <c r="BWA251" s="26"/>
      <c r="BWE251" s="23"/>
      <c r="BWJ251" s="26"/>
      <c r="BWN251" s="23"/>
      <c r="BWS251" s="26"/>
      <c r="BWW251" s="23"/>
      <c r="BXB251" s="26"/>
      <c r="BXF251" s="23"/>
      <c r="BXK251" s="26"/>
      <c r="BXO251" s="23"/>
      <c r="BXT251" s="26"/>
      <c r="BXX251" s="23"/>
      <c r="BYC251" s="26"/>
      <c r="BYG251" s="23"/>
      <c r="BYL251" s="26"/>
      <c r="BYP251" s="23"/>
      <c r="BYU251" s="26"/>
      <c r="BYY251" s="23"/>
      <c r="BZD251" s="26"/>
      <c r="BZH251" s="23"/>
      <c r="BZM251" s="26"/>
      <c r="BZQ251" s="23"/>
      <c r="BZV251" s="26"/>
      <c r="BZZ251" s="23"/>
      <c r="CAE251" s="26"/>
      <c r="CAI251" s="23"/>
      <c r="CAN251" s="26"/>
      <c r="CAR251" s="23"/>
      <c r="CAW251" s="26"/>
      <c r="CBA251" s="23"/>
      <c r="CBF251" s="26"/>
      <c r="CBJ251" s="23"/>
      <c r="CBO251" s="26"/>
      <c r="CBS251" s="23"/>
      <c r="CBX251" s="26"/>
      <c r="CCB251" s="23"/>
      <c r="CCG251" s="26"/>
      <c r="CCK251" s="23"/>
      <c r="CCP251" s="26"/>
      <c r="CCT251" s="23"/>
      <c r="CCY251" s="26"/>
      <c r="CDC251" s="23"/>
      <c r="CDH251" s="26"/>
      <c r="CDL251" s="23"/>
      <c r="CDQ251" s="26"/>
      <c r="CDU251" s="23"/>
      <c r="CDZ251" s="26"/>
      <c r="CED251" s="23"/>
      <c r="CEI251" s="26"/>
      <c r="CEM251" s="23"/>
      <c r="CER251" s="26"/>
      <c r="CEV251" s="23"/>
      <c r="CFA251" s="26"/>
      <c r="CFE251" s="23"/>
      <c r="CFJ251" s="26"/>
      <c r="CFN251" s="23"/>
      <c r="CFS251" s="26"/>
      <c r="CFW251" s="23"/>
      <c r="CGB251" s="26"/>
      <c r="CGF251" s="23"/>
      <c r="CGK251" s="26"/>
      <c r="CGO251" s="23"/>
      <c r="CGT251" s="26"/>
      <c r="CGX251" s="23"/>
      <c r="CHC251" s="26"/>
      <c r="CHG251" s="23"/>
      <c r="CHL251" s="26"/>
      <c r="CHP251" s="23"/>
      <c r="CHU251" s="26"/>
      <c r="CHY251" s="23"/>
      <c r="CID251" s="26"/>
      <c r="CIH251" s="23"/>
      <c r="CIM251" s="26"/>
      <c r="CIQ251" s="23"/>
      <c r="CIV251" s="26"/>
      <c r="CIZ251" s="23"/>
      <c r="CJE251" s="26"/>
      <c r="CJI251" s="23"/>
      <c r="CJN251" s="26"/>
      <c r="CJR251" s="23"/>
      <c r="CJW251" s="26"/>
      <c r="CKA251" s="23"/>
      <c r="CKF251" s="26"/>
      <c r="CKJ251" s="23"/>
      <c r="CKO251" s="26"/>
      <c r="CKS251" s="23"/>
      <c r="CKX251" s="26"/>
      <c r="CLB251" s="23"/>
      <c r="CLG251" s="26"/>
      <c r="CLK251" s="23"/>
      <c r="CLP251" s="26"/>
      <c r="CLT251" s="23"/>
      <c r="CLY251" s="26"/>
      <c r="CMC251" s="23"/>
      <c r="CMH251" s="26"/>
      <c r="CML251" s="23"/>
      <c r="CMQ251" s="26"/>
      <c r="CMU251" s="23"/>
      <c r="CMZ251" s="26"/>
      <c r="CND251" s="23"/>
      <c r="CNI251" s="26"/>
      <c r="CNM251" s="23"/>
      <c r="CNR251" s="26"/>
      <c r="CNV251" s="23"/>
      <c r="COA251" s="26"/>
      <c r="COE251" s="23"/>
      <c r="COJ251" s="26"/>
      <c r="CON251" s="23"/>
      <c r="COS251" s="26"/>
      <c r="COW251" s="23"/>
      <c r="CPB251" s="26"/>
      <c r="CPF251" s="23"/>
      <c r="CPK251" s="26"/>
      <c r="CPO251" s="23"/>
      <c r="CPT251" s="26"/>
      <c r="CPX251" s="23"/>
      <c r="CQC251" s="26"/>
      <c r="CQG251" s="23"/>
      <c r="CQL251" s="26"/>
      <c r="CQP251" s="23"/>
      <c r="CQU251" s="26"/>
      <c r="CQY251" s="23"/>
      <c r="CRD251" s="26"/>
      <c r="CRH251" s="23"/>
      <c r="CRM251" s="26"/>
      <c r="CRQ251" s="23"/>
      <c r="CRV251" s="26"/>
      <c r="CRZ251" s="23"/>
      <c r="CSE251" s="26"/>
      <c r="CSI251" s="23"/>
      <c r="CSN251" s="26"/>
      <c r="CSR251" s="23"/>
      <c r="CSW251" s="26"/>
      <c r="CTA251" s="23"/>
      <c r="CTF251" s="26"/>
      <c r="CTJ251" s="23"/>
      <c r="CTO251" s="26"/>
      <c r="CTS251" s="23"/>
      <c r="CTX251" s="26"/>
      <c r="CUB251" s="23"/>
      <c r="CUG251" s="26"/>
      <c r="CUK251" s="23"/>
      <c r="CUP251" s="26"/>
      <c r="CUT251" s="23"/>
      <c r="CUY251" s="26"/>
      <c r="CVC251" s="23"/>
      <c r="CVH251" s="26"/>
      <c r="CVL251" s="23"/>
      <c r="CVQ251" s="26"/>
      <c r="CVU251" s="23"/>
      <c r="CVZ251" s="26"/>
      <c r="CWD251" s="23"/>
      <c r="CWI251" s="26"/>
      <c r="CWM251" s="23"/>
      <c r="CWR251" s="26"/>
      <c r="CWV251" s="23"/>
      <c r="CXA251" s="26"/>
      <c r="CXE251" s="23"/>
      <c r="CXJ251" s="26"/>
      <c r="CXN251" s="23"/>
      <c r="CXS251" s="26"/>
      <c r="CXW251" s="23"/>
      <c r="CYB251" s="26"/>
      <c r="CYF251" s="23"/>
      <c r="CYK251" s="26"/>
      <c r="CYO251" s="23"/>
      <c r="CYT251" s="26"/>
      <c r="CYX251" s="23"/>
      <c r="CZC251" s="26"/>
      <c r="CZG251" s="23"/>
      <c r="CZL251" s="26"/>
      <c r="CZP251" s="23"/>
      <c r="CZU251" s="26"/>
      <c r="CZY251" s="23"/>
      <c r="DAD251" s="26"/>
      <c r="DAH251" s="23"/>
      <c r="DAM251" s="26"/>
      <c r="DAQ251" s="23"/>
      <c r="DAV251" s="26"/>
      <c r="DAZ251" s="23"/>
      <c r="DBE251" s="26"/>
      <c r="DBI251" s="23"/>
      <c r="DBN251" s="26"/>
      <c r="DBR251" s="23"/>
      <c r="DBW251" s="26"/>
      <c r="DCA251" s="23"/>
      <c r="DCF251" s="26"/>
      <c r="DCJ251" s="23"/>
      <c r="DCO251" s="26"/>
      <c r="DCS251" s="23"/>
      <c r="DCX251" s="26"/>
      <c r="DDB251" s="23"/>
      <c r="DDG251" s="26"/>
      <c r="DDK251" s="23"/>
      <c r="DDP251" s="26"/>
      <c r="DDT251" s="23"/>
      <c r="DDY251" s="26"/>
      <c r="DEC251" s="23"/>
      <c r="DEH251" s="26"/>
      <c r="DEL251" s="23"/>
      <c r="DEQ251" s="26"/>
      <c r="DEU251" s="23"/>
      <c r="DEZ251" s="26"/>
      <c r="DFD251" s="23"/>
      <c r="DFI251" s="26"/>
      <c r="DFM251" s="23"/>
      <c r="DFR251" s="26"/>
      <c r="DFV251" s="23"/>
      <c r="DGA251" s="26"/>
      <c r="DGE251" s="23"/>
      <c r="DGJ251" s="26"/>
      <c r="DGN251" s="23"/>
      <c r="DGS251" s="26"/>
      <c r="DGW251" s="23"/>
      <c r="DHB251" s="26"/>
      <c r="DHF251" s="23"/>
      <c r="DHK251" s="26"/>
      <c r="DHO251" s="23"/>
      <c r="DHT251" s="26"/>
      <c r="DHX251" s="23"/>
      <c r="DIC251" s="26"/>
      <c r="DIG251" s="23"/>
      <c r="DIL251" s="26"/>
      <c r="DIP251" s="23"/>
      <c r="DIU251" s="26"/>
      <c r="DIY251" s="23"/>
      <c r="DJD251" s="26"/>
      <c r="DJH251" s="23"/>
      <c r="DJM251" s="26"/>
      <c r="DJQ251" s="23"/>
      <c r="DJV251" s="26"/>
      <c r="DJZ251" s="23"/>
      <c r="DKE251" s="26"/>
      <c r="DKI251" s="23"/>
      <c r="DKN251" s="26"/>
      <c r="DKR251" s="23"/>
      <c r="DKW251" s="26"/>
      <c r="DLA251" s="23"/>
      <c r="DLF251" s="26"/>
      <c r="DLJ251" s="23"/>
      <c r="DLO251" s="26"/>
      <c r="DLS251" s="23"/>
      <c r="DLX251" s="26"/>
      <c r="DMB251" s="23"/>
      <c r="DMG251" s="26"/>
      <c r="DMK251" s="23"/>
      <c r="DMP251" s="26"/>
      <c r="DMT251" s="23"/>
      <c r="DMY251" s="26"/>
      <c r="DNC251" s="23"/>
      <c r="DNH251" s="26"/>
      <c r="DNL251" s="23"/>
      <c r="DNQ251" s="26"/>
      <c r="DNU251" s="23"/>
      <c r="DNZ251" s="26"/>
      <c r="DOD251" s="23"/>
      <c r="DOI251" s="26"/>
      <c r="DOM251" s="23"/>
      <c r="DOR251" s="26"/>
      <c r="DOV251" s="23"/>
      <c r="DPA251" s="26"/>
      <c r="DPE251" s="23"/>
      <c r="DPJ251" s="26"/>
      <c r="DPN251" s="23"/>
      <c r="DPS251" s="26"/>
      <c r="DPW251" s="23"/>
      <c r="DQB251" s="26"/>
      <c r="DQF251" s="23"/>
      <c r="DQK251" s="26"/>
      <c r="DQO251" s="23"/>
      <c r="DQT251" s="26"/>
      <c r="DQX251" s="23"/>
      <c r="DRC251" s="26"/>
      <c r="DRG251" s="23"/>
      <c r="DRL251" s="26"/>
      <c r="DRP251" s="23"/>
      <c r="DRU251" s="26"/>
      <c r="DRY251" s="23"/>
      <c r="DSD251" s="26"/>
      <c r="DSH251" s="23"/>
      <c r="DSM251" s="26"/>
      <c r="DSQ251" s="23"/>
      <c r="DSV251" s="26"/>
      <c r="DSZ251" s="23"/>
      <c r="DTE251" s="26"/>
      <c r="DTI251" s="23"/>
      <c r="DTN251" s="26"/>
      <c r="DTR251" s="23"/>
      <c r="DTW251" s="26"/>
      <c r="DUA251" s="23"/>
      <c r="DUF251" s="26"/>
      <c r="DUJ251" s="23"/>
      <c r="DUO251" s="26"/>
      <c r="DUS251" s="23"/>
      <c r="DUX251" s="26"/>
      <c r="DVB251" s="23"/>
      <c r="DVG251" s="26"/>
      <c r="DVK251" s="23"/>
      <c r="DVP251" s="26"/>
      <c r="DVT251" s="23"/>
      <c r="DVY251" s="26"/>
      <c r="DWC251" s="23"/>
      <c r="DWH251" s="26"/>
      <c r="DWL251" s="23"/>
      <c r="DWQ251" s="26"/>
      <c r="DWU251" s="23"/>
      <c r="DWZ251" s="26"/>
      <c r="DXD251" s="23"/>
      <c r="DXI251" s="26"/>
      <c r="DXM251" s="23"/>
      <c r="DXR251" s="26"/>
      <c r="DXV251" s="23"/>
      <c r="DYA251" s="26"/>
      <c r="DYE251" s="23"/>
      <c r="DYJ251" s="26"/>
      <c r="DYN251" s="23"/>
      <c r="DYS251" s="26"/>
      <c r="DYW251" s="23"/>
      <c r="DZB251" s="26"/>
      <c r="DZF251" s="23"/>
      <c r="DZK251" s="26"/>
      <c r="DZO251" s="23"/>
      <c r="DZT251" s="26"/>
      <c r="DZX251" s="23"/>
      <c r="EAC251" s="26"/>
      <c r="EAG251" s="23"/>
      <c r="EAL251" s="26"/>
      <c r="EAP251" s="23"/>
      <c r="EAU251" s="26"/>
      <c r="EAY251" s="23"/>
      <c r="EBD251" s="26"/>
      <c r="EBH251" s="23"/>
      <c r="EBM251" s="26"/>
      <c r="EBQ251" s="23"/>
      <c r="EBV251" s="26"/>
      <c r="EBZ251" s="23"/>
      <c r="ECE251" s="26"/>
      <c r="ECI251" s="23"/>
      <c r="ECN251" s="26"/>
      <c r="ECR251" s="23"/>
      <c r="ECW251" s="26"/>
      <c r="EDA251" s="23"/>
      <c r="EDF251" s="26"/>
      <c r="EDJ251" s="23"/>
      <c r="EDO251" s="26"/>
      <c r="EDS251" s="23"/>
      <c r="EDX251" s="26"/>
      <c r="EEB251" s="23"/>
      <c r="EEG251" s="26"/>
      <c r="EEK251" s="23"/>
      <c r="EEP251" s="26"/>
      <c r="EET251" s="23"/>
      <c r="EEY251" s="26"/>
      <c r="EFC251" s="23"/>
      <c r="EFH251" s="26"/>
      <c r="EFL251" s="23"/>
      <c r="EFQ251" s="26"/>
      <c r="EFU251" s="23"/>
      <c r="EFZ251" s="26"/>
      <c r="EGD251" s="23"/>
      <c r="EGI251" s="26"/>
      <c r="EGM251" s="23"/>
      <c r="EGR251" s="26"/>
      <c r="EGV251" s="23"/>
      <c r="EHA251" s="26"/>
      <c r="EHE251" s="23"/>
      <c r="EHJ251" s="26"/>
      <c r="EHN251" s="23"/>
      <c r="EHS251" s="26"/>
      <c r="EHW251" s="23"/>
      <c r="EIB251" s="26"/>
      <c r="EIF251" s="23"/>
      <c r="EIK251" s="26"/>
      <c r="EIO251" s="23"/>
      <c r="EIT251" s="26"/>
      <c r="EIX251" s="23"/>
      <c r="EJC251" s="26"/>
      <c r="EJG251" s="23"/>
      <c r="EJL251" s="26"/>
      <c r="EJP251" s="23"/>
      <c r="EJU251" s="26"/>
      <c r="EJY251" s="23"/>
      <c r="EKD251" s="26"/>
      <c r="EKH251" s="23"/>
      <c r="EKM251" s="26"/>
      <c r="EKQ251" s="23"/>
      <c r="EKV251" s="26"/>
      <c r="EKZ251" s="23"/>
      <c r="ELE251" s="26"/>
      <c r="ELI251" s="23"/>
      <c r="ELN251" s="26"/>
      <c r="ELR251" s="23"/>
      <c r="ELW251" s="26"/>
      <c r="EMA251" s="23"/>
      <c r="EMF251" s="26"/>
      <c r="EMJ251" s="23"/>
      <c r="EMO251" s="26"/>
      <c r="EMS251" s="23"/>
      <c r="EMX251" s="26"/>
      <c r="ENB251" s="23"/>
      <c r="ENG251" s="26"/>
      <c r="ENK251" s="23"/>
      <c r="ENP251" s="26"/>
      <c r="ENT251" s="23"/>
      <c r="ENY251" s="26"/>
      <c r="EOC251" s="23"/>
      <c r="EOH251" s="26"/>
      <c r="EOL251" s="23"/>
      <c r="EOQ251" s="26"/>
      <c r="EOU251" s="23"/>
      <c r="EOZ251" s="26"/>
      <c r="EPD251" s="23"/>
      <c r="EPI251" s="26"/>
      <c r="EPM251" s="23"/>
      <c r="EPR251" s="26"/>
      <c r="EPV251" s="23"/>
      <c r="EQA251" s="26"/>
      <c r="EQE251" s="23"/>
      <c r="EQJ251" s="26"/>
      <c r="EQN251" s="23"/>
      <c r="EQS251" s="26"/>
      <c r="EQW251" s="23"/>
      <c r="ERB251" s="26"/>
      <c r="ERF251" s="23"/>
      <c r="ERK251" s="26"/>
      <c r="ERO251" s="23"/>
      <c r="ERT251" s="26"/>
      <c r="ERX251" s="23"/>
      <c r="ESC251" s="26"/>
      <c r="ESG251" s="23"/>
      <c r="ESL251" s="26"/>
      <c r="ESP251" s="23"/>
      <c r="ESU251" s="26"/>
      <c r="ESY251" s="23"/>
      <c r="ETD251" s="26"/>
      <c r="ETH251" s="23"/>
      <c r="ETM251" s="26"/>
      <c r="ETQ251" s="23"/>
      <c r="ETV251" s="26"/>
      <c r="ETZ251" s="23"/>
      <c r="EUE251" s="26"/>
      <c r="EUI251" s="23"/>
      <c r="EUN251" s="26"/>
      <c r="EUR251" s="23"/>
      <c r="EUW251" s="26"/>
      <c r="EVA251" s="23"/>
      <c r="EVF251" s="26"/>
      <c r="EVJ251" s="23"/>
      <c r="EVO251" s="26"/>
      <c r="EVS251" s="23"/>
      <c r="EVX251" s="26"/>
      <c r="EWB251" s="23"/>
      <c r="EWG251" s="26"/>
      <c r="EWK251" s="23"/>
      <c r="EWP251" s="26"/>
      <c r="EWT251" s="23"/>
      <c r="EWY251" s="26"/>
      <c r="EXC251" s="23"/>
      <c r="EXH251" s="26"/>
      <c r="EXL251" s="23"/>
      <c r="EXQ251" s="26"/>
      <c r="EXU251" s="23"/>
      <c r="EXZ251" s="26"/>
      <c r="EYD251" s="23"/>
      <c r="EYI251" s="26"/>
      <c r="EYM251" s="23"/>
      <c r="EYR251" s="26"/>
      <c r="EYV251" s="23"/>
      <c r="EZA251" s="26"/>
      <c r="EZE251" s="23"/>
      <c r="EZJ251" s="26"/>
      <c r="EZN251" s="23"/>
      <c r="EZS251" s="26"/>
      <c r="EZW251" s="23"/>
      <c r="FAB251" s="26"/>
      <c r="FAF251" s="23"/>
      <c r="FAK251" s="26"/>
      <c r="FAO251" s="23"/>
      <c r="FAT251" s="26"/>
      <c r="FAX251" s="23"/>
      <c r="FBC251" s="26"/>
      <c r="FBG251" s="23"/>
      <c r="FBL251" s="26"/>
      <c r="FBP251" s="23"/>
      <c r="FBU251" s="26"/>
      <c r="FBY251" s="23"/>
      <c r="FCD251" s="26"/>
      <c r="FCH251" s="23"/>
      <c r="FCM251" s="26"/>
      <c r="FCQ251" s="23"/>
      <c r="FCV251" s="26"/>
      <c r="FCZ251" s="23"/>
      <c r="FDE251" s="26"/>
      <c r="FDI251" s="23"/>
      <c r="FDN251" s="26"/>
      <c r="FDR251" s="23"/>
      <c r="FDW251" s="26"/>
      <c r="FEA251" s="23"/>
      <c r="FEF251" s="26"/>
      <c r="FEJ251" s="23"/>
      <c r="FEO251" s="26"/>
      <c r="FES251" s="23"/>
      <c r="FEX251" s="26"/>
      <c r="FFB251" s="23"/>
      <c r="FFG251" s="26"/>
      <c r="FFK251" s="23"/>
      <c r="FFP251" s="26"/>
      <c r="FFT251" s="23"/>
      <c r="FFY251" s="26"/>
      <c r="FGC251" s="23"/>
      <c r="FGH251" s="26"/>
      <c r="FGL251" s="23"/>
      <c r="FGQ251" s="26"/>
      <c r="FGU251" s="23"/>
      <c r="FGZ251" s="26"/>
      <c r="FHD251" s="23"/>
      <c r="FHI251" s="26"/>
      <c r="FHM251" s="23"/>
      <c r="FHR251" s="26"/>
      <c r="FHV251" s="23"/>
      <c r="FIA251" s="26"/>
      <c r="FIE251" s="23"/>
      <c r="FIJ251" s="26"/>
      <c r="FIN251" s="23"/>
      <c r="FIS251" s="26"/>
      <c r="FIW251" s="23"/>
      <c r="FJB251" s="26"/>
      <c r="FJF251" s="23"/>
      <c r="FJK251" s="26"/>
      <c r="FJO251" s="23"/>
      <c r="FJT251" s="26"/>
      <c r="FJX251" s="23"/>
      <c r="FKC251" s="26"/>
      <c r="FKG251" s="23"/>
      <c r="FKL251" s="26"/>
      <c r="FKP251" s="23"/>
      <c r="FKU251" s="26"/>
      <c r="FKY251" s="23"/>
      <c r="FLD251" s="26"/>
      <c r="FLH251" s="23"/>
      <c r="FLM251" s="26"/>
      <c r="FLQ251" s="23"/>
      <c r="FLV251" s="26"/>
      <c r="FLZ251" s="23"/>
      <c r="FME251" s="26"/>
      <c r="FMI251" s="23"/>
      <c r="FMN251" s="26"/>
      <c r="FMR251" s="23"/>
      <c r="FMW251" s="26"/>
      <c r="FNA251" s="23"/>
      <c r="FNF251" s="26"/>
      <c r="FNJ251" s="23"/>
      <c r="FNO251" s="26"/>
      <c r="FNS251" s="23"/>
      <c r="FNX251" s="26"/>
      <c r="FOB251" s="23"/>
      <c r="FOG251" s="26"/>
      <c r="FOK251" s="23"/>
      <c r="FOP251" s="26"/>
      <c r="FOT251" s="23"/>
      <c r="FOY251" s="26"/>
      <c r="FPC251" s="23"/>
      <c r="FPH251" s="26"/>
      <c r="FPL251" s="23"/>
      <c r="FPQ251" s="26"/>
      <c r="FPU251" s="23"/>
      <c r="FPZ251" s="26"/>
      <c r="FQD251" s="23"/>
      <c r="FQI251" s="26"/>
      <c r="FQM251" s="23"/>
      <c r="FQR251" s="26"/>
      <c r="FQV251" s="23"/>
      <c r="FRA251" s="26"/>
      <c r="FRE251" s="23"/>
      <c r="FRJ251" s="26"/>
      <c r="FRN251" s="23"/>
      <c r="FRS251" s="26"/>
      <c r="FRW251" s="23"/>
      <c r="FSB251" s="26"/>
      <c r="FSF251" s="23"/>
      <c r="FSK251" s="26"/>
      <c r="FSO251" s="23"/>
      <c r="FST251" s="26"/>
      <c r="FSX251" s="23"/>
      <c r="FTC251" s="26"/>
      <c r="FTG251" s="23"/>
      <c r="FTL251" s="26"/>
      <c r="FTP251" s="23"/>
      <c r="FTU251" s="26"/>
      <c r="FTY251" s="23"/>
      <c r="FUD251" s="26"/>
      <c r="FUH251" s="23"/>
      <c r="FUM251" s="26"/>
      <c r="FUQ251" s="23"/>
      <c r="FUV251" s="26"/>
      <c r="FUZ251" s="23"/>
      <c r="FVE251" s="26"/>
      <c r="FVI251" s="23"/>
      <c r="FVN251" s="26"/>
      <c r="FVR251" s="23"/>
      <c r="FVW251" s="26"/>
      <c r="FWA251" s="23"/>
      <c r="FWF251" s="26"/>
      <c r="FWJ251" s="23"/>
      <c r="FWO251" s="26"/>
      <c r="FWS251" s="23"/>
      <c r="FWX251" s="26"/>
      <c r="FXB251" s="23"/>
      <c r="FXG251" s="26"/>
      <c r="FXK251" s="23"/>
      <c r="FXP251" s="26"/>
      <c r="FXT251" s="23"/>
      <c r="FXY251" s="26"/>
      <c r="FYC251" s="23"/>
      <c r="FYH251" s="26"/>
      <c r="FYL251" s="23"/>
      <c r="FYQ251" s="26"/>
      <c r="FYU251" s="23"/>
      <c r="FYZ251" s="26"/>
      <c r="FZD251" s="23"/>
      <c r="FZI251" s="26"/>
      <c r="FZM251" s="23"/>
      <c r="FZR251" s="26"/>
      <c r="FZV251" s="23"/>
      <c r="GAA251" s="26"/>
      <c r="GAE251" s="23"/>
      <c r="GAJ251" s="26"/>
      <c r="GAN251" s="23"/>
      <c r="GAS251" s="26"/>
      <c r="GAW251" s="23"/>
      <c r="GBB251" s="26"/>
      <c r="GBF251" s="23"/>
      <c r="GBK251" s="26"/>
      <c r="GBO251" s="23"/>
      <c r="GBT251" s="26"/>
      <c r="GBX251" s="23"/>
      <c r="GCC251" s="26"/>
      <c r="GCG251" s="23"/>
      <c r="GCL251" s="26"/>
      <c r="GCP251" s="23"/>
      <c r="GCU251" s="26"/>
      <c r="GCY251" s="23"/>
      <c r="GDD251" s="26"/>
      <c r="GDH251" s="23"/>
      <c r="GDM251" s="26"/>
      <c r="GDQ251" s="23"/>
      <c r="GDV251" s="26"/>
      <c r="GDZ251" s="23"/>
      <c r="GEE251" s="26"/>
      <c r="GEI251" s="23"/>
      <c r="GEN251" s="26"/>
      <c r="GER251" s="23"/>
      <c r="GEW251" s="26"/>
      <c r="GFA251" s="23"/>
      <c r="GFF251" s="26"/>
      <c r="GFJ251" s="23"/>
      <c r="GFO251" s="26"/>
      <c r="GFS251" s="23"/>
      <c r="GFX251" s="26"/>
      <c r="GGB251" s="23"/>
      <c r="GGG251" s="26"/>
      <c r="GGK251" s="23"/>
      <c r="GGP251" s="26"/>
      <c r="GGT251" s="23"/>
      <c r="GGY251" s="26"/>
      <c r="GHC251" s="23"/>
      <c r="GHH251" s="26"/>
      <c r="GHL251" s="23"/>
      <c r="GHQ251" s="26"/>
      <c r="GHU251" s="23"/>
      <c r="GHZ251" s="26"/>
      <c r="GID251" s="23"/>
      <c r="GII251" s="26"/>
      <c r="GIM251" s="23"/>
      <c r="GIR251" s="26"/>
      <c r="GIV251" s="23"/>
      <c r="GJA251" s="26"/>
      <c r="GJE251" s="23"/>
      <c r="GJJ251" s="26"/>
      <c r="GJN251" s="23"/>
      <c r="GJS251" s="26"/>
      <c r="GJW251" s="23"/>
      <c r="GKB251" s="26"/>
      <c r="GKF251" s="23"/>
      <c r="GKK251" s="26"/>
      <c r="GKO251" s="23"/>
      <c r="GKT251" s="26"/>
      <c r="GKX251" s="23"/>
      <c r="GLC251" s="26"/>
      <c r="GLG251" s="23"/>
      <c r="GLL251" s="26"/>
      <c r="GLP251" s="23"/>
      <c r="GLU251" s="26"/>
      <c r="GLY251" s="23"/>
      <c r="GMD251" s="26"/>
      <c r="GMH251" s="23"/>
      <c r="GMM251" s="26"/>
      <c r="GMQ251" s="23"/>
      <c r="GMV251" s="26"/>
      <c r="GMZ251" s="23"/>
      <c r="GNE251" s="26"/>
      <c r="GNI251" s="23"/>
      <c r="GNN251" s="26"/>
      <c r="GNR251" s="23"/>
      <c r="GNW251" s="26"/>
      <c r="GOA251" s="23"/>
      <c r="GOF251" s="26"/>
      <c r="GOJ251" s="23"/>
      <c r="GOO251" s="26"/>
      <c r="GOS251" s="23"/>
      <c r="GOX251" s="26"/>
      <c r="GPB251" s="23"/>
      <c r="GPG251" s="26"/>
      <c r="GPK251" s="23"/>
      <c r="GPP251" s="26"/>
      <c r="GPT251" s="23"/>
      <c r="GPY251" s="26"/>
      <c r="GQC251" s="23"/>
      <c r="GQH251" s="26"/>
      <c r="GQL251" s="23"/>
      <c r="GQQ251" s="26"/>
      <c r="GQU251" s="23"/>
      <c r="GQZ251" s="26"/>
      <c r="GRD251" s="23"/>
      <c r="GRI251" s="26"/>
      <c r="GRM251" s="23"/>
      <c r="GRR251" s="26"/>
      <c r="GRV251" s="23"/>
      <c r="GSA251" s="26"/>
      <c r="GSE251" s="23"/>
      <c r="GSJ251" s="26"/>
      <c r="GSN251" s="23"/>
      <c r="GSS251" s="26"/>
      <c r="GSW251" s="23"/>
      <c r="GTB251" s="26"/>
      <c r="GTF251" s="23"/>
      <c r="GTK251" s="26"/>
      <c r="GTO251" s="23"/>
      <c r="GTT251" s="26"/>
      <c r="GTX251" s="23"/>
      <c r="GUC251" s="26"/>
      <c r="GUG251" s="23"/>
      <c r="GUL251" s="26"/>
      <c r="GUP251" s="23"/>
      <c r="GUU251" s="26"/>
      <c r="GUY251" s="23"/>
      <c r="GVD251" s="26"/>
      <c r="GVH251" s="23"/>
      <c r="GVM251" s="26"/>
      <c r="GVQ251" s="23"/>
      <c r="GVV251" s="26"/>
      <c r="GVZ251" s="23"/>
      <c r="GWE251" s="26"/>
      <c r="GWI251" s="23"/>
      <c r="GWN251" s="26"/>
      <c r="GWR251" s="23"/>
      <c r="GWW251" s="26"/>
      <c r="GXA251" s="23"/>
      <c r="GXF251" s="26"/>
      <c r="GXJ251" s="23"/>
      <c r="GXO251" s="26"/>
      <c r="GXS251" s="23"/>
      <c r="GXX251" s="26"/>
      <c r="GYB251" s="23"/>
      <c r="GYG251" s="26"/>
      <c r="GYK251" s="23"/>
      <c r="GYP251" s="26"/>
      <c r="GYT251" s="23"/>
      <c r="GYY251" s="26"/>
      <c r="GZC251" s="23"/>
      <c r="GZH251" s="26"/>
      <c r="GZL251" s="23"/>
      <c r="GZQ251" s="26"/>
      <c r="GZU251" s="23"/>
      <c r="GZZ251" s="26"/>
      <c r="HAD251" s="23"/>
      <c r="HAI251" s="26"/>
      <c r="HAM251" s="23"/>
      <c r="HAR251" s="26"/>
      <c r="HAV251" s="23"/>
      <c r="HBA251" s="26"/>
      <c r="HBE251" s="23"/>
      <c r="HBJ251" s="26"/>
      <c r="HBN251" s="23"/>
      <c r="HBS251" s="26"/>
      <c r="HBW251" s="23"/>
      <c r="HCB251" s="26"/>
      <c r="HCF251" s="23"/>
      <c r="HCK251" s="26"/>
      <c r="HCO251" s="23"/>
      <c r="HCT251" s="26"/>
      <c r="HCX251" s="23"/>
      <c r="HDC251" s="26"/>
      <c r="HDG251" s="23"/>
      <c r="HDL251" s="26"/>
      <c r="HDP251" s="23"/>
      <c r="HDU251" s="26"/>
      <c r="HDY251" s="23"/>
      <c r="HED251" s="26"/>
      <c r="HEH251" s="23"/>
      <c r="HEM251" s="26"/>
      <c r="HEQ251" s="23"/>
      <c r="HEV251" s="26"/>
      <c r="HEZ251" s="23"/>
      <c r="HFE251" s="26"/>
      <c r="HFI251" s="23"/>
      <c r="HFN251" s="26"/>
      <c r="HFR251" s="23"/>
      <c r="HFW251" s="26"/>
      <c r="HGA251" s="23"/>
      <c r="HGF251" s="26"/>
      <c r="HGJ251" s="23"/>
      <c r="HGO251" s="26"/>
      <c r="HGS251" s="23"/>
      <c r="HGX251" s="26"/>
      <c r="HHB251" s="23"/>
      <c r="HHG251" s="26"/>
      <c r="HHK251" s="23"/>
      <c r="HHP251" s="26"/>
      <c r="HHT251" s="23"/>
      <c r="HHY251" s="26"/>
      <c r="HIC251" s="23"/>
      <c r="HIH251" s="26"/>
      <c r="HIL251" s="23"/>
      <c r="HIQ251" s="26"/>
      <c r="HIU251" s="23"/>
      <c r="HIZ251" s="26"/>
      <c r="HJD251" s="23"/>
      <c r="HJI251" s="26"/>
      <c r="HJM251" s="23"/>
      <c r="HJR251" s="26"/>
      <c r="HJV251" s="23"/>
      <c r="HKA251" s="26"/>
      <c r="HKE251" s="23"/>
      <c r="HKJ251" s="26"/>
      <c r="HKN251" s="23"/>
      <c r="HKS251" s="26"/>
      <c r="HKW251" s="23"/>
      <c r="HLB251" s="26"/>
      <c r="HLF251" s="23"/>
      <c r="HLK251" s="26"/>
      <c r="HLO251" s="23"/>
      <c r="HLT251" s="26"/>
      <c r="HLX251" s="23"/>
      <c r="HMC251" s="26"/>
      <c r="HMG251" s="23"/>
      <c r="HML251" s="26"/>
      <c r="HMP251" s="23"/>
      <c r="HMU251" s="26"/>
      <c r="HMY251" s="23"/>
      <c r="HND251" s="26"/>
      <c r="HNH251" s="23"/>
      <c r="HNM251" s="26"/>
      <c r="HNQ251" s="23"/>
      <c r="HNV251" s="26"/>
      <c r="HNZ251" s="23"/>
      <c r="HOE251" s="26"/>
      <c r="HOI251" s="23"/>
      <c r="HON251" s="26"/>
      <c r="HOR251" s="23"/>
      <c r="HOW251" s="26"/>
      <c r="HPA251" s="23"/>
      <c r="HPF251" s="26"/>
      <c r="HPJ251" s="23"/>
      <c r="HPO251" s="26"/>
      <c r="HPS251" s="23"/>
      <c r="HPX251" s="26"/>
      <c r="HQB251" s="23"/>
      <c r="HQG251" s="26"/>
      <c r="HQK251" s="23"/>
      <c r="HQP251" s="26"/>
      <c r="HQT251" s="23"/>
      <c r="HQY251" s="26"/>
      <c r="HRC251" s="23"/>
      <c r="HRH251" s="26"/>
      <c r="HRL251" s="23"/>
      <c r="HRQ251" s="26"/>
      <c r="HRU251" s="23"/>
      <c r="HRZ251" s="26"/>
      <c r="HSD251" s="23"/>
      <c r="HSI251" s="26"/>
      <c r="HSM251" s="23"/>
      <c r="HSR251" s="26"/>
      <c r="HSV251" s="23"/>
      <c r="HTA251" s="26"/>
      <c r="HTE251" s="23"/>
      <c r="HTJ251" s="26"/>
      <c r="HTN251" s="23"/>
      <c r="HTS251" s="26"/>
      <c r="HTW251" s="23"/>
      <c r="HUB251" s="26"/>
      <c r="HUF251" s="23"/>
      <c r="HUK251" s="26"/>
      <c r="HUO251" s="23"/>
      <c r="HUT251" s="26"/>
      <c r="HUX251" s="23"/>
      <c r="HVC251" s="26"/>
      <c r="HVG251" s="23"/>
      <c r="HVL251" s="26"/>
      <c r="HVP251" s="23"/>
      <c r="HVU251" s="26"/>
      <c r="HVY251" s="23"/>
      <c r="HWD251" s="26"/>
      <c r="HWH251" s="23"/>
      <c r="HWM251" s="26"/>
      <c r="HWQ251" s="23"/>
      <c r="HWV251" s="26"/>
      <c r="HWZ251" s="23"/>
      <c r="HXE251" s="26"/>
      <c r="HXI251" s="23"/>
      <c r="HXN251" s="26"/>
      <c r="HXR251" s="23"/>
      <c r="HXW251" s="26"/>
      <c r="HYA251" s="23"/>
      <c r="HYF251" s="26"/>
      <c r="HYJ251" s="23"/>
      <c r="HYO251" s="26"/>
      <c r="HYS251" s="23"/>
      <c r="HYX251" s="26"/>
      <c r="HZB251" s="23"/>
      <c r="HZG251" s="26"/>
      <c r="HZK251" s="23"/>
      <c r="HZP251" s="26"/>
      <c r="HZT251" s="23"/>
      <c r="HZY251" s="26"/>
      <c r="IAC251" s="23"/>
      <c r="IAH251" s="26"/>
      <c r="IAL251" s="23"/>
      <c r="IAQ251" s="26"/>
      <c r="IAU251" s="23"/>
      <c r="IAZ251" s="26"/>
      <c r="IBD251" s="23"/>
      <c r="IBI251" s="26"/>
      <c r="IBM251" s="23"/>
      <c r="IBR251" s="26"/>
      <c r="IBV251" s="23"/>
      <c r="ICA251" s="26"/>
      <c r="ICE251" s="23"/>
      <c r="ICJ251" s="26"/>
      <c r="ICN251" s="23"/>
      <c r="ICS251" s="26"/>
      <c r="ICW251" s="23"/>
      <c r="IDB251" s="26"/>
      <c r="IDF251" s="23"/>
      <c r="IDK251" s="26"/>
      <c r="IDO251" s="23"/>
      <c r="IDT251" s="26"/>
      <c r="IDX251" s="23"/>
      <c r="IEC251" s="26"/>
      <c r="IEG251" s="23"/>
      <c r="IEL251" s="26"/>
      <c r="IEP251" s="23"/>
      <c r="IEU251" s="26"/>
      <c r="IEY251" s="23"/>
      <c r="IFD251" s="26"/>
      <c r="IFH251" s="23"/>
      <c r="IFM251" s="26"/>
      <c r="IFQ251" s="23"/>
      <c r="IFV251" s="26"/>
      <c r="IFZ251" s="23"/>
      <c r="IGE251" s="26"/>
      <c r="IGI251" s="23"/>
      <c r="IGN251" s="26"/>
      <c r="IGR251" s="23"/>
      <c r="IGW251" s="26"/>
      <c r="IHA251" s="23"/>
      <c r="IHF251" s="26"/>
      <c r="IHJ251" s="23"/>
      <c r="IHO251" s="26"/>
      <c r="IHS251" s="23"/>
      <c r="IHX251" s="26"/>
      <c r="IIB251" s="23"/>
      <c r="IIG251" s="26"/>
      <c r="IIK251" s="23"/>
      <c r="IIP251" s="26"/>
      <c r="IIT251" s="23"/>
      <c r="IIY251" s="26"/>
      <c r="IJC251" s="23"/>
      <c r="IJH251" s="26"/>
      <c r="IJL251" s="23"/>
      <c r="IJQ251" s="26"/>
      <c r="IJU251" s="23"/>
      <c r="IJZ251" s="26"/>
      <c r="IKD251" s="23"/>
      <c r="IKI251" s="26"/>
      <c r="IKM251" s="23"/>
      <c r="IKR251" s="26"/>
      <c r="IKV251" s="23"/>
      <c r="ILA251" s="26"/>
      <c r="ILE251" s="23"/>
      <c r="ILJ251" s="26"/>
      <c r="ILN251" s="23"/>
      <c r="ILS251" s="26"/>
      <c r="ILW251" s="23"/>
      <c r="IMB251" s="26"/>
      <c r="IMF251" s="23"/>
      <c r="IMK251" s="26"/>
      <c r="IMO251" s="23"/>
      <c r="IMT251" s="26"/>
      <c r="IMX251" s="23"/>
      <c r="INC251" s="26"/>
      <c r="ING251" s="23"/>
      <c r="INL251" s="26"/>
      <c r="INP251" s="23"/>
      <c r="INU251" s="26"/>
      <c r="INY251" s="23"/>
      <c r="IOD251" s="26"/>
      <c r="IOH251" s="23"/>
      <c r="IOM251" s="26"/>
      <c r="IOQ251" s="23"/>
      <c r="IOV251" s="26"/>
      <c r="IOZ251" s="23"/>
      <c r="IPE251" s="26"/>
      <c r="IPI251" s="23"/>
      <c r="IPN251" s="26"/>
      <c r="IPR251" s="23"/>
      <c r="IPW251" s="26"/>
      <c r="IQA251" s="23"/>
      <c r="IQF251" s="26"/>
      <c r="IQJ251" s="23"/>
      <c r="IQO251" s="26"/>
      <c r="IQS251" s="23"/>
      <c r="IQX251" s="26"/>
      <c r="IRB251" s="23"/>
      <c r="IRG251" s="26"/>
      <c r="IRK251" s="23"/>
      <c r="IRP251" s="26"/>
      <c r="IRT251" s="23"/>
      <c r="IRY251" s="26"/>
      <c r="ISC251" s="23"/>
      <c r="ISH251" s="26"/>
      <c r="ISL251" s="23"/>
      <c r="ISQ251" s="26"/>
      <c r="ISU251" s="23"/>
      <c r="ISZ251" s="26"/>
      <c r="ITD251" s="23"/>
      <c r="ITI251" s="26"/>
      <c r="ITM251" s="23"/>
      <c r="ITR251" s="26"/>
      <c r="ITV251" s="23"/>
      <c r="IUA251" s="26"/>
      <c r="IUE251" s="23"/>
      <c r="IUJ251" s="26"/>
      <c r="IUN251" s="23"/>
      <c r="IUS251" s="26"/>
      <c r="IUW251" s="23"/>
      <c r="IVB251" s="26"/>
      <c r="IVF251" s="23"/>
      <c r="IVK251" s="26"/>
      <c r="IVO251" s="23"/>
      <c r="IVT251" s="26"/>
      <c r="IVX251" s="23"/>
      <c r="IWC251" s="26"/>
      <c r="IWG251" s="23"/>
      <c r="IWL251" s="26"/>
      <c r="IWP251" s="23"/>
      <c r="IWU251" s="26"/>
      <c r="IWY251" s="23"/>
      <c r="IXD251" s="26"/>
      <c r="IXH251" s="23"/>
      <c r="IXM251" s="26"/>
      <c r="IXQ251" s="23"/>
      <c r="IXV251" s="26"/>
      <c r="IXZ251" s="23"/>
      <c r="IYE251" s="26"/>
      <c r="IYI251" s="23"/>
      <c r="IYN251" s="26"/>
      <c r="IYR251" s="23"/>
      <c r="IYW251" s="26"/>
      <c r="IZA251" s="23"/>
      <c r="IZF251" s="26"/>
      <c r="IZJ251" s="23"/>
      <c r="IZO251" s="26"/>
      <c r="IZS251" s="23"/>
      <c r="IZX251" s="26"/>
      <c r="JAB251" s="23"/>
      <c r="JAG251" s="26"/>
      <c r="JAK251" s="23"/>
      <c r="JAP251" s="26"/>
      <c r="JAT251" s="23"/>
      <c r="JAY251" s="26"/>
      <c r="JBC251" s="23"/>
      <c r="JBH251" s="26"/>
      <c r="JBL251" s="23"/>
      <c r="JBQ251" s="26"/>
      <c r="JBU251" s="23"/>
      <c r="JBZ251" s="26"/>
      <c r="JCD251" s="23"/>
      <c r="JCI251" s="26"/>
      <c r="JCM251" s="23"/>
      <c r="JCR251" s="26"/>
      <c r="JCV251" s="23"/>
      <c r="JDA251" s="26"/>
      <c r="JDE251" s="23"/>
      <c r="JDJ251" s="26"/>
      <c r="JDN251" s="23"/>
      <c r="JDS251" s="26"/>
      <c r="JDW251" s="23"/>
      <c r="JEB251" s="26"/>
      <c r="JEF251" s="23"/>
      <c r="JEK251" s="26"/>
      <c r="JEO251" s="23"/>
      <c r="JET251" s="26"/>
      <c r="JEX251" s="23"/>
      <c r="JFC251" s="26"/>
      <c r="JFG251" s="23"/>
      <c r="JFL251" s="26"/>
      <c r="JFP251" s="23"/>
      <c r="JFU251" s="26"/>
      <c r="JFY251" s="23"/>
      <c r="JGD251" s="26"/>
      <c r="JGH251" s="23"/>
      <c r="JGM251" s="26"/>
      <c r="JGQ251" s="23"/>
      <c r="JGV251" s="26"/>
      <c r="JGZ251" s="23"/>
      <c r="JHE251" s="26"/>
      <c r="JHI251" s="23"/>
      <c r="JHN251" s="26"/>
      <c r="JHR251" s="23"/>
      <c r="JHW251" s="26"/>
      <c r="JIA251" s="23"/>
      <c r="JIF251" s="26"/>
      <c r="JIJ251" s="23"/>
      <c r="JIO251" s="26"/>
      <c r="JIS251" s="23"/>
      <c r="JIX251" s="26"/>
      <c r="JJB251" s="23"/>
      <c r="JJG251" s="26"/>
      <c r="JJK251" s="23"/>
      <c r="JJP251" s="26"/>
      <c r="JJT251" s="23"/>
      <c r="JJY251" s="26"/>
      <c r="JKC251" s="23"/>
      <c r="JKH251" s="26"/>
      <c r="JKL251" s="23"/>
      <c r="JKQ251" s="26"/>
      <c r="JKU251" s="23"/>
      <c r="JKZ251" s="26"/>
      <c r="JLD251" s="23"/>
      <c r="JLI251" s="26"/>
      <c r="JLM251" s="23"/>
      <c r="JLR251" s="26"/>
      <c r="JLV251" s="23"/>
      <c r="JMA251" s="26"/>
      <c r="JME251" s="23"/>
      <c r="JMJ251" s="26"/>
      <c r="JMN251" s="23"/>
      <c r="JMS251" s="26"/>
      <c r="JMW251" s="23"/>
      <c r="JNB251" s="26"/>
      <c r="JNF251" s="23"/>
      <c r="JNK251" s="26"/>
      <c r="JNO251" s="23"/>
      <c r="JNT251" s="26"/>
      <c r="JNX251" s="23"/>
      <c r="JOC251" s="26"/>
      <c r="JOG251" s="23"/>
      <c r="JOL251" s="26"/>
      <c r="JOP251" s="23"/>
      <c r="JOU251" s="26"/>
      <c r="JOY251" s="23"/>
      <c r="JPD251" s="26"/>
      <c r="JPH251" s="23"/>
      <c r="JPM251" s="26"/>
      <c r="JPQ251" s="23"/>
      <c r="JPV251" s="26"/>
      <c r="JPZ251" s="23"/>
      <c r="JQE251" s="26"/>
      <c r="JQI251" s="23"/>
      <c r="JQN251" s="26"/>
      <c r="JQR251" s="23"/>
      <c r="JQW251" s="26"/>
      <c r="JRA251" s="23"/>
      <c r="JRF251" s="26"/>
      <c r="JRJ251" s="23"/>
      <c r="JRO251" s="26"/>
      <c r="JRS251" s="23"/>
      <c r="JRX251" s="26"/>
      <c r="JSB251" s="23"/>
      <c r="JSG251" s="26"/>
      <c r="JSK251" s="23"/>
      <c r="JSP251" s="26"/>
      <c r="JST251" s="23"/>
      <c r="JSY251" s="26"/>
      <c r="JTC251" s="23"/>
      <c r="JTH251" s="26"/>
      <c r="JTL251" s="23"/>
      <c r="JTQ251" s="26"/>
      <c r="JTU251" s="23"/>
      <c r="JTZ251" s="26"/>
      <c r="JUD251" s="23"/>
      <c r="JUI251" s="26"/>
      <c r="JUM251" s="23"/>
      <c r="JUR251" s="26"/>
      <c r="JUV251" s="23"/>
      <c r="JVA251" s="26"/>
      <c r="JVE251" s="23"/>
      <c r="JVJ251" s="26"/>
      <c r="JVN251" s="23"/>
      <c r="JVS251" s="26"/>
      <c r="JVW251" s="23"/>
      <c r="JWB251" s="26"/>
      <c r="JWF251" s="23"/>
      <c r="JWK251" s="26"/>
      <c r="JWO251" s="23"/>
      <c r="JWT251" s="26"/>
      <c r="JWX251" s="23"/>
      <c r="JXC251" s="26"/>
      <c r="JXG251" s="23"/>
      <c r="JXL251" s="26"/>
      <c r="JXP251" s="23"/>
      <c r="JXU251" s="26"/>
      <c r="JXY251" s="23"/>
      <c r="JYD251" s="26"/>
      <c r="JYH251" s="23"/>
      <c r="JYM251" s="26"/>
      <c r="JYQ251" s="23"/>
      <c r="JYV251" s="26"/>
      <c r="JYZ251" s="23"/>
      <c r="JZE251" s="26"/>
      <c r="JZI251" s="23"/>
      <c r="JZN251" s="26"/>
      <c r="JZR251" s="23"/>
      <c r="JZW251" s="26"/>
      <c r="KAA251" s="23"/>
      <c r="KAF251" s="26"/>
      <c r="KAJ251" s="23"/>
      <c r="KAO251" s="26"/>
      <c r="KAS251" s="23"/>
      <c r="KAX251" s="26"/>
      <c r="KBB251" s="23"/>
      <c r="KBG251" s="26"/>
      <c r="KBK251" s="23"/>
      <c r="KBP251" s="26"/>
      <c r="KBT251" s="23"/>
      <c r="KBY251" s="26"/>
      <c r="KCC251" s="23"/>
      <c r="KCH251" s="26"/>
      <c r="KCL251" s="23"/>
      <c r="KCQ251" s="26"/>
      <c r="KCU251" s="23"/>
      <c r="KCZ251" s="26"/>
      <c r="KDD251" s="23"/>
      <c r="KDI251" s="26"/>
      <c r="KDM251" s="23"/>
      <c r="KDR251" s="26"/>
      <c r="KDV251" s="23"/>
      <c r="KEA251" s="26"/>
      <c r="KEE251" s="23"/>
      <c r="KEJ251" s="26"/>
      <c r="KEN251" s="23"/>
      <c r="KES251" s="26"/>
      <c r="KEW251" s="23"/>
      <c r="KFB251" s="26"/>
      <c r="KFF251" s="23"/>
      <c r="KFK251" s="26"/>
      <c r="KFO251" s="23"/>
      <c r="KFT251" s="26"/>
      <c r="KFX251" s="23"/>
      <c r="KGC251" s="26"/>
      <c r="KGG251" s="23"/>
      <c r="KGL251" s="26"/>
      <c r="KGP251" s="23"/>
      <c r="KGU251" s="26"/>
      <c r="KGY251" s="23"/>
      <c r="KHD251" s="26"/>
      <c r="KHH251" s="23"/>
      <c r="KHM251" s="26"/>
      <c r="KHQ251" s="23"/>
      <c r="KHV251" s="26"/>
      <c r="KHZ251" s="23"/>
      <c r="KIE251" s="26"/>
      <c r="KII251" s="23"/>
      <c r="KIN251" s="26"/>
      <c r="KIR251" s="23"/>
      <c r="KIW251" s="26"/>
      <c r="KJA251" s="23"/>
      <c r="KJF251" s="26"/>
      <c r="KJJ251" s="23"/>
      <c r="KJO251" s="26"/>
      <c r="KJS251" s="23"/>
      <c r="KJX251" s="26"/>
      <c r="KKB251" s="23"/>
      <c r="KKG251" s="26"/>
      <c r="KKK251" s="23"/>
      <c r="KKP251" s="26"/>
      <c r="KKT251" s="23"/>
      <c r="KKY251" s="26"/>
      <c r="KLC251" s="23"/>
      <c r="KLH251" s="26"/>
      <c r="KLL251" s="23"/>
      <c r="KLQ251" s="26"/>
      <c r="KLU251" s="23"/>
      <c r="KLZ251" s="26"/>
      <c r="KMD251" s="23"/>
      <c r="KMI251" s="26"/>
      <c r="KMM251" s="23"/>
      <c r="KMR251" s="26"/>
      <c r="KMV251" s="23"/>
      <c r="KNA251" s="26"/>
      <c r="KNE251" s="23"/>
      <c r="KNJ251" s="26"/>
      <c r="KNN251" s="23"/>
      <c r="KNS251" s="26"/>
      <c r="KNW251" s="23"/>
      <c r="KOB251" s="26"/>
      <c r="KOF251" s="23"/>
      <c r="KOK251" s="26"/>
      <c r="KOO251" s="23"/>
      <c r="KOT251" s="26"/>
      <c r="KOX251" s="23"/>
      <c r="KPC251" s="26"/>
      <c r="KPG251" s="23"/>
      <c r="KPL251" s="26"/>
      <c r="KPP251" s="23"/>
      <c r="KPU251" s="26"/>
      <c r="KPY251" s="23"/>
      <c r="KQD251" s="26"/>
      <c r="KQH251" s="23"/>
      <c r="KQM251" s="26"/>
      <c r="KQQ251" s="23"/>
      <c r="KQV251" s="26"/>
      <c r="KQZ251" s="23"/>
      <c r="KRE251" s="26"/>
      <c r="KRI251" s="23"/>
      <c r="KRN251" s="26"/>
      <c r="KRR251" s="23"/>
      <c r="KRW251" s="26"/>
      <c r="KSA251" s="23"/>
      <c r="KSF251" s="26"/>
      <c r="KSJ251" s="23"/>
      <c r="KSO251" s="26"/>
      <c r="KSS251" s="23"/>
      <c r="KSX251" s="26"/>
      <c r="KTB251" s="23"/>
      <c r="KTG251" s="26"/>
      <c r="KTK251" s="23"/>
      <c r="KTP251" s="26"/>
      <c r="KTT251" s="23"/>
      <c r="KTY251" s="26"/>
      <c r="KUC251" s="23"/>
      <c r="KUH251" s="26"/>
      <c r="KUL251" s="23"/>
      <c r="KUQ251" s="26"/>
      <c r="KUU251" s="23"/>
      <c r="KUZ251" s="26"/>
      <c r="KVD251" s="23"/>
      <c r="KVI251" s="26"/>
      <c r="KVM251" s="23"/>
      <c r="KVR251" s="26"/>
      <c r="KVV251" s="23"/>
      <c r="KWA251" s="26"/>
      <c r="KWE251" s="23"/>
      <c r="KWJ251" s="26"/>
      <c r="KWN251" s="23"/>
      <c r="KWS251" s="26"/>
      <c r="KWW251" s="23"/>
      <c r="KXB251" s="26"/>
      <c r="KXF251" s="23"/>
      <c r="KXK251" s="26"/>
      <c r="KXO251" s="23"/>
      <c r="KXT251" s="26"/>
      <c r="KXX251" s="23"/>
      <c r="KYC251" s="26"/>
      <c r="KYG251" s="23"/>
      <c r="KYL251" s="26"/>
      <c r="KYP251" s="23"/>
      <c r="KYU251" s="26"/>
      <c r="KYY251" s="23"/>
      <c r="KZD251" s="26"/>
      <c r="KZH251" s="23"/>
      <c r="KZM251" s="26"/>
      <c r="KZQ251" s="23"/>
      <c r="KZV251" s="26"/>
      <c r="KZZ251" s="23"/>
      <c r="LAE251" s="26"/>
      <c r="LAI251" s="23"/>
      <c r="LAN251" s="26"/>
      <c r="LAR251" s="23"/>
      <c r="LAW251" s="26"/>
      <c r="LBA251" s="23"/>
      <c r="LBF251" s="26"/>
      <c r="LBJ251" s="23"/>
      <c r="LBO251" s="26"/>
      <c r="LBS251" s="23"/>
      <c r="LBX251" s="26"/>
      <c r="LCB251" s="23"/>
      <c r="LCG251" s="26"/>
      <c r="LCK251" s="23"/>
      <c r="LCP251" s="26"/>
      <c r="LCT251" s="23"/>
      <c r="LCY251" s="26"/>
      <c r="LDC251" s="23"/>
      <c r="LDH251" s="26"/>
      <c r="LDL251" s="23"/>
      <c r="LDQ251" s="26"/>
      <c r="LDU251" s="23"/>
      <c r="LDZ251" s="26"/>
      <c r="LED251" s="23"/>
      <c r="LEI251" s="26"/>
      <c r="LEM251" s="23"/>
      <c r="LER251" s="26"/>
      <c r="LEV251" s="23"/>
      <c r="LFA251" s="26"/>
      <c r="LFE251" s="23"/>
      <c r="LFJ251" s="26"/>
      <c r="LFN251" s="23"/>
      <c r="LFS251" s="26"/>
      <c r="LFW251" s="23"/>
      <c r="LGB251" s="26"/>
      <c r="LGF251" s="23"/>
      <c r="LGK251" s="26"/>
      <c r="LGO251" s="23"/>
      <c r="LGT251" s="26"/>
      <c r="LGX251" s="23"/>
      <c r="LHC251" s="26"/>
      <c r="LHG251" s="23"/>
      <c r="LHL251" s="26"/>
      <c r="LHP251" s="23"/>
      <c r="LHU251" s="26"/>
      <c r="LHY251" s="23"/>
      <c r="LID251" s="26"/>
      <c r="LIH251" s="23"/>
      <c r="LIM251" s="26"/>
      <c r="LIQ251" s="23"/>
      <c r="LIV251" s="26"/>
      <c r="LIZ251" s="23"/>
      <c r="LJE251" s="26"/>
      <c r="LJI251" s="23"/>
      <c r="LJN251" s="26"/>
      <c r="LJR251" s="23"/>
      <c r="LJW251" s="26"/>
      <c r="LKA251" s="23"/>
      <c r="LKF251" s="26"/>
      <c r="LKJ251" s="23"/>
      <c r="LKO251" s="26"/>
      <c r="LKS251" s="23"/>
      <c r="LKX251" s="26"/>
      <c r="LLB251" s="23"/>
      <c r="LLG251" s="26"/>
      <c r="LLK251" s="23"/>
      <c r="LLP251" s="26"/>
      <c r="LLT251" s="23"/>
      <c r="LLY251" s="26"/>
      <c r="LMC251" s="23"/>
      <c r="LMH251" s="26"/>
      <c r="LML251" s="23"/>
      <c r="LMQ251" s="26"/>
      <c r="LMU251" s="23"/>
      <c r="LMZ251" s="26"/>
      <c r="LND251" s="23"/>
      <c r="LNI251" s="26"/>
      <c r="LNM251" s="23"/>
      <c r="LNR251" s="26"/>
      <c r="LNV251" s="23"/>
      <c r="LOA251" s="26"/>
      <c r="LOE251" s="23"/>
      <c r="LOJ251" s="26"/>
      <c r="LON251" s="23"/>
      <c r="LOS251" s="26"/>
      <c r="LOW251" s="23"/>
      <c r="LPB251" s="26"/>
      <c r="LPF251" s="23"/>
      <c r="LPK251" s="26"/>
      <c r="LPO251" s="23"/>
      <c r="LPT251" s="26"/>
      <c r="LPX251" s="23"/>
      <c r="LQC251" s="26"/>
      <c r="LQG251" s="23"/>
      <c r="LQL251" s="26"/>
      <c r="LQP251" s="23"/>
      <c r="LQU251" s="26"/>
      <c r="LQY251" s="23"/>
      <c r="LRD251" s="26"/>
      <c r="LRH251" s="23"/>
      <c r="LRM251" s="26"/>
      <c r="LRQ251" s="23"/>
      <c r="LRV251" s="26"/>
      <c r="LRZ251" s="23"/>
      <c r="LSE251" s="26"/>
      <c r="LSI251" s="23"/>
      <c r="LSN251" s="26"/>
      <c r="LSR251" s="23"/>
      <c r="LSW251" s="26"/>
      <c r="LTA251" s="23"/>
      <c r="LTF251" s="26"/>
      <c r="LTJ251" s="23"/>
      <c r="LTO251" s="26"/>
      <c r="LTS251" s="23"/>
      <c r="LTX251" s="26"/>
      <c r="LUB251" s="23"/>
      <c r="LUG251" s="26"/>
      <c r="LUK251" s="23"/>
      <c r="LUP251" s="26"/>
      <c r="LUT251" s="23"/>
      <c r="LUY251" s="26"/>
      <c r="LVC251" s="23"/>
      <c r="LVH251" s="26"/>
      <c r="LVL251" s="23"/>
      <c r="LVQ251" s="26"/>
      <c r="LVU251" s="23"/>
      <c r="LVZ251" s="26"/>
      <c r="LWD251" s="23"/>
      <c r="LWI251" s="26"/>
      <c r="LWM251" s="23"/>
      <c r="LWR251" s="26"/>
      <c r="LWV251" s="23"/>
      <c r="LXA251" s="26"/>
      <c r="LXE251" s="23"/>
      <c r="LXJ251" s="26"/>
      <c r="LXN251" s="23"/>
      <c r="LXS251" s="26"/>
      <c r="LXW251" s="23"/>
      <c r="LYB251" s="26"/>
      <c r="LYF251" s="23"/>
      <c r="LYK251" s="26"/>
      <c r="LYO251" s="23"/>
      <c r="LYT251" s="26"/>
      <c r="LYX251" s="23"/>
      <c r="LZC251" s="26"/>
      <c r="LZG251" s="23"/>
      <c r="LZL251" s="26"/>
      <c r="LZP251" s="23"/>
      <c r="LZU251" s="26"/>
      <c r="LZY251" s="23"/>
      <c r="MAD251" s="26"/>
      <c r="MAH251" s="23"/>
      <c r="MAM251" s="26"/>
      <c r="MAQ251" s="23"/>
      <c r="MAV251" s="26"/>
      <c r="MAZ251" s="23"/>
      <c r="MBE251" s="26"/>
      <c r="MBI251" s="23"/>
      <c r="MBN251" s="26"/>
      <c r="MBR251" s="23"/>
      <c r="MBW251" s="26"/>
      <c r="MCA251" s="23"/>
      <c r="MCF251" s="26"/>
      <c r="MCJ251" s="23"/>
      <c r="MCO251" s="26"/>
      <c r="MCS251" s="23"/>
      <c r="MCX251" s="26"/>
      <c r="MDB251" s="23"/>
      <c r="MDG251" s="26"/>
      <c r="MDK251" s="23"/>
      <c r="MDP251" s="26"/>
      <c r="MDT251" s="23"/>
      <c r="MDY251" s="26"/>
      <c r="MEC251" s="23"/>
      <c r="MEH251" s="26"/>
      <c r="MEL251" s="23"/>
      <c r="MEQ251" s="26"/>
      <c r="MEU251" s="23"/>
      <c r="MEZ251" s="26"/>
      <c r="MFD251" s="23"/>
      <c r="MFI251" s="26"/>
      <c r="MFM251" s="23"/>
      <c r="MFR251" s="26"/>
      <c r="MFV251" s="23"/>
      <c r="MGA251" s="26"/>
      <c r="MGE251" s="23"/>
      <c r="MGJ251" s="26"/>
      <c r="MGN251" s="23"/>
      <c r="MGS251" s="26"/>
      <c r="MGW251" s="23"/>
      <c r="MHB251" s="26"/>
      <c r="MHF251" s="23"/>
      <c r="MHK251" s="26"/>
      <c r="MHO251" s="23"/>
      <c r="MHT251" s="26"/>
      <c r="MHX251" s="23"/>
      <c r="MIC251" s="26"/>
      <c r="MIG251" s="23"/>
      <c r="MIL251" s="26"/>
      <c r="MIP251" s="23"/>
      <c r="MIU251" s="26"/>
      <c r="MIY251" s="23"/>
      <c r="MJD251" s="26"/>
      <c r="MJH251" s="23"/>
      <c r="MJM251" s="26"/>
      <c r="MJQ251" s="23"/>
      <c r="MJV251" s="26"/>
      <c r="MJZ251" s="23"/>
      <c r="MKE251" s="26"/>
      <c r="MKI251" s="23"/>
      <c r="MKN251" s="26"/>
      <c r="MKR251" s="23"/>
      <c r="MKW251" s="26"/>
      <c r="MLA251" s="23"/>
      <c r="MLF251" s="26"/>
      <c r="MLJ251" s="23"/>
      <c r="MLO251" s="26"/>
      <c r="MLS251" s="23"/>
      <c r="MLX251" s="26"/>
      <c r="MMB251" s="23"/>
      <c r="MMG251" s="26"/>
      <c r="MMK251" s="23"/>
      <c r="MMP251" s="26"/>
      <c r="MMT251" s="23"/>
      <c r="MMY251" s="26"/>
      <c r="MNC251" s="23"/>
      <c r="MNH251" s="26"/>
      <c r="MNL251" s="23"/>
      <c r="MNQ251" s="26"/>
      <c r="MNU251" s="23"/>
      <c r="MNZ251" s="26"/>
      <c r="MOD251" s="23"/>
      <c r="MOI251" s="26"/>
      <c r="MOM251" s="23"/>
      <c r="MOR251" s="26"/>
      <c r="MOV251" s="23"/>
      <c r="MPA251" s="26"/>
      <c r="MPE251" s="23"/>
      <c r="MPJ251" s="26"/>
      <c r="MPN251" s="23"/>
      <c r="MPS251" s="26"/>
      <c r="MPW251" s="23"/>
      <c r="MQB251" s="26"/>
      <c r="MQF251" s="23"/>
      <c r="MQK251" s="26"/>
      <c r="MQO251" s="23"/>
      <c r="MQT251" s="26"/>
      <c r="MQX251" s="23"/>
      <c r="MRC251" s="26"/>
      <c r="MRG251" s="23"/>
      <c r="MRL251" s="26"/>
      <c r="MRP251" s="23"/>
      <c r="MRU251" s="26"/>
      <c r="MRY251" s="23"/>
      <c r="MSD251" s="26"/>
      <c r="MSH251" s="23"/>
      <c r="MSM251" s="26"/>
      <c r="MSQ251" s="23"/>
      <c r="MSV251" s="26"/>
      <c r="MSZ251" s="23"/>
      <c r="MTE251" s="26"/>
      <c r="MTI251" s="23"/>
      <c r="MTN251" s="26"/>
      <c r="MTR251" s="23"/>
      <c r="MTW251" s="26"/>
      <c r="MUA251" s="23"/>
      <c r="MUF251" s="26"/>
      <c r="MUJ251" s="23"/>
      <c r="MUO251" s="26"/>
      <c r="MUS251" s="23"/>
      <c r="MUX251" s="26"/>
      <c r="MVB251" s="23"/>
      <c r="MVG251" s="26"/>
      <c r="MVK251" s="23"/>
      <c r="MVP251" s="26"/>
      <c r="MVT251" s="23"/>
      <c r="MVY251" s="26"/>
      <c r="MWC251" s="23"/>
      <c r="MWH251" s="26"/>
      <c r="MWL251" s="23"/>
      <c r="MWQ251" s="26"/>
      <c r="MWU251" s="23"/>
      <c r="MWZ251" s="26"/>
      <c r="MXD251" s="23"/>
      <c r="MXI251" s="26"/>
      <c r="MXM251" s="23"/>
      <c r="MXR251" s="26"/>
      <c r="MXV251" s="23"/>
      <c r="MYA251" s="26"/>
      <c r="MYE251" s="23"/>
      <c r="MYJ251" s="26"/>
      <c r="MYN251" s="23"/>
      <c r="MYS251" s="26"/>
      <c r="MYW251" s="23"/>
      <c r="MZB251" s="26"/>
      <c r="MZF251" s="23"/>
      <c r="MZK251" s="26"/>
      <c r="MZO251" s="23"/>
      <c r="MZT251" s="26"/>
      <c r="MZX251" s="23"/>
      <c r="NAC251" s="26"/>
      <c r="NAG251" s="23"/>
      <c r="NAL251" s="26"/>
      <c r="NAP251" s="23"/>
      <c r="NAU251" s="26"/>
      <c r="NAY251" s="23"/>
      <c r="NBD251" s="26"/>
      <c r="NBH251" s="23"/>
      <c r="NBM251" s="26"/>
      <c r="NBQ251" s="23"/>
      <c r="NBV251" s="26"/>
      <c r="NBZ251" s="23"/>
      <c r="NCE251" s="26"/>
      <c r="NCI251" s="23"/>
      <c r="NCN251" s="26"/>
      <c r="NCR251" s="23"/>
      <c r="NCW251" s="26"/>
      <c r="NDA251" s="23"/>
      <c r="NDF251" s="26"/>
      <c r="NDJ251" s="23"/>
      <c r="NDO251" s="26"/>
      <c r="NDS251" s="23"/>
      <c r="NDX251" s="26"/>
      <c r="NEB251" s="23"/>
      <c r="NEG251" s="26"/>
      <c r="NEK251" s="23"/>
      <c r="NEP251" s="26"/>
      <c r="NET251" s="23"/>
      <c r="NEY251" s="26"/>
      <c r="NFC251" s="23"/>
      <c r="NFH251" s="26"/>
      <c r="NFL251" s="23"/>
      <c r="NFQ251" s="26"/>
      <c r="NFU251" s="23"/>
      <c r="NFZ251" s="26"/>
      <c r="NGD251" s="23"/>
      <c r="NGI251" s="26"/>
      <c r="NGM251" s="23"/>
      <c r="NGR251" s="26"/>
      <c r="NGV251" s="23"/>
      <c r="NHA251" s="26"/>
      <c r="NHE251" s="23"/>
      <c r="NHJ251" s="26"/>
      <c r="NHN251" s="23"/>
      <c r="NHS251" s="26"/>
      <c r="NHW251" s="23"/>
      <c r="NIB251" s="26"/>
      <c r="NIF251" s="23"/>
      <c r="NIK251" s="26"/>
      <c r="NIO251" s="23"/>
      <c r="NIT251" s="26"/>
      <c r="NIX251" s="23"/>
      <c r="NJC251" s="26"/>
      <c r="NJG251" s="23"/>
      <c r="NJL251" s="26"/>
      <c r="NJP251" s="23"/>
      <c r="NJU251" s="26"/>
      <c r="NJY251" s="23"/>
      <c r="NKD251" s="26"/>
      <c r="NKH251" s="23"/>
      <c r="NKM251" s="26"/>
      <c r="NKQ251" s="23"/>
      <c r="NKV251" s="26"/>
      <c r="NKZ251" s="23"/>
      <c r="NLE251" s="26"/>
      <c r="NLI251" s="23"/>
      <c r="NLN251" s="26"/>
      <c r="NLR251" s="23"/>
      <c r="NLW251" s="26"/>
      <c r="NMA251" s="23"/>
      <c r="NMF251" s="26"/>
      <c r="NMJ251" s="23"/>
      <c r="NMO251" s="26"/>
      <c r="NMS251" s="23"/>
      <c r="NMX251" s="26"/>
      <c r="NNB251" s="23"/>
      <c r="NNG251" s="26"/>
      <c r="NNK251" s="23"/>
      <c r="NNP251" s="26"/>
      <c r="NNT251" s="23"/>
      <c r="NNY251" s="26"/>
      <c r="NOC251" s="23"/>
      <c r="NOH251" s="26"/>
      <c r="NOL251" s="23"/>
      <c r="NOQ251" s="26"/>
      <c r="NOU251" s="23"/>
      <c r="NOZ251" s="26"/>
      <c r="NPD251" s="23"/>
      <c r="NPI251" s="26"/>
      <c r="NPM251" s="23"/>
      <c r="NPR251" s="26"/>
      <c r="NPV251" s="23"/>
      <c r="NQA251" s="26"/>
      <c r="NQE251" s="23"/>
      <c r="NQJ251" s="26"/>
      <c r="NQN251" s="23"/>
      <c r="NQS251" s="26"/>
      <c r="NQW251" s="23"/>
      <c r="NRB251" s="26"/>
      <c r="NRF251" s="23"/>
      <c r="NRK251" s="26"/>
      <c r="NRO251" s="23"/>
      <c r="NRT251" s="26"/>
      <c r="NRX251" s="23"/>
      <c r="NSC251" s="26"/>
      <c r="NSG251" s="23"/>
      <c r="NSL251" s="26"/>
      <c r="NSP251" s="23"/>
      <c r="NSU251" s="26"/>
      <c r="NSY251" s="23"/>
      <c r="NTD251" s="26"/>
      <c r="NTH251" s="23"/>
      <c r="NTM251" s="26"/>
      <c r="NTQ251" s="23"/>
      <c r="NTV251" s="26"/>
      <c r="NTZ251" s="23"/>
      <c r="NUE251" s="26"/>
      <c r="NUI251" s="23"/>
      <c r="NUN251" s="26"/>
      <c r="NUR251" s="23"/>
      <c r="NUW251" s="26"/>
      <c r="NVA251" s="23"/>
      <c r="NVF251" s="26"/>
      <c r="NVJ251" s="23"/>
      <c r="NVO251" s="26"/>
      <c r="NVS251" s="23"/>
      <c r="NVX251" s="26"/>
      <c r="NWB251" s="23"/>
      <c r="NWG251" s="26"/>
      <c r="NWK251" s="23"/>
      <c r="NWP251" s="26"/>
      <c r="NWT251" s="23"/>
      <c r="NWY251" s="26"/>
      <c r="NXC251" s="23"/>
      <c r="NXH251" s="26"/>
      <c r="NXL251" s="23"/>
      <c r="NXQ251" s="26"/>
      <c r="NXU251" s="23"/>
      <c r="NXZ251" s="26"/>
      <c r="NYD251" s="23"/>
      <c r="NYI251" s="26"/>
      <c r="NYM251" s="23"/>
      <c r="NYR251" s="26"/>
      <c r="NYV251" s="23"/>
      <c r="NZA251" s="26"/>
      <c r="NZE251" s="23"/>
      <c r="NZJ251" s="26"/>
      <c r="NZN251" s="23"/>
      <c r="NZS251" s="26"/>
      <c r="NZW251" s="23"/>
      <c r="OAB251" s="26"/>
      <c r="OAF251" s="23"/>
      <c r="OAK251" s="26"/>
      <c r="OAO251" s="23"/>
      <c r="OAT251" s="26"/>
      <c r="OAX251" s="23"/>
      <c r="OBC251" s="26"/>
      <c r="OBG251" s="23"/>
      <c r="OBL251" s="26"/>
      <c r="OBP251" s="23"/>
      <c r="OBU251" s="26"/>
      <c r="OBY251" s="23"/>
      <c r="OCD251" s="26"/>
      <c r="OCH251" s="23"/>
      <c r="OCM251" s="26"/>
      <c r="OCQ251" s="23"/>
      <c r="OCV251" s="26"/>
      <c r="OCZ251" s="23"/>
      <c r="ODE251" s="26"/>
      <c r="ODI251" s="23"/>
      <c r="ODN251" s="26"/>
      <c r="ODR251" s="23"/>
      <c r="ODW251" s="26"/>
      <c r="OEA251" s="23"/>
      <c r="OEF251" s="26"/>
      <c r="OEJ251" s="23"/>
      <c r="OEO251" s="26"/>
      <c r="OES251" s="23"/>
      <c r="OEX251" s="26"/>
      <c r="OFB251" s="23"/>
      <c r="OFG251" s="26"/>
      <c r="OFK251" s="23"/>
      <c r="OFP251" s="26"/>
      <c r="OFT251" s="23"/>
      <c r="OFY251" s="26"/>
      <c r="OGC251" s="23"/>
      <c r="OGH251" s="26"/>
      <c r="OGL251" s="23"/>
      <c r="OGQ251" s="26"/>
      <c r="OGU251" s="23"/>
      <c r="OGZ251" s="26"/>
      <c r="OHD251" s="23"/>
      <c r="OHI251" s="26"/>
      <c r="OHM251" s="23"/>
      <c r="OHR251" s="26"/>
      <c r="OHV251" s="23"/>
      <c r="OIA251" s="26"/>
      <c r="OIE251" s="23"/>
      <c r="OIJ251" s="26"/>
      <c r="OIN251" s="23"/>
      <c r="OIS251" s="26"/>
      <c r="OIW251" s="23"/>
      <c r="OJB251" s="26"/>
      <c r="OJF251" s="23"/>
      <c r="OJK251" s="26"/>
      <c r="OJO251" s="23"/>
      <c r="OJT251" s="26"/>
      <c r="OJX251" s="23"/>
      <c r="OKC251" s="26"/>
      <c r="OKG251" s="23"/>
      <c r="OKL251" s="26"/>
      <c r="OKP251" s="23"/>
      <c r="OKU251" s="26"/>
      <c r="OKY251" s="23"/>
      <c r="OLD251" s="26"/>
      <c r="OLH251" s="23"/>
      <c r="OLM251" s="26"/>
      <c r="OLQ251" s="23"/>
      <c r="OLV251" s="26"/>
      <c r="OLZ251" s="23"/>
      <c r="OME251" s="26"/>
      <c r="OMI251" s="23"/>
      <c r="OMN251" s="26"/>
      <c r="OMR251" s="23"/>
      <c r="OMW251" s="26"/>
      <c r="ONA251" s="23"/>
      <c r="ONF251" s="26"/>
      <c r="ONJ251" s="23"/>
      <c r="ONO251" s="26"/>
      <c r="ONS251" s="23"/>
      <c r="ONX251" s="26"/>
      <c r="OOB251" s="23"/>
      <c r="OOG251" s="26"/>
      <c r="OOK251" s="23"/>
      <c r="OOP251" s="26"/>
      <c r="OOT251" s="23"/>
      <c r="OOY251" s="26"/>
      <c r="OPC251" s="23"/>
      <c r="OPH251" s="26"/>
      <c r="OPL251" s="23"/>
      <c r="OPQ251" s="26"/>
      <c r="OPU251" s="23"/>
      <c r="OPZ251" s="26"/>
      <c r="OQD251" s="23"/>
      <c r="OQI251" s="26"/>
      <c r="OQM251" s="23"/>
      <c r="OQR251" s="26"/>
      <c r="OQV251" s="23"/>
      <c r="ORA251" s="26"/>
      <c r="ORE251" s="23"/>
      <c r="ORJ251" s="26"/>
      <c r="ORN251" s="23"/>
      <c r="ORS251" s="26"/>
      <c r="ORW251" s="23"/>
      <c r="OSB251" s="26"/>
      <c r="OSF251" s="23"/>
      <c r="OSK251" s="26"/>
      <c r="OSO251" s="23"/>
      <c r="OST251" s="26"/>
      <c r="OSX251" s="23"/>
      <c r="OTC251" s="26"/>
      <c r="OTG251" s="23"/>
      <c r="OTL251" s="26"/>
      <c r="OTP251" s="23"/>
      <c r="OTU251" s="26"/>
      <c r="OTY251" s="23"/>
      <c r="OUD251" s="26"/>
      <c r="OUH251" s="23"/>
      <c r="OUM251" s="26"/>
      <c r="OUQ251" s="23"/>
      <c r="OUV251" s="26"/>
      <c r="OUZ251" s="23"/>
      <c r="OVE251" s="26"/>
      <c r="OVI251" s="23"/>
      <c r="OVN251" s="26"/>
      <c r="OVR251" s="23"/>
      <c r="OVW251" s="26"/>
      <c r="OWA251" s="23"/>
      <c r="OWF251" s="26"/>
      <c r="OWJ251" s="23"/>
      <c r="OWO251" s="26"/>
      <c r="OWS251" s="23"/>
      <c r="OWX251" s="26"/>
      <c r="OXB251" s="23"/>
      <c r="OXG251" s="26"/>
      <c r="OXK251" s="23"/>
      <c r="OXP251" s="26"/>
      <c r="OXT251" s="23"/>
      <c r="OXY251" s="26"/>
      <c r="OYC251" s="23"/>
      <c r="OYH251" s="26"/>
      <c r="OYL251" s="23"/>
      <c r="OYQ251" s="26"/>
      <c r="OYU251" s="23"/>
      <c r="OYZ251" s="26"/>
      <c r="OZD251" s="23"/>
      <c r="OZI251" s="26"/>
      <c r="OZM251" s="23"/>
      <c r="OZR251" s="26"/>
      <c r="OZV251" s="23"/>
      <c r="PAA251" s="26"/>
      <c r="PAE251" s="23"/>
      <c r="PAJ251" s="26"/>
      <c r="PAN251" s="23"/>
      <c r="PAS251" s="26"/>
      <c r="PAW251" s="23"/>
      <c r="PBB251" s="26"/>
      <c r="PBF251" s="23"/>
      <c r="PBK251" s="26"/>
      <c r="PBO251" s="23"/>
      <c r="PBT251" s="26"/>
      <c r="PBX251" s="23"/>
      <c r="PCC251" s="26"/>
      <c r="PCG251" s="23"/>
      <c r="PCL251" s="26"/>
      <c r="PCP251" s="23"/>
      <c r="PCU251" s="26"/>
      <c r="PCY251" s="23"/>
      <c r="PDD251" s="26"/>
      <c r="PDH251" s="23"/>
      <c r="PDM251" s="26"/>
      <c r="PDQ251" s="23"/>
      <c r="PDV251" s="26"/>
      <c r="PDZ251" s="23"/>
      <c r="PEE251" s="26"/>
      <c r="PEI251" s="23"/>
      <c r="PEN251" s="26"/>
      <c r="PER251" s="23"/>
      <c r="PEW251" s="26"/>
      <c r="PFA251" s="23"/>
      <c r="PFF251" s="26"/>
      <c r="PFJ251" s="23"/>
      <c r="PFO251" s="26"/>
      <c r="PFS251" s="23"/>
      <c r="PFX251" s="26"/>
      <c r="PGB251" s="23"/>
      <c r="PGG251" s="26"/>
      <c r="PGK251" s="23"/>
      <c r="PGP251" s="26"/>
      <c r="PGT251" s="23"/>
      <c r="PGY251" s="26"/>
      <c r="PHC251" s="23"/>
      <c r="PHH251" s="26"/>
      <c r="PHL251" s="23"/>
      <c r="PHQ251" s="26"/>
      <c r="PHU251" s="23"/>
      <c r="PHZ251" s="26"/>
      <c r="PID251" s="23"/>
      <c r="PII251" s="26"/>
      <c r="PIM251" s="23"/>
      <c r="PIR251" s="26"/>
      <c r="PIV251" s="23"/>
      <c r="PJA251" s="26"/>
      <c r="PJE251" s="23"/>
      <c r="PJJ251" s="26"/>
      <c r="PJN251" s="23"/>
      <c r="PJS251" s="26"/>
      <c r="PJW251" s="23"/>
      <c r="PKB251" s="26"/>
      <c r="PKF251" s="23"/>
      <c r="PKK251" s="26"/>
      <c r="PKO251" s="23"/>
      <c r="PKT251" s="26"/>
      <c r="PKX251" s="23"/>
      <c r="PLC251" s="26"/>
      <c r="PLG251" s="23"/>
      <c r="PLL251" s="26"/>
      <c r="PLP251" s="23"/>
      <c r="PLU251" s="26"/>
      <c r="PLY251" s="23"/>
      <c r="PMD251" s="26"/>
      <c r="PMH251" s="23"/>
      <c r="PMM251" s="26"/>
      <c r="PMQ251" s="23"/>
      <c r="PMV251" s="26"/>
      <c r="PMZ251" s="23"/>
      <c r="PNE251" s="26"/>
      <c r="PNI251" s="23"/>
      <c r="PNN251" s="26"/>
      <c r="PNR251" s="23"/>
      <c r="PNW251" s="26"/>
      <c r="POA251" s="23"/>
      <c r="POF251" s="26"/>
      <c r="POJ251" s="23"/>
      <c r="POO251" s="26"/>
      <c r="POS251" s="23"/>
      <c r="POX251" s="26"/>
      <c r="PPB251" s="23"/>
      <c r="PPG251" s="26"/>
      <c r="PPK251" s="23"/>
      <c r="PPP251" s="26"/>
      <c r="PPT251" s="23"/>
      <c r="PPY251" s="26"/>
      <c r="PQC251" s="23"/>
      <c r="PQH251" s="26"/>
      <c r="PQL251" s="23"/>
      <c r="PQQ251" s="26"/>
      <c r="PQU251" s="23"/>
      <c r="PQZ251" s="26"/>
      <c r="PRD251" s="23"/>
      <c r="PRI251" s="26"/>
      <c r="PRM251" s="23"/>
      <c r="PRR251" s="26"/>
      <c r="PRV251" s="23"/>
      <c r="PSA251" s="26"/>
      <c r="PSE251" s="23"/>
      <c r="PSJ251" s="26"/>
      <c r="PSN251" s="23"/>
      <c r="PSS251" s="26"/>
      <c r="PSW251" s="23"/>
      <c r="PTB251" s="26"/>
      <c r="PTF251" s="23"/>
      <c r="PTK251" s="26"/>
      <c r="PTO251" s="23"/>
      <c r="PTT251" s="26"/>
      <c r="PTX251" s="23"/>
      <c r="PUC251" s="26"/>
      <c r="PUG251" s="23"/>
      <c r="PUL251" s="26"/>
      <c r="PUP251" s="23"/>
      <c r="PUU251" s="26"/>
      <c r="PUY251" s="23"/>
      <c r="PVD251" s="26"/>
      <c r="PVH251" s="23"/>
      <c r="PVM251" s="26"/>
      <c r="PVQ251" s="23"/>
      <c r="PVV251" s="26"/>
      <c r="PVZ251" s="23"/>
      <c r="PWE251" s="26"/>
      <c r="PWI251" s="23"/>
      <c r="PWN251" s="26"/>
      <c r="PWR251" s="23"/>
      <c r="PWW251" s="26"/>
      <c r="PXA251" s="23"/>
      <c r="PXF251" s="26"/>
      <c r="PXJ251" s="23"/>
      <c r="PXO251" s="26"/>
      <c r="PXS251" s="23"/>
      <c r="PXX251" s="26"/>
      <c r="PYB251" s="23"/>
      <c r="PYG251" s="26"/>
      <c r="PYK251" s="23"/>
      <c r="PYP251" s="26"/>
      <c r="PYT251" s="23"/>
      <c r="PYY251" s="26"/>
      <c r="PZC251" s="23"/>
      <c r="PZH251" s="26"/>
      <c r="PZL251" s="23"/>
      <c r="PZQ251" s="26"/>
      <c r="PZU251" s="23"/>
      <c r="PZZ251" s="26"/>
      <c r="QAD251" s="23"/>
      <c r="QAI251" s="26"/>
      <c r="QAM251" s="23"/>
      <c r="QAR251" s="26"/>
      <c r="QAV251" s="23"/>
      <c r="QBA251" s="26"/>
      <c r="QBE251" s="23"/>
      <c r="QBJ251" s="26"/>
      <c r="QBN251" s="23"/>
      <c r="QBS251" s="26"/>
      <c r="QBW251" s="23"/>
      <c r="QCB251" s="26"/>
      <c r="QCF251" s="23"/>
      <c r="QCK251" s="26"/>
      <c r="QCO251" s="23"/>
      <c r="QCT251" s="26"/>
      <c r="QCX251" s="23"/>
      <c r="QDC251" s="26"/>
      <c r="QDG251" s="23"/>
      <c r="QDL251" s="26"/>
      <c r="QDP251" s="23"/>
      <c r="QDU251" s="26"/>
      <c r="QDY251" s="23"/>
      <c r="QED251" s="26"/>
      <c r="QEH251" s="23"/>
      <c r="QEM251" s="26"/>
      <c r="QEQ251" s="23"/>
      <c r="QEV251" s="26"/>
      <c r="QEZ251" s="23"/>
      <c r="QFE251" s="26"/>
      <c r="QFI251" s="23"/>
      <c r="QFN251" s="26"/>
      <c r="QFR251" s="23"/>
      <c r="QFW251" s="26"/>
      <c r="QGA251" s="23"/>
      <c r="QGF251" s="26"/>
      <c r="QGJ251" s="23"/>
      <c r="QGO251" s="26"/>
      <c r="QGS251" s="23"/>
      <c r="QGX251" s="26"/>
      <c r="QHB251" s="23"/>
      <c r="QHG251" s="26"/>
      <c r="QHK251" s="23"/>
      <c r="QHP251" s="26"/>
      <c r="QHT251" s="23"/>
      <c r="QHY251" s="26"/>
      <c r="QIC251" s="23"/>
      <c r="QIH251" s="26"/>
      <c r="QIL251" s="23"/>
      <c r="QIQ251" s="26"/>
      <c r="QIU251" s="23"/>
      <c r="QIZ251" s="26"/>
      <c r="QJD251" s="23"/>
      <c r="QJI251" s="26"/>
      <c r="QJM251" s="23"/>
      <c r="QJR251" s="26"/>
      <c r="QJV251" s="23"/>
      <c r="QKA251" s="26"/>
      <c r="QKE251" s="23"/>
      <c r="QKJ251" s="26"/>
      <c r="QKN251" s="23"/>
      <c r="QKS251" s="26"/>
      <c r="QKW251" s="23"/>
      <c r="QLB251" s="26"/>
      <c r="QLF251" s="23"/>
      <c r="QLK251" s="26"/>
      <c r="QLO251" s="23"/>
      <c r="QLT251" s="26"/>
      <c r="QLX251" s="23"/>
      <c r="QMC251" s="26"/>
      <c r="QMG251" s="23"/>
      <c r="QML251" s="26"/>
      <c r="QMP251" s="23"/>
      <c r="QMU251" s="26"/>
      <c r="QMY251" s="23"/>
      <c r="QND251" s="26"/>
      <c r="QNH251" s="23"/>
      <c r="QNM251" s="26"/>
      <c r="QNQ251" s="23"/>
      <c r="QNV251" s="26"/>
      <c r="QNZ251" s="23"/>
      <c r="QOE251" s="26"/>
      <c r="QOI251" s="23"/>
      <c r="QON251" s="26"/>
      <c r="QOR251" s="23"/>
      <c r="QOW251" s="26"/>
      <c r="QPA251" s="23"/>
      <c r="QPF251" s="26"/>
      <c r="QPJ251" s="23"/>
      <c r="QPO251" s="26"/>
      <c r="QPS251" s="23"/>
      <c r="QPX251" s="26"/>
      <c r="QQB251" s="23"/>
      <c r="QQG251" s="26"/>
      <c r="QQK251" s="23"/>
      <c r="QQP251" s="26"/>
      <c r="QQT251" s="23"/>
      <c r="QQY251" s="26"/>
      <c r="QRC251" s="23"/>
      <c r="QRH251" s="26"/>
      <c r="QRL251" s="23"/>
      <c r="QRQ251" s="26"/>
      <c r="QRU251" s="23"/>
      <c r="QRZ251" s="26"/>
      <c r="QSD251" s="23"/>
      <c r="QSI251" s="26"/>
      <c r="QSM251" s="23"/>
      <c r="QSR251" s="26"/>
      <c r="QSV251" s="23"/>
      <c r="QTA251" s="26"/>
      <c r="QTE251" s="23"/>
      <c r="QTJ251" s="26"/>
      <c r="QTN251" s="23"/>
      <c r="QTS251" s="26"/>
      <c r="QTW251" s="23"/>
      <c r="QUB251" s="26"/>
      <c r="QUF251" s="23"/>
      <c r="QUK251" s="26"/>
      <c r="QUO251" s="23"/>
      <c r="QUT251" s="26"/>
      <c r="QUX251" s="23"/>
      <c r="QVC251" s="26"/>
      <c r="QVG251" s="23"/>
      <c r="QVL251" s="26"/>
      <c r="QVP251" s="23"/>
      <c r="QVU251" s="26"/>
      <c r="QVY251" s="23"/>
      <c r="QWD251" s="26"/>
      <c r="QWH251" s="23"/>
      <c r="QWM251" s="26"/>
      <c r="QWQ251" s="23"/>
      <c r="QWV251" s="26"/>
      <c r="QWZ251" s="23"/>
      <c r="QXE251" s="26"/>
      <c r="QXI251" s="23"/>
      <c r="QXN251" s="26"/>
      <c r="QXR251" s="23"/>
      <c r="QXW251" s="26"/>
      <c r="QYA251" s="23"/>
      <c r="QYF251" s="26"/>
      <c r="QYJ251" s="23"/>
      <c r="QYO251" s="26"/>
      <c r="QYS251" s="23"/>
      <c r="QYX251" s="26"/>
      <c r="QZB251" s="23"/>
      <c r="QZG251" s="26"/>
      <c r="QZK251" s="23"/>
      <c r="QZP251" s="26"/>
      <c r="QZT251" s="23"/>
      <c r="QZY251" s="26"/>
      <c r="RAC251" s="23"/>
      <c r="RAH251" s="26"/>
      <c r="RAL251" s="23"/>
      <c r="RAQ251" s="26"/>
      <c r="RAU251" s="23"/>
      <c r="RAZ251" s="26"/>
      <c r="RBD251" s="23"/>
      <c r="RBI251" s="26"/>
      <c r="RBM251" s="23"/>
      <c r="RBR251" s="26"/>
      <c r="RBV251" s="23"/>
      <c r="RCA251" s="26"/>
      <c r="RCE251" s="23"/>
      <c r="RCJ251" s="26"/>
      <c r="RCN251" s="23"/>
      <c r="RCS251" s="26"/>
      <c r="RCW251" s="23"/>
      <c r="RDB251" s="26"/>
      <c r="RDF251" s="23"/>
      <c r="RDK251" s="26"/>
      <c r="RDO251" s="23"/>
      <c r="RDT251" s="26"/>
      <c r="RDX251" s="23"/>
      <c r="REC251" s="26"/>
      <c r="REG251" s="23"/>
      <c r="REL251" s="26"/>
      <c r="REP251" s="23"/>
      <c r="REU251" s="26"/>
      <c r="REY251" s="23"/>
      <c r="RFD251" s="26"/>
      <c r="RFH251" s="23"/>
      <c r="RFM251" s="26"/>
      <c r="RFQ251" s="23"/>
      <c r="RFV251" s="26"/>
      <c r="RFZ251" s="23"/>
      <c r="RGE251" s="26"/>
      <c r="RGI251" s="23"/>
      <c r="RGN251" s="26"/>
      <c r="RGR251" s="23"/>
      <c r="RGW251" s="26"/>
      <c r="RHA251" s="23"/>
      <c r="RHF251" s="26"/>
      <c r="RHJ251" s="23"/>
      <c r="RHO251" s="26"/>
      <c r="RHS251" s="23"/>
      <c r="RHX251" s="26"/>
      <c r="RIB251" s="23"/>
      <c r="RIG251" s="26"/>
      <c r="RIK251" s="23"/>
      <c r="RIP251" s="26"/>
      <c r="RIT251" s="23"/>
      <c r="RIY251" s="26"/>
      <c r="RJC251" s="23"/>
      <c r="RJH251" s="26"/>
      <c r="RJL251" s="23"/>
      <c r="RJQ251" s="26"/>
      <c r="RJU251" s="23"/>
      <c r="RJZ251" s="26"/>
      <c r="RKD251" s="23"/>
      <c r="RKI251" s="26"/>
      <c r="RKM251" s="23"/>
      <c r="RKR251" s="26"/>
      <c r="RKV251" s="23"/>
      <c r="RLA251" s="26"/>
      <c r="RLE251" s="23"/>
      <c r="RLJ251" s="26"/>
      <c r="RLN251" s="23"/>
      <c r="RLS251" s="26"/>
      <c r="RLW251" s="23"/>
      <c r="RMB251" s="26"/>
      <c r="RMF251" s="23"/>
      <c r="RMK251" s="26"/>
      <c r="RMO251" s="23"/>
      <c r="RMT251" s="26"/>
      <c r="RMX251" s="23"/>
      <c r="RNC251" s="26"/>
      <c r="RNG251" s="23"/>
      <c r="RNL251" s="26"/>
      <c r="RNP251" s="23"/>
      <c r="RNU251" s="26"/>
      <c r="RNY251" s="23"/>
      <c r="ROD251" s="26"/>
      <c r="ROH251" s="23"/>
      <c r="ROM251" s="26"/>
      <c r="ROQ251" s="23"/>
      <c r="ROV251" s="26"/>
      <c r="ROZ251" s="23"/>
      <c r="RPE251" s="26"/>
      <c r="RPI251" s="23"/>
      <c r="RPN251" s="26"/>
      <c r="RPR251" s="23"/>
      <c r="RPW251" s="26"/>
      <c r="RQA251" s="23"/>
      <c r="RQF251" s="26"/>
      <c r="RQJ251" s="23"/>
      <c r="RQO251" s="26"/>
      <c r="RQS251" s="23"/>
      <c r="RQX251" s="26"/>
      <c r="RRB251" s="23"/>
      <c r="RRG251" s="26"/>
      <c r="RRK251" s="23"/>
      <c r="RRP251" s="26"/>
      <c r="RRT251" s="23"/>
      <c r="RRY251" s="26"/>
      <c r="RSC251" s="23"/>
      <c r="RSH251" s="26"/>
      <c r="RSL251" s="23"/>
      <c r="RSQ251" s="26"/>
      <c r="RSU251" s="23"/>
      <c r="RSZ251" s="26"/>
      <c r="RTD251" s="23"/>
      <c r="RTI251" s="26"/>
      <c r="RTM251" s="23"/>
      <c r="RTR251" s="26"/>
      <c r="RTV251" s="23"/>
      <c r="RUA251" s="26"/>
      <c r="RUE251" s="23"/>
      <c r="RUJ251" s="26"/>
      <c r="RUN251" s="23"/>
      <c r="RUS251" s="26"/>
      <c r="RUW251" s="23"/>
      <c r="RVB251" s="26"/>
      <c r="RVF251" s="23"/>
      <c r="RVK251" s="26"/>
      <c r="RVO251" s="23"/>
      <c r="RVT251" s="26"/>
      <c r="RVX251" s="23"/>
      <c r="RWC251" s="26"/>
      <c r="RWG251" s="23"/>
      <c r="RWL251" s="26"/>
      <c r="RWP251" s="23"/>
      <c r="RWU251" s="26"/>
      <c r="RWY251" s="23"/>
      <c r="RXD251" s="26"/>
      <c r="RXH251" s="23"/>
      <c r="RXM251" s="26"/>
      <c r="RXQ251" s="23"/>
      <c r="RXV251" s="26"/>
      <c r="RXZ251" s="23"/>
      <c r="RYE251" s="26"/>
      <c r="RYI251" s="23"/>
      <c r="RYN251" s="26"/>
      <c r="RYR251" s="23"/>
      <c r="RYW251" s="26"/>
      <c r="RZA251" s="23"/>
      <c r="RZF251" s="26"/>
      <c r="RZJ251" s="23"/>
      <c r="RZO251" s="26"/>
      <c r="RZS251" s="23"/>
      <c r="RZX251" s="26"/>
      <c r="SAB251" s="23"/>
      <c r="SAG251" s="26"/>
      <c r="SAK251" s="23"/>
      <c r="SAP251" s="26"/>
      <c r="SAT251" s="23"/>
      <c r="SAY251" s="26"/>
      <c r="SBC251" s="23"/>
      <c r="SBH251" s="26"/>
      <c r="SBL251" s="23"/>
      <c r="SBQ251" s="26"/>
      <c r="SBU251" s="23"/>
      <c r="SBZ251" s="26"/>
      <c r="SCD251" s="23"/>
      <c r="SCI251" s="26"/>
      <c r="SCM251" s="23"/>
      <c r="SCR251" s="26"/>
      <c r="SCV251" s="23"/>
      <c r="SDA251" s="26"/>
      <c r="SDE251" s="23"/>
      <c r="SDJ251" s="26"/>
      <c r="SDN251" s="23"/>
      <c r="SDS251" s="26"/>
      <c r="SDW251" s="23"/>
      <c r="SEB251" s="26"/>
      <c r="SEF251" s="23"/>
      <c r="SEK251" s="26"/>
      <c r="SEO251" s="23"/>
      <c r="SET251" s="26"/>
      <c r="SEX251" s="23"/>
      <c r="SFC251" s="26"/>
      <c r="SFG251" s="23"/>
      <c r="SFL251" s="26"/>
      <c r="SFP251" s="23"/>
      <c r="SFU251" s="26"/>
      <c r="SFY251" s="23"/>
      <c r="SGD251" s="26"/>
      <c r="SGH251" s="23"/>
      <c r="SGM251" s="26"/>
      <c r="SGQ251" s="23"/>
      <c r="SGV251" s="26"/>
      <c r="SGZ251" s="23"/>
      <c r="SHE251" s="26"/>
      <c r="SHI251" s="23"/>
      <c r="SHN251" s="26"/>
      <c r="SHR251" s="23"/>
      <c r="SHW251" s="26"/>
      <c r="SIA251" s="23"/>
      <c r="SIF251" s="26"/>
      <c r="SIJ251" s="23"/>
      <c r="SIO251" s="26"/>
      <c r="SIS251" s="23"/>
      <c r="SIX251" s="26"/>
      <c r="SJB251" s="23"/>
      <c r="SJG251" s="26"/>
      <c r="SJK251" s="23"/>
      <c r="SJP251" s="26"/>
      <c r="SJT251" s="23"/>
      <c r="SJY251" s="26"/>
      <c r="SKC251" s="23"/>
      <c r="SKH251" s="26"/>
      <c r="SKL251" s="23"/>
      <c r="SKQ251" s="26"/>
      <c r="SKU251" s="23"/>
      <c r="SKZ251" s="26"/>
      <c r="SLD251" s="23"/>
      <c r="SLI251" s="26"/>
      <c r="SLM251" s="23"/>
      <c r="SLR251" s="26"/>
      <c r="SLV251" s="23"/>
      <c r="SMA251" s="26"/>
      <c r="SME251" s="23"/>
      <c r="SMJ251" s="26"/>
      <c r="SMN251" s="23"/>
      <c r="SMS251" s="26"/>
      <c r="SMW251" s="23"/>
      <c r="SNB251" s="26"/>
      <c r="SNF251" s="23"/>
      <c r="SNK251" s="26"/>
      <c r="SNO251" s="23"/>
      <c r="SNT251" s="26"/>
      <c r="SNX251" s="23"/>
      <c r="SOC251" s="26"/>
      <c r="SOG251" s="23"/>
      <c r="SOL251" s="26"/>
      <c r="SOP251" s="23"/>
      <c r="SOU251" s="26"/>
      <c r="SOY251" s="23"/>
      <c r="SPD251" s="26"/>
      <c r="SPH251" s="23"/>
      <c r="SPM251" s="26"/>
      <c r="SPQ251" s="23"/>
      <c r="SPV251" s="26"/>
      <c r="SPZ251" s="23"/>
      <c r="SQE251" s="26"/>
      <c r="SQI251" s="23"/>
      <c r="SQN251" s="26"/>
      <c r="SQR251" s="23"/>
      <c r="SQW251" s="26"/>
      <c r="SRA251" s="23"/>
      <c r="SRF251" s="26"/>
      <c r="SRJ251" s="23"/>
      <c r="SRO251" s="26"/>
      <c r="SRS251" s="23"/>
      <c r="SRX251" s="26"/>
      <c r="SSB251" s="23"/>
      <c r="SSG251" s="26"/>
      <c r="SSK251" s="23"/>
      <c r="SSP251" s="26"/>
      <c r="SST251" s="23"/>
      <c r="SSY251" s="26"/>
      <c r="STC251" s="23"/>
      <c r="STH251" s="26"/>
      <c r="STL251" s="23"/>
      <c r="STQ251" s="26"/>
      <c r="STU251" s="23"/>
      <c r="STZ251" s="26"/>
      <c r="SUD251" s="23"/>
      <c r="SUI251" s="26"/>
      <c r="SUM251" s="23"/>
      <c r="SUR251" s="26"/>
      <c r="SUV251" s="23"/>
      <c r="SVA251" s="26"/>
      <c r="SVE251" s="23"/>
      <c r="SVJ251" s="26"/>
      <c r="SVN251" s="23"/>
      <c r="SVS251" s="26"/>
      <c r="SVW251" s="23"/>
      <c r="SWB251" s="26"/>
      <c r="SWF251" s="23"/>
      <c r="SWK251" s="26"/>
      <c r="SWO251" s="23"/>
      <c r="SWT251" s="26"/>
      <c r="SWX251" s="23"/>
      <c r="SXC251" s="26"/>
      <c r="SXG251" s="23"/>
      <c r="SXL251" s="26"/>
      <c r="SXP251" s="23"/>
      <c r="SXU251" s="26"/>
      <c r="SXY251" s="23"/>
      <c r="SYD251" s="26"/>
      <c r="SYH251" s="23"/>
      <c r="SYM251" s="26"/>
      <c r="SYQ251" s="23"/>
      <c r="SYV251" s="26"/>
      <c r="SYZ251" s="23"/>
      <c r="SZE251" s="26"/>
      <c r="SZI251" s="23"/>
      <c r="SZN251" s="26"/>
      <c r="SZR251" s="23"/>
      <c r="SZW251" s="26"/>
      <c r="TAA251" s="23"/>
      <c r="TAF251" s="26"/>
      <c r="TAJ251" s="23"/>
      <c r="TAO251" s="26"/>
      <c r="TAS251" s="23"/>
      <c r="TAX251" s="26"/>
      <c r="TBB251" s="23"/>
      <c r="TBG251" s="26"/>
      <c r="TBK251" s="23"/>
      <c r="TBP251" s="26"/>
      <c r="TBT251" s="23"/>
      <c r="TBY251" s="26"/>
      <c r="TCC251" s="23"/>
      <c r="TCH251" s="26"/>
      <c r="TCL251" s="23"/>
      <c r="TCQ251" s="26"/>
      <c r="TCU251" s="23"/>
      <c r="TCZ251" s="26"/>
      <c r="TDD251" s="23"/>
      <c r="TDI251" s="26"/>
      <c r="TDM251" s="23"/>
      <c r="TDR251" s="26"/>
      <c r="TDV251" s="23"/>
      <c r="TEA251" s="26"/>
      <c r="TEE251" s="23"/>
      <c r="TEJ251" s="26"/>
      <c r="TEN251" s="23"/>
      <c r="TES251" s="26"/>
      <c r="TEW251" s="23"/>
      <c r="TFB251" s="26"/>
      <c r="TFF251" s="23"/>
      <c r="TFK251" s="26"/>
      <c r="TFO251" s="23"/>
      <c r="TFT251" s="26"/>
      <c r="TFX251" s="23"/>
      <c r="TGC251" s="26"/>
      <c r="TGG251" s="23"/>
      <c r="TGL251" s="26"/>
      <c r="TGP251" s="23"/>
      <c r="TGU251" s="26"/>
      <c r="TGY251" s="23"/>
      <c r="THD251" s="26"/>
      <c r="THH251" s="23"/>
      <c r="THM251" s="26"/>
      <c r="THQ251" s="23"/>
      <c r="THV251" s="26"/>
      <c r="THZ251" s="23"/>
      <c r="TIE251" s="26"/>
      <c r="TII251" s="23"/>
      <c r="TIN251" s="26"/>
      <c r="TIR251" s="23"/>
      <c r="TIW251" s="26"/>
      <c r="TJA251" s="23"/>
      <c r="TJF251" s="26"/>
      <c r="TJJ251" s="23"/>
      <c r="TJO251" s="26"/>
      <c r="TJS251" s="23"/>
      <c r="TJX251" s="26"/>
      <c r="TKB251" s="23"/>
      <c r="TKG251" s="26"/>
      <c r="TKK251" s="23"/>
      <c r="TKP251" s="26"/>
      <c r="TKT251" s="23"/>
      <c r="TKY251" s="26"/>
      <c r="TLC251" s="23"/>
      <c r="TLH251" s="26"/>
      <c r="TLL251" s="23"/>
      <c r="TLQ251" s="26"/>
      <c r="TLU251" s="23"/>
      <c r="TLZ251" s="26"/>
      <c r="TMD251" s="23"/>
      <c r="TMI251" s="26"/>
      <c r="TMM251" s="23"/>
      <c r="TMR251" s="26"/>
      <c r="TMV251" s="23"/>
      <c r="TNA251" s="26"/>
      <c r="TNE251" s="23"/>
      <c r="TNJ251" s="26"/>
      <c r="TNN251" s="23"/>
      <c r="TNS251" s="26"/>
      <c r="TNW251" s="23"/>
      <c r="TOB251" s="26"/>
      <c r="TOF251" s="23"/>
      <c r="TOK251" s="26"/>
      <c r="TOO251" s="23"/>
      <c r="TOT251" s="26"/>
      <c r="TOX251" s="23"/>
      <c r="TPC251" s="26"/>
      <c r="TPG251" s="23"/>
      <c r="TPL251" s="26"/>
      <c r="TPP251" s="23"/>
      <c r="TPU251" s="26"/>
      <c r="TPY251" s="23"/>
      <c r="TQD251" s="26"/>
      <c r="TQH251" s="23"/>
      <c r="TQM251" s="26"/>
      <c r="TQQ251" s="23"/>
      <c r="TQV251" s="26"/>
      <c r="TQZ251" s="23"/>
      <c r="TRE251" s="26"/>
      <c r="TRI251" s="23"/>
      <c r="TRN251" s="26"/>
      <c r="TRR251" s="23"/>
      <c r="TRW251" s="26"/>
      <c r="TSA251" s="23"/>
      <c r="TSF251" s="26"/>
      <c r="TSJ251" s="23"/>
      <c r="TSO251" s="26"/>
      <c r="TSS251" s="23"/>
      <c r="TSX251" s="26"/>
      <c r="TTB251" s="23"/>
      <c r="TTG251" s="26"/>
      <c r="TTK251" s="23"/>
      <c r="TTP251" s="26"/>
      <c r="TTT251" s="23"/>
      <c r="TTY251" s="26"/>
      <c r="TUC251" s="23"/>
      <c r="TUH251" s="26"/>
      <c r="TUL251" s="23"/>
      <c r="TUQ251" s="26"/>
      <c r="TUU251" s="23"/>
      <c r="TUZ251" s="26"/>
      <c r="TVD251" s="23"/>
      <c r="TVI251" s="26"/>
      <c r="TVM251" s="23"/>
      <c r="TVR251" s="26"/>
      <c r="TVV251" s="23"/>
      <c r="TWA251" s="26"/>
      <c r="TWE251" s="23"/>
      <c r="TWJ251" s="26"/>
      <c r="TWN251" s="23"/>
      <c r="TWS251" s="26"/>
      <c r="TWW251" s="23"/>
      <c r="TXB251" s="26"/>
      <c r="TXF251" s="23"/>
      <c r="TXK251" s="26"/>
      <c r="TXO251" s="23"/>
      <c r="TXT251" s="26"/>
      <c r="TXX251" s="23"/>
      <c r="TYC251" s="26"/>
      <c r="TYG251" s="23"/>
      <c r="TYL251" s="26"/>
      <c r="TYP251" s="23"/>
      <c r="TYU251" s="26"/>
      <c r="TYY251" s="23"/>
      <c r="TZD251" s="26"/>
      <c r="TZH251" s="23"/>
      <c r="TZM251" s="26"/>
      <c r="TZQ251" s="23"/>
      <c r="TZV251" s="26"/>
      <c r="TZZ251" s="23"/>
      <c r="UAE251" s="26"/>
      <c r="UAI251" s="23"/>
      <c r="UAN251" s="26"/>
      <c r="UAR251" s="23"/>
      <c r="UAW251" s="26"/>
      <c r="UBA251" s="23"/>
      <c r="UBF251" s="26"/>
      <c r="UBJ251" s="23"/>
      <c r="UBO251" s="26"/>
      <c r="UBS251" s="23"/>
      <c r="UBX251" s="26"/>
      <c r="UCB251" s="23"/>
      <c r="UCG251" s="26"/>
      <c r="UCK251" s="23"/>
      <c r="UCP251" s="26"/>
      <c r="UCT251" s="23"/>
      <c r="UCY251" s="26"/>
      <c r="UDC251" s="23"/>
      <c r="UDH251" s="26"/>
      <c r="UDL251" s="23"/>
      <c r="UDQ251" s="26"/>
      <c r="UDU251" s="23"/>
      <c r="UDZ251" s="26"/>
      <c r="UED251" s="23"/>
      <c r="UEI251" s="26"/>
      <c r="UEM251" s="23"/>
      <c r="UER251" s="26"/>
      <c r="UEV251" s="23"/>
      <c r="UFA251" s="26"/>
      <c r="UFE251" s="23"/>
      <c r="UFJ251" s="26"/>
      <c r="UFN251" s="23"/>
      <c r="UFS251" s="26"/>
      <c r="UFW251" s="23"/>
      <c r="UGB251" s="26"/>
      <c r="UGF251" s="23"/>
      <c r="UGK251" s="26"/>
      <c r="UGO251" s="23"/>
      <c r="UGT251" s="26"/>
      <c r="UGX251" s="23"/>
      <c r="UHC251" s="26"/>
      <c r="UHG251" s="23"/>
      <c r="UHL251" s="26"/>
      <c r="UHP251" s="23"/>
      <c r="UHU251" s="26"/>
      <c r="UHY251" s="23"/>
      <c r="UID251" s="26"/>
      <c r="UIH251" s="23"/>
      <c r="UIM251" s="26"/>
      <c r="UIQ251" s="23"/>
      <c r="UIV251" s="26"/>
      <c r="UIZ251" s="23"/>
      <c r="UJE251" s="26"/>
      <c r="UJI251" s="23"/>
      <c r="UJN251" s="26"/>
      <c r="UJR251" s="23"/>
      <c r="UJW251" s="26"/>
      <c r="UKA251" s="23"/>
      <c r="UKF251" s="26"/>
      <c r="UKJ251" s="23"/>
      <c r="UKO251" s="26"/>
      <c r="UKS251" s="23"/>
      <c r="UKX251" s="26"/>
      <c r="ULB251" s="23"/>
      <c r="ULG251" s="26"/>
      <c r="ULK251" s="23"/>
      <c r="ULP251" s="26"/>
      <c r="ULT251" s="23"/>
      <c r="ULY251" s="26"/>
      <c r="UMC251" s="23"/>
      <c r="UMH251" s="26"/>
      <c r="UML251" s="23"/>
      <c r="UMQ251" s="26"/>
      <c r="UMU251" s="23"/>
      <c r="UMZ251" s="26"/>
      <c r="UND251" s="23"/>
      <c r="UNI251" s="26"/>
      <c r="UNM251" s="23"/>
      <c r="UNR251" s="26"/>
      <c r="UNV251" s="23"/>
      <c r="UOA251" s="26"/>
      <c r="UOE251" s="23"/>
      <c r="UOJ251" s="26"/>
      <c r="UON251" s="23"/>
      <c r="UOS251" s="26"/>
      <c r="UOW251" s="23"/>
      <c r="UPB251" s="26"/>
      <c r="UPF251" s="23"/>
      <c r="UPK251" s="26"/>
      <c r="UPO251" s="23"/>
      <c r="UPT251" s="26"/>
      <c r="UPX251" s="23"/>
      <c r="UQC251" s="26"/>
      <c r="UQG251" s="23"/>
      <c r="UQL251" s="26"/>
      <c r="UQP251" s="23"/>
      <c r="UQU251" s="26"/>
      <c r="UQY251" s="23"/>
      <c r="URD251" s="26"/>
      <c r="URH251" s="23"/>
      <c r="URM251" s="26"/>
      <c r="URQ251" s="23"/>
      <c r="URV251" s="26"/>
      <c r="URZ251" s="23"/>
      <c r="USE251" s="26"/>
      <c r="USI251" s="23"/>
      <c r="USN251" s="26"/>
      <c r="USR251" s="23"/>
      <c r="USW251" s="26"/>
      <c r="UTA251" s="23"/>
      <c r="UTF251" s="26"/>
      <c r="UTJ251" s="23"/>
      <c r="UTO251" s="26"/>
      <c r="UTS251" s="23"/>
      <c r="UTX251" s="26"/>
      <c r="UUB251" s="23"/>
      <c r="UUG251" s="26"/>
      <c r="UUK251" s="23"/>
      <c r="UUP251" s="26"/>
      <c r="UUT251" s="23"/>
      <c r="UUY251" s="26"/>
      <c r="UVC251" s="23"/>
      <c r="UVH251" s="26"/>
      <c r="UVL251" s="23"/>
      <c r="UVQ251" s="26"/>
      <c r="UVU251" s="23"/>
      <c r="UVZ251" s="26"/>
      <c r="UWD251" s="23"/>
      <c r="UWI251" s="26"/>
      <c r="UWM251" s="23"/>
      <c r="UWR251" s="26"/>
      <c r="UWV251" s="23"/>
      <c r="UXA251" s="26"/>
      <c r="UXE251" s="23"/>
      <c r="UXJ251" s="26"/>
      <c r="UXN251" s="23"/>
      <c r="UXS251" s="26"/>
      <c r="UXW251" s="23"/>
      <c r="UYB251" s="26"/>
      <c r="UYF251" s="23"/>
      <c r="UYK251" s="26"/>
      <c r="UYO251" s="23"/>
      <c r="UYT251" s="26"/>
      <c r="UYX251" s="23"/>
      <c r="UZC251" s="26"/>
      <c r="UZG251" s="23"/>
      <c r="UZL251" s="26"/>
      <c r="UZP251" s="23"/>
      <c r="UZU251" s="26"/>
      <c r="UZY251" s="23"/>
      <c r="VAD251" s="26"/>
      <c r="VAH251" s="23"/>
      <c r="VAM251" s="26"/>
      <c r="VAQ251" s="23"/>
      <c r="VAV251" s="26"/>
      <c r="VAZ251" s="23"/>
      <c r="VBE251" s="26"/>
      <c r="VBI251" s="23"/>
      <c r="VBN251" s="26"/>
      <c r="VBR251" s="23"/>
      <c r="VBW251" s="26"/>
      <c r="VCA251" s="23"/>
      <c r="VCF251" s="26"/>
      <c r="VCJ251" s="23"/>
      <c r="VCO251" s="26"/>
      <c r="VCS251" s="23"/>
      <c r="VCX251" s="26"/>
      <c r="VDB251" s="23"/>
      <c r="VDG251" s="26"/>
      <c r="VDK251" s="23"/>
      <c r="VDP251" s="26"/>
      <c r="VDT251" s="23"/>
      <c r="VDY251" s="26"/>
      <c r="VEC251" s="23"/>
      <c r="VEH251" s="26"/>
      <c r="VEL251" s="23"/>
      <c r="VEQ251" s="26"/>
      <c r="VEU251" s="23"/>
      <c r="VEZ251" s="26"/>
      <c r="VFD251" s="23"/>
      <c r="VFI251" s="26"/>
      <c r="VFM251" s="23"/>
      <c r="VFR251" s="26"/>
      <c r="VFV251" s="23"/>
      <c r="VGA251" s="26"/>
      <c r="VGE251" s="23"/>
      <c r="VGJ251" s="26"/>
      <c r="VGN251" s="23"/>
      <c r="VGS251" s="26"/>
      <c r="VGW251" s="23"/>
      <c r="VHB251" s="26"/>
      <c r="VHF251" s="23"/>
      <c r="VHK251" s="26"/>
      <c r="VHO251" s="23"/>
      <c r="VHT251" s="26"/>
      <c r="VHX251" s="23"/>
      <c r="VIC251" s="26"/>
      <c r="VIG251" s="23"/>
      <c r="VIL251" s="26"/>
      <c r="VIP251" s="23"/>
      <c r="VIU251" s="26"/>
      <c r="VIY251" s="23"/>
      <c r="VJD251" s="26"/>
      <c r="VJH251" s="23"/>
      <c r="VJM251" s="26"/>
      <c r="VJQ251" s="23"/>
      <c r="VJV251" s="26"/>
      <c r="VJZ251" s="23"/>
      <c r="VKE251" s="26"/>
      <c r="VKI251" s="23"/>
      <c r="VKN251" s="26"/>
      <c r="VKR251" s="23"/>
      <c r="VKW251" s="26"/>
      <c r="VLA251" s="23"/>
      <c r="VLF251" s="26"/>
      <c r="VLJ251" s="23"/>
      <c r="VLO251" s="26"/>
      <c r="VLS251" s="23"/>
      <c r="VLX251" s="26"/>
      <c r="VMB251" s="23"/>
      <c r="VMG251" s="26"/>
      <c r="VMK251" s="23"/>
      <c r="VMP251" s="26"/>
      <c r="VMT251" s="23"/>
      <c r="VMY251" s="26"/>
      <c r="VNC251" s="23"/>
      <c r="VNH251" s="26"/>
      <c r="VNL251" s="23"/>
      <c r="VNQ251" s="26"/>
      <c r="VNU251" s="23"/>
      <c r="VNZ251" s="26"/>
      <c r="VOD251" s="23"/>
      <c r="VOI251" s="26"/>
      <c r="VOM251" s="23"/>
      <c r="VOR251" s="26"/>
      <c r="VOV251" s="23"/>
      <c r="VPA251" s="26"/>
      <c r="VPE251" s="23"/>
      <c r="VPJ251" s="26"/>
      <c r="VPN251" s="23"/>
      <c r="VPS251" s="26"/>
      <c r="VPW251" s="23"/>
      <c r="VQB251" s="26"/>
      <c r="VQF251" s="23"/>
      <c r="VQK251" s="26"/>
      <c r="VQO251" s="23"/>
      <c r="VQT251" s="26"/>
      <c r="VQX251" s="23"/>
      <c r="VRC251" s="26"/>
      <c r="VRG251" s="23"/>
      <c r="VRL251" s="26"/>
      <c r="VRP251" s="23"/>
      <c r="VRU251" s="26"/>
      <c r="VRY251" s="23"/>
      <c r="VSD251" s="26"/>
      <c r="VSH251" s="23"/>
      <c r="VSM251" s="26"/>
      <c r="VSQ251" s="23"/>
      <c r="VSV251" s="26"/>
      <c r="VSZ251" s="23"/>
      <c r="VTE251" s="26"/>
      <c r="VTI251" s="23"/>
      <c r="VTN251" s="26"/>
      <c r="VTR251" s="23"/>
      <c r="VTW251" s="26"/>
      <c r="VUA251" s="23"/>
      <c r="VUF251" s="26"/>
      <c r="VUJ251" s="23"/>
      <c r="VUO251" s="26"/>
      <c r="VUS251" s="23"/>
      <c r="VUX251" s="26"/>
      <c r="VVB251" s="23"/>
      <c r="VVG251" s="26"/>
      <c r="VVK251" s="23"/>
      <c r="VVP251" s="26"/>
      <c r="VVT251" s="23"/>
      <c r="VVY251" s="26"/>
      <c r="VWC251" s="23"/>
      <c r="VWH251" s="26"/>
      <c r="VWL251" s="23"/>
      <c r="VWQ251" s="26"/>
      <c r="VWU251" s="23"/>
      <c r="VWZ251" s="26"/>
      <c r="VXD251" s="23"/>
      <c r="VXI251" s="26"/>
      <c r="VXM251" s="23"/>
      <c r="VXR251" s="26"/>
      <c r="VXV251" s="23"/>
      <c r="VYA251" s="26"/>
      <c r="VYE251" s="23"/>
      <c r="VYJ251" s="26"/>
      <c r="VYN251" s="23"/>
      <c r="VYS251" s="26"/>
      <c r="VYW251" s="23"/>
      <c r="VZB251" s="26"/>
      <c r="VZF251" s="23"/>
      <c r="VZK251" s="26"/>
      <c r="VZO251" s="23"/>
      <c r="VZT251" s="26"/>
      <c r="VZX251" s="23"/>
      <c r="WAC251" s="26"/>
      <c r="WAG251" s="23"/>
      <c r="WAL251" s="26"/>
      <c r="WAP251" s="23"/>
      <c r="WAU251" s="26"/>
      <c r="WAY251" s="23"/>
      <c r="WBD251" s="26"/>
      <c r="WBH251" s="23"/>
      <c r="WBM251" s="26"/>
      <c r="WBQ251" s="23"/>
      <c r="WBV251" s="26"/>
      <c r="WBZ251" s="23"/>
      <c r="WCE251" s="26"/>
      <c r="WCI251" s="23"/>
      <c r="WCN251" s="26"/>
      <c r="WCR251" s="23"/>
      <c r="WCW251" s="26"/>
      <c r="WDA251" s="23"/>
      <c r="WDF251" s="26"/>
      <c r="WDJ251" s="23"/>
      <c r="WDO251" s="26"/>
      <c r="WDS251" s="23"/>
      <c r="WDX251" s="26"/>
      <c r="WEB251" s="23"/>
      <c r="WEG251" s="26"/>
      <c r="WEK251" s="23"/>
      <c r="WEP251" s="26"/>
      <c r="WET251" s="23"/>
      <c r="WEY251" s="26"/>
      <c r="WFC251" s="23"/>
      <c r="WFH251" s="26"/>
      <c r="WFL251" s="23"/>
      <c r="WFQ251" s="26"/>
      <c r="WFU251" s="23"/>
      <c r="WFZ251" s="26"/>
      <c r="WGD251" s="23"/>
      <c r="WGI251" s="26"/>
      <c r="WGM251" s="23"/>
      <c r="WGR251" s="26"/>
      <c r="WGV251" s="23"/>
      <c r="WHA251" s="26"/>
      <c r="WHE251" s="23"/>
      <c r="WHJ251" s="26"/>
      <c r="WHN251" s="23"/>
      <c r="WHS251" s="26"/>
      <c r="WHW251" s="23"/>
      <c r="WIB251" s="26"/>
      <c r="WIF251" s="23"/>
      <c r="WIK251" s="26"/>
      <c r="WIO251" s="23"/>
      <c r="WIT251" s="26"/>
      <c r="WIX251" s="23"/>
      <c r="WJC251" s="26"/>
      <c r="WJG251" s="23"/>
      <c r="WJL251" s="26"/>
      <c r="WJP251" s="23"/>
      <c r="WJU251" s="26"/>
      <c r="WJY251" s="23"/>
      <c r="WKD251" s="26"/>
      <c r="WKH251" s="23"/>
      <c r="WKM251" s="26"/>
      <c r="WKQ251" s="23"/>
      <c r="WKV251" s="26"/>
      <c r="WKZ251" s="23"/>
      <c r="WLE251" s="26"/>
      <c r="WLI251" s="23"/>
      <c r="WLN251" s="26"/>
      <c r="WLR251" s="23"/>
      <c r="WLW251" s="26"/>
      <c r="WMA251" s="23"/>
      <c r="WMF251" s="26"/>
      <c r="WMJ251" s="23"/>
      <c r="WMO251" s="26"/>
      <c r="WMS251" s="23"/>
      <c r="WMX251" s="26"/>
      <c r="WNB251" s="23"/>
      <c r="WNG251" s="26"/>
      <c r="WNK251" s="23"/>
      <c r="WNP251" s="26"/>
      <c r="WNT251" s="23"/>
      <c r="WNY251" s="26"/>
      <c r="WOC251" s="23"/>
      <c r="WOH251" s="26"/>
      <c r="WOL251" s="23"/>
      <c r="WOQ251" s="26"/>
      <c r="WOU251" s="23"/>
      <c r="WOZ251" s="26"/>
      <c r="WPD251" s="23"/>
      <c r="WPI251" s="26"/>
      <c r="WPM251" s="23"/>
      <c r="WPR251" s="26"/>
      <c r="WPV251" s="23"/>
      <c r="WQA251" s="26"/>
      <c r="WQE251" s="23"/>
      <c r="WQJ251" s="26"/>
      <c r="WQN251" s="23"/>
      <c r="WQS251" s="26"/>
      <c r="WQW251" s="23"/>
      <c r="WRB251" s="26"/>
      <c r="WRF251" s="23"/>
      <c r="WRK251" s="26"/>
      <c r="WRO251" s="23"/>
      <c r="WRT251" s="26"/>
      <c r="WRX251" s="23"/>
      <c r="WSC251" s="26"/>
      <c r="WSG251" s="23"/>
      <c r="WSL251" s="26"/>
      <c r="WSP251" s="23"/>
      <c r="WSU251" s="26"/>
      <c r="WSY251" s="23"/>
      <c r="WTD251" s="26"/>
      <c r="WTH251" s="23"/>
      <c r="WTM251" s="26"/>
      <c r="WTQ251" s="23"/>
      <c r="WTV251" s="26"/>
      <c r="WTZ251" s="23"/>
      <c r="WUE251" s="26"/>
      <c r="WUI251" s="23"/>
      <c r="WUN251" s="26"/>
      <c r="WUR251" s="23"/>
      <c r="WUW251" s="26"/>
      <c r="WVA251" s="23"/>
      <c r="WVF251" s="26"/>
      <c r="WVJ251" s="23"/>
      <c r="WVO251" s="26"/>
      <c r="WVS251" s="23"/>
      <c r="WVX251" s="26"/>
      <c r="WWB251" s="23"/>
      <c r="WWG251" s="26"/>
      <c r="WWK251" s="23"/>
      <c r="WWP251" s="26"/>
      <c r="WWT251" s="23"/>
      <c r="WWY251" s="26"/>
      <c r="WXC251" s="23"/>
      <c r="WXH251" s="26"/>
      <c r="WXL251" s="23"/>
      <c r="WXQ251" s="26"/>
      <c r="WXU251" s="23"/>
      <c r="WXZ251" s="26"/>
      <c r="WYD251" s="23"/>
      <c r="WYI251" s="26"/>
      <c r="WYM251" s="23"/>
      <c r="WYR251" s="26"/>
      <c r="WYV251" s="23"/>
      <c r="WZA251" s="26"/>
      <c r="WZE251" s="23"/>
      <c r="WZJ251" s="26"/>
      <c r="WZN251" s="23"/>
      <c r="WZS251" s="26"/>
      <c r="WZW251" s="23"/>
      <c r="XAB251" s="26"/>
      <c r="XAF251" s="23"/>
      <c r="XAK251" s="26"/>
      <c r="XAO251" s="23"/>
      <c r="XAT251" s="26"/>
      <c r="XAX251" s="23"/>
      <c r="XBC251" s="26"/>
      <c r="XBG251" s="23"/>
      <c r="XBL251" s="26"/>
      <c r="XBP251" s="23"/>
      <c r="XBU251" s="26"/>
      <c r="XBY251" s="23"/>
      <c r="XCD251" s="26"/>
      <c r="XCH251" s="23"/>
      <c r="XCM251" s="26"/>
      <c r="XCQ251" s="23"/>
      <c r="XCV251" s="26"/>
      <c r="XCZ251" s="23"/>
      <c r="XDE251" s="26"/>
      <c r="XDI251" s="23"/>
      <c r="XDN251" s="26"/>
      <c r="XDR251" s="23"/>
      <c r="XDW251" s="26"/>
      <c r="XEA251" s="23"/>
      <c r="XEF251" s="26"/>
      <c r="XEJ251" s="23"/>
      <c r="XEO251" s="26"/>
      <c r="XES251" s="23"/>
      <c r="XEX251" s="26"/>
      <c r="XFB251" s="23"/>
    </row>
    <row r="252" spans="2:1024 1028:2045 2050:3071 3076:4093 4097:5119 5123:6140 6145:7166 7171:8192 8197:9214 9218:10240 10244:11261 11266:12287 12292:13309 13313:14335 14339:15356 15361:16382" x14ac:dyDescent="0.3">
      <c r="B252" s="23"/>
      <c r="K252" s="23"/>
      <c r="P252" s="26"/>
      <c r="T252" s="23"/>
      <c r="Y252" s="26"/>
      <c r="AC252" s="23"/>
      <c r="AH252" s="26"/>
      <c r="AL252" s="23"/>
      <c r="AQ252" s="26"/>
      <c r="AU252" s="23"/>
      <c r="AZ252" s="26"/>
      <c r="BD252" s="23"/>
      <c r="BI252" s="26"/>
      <c r="BM252" s="23"/>
      <c r="BR252" s="26"/>
      <c r="BV252" s="23"/>
      <c r="CA252" s="26"/>
      <c r="CE252" s="23"/>
      <c r="CJ252" s="26"/>
      <c r="CN252" s="23"/>
      <c r="CS252" s="26"/>
      <c r="CW252" s="23"/>
      <c r="DB252" s="26"/>
      <c r="DF252" s="23"/>
      <c r="DK252" s="26"/>
      <c r="DO252" s="23"/>
      <c r="DT252" s="26"/>
      <c r="DX252" s="23"/>
      <c r="EC252" s="26"/>
      <c r="EG252" s="23"/>
      <c r="EL252" s="26"/>
      <c r="EP252" s="23"/>
      <c r="EU252" s="26"/>
      <c r="EY252" s="23"/>
      <c r="FD252" s="26"/>
      <c r="FH252" s="23"/>
      <c r="FM252" s="26"/>
      <c r="FQ252" s="23"/>
      <c r="FV252" s="26"/>
      <c r="FZ252" s="23"/>
      <c r="GE252" s="26"/>
      <c r="GI252" s="23"/>
      <c r="GN252" s="26"/>
      <c r="GR252" s="23"/>
      <c r="GW252" s="26"/>
      <c r="HA252" s="23"/>
      <c r="HF252" s="26"/>
      <c r="HJ252" s="23"/>
      <c r="HO252" s="26"/>
      <c r="HS252" s="23"/>
      <c r="HX252" s="26"/>
      <c r="IB252" s="23"/>
      <c r="IG252" s="26"/>
      <c r="IK252" s="23"/>
      <c r="IP252" s="26"/>
      <c r="IT252" s="23"/>
      <c r="IY252" s="26"/>
      <c r="JC252" s="23"/>
      <c r="JH252" s="26"/>
      <c r="JL252" s="23"/>
      <c r="JQ252" s="26"/>
      <c r="JU252" s="23"/>
      <c r="JZ252" s="26"/>
      <c r="KD252" s="23"/>
      <c r="KI252" s="26"/>
      <c r="KM252" s="23"/>
      <c r="KR252" s="26"/>
      <c r="KV252" s="23"/>
      <c r="LA252" s="26"/>
      <c r="LE252" s="23"/>
      <c r="LJ252" s="26"/>
      <c r="LN252" s="23"/>
      <c r="LS252" s="26"/>
      <c r="LW252" s="23"/>
      <c r="MB252" s="26"/>
      <c r="MF252" s="23"/>
      <c r="MK252" s="26"/>
      <c r="MO252" s="23"/>
      <c r="MT252" s="26"/>
      <c r="MX252" s="23"/>
      <c r="NC252" s="26"/>
      <c r="NG252" s="23"/>
      <c r="NL252" s="26"/>
      <c r="NP252" s="23"/>
      <c r="NU252" s="26"/>
      <c r="NY252" s="23"/>
      <c r="OD252" s="26"/>
      <c r="OH252" s="23"/>
      <c r="OM252" s="26"/>
      <c r="OQ252" s="23"/>
      <c r="OV252" s="26"/>
      <c r="OZ252" s="23"/>
      <c r="PE252" s="26"/>
      <c r="PI252" s="23"/>
      <c r="PN252" s="26"/>
      <c r="PR252" s="23"/>
      <c r="PW252" s="26"/>
      <c r="QA252" s="23"/>
      <c r="QF252" s="26"/>
      <c r="QJ252" s="23"/>
      <c r="QO252" s="26"/>
      <c r="QS252" s="23"/>
      <c r="QX252" s="26"/>
      <c r="RB252" s="23"/>
      <c r="RG252" s="26"/>
      <c r="RK252" s="23"/>
      <c r="RP252" s="26"/>
      <c r="RT252" s="23"/>
      <c r="RY252" s="26"/>
      <c r="SC252" s="23"/>
      <c r="SH252" s="26"/>
      <c r="SL252" s="23"/>
      <c r="SQ252" s="26"/>
      <c r="SU252" s="23"/>
      <c r="SZ252" s="26"/>
      <c r="TD252" s="23"/>
      <c r="TI252" s="26"/>
      <c r="TM252" s="23"/>
      <c r="TR252" s="26"/>
      <c r="TV252" s="23"/>
      <c r="UA252" s="26"/>
      <c r="UE252" s="23"/>
      <c r="UJ252" s="26"/>
      <c r="UN252" s="23"/>
      <c r="US252" s="26"/>
      <c r="UW252" s="23"/>
      <c r="VB252" s="26"/>
      <c r="VF252" s="23"/>
      <c r="VK252" s="26"/>
      <c r="VO252" s="23"/>
      <c r="VT252" s="26"/>
      <c r="VX252" s="23"/>
      <c r="WC252" s="26"/>
      <c r="WG252" s="23"/>
      <c r="WL252" s="26"/>
      <c r="WP252" s="23"/>
      <c r="WU252" s="26"/>
      <c r="WY252" s="23"/>
      <c r="XD252" s="26"/>
      <c r="XH252" s="23"/>
      <c r="XM252" s="26"/>
      <c r="XQ252" s="23"/>
      <c r="XV252" s="26"/>
      <c r="XZ252" s="23"/>
      <c r="YE252" s="26"/>
      <c r="YI252" s="23"/>
      <c r="YN252" s="26"/>
      <c r="YR252" s="23"/>
      <c r="YW252" s="26"/>
      <c r="ZA252" s="23"/>
      <c r="ZF252" s="26"/>
      <c r="ZJ252" s="23"/>
      <c r="ZO252" s="26"/>
      <c r="ZS252" s="23"/>
      <c r="ZX252" s="26"/>
      <c r="AAB252" s="23"/>
      <c r="AAG252" s="26"/>
      <c r="AAK252" s="23"/>
      <c r="AAP252" s="26"/>
      <c r="AAT252" s="23"/>
      <c r="AAY252" s="26"/>
      <c r="ABC252" s="23"/>
      <c r="ABH252" s="26"/>
      <c r="ABL252" s="23"/>
      <c r="ABQ252" s="26"/>
      <c r="ABU252" s="23"/>
      <c r="ABZ252" s="26"/>
      <c r="ACD252" s="23"/>
      <c r="ACI252" s="26"/>
      <c r="ACM252" s="23"/>
      <c r="ACR252" s="26"/>
      <c r="ACV252" s="23"/>
      <c r="ADA252" s="26"/>
      <c r="ADE252" s="23"/>
      <c r="ADJ252" s="26"/>
      <c r="ADN252" s="23"/>
      <c r="ADS252" s="26"/>
      <c r="ADW252" s="23"/>
      <c r="AEB252" s="26"/>
      <c r="AEF252" s="23"/>
      <c r="AEK252" s="26"/>
      <c r="AEO252" s="23"/>
      <c r="AET252" s="26"/>
      <c r="AEX252" s="23"/>
      <c r="AFC252" s="26"/>
      <c r="AFG252" s="23"/>
      <c r="AFL252" s="26"/>
      <c r="AFP252" s="23"/>
      <c r="AFU252" s="26"/>
      <c r="AFY252" s="23"/>
      <c r="AGD252" s="26"/>
      <c r="AGH252" s="23"/>
      <c r="AGM252" s="26"/>
      <c r="AGQ252" s="23"/>
      <c r="AGV252" s="26"/>
      <c r="AGZ252" s="23"/>
      <c r="AHE252" s="26"/>
      <c r="AHI252" s="23"/>
      <c r="AHN252" s="26"/>
      <c r="AHR252" s="23"/>
      <c r="AHW252" s="26"/>
      <c r="AIA252" s="23"/>
      <c r="AIF252" s="26"/>
      <c r="AIJ252" s="23"/>
      <c r="AIO252" s="26"/>
      <c r="AIS252" s="23"/>
      <c r="AIX252" s="26"/>
      <c r="AJB252" s="23"/>
      <c r="AJG252" s="26"/>
      <c r="AJK252" s="23"/>
      <c r="AJP252" s="26"/>
      <c r="AJT252" s="23"/>
      <c r="AJY252" s="26"/>
      <c r="AKC252" s="23"/>
      <c r="AKH252" s="26"/>
      <c r="AKL252" s="23"/>
      <c r="AKQ252" s="26"/>
      <c r="AKU252" s="23"/>
      <c r="AKZ252" s="26"/>
      <c r="ALD252" s="23"/>
      <c r="ALI252" s="26"/>
      <c r="ALM252" s="23"/>
      <c r="ALR252" s="26"/>
      <c r="ALV252" s="23"/>
      <c r="AMA252" s="26"/>
      <c r="AME252" s="23"/>
      <c r="AMJ252" s="26"/>
      <c r="AMN252" s="23"/>
      <c r="AMS252" s="26"/>
      <c r="AMW252" s="23"/>
      <c r="ANB252" s="26"/>
      <c r="ANF252" s="23"/>
      <c r="ANK252" s="26"/>
      <c r="ANO252" s="23"/>
      <c r="ANT252" s="26"/>
      <c r="ANX252" s="23"/>
      <c r="AOC252" s="26"/>
      <c r="AOG252" s="23"/>
      <c r="AOL252" s="26"/>
      <c r="AOP252" s="23"/>
      <c r="AOU252" s="26"/>
      <c r="AOY252" s="23"/>
      <c r="APD252" s="26"/>
      <c r="APH252" s="23"/>
      <c r="APM252" s="26"/>
      <c r="APQ252" s="23"/>
      <c r="APV252" s="26"/>
      <c r="APZ252" s="23"/>
      <c r="AQE252" s="26"/>
      <c r="AQI252" s="23"/>
      <c r="AQN252" s="26"/>
      <c r="AQR252" s="23"/>
      <c r="AQW252" s="26"/>
      <c r="ARA252" s="23"/>
      <c r="ARF252" s="26"/>
      <c r="ARJ252" s="23"/>
      <c r="ARO252" s="26"/>
      <c r="ARS252" s="23"/>
      <c r="ARX252" s="26"/>
      <c r="ASB252" s="23"/>
      <c r="ASG252" s="26"/>
      <c r="ASK252" s="23"/>
      <c r="ASP252" s="26"/>
      <c r="AST252" s="23"/>
      <c r="ASY252" s="26"/>
      <c r="ATC252" s="23"/>
      <c r="ATH252" s="26"/>
      <c r="ATL252" s="23"/>
      <c r="ATQ252" s="26"/>
      <c r="ATU252" s="23"/>
      <c r="ATZ252" s="26"/>
      <c r="AUD252" s="23"/>
      <c r="AUI252" s="26"/>
      <c r="AUM252" s="23"/>
      <c r="AUR252" s="26"/>
      <c r="AUV252" s="23"/>
      <c r="AVA252" s="26"/>
      <c r="AVE252" s="23"/>
      <c r="AVJ252" s="26"/>
      <c r="AVN252" s="23"/>
      <c r="AVS252" s="26"/>
      <c r="AVW252" s="23"/>
      <c r="AWB252" s="26"/>
      <c r="AWF252" s="23"/>
      <c r="AWK252" s="26"/>
      <c r="AWO252" s="23"/>
      <c r="AWT252" s="26"/>
      <c r="AWX252" s="23"/>
      <c r="AXC252" s="26"/>
      <c r="AXG252" s="23"/>
      <c r="AXL252" s="26"/>
      <c r="AXP252" s="23"/>
      <c r="AXU252" s="26"/>
      <c r="AXY252" s="23"/>
      <c r="AYD252" s="26"/>
      <c r="AYH252" s="23"/>
      <c r="AYM252" s="26"/>
      <c r="AYQ252" s="23"/>
      <c r="AYV252" s="26"/>
      <c r="AYZ252" s="23"/>
      <c r="AZE252" s="26"/>
      <c r="AZI252" s="23"/>
      <c r="AZN252" s="26"/>
      <c r="AZR252" s="23"/>
      <c r="AZW252" s="26"/>
      <c r="BAA252" s="23"/>
      <c r="BAF252" s="26"/>
      <c r="BAJ252" s="23"/>
      <c r="BAO252" s="26"/>
      <c r="BAS252" s="23"/>
      <c r="BAX252" s="26"/>
      <c r="BBB252" s="23"/>
      <c r="BBG252" s="26"/>
      <c r="BBK252" s="23"/>
      <c r="BBP252" s="26"/>
      <c r="BBT252" s="23"/>
      <c r="BBY252" s="26"/>
      <c r="BCC252" s="23"/>
      <c r="BCH252" s="26"/>
      <c r="BCL252" s="23"/>
      <c r="BCQ252" s="26"/>
      <c r="BCU252" s="23"/>
      <c r="BCZ252" s="26"/>
      <c r="BDD252" s="23"/>
      <c r="BDI252" s="26"/>
      <c r="BDM252" s="23"/>
      <c r="BDR252" s="26"/>
      <c r="BDV252" s="23"/>
      <c r="BEA252" s="26"/>
      <c r="BEE252" s="23"/>
      <c r="BEJ252" s="26"/>
      <c r="BEN252" s="23"/>
      <c r="BES252" s="26"/>
      <c r="BEW252" s="23"/>
      <c r="BFB252" s="26"/>
      <c r="BFF252" s="23"/>
      <c r="BFK252" s="26"/>
      <c r="BFO252" s="23"/>
      <c r="BFT252" s="26"/>
      <c r="BFX252" s="23"/>
      <c r="BGC252" s="26"/>
      <c r="BGG252" s="23"/>
      <c r="BGL252" s="26"/>
      <c r="BGP252" s="23"/>
      <c r="BGU252" s="26"/>
      <c r="BGY252" s="23"/>
      <c r="BHD252" s="26"/>
      <c r="BHH252" s="23"/>
      <c r="BHM252" s="26"/>
      <c r="BHQ252" s="23"/>
      <c r="BHV252" s="26"/>
      <c r="BHZ252" s="23"/>
      <c r="BIE252" s="26"/>
      <c r="BII252" s="23"/>
      <c r="BIN252" s="26"/>
      <c r="BIR252" s="23"/>
      <c r="BIW252" s="26"/>
      <c r="BJA252" s="23"/>
      <c r="BJF252" s="26"/>
      <c r="BJJ252" s="23"/>
      <c r="BJO252" s="26"/>
      <c r="BJS252" s="23"/>
      <c r="BJX252" s="26"/>
      <c r="BKB252" s="23"/>
      <c r="BKG252" s="26"/>
      <c r="BKK252" s="23"/>
      <c r="BKP252" s="26"/>
      <c r="BKT252" s="23"/>
      <c r="BKY252" s="26"/>
      <c r="BLC252" s="23"/>
      <c r="BLH252" s="26"/>
      <c r="BLL252" s="23"/>
      <c r="BLQ252" s="26"/>
      <c r="BLU252" s="23"/>
      <c r="BLZ252" s="26"/>
      <c r="BMD252" s="23"/>
      <c r="BMI252" s="26"/>
      <c r="BMM252" s="23"/>
      <c r="BMR252" s="26"/>
      <c r="BMV252" s="23"/>
      <c r="BNA252" s="26"/>
      <c r="BNE252" s="23"/>
      <c r="BNJ252" s="26"/>
      <c r="BNN252" s="23"/>
      <c r="BNS252" s="26"/>
      <c r="BNW252" s="23"/>
      <c r="BOB252" s="26"/>
      <c r="BOF252" s="23"/>
      <c r="BOK252" s="26"/>
      <c r="BOO252" s="23"/>
      <c r="BOT252" s="26"/>
      <c r="BOX252" s="23"/>
      <c r="BPC252" s="26"/>
      <c r="BPG252" s="23"/>
      <c r="BPL252" s="26"/>
      <c r="BPP252" s="23"/>
      <c r="BPU252" s="26"/>
      <c r="BPY252" s="23"/>
      <c r="BQD252" s="26"/>
      <c r="BQH252" s="23"/>
      <c r="BQM252" s="26"/>
      <c r="BQQ252" s="23"/>
      <c r="BQV252" s="26"/>
      <c r="BQZ252" s="23"/>
      <c r="BRE252" s="26"/>
      <c r="BRI252" s="23"/>
      <c r="BRN252" s="26"/>
      <c r="BRR252" s="23"/>
      <c r="BRW252" s="26"/>
      <c r="BSA252" s="23"/>
      <c r="BSF252" s="26"/>
      <c r="BSJ252" s="23"/>
      <c r="BSO252" s="26"/>
      <c r="BSS252" s="23"/>
      <c r="BSX252" s="26"/>
      <c r="BTB252" s="23"/>
      <c r="BTG252" s="26"/>
      <c r="BTK252" s="23"/>
      <c r="BTP252" s="26"/>
      <c r="BTT252" s="23"/>
      <c r="BTY252" s="26"/>
      <c r="BUC252" s="23"/>
      <c r="BUH252" s="26"/>
      <c r="BUL252" s="23"/>
      <c r="BUQ252" s="26"/>
      <c r="BUU252" s="23"/>
      <c r="BUZ252" s="26"/>
      <c r="BVD252" s="23"/>
      <c r="BVI252" s="26"/>
      <c r="BVM252" s="23"/>
      <c r="BVR252" s="26"/>
      <c r="BVV252" s="23"/>
      <c r="BWA252" s="26"/>
      <c r="BWE252" s="23"/>
      <c r="BWJ252" s="26"/>
      <c r="BWN252" s="23"/>
      <c r="BWS252" s="26"/>
      <c r="BWW252" s="23"/>
      <c r="BXB252" s="26"/>
      <c r="BXF252" s="23"/>
      <c r="BXK252" s="26"/>
      <c r="BXO252" s="23"/>
      <c r="BXT252" s="26"/>
      <c r="BXX252" s="23"/>
      <c r="BYC252" s="26"/>
      <c r="BYG252" s="23"/>
      <c r="BYL252" s="26"/>
      <c r="BYP252" s="23"/>
      <c r="BYU252" s="26"/>
      <c r="BYY252" s="23"/>
      <c r="BZD252" s="26"/>
      <c r="BZH252" s="23"/>
      <c r="BZM252" s="26"/>
      <c r="BZQ252" s="23"/>
      <c r="BZV252" s="26"/>
      <c r="BZZ252" s="23"/>
      <c r="CAE252" s="26"/>
      <c r="CAI252" s="23"/>
      <c r="CAN252" s="26"/>
      <c r="CAR252" s="23"/>
      <c r="CAW252" s="26"/>
      <c r="CBA252" s="23"/>
      <c r="CBF252" s="26"/>
      <c r="CBJ252" s="23"/>
      <c r="CBO252" s="26"/>
      <c r="CBS252" s="23"/>
      <c r="CBX252" s="26"/>
      <c r="CCB252" s="23"/>
      <c r="CCG252" s="26"/>
      <c r="CCK252" s="23"/>
      <c r="CCP252" s="26"/>
      <c r="CCT252" s="23"/>
      <c r="CCY252" s="26"/>
      <c r="CDC252" s="23"/>
      <c r="CDH252" s="26"/>
      <c r="CDL252" s="23"/>
      <c r="CDQ252" s="26"/>
      <c r="CDU252" s="23"/>
      <c r="CDZ252" s="26"/>
      <c r="CED252" s="23"/>
      <c r="CEI252" s="26"/>
      <c r="CEM252" s="23"/>
      <c r="CER252" s="26"/>
      <c r="CEV252" s="23"/>
      <c r="CFA252" s="26"/>
      <c r="CFE252" s="23"/>
      <c r="CFJ252" s="26"/>
      <c r="CFN252" s="23"/>
      <c r="CFS252" s="26"/>
      <c r="CFW252" s="23"/>
      <c r="CGB252" s="26"/>
      <c r="CGF252" s="23"/>
      <c r="CGK252" s="26"/>
      <c r="CGO252" s="23"/>
      <c r="CGT252" s="26"/>
      <c r="CGX252" s="23"/>
      <c r="CHC252" s="26"/>
      <c r="CHG252" s="23"/>
      <c r="CHL252" s="26"/>
      <c r="CHP252" s="23"/>
      <c r="CHU252" s="26"/>
      <c r="CHY252" s="23"/>
      <c r="CID252" s="26"/>
      <c r="CIH252" s="23"/>
      <c r="CIM252" s="26"/>
      <c r="CIQ252" s="23"/>
      <c r="CIV252" s="26"/>
      <c r="CIZ252" s="23"/>
      <c r="CJE252" s="26"/>
      <c r="CJI252" s="23"/>
      <c r="CJN252" s="26"/>
      <c r="CJR252" s="23"/>
      <c r="CJW252" s="26"/>
      <c r="CKA252" s="23"/>
      <c r="CKF252" s="26"/>
      <c r="CKJ252" s="23"/>
      <c r="CKO252" s="26"/>
      <c r="CKS252" s="23"/>
      <c r="CKX252" s="26"/>
      <c r="CLB252" s="23"/>
      <c r="CLG252" s="26"/>
      <c r="CLK252" s="23"/>
      <c r="CLP252" s="26"/>
      <c r="CLT252" s="23"/>
      <c r="CLY252" s="26"/>
      <c r="CMC252" s="23"/>
      <c r="CMH252" s="26"/>
      <c r="CML252" s="23"/>
      <c r="CMQ252" s="26"/>
      <c r="CMU252" s="23"/>
      <c r="CMZ252" s="26"/>
      <c r="CND252" s="23"/>
      <c r="CNI252" s="26"/>
      <c r="CNM252" s="23"/>
      <c r="CNR252" s="26"/>
      <c r="CNV252" s="23"/>
      <c r="COA252" s="26"/>
      <c r="COE252" s="23"/>
      <c r="COJ252" s="26"/>
      <c r="CON252" s="23"/>
      <c r="COS252" s="26"/>
      <c r="COW252" s="23"/>
      <c r="CPB252" s="26"/>
      <c r="CPF252" s="23"/>
      <c r="CPK252" s="26"/>
      <c r="CPO252" s="23"/>
      <c r="CPT252" s="26"/>
      <c r="CPX252" s="23"/>
      <c r="CQC252" s="26"/>
      <c r="CQG252" s="23"/>
      <c r="CQL252" s="26"/>
      <c r="CQP252" s="23"/>
      <c r="CQU252" s="26"/>
      <c r="CQY252" s="23"/>
      <c r="CRD252" s="26"/>
      <c r="CRH252" s="23"/>
      <c r="CRM252" s="26"/>
      <c r="CRQ252" s="23"/>
      <c r="CRV252" s="26"/>
      <c r="CRZ252" s="23"/>
      <c r="CSE252" s="26"/>
      <c r="CSI252" s="23"/>
      <c r="CSN252" s="26"/>
      <c r="CSR252" s="23"/>
      <c r="CSW252" s="26"/>
      <c r="CTA252" s="23"/>
      <c r="CTF252" s="26"/>
      <c r="CTJ252" s="23"/>
      <c r="CTO252" s="26"/>
      <c r="CTS252" s="23"/>
      <c r="CTX252" s="26"/>
      <c r="CUB252" s="23"/>
      <c r="CUG252" s="26"/>
      <c r="CUK252" s="23"/>
      <c r="CUP252" s="26"/>
      <c r="CUT252" s="23"/>
      <c r="CUY252" s="26"/>
      <c r="CVC252" s="23"/>
      <c r="CVH252" s="26"/>
      <c r="CVL252" s="23"/>
      <c r="CVQ252" s="26"/>
      <c r="CVU252" s="23"/>
      <c r="CVZ252" s="26"/>
      <c r="CWD252" s="23"/>
      <c r="CWI252" s="26"/>
      <c r="CWM252" s="23"/>
      <c r="CWR252" s="26"/>
      <c r="CWV252" s="23"/>
      <c r="CXA252" s="26"/>
      <c r="CXE252" s="23"/>
      <c r="CXJ252" s="26"/>
      <c r="CXN252" s="23"/>
      <c r="CXS252" s="26"/>
      <c r="CXW252" s="23"/>
      <c r="CYB252" s="26"/>
      <c r="CYF252" s="23"/>
      <c r="CYK252" s="26"/>
      <c r="CYO252" s="23"/>
      <c r="CYT252" s="26"/>
      <c r="CYX252" s="23"/>
      <c r="CZC252" s="26"/>
      <c r="CZG252" s="23"/>
      <c r="CZL252" s="26"/>
      <c r="CZP252" s="23"/>
      <c r="CZU252" s="26"/>
      <c r="CZY252" s="23"/>
      <c r="DAD252" s="26"/>
      <c r="DAH252" s="23"/>
      <c r="DAM252" s="26"/>
      <c r="DAQ252" s="23"/>
      <c r="DAV252" s="26"/>
      <c r="DAZ252" s="23"/>
      <c r="DBE252" s="26"/>
      <c r="DBI252" s="23"/>
      <c r="DBN252" s="26"/>
      <c r="DBR252" s="23"/>
      <c r="DBW252" s="26"/>
      <c r="DCA252" s="23"/>
      <c r="DCF252" s="26"/>
      <c r="DCJ252" s="23"/>
      <c r="DCO252" s="26"/>
      <c r="DCS252" s="23"/>
      <c r="DCX252" s="26"/>
      <c r="DDB252" s="23"/>
      <c r="DDG252" s="26"/>
      <c r="DDK252" s="23"/>
      <c r="DDP252" s="26"/>
      <c r="DDT252" s="23"/>
      <c r="DDY252" s="26"/>
      <c r="DEC252" s="23"/>
      <c r="DEH252" s="26"/>
      <c r="DEL252" s="23"/>
      <c r="DEQ252" s="26"/>
      <c r="DEU252" s="23"/>
      <c r="DEZ252" s="26"/>
      <c r="DFD252" s="23"/>
      <c r="DFI252" s="26"/>
      <c r="DFM252" s="23"/>
      <c r="DFR252" s="26"/>
      <c r="DFV252" s="23"/>
      <c r="DGA252" s="26"/>
      <c r="DGE252" s="23"/>
      <c r="DGJ252" s="26"/>
      <c r="DGN252" s="23"/>
      <c r="DGS252" s="26"/>
      <c r="DGW252" s="23"/>
      <c r="DHB252" s="26"/>
      <c r="DHF252" s="23"/>
      <c r="DHK252" s="26"/>
      <c r="DHO252" s="23"/>
      <c r="DHT252" s="26"/>
      <c r="DHX252" s="23"/>
      <c r="DIC252" s="26"/>
      <c r="DIG252" s="23"/>
      <c r="DIL252" s="26"/>
      <c r="DIP252" s="23"/>
      <c r="DIU252" s="26"/>
      <c r="DIY252" s="23"/>
      <c r="DJD252" s="26"/>
      <c r="DJH252" s="23"/>
      <c r="DJM252" s="26"/>
      <c r="DJQ252" s="23"/>
      <c r="DJV252" s="26"/>
      <c r="DJZ252" s="23"/>
      <c r="DKE252" s="26"/>
      <c r="DKI252" s="23"/>
      <c r="DKN252" s="26"/>
      <c r="DKR252" s="23"/>
      <c r="DKW252" s="26"/>
      <c r="DLA252" s="23"/>
      <c r="DLF252" s="26"/>
      <c r="DLJ252" s="23"/>
      <c r="DLO252" s="26"/>
      <c r="DLS252" s="23"/>
      <c r="DLX252" s="26"/>
      <c r="DMB252" s="23"/>
      <c r="DMG252" s="26"/>
      <c r="DMK252" s="23"/>
      <c r="DMP252" s="26"/>
      <c r="DMT252" s="23"/>
      <c r="DMY252" s="26"/>
      <c r="DNC252" s="23"/>
      <c r="DNH252" s="26"/>
      <c r="DNL252" s="23"/>
      <c r="DNQ252" s="26"/>
      <c r="DNU252" s="23"/>
      <c r="DNZ252" s="26"/>
      <c r="DOD252" s="23"/>
      <c r="DOI252" s="26"/>
      <c r="DOM252" s="23"/>
      <c r="DOR252" s="26"/>
      <c r="DOV252" s="23"/>
      <c r="DPA252" s="26"/>
      <c r="DPE252" s="23"/>
      <c r="DPJ252" s="26"/>
      <c r="DPN252" s="23"/>
      <c r="DPS252" s="26"/>
      <c r="DPW252" s="23"/>
      <c r="DQB252" s="26"/>
      <c r="DQF252" s="23"/>
      <c r="DQK252" s="26"/>
      <c r="DQO252" s="23"/>
      <c r="DQT252" s="26"/>
      <c r="DQX252" s="23"/>
      <c r="DRC252" s="26"/>
      <c r="DRG252" s="23"/>
      <c r="DRL252" s="26"/>
      <c r="DRP252" s="23"/>
      <c r="DRU252" s="26"/>
      <c r="DRY252" s="23"/>
      <c r="DSD252" s="26"/>
      <c r="DSH252" s="23"/>
      <c r="DSM252" s="26"/>
      <c r="DSQ252" s="23"/>
      <c r="DSV252" s="26"/>
      <c r="DSZ252" s="23"/>
      <c r="DTE252" s="26"/>
      <c r="DTI252" s="23"/>
      <c r="DTN252" s="26"/>
      <c r="DTR252" s="23"/>
      <c r="DTW252" s="26"/>
      <c r="DUA252" s="23"/>
      <c r="DUF252" s="26"/>
      <c r="DUJ252" s="23"/>
      <c r="DUO252" s="26"/>
      <c r="DUS252" s="23"/>
      <c r="DUX252" s="26"/>
      <c r="DVB252" s="23"/>
      <c r="DVG252" s="26"/>
      <c r="DVK252" s="23"/>
      <c r="DVP252" s="26"/>
      <c r="DVT252" s="23"/>
      <c r="DVY252" s="26"/>
      <c r="DWC252" s="23"/>
      <c r="DWH252" s="26"/>
      <c r="DWL252" s="23"/>
      <c r="DWQ252" s="26"/>
      <c r="DWU252" s="23"/>
      <c r="DWZ252" s="26"/>
      <c r="DXD252" s="23"/>
      <c r="DXI252" s="26"/>
      <c r="DXM252" s="23"/>
      <c r="DXR252" s="26"/>
      <c r="DXV252" s="23"/>
      <c r="DYA252" s="26"/>
      <c r="DYE252" s="23"/>
      <c r="DYJ252" s="26"/>
      <c r="DYN252" s="23"/>
      <c r="DYS252" s="26"/>
      <c r="DYW252" s="23"/>
      <c r="DZB252" s="26"/>
      <c r="DZF252" s="23"/>
      <c r="DZK252" s="26"/>
      <c r="DZO252" s="23"/>
      <c r="DZT252" s="26"/>
      <c r="DZX252" s="23"/>
      <c r="EAC252" s="26"/>
      <c r="EAG252" s="23"/>
      <c r="EAL252" s="26"/>
      <c r="EAP252" s="23"/>
      <c r="EAU252" s="26"/>
      <c r="EAY252" s="23"/>
      <c r="EBD252" s="26"/>
      <c r="EBH252" s="23"/>
      <c r="EBM252" s="26"/>
      <c r="EBQ252" s="23"/>
      <c r="EBV252" s="26"/>
      <c r="EBZ252" s="23"/>
      <c r="ECE252" s="26"/>
      <c r="ECI252" s="23"/>
      <c r="ECN252" s="26"/>
      <c r="ECR252" s="23"/>
      <c r="ECW252" s="26"/>
      <c r="EDA252" s="23"/>
      <c r="EDF252" s="26"/>
      <c r="EDJ252" s="23"/>
      <c r="EDO252" s="26"/>
      <c r="EDS252" s="23"/>
      <c r="EDX252" s="26"/>
      <c r="EEB252" s="23"/>
      <c r="EEG252" s="26"/>
      <c r="EEK252" s="23"/>
      <c r="EEP252" s="26"/>
      <c r="EET252" s="23"/>
      <c r="EEY252" s="26"/>
      <c r="EFC252" s="23"/>
      <c r="EFH252" s="26"/>
      <c r="EFL252" s="23"/>
      <c r="EFQ252" s="26"/>
      <c r="EFU252" s="23"/>
      <c r="EFZ252" s="26"/>
      <c r="EGD252" s="23"/>
      <c r="EGI252" s="26"/>
      <c r="EGM252" s="23"/>
      <c r="EGR252" s="26"/>
      <c r="EGV252" s="23"/>
      <c r="EHA252" s="26"/>
      <c r="EHE252" s="23"/>
      <c r="EHJ252" s="26"/>
      <c r="EHN252" s="23"/>
      <c r="EHS252" s="26"/>
      <c r="EHW252" s="23"/>
      <c r="EIB252" s="26"/>
      <c r="EIF252" s="23"/>
      <c r="EIK252" s="26"/>
      <c r="EIO252" s="23"/>
      <c r="EIT252" s="26"/>
      <c r="EIX252" s="23"/>
      <c r="EJC252" s="26"/>
      <c r="EJG252" s="23"/>
      <c r="EJL252" s="26"/>
      <c r="EJP252" s="23"/>
      <c r="EJU252" s="26"/>
      <c r="EJY252" s="23"/>
      <c r="EKD252" s="26"/>
      <c r="EKH252" s="23"/>
      <c r="EKM252" s="26"/>
      <c r="EKQ252" s="23"/>
      <c r="EKV252" s="26"/>
      <c r="EKZ252" s="23"/>
      <c r="ELE252" s="26"/>
      <c r="ELI252" s="23"/>
      <c r="ELN252" s="26"/>
      <c r="ELR252" s="23"/>
      <c r="ELW252" s="26"/>
      <c r="EMA252" s="23"/>
      <c r="EMF252" s="26"/>
      <c r="EMJ252" s="23"/>
      <c r="EMO252" s="26"/>
      <c r="EMS252" s="23"/>
      <c r="EMX252" s="26"/>
      <c r="ENB252" s="23"/>
      <c r="ENG252" s="26"/>
      <c r="ENK252" s="23"/>
      <c r="ENP252" s="26"/>
      <c r="ENT252" s="23"/>
      <c r="ENY252" s="26"/>
      <c r="EOC252" s="23"/>
      <c r="EOH252" s="26"/>
      <c r="EOL252" s="23"/>
      <c r="EOQ252" s="26"/>
      <c r="EOU252" s="23"/>
      <c r="EOZ252" s="26"/>
      <c r="EPD252" s="23"/>
      <c r="EPI252" s="26"/>
      <c r="EPM252" s="23"/>
      <c r="EPR252" s="26"/>
      <c r="EPV252" s="23"/>
      <c r="EQA252" s="26"/>
      <c r="EQE252" s="23"/>
      <c r="EQJ252" s="26"/>
      <c r="EQN252" s="23"/>
      <c r="EQS252" s="26"/>
      <c r="EQW252" s="23"/>
      <c r="ERB252" s="26"/>
      <c r="ERF252" s="23"/>
      <c r="ERK252" s="26"/>
      <c r="ERO252" s="23"/>
      <c r="ERT252" s="26"/>
      <c r="ERX252" s="23"/>
      <c r="ESC252" s="26"/>
      <c r="ESG252" s="23"/>
      <c r="ESL252" s="26"/>
      <c r="ESP252" s="23"/>
      <c r="ESU252" s="26"/>
      <c r="ESY252" s="23"/>
      <c r="ETD252" s="26"/>
      <c r="ETH252" s="23"/>
      <c r="ETM252" s="26"/>
      <c r="ETQ252" s="23"/>
      <c r="ETV252" s="26"/>
      <c r="ETZ252" s="23"/>
      <c r="EUE252" s="26"/>
      <c r="EUI252" s="23"/>
      <c r="EUN252" s="26"/>
      <c r="EUR252" s="23"/>
      <c r="EUW252" s="26"/>
      <c r="EVA252" s="23"/>
      <c r="EVF252" s="26"/>
      <c r="EVJ252" s="23"/>
      <c r="EVO252" s="26"/>
      <c r="EVS252" s="23"/>
      <c r="EVX252" s="26"/>
      <c r="EWB252" s="23"/>
      <c r="EWG252" s="26"/>
      <c r="EWK252" s="23"/>
      <c r="EWP252" s="26"/>
      <c r="EWT252" s="23"/>
      <c r="EWY252" s="26"/>
      <c r="EXC252" s="23"/>
      <c r="EXH252" s="26"/>
      <c r="EXL252" s="23"/>
      <c r="EXQ252" s="26"/>
      <c r="EXU252" s="23"/>
      <c r="EXZ252" s="26"/>
      <c r="EYD252" s="23"/>
      <c r="EYI252" s="26"/>
      <c r="EYM252" s="23"/>
      <c r="EYR252" s="26"/>
      <c r="EYV252" s="23"/>
      <c r="EZA252" s="26"/>
      <c r="EZE252" s="23"/>
      <c r="EZJ252" s="26"/>
      <c r="EZN252" s="23"/>
      <c r="EZS252" s="26"/>
      <c r="EZW252" s="23"/>
      <c r="FAB252" s="26"/>
      <c r="FAF252" s="23"/>
      <c r="FAK252" s="26"/>
      <c r="FAO252" s="23"/>
      <c r="FAT252" s="26"/>
      <c r="FAX252" s="23"/>
      <c r="FBC252" s="26"/>
      <c r="FBG252" s="23"/>
      <c r="FBL252" s="26"/>
      <c r="FBP252" s="23"/>
      <c r="FBU252" s="26"/>
      <c r="FBY252" s="23"/>
      <c r="FCD252" s="26"/>
      <c r="FCH252" s="23"/>
      <c r="FCM252" s="26"/>
      <c r="FCQ252" s="23"/>
      <c r="FCV252" s="26"/>
      <c r="FCZ252" s="23"/>
      <c r="FDE252" s="26"/>
      <c r="FDI252" s="23"/>
      <c r="FDN252" s="26"/>
      <c r="FDR252" s="23"/>
      <c r="FDW252" s="26"/>
      <c r="FEA252" s="23"/>
      <c r="FEF252" s="26"/>
      <c r="FEJ252" s="23"/>
      <c r="FEO252" s="26"/>
      <c r="FES252" s="23"/>
      <c r="FEX252" s="26"/>
      <c r="FFB252" s="23"/>
      <c r="FFG252" s="26"/>
      <c r="FFK252" s="23"/>
      <c r="FFP252" s="26"/>
      <c r="FFT252" s="23"/>
      <c r="FFY252" s="26"/>
      <c r="FGC252" s="23"/>
      <c r="FGH252" s="26"/>
      <c r="FGL252" s="23"/>
      <c r="FGQ252" s="26"/>
      <c r="FGU252" s="23"/>
      <c r="FGZ252" s="26"/>
      <c r="FHD252" s="23"/>
      <c r="FHI252" s="26"/>
      <c r="FHM252" s="23"/>
      <c r="FHR252" s="26"/>
      <c r="FHV252" s="23"/>
      <c r="FIA252" s="26"/>
      <c r="FIE252" s="23"/>
      <c r="FIJ252" s="26"/>
      <c r="FIN252" s="23"/>
      <c r="FIS252" s="26"/>
      <c r="FIW252" s="23"/>
      <c r="FJB252" s="26"/>
      <c r="FJF252" s="23"/>
      <c r="FJK252" s="26"/>
      <c r="FJO252" s="23"/>
      <c r="FJT252" s="26"/>
      <c r="FJX252" s="23"/>
      <c r="FKC252" s="26"/>
      <c r="FKG252" s="23"/>
      <c r="FKL252" s="26"/>
      <c r="FKP252" s="23"/>
      <c r="FKU252" s="26"/>
      <c r="FKY252" s="23"/>
      <c r="FLD252" s="26"/>
      <c r="FLH252" s="23"/>
      <c r="FLM252" s="26"/>
      <c r="FLQ252" s="23"/>
      <c r="FLV252" s="26"/>
      <c r="FLZ252" s="23"/>
      <c r="FME252" s="26"/>
      <c r="FMI252" s="23"/>
      <c r="FMN252" s="26"/>
      <c r="FMR252" s="23"/>
      <c r="FMW252" s="26"/>
      <c r="FNA252" s="23"/>
      <c r="FNF252" s="26"/>
      <c r="FNJ252" s="23"/>
      <c r="FNO252" s="26"/>
      <c r="FNS252" s="23"/>
      <c r="FNX252" s="26"/>
      <c r="FOB252" s="23"/>
      <c r="FOG252" s="26"/>
      <c r="FOK252" s="23"/>
      <c r="FOP252" s="26"/>
      <c r="FOT252" s="23"/>
      <c r="FOY252" s="26"/>
      <c r="FPC252" s="23"/>
      <c r="FPH252" s="26"/>
      <c r="FPL252" s="23"/>
      <c r="FPQ252" s="26"/>
      <c r="FPU252" s="23"/>
      <c r="FPZ252" s="26"/>
      <c r="FQD252" s="23"/>
      <c r="FQI252" s="26"/>
      <c r="FQM252" s="23"/>
      <c r="FQR252" s="26"/>
      <c r="FQV252" s="23"/>
      <c r="FRA252" s="26"/>
      <c r="FRE252" s="23"/>
      <c r="FRJ252" s="26"/>
      <c r="FRN252" s="23"/>
      <c r="FRS252" s="26"/>
      <c r="FRW252" s="23"/>
      <c r="FSB252" s="26"/>
      <c r="FSF252" s="23"/>
      <c r="FSK252" s="26"/>
      <c r="FSO252" s="23"/>
      <c r="FST252" s="26"/>
      <c r="FSX252" s="23"/>
      <c r="FTC252" s="26"/>
      <c r="FTG252" s="23"/>
      <c r="FTL252" s="26"/>
      <c r="FTP252" s="23"/>
      <c r="FTU252" s="26"/>
      <c r="FTY252" s="23"/>
      <c r="FUD252" s="26"/>
      <c r="FUH252" s="23"/>
      <c r="FUM252" s="26"/>
      <c r="FUQ252" s="23"/>
      <c r="FUV252" s="26"/>
      <c r="FUZ252" s="23"/>
      <c r="FVE252" s="26"/>
      <c r="FVI252" s="23"/>
      <c r="FVN252" s="26"/>
      <c r="FVR252" s="23"/>
      <c r="FVW252" s="26"/>
      <c r="FWA252" s="23"/>
      <c r="FWF252" s="26"/>
      <c r="FWJ252" s="23"/>
      <c r="FWO252" s="26"/>
      <c r="FWS252" s="23"/>
      <c r="FWX252" s="26"/>
      <c r="FXB252" s="23"/>
      <c r="FXG252" s="26"/>
      <c r="FXK252" s="23"/>
      <c r="FXP252" s="26"/>
      <c r="FXT252" s="23"/>
      <c r="FXY252" s="26"/>
      <c r="FYC252" s="23"/>
      <c r="FYH252" s="26"/>
      <c r="FYL252" s="23"/>
      <c r="FYQ252" s="26"/>
      <c r="FYU252" s="23"/>
      <c r="FYZ252" s="26"/>
      <c r="FZD252" s="23"/>
      <c r="FZI252" s="26"/>
      <c r="FZM252" s="23"/>
      <c r="FZR252" s="26"/>
      <c r="FZV252" s="23"/>
      <c r="GAA252" s="26"/>
      <c r="GAE252" s="23"/>
      <c r="GAJ252" s="26"/>
      <c r="GAN252" s="23"/>
      <c r="GAS252" s="26"/>
      <c r="GAW252" s="23"/>
      <c r="GBB252" s="26"/>
      <c r="GBF252" s="23"/>
      <c r="GBK252" s="26"/>
      <c r="GBO252" s="23"/>
      <c r="GBT252" s="26"/>
      <c r="GBX252" s="23"/>
      <c r="GCC252" s="26"/>
      <c r="GCG252" s="23"/>
      <c r="GCL252" s="26"/>
      <c r="GCP252" s="23"/>
      <c r="GCU252" s="26"/>
      <c r="GCY252" s="23"/>
      <c r="GDD252" s="26"/>
      <c r="GDH252" s="23"/>
      <c r="GDM252" s="26"/>
      <c r="GDQ252" s="23"/>
      <c r="GDV252" s="26"/>
      <c r="GDZ252" s="23"/>
      <c r="GEE252" s="26"/>
      <c r="GEI252" s="23"/>
      <c r="GEN252" s="26"/>
      <c r="GER252" s="23"/>
      <c r="GEW252" s="26"/>
      <c r="GFA252" s="23"/>
      <c r="GFF252" s="26"/>
      <c r="GFJ252" s="23"/>
      <c r="GFO252" s="26"/>
      <c r="GFS252" s="23"/>
      <c r="GFX252" s="26"/>
      <c r="GGB252" s="23"/>
      <c r="GGG252" s="26"/>
      <c r="GGK252" s="23"/>
      <c r="GGP252" s="26"/>
      <c r="GGT252" s="23"/>
      <c r="GGY252" s="26"/>
      <c r="GHC252" s="23"/>
      <c r="GHH252" s="26"/>
      <c r="GHL252" s="23"/>
      <c r="GHQ252" s="26"/>
      <c r="GHU252" s="23"/>
      <c r="GHZ252" s="26"/>
      <c r="GID252" s="23"/>
      <c r="GII252" s="26"/>
      <c r="GIM252" s="23"/>
      <c r="GIR252" s="26"/>
      <c r="GIV252" s="23"/>
      <c r="GJA252" s="26"/>
      <c r="GJE252" s="23"/>
      <c r="GJJ252" s="26"/>
      <c r="GJN252" s="23"/>
      <c r="GJS252" s="26"/>
      <c r="GJW252" s="23"/>
      <c r="GKB252" s="26"/>
      <c r="GKF252" s="23"/>
      <c r="GKK252" s="26"/>
      <c r="GKO252" s="23"/>
      <c r="GKT252" s="26"/>
      <c r="GKX252" s="23"/>
      <c r="GLC252" s="26"/>
      <c r="GLG252" s="23"/>
      <c r="GLL252" s="26"/>
      <c r="GLP252" s="23"/>
      <c r="GLU252" s="26"/>
      <c r="GLY252" s="23"/>
      <c r="GMD252" s="26"/>
      <c r="GMH252" s="23"/>
      <c r="GMM252" s="26"/>
      <c r="GMQ252" s="23"/>
      <c r="GMV252" s="26"/>
      <c r="GMZ252" s="23"/>
      <c r="GNE252" s="26"/>
      <c r="GNI252" s="23"/>
      <c r="GNN252" s="26"/>
      <c r="GNR252" s="23"/>
      <c r="GNW252" s="26"/>
      <c r="GOA252" s="23"/>
      <c r="GOF252" s="26"/>
      <c r="GOJ252" s="23"/>
      <c r="GOO252" s="26"/>
      <c r="GOS252" s="23"/>
      <c r="GOX252" s="26"/>
      <c r="GPB252" s="23"/>
      <c r="GPG252" s="26"/>
      <c r="GPK252" s="23"/>
      <c r="GPP252" s="26"/>
      <c r="GPT252" s="23"/>
      <c r="GPY252" s="26"/>
      <c r="GQC252" s="23"/>
      <c r="GQH252" s="26"/>
      <c r="GQL252" s="23"/>
      <c r="GQQ252" s="26"/>
      <c r="GQU252" s="23"/>
      <c r="GQZ252" s="26"/>
      <c r="GRD252" s="23"/>
      <c r="GRI252" s="26"/>
      <c r="GRM252" s="23"/>
      <c r="GRR252" s="26"/>
      <c r="GRV252" s="23"/>
      <c r="GSA252" s="26"/>
      <c r="GSE252" s="23"/>
      <c r="GSJ252" s="26"/>
      <c r="GSN252" s="23"/>
      <c r="GSS252" s="26"/>
      <c r="GSW252" s="23"/>
      <c r="GTB252" s="26"/>
      <c r="GTF252" s="23"/>
      <c r="GTK252" s="26"/>
      <c r="GTO252" s="23"/>
      <c r="GTT252" s="26"/>
      <c r="GTX252" s="23"/>
      <c r="GUC252" s="26"/>
      <c r="GUG252" s="23"/>
      <c r="GUL252" s="26"/>
      <c r="GUP252" s="23"/>
      <c r="GUU252" s="26"/>
      <c r="GUY252" s="23"/>
      <c r="GVD252" s="26"/>
      <c r="GVH252" s="23"/>
      <c r="GVM252" s="26"/>
      <c r="GVQ252" s="23"/>
      <c r="GVV252" s="26"/>
      <c r="GVZ252" s="23"/>
      <c r="GWE252" s="26"/>
      <c r="GWI252" s="23"/>
      <c r="GWN252" s="26"/>
      <c r="GWR252" s="23"/>
      <c r="GWW252" s="26"/>
      <c r="GXA252" s="23"/>
      <c r="GXF252" s="26"/>
      <c r="GXJ252" s="23"/>
      <c r="GXO252" s="26"/>
      <c r="GXS252" s="23"/>
      <c r="GXX252" s="26"/>
      <c r="GYB252" s="23"/>
      <c r="GYG252" s="26"/>
      <c r="GYK252" s="23"/>
      <c r="GYP252" s="26"/>
      <c r="GYT252" s="23"/>
      <c r="GYY252" s="26"/>
      <c r="GZC252" s="23"/>
      <c r="GZH252" s="26"/>
      <c r="GZL252" s="23"/>
      <c r="GZQ252" s="26"/>
      <c r="GZU252" s="23"/>
      <c r="GZZ252" s="26"/>
      <c r="HAD252" s="23"/>
      <c r="HAI252" s="26"/>
      <c r="HAM252" s="23"/>
      <c r="HAR252" s="26"/>
      <c r="HAV252" s="23"/>
      <c r="HBA252" s="26"/>
      <c r="HBE252" s="23"/>
      <c r="HBJ252" s="26"/>
      <c r="HBN252" s="23"/>
      <c r="HBS252" s="26"/>
      <c r="HBW252" s="23"/>
      <c r="HCB252" s="26"/>
      <c r="HCF252" s="23"/>
      <c r="HCK252" s="26"/>
      <c r="HCO252" s="23"/>
      <c r="HCT252" s="26"/>
      <c r="HCX252" s="23"/>
      <c r="HDC252" s="26"/>
      <c r="HDG252" s="23"/>
      <c r="HDL252" s="26"/>
      <c r="HDP252" s="23"/>
      <c r="HDU252" s="26"/>
      <c r="HDY252" s="23"/>
      <c r="HED252" s="26"/>
      <c r="HEH252" s="23"/>
      <c r="HEM252" s="26"/>
      <c r="HEQ252" s="23"/>
      <c r="HEV252" s="26"/>
      <c r="HEZ252" s="23"/>
      <c r="HFE252" s="26"/>
      <c r="HFI252" s="23"/>
      <c r="HFN252" s="26"/>
      <c r="HFR252" s="23"/>
      <c r="HFW252" s="26"/>
      <c r="HGA252" s="23"/>
      <c r="HGF252" s="26"/>
      <c r="HGJ252" s="23"/>
      <c r="HGO252" s="26"/>
      <c r="HGS252" s="23"/>
      <c r="HGX252" s="26"/>
      <c r="HHB252" s="23"/>
      <c r="HHG252" s="26"/>
      <c r="HHK252" s="23"/>
      <c r="HHP252" s="26"/>
      <c r="HHT252" s="23"/>
      <c r="HHY252" s="26"/>
      <c r="HIC252" s="23"/>
      <c r="HIH252" s="26"/>
      <c r="HIL252" s="23"/>
      <c r="HIQ252" s="26"/>
      <c r="HIU252" s="23"/>
      <c r="HIZ252" s="26"/>
      <c r="HJD252" s="23"/>
      <c r="HJI252" s="26"/>
      <c r="HJM252" s="23"/>
      <c r="HJR252" s="26"/>
      <c r="HJV252" s="23"/>
      <c r="HKA252" s="26"/>
      <c r="HKE252" s="23"/>
      <c r="HKJ252" s="26"/>
      <c r="HKN252" s="23"/>
      <c r="HKS252" s="26"/>
      <c r="HKW252" s="23"/>
      <c r="HLB252" s="26"/>
      <c r="HLF252" s="23"/>
      <c r="HLK252" s="26"/>
      <c r="HLO252" s="23"/>
      <c r="HLT252" s="26"/>
      <c r="HLX252" s="23"/>
      <c r="HMC252" s="26"/>
      <c r="HMG252" s="23"/>
      <c r="HML252" s="26"/>
      <c r="HMP252" s="23"/>
      <c r="HMU252" s="26"/>
      <c r="HMY252" s="23"/>
      <c r="HND252" s="26"/>
      <c r="HNH252" s="23"/>
      <c r="HNM252" s="26"/>
      <c r="HNQ252" s="23"/>
      <c r="HNV252" s="26"/>
      <c r="HNZ252" s="23"/>
      <c r="HOE252" s="26"/>
      <c r="HOI252" s="23"/>
      <c r="HON252" s="26"/>
      <c r="HOR252" s="23"/>
      <c r="HOW252" s="26"/>
      <c r="HPA252" s="23"/>
      <c r="HPF252" s="26"/>
      <c r="HPJ252" s="23"/>
      <c r="HPO252" s="26"/>
      <c r="HPS252" s="23"/>
      <c r="HPX252" s="26"/>
      <c r="HQB252" s="23"/>
      <c r="HQG252" s="26"/>
      <c r="HQK252" s="23"/>
      <c r="HQP252" s="26"/>
      <c r="HQT252" s="23"/>
      <c r="HQY252" s="26"/>
      <c r="HRC252" s="23"/>
      <c r="HRH252" s="26"/>
      <c r="HRL252" s="23"/>
      <c r="HRQ252" s="26"/>
      <c r="HRU252" s="23"/>
      <c r="HRZ252" s="26"/>
      <c r="HSD252" s="23"/>
      <c r="HSI252" s="26"/>
      <c r="HSM252" s="23"/>
      <c r="HSR252" s="26"/>
      <c r="HSV252" s="23"/>
      <c r="HTA252" s="26"/>
      <c r="HTE252" s="23"/>
      <c r="HTJ252" s="26"/>
      <c r="HTN252" s="23"/>
      <c r="HTS252" s="26"/>
      <c r="HTW252" s="23"/>
      <c r="HUB252" s="26"/>
      <c r="HUF252" s="23"/>
      <c r="HUK252" s="26"/>
      <c r="HUO252" s="23"/>
      <c r="HUT252" s="26"/>
      <c r="HUX252" s="23"/>
      <c r="HVC252" s="26"/>
      <c r="HVG252" s="23"/>
      <c r="HVL252" s="26"/>
      <c r="HVP252" s="23"/>
      <c r="HVU252" s="26"/>
      <c r="HVY252" s="23"/>
      <c r="HWD252" s="26"/>
      <c r="HWH252" s="23"/>
      <c r="HWM252" s="26"/>
      <c r="HWQ252" s="23"/>
      <c r="HWV252" s="26"/>
      <c r="HWZ252" s="23"/>
      <c r="HXE252" s="26"/>
      <c r="HXI252" s="23"/>
      <c r="HXN252" s="26"/>
      <c r="HXR252" s="23"/>
      <c r="HXW252" s="26"/>
      <c r="HYA252" s="23"/>
      <c r="HYF252" s="26"/>
      <c r="HYJ252" s="23"/>
      <c r="HYO252" s="26"/>
      <c r="HYS252" s="23"/>
      <c r="HYX252" s="26"/>
      <c r="HZB252" s="23"/>
      <c r="HZG252" s="26"/>
      <c r="HZK252" s="23"/>
      <c r="HZP252" s="26"/>
      <c r="HZT252" s="23"/>
      <c r="HZY252" s="26"/>
      <c r="IAC252" s="23"/>
      <c r="IAH252" s="26"/>
      <c r="IAL252" s="23"/>
      <c r="IAQ252" s="26"/>
      <c r="IAU252" s="23"/>
      <c r="IAZ252" s="26"/>
      <c r="IBD252" s="23"/>
      <c r="IBI252" s="26"/>
      <c r="IBM252" s="23"/>
      <c r="IBR252" s="26"/>
      <c r="IBV252" s="23"/>
      <c r="ICA252" s="26"/>
      <c r="ICE252" s="23"/>
      <c r="ICJ252" s="26"/>
      <c r="ICN252" s="23"/>
      <c r="ICS252" s="26"/>
      <c r="ICW252" s="23"/>
      <c r="IDB252" s="26"/>
      <c r="IDF252" s="23"/>
      <c r="IDK252" s="26"/>
      <c r="IDO252" s="23"/>
      <c r="IDT252" s="26"/>
      <c r="IDX252" s="23"/>
      <c r="IEC252" s="26"/>
      <c r="IEG252" s="23"/>
      <c r="IEL252" s="26"/>
      <c r="IEP252" s="23"/>
      <c r="IEU252" s="26"/>
      <c r="IEY252" s="23"/>
      <c r="IFD252" s="26"/>
      <c r="IFH252" s="23"/>
      <c r="IFM252" s="26"/>
      <c r="IFQ252" s="23"/>
      <c r="IFV252" s="26"/>
      <c r="IFZ252" s="23"/>
      <c r="IGE252" s="26"/>
      <c r="IGI252" s="23"/>
      <c r="IGN252" s="26"/>
      <c r="IGR252" s="23"/>
      <c r="IGW252" s="26"/>
      <c r="IHA252" s="23"/>
      <c r="IHF252" s="26"/>
      <c r="IHJ252" s="23"/>
      <c r="IHO252" s="26"/>
      <c r="IHS252" s="23"/>
      <c r="IHX252" s="26"/>
      <c r="IIB252" s="23"/>
      <c r="IIG252" s="26"/>
      <c r="IIK252" s="23"/>
      <c r="IIP252" s="26"/>
      <c r="IIT252" s="23"/>
      <c r="IIY252" s="26"/>
      <c r="IJC252" s="23"/>
      <c r="IJH252" s="26"/>
      <c r="IJL252" s="23"/>
      <c r="IJQ252" s="26"/>
      <c r="IJU252" s="23"/>
      <c r="IJZ252" s="26"/>
      <c r="IKD252" s="23"/>
      <c r="IKI252" s="26"/>
      <c r="IKM252" s="23"/>
      <c r="IKR252" s="26"/>
      <c r="IKV252" s="23"/>
      <c r="ILA252" s="26"/>
      <c r="ILE252" s="23"/>
      <c r="ILJ252" s="26"/>
      <c r="ILN252" s="23"/>
      <c r="ILS252" s="26"/>
      <c r="ILW252" s="23"/>
      <c r="IMB252" s="26"/>
      <c r="IMF252" s="23"/>
      <c r="IMK252" s="26"/>
      <c r="IMO252" s="23"/>
      <c r="IMT252" s="26"/>
      <c r="IMX252" s="23"/>
      <c r="INC252" s="26"/>
      <c r="ING252" s="23"/>
      <c r="INL252" s="26"/>
      <c r="INP252" s="23"/>
      <c r="INU252" s="26"/>
      <c r="INY252" s="23"/>
      <c r="IOD252" s="26"/>
      <c r="IOH252" s="23"/>
      <c r="IOM252" s="26"/>
      <c r="IOQ252" s="23"/>
      <c r="IOV252" s="26"/>
      <c r="IOZ252" s="23"/>
      <c r="IPE252" s="26"/>
      <c r="IPI252" s="23"/>
      <c r="IPN252" s="26"/>
      <c r="IPR252" s="23"/>
      <c r="IPW252" s="26"/>
      <c r="IQA252" s="23"/>
      <c r="IQF252" s="26"/>
      <c r="IQJ252" s="23"/>
      <c r="IQO252" s="26"/>
      <c r="IQS252" s="23"/>
      <c r="IQX252" s="26"/>
      <c r="IRB252" s="23"/>
      <c r="IRG252" s="26"/>
      <c r="IRK252" s="23"/>
      <c r="IRP252" s="26"/>
      <c r="IRT252" s="23"/>
      <c r="IRY252" s="26"/>
      <c r="ISC252" s="23"/>
      <c r="ISH252" s="26"/>
      <c r="ISL252" s="23"/>
      <c r="ISQ252" s="26"/>
      <c r="ISU252" s="23"/>
      <c r="ISZ252" s="26"/>
      <c r="ITD252" s="23"/>
      <c r="ITI252" s="26"/>
      <c r="ITM252" s="23"/>
      <c r="ITR252" s="26"/>
      <c r="ITV252" s="23"/>
      <c r="IUA252" s="26"/>
      <c r="IUE252" s="23"/>
      <c r="IUJ252" s="26"/>
      <c r="IUN252" s="23"/>
      <c r="IUS252" s="26"/>
      <c r="IUW252" s="23"/>
      <c r="IVB252" s="26"/>
      <c r="IVF252" s="23"/>
      <c r="IVK252" s="26"/>
      <c r="IVO252" s="23"/>
      <c r="IVT252" s="26"/>
      <c r="IVX252" s="23"/>
      <c r="IWC252" s="26"/>
      <c r="IWG252" s="23"/>
      <c r="IWL252" s="26"/>
      <c r="IWP252" s="23"/>
      <c r="IWU252" s="26"/>
      <c r="IWY252" s="23"/>
      <c r="IXD252" s="26"/>
      <c r="IXH252" s="23"/>
      <c r="IXM252" s="26"/>
      <c r="IXQ252" s="23"/>
      <c r="IXV252" s="26"/>
      <c r="IXZ252" s="23"/>
      <c r="IYE252" s="26"/>
      <c r="IYI252" s="23"/>
      <c r="IYN252" s="26"/>
      <c r="IYR252" s="23"/>
      <c r="IYW252" s="26"/>
      <c r="IZA252" s="23"/>
      <c r="IZF252" s="26"/>
      <c r="IZJ252" s="23"/>
      <c r="IZO252" s="26"/>
      <c r="IZS252" s="23"/>
      <c r="IZX252" s="26"/>
      <c r="JAB252" s="23"/>
      <c r="JAG252" s="26"/>
      <c r="JAK252" s="23"/>
      <c r="JAP252" s="26"/>
      <c r="JAT252" s="23"/>
      <c r="JAY252" s="26"/>
      <c r="JBC252" s="23"/>
      <c r="JBH252" s="26"/>
      <c r="JBL252" s="23"/>
      <c r="JBQ252" s="26"/>
      <c r="JBU252" s="23"/>
      <c r="JBZ252" s="26"/>
      <c r="JCD252" s="23"/>
      <c r="JCI252" s="26"/>
      <c r="JCM252" s="23"/>
      <c r="JCR252" s="26"/>
      <c r="JCV252" s="23"/>
      <c r="JDA252" s="26"/>
      <c r="JDE252" s="23"/>
      <c r="JDJ252" s="26"/>
      <c r="JDN252" s="23"/>
      <c r="JDS252" s="26"/>
      <c r="JDW252" s="23"/>
      <c r="JEB252" s="26"/>
      <c r="JEF252" s="23"/>
      <c r="JEK252" s="26"/>
      <c r="JEO252" s="23"/>
      <c r="JET252" s="26"/>
      <c r="JEX252" s="23"/>
      <c r="JFC252" s="26"/>
      <c r="JFG252" s="23"/>
      <c r="JFL252" s="26"/>
      <c r="JFP252" s="23"/>
      <c r="JFU252" s="26"/>
      <c r="JFY252" s="23"/>
      <c r="JGD252" s="26"/>
      <c r="JGH252" s="23"/>
      <c r="JGM252" s="26"/>
      <c r="JGQ252" s="23"/>
      <c r="JGV252" s="26"/>
      <c r="JGZ252" s="23"/>
      <c r="JHE252" s="26"/>
      <c r="JHI252" s="23"/>
      <c r="JHN252" s="26"/>
      <c r="JHR252" s="23"/>
      <c r="JHW252" s="26"/>
      <c r="JIA252" s="23"/>
      <c r="JIF252" s="26"/>
      <c r="JIJ252" s="23"/>
      <c r="JIO252" s="26"/>
      <c r="JIS252" s="23"/>
      <c r="JIX252" s="26"/>
      <c r="JJB252" s="23"/>
      <c r="JJG252" s="26"/>
      <c r="JJK252" s="23"/>
      <c r="JJP252" s="26"/>
      <c r="JJT252" s="23"/>
      <c r="JJY252" s="26"/>
      <c r="JKC252" s="23"/>
      <c r="JKH252" s="26"/>
      <c r="JKL252" s="23"/>
      <c r="JKQ252" s="26"/>
      <c r="JKU252" s="23"/>
      <c r="JKZ252" s="26"/>
      <c r="JLD252" s="23"/>
      <c r="JLI252" s="26"/>
      <c r="JLM252" s="23"/>
      <c r="JLR252" s="26"/>
      <c r="JLV252" s="23"/>
      <c r="JMA252" s="26"/>
      <c r="JME252" s="23"/>
      <c r="JMJ252" s="26"/>
      <c r="JMN252" s="23"/>
      <c r="JMS252" s="26"/>
      <c r="JMW252" s="23"/>
      <c r="JNB252" s="26"/>
      <c r="JNF252" s="23"/>
      <c r="JNK252" s="26"/>
      <c r="JNO252" s="23"/>
      <c r="JNT252" s="26"/>
      <c r="JNX252" s="23"/>
      <c r="JOC252" s="26"/>
      <c r="JOG252" s="23"/>
      <c r="JOL252" s="26"/>
      <c r="JOP252" s="23"/>
      <c r="JOU252" s="26"/>
      <c r="JOY252" s="23"/>
      <c r="JPD252" s="26"/>
      <c r="JPH252" s="23"/>
      <c r="JPM252" s="26"/>
      <c r="JPQ252" s="23"/>
      <c r="JPV252" s="26"/>
      <c r="JPZ252" s="23"/>
      <c r="JQE252" s="26"/>
      <c r="JQI252" s="23"/>
      <c r="JQN252" s="26"/>
      <c r="JQR252" s="23"/>
      <c r="JQW252" s="26"/>
      <c r="JRA252" s="23"/>
      <c r="JRF252" s="26"/>
      <c r="JRJ252" s="23"/>
      <c r="JRO252" s="26"/>
      <c r="JRS252" s="23"/>
      <c r="JRX252" s="26"/>
      <c r="JSB252" s="23"/>
      <c r="JSG252" s="26"/>
      <c r="JSK252" s="23"/>
      <c r="JSP252" s="26"/>
      <c r="JST252" s="23"/>
      <c r="JSY252" s="26"/>
      <c r="JTC252" s="23"/>
      <c r="JTH252" s="26"/>
      <c r="JTL252" s="23"/>
      <c r="JTQ252" s="26"/>
      <c r="JTU252" s="23"/>
      <c r="JTZ252" s="26"/>
      <c r="JUD252" s="23"/>
      <c r="JUI252" s="26"/>
      <c r="JUM252" s="23"/>
      <c r="JUR252" s="26"/>
      <c r="JUV252" s="23"/>
      <c r="JVA252" s="26"/>
      <c r="JVE252" s="23"/>
      <c r="JVJ252" s="26"/>
      <c r="JVN252" s="23"/>
      <c r="JVS252" s="26"/>
      <c r="JVW252" s="23"/>
      <c r="JWB252" s="26"/>
      <c r="JWF252" s="23"/>
      <c r="JWK252" s="26"/>
      <c r="JWO252" s="23"/>
      <c r="JWT252" s="26"/>
      <c r="JWX252" s="23"/>
      <c r="JXC252" s="26"/>
      <c r="JXG252" s="23"/>
      <c r="JXL252" s="26"/>
      <c r="JXP252" s="23"/>
      <c r="JXU252" s="26"/>
      <c r="JXY252" s="23"/>
      <c r="JYD252" s="26"/>
      <c r="JYH252" s="23"/>
      <c r="JYM252" s="26"/>
      <c r="JYQ252" s="23"/>
      <c r="JYV252" s="26"/>
      <c r="JYZ252" s="23"/>
      <c r="JZE252" s="26"/>
      <c r="JZI252" s="23"/>
      <c r="JZN252" s="26"/>
      <c r="JZR252" s="23"/>
      <c r="JZW252" s="26"/>
      <c r="KAA252" s="23"/>
      <c r="KAF252" s="26"/>
      <c r="KAJ252" s="23"/>
      <c r="KAO252" s="26"/>
      <c r="KAS252" s="23"/>
      <c r="KAX252" s="26"/>
      <c r="KBB252" s="23"/>
      <c r="KBG252" s="26"/>
      <c r="KBK252" s="23"/>
      <c r="KBP252" s="26"/>
      <c r="KBT252" s="23"/>
      <c r="KBY252" s="26"/>
      <c r="KCC252" s="23"/>
      <c r="KCH252" s="26"/>
      <c r="KCL252" s="23"/>
      <c r="KCQ252" s="26"/>
      <c r="KCU252" s="23"/>
      <c r="KCZ252" s="26"/>
      <c r="KDD252" s="23"/>
      <c r="KDI252" s="26"/>
      <c r="KDM252" s="23"/>
      <c r="KDR252" s="26"/>
      <c r="KDV252" s="23"/>
      <c r="KEA252" s="26"/>
      <c r="KEE252" s="23"/>
      <c r="KEJ252" s="26"/>
      <c r="KEN252" s="23"/>
      <c r="KES252" s="26"/>
      <c r="KEW252" s="23"/>
      <c r="KFB252" s="26"/>
      <c r="KFF252" s="23"/>
      <c r="KFK252" s="26"/>
      <c r="KFO252" s="23"/>
      <c r="KFT252" s="26"/>
      <c r="KFX252" s="23"/>
      <c r="KGC252" s="26"/>
      <c r="KGG252" s="23"/>
      <c r="KGL252" s="26"/>
      <c r="KGP252" s="23"/>
      <c r="KGU252" s="26"/>
      <c r="KGY252" s="23"/>
      <c r="KHD252" s="26"/>
      <c r="KHH252" s="23"/>
      <c r="KHM252" s="26"/>
      <c r="KHQ252" s="23"/>
      <c r="KHV252" s="26"/>
      <c r="KHZ252" s="23"/>
      <c r="KIE252" s="26"/>
      <c r="KII252" s="23"/>
      <c r="KIN252" s="26"/>
      <c r="KIR252" s="23"/>
      <c r="KIW252" s="26"/>
      <c r="KJA252" s="23"/>
      <c r="KJF252" s="26"/>
      <c r="KJJ252" s="23"/>
      <c r="KJO252" s="26"/>
      <c r="KJS252" s="23"/>
      <c r="KJX252" s="26"/>
      <c r="KKB252" s="23"/>
      <c r="KKG252" s="26"/>
      <c r="KKK252" s="23"/>
      <c r="KKP252" s="26"/>
      <c r="KKT252" s="23"/>
      <c r="KKY252" s="26"/>
      <c r="KLC252" s="23"/>
      <c r="KLH252" s="26"/>
      <c r="KLL252" s="23"/>
      <c r="KLQ252" s="26"/>
      <c r="KLU252" s="23"/>
      <c r="KLZ252" s="26"/>
      <c r="KMD252" s="23"/>
      <c r="KMI252" s="26"/>
      <c r="KMM252" s="23"/>
      <c r="KMR252" s="26"/>
      <c r="KMV252" s="23"/>
      <c r="KNA252" s="26"/>
      <c r="KNE252" s="23"/>
      <c r="KNJ252" s="26"/>
      <c r="KNN252" s="23"/>
      <c r="KNS252" s="26"/>
      <c r="KNW252" s="23"/>
      <c r="KOB252" s="26"/>
      <c r="KOF252" s="23"/>
      <c r="KOK252" s="26"/>
      <c r="KOO252" s="23"/>
      <c r="KOT252" s="26"/>
      <c r="KOX252" s="23"/>
      <c r="KPC252" s="26"/>
      <c r="KPG252" s="23"/>
      <c r="KPL252" s="26"/>
      <c r="KPP252" s="23"/>
      <c r="KPU252" s="26"/>
      <c r="KPY252" s="23"/>
      <c r="KQD252" s="26"/>
      <c r="KQH252" s="23"/>
      <c r="KQM252" s="26"/>
      <c r="KQQ252" s="23"/>
      <c r="KQV252" s="26"/>
      <c r="KQZ252" s="23"/>
      <c r="KRE252" s="26"/>
      <c r="KRI252" s="23"/>
      <c r="KRN252" s="26"/>
      <c r="KRR252" s="23"/>
      <c r="KRW252" s="26"/>
      <c r="KSA252" s="23"/>
      <c r="KSF252" s="26"/>
      <c r="KSJ252" s="23"/>
      <c r="KSO252" s="26"/>
      <c r="KSS252" s="23"/>
      <c r="KSX252" s="26"/>
      <c r="KTB252" s="23"/>
      <c r="KTG252" s="26"/>
      <c r="KTK252" s="23"/>
      <c r="KTP252" s="26"/>
      <c r="KTT252" s="23"/>
      <c r="KTY252" s="26"/>
      <c r="KUC252" s="23"/>
      <c r="KUH252" s="26"/>
      <c r="KUL252" s="23"/>
      <c r="KUQ252" s="26"/>
      <c r="KUU252" s="23"/>
      <c r="KUZ252" s="26"/>
      <c r="KVD252" s="23"/>
      <c r="KVI252" s="26"/>
      <c r="KVM252" s="23"/>
      <c r="KVR252" s="26"/>
      <c r="KVV252" s="23"/>
      <c r="KWA252" s="26"/>
      <c r="KWE252" s="23"/>
      <c r="KWJ252" s="26"/>
      <c r="KWN252" s="23"/>
      <c r="KWS252" s="26"/>
      <c r="KWW252" s="23"/>
      <c r="KXB252" s="26"/>
      <c r="KXF252" s="23"/>
      <c r="KXK252" s="26"/>
      <c r="KXO252" s="23"/>
      <c r="KXT252" s="26"/>
      <c r="KXX252" s="23"/>
      <c r="KYC252" s="26"/>
      <c r="KYG252" s="23"/>
      <c r="KYL252" s="26"/>
      <c r="KYP252" s="23"/>
      <c r="KYU252" s="26"/>
      <c r="KYY252" s="23"/>
      <c r="KZD252" s="26"/>
      <c r="KZH252" s="23"/>
      <c r="KZM252" s="26"/>
      <c r="KZQ252" s="23"/>
      <c r="KZV252" s="26"/>
      <c r="KZZ252" s="23"/>
      <c r="LAE252" s="26"/>
      <c r="LAI252" s="23"/>
      <c r="LAN252" s="26"/>
      <c r="LAR252" s="23"/>
      <c r="LAW252" s="26"/>
      <c r="LBA252" s="23"/>
      <c r="LBF252" s="26"/>
      <c r="LBJ252" s="23"/>
      <c r="LBO252" s="26"/>
      <c r="LBS252" s="23"/>
      <c r="LBX252" s="26"/>
      <c r="LCB252" s="23"/>
      <c r="LCG252" s="26"/>
      <c r="LCK252" s="23"/>
      <c r="LCP252" s="26"/>
      <c r="LCT252" s="23"/>
      <c r="LCY252" s="26"/>
      <c r="LDC252" s="23"/>
      <c r="LDH252" s="26"/>
      <c r="LDL252" s="23"/>
      <c r="LDQ252" s="26"/>
      <c r="LDU252" s="23"/>
      <c r="LDZ252" s="26"/>
      <c r="LED252" s="23"/>
      <c r="LEI252" s="26"/>
      <c r="LEM252" s="23"/>
      <c r="LER252" s="26"/>
      <c r="LEV252" s="23"/>
      <c r="LFA252" s="26"/>
      <c r="LFE252" s="23"/>
      <c r="LFJ252" s="26"/>
      <c r="LFN252" s="23"/>
      <c r="LFS252" s="26"/>
      <c r="LFW252" s="23"/>
      <c r="LGB252" s="26"/>
      <c r="LGF252" s="23"/>
      <c r="LGK252" s="26"/>
      <c r="LGO252" s="23"/>
      <c r="LGT252" s="26"/>
      <c r="LGX252" s="23"/>
      <c r="LHC252" s="26"/>
      <c r="LHG252" s="23"/>
      <c r="LHL252" s="26"/>
      <c r="LHP252" s="23"/>
      <c r="LHU252" s="26"/>
      <c r="LHY252" s="23"/>
      <c r="LID252" s="26"/>
      <c r="LIH252" s="23"/>
      <c r="LIM252" s="26"/>
      <c r="LIQ252" s="23"/>
      <c r="LIV252" s="26"/>
      <c r="LIZ252" s="23"/>
      <c r="LJE252" s="26"/>
      <c r="LJI252" s="23"/>
      <c r="LJN252" s="26"/>
      <c r="LJR252" s="23"/>
      <c r="LJW252" s="26"/>
      <c r="LKA252" s="23"/>
      <c r="LKF252" s="26"/>
      <c r="LKJ252" s="23"/>
      <c r="LKO252" s="26"/>
      <c r="LKS252" s="23"/>
      <c r="LKX252" s="26"/>
      <c r="LLB252" s="23"/>
      <c r="LLG252" s="26"/>
      <c r="LLK252" s="23"/>
      <c r="LLP252" s="26"/>
      <c r="LLT252" s="23"/>
      <c r="LLY252" s="26"/>
      <c r="LMC252" s="23"/>
      <c r="LMH252" s="26"/>
      <c r="LML252" s="23"/>
      <c r="LMQ252" s="26"/>
      <c r="LMU252" s="23"/>
      <c r="LMZ252" s="26"/>
      <c r="LND252" s="23"/>
      <c r="LNI252" s="26"/>
      <c r="LNM252" s="23"/>
      <c r="LNR252" s="26"/>
      <c r="LNV252" s="23"/>
      <c r="LOA252" s="26"/>
      <c r="LOE252" s="23"/>
      <c r="LOJ252" s="26"/>
      <c r="LON252" s="23"/>
      <c r="LOS252" s="26"/>
      <c r="LOW252" s="23"/>
      <c r="LPB252" s="26"/>
      <c r="LPF252" s="23"/>
      <c r="LPK252" s="26"/>
      <c r="LPO252" s="23"/>
      <c r="LPT252" s="26"/>
      <c r="LPX252" s="23"/>
      <c r="LQC252" s="26"/>
      <c r="LQG252" s="23"/>
      <c r="LQL252" s="26"/>
      <c r="LQP252" s="23"/>
      <c r="LQU252" s="26"/>
      <c r="LQY252" s="23"/>
      <c r="LRD252" s="26"/>
      <c r="LRH252" s="23"/>
      <c r="LRM252" s="26"/>
      <c r="LRQ252" s="23"/>
      <c r="LRV252" s="26"/>
      <c r="LRZ252" s="23"/>
      <c r="LSE252" s="26"/>
      <c r="LSI252" s="23"/>
      <c r="LSN252" s="26"/>
      <c r="LSR252" s="23"/>
      <c r="LSW252" s="26"/>
      <c r="LTA252" s="23"/>
      <c r="LTF252" s="26"/>
      <c r="LTJ252" s="23"/>
      <c r="LTO252" s="26"/>
      <c r="LTS252" s="23"/>
      <c r="LTX252" s="26"/>
      <c r="LUB252" s="23"/>
      <c r="LUG252" s="26"/>
      <c r="LUK252" s="23"/>
      <c r="LUP252" s="26"/>
      <c r="LUT252" s="23"/>
      <c r="LUY252" s="26"/>
      <c r="LVC252" s="23"/>
      <c r="LVH252" s="26"/>
      <c r="LVL252" s="23"/>
      <c r="LVQ252" s="26"/>
      <c r="LVU252" s="23"/>
      <c r="LVZ252" s="26"/>
      <c r="LWD252" s="23"/>
      <c r="LWI252" s="26"/>
      <c r="LWM252" s="23"/>
      <c r="LWR252" s="26"/>
      <c r="LWV252" s="23"/>
      <c r="LXA252" s="26"/>
      <c r="LXE252" s="23"/>
      <c r="LXJ252" s="26"/>
      <c r="LXN252" s="23"/>
      <c r="LXS252" s="26"/>
      <c r="LXW252" s="23"/>
      <c r="LYB252" s="26"/>
      <c r="LYF252" s="23"/>
      <c r="LYK252" s="26"/>
      <c r="LYO252" s="23"/>
      <c r="LYT252" s="26"/>
      <c r="LYX252" s="23"/>
      <c r="LZC252" s="26"/>
      <c r="LZG252" s="23"/>
      <c r="LZL252" s="26"/>
      <c r="LZP252" s="23"/>
      <c r="LZU252" s="26"/>
      <c r="LZY252" s="23"/>
      <c r="MAD252" s="26"/>
      <c r="MAH252" s="23"/>
      <c r="MAM252" s="26"/>
      <c r="MAQ252" s="23"/>
      <c r="MAV252" s="26"/>
      <c r="MAZ252" s="23"/>
      <c r="MBE252" s="26"/>
      <c r="MBI252" s="23"/>
      <c r="MBN252" s="26"/>
      <c r="MBR252" s="23"/>
      <c r="MBW252" s="26"/>
      <c r="MCA252" s="23"/>
      <c r="MCF252" s="26"/>
      <c r="MCJ252" s="23"/>
      <c r="MCO252" s="26"/>
      <c r="MCS252" s="23"/>
      <c r="MCX252" s="26"/>
      <c r="MDB252" s="23"/>
      <c r="MDG252" s="26"/>
      <c r="MDK252" s="23"/>
      <c r="MDP252" s="26"/>
      <c r="MDT252" s="23"/>
      <c r="MDY252" s="26"/>
      <c r="MEC252" s="23"/>
      <c r="MEH252" s="26"/>
      <c r="MEL252" s="23"/>
      <c r="MEQ252" s="26"/>
      <c r="MEU252" s="23"/>
      <c r="MEZ252" s="26"/>
      <c r="MFD252" s="23"/>
      <c r="MFI252" s="26"/>
      <c r="MFM252" s="23"/>
      <c r="MFR252" s="26"/>
      <c r="MFV252" s="23"/>
      <c r="MGA252" s="26"/>
      <c r="MGE252" s="23"/>
      <c r="MGJ252" s="26"/>
      <c r="MGN252" s="23"/>
      <c r="MGS252" s="26"/>
      <c r="MGW252" s="23"/>
      <c r="MHB252" s="26"/>
      <c r="MHF252" s="23"/>
      <c r="MHK252" s="26"/>
      <c r="MHO252" s="23"/>
      <c r="MHT252" s="26"/>
      <c r="MHX252" s="23"/>
      <c r="MIC252" s="26"/>
      <c r="MIG252" s="23"/>
      <c r="MIL252" s="26"/>
      <c r="MIP252" s="23"/>
      <c r="MIU252" s="26"/>
      <c r="MIY252" s="23"/>
      <c r="MJD252" s="26"/>
      <c r="MJH252" s="23"/>
      <c r="MJM252" s="26"/>
      <c r="MJQ252" s="23"/>
      <c r="MJV252" s="26"/>
      <c r="MJZ252" s="23"/>
      <c r="MKE252" s="26"/>
      <c r="MKI252" s="23"/>
      <c r="MKN252" s="26"/>
      <c r="MKR252" s="23"/>
      <c r="MKW252" s="26"/>
      <c r="MLA252" s="23"/>
      <c r="MLF252" s="26"/>
      <c r="MLJ252" s="23"/>
      <c r="MLO252" s="26"/>
      <c r="MLS252" s="23"/>
      <c r="MLX252" s="26"/>
      <c r="MMB252" s="23"/>
      <c r="MMG252" s="26"/>
      <c r="MMK252" s="23"/>
      <c r="MMP252" s="26"/>
      <c r="MMT252" s="23"/>
      <c r="MMY252" s="26"/>
      <c r="MNC252" s="23"/>
      <c r="MNH252" s="26"/>
      <c r="MNL252" s="23"/>
      <c r="MNQ252" s="26"/>
      <c r="MNU252" s="23"/>
      <c r="MNZ252" s="26"/>
      <c r="MOD252" s="23"/>
      <c r="MOI252" s="26"/>
      <c r="MOM252" s="23"/>
      <c r="MOR252" s="26"/>
      <c r="MOV252" s="23"/>
      <c r="MPA252" s="26"/>
      <c r="MPE252" s="23"/>
      <c r="MPJ252" s="26"/>
      <c r="MPN252" s="23"/>
      <c r="MPS252" s="26"/>
      <c r="MPW252" s="23"/>
      <c r="MQB252" s="26"/>
      <c r="MQF252" s="23"/>
      <c r="MQK252" s="26"/>
      <c r="MQO252" s="23"/>
      <c r="MQT252" s="26"/>
      <c r="MQX252" s="23"/>
      <c r="MRC252" s="26"/>
      <c r="MRG252" s="23"/>
      <c r="MRL252" s="26"/>
      <c r="MRP252" s="23"/>
      <c r="MRU252" s="26"/>
      <c r="MRY252" s="23"/>
      <c r="MSD252" s="26"/>
      <c r="MSH252" s="23"/>
      <c r="MSM252" s="26"/>
      <c r="MSQ252" s="23"/>
      <c r="MSV252" s="26"/>
      <c r="MSZ252" s="23"/>
      <c r="MTE252" s="26"/>
      <c r="MTI252" s="23"/>
      <c r="MTN252" s="26"/>
      <c r="MTR252" s="23"/>
      <c r="MTW252" s="26"/>
      <c r="MUA252" s="23"/>
      <c r="MUF252" s="26"/>
      <c r="MUJ252" s="23"/>
      <c r="MUO252" s="26"/>
      <c r="MUS252" s="23"/>
      <c r="MUX252" s="26"/>
      <c r="MVB252" s="23"/>
      <c r="MVG252" s="26"/>
      <c r="MVK252" s="23"/>
      <c r="MVP252" s="26"/>
      <c r="MVT252" s="23"/>
      <c r="MVY252" s="26"/>
      <c r="MWC252" s="23"/>
      <c r="MWH252" s="26"/>
      <c r="MWL252" s="23"/>
      <c r="MWQ252" s="26"/>
      <c r="MWU252" s="23"/>
      <c r="MWZ252" s="26"/>
      <c r="MXD252" s="23"/>
      <c r="MXI252" s="26"/>
      <c r="MXM252" s="23"/>
      <c r="MXR252" s="26"/>
      <c r="MXV252" s="23"/>
      <c r="MYA252" s="26"/>
      <c r="MYE252" s="23"/>
      <c r="MYJ252" s="26"/>
      <c r="MYN252" s="23"/>
      <c r="MYS252" s="26"/>
      <c r="MYW252" s="23"/>
      <c r="MZB252" s="26"/>
      <c r="MZF252" s="23"/>
      <c r="MZK252" s="26"/>
      <c r="MZO252" s="23"/>
      <c r="MZT252" s="26"/>
      <c r="MZX252" s="23"/>
      <c r="NAC252" s="26"/>
      <c r="NAG252" s="23"/>
      <c r="NAL252" s="26"/>
      <c r="NAP252" s="23"/>
      <c r="NAU252" s="26"/>
      <c r="NAY252" s="23"/>
      <c r="NBD252" s="26"/>
      <c r="NBH252" s="23"/>
      <c r="NBM252" s="26"/>
      <c r="NBQ252" s="23"/>
      <c r="NBV252" s="26"/>
      <c r="NBZ252" s="23"/>
      <c r="NCE252" s="26"/>
      <c r="NCI252" s="23"/>
      <c r="NCN252" s="26"/>
      <c r="NCR252" s="23"/>
      <c r="NCW252" s="26"/>
      <c r="NDA252" s="23"/>
      <c r="NDF252" s="26"/>
      <c r="NDJ252" s="23"/>
      <c r="NDO252" s="26"/>
      <c r="NDS252" s="23"/>
      <c r="NDX252" s="26"/>
      <c r="NEB252" s="23"/>
      <c r="NEG252" s="26"/>
      <c r="NEK252" s="23"/>
      <c r="NEP252" s="26"/>
      <c r="NET252" s="23"/>
      <c r="NEY252" s="26"/>
      <c r="NFC252" s="23"/>
      <c r="NFH252" s="26"/>
      <c r="NFL252" s="23"/>
      <c r="NFQ252" s="26"/>
      <c r="NFU252" s="23"/>
      <c r="NFZ252" s="26"/>
      <c r="NGD252" s="23"/>
      <c r="NGI252" s="26"/>
      <c r="NGM252" s="23"/>
      <c r="NGR252" s="26"/>
      <c r="NGV252" s="23"/>
      <c r="NHA252" s="26"/>
      <c r="NHE252" s="23"/>
      <c r="NHJ252" s="26"/>
      <c r="NHN252" s="23"/>
      <c r="NHS252" s="26"/>
      <c r="NHW252" s="23"/>
      <c r="NIB252" s="26"/>
      <c r="NIF252" s="23"/>
      <c r="NIK252" s="26"/>
      <c r="NIO252" s="23"/>
      <c r="NIT252" s="26"/>
      <c r="NIX252" s="23"/>
      <c r="NJC252" s="26"/>
      <c r="NJG252" s="23"/>
      <c r="NJL252" s="26"/>
      <c r="NJP252" s="23"/>
      <c r="NJU252" s="26"/>
      <c r="NJY252" s="23"/>
      <c r="NKD252" s="26"/>
      <c r="NKH252" s="23"/>
      <c r="NKM252" s="26"/>
      <c r="NKQ252" s="23"/>
      <c r="NKV252" s="26"/>
      <c r="NKZ252" s="23"/>
      <c r="NLE252" s="26"/>
      <c r="NLI252" s="23"/>
      <c r="NLN252" s="26"/>
      <c r="NLR252" s="23"/>
      <c r="NLW252" s="26"/>
      <c r="NMA252" s="23"/>
      <c r="NMF252" s="26"/>
      <c r="NMJ252" s="23"/>
      <c r="NMO252" s="26"/>
      <c r="NMS252" s="23"/>
      <c r="NMX252" s="26"/>
      <c r="NNB252" s="23"/>
      <c r="NNG252" s="26"/>
      <c r="NNK252" s="23"/>
      <c r="NNP252" s="26"/>
      <c r="NNT252" s="23"/>
      <c r="NNY252" s="26"/>
      <c r="NOC252" s="23"/>
      <c r="NOH252" s="26"/>
      <c r="NOL252" s="23"/>
      <c r="NOQ252" s="26"/>
      <c r="NOU252" s="23"/>
      <c r="NOZ252" s="26"/>
      <c r="NPD252" s="23"/>
      <c r="NPI252" s="26"/>
      <c r="NPM252" s="23"/>
      <c r="NPR252" s="26"/>
      <c r="NPV252" s="23"/>
      <c r="NQA252" s="26"/>
      <c r="NQE252" s="23"/>
      <c r="NQJ252" s="26"/>
      <c r="NQN252" s="23"/>
      <c r="NQS252" s="26"/>
      <c r="NQW252" s="23"/>
      <c r="NRB252" s="26"/>
      <c r="NRF252" s="23"/>
      <c r="NRK252" s="26"/>
      <c r="NRO252" s="23"/>
      <c r="NRT252" s="26"/>
      <c r="NRX252" s="23"/>
      <c r="NSC252" s="26"/>
      <c r="NSG252" s="23"/>
      <c r="NSL252" s="26"/>
      <c r="NSP252" s="23"/>
      <c r="NSU252" s="26"/>
      <c r="NSY252" s="23"/>
      <c r="NTD252" s="26"/>
      <c r="NTH252" s="23"/>
      <c r="NTM252" s="26"/>
      <c r="NTQ252" s="23"/>
      <c r="NTV252" s="26"/>
      <c r="NTZ252" s="23"/>
      <c r="NUE252" s="26"/>
      <c r="NUI252" s="23"/>
      <c r="NUN252" s="26"/>
      <c r="NUR252" s="23"/>
      <c r="NUW252" s="26"/>
      <c r="NVA252" s="23"/>
      <c r="NVF252" s="26"/>
      <c r="NVJ252" s="23"/>
      <c r="NVO252" s="26"/>
      <c r="NVS252" s="23"/>
      <c r="NVX252" s="26"/>
      <c r="NWB252" s="23"/>
      <c r="NWG252" s="26"/>
      <c r="NWK252" s="23"/>
      <c r="NWP252" s="26"/>
      <c r="NWT252" s="23"/>
      <c r="NWY252" s="26"/>
      <c r="NXC252" s="23"/>
      <c r="NXH252" s="26"/>
      <c r="NXL252" s="23"/>
      <c r="NXQ252" s="26"/>
      <c r="NXU252" s="23"/>
      <c r="NXZ252" s="26"/>
      <c r="NYD252" s="23"/>
      <c r="NYI252" s="26"/>
      <c r="NYM252" s="23"/>
      <c r="NYR252" s="26"/>
      <c r="NYV252" s="23"/>
      <c r="NZA252" s="26"/>
      <c r="NZE252" s="23"/>
      <c r="NZJ252" s="26"/>
      <c r="NZN252" s="23"/>
      <c r="NZS252" s="26"/>
      <c r="NZW252" s="23"/>
      <c r="OAB252" s="26"/>
      <c r="OAF252" s="23"/>
      <c r="OAK252" s="26"/>
      <c r="OAO252" s="23"/>
      <c r="OAT252" s="26"/>
      <c r="OAX252" s="23"/>
      <c r="OBC252" s="26"/>
      <c r="OBG252" s="23"/>
      <c r="OBL252" s="26"/>
      <c r="OBP252" s="23"/>
      <c r="OBU252" s="26"/>
      <c r="OBY252" s="23"/>
      <c r="OCD252" s="26"/>
      <c r="OCH252" s="23"/>
      <c r="OCM252" s="26"/>
      <c r="OCQ252" s="23"/>
      <c r="OCV252" s="26"/>
      <c r="OCZ252" s="23"/>
      <c r="ODE252" s="26"/>
      <c r="ODI252" s="23"/>
      <c r="ODN252" s="26"/>
      <c r="ODR252" s="23"/>
      <c r="ODW252" s="26"/>
      <c r="OEA252" s="23"/>
      <c r="OEF252" s="26"/>
      <c r="OEJ252" s="23"/>
      <c r="OEO252" s="26"/>
      <c r="OES252" s="23"/>
      <c r="OEX252" s="26"/>
      <c r="OFB252" s="23"/>
      <c r="OFG252" s="26"/>
      <c r="OFK252" s="23"/>
      <c r="OFP252" s="26"/>
      <c r="OFT252" s="23"/>
      <c r="OFY252" s="26"/>
      <c r="OGC252" s="23"/>
      <c r="OGH252" s="26"/>
      <c r="OGL252" s="23"/>
      <c r="OGQ252" s="26"/>
      <c r="OGU252" s="23"/>
      <c r="OGZ252" s="26"/>
      <c r="OHD252" s="23"/>
      <c r="OHI252" s="26"/>
      <c r="OHM252" s="23"/>
      <c r="OHR252" s="26"/>
      <c r="OHV252" s="23"/>
      <c r="OIA252" s="26"/>
      <c r="OIE252" s="23"/>
      <c r="OIJ252" s="26"/>
      <c r="OIN252" s="23"/>
      <c r="OIS252" s="26"/>
      <c r="OIW252" s="23"/>
      <c r="OJB252" s="26"/>
      <c r="OJF252" s="23"/>
      <c r="OJK252" s="26"/>
      <c r="OJO252" s="23"/>
      <c r="OJT252" s="26"/>
      <c r="OJX252" s="23"/>
      <c r="OKC252" s="26"/>
      <c r="OKG252" s="23"/>
      <c r="OKL252" s="26"/>
      <c r="OKP252" s="23"/>
      <c r="OKU252" s="26"/>
      <c r="OKY252" s="23"/>
      <c r="OLD252" s="26"/>
      <c r="OLH252" s="23"/>
      <c r="OLM252" s="26"/>
      <c r="OLQ252" s="23"/>
      <c r="OLV252" s="26"/>
      <c r="OLZ252" s="23"/>
      <c r="OME252" s="26"/>
      <c r="OMI252" s="23"/>
      <c r="OMN252" s="26"/>
      <c r="OMR252" s="23"/>
      <c r="OMW252" s="26"/>
      <c r="ONA252" s="23"/>
      <c r="ONF252" s="26"/>
      <c r="ONJ252" s="23"/>
      <c r="ONO252" s="26"/>
      <c r="ONS252" s="23"/>
      <c r="ONX252" s="26"/>
      <c r="OOB252" s="23"/>
      <c r="OOG252" s="26"/>
      <c r="OOK252" s="23"/>
      <c r="OOP252" s="26"/>
      <c r="OOT252" s="23"/>
      <c r="OOY252" s="26"/>
      <c r="OPC252" s="23"/>
      <c r="OPH252" s="26"/>
      <c r="OPL252" s="23"/>
      <c r="OPQ252" s="26"/>
      <c r="OPU252" s="23"/>
      <c r="OPZ252" s="26"/>
      <c r="OQD252" s="23"/>
      <c r="OQI252" s="26"/>
      <c r="OQM252" s="23"/>
      <c r="OQR252" s="26"/>
      <c r="OQV252" s="23"/>
      <c r="ORA252" s="26"/>
      <c r="ORE252" s="23"/>
      <c r="ORJ252" s="26"/>
      <c r="ORN252" s="23"/>
      <c r="ORS252" s="26"/>
      <c r="ORW252" s="23"/>
      <c r="OSB252" s="26"/>
      <c r="OSF252" s="23"/>
      <c r="OSK252" s="26"/>
      <c r="OSO252" s="23"/>
      <c r="OST252" s="26"/>
      <c r="OSX252" s="23"/>
      <c r="OTC252" s="26"/>
      <c r="OTG252" s="23"/>
      <c r="OTL252" s="26"/>
      <c r="OTP252" s="23"/>
      <c r="OTU252" s="26"/>
      <c r="OTY252" s="23"/>
      <c r="OUD252" s="26"/>
      <c r="OUH252" s="23"/>
      <c r="OUM252" s="26"/>
      <c r="OUQ252" s="23"/>
      <c r="OUV252" s="26"/>
      <c r="OUZ252" s="23"/>
      <c r="OVE252" s="26"/>
      <c r="OVI252" s="23"/>
      <c r="OVN252" s="26"/>
      <c r="OVR252" s="23"/>
      <c r="OVW252" s="26"/>
      <c r="OWA252" s="23"/>
      <c r="OWF252" s="26"/>
      <c r="OWJ252" s="23"/>
      <c r="OWO252" s="26"/>
      <c r="OWS252" s="23"/>
      <c r="OWX252" s="26"/>
      <c r="OXB252" s="23"/>
      <c r="OXG252" s="26"/>
      <c r="OXK252" s="23"/>
      <c r="OXP252" s="26"/>
      <c r="OXT252" s="23"/>
      <c r="OXY252" s="26"/>
      <c r="OYC252" s="23"/>
      <c r="OYH252" s="26"/>
      <c r="OYL252" s="23"/>
      <c r="OYQ252" s="26"/>
      <c r="OYU252" s="23"/>
      <c r="OYZ252" s="26"/>
      <c r="OZD252" s="23"/>
      <c r="OZI252" s="26"/>
      <c r="OZM252" s="23"/>
      <c r="OZR252" s="26"/>
      <c r="OZV252" s="23"/>
      <c r="PAA252" s="26"/>
      <c r="PAE252" s="23"/>
      <c r="PAJ252" s="26"/>
      <c r="PAN252" s="23"/>
      <c r="PAS252" s="26"/>
      <c r="PAW252" s="23"/>
      <c r="PBB252" s="26"/>
      <c r="PBF252" s="23"/>
      <c r="PBK252" s="26"/>
      <c r="PBO252" s="23"/>
      <c r="PBT252" s="26"/>
      <c r="PBX252" s="23"/>
      <c r="PCC252" s="26"/>
      <c r="PCG252" s="23"/>
      <c r="PCL252" s="26"/>
      <c r="PCP252" s="23"/>
      <c r="PCU252" s="26"/>
      <c r="PCY252" s="23"/>
      <c r="PDD252" s="26"/>
      <c r="PDH252" s="23"/>
      <c r="PDM252" s="26"/>
      <c r="PDQ252" s="23"/>
      <c r="PDV252" s="26"/>
      <c r="PDZ252" s="23"/>
      <c r="PEE252" s="26"/>
      <c r="PEI252" s="23"/>
      <c r="PEN252" s="26"/>
      <c r="PER252" s="23"/>
      <c r="PEW252" s="26"/>
      <c r="PFA252" s="23"/>
      <c r="PFF252" s="26"/>
      <c r="PFJ252" s="23"/>
      <c r="PFO252" s="26"/>
      <c r="PFS252" s="23"/>
      <c r="PFX252" s="26"/>
      <c r="PGB252" s="23"/>
      <c r="PGG252" s="26"/>
      <c r="PGK252" s="23"/>
      <c r="PGP252" s="26"/>
      <c r="PGT252" s="23"/>
      <c r="PGY252" s="26"/>
      <c r="PHC252" s="23"/>
      <c r="PHH252" s="26"/>
      <c r="PHL252" s="23"/>
      <c r="PHQ252" s="26"/>
      <c r="PHU252" s="23"/>
      <c r="PHZ252" s="26"/>
      <c r="PID252" s="23"/>
      <c r="PII252" s="26"/>
      <c r="PIM252" s="23"/>
      <c r="PIR252" s="26"/>
      <c r="PIV252" s="23"/>
      <c r="PJA252" s="26"/>
      <c r="PJE252" s="23"/>
      <c r="PJJ252" s="26"/>
      <c r="PJN252" s="23"/>
      <c r="PJS252" s="26"/>
      <c r="PJW252" s="23"/>
      <c r="PKB252" s="26"/>
      <c r="PKF252" s="23"/>
      <c r="PKK252" s="26"/>
      <c r="PKO252" s="23"/>
      <c r="PKT252" s="26"/>
      <c r="PKX252" s="23"/>
      <c r="PLC252" s="26"/>
      <c r="PLG252" s="23"/>
      <c r="PLL252" s="26"/>
      <c r="PLP252" s="23"/>
      <c r="PLU252" s="26"/>
      <c r="PLY252" s="23"/>
      <c r="PMD252" s="26"/>
      <c r="PMH252" s="23"/>
      <c r="PMM252" s="26"/>
      <c r="PMQ252" s="23"/>
      <c r="PMV252" s="26"/>
      <c r="PMZ252" s="23"/>
      <c r="PNE252" s="26"/>
      <c r="PNI252" s="23"/>
      <c r="PNN252" s="26"/>
      <c r="PNR252" s="23"/>
      <c r="PNW252" s="26"/>
      <c r="POA252" s="23"/>
      <c r="POF252" s="26"/>
      <c r="POJ252" s="23"/>
      <c r="POO252" s="26"/>
      <c r="POS252" s="23"/>
      <c r="POX252" s="26"/>
      <c r="PPB252" s="23"/>
      <c r="PPG252" s="26"/>
      <c r="PPK252" s="23"/>
      <c r="PPP252" s="26"/>
      <c r="PPT252" s="23"/>
      <c r="PPY252" s="26"/>
      <c r="PQC252" s="23"/>
      <c r="PQH252" s="26"/>
      <c r="PQL252" s="23"/>
      <c r="PQQ252" s="26"/>
      <c r="PQU252" s="23"/>
      <c r="PQZ252" s="26"/>
      <c r="PRD252" s="23"/>
      <c r="PRI252" s="26"/>
      <c r="PRM252" s="23"/>
      <c r="PRR252" s="26"/>
      <c r="PRV252" s="23"/>
      <c r="PSA252" s="26"/>
      <c r="PSE252" s="23"/>
      <c r="PSJ252" s="26"/>
      <c r="PSN252" s="23"/>
      <c r="PSS252" s="26"/>
      <c r="PSW252" s="23"/>
      <c r="PTB252" s="26"/>
      <c r="PTF252" s="23"/>
      <c r="PTK252" s="26"/>
      <c r="PTO252" s="23"/>
      <c r="PTT252" s="26"/>
      <c r="PTX252" s="23"/>
      <c r="PUC252" s="26"/>
      <c r="PUG252" s="23"/>
      <c r="PUL252" s="26"/>
      <c r="PUP252" s="23"/>
      <c r="PUU252" s="26"/>
      <c r="PUY252" s="23"/>
      <c r="PVD252" s="26"/>
      <c r="PVH252" s="23"/>
      <c r="PVM252" s="26"/>
      <c r="PVQ252" s="23"/>
      <c r="PVV252" s="26"/>
      <c r="PVZ252" s="23"/>
      <c r="PWE252" s="26"/>
      <c r="PWI252" s="23"/>
      <c r="PWN252" s="26"/>
      <c r="PWR252" s="23"/>
      <c r="PWW252" s="26"/>
      <c r="PXA252" s="23"/>
      <c r="PXF252" s="26"/>
      <c r="PXJ252" s="23"/>
      <c r="PXO252" s="26"/>
      <c r="PXS252" s="23"/>
      <c r="PXX252" s="26"/>
      <c r="PYB252" s="23"/>
      <c r="PYG252" s="26"/>
      <c r="PYK252" s="23"/>
      <c r="PYP252" s="26"/>
      <c r="PYT252" s="23"/>
      <c r="PYY252" s="26"/>
      <c r="PZC252" s="23"/>
      <c r="PZH252" s="26"/>
      <c r="PZL252" s="23"/>
      <c r="PZQ252" s="26"/>
      <c r="PZU252" s="23"/>
      <c r="PZZ252" s="26"/>
      <c r="QAD252" s="23"/>
      <c r="QAI252" s="26"/>
      <c r="QAM252" s="23"/>
      <c r="QAR252" s="26"/>
      <c r="QAV252" s="23"/>
      <c r="QBA252" s="26"/>
      <c r="QBE252" s="23"/>
      <c r="QBJ252" s="26"/>
      <c r="QBN252" s="23"/>
      <c r="QBS252" s="26"/>
      <c r="QBW252" s="23"/>
      <c r="QCB252" s="26"/>
      <c r="QCF252" s="23"/>
      <c r="QCK252" s="26"/>
      <c r="QCO252" s="23"/>
      <c r="QCT252" s="26"/>
      <c r="QCX252" s="23"/>
      <c r="QDC252" s="26"/>
      <c r="QDG252" s="23"/>
      <c r="QDL252" s="26"/>
      <c r="QDP252" s="23"/>
      <c r="QDU252" s="26"/>
      <c r="QDY252" s="23"/>
      <c r="QED252" s="26"/>
      <c r="QEH252" s="23"/>
      <c r="QEM252" s="26"/>
      <c r="QEQ252" s="23"/>
      <c r="QEV252" s="26"/>
      <c r="QEZ252" s="23"/>
      <c r="QFE252" s="26"/>
      <c r="QFI252" s="23"/>
      <c r="QFN252" s="26"/>
      <c r="QFR252" s="23"/>
      <c r="QFW252" s="26"/>
      <c r="QGA252" s="23"/>
      <c r="QGF252" s="26"/>
      <c r="QGJ252" s="23"/>
      <c r="QGO252" s="26"/>
      <c r="QGS252" s="23"/>
      <c r="QGX252" s="26"/>
      <c r="QHB252" s="23"/>
      <c r="QHG252" s="26"/>
      <c r="QHK252" s="23"/>
      <c r="QHP252" s="26"/>
      <c r="QHT252" s="23"/>
      <c r="QHY252" s="26"/>
      <c r="QIC252" s="23"/>
      <c r="QIH252" s="26"/>
      <c r="QIL252" s="23"/>
      <c r="QIQ252" s="26"/>
      <c r="QIU252" s="23"/>
      <c r="QIZ252" s="26"/>
      <c r="QJD252" s="23"/>
      <c r="QJI252" s="26"/>
      <c r="QJM252" s="23"/>
      <c r="QJR252" s="26"/>
      <c r="QJV252" s="23"/>
      <c r="QKA252" s="26"/>
      <c r="QKE252" s="23"/>
      <c r="QKJ252" s="26"/>
      <c r="QKN252" s="23"/>
      <c r="QKS252" s="26"/>
      <c r="QKW252" s="23"/>
      <c r="QLB252" s="26"/>
      <c r="QLF252" s="23"/>
      <c r="QLK252" s="26"/>
      <c r="QLO252" s="23"/>
      <c r="QLT252" s="26"/>
      <c r="QLX252" s="23"/>
      <c r="QMC252" s="26"/>
      <c r="QMG252" s="23"/>
      <c r="QML252" s="26"/>
      <c r="QMP252" s="23"/>
      <c r="QMU252" s="26"/>
      <c r="QMY252" s="23"/>
      <c r="QND252" s="26"/>
      <c r="QNH252" s="23"/>
      <c r="QNM252" s="26"/>
      <c r="QNQ252" s="23"/>
      <c r="QNV252" s="26"/>
      <c r="QNZ252" s="23"/>
      <c r="QOE252" s="26"/>
      <c r="QOI252" s="23"/>
      <c r="QON252" s="26"/>
      <c r="QOR252" s="23"/>
      <c r="QOW252" s="26"/>
      <c r="QPA252" s="23"/>
      <c r="QPF252" s="26"/>
      <c r="QPJ252" s="23"/>
      <c r="QPO252" s="26"/>
      <c r="QPS252" s="23"/>
      <c r="QPX252" s="26"/>
      <c r="QQB252" s="23"/>
      <c r="QQG252" s="26"/>
      <c r="QQK252" s="23"/>
      <c r="QQP252" s="26"/>
      <c r="QQT252" s="23"/>
      <c r="QQY252" s="26"/>
      <c r="QRC252" s="23"/>
      <c r="QRH252" s="26"/>
      <c r="QRL252" s="23"/>
      <c r="QRQ252" s="26"/>
      <c r="QRU252" s="23"/>
      <c r="QRZ252" s="26"/>
      <c r="QSD252" s="23"/>
      <c r="QSI252" s="26"/>
      <c r="QSM252" s="23"/>
      <c r="QSR252" s="26"/>
      <c r="QSV252" s="23"/>
      <c r="QTA252" s="26"/>
      <c r="QTE252" s="23"/>
      <c r="QTJ252" s="26"/>
      <c r="QTN252" s="23"/>
      <c r="QTS252" s="26"/>
      <c r="QTW252" s="23"/>
      <c r="QUB252" s="26"/>
      <c r="QUF252" s="23"/>
      <c r="QUK252" s="26"/>
      <c r="QUO252" s="23"/>
      <c r="QUT252" s="26"/>
      <c r="QUX252" s="23"/>
      <c r="QVC252" s="26"/>
      <c r="QVG252" s="23"/>
      <c r="QVL252" s="26"/>
      <c r="QVP252" s="23"/>
      <c r="QVU252" s="26"/>
      <c r="QVY252" s="23"/>
      <c r="QWD252" s="26"/>
      <c r="QWH252" s="23"/>
      <c r="QWM252" s="26"/>
      <c r="QWQ252" s="23"/>
      <c r="QWV252" s="26"/>
      <c r="QWZ252" s="23"/>
      <c r="QXE252" s="26"/>
      <c r="QXI252" s="23"/>
      <c r="QXN252" s="26"/>
      <c r="QXR252" s="23"/>
      <c r="QXW252" s="26"/>
      <c r="QYA252" s="23"/>
      <c r="QYF252" s="26"/>
      <c r="QYJ252" s="23"/>
      <c r="QYO252" s="26"/>
      <c r="QYS252" s="23"/>
      <c r="QYX252" s="26"/>
      <c r="QZB252" s="23"/>
      <c r="QZG252" s="26"/>
      <c r="QZK252" s="23"/>
      <c r="QZP252" s="26"/>
      <c r="QZT252" s="23"/>
      <c r="QZY252" s="26"/>
      <c r="RAC252" s="23"/>
      <c r="RAH252" s="26"/>
      <c r="RAL252" s="23"/>
      <c r="RAQ252" s="26"/>
      <c r="RAU252" s="23"/>
      <c r="RAZ252" s="26"/>
      <c r="RBD252" s="23"/>
      <c r="RBI252" s="26"/>
      <c r="RBM252" s="23"/>
      <c r="RBR252" s="26"/>
      <c r="RBV252" s="23"/>
      <c r="RCA252" s="26"/>
      <c r="RCE252" s="23"/>
      <c r="RCJ252" s="26"/>
      <c r="RCN252" s="23"/>
      <c r="RCS252" s="26"/>
      <c r="RCW252" s="23"/>
      <c r="RDB252" s="26"/>
      <c r="RDF252" s="23"/>
      <c r="RDK252" s="26"/>
      <c r="RDO252" s="23"/>
      <c r="RDT252" s="26"/>
      <c r="RDX252" s="23"/>
      <c r="REC252" s="26"/>
      <c r="REG252" s="23"/>
      <c r="REL252" s="26"/>
      <c r="REP252" s="23"/>
      <c r="REU252" s="26"/>
      <c r="REY252" s="23"/>
      <c r="RFD252" s="26"/>
      <c r="RFH252" s="23"/>
      <c r="RFM252" s="26"/>
      <c r="RFQ252" s="23"/>
      <c r="RFV252" s="26"/>
      <c r="RFZ252" s="23"/>
      <c r="RGE252" s="26"/>
      <c r="RGI252" s="23"/>
      <c r="RGN252" s="26"/>
      <c r="RGR252" s="23"/>
      <c r="RGW252" s="26"/>
      <c r="RHA252" s="23"/>
      <c r="RHF252" s="26"/>
      <c r="RHJ252" s="23"/>
      <c r="RHO252" s="26"/>
      <c r="RHS252" s="23"/>
      <c r="RHX252" s="26"/>
      <c r="RIB252" s="23"/>
      <c r="RIG252" s="26"/>
      <c r="RIK252" s="23"/>
      <c r="RIP252" s="26"/>
      <c r="RIT252" s="23"/>
      <c r="RIY252" s="26"/>
      <c r="RJC252" s="23"/>
      <c r="RJH252" s="26"/>
      <c r="RJL252" s="23"/>
      <c r="RJQ252" s="26"/>
      <c r="RJU252" s="23"/>
      <c r="RJZ252" s="26"/>
      <c r="RKD252" s="23"/>
      <c r="RKI252" s="26"/>
      <c r="RKM252" s="23"/>
      <c r="RKR252" s="26"/>
      <c r="RKV252" s="23"/>
      <c r="RLA252" s="26"/>
      <c r="RLE252" s="23"/>
      <c r="RLJ252" s="26"/>
      <c r="RLN252" s="23"/>
      <c r="RLS252" s="26"/>
      <c r="RLW252" s="23"/>
      <c r="RMB252" s="26"/>
      <c r="RMF252" s="23"/>
      <c r="RMK252" s="26"/>
      <c r="RMO252" s="23"/>
      <c r="RMT252" s="26"/>
      <c r="RMX252" s="23"/>
      <c r="RNC252" s="26"/>
      <c r="RNG252" s="23"/>
      <c r="RNL252" s="26"/>
      <c r="RNP252" s="23"/>
      <c r="RNU252" s="26"/>
      <c r="RNY252" s="23"/>
      <c r="ROD252" s="26"/>
      <c r="ROH252" s="23"/>
      <c r="ROM252" s="26"/>
      <c r="ROQ252" s="23"/>
      <c r="ROV252" s="26"/>
      <c r="ROZ252" s="23"/>
      <c r="RPE252" s="26"/>
      <c r="RPI252" s="23"/>
      <c r="RPN252" s="26"/>
      <c r="RPR252" s="23"/>
      <c r="RPW252" s="26"/>
      <c r="RQA252" s="23"/>
      <c r="RQF252" s="26"/>
      <c r="RQJ252" s="23"/>
      <c r="RQO252" s="26"/>
      <c r="RQS252" s="23"/>
      <c r="RQX252" s="26"/>
      <c r="RRB252" s="23"/>
      <c r="RRG252" s="26"/>
      <c r="RRK252" s="23"/>
      <c r="RRP252" s="26"/>
      <c r="RRT252" s="23"/>
      <c r="RRY252" s="26"/>
      <c r="RSC252" s="23"/>
      <c r="RSH252" s="26"/>
      <c r="RSL252" s="23"/>
      <c r="RSQ252" s="26"/>
      <c r="RSU252" s="23"/>
      <c r="RSZ252" s="26"/>
      <c r="RTD252" s="23"/>
      <c r="RTI252" s="26"/>
      <c r="RTM252" s="23"/>
      <c r="RTR252" s="26"/>
      <c r="RTV252" s="23"/>
      <c r="RUA252" s="26"/>
      <c r="RUE252" s="23"/>
      <c r="RUJ252" s="26"/>
      <c r="RUN252" s="23"/>
      <c r="RUS252" s="26"/>
      <c r="RUW252" s="23"/>
      <c r="RVB252" s="26"/>
      <c r="RVF252" s="23"/>
      <c r="RVK252" s="26"/>
      <c r="RVO252" s="23"/>
      <c r="RVT252" s="26"/>
      <c r="RVX252" s="23"/>
      <c r="RWC252" s="26"/>
      <c r="RWG252" s="23"/>
      <c r="RWL252" s="26"/>
      <c r="RWP252" s="23"/>
      <c r="RWU252" s="26"/>
      <c r="RWY252" s="23"/>
      <c r="RXD252" s="26"/>
      <c r="RXH252" s="23"/>
      <c r="RXM252" s="26"/>
      <c r="RXQ252" s="23"/>
      <c r="RXV252" s="26"/>
      <c r="RXZ252" s="23"/>
      <c r="RYE252" s="26"/>
      <c r="RYI252" s="23"/>
      <c r="RYN252" s="26"/>
      <c r="RYR252" s="23"/>
      <c r="RYW252" s="26"/>
      <c r="RZA252" s="23"/>
      <c r="RZF252" s="26"/>
      <c r="RZJ252" s="23"/>
      <c r="RZO252" s="26"/>
      <c r="RZS252" s="23"/>
      <c r="RZX252" s="26"/>
      <c r="SAB252" s="23"/>
      <c r="SAG252" s="26"/>
      <c r="SAK252" s="23"/>
      <c r="SAP252" s="26"/>
      <c r="SAT252" s="23"/>
      <c r="SAY252" s="26"/>
      <c r="SBC252" s="23"/>
      <c r="SBH252" s="26"/>
      <c r="SBL252" s="23"/>
      <c r="SBQ252" s="26"/>
      <c r="SBU252" s="23"/>
      <c r="SBZ252" s="26"/>
      <c r="SCD252" s="23"/>
      <c r="SCI252" s="26"/>
      <c r="SCM252" s="23"/>
      <c r="SCR252" s="26"/>
      <c r="SCV252" s="23"/>
      <c r="SDA252" s="26"/>
      <c r="SDE252" s="23"/>
      <c r="SDJ252" s="26"/>
      <c r="SDN252" s="23"/>
      <c r="SDS252" s="26"/>
      <c r="SDW252" s="23"/>
      <c r="SEB252" s="26"/>
      <c r="SEF252" s="23"/>
      <c r="SEK252" s="26"/>
      <c r="SEO252" s="23"/>
      <c r="SET252" s="26"/>
      <c r="SEX252" s="23"/>
      <c r="SFC252" s="26"/>
      <c r="SFG252" s="23"/>
      <c r="SFL252" s="26"/>
      <c r="SFP252" s="23"/>
      <c r="SFU252" s="26"/>
      <c r="SFY252" s="23"/>
      <c r="SGD252" s="26"/>
      <c r="SGH252" s="23"/>
      <c r="SGM252" s="26"/>
      <c r="SGQ252" s="23"/>
      <c r="SGV252" s="26"/>
      <c r="SGZ252" s="23"/>
      <c r="SHE252" s="26"/>
      <c r="SHI252" s="23"/>
      <c r="SHN252" s="26"/>
      <c r="SHR252" s="23"/>
      <c r="SHW252" s="26"/>
      <c r="SIA252" s="23"/>
      <c r="SIF252" s="26"/>
      <c r="SIJ252" s="23"/>
      <c r="SIO252" s="26"/>
      <c r="SIS252" s="23"/>
      <c r="SIX252" s="26"/>
      <c r="SJB252" s="23"/>
      <c r="SJG252" s="26"/>
      <c r="SJK252" s="23"/>
      <c r="SJP252" s="26"/>
      <c r="SJT252" s="23"/>
      <c r="SJY252" s="26"/>
      <c r="SKC252" s="23"/>
      <c r="SKH252" s="26"/>
      <c r="SKL252" s="23"/>
      <c r="SKQ252" s="26"/>
      <c r="SKU252" s="23"/>
      <c r="SKZ252" s="26"/>
      <c r="SLD252" s="23"/>
      <c r="SLI252" s="26"/>
      <c r="SLM252" s="23"/>
      <c r="SLR252" s="26"/>
      <c r="SLV252" s="23"/>
      <c r="SMA252" s="26"/>
      <c r="SME252" s="23"/>
      <c r="SMJ252" s="26"/>
      <c r="SMN252" s="23"/>
      <c r="SMS252" s="26"/>
      <c r="SMW252" s="23"/>
      <c r="SNB252" s="26"/>
      <c r="SNF252" s="23"/>
      <c r="SNK252" s="26"/>
      <c r="SNO252" s="23"/>
      <c r="SNT252" s="26"/>
      <c r="SNX252" s="23"/>
      <c r="SOC252" s="26"/>
      <c r="SOG252" s="23"/>
      <c r="SOL252" s="26"/>
      <c r="SOP252" s="23"/>
      <c r="SOU252" s="26"/>
      <c r="SOY252" s="23"/>
      <c r="SPD252" s="26"/>
      <c r="SPH252" s="23"/>
      <c r="SPM252" s="26"/>
      <c r="SPQ252" s="23"/>
      <c r="SPV252" s="26"/>
      <c r="SPZ252" s="23"/>
      <c r="SQE252" s="26"/>
      <c r="SQI252" s="23"/>
      <c r="SQN252" s="26"/>
      <c r="SQR252" s="23"/>
      <c r="SQW252" s="26"/>
      <c r="SRA252" s="23"/>
      <c r="SRF252" s="26"/>
      <c r="SRJ252" s="23"/>
      <c r="SRO252" s="26"/>
      <c r="SRS252" s="23"/>
      <c r="SRX252" s="26"/>
      <c r="SSB252" s="23"/>
      <c r="SSG252" s="26"/>
      <c r="SSK252" s="23"/>
      <c r="SSP252" s="26"/>
      <c r="SST252" s="23"/>
      <c r="SSY252" s="26"/>
      <c r="STC252" s="23"/>
      <c r="STH252" s="26"/>
      <c r="STL252" s="23"/>
      <c r="STQ252" s="26"/>
      <c r="STU252" s="23"/>
      <c r="STZ252" s="26"/>
      <c r="SUD252" s="23"/>
      <c r="SUI252" s="26"/>
      <c r="SUM252" s="23"/>
      <c r="SUR252" s="26"/>
      <c r="SUV252" s="23"/>
      <c r="SVA252" s="26"/>
      <c r="SVE252" s="23"/>
      <c r="SVJ252" s="26"/>
      <c r="SVN252" s="23"/>
      <c r="SVS252" s="26"/>
      <c r="SVW252" s="23"/>
      <c r="SWB252" s="26"/>
      <c r="SWF252" s="23"/>
      <c r="SWK252" s="26"/>
      <c r="SWO252" s="23"/>
      <c r="SWT252" s="26"/>
      <c r="SWX252" s="23"/>
      <c r="SXC252" s="26"/>
      <c r="SXG252" s="23"/>
      <c r="SXL252" s="26"/>
      <c r="SXP252" s="23"/>
      <c r="SXU252" s="26"/>
      <c r="SXY252" s="23"/>
      <c r="SYD252" s="26"/>
      <c r="SYH252" s="23"/>
      <c r="SYM252" s="26"/>
      <c r="SYQ252" s="23"/>
      <c r="SYV252" s="26"/>
      <c r="SYZ252" s="23"/>
      <c r="SZE252" s="26"/>
      <c r="SZI252" s="23"/>
      <c r="SZN252" s="26"/>
      <c r="SZR252" s="23"/>
      <c r="SZW252" s="26"/>
      <c r="TAA252" s="23"/>
      <c r="TAF252" s="26"/>
      <c r="TAJ252" s="23"/>
      <c r="TAO252" s="26"/>
      <c r="TAS252" s="23"/>
      <c r="TAX252" s="26"/>
      <c r="TBB252" s="23"/>
      <c r="TBG252" s="26"/>
      <c r="TBK252" s="23"/>
      <c r="TBP252" s="26"/>
      <c r="TBT252" s="23"/>
      <c r="TBY252" s="26"/>
      <c r="TCC252" s="23"/>
      <c r="TCH252" s="26"/>
      <c r="TCL252" s="23"/>
      <c r="TCQ252" s="26"/>
      <c r="TCU252" s="23"/>
      <c r="TCZ252" s="26"/>
      <c r="TDD252" s="23"/>
      <c r="TDI252" s="26"/>
      <c r="TDM252" s="23"/>
      <c r="TDR252" s="26"/>
      <c r="TDV252" s="23"/>
      <c r="TEA252" s="26"/>
      <c r="TEE252" s="23"/>
      <c r="TEJ252" s="26"/>
      <c r="TEN252" s="23"/>
      <c r="TES252" s="26"/>
      <c r="TEW252" s="23"/>
      <c r="TFB252" s="26"/>
      <c r="TFF252" s="23"/>
      <c r="TFK252" s="26"/>
      <c r="TFO252" s="23"/>
      <c r="TFT252" s="26"/>
      <c r="TFX252" s="23"/>
      <c r="TGC252" s="26"/>
      <c r="TGG252" s="23"/>
      <c r="TGL252" s="26"/>
      <c r="TGP252" s="23"/>
      <c r="TGU252" s="26"/>
      <c r="TGY252" s="23"/>
      <c r="THD252" s="26"/>
      <c r="THH252" s="23"/>
      <c r="THM252" s="26"/>
      <c r="THQ252" s="23"/>
      <c r="THV252" s="26"/>
      <c r="THZ252" s="23"/>
      <c r="TIE252" s="26"/>
      <c r="TII252" s="23"/>
      <c r="TIN252" s="26"/>
      <c r="TIR252" s="23"/>
      <c r="TIW252" s="26"/>
      <c r="TJA252" s="23"/>
      <c r="TJF252" s="26"/>
      <c r="TJJ252" s="23"/>
      <c r="TJO252" s="26"/>
      <c r="TJS252" s="23"/>
      <c r="TJX252" s="26"/>
      <c r="TKB252" s="23"/>
      <c r="TKG252" s="26"/>
      <c r="TKK252" s="23"/>
      <c r="TKP252" s="26"/>
      <c r="TKT252" s="23"/>
      <c r="TKY252" s="26"/>
      <c r="TLC252" s="23"/>
      <c r="TLH252" s="26"/>
      <c r="TLL252" s="23"/>
      <c r="TLQ252" s="26"/>
      <c r="TLU252" s="23"/>
      <c r="TLZ252" s="26"/>
      <c r="TMD252" s="23"/>
      <c r="TMI252" s="26"/>
      <c r="TMM252" s="23"/>
      <c r="TMR252" s="26"/>
      <c r="TMV252" s="23"/>
      <c r="TNA252" s="26"/>
      <c r="TNE252" s="23"/>
      <c r="TNJ252" s="26"/>
      <c r="TNN252" s="23"/>
      <c r="TNS252" s="26"/>
      <c r="TNW252" s="23"/>
      <c r="TOB252" s="26"/>
      <c r="TOF252" s="23"/>
      <c r="TOK252" s="26"/>
      <c r="TOO252" s="23"/>
      <c r="TOT252" s="26"/>
      <c r="TOX252" s="23"/>
      <c r="TPC252" s="26"/>
      <c r="TPG252" s="23"/>
      <c r="TPL252" s="26"/>
      <c r="TPP252" s="23"/>
      <c r="TPU252" s="26"/>
      <c r="TPY252" s="23"/>
      <c r="TQD252" s="26"/>
      <c r="TQH252" s="23"/>
      <c r="TQM252" s="26"/>
      <c r="TQQ252" s="23"/>
      <c r="TQV252" s="26"/>
      <c r="TQZ252" s="23"/>
      <c r="TRE252" s="26"/>
      <c r="TRI252" s="23"/>
      <c r="TRN252" s="26"/>
      <c r="TRR252" s="23"/>
      <c r="TRW252" s="26"/>
      <c r="TSA252" s="23"/>
      <c r="TSF252" s="26"/>
      <c r="TSJ252" s="23"/>
      <c r="TSO252" s="26"/>
      <c r="TSS252" s="23"/>
      <c r="TSX252" s="26"/>
      <c r="TTB252" s="23"/>
      <c r="TTG252" s="26"/>
      <c r="TTK252" s="23"/>
      <c r="TTP252" s="26"/>
      <c r="TTT252" s="23"/>
      <c r="TTY252" s="26"/>
      <c r="TUC252" s="23"/>
      <c r="TUH252" s="26"/>
      <c r="TUL252" s="23"/>
      <c r="TUQ252" s="26"/>
      <c r="TUU252" s="23"/>
      <c r="TUZ252" s="26"/>
      <c r="TVD252" s="23"/>
      <c r="TVI252" s="26"/>
      <c r="TVM252" s="23"/>
      <c r="TVR252" s="26"/>
      <c r="TVV252" s="23"/>
      <c r="TWA252" s="26"/>
      <c r="TWE252" s="23"/>
      <c r="TWJ252" s="26"/>
      <c r="TWN252" s="23"/>
      <c r="TWS252" s="26"/>
      <c r="TWW252" s="23"/>
      <c r="TXB252" s="26"/>
      <c r="TXF252" s="23"/>
      <c r="TXK252" s="26"/>
      <c r="TXO252" s="23"/>
      <c r="TXT252" s="26"/>
      <c r="TXX252" s="23"/>
      <c r="TYC252" s="26"/>
      <c r="TYG252" s="23"/>
      <c r="TYL252" s="26"/>
      <c r="TYP252" s="23"/>
      <c r="TYU252" s="26"/>
      <c r="TYY252" s="23"/>
      <c r="TZD252" s="26"/>
      <c r="TZH252" s="23"/>
      <c r="TZM252" s="26"/>
      <c r="TZQ252" s="23"/>
      <c r="TZV252" s="26"/>
      <c r="TZZ252" s="23"/>
      <c r="UAE252" s="26"/>
      <c r="UAI252" s="23"/>
      <c r="UAN252" s="26"/>
      <c r="UAR252" s="23"/>
      <c r="UAW252" s="26"/>
      <c r="UBA252" s="23"/>
      <c r="UBF252" s="26"/>
      <c r="UBJ252" s="23"/>
      <c r="UBO252" s="26"/>
      <c r="UBS252" s="23"/>
      <c r="UBX252" s="26"/>
      <c r="UCB252" s="23"/>
      <c r="UCG252" s="26"/>
      <c r="UCK252" s="23"/>
      <c r="UCP252" s="26"/>
      <c r="UCT252" s="23"/>
      <c r="UCY252" s="26"/>
      <c r="UDC252" s="23"/>
      <c r="UDH252" s="26"/>
      <c r="UDL252" s="23"/>
      <c r="UDQ252" s="26"/>
      <c r="UDU252" s="23"/>
      <c r="UDZ252" s="26"/>
      <c r="UED252" s="23"/>
      <c r="UEI252" s="26"/>
      <c r="UEM252" s="23"/>
      <c r="UER252" s="26"/>
      <c r="UEV252" s="23"/>
      <c r="UFA252" s="26"/>
      <c r="UFE252" s="23"/>
      <c r="UFJ252" s="26"/>
      <c r="UFN252" s="23"/>
      <c r="UFS252" s="26"/>
      <c r="UFW252" s="23"/>
      <c r="UGB252" s="26"/>
      <c r="UGF252" s="23"/>
      <c r="UGK252" s="26"/>
      <c r="UGO252" s="23"/>
      <c r="UGT252" s="26"/>
      <c r="UGX252" s="23"/>
      <c r="UHC252" s="26"/>
      <c r="UHG252" s="23"/>
      <c r="UHL252" s="26"/>
      <c r="UHP252" s="23"/>
      <c r="UHU252" s="26"/>
      <c r="UHY252" s="23"/>
      <c r="UID252" s="26"/>
      <c r="UIH252" s="23"/>
      <c r="UIM252" s="26"/>
      <c r="UIQ252" s="23"/>
      <c r="UIV252" s="26"/>
      <c r="UIZ252" s="23"/>
      <c r="UJE252" s="26"/>
      <c r="UJI252" s="23"/>
      <c r="UJN252" s="26"/>
      <c r="UJR252" s="23"/>
      <c r="UJW252" s="26"/>
      <c r="UKA252" s="23"/>
      <c r="UKF252" s="26"/>
      <c r="UKJ252" s="23"/>
      <c r="UKO252" s="26"/>
      <c r="UKS252" s="23"/>
      <c r="UKX252" s="26"/>
      <c r="ULB252" s="23"/>
      <c r="ULG252" s="26"/>
      <c r="ULK252" s="23"/>
      <c r="ULP252" s="26"/>
      <c r="ULT252" s="23"/>
      <c r="ULY252" s="26"/>
      <c r="UMC252" s="23"/>
      <c r="UMH252" s="26"/>
      <c r="UML252" s="23"/>
      <c r="UMQ252" s="26"/>
      <c r="UMU252" s="23"/>
      <c r="UMZ252" s="26"/>
      <c r="UND252" s="23"/>
      <c r="UNI252" s="26"/>
      <c r="UNM252" s="23"/>
      <c r="UNR252" s="26"/>
      <c r="UNV252" s="23"/>
      <c r="UOA252" s="26"/>
      <c r="UOE252" s="23"/>
      <c r="UOJ252" s="26"/>
      <c r="UON252" s="23"/>
      <c r="UOS252" s="26"/>
      <c r="UOW252" s="23"/>
      <c r="UPB252" s="26"/>
      <c r="UPF252" s="23"/>
      <c r="UPK252" s="26"/>
      <c r="UPO252" s="23"/>
      <c r="UPT252" s="26"/>
      <c r="UPX252" s="23"/>
      <c r="UQC252" s="26"/>
      <c r="UQG252" s="23"/>
      <c r="UQL252" s="26"/>
      <c r="UQP252" s="23"/>
      <c r="UQU252" s="26"/>
      <c r="UQY252" s="23"/>
      <c r="URD252" s="26"/>
      <c r="URH252" s="23"/>
      <c r="URM252" s="26"/>
      <c r="URQ252" s="23"/>
      <c r="URV252" s="26"/>
      <c r="URZ252" s="23"/>
      <c r="USE252" s="26"/>
      <c r="USI252" s="23"/>
      <c r="USN252" s="26"/>
      <c r="USR252" s="23"/>
      <c r="USW252" s="26"/>
      <c r="UTA252" s="23"/>
      <c r="UTF252" s="26"/>
      <c r="UTJ252" s="23"/>
      <c r="UTO252" s="26"/>
      <c r="UTS252" s="23"/>
      <c r="UTX252" s="26"/>
      <c r="UUB252" s="23"/>
      <c r="UUG252" s="26"/>
      <c r="UUK252" s="23"/>
      <c r="UUP252" s="26"/>
      <c r="UUT252" s="23"/>
      <c r="UUY252" s="26"/>
      <c r="UVC252" s="23"/>
      <c r="UVH252" s="26"/>
      <c r="UVL252" s="23"/>
      <c r="UVQ252" s="26"/>
      <c r="UVU252" s="23"/>
      <c r="UVZ252" s="26"/>
      <c r="UWD252" s="23"/>
      <c r="UWI252" s="26"/>
      <c r="UWM252" s="23"/>
      <c r="UWR252" s="26"/>
      <c r="UWV252" s="23"/>
      <c r="UXA252" s="26"/>
      <c r="UXE252" s="23"/>
      <c r="UXJ252" s="26"/>
      <c r="UXN252" s="23"/>
      <c r="UXS252" s="26"/>
      <c r="UXW252" s="23"/>
      <c r="UYB252" s="26"/>
      <c r="UYF252" s="23"/>
      <c r="UYK252" s="26"/>
      <c r="UYO252" s="23"/>
      <c r="UYT252" s="26"/>
      <c r="UYX252" s="23"/>
      <c r="UZC252" s="26"/>
      <c r="UZG252" s="23"/>
      <c r="UZL252" s="26"/>
      <c r="UZP252" s="23"/>
      <c r="UZU252" s="26"/>
      <c r="UZY252" s="23"/>
      <c r="VAD252" s="26"/>
      <c r="VAH252" s="23"/>
      <c r="VAM252" s="26"/>
      <c r="VAQ252" s="23"/>
      <c r="VAV252" s="26"/>
      <c r="VAZ252" s="23"/>
      <c r="VBE252" s="26"/>
      <c r="VBI252" s="23"/>
      <c r="VBN252" s="26"/>
      <c r="VBR252" s="23"/>
      <c r="VBW252" s="26"/>
      <c r="VCA252" s="23"/>
      <c r="VCF252" s="26"/>
      <c r="VCJ252" s="23"/>
      <c r="VCO252" s="26"/>
      <c r="VCS252" s="23"/>
      <c r="VCX252" s="26"/>
      <c r="VDB252" s="23"/>
      <c r="VDG252" s="26"/>
      <c r="VDK252" s="23"/>
      <c r="VDP252" s="26"/>
      <c r="VDT252" s="23"/>
      <c r="VDY252" s="26"/>
      <c r="VEC252" s="23"/>
      <c r="VEH252" s="26"/>
      <c r="VEL252" s="23"/>
      <c r="VEQ252" s="26"/>
      <c r="VEU252" s="23"/>
      <c r="VEZ252" s="26"/>
      <c r="VFD252" s="23"/>
      <c r="VFI252" s="26"/>
      <c r="VFM252" s="23"/>
      <c r="VFR252" s="26"/>
      <c r="VFV252" s="23"/>
      <c r="VGA252" s="26"/>
      <c r="VGE252" s="23"/>
      <c r="VGJ252" s="26"/>
      <c r="VGN252" s="23"/>
      <c r="VGS252" s="26"/>
      <c r="VGW252" s="23"/>
      <c r="VHB252" s="26"/>
      <c r="VHF252" s="23"/>
      <c r="VHK252" s="26"/>
      <c r="VHO252" s="23"/>
      <c r="VHT252" s="26"/>
      <c r="VHX252" s="23"/>
      <c r="VIC252" s="26"/>
      <c r="VIG252" s="23"/>
      <c r="VIL252" s="26"/>
      <c r="VIP252" s="23"/>
      <c r="VIU252" s="26"/>
      <c r="VIY252" s="23"/>
      <c r="VJD252" s="26"/>
      <c r="VJH252" s="23"/>
      <c r="VJM252" s="26"/>
      <c r="VJQ252" s="23"/>
      <c r="VJV252" s="26"/>
      <c r="VJZ252" s="23"/>
      <c r="VKE252" s="26"/>
      <c r="VKI252" s="23"/>
      <c r="VKN252" s="26"/>
      <c r="VKR252" s="23"/>
      <c r="VKW252" s="26"/>
      <c r="VLA252" s="23"/>
      <c r="VLF252" s="26"/>
      <c r="VLJ252" s="23"/>
      <c r="VLO252" s="26"/>
      <c r="VLS252" s="23"/>
      <c r="VLX252" s="26"/>
      <c r="VMB252" s="23"/>
      <c r="VMG252" s="26"/>
      <c r="VMK252" s="23"/>
      <c r="VMP252" s="26"/>
      <c r="VMT252" s="23"/>
      <c r="VMY252" s="26"/>
      <c r="VNC252" s="23"/>
      <c r="VNH252" s="26"/>
      <c r="VNL252" s="23"/>
      <c r="VNQ252" s="26"/>
      <c r="VNU252" s="23"/>
      <c r="VNZ252" s="26"/>
      <c r="VOD252" s="23"/>
      <c r="VOI252" s="26"/>
      <c r="VOM252" s="23"/>
      <c r="VOR252" s="26"/>
      <c r="VOV252" s="23"/>
      <c r="VPA252" s="26"/>
      <c r="VPE252" s="23"/>
      <c r="VPJ252" s="26"/>
      <c r="VPN252" s="23"/>
      <c r="VPS252" s="26"/>
      <c r="VPW252" s="23"/>
      <c r="VQB252" s="26"/>
      <c r="VQF252" s="23"/>
      <c r="VQK252" s="26"/>
      <c r="VQO252" s="23"/>
      <c r="VQT252" s="26"/>
      <c r="VQX252" s="23"/>
      <c r="VRC252" s="26"/>
      <c r="VRG252" s="23"/>
      <c r="VRL252" s="26"/>
      <c r="VRP252" s="23"/>
      <c r="VRU252" s="26"/>
      <c r="VRY252" s="23"/>
      <c r="VSD252" s="26"/>
      <c r="VSH252" s="23"/>
      <c r="VSM252" s="26"/>
      <c r="VSQ252" s="23"/>
      <c r="VSV252" s="26"/>
      <c r="VSZ252" s="23"/>
      <c r="VTE252" s="26"/>
      <c r="VTI252" s="23"/>
      <c r="VTN252" s="26"/>
      <c r="VTR252" s="23"/>
      <c r="VTW252" s="26"/>
      <c r="VUA252" s="23"/>
      <c r="VUF252" s="26"/>
      <c r="VUJ252" s="23"/>
      <c r="VUO252" s="26"/>
      <c r="VUS252" s="23"/>
      <c r="VUX252" s="26"/>
      <c r="VVB252" s="23"/>
      <c r="VVG252" s="26"/>
      <c r="VVK252" s="23"/>
      <c r="VVP252" s="26"/>
      <c r="VVT252" s="23"/>
      <c r="VVY252" s="26"/>
      <c r="VWC252" s="23"/>
      <c r="VWH252" s="26"/>
      <c r="VWL252" s="23"/>
      <c r="VWQ252" s="26"/>
      <c r="VWU252" s="23"/>
      <c r="VWZ252" s="26"/>
      <c r="VXD252" s="23"/>
      <c r="VXI252" s="26"/>
      <c r="VXM252" s="23"/>
      <c r="VXR252" s="26"/>
      <c r="VXV252" s="23"/>
      <c r="VYA252" s="26"/>
      <c r="VYE252" s="23"/>
      <c r="VYJ252" s="26"/>
      <c r="VYN252" s="23"/>
      <c r="VYS252" s="26"/>
      <c r="VYW252" s="23"/>
      <c r="VZB252" s="26"/>
      <c r="VZF252" s="23"/>
      <c r="VZK252" s="26"/>
      <c r="VZO252" s="23"/>
      <c r="VZT252" s="26"/>
      <c r="VZX252" s="23"/>
      <c r="WAC252" s="26"/>
      <c r="WAG252" s="23"/>
      <c r="WAL252" s="26"/>
      <c r="WAP252" s="23"/>
      <c r="WAU252" s="26"/>
      <c r="WAY252" s="23"/>
      <c r="WBD252" s="26"/>
      <c r="WBH252" s="23"/>
      <c r="WBM252" s="26"/>
      <c r="WBQ252" s="23"/>
      <c r="WBV252" s="26"/>
      <c r="WBZ252" s="23"/>
      <c r="WCE252" s="26"/>
      <c r="WCI252" s="23"/>
      <c r="WCN252" s="26"/>
      <c r="WCR252" s="23"/>
      <c r="WCW252" s="26"/>
      <c r="WDA252" s="23"/>
      <c r="WDF252" s="26"/>
      <c r="WDJ252" s="23"/>
      <c r="WDO252" s="26"/>
      <c r="WDS252" s="23"/>
      <c r="WDX252" s="26"/>
      <c r="WEB252" s="23"/>
      <c r="WEG252" s="26"/>
      <c r="WEK252" s="23"/>
      <c r="WEP252" s="26"/>
      <c r="WET252" s="23"/>
      <c r="WEY252" s="26"/>
      <c r="WFC252" s="23"/>
      <c r="WFH252" s="26"/>
      <c r="WFL252" s="23"/>
      <c r="WFQ252" s="26"/>
      <c r="WFU252" s="23"/>
      <c r="WFZ252" s="26"/>
      <c r="WGD252" s="23"/>
      <c r="WGI252" s="26"/>
      <c r="WGM252" s="23"/>
      <c r="WGR252" s="26"/>
      <c r="WGV252" s="23"/>
      <c r="WHA252" s="26"/>
      <c r="WHE252" s="23"/>
      <c r="WHJ252" s="26"/>
      <c r="WHN252" s="23"/>
      <c r="WHS252" s="26"/>
      <c r="WHW252" s="23"/>
      <c r="WIB252" s="26"/>
      <c r="WIF252" s="23"/>
      <c r="WIK252" s="26"/>
      <c r="WIO252" s="23"/>
      <c r="WIT252" s="26"/>
      <c r="WIX252" s="23"/>
      <c r="WJC252" s="26"/>
      <c r="WJG252" s="23"/>
      <c r="WJL252" s="26"/>
      <c r="WJP252" s="23"/>
      <c r="WJU252" s="26"/>
      <c r="WJY252" s="23"/>
      <c r="WKD252" s="26"/>
      <c r="WKH252" s="23"/>
      <c r="WKM252" s="26"/>
      <c r="WKQ252" s="23"/>
      <c r="WKV252" s="26"/>
      <c r="WKZ252" s="23"/>
      <c r="WLE252" s="26"/>
      <c r="WLI252" s="23"/>
      <c r="WLN252" s="26"/>
      <c r="WLR252" s="23"/>
      <c r="WLW252" s="26"/>
      <c r="WMA252" s="23"/>
      <c r="WMF252" s="26"/>
      <c r="WMJ252" s="23"/>
      <c r="WMO252" s="26"/>
      <c r="WMS252" s="23"/>
      <c r="WMX252" s="26"/>
      <c r="WNB252" s="23"/>
      <c r="WNG252" s="26"/>
      <c r="WNK252" s="23"/>
      <c r="WNP252" s="26"/>
      <c r="WNT252" s="23"/>
      <c r="WNY252" s="26"/>
      <c r="WOC252" s="23"/>
      <c r="WOH252" s="26"/>
      <c r="WOL252" s="23"/>
      <c r="WOQ252" s="26"/>
      <c r="WOU252" s="23"/>
      <c r="WOZ252" s="26"/>
      <c r="WPD252" s="23"/>
      <c r="WPI252" s="26"/>
      <c r="WPM252" s="23"/>
      <c r="WPR252" s="26"/>
      <c r="WPV252" s="23"/>
      <c r="WQA252" s="26"/>
      <c r="WQE252" s="23"/>
      <c r="WQJ252" s="26"/>
      <c r="WQN252" s="23"/>
      <c r="WQS252" s="26"/>
      <c r="WQW252" s="23"/>
      <c r="WRB252" s="26"/>
      <c r="WRF252" s="23"/>
      <c r="WRK252" s="26"/>
      <c r="WRO252" s="23"/>
      <c r="WRT252" s="26"/>
      <c r="WRX252" s="23"/>
      <c r="WSC252" s="26"/>
      <c r="WSG252" s="23"/>
      <c r="WSL252" s="26"/>
      <c r="WSP252" s="23"/>
      <c r="WSU252" s="26"/>
      <c r="WSY252" s="23"/>
      <c r="WTD252" s="26"/>
      <c r="WTH252" s="23"/>
      <c r="WTM252" s="26"/>
      <c r="WTQ252" s="23"/>
      <c r="WTV252" s="26"/>
      <c r="WTZ252" s="23"/>
      <c r="WUE252" s="26"/>
      <c r="WUI252" s="23"/>
      <c r="WUN252" s="26"/>
      <c r="WUR252" s="23"/>
      <c r="WUW252" s="26"/>
      <c r="WVA252" s="23"/>
      <c r="WVF252" s="26"/>
      <c r="WVJ252" s="23"/>
      <c r="WVO252" s="26"/>
      <c r="WVS252" s="23"/>
      <c r="WVX252" s="26"/>
      <c r="WWB252" s="23"/>
      <c r="WWG252" s="26"/>
      <c r="WWK252" s="23"/>
      <c r="WWP252" s="26"/>
      <c r="WWT252" s="23"/>
      <c r="WWY252" s="26"/>
      <c r="WXC252" s="23"/>
      <c r="WXH252" s="26"/>
      <c r="WXL252" s="23"/>
      <c r="WXQ252" s="26"/>
      <c r="WXU252" s="23"/>
      <c r="WXZ252" s="26"/>
      <c r="WYD252" s="23"/>
      <c r="WYI252" s="26"/>
      <c r="WYM252" s="23"/>
      <c r="WYR252" s="26"/>
      <c r="WYV252" s="23"/>
      <c r="WZA252" s="26"/>
      <c r="WZE252" s="23"/>
      <c r="WZJ252" s="26"/>
      <c r="WZN252" s="23"/>
      <c r="WZS252" s="26"/>
      <c r="WZW252" s="23"/>
      <c r="XAB252" s="26"/>
      <c r="XAF252" s="23"/>
      <c r="XAK252" s="26"/>
      <c r="XAO252" s="23"/>
      <c r="XAT252" s="26"/>
      <c r="XAX252" s="23"/>
      <c r="XBC252" s="26"/>
      <c r="XBG252" s="23"/>
      <c r="XBL252" s="26"/>
      <c r="XBP252" s="23"/>
      <c r="XBU252" s="26"/>
      <c r="XBY252" s="23"/>
      <c r="XCD252" s="26"/>
      <c r="XCH252" s="23"/>
      <c r="XCM252" s="26"/>
      <c r="XCQ252" s="23"/>
      <c r="XCV252" s="26"/>
      <c r="XCZ252" s="23"/>
      <c r="XDE252" s="26"/>
      <c r="XDI252" s="23"/>
      <c r="XDN252" s="26"/>
      <c r="XDR252" s="23"/>
      <c r="XDW252" s="26"/>
      <c r="XEA252" s="23"/>
      <c r="XEF252" s="26"/>
      <c r="XEJ252" s="23"/>
      <c r="XEO252" s="26"/>
      <c r="XES252" s="23"/>
      <c r="XEX252" s="26"/>
      <c r="XFB252" s="23"/>
    </row>
    <row r="253" spans="2:1024 1028:2045 2050:3071 3076:4093 4097:5119 5123:6140 6145:7166 7171:8192 8197:9214 9218:10240 10244:11261 11266:12287 12292:13309 13313:14335 14339:15356 15361:16382" x14ac:dyDescent="0.3">
      <c r="B253" s="23"/>
      <c r="K253" s="23"/>
      <c r="P253" s="26"/>
      <c r="T253" s="23"/>
      <c r="Y253" s="26"/>
      <c r="AC253" s="23"/>
      <c r="AH253" s="26"/>
      <c r="AL253" s="23"/>
      <c r="AQ253" s="26"/>
      <c r="AU253" s="23"/>
      <c r="AZ253" s="26"/>
      <c r="BD253" s="23"/>
      <c r="BI253" s="26"/>
      <c r="BM253" s="23"/>
      <c r="BR253" s="26"/>
      <c r="BV253" s="23"/>
      <c r="CA253" s="26"/>
      <c r="CE253" s="23"/>
      <c r="CJ253" s="26"/>
      <c r="CN253" s="23"/>
      <c r="CS253" s="26"/>
      <c r="CW253" s="23"/>
      <c r="DB253" s="26"/>
      <c r="DF253" s="23"/>
      <c r="DK253" s="26"/>
      <c r="DO253" s="23"/>
      <c r="DT253" s="26"/>
      <c r="DX253" s="23"/>
      <c r="EC253" s="26"/>
      <c r="EG253" s="23"/>
      <c r="EL253" s="26"/>
      <c r="EP253" s="23"/>
      <c r="EU253" s="26"/>
      <c r="EY253" s="23"/>
      <c r="FD253" s="26"/>
      <c r="FH253" s="23"/>
      <c r="FM253" s="26"/>
      <c r="FQ253" s="23"/>
      <c r="FV253" s="26"/>
      <c r="FZ253" s="23"/>
      <c r="GE253" s="26"/>
      <c r="GI253" s="23"/>
      <c r="GN253" s="26"/>
      <c r="GR253" s="23"/>
      <c r="GW253" s="26"/>
      <c r="HA253" s="23"/>
      <c r="HF253" s="26"/>
      <c r="HJ253" s="23"/>
      <c r="HO253" s="26"/>
      <c r="HS253" s="23"/>
      <c r="HX253" s="26"/>
      <c r="IB253" s="23"/>
      <c r="IG253" s="26"/>
      <c r="IK253" s="23"/>
      <c r="IP253" s="26"/>
      <c r="IT253" s="23"/>
      <c r="IY253" s="26"/>
      <c r="JC253" s="23"/>
      <c r="JH253" s="26"/>
      <c r="JL253" s="23"/>
      <c r="JQ253" s="26"/>
      <c r="JU253" s="23"/>
      <c r="JZ253" s="26"/>
      <c r="KD253" s="23"/>
      <c r="KI253" s="26"/>
      <c r="KM253" s="23"/>
      <c r="KR253" s="26"/>
      <c r="KV253" s="23"/>
      <c r="LA253" s="26"/>
      <c r="LE253" s="23"/>
      <c r="LJ253" s="26"/>
      <c r="LN253" s="23"/>
      <c r="LS253" s="26"/>
      <c r="LW253" s="23"/>
      <c r="MB253" s="26"/>
      <c r="MF253" s="23"/>
      <c r="MK253" s="26"/>
      <c r="MO253" s="23"/>
      <c r="MT253" s="26"/>
      <c r="MX253" s="23"/>
      <c r="NC253" s="26"/>
      <c r="NG253" s="23"/>
      <c r="NL253" s="26"/>
      <c r="NP253" s="23"/>
      <c r="NU253" s="26"/>
      <c r="NY253" s="23"/>
      <c r="OD253" s="26"/>
      <c r="OH253" s="23"/>
      <c r="OM253" s="26"/>
      <c r="OQ253" s="23"/>
      <c r="OV253" s="26"/>
      <c r="OZ253" s="23"/>
      <c r="PE253" s="26"/>
      <c r="PI253" s="23"/>
      <c r="PN253" s="26"/>
      <c r="PR253" s="23"/>
      <c r="PW253" s="26"/>
      <c r="QA253" s="23"/>
      <c r="QF253" s="26"/>
      <c r="QJ253" s="23"/>
      <c r="QO253" s="26"/>
      <c r="QS253" s="23"/>
      <c r="QX253" s="26"/>
      <c r="RB253" s="23"/>
      <c r="RG253" s="26"/>
      <c r="RK253" s="23"/>
      <c r="RP253" s="26"/>
      <c r="RT253" s="23"/>
      <c r="RY253" s="26"/>
      <c r="SC253" s="23"/>
      <c r="SH253" s="26"/>
      <c r="SL253" s="23"/>
      <c r="SQ253" s="26"/>
      <c r="SU253" s="23"/>
      <c r="SZ253" s="26"/>
      <c r="TD253" s="23"/>
      <c r="TI253" s="26"/>
      <c r="TM253" s="23"/>
      <c r="TR253" s="26"/>
      <c r="TV253" s="23"/>
      <c r="UA253" s="26"/>
      <c r="UE253" s="23"/>
      <c r="UJ253" s="26"/>
      <c r="UN253" s="23"/>
      <c r="US253" s="26"/>
      <c r="UW253" s="23"/>
      <c r="VB253" s="26"/>
      <c r="VF253" s="23"/>
      <c r="VK253" s="26"/>
      <c r="VO253" s="23"/>
      <c r="VT253" s="26"/>
      <c r="VX253" s="23"/>
      <c r="WC253" s="26"/>
      <c r="WG253" s="23"/>
      <c r="WL253" s="26"/>
      <c r="WP253" s="23"/>
      <c r="WU253" s="26"/>
      <c r="WY253" s="23"/>
      <c r="XD253" s="26"/>
      <c r="XH253" s="23"/>
      <c r="XM253" s="26"/>
      <c r="XQ253" s="23"/>
      <c r="XV253" s="26"/>
      <c r="XZ253" s="23"/>
      <c r="YE253" s="26"/>
      <c r="YI253" s="23"/>
      <c r="YN253" s="26"/>
      <c r="YR253" s="23"/>
      <c r="YW253" s="26"/>
      <c r="ZA253" s="23"/>
      <c r="ZF253" s="26"/>
      <c r="ZJ253" s="23"/>
      <c r="ZO253" s="26"/>
      <c r="ZS253" s="23"/>
      <c r="ZX253" s="26"/>
      <c r="AAB253" s="23"/>
      <c r="AAG253" s="26"/>
      <c r="AAK253" s="23"/>
      <c r="AAP253" s="26"/>
      <c r="AAT253" s="23"/>
      <c r="AAY253" s="26"/>
      <c r="ABC253" s="23"/>
      <c r="ABH253" s="26"/>
      <c r="ABL253" s="23"/>
      <c r="ABQ253" s="26"/>
      <c r="ABU253" s="23"/>
      <c r="ABZ253" s="26"/>
      <c r="ACD253" s="23"/>
      <c r="ACI253" s="26"/>
      <c r="ACM253" s="23"/>
      <c r="ACR253" s="26"/>
      <c r="ACV253" s="23"/>
      <c r="ADA253" s="26"/>
      <c r="ADE253" s="23"/>
      <c r="ADJ253" s="26"/>
      <c r="ADN253" s="23"/>
      <c r="ADS253" s="26"/>
      <c r="ADW253" s="23"/>
      <c r="AEB253" s="26"/>
      <c r="AEF253" s="23"/>
      <c r="AEK253" s="26"/>
      <c r="AEO253" s="23"/>
      <c r="AET253" s="26"/>
      <c r="AEX253" s="23"/>
      <c r="AFC253" s="26"/>
      <c r="AFG253" s="23"/>
      <c r="AFL253" s="26"/>
      <c r="AFP253" s="23"/>
      <c r="AFU253" s="26"/>
      <c r="AFY253" s="23"/>
      <c r="AGD253" s="26"/>
      <c r="AGH253" s="23"/>
      <c r="AGM253" s="26"/>
      <c r="AGQ253" s="23"/>
      <c r="AGV253" s="26"/>
      <c r="AGZ253" s="23"/>
      <c r="AHE253" s="26"/>
      <c r="AHI253" s="23"/>
      <c r="AHN253" s="26"/>
      <c r="AHR253" s="23"/>
      <c r="AHW253" s="26"/>
      <c r="AIA253" s="23"/>
      <c r="AIF253" s="26"/>
      <c r="AIJ253" s="23"/>
      <c r="AIO253" s="26"/>
      <c r="AIS253" s="23"/>
      <c r="AIX253" s="26"/>
      <c r="AJB253" s="23"/>
      <c r="AJG253" s="26"/>
      <c r="AJK253" s="23"/>
      <c r="AJP253" s="26"/>
      <c r="AJT253" s="23"/>
      <c r="AJY253" s="26"/>
      <c r="AKC253" s="23"/>
      <c r="AKH253" s="26"/>
      <c r="AKL253" s="23"/>
      <c r="AKQ253" s="26"/>
      <c r="AKU253" s="23"/>
      <c r="AKZ253" s="26"/>
      <c r="ALD253" s="23"/>
      <c r="ALI253" s="26"/>
      <c r="ALM253" s="23"/>
      <c r="ALR253" s="26"/>
      <c r="ALV253" s="23"/>
      <c r="AMA253" s="26"/>
      <c r="AME253" s="23"/>
      <c r="AMJ253" s="26"/>
      <c r="AMN253" s="23"/>
      <c r="AMS253" s="26"/>
      <c r="AMW253" s="23"/>
      <c r="ANB253" s="26"/>
      <c r="ANF253" s="23"/>
      <c r="ANK253" s="26"/>
      <c r="ANO253" s="23"/>
      <c r="ANT253" s="26"/>
      <c r="ANX253" s="23"/>
      <c r="AOC253" s="26"/>
      <c r="AOG253" s="23"/>
      <c r="AOL253" s="26"/>
      <c r="AOP253" s="23"/>
      <c r="AOU253" s="26"/>
      <c r="AOY253" s="23"/>
      <c r="APD253" s="26"/>
      <c r="APH253" s="23"/>
      <c r="APM253" s="26"/>
      <c r="APQ253" s="23"/>
      <c r="APV253" s="26"/>
      <c r="APZ253" s="23"/>
      <c r="AQE253" s="26"/>
      <c r="AQI253" s="23"/>
      <c r="AQN253" s="26"/>
      <c r="AQR253" s="23"/>
      <c r="AQW253" s="26"/>
      <c r="ARA253" s="23"/>
      <c r="ARF253" s="26"/>
      <c r="ARJ253" s="23"/>
      <c r="ARO253" s="26"/>
      <c r="ARS253" s="23"/>
      <c r="ARX253" s="26"/>
      <c r="ASB253" s="23"/>
      <c r="ASG253" s="26"/>
      <c r="ASK253" s="23"/>
      <c r="ASP253" s="26"/>
      <c r="AST253" s="23"/>
      <c r="ASY253" s="26"/>
      <c r="ATC253" s="23"/>
      <c r="ATH253" s="26"/>
      <c r="ATL253" s="23"/>
      <c r="ATQ253" s="26"/>
      <c r="ATU253" s="23"/>
      <c r="ATZ253" s="26"/>
      <c r="AUD253" s="23"/>
      <c r="AUI253" s="26"/>
      <c r="AUM253" s="23"/>
      <c r="AUR253" s="26"/>
      <c r="AUV253" s="23"/>
      <c r="AVA253" s="26"/>
      <c r="AVE253" s="23"/>
      <c r="AVJ253" s="26"/>
      <c r="AVN253" s="23"/>
      <c r="AVS253" s="26"/>
      <c r="AVW253" s="23"/>
      <c r="AWB253" s="26"/>
      <c r="AWF253" s="23"/>
      <c r="AWK253" s="26"/>
      <c r="AWO253" s="23"/>
      <c r="AWT253" s="26"/>
      <c r="AWX253" s="23"/>
      <c r="AXC253" s="26"/>
      <c r="AXG253" s="23"/>
      <c r="AXL253" s="26"/>
      <c r="AXP253" s="23"/>
      <c r="AXU253" s="26"/>
      <c r="AXY253" s="23"/>
      <c r="AYD253" s="26"/>
      <c r="AYH253" s="23"/>
      <c r="AYM253" s="26"/>
      <c r="AYQ253" s="23"/>
      <c r="AYV253" s="26"/>
      <c r="AYZ253" s="23"/>
      <c r="AZE253" s="26"/>
      <c r="AZI253" s="23"/>
      <c r="AZN253" s="26"/>
      <c r="AZR253" s="23"/>
      <c r="AZW253" s="26"/>
      <c r="BAA253" s="23"/>
      <c r="BAF253" s="26"/>
      <c r="BAJ253" s="23"/>
      <c r="BAO253" s="26"/>
      <c r="BAS253" s="23"/>
      <c r="BAX253" s="26"/>
      <c r="BBB253" s="23"/>
      <c r="BBG253" s="26"/>
      <c r="BBK253" s="23"/>
      <c r="BBP253" s="26"/>
      <c r="BBT253" s="23"/>
      <c r="BBY253" s="26"/>
      <c r="BCC253" s="23"/>
      <c r="BCH253" s="26"/>
      <c r="BCL253" s="23"/>
      <c r="BCQ253" s="26"/>
      <c r="BCU253" s="23"/>
      <c r="BCZ253" s="26"/>
      <c r="BDD253" s="23"/>
      <c r="BDI253" s="26"/>
      <c r="BDM253" s="23"/>
      <c r="BDR253" s="26"/>
      <c r="BDV253" s="23"/>
      <c r="BEA253" s="26"/>
      <c r="BEE253" s="23"/>
      <c r="BEJ253" s="26"/>
      <c r="BEN253" s="23"/>
      <c r="BES253" s="26"/>
      <c r="BEW253" s="23"/>
      <c r="BFB253" s="26"/>
      <c r="BFF253" s="23"/>
      <c r="BFK253" s="26"/>
      <c r="BFO253" s="23"/>
      <c r="BFT253" s="26"/>
      <c r="BFX253" s="23"/>
      <c r="BGC253" s="26"/>
      <c r="BGG253" s="23"/>
      <c r="BGL253" s="26"/>
      <c r="BGP253" s="23"/>
      <c r="BGU253" s="26"/>
      <c r="BGY253" s="23"/>
      <c r="BHD253" s="26"/>
      <c r="BHH253" s="23"/>
      <c r="BHM253" s="26"/>
      <c r="BHQ253" s="23"/>
      <c r="BHV253" s="26"/>
      <c r="BHZ253" s="23"/>
      <c r="BIE253" s="26"/>
      <c r="BII253" s="23"/>
      <c r="BIN253" s="26"/>
      <c r="BIR253" s="23"/>
      <c r="BIW253" s="26"/>
      <c r="BJA253" s="23"/>
      <c r="BJF253" s="26"/>
      <c r="BJJ253" s="23"/>
      <c r="BJO253" s="26"/>
      <c r="BJS253" s="23"/>
      <c r="BJX253" s="26"/>
      <c r="BKB253" s="23"/>
      <c r="BKG253" s="26"/>
      <c r="BKK253" s="23"/>
      <c r="BKP253" s="26"/>
      <c r="BKT253" s="23"/>
      <c r="BKY253" s="26"/>
      <c r="BLC253" s="23"/>
      <c r="BLH253" s="26"/>
      <c r="BLL253" s="23"/>
      <c r="BLQ253" s="26"/>
      <c r="BLU253" s="23"/>
      <c r="BLZ253" s="26"/>
      <c r="BMD253" s="23"/>
      <c r="BMI253" s="26"/>
      <c r="BMM253" s="23"/>
      <c r="BMR253" s="26"/>
      <c r="BMV253" s="23"/>
      <c r="BNA253" s="26"/>
      <c r="BNE253" s="23"/>
      <c r="BNJ253" s="26"/>
      <c r="BNN253" s="23"/>
      <c r="BNS253" s="26"/>
      <c r="BNW253" s="23"/>
      <c r="BOB253" s="26"/>
      <c r="BOF253" s="23"/>
      <c r="BOK253" s="26"/>
      <c r="BOO253" s="23"/>
      <c r="BOT253" s="26"/>
      <c r="BOX253" s="23"/>
      <c r="BPC253" s="26"/>
      <c r="BPG253" s="23"/>
      <c r="BPL253" s="26"/>
      <c r="BPP253" s="23"/>
      <c r="BPU253" s="26"/>
      <c r="BPY253" s="23"/>
      <c r="BQD253" s="26"/>
      <c r="BQH253" s="23"/>
      <c r="BQM253" s="26"/>
      <c r="BQQ253" s="23"/>
      <c r="BQV253" s="26"/>
      <c r="BQZ253" s="23"/>
      <c r="BRE253" s="26"/>
      <c r="BRI253" s="23"/>
      <c r="BRN253" s="26"/>
      <c r="BRR253" s="23"/>
      <c r="BRW253" s="26"/>
      <c r="BSA253" s="23"/>
      <c r="BSF253" s="26"/>
      <c r="BSJ253" s="23"/>
      <c r="BSO253" s="26"/>
      <c r="BSS253" s="23"/>
      <c r="BSX253" s="26"/>
      <c r="BTB253" s="23"/>
      <c r="BTG253" s="26"/>
      <c r="BTK253" s="23"/>
      <c r="BTP253" s="26"/>
      <c r="BTT253" s="23"/>
      <c r="BTY253" s="26"/>
      <c r="BUC253" s="23"/>
      <c r="BUH253" s="26"/>
      <c r="BUL253" s="23"/>
      <c r="BUQ253" s="26"/>
      <c r="BUU253" s="23"/>
      <c r="BUZ253" s="26"/>
      <c r="BVD253" s="23"/>
      <c r="BVI253" s="26"/>
      <c r="BVM253" s="23"/>
      <c r="BVR253" s="26"/>
      <c r="BVV253" s="23"/>
      <c r="BWA253" s="26"/>
      <c r="BWE253" s="23"/>
      <c r="BWJ253" s="26"/>
      <c r="BWN253" s="23"/>
      <c r="BWS253" s="26"/>
      <c r="BWW253" s="23"/>
      <c r="BXB253" s="26"/>
      <c r="BXF253" s="23"/>
      <c r="BXK253" s="26"/>
      <c r="BXO253" s="23"/>
      <c r="BXT253" s="26"/>
      <c r="BXX253" s="23"/>
      <c r="BYC253" s="26"/>
      <c r="BYG253" s="23"/>
      <c r="BYL253" s="26"/>
      <c r="BYP253" s="23"/>
      <c r="BYU253" s="26"/>
      <c r="BYY253" s="23"/>
      <c r="BZD253" s="26"/>
      <c r="BZH253" s="23"/>
      <c r="BZM253" s="26"/>
      <c r="BZQ253" s="23"/>
      <c r="BZV253" s="26"/>
      <c r="BZZ253" s="23"/>
      <c r="CAE253" s="26"/>
      <c r="CAI253" s="23"/>
      <c r="CAN253" s="26"/>
      <c r="CAR253" s="23"/>
      <c r="CAW253" s="26"/>
      <c r="CBA253" s="23"/>
      <c r="CBF253" s="26"/>
      <c r="CBJ253" s="23"/>
      <c r="CBO253" s="26"/>
      <c r="CBS253" s="23"/>
      <c r="CBX253" s="26"/>
      <c r="CCB253" s="23"/>
      <c r="CCG253" s="26"/>
      <c r="CCK253" s="23"/>
      <c r="CCP253" s="26"/>
      <c r="CCT253" s="23"/>
      <c r="CCY253" s="26"/>
      <c r="CDC253" s="23"/>
      <c r="CDH253" s="26"/>
      <c r="CDL253" s="23"/>
      <c r="CDQ253" s="26"/>
      <c r="CDU253" s="23"/>
      <c r="CDZ253" s="26"/>
      <c r="CED253" s="23"/>
      <c r="CEI253" s="26"/>
      <c r="CEM253" s="23"/>
      <c r="CER253" s="26"/>
      <c r="CEV253" s="23"/>
      <c r="CFA253" s="26"/>
      <c r="CFE253" s="23"/>
      <c r="CFJ253" s="26"/>
      <c r="CFN253" s="23"/>
      <c r="CFS253" s="26"/>
      <c r="CFW253" s="23"/>
      <c r="CGB253" s="26"/>
      <c r="CGF253" s="23"/>
      <c r="CGK253" s="26"/>
      <c r="CGO253" s="23"/>
      <c r="CGT253" s="26"/>
      <c r="CGX253" s="23"/>
      <c r="CHC253" s="26"/>
      <c r="CHG253" s="23"/>
      <c r="CHL253" s="26"/>
      <c r="CHP253" s="23"/>
      <c r="CHU253" s="26"/>
      <c r="CHY253" s="23"/>
      <c r="CID253" s="26"/>
      <c r="CIH253" s="23"/>
      <c r="CIM253" s="26"/>
      <c r="CIQ253" s="23"/>
      <c r="CIV253" s="26"/>
      <c r="CIZ253" s="23"/>
      <c r="CJE253" s="26"/>
      <c r="CJI253" s="23"/>
      <c r="CJN253" s="26"/>
      <c r="CJR253" s="23"/>
      <c r="CJW253" s="26"/>
      <c r="CKA253" s="23"/>
      <c r="CKF253" s="26"/>
      <c r="CKJ253" s="23"/>
      <c r="CKO253" s="26"/>
      <c r="CKS253" s="23"/>
      <c r="CKX253" s="26"/>
      <c r="CLB253" s="23"/>
      <c r="CLG253" s="26"/>
      <c r="CLK253" s="23"/>
      <c r="CLP253" s="26"/>
      <c r="CLT253" s="23"/>
      <c r="CLY253" s="26"/>
      <c r="CMC253" s="23"/>
      <c r="CMH253" s="26"/>
      <c r="CML253" s="23"/>
      <c r="CMQ253" s="26"/>
      <c r="CMU253" s="23"/>
      <c r="CMZ253" s="26"/>
      <c r="CND253" s="23"/>
      <c r="CNI253" s="26"/>
      <c r="CNM253" s="23"/>
      <c r="CNR253" s="26"/>
      <c r="CNV253" s="23"/>
      <c r="COA253" s="26"/>
      <c r="COE253" s="23"/>
      <c r="COJ253" s="26"/>
      <c r="CON253" s="23"/>
      <c r="COS253" s="26"/>
      <c r="COW253" s="23"/>
      <c r="CPB253" s="26"/>
      <c r="CPF253" s="23"/>
      <c r="CPK253" s="26"/>
      <c r="CPO253" s="23"/>
      <c r="CPT253" s="26"/>
      <c r="CPX253" s="23"/>
      <c r="CQC253" s="26"/>
      <c r="CQG253" s="23"/>
      <c r="CQL253" s="26"/>
      <c r="CQP253" s="23"/>
      <c r="CQU253" s="26"/>
      <c r="CQY253" s="23"/>
      <c r="CRD253" s="26"/>
      <c r="CRH253" s="23"/>
      <c r="CRM253" s="26"/>
      <c r="CRQ253" s="23"/>
      <c r="CRV253" s="26"/>
      <c r="CRZ253" s="23"/>
      <c r="CSE253" s="26"/>
      <c r="CSI253" s="23"/>
      <c r="CSN253" s="26"/>
      <c r="CSR253" s="23"/>
      <c r="CSW253" s="26"/>
      <c r="CTA253" s="23"/>
      <c r="CTF253" s="26"/>
      <c r="CTJ253" s="23"/>
      <c r="CTO253" s="26"/>
      <c r="CTS253" s="23"/>
      <c r="CTX253" s="26"/>
      <c r="CUB253" s="23"/>
      <c r="CUG253" s="26"/>
      <c r="CUK253" s="23"/>
      <c r="CUP253" s="26"/>
      <c r="CUT253" s="23"/>
      <c r="CUY253" s="26"/>
      <c r="CVC253" s="23"/>
      <c r="CVH253" s="26"/>
      <c r="CVL253" s="23"/>
      <c r="CVQ253" s="26"/>
      <c r="CVU253" s="23"/>
      <c r="CVZ253" s="26"/>
      <c r="CWD253" s="23"/>
      <c r="CWI253" s="26"/>
      <c r="CWM253" s="23"/>
      <c r="CWR253" s="26"/>
      <c r="CWV253" s="23"/>
      <c r="CXA253" s="26"/>
      <c r="CXE253" s="23"/>
      <c r="CXJ253" s="26"/>
      <c r="CXN253" s="23"/>
      <c r="CXS253" s="26"/>
      <c r="CXW253" s="23"/>
      <c r="CYB253" s="26"/>
      <c r="CYF253" s="23"/>
      <c r="CYK253" s="26"/>
      <c r="CYO253" s="23"/>
      <c r="CYT253" s="26"/>
      <c r="CYX253" s="23"/>
      <c r="CZC253" s="26"/>
      <c r="CZG253" s="23"/>
      <c r="CZL253" s="26"/>
      <c r="CZP253" s="23"/>
      <c r="CZU253" s="26"/>
      <c r="CZY253" s="23"/>
      <c r="DAD253" s="26"/>
      <c r="DAH253" s="23"/>
      <c r="DAM253" s="26"/>
      <c r="DAQ253" s="23"/>
      <c r="DAV253" s="26"/>
      <c r="DAZ253" s="23"/>
      <c r="DBE253" s="26"/>
      <c r="DBI253" s="23"/>
      <c r="DBN253" s="26"/>
      <c r="DBR253" s="23"/>
      <c r="DBW253" s="26"/>
      <c r="DCA253" s="23"/>
      <c r="DCF253" s="26"/>
      <c r="DCJ253" s="23"/>
      <c r="DCO253" s="26"/>
      <c r="DCS253" s="23"/>
      <c r="DCX253" s="26"/>
      <c r="DDB253" s="23"/>
      <c r="DDG253" s="26"/>
      <c r="DDK253" s="23"/>
      <c r="DDP253" s="26"/>
      <c r="DDT253" s="23"/>
      <c r="DDY253" s="26"/>
      <c r="DEC253" s="23"/>
      <c r="DEH253" s="26"/>
      <c r="DEL253" s="23"/>
      <c r="DEQ253" s="26"/>
      <c r="DEU253" s="23"/>
      <c r="DEZ253" s="26"/>
      <c r="DFD253" s="23"/>
      <c r="DFI253" s="26"/>
      <c r="DFM253" s="23"/>
      <c r="DFR253" s="26"/>
      <c r="DFV253" s="23"/>
      <c r="DGA253" s="26"/>
      <c r="DGE253" s="23"/>
      <c r="DGJ253" s="26"/>
      <c r="DGN253" s="23"/>
      <c r="DGS253" s="26"/>
      <c r="DGW253" s="23"/>
      <c r="DHB253" s="26"/>
      <c r="DHF253" s="23"/>
      <c r="DHK253" s="26"/>
      <c r="DHO253" s="23"/>
      <c r="DHT253" s="26"/>
      <c r="DHX253" s="23"/>
      <c r="DIC253" s="26"/>
      <c r="DIG253" s="23"/>
      <c r="DIL253" s="26"/>
      <c r="DIP253" s="23"/>
      <c r="DIU253" s="26"/>
      <c r="DIY253" s="23"/>
      <c r="DJD253" s="26"/>
      <c r="DJH253" s="23"/>
      <c r="DJM253" s="26"/>
      <c r="DJQ253" s="23"/>
      <c r="DJV253" s="26"/>
      <c r="DJZ253" s="23"/>
      <c r="DKE253" s="26"/>
      <c r="DKI253" s="23"/>
      <c r="DKN253" s="26"/>
      <c r="DKR253" s="23"/>
      <c r="DKW253" s="26"/>
      <c r="DLA253" s="23"/>
      <c r="DLF253" s="26"/>
      <c r="DLJ253" s="23"/>
      <c r="DLO253" s="26"/>
      <c r="DLS253" s="23"/>
      <c r="DLX253" s="26"/>
      <c r="DMB253" s="23"/>
      <c r="DMG253" s="26"/>
      <c r="DMK253" s="23"/>
      <c r="DMP253" s="26"/>
      <c r="DMT253" s="23"/>
      <c r="DMY253" s="26"/>
      <c r="DNC253" s="23"/>
      <c r="DNH253" s="26"/>
      <c r="DNL253" s="23"/>
      <c r="DNQ253" s="26"/>
      <c r="DNU253" s="23"/>
      <c r="DNZ253" s="26"/>
      <c r="DOD253" s="23"/>
      <c r="DOI253" s="26"/>
      <c r="DOM253" s="23"/>
      <c r="DOR253" s="26"/>
      <c r="DOV253" s="23"/>
      <c r="DPA253" s="26"/>
      <c r="DPE253" s="23"/>
      <c r="DPJ253" s="26"/>
      <c r="DPN253" s="23"/>
      <c r="DPS253" s="26"/>
      <c r="DPW253" s="23"/>
      <c r="DQB253" s="26"/>
      <c r="DQF253" s="23"/>
      <c r="DQK253" s="26"/>
      <c r="DQO253" s="23"/>
      <c r="DQT253" s="26"/>
      <c r="DQX253" s="23"/>
      <c r="DRC253" s="26"/>
      <c r="DRG253" s="23"/>
      <c r="DRL253" s="26"/>
      <c r="DRP253" s="23"/>
      <c r="DRU253" s="26"/>
      <c r="DRY253" s="23"/>
      <c r="DSD253" s="26"/>
      <c r="DSH253" s="23"/>
      <c r="DSM253" s="26"/>
      <c r="DSQ253" s="23"/>
      <c r="DSV253" s="26"/>
      <c r="DSZ253" s="23"/>
      <c r="DTE253" s="26"/>
      <c r="DTI253" s="23"/>
      <c r="DTN253" s="26"/>
      <c r="DTR253" s="23"/>
      <c r="DTW253" s="26"/>
      <c r="DUA253" s="23"/>
      <c r="DUF253" s="26"/>
      <c r="DUJ253" s="23"/>
      <c r="DUO253" s="26"/>
      <c r="DUS253" s="23"/>
      <c r="DUX253" s="26"/>
      <c r="DVB253" s="23"/>
      <c r="DVG253" s="26"/>
      <c r="DVK253" s="23"/>
      <c r="DVP253" s="26"/>
      <c r="DVT253" s="23"/>
      <c r="DVY253" s="26"/>
      <c r="DWC253" s="23"/>
      <c r="DWH253" s="26"/>
      <c r="DWL253" s="23"/>
      <c r="DWQ253" s="26"/>
      <c r="DWU253" s="23"/>
      <c r="DWZ253" s="26"/>
      <c r="DXD253" s="23"/>
      <c r="DXI253" s="26"/>
      <c r="DXM253" s="23"/>
      <c r="DXR253" s="26"/>
      <c r="DXV253" s="23"/>
      <c r="DYA253" s="26"/>
      <c r="DYE253" s="23"/>
      <c r="DYJ253" s="26"/>
      <c r="DYN253" s="23"/>
      <c r="DYS253" s="26"/>
      <c r="DYW253" s="23"/>
      <c r="DZB253" s="26"/>
      <c r="DZF253" s="23"/>
      <c r="DZK253" s="26"/>
      <c r="DZO253" s="23"/>
      <c r="DZT253" s="26"/>
      <c r="DZX253" s="23"/>
      <c r="EAC253" s="26"/>
      <c r="EAG253" s="23"/>
      <c r="EAL253" s="26"/>
      <c r="EAP253" s="23"/>
      <c r="EAU253" s="26"/>
      <c r="EAY253" s="23"/>
      <c r="EBD253" s="26"/>
      <c r="EBH253" s="23"/>
      <c r="EBM253" s="26"/>
      <c r="EBQ253" s="23"/>
      <c r="EBV253" s="26"/>
      <c r="EBZ253" s="23"/>
      <c r="ECE253" s="26"/>
      <c r="ECI253" s="23"/>
      <c r="ECN253" s="26"/>
      <c r="ECR253" s="23"/>
      <c r="ECW253" s="26"/>
      <c r="EDA253" s="23"/>
      <c r="EDF253" s="26"/>
      <c r="EDJ253" s="23"/>
      <c r="EDO253" s="26"/>
      <c r="EDS253" s="23"/>
      <c r="EDX253" s="26"/>
      <c r="EEB253" s="23"/>
      <c r="EEG253" s="26"/>
      <c r="EEK253" s="23"/>
      <c r="EEP253" s="26"/>
      <c r="EET253" s="23"/>
      <c r="EEY253" s="26"/>
      <c r="EFC253" s="23"/>
      <c r="EFH253" s="26"/>
      <c r="EFL253" s="23"/>
      <c r="EFQ253" s="26"/>
      <c r="EFU253" s="23"/>
      <c r="EFZ253" s="26"/>
      <c r="EGD253" s="23"/>
      <c r="EGI253" s="26"/>
      <c r="EGM253" s="23"/>
      <c r="EGR253" s="26"/>
      <c r="EGV253" s="23"/>
      <c r="EHA253" s="26"/>
      <c r="EHE253" s="23"/>
      <c r="EHJ253" s="26"/>
      <c r="EHN253" s="23"/>
      <c r="EHS253" s="26"/>
      <c r="EHW253" s="23"/>
      <c r="EIB253" s="26"/>
      <c r="EIF253" s="23"/>
      <c r="EIK253" s="26"/>
      <c r="EIO253" s="23"/>
      <c r="EIT253" s="26"/>
      <c r="EIX253" s="23"/>
      <c r="EJC253" s="26"/>
      <c r="EJG253" s="23"/>
      <c r="EJL253" s="26"/>
      <c r="EJP253" s="23"/>
      <c r="EJU253" s="26"/>
      <c r="EJY253" s="23"/>
      <c r="EKD253" s="26"/>
      <c r="EKH253" s="23"/>
      <c r="EKM253" s="26"/>
      <c r="EKQ253" s="23"/>
      <c r="EKV253" s="26"/>
      <c r="EKZ253" s="23"/>
      <c r="ELE253" s="26"/>
      <c r="ELI253" s="23"/>
      <c r="ELN253" s="26"/>
      <c r="ELR253" s="23"/>
      <c r="ELW253" s="26"/>
      <c r="EMA253" s="23"/>
      <c r="EMF253" s="26"/>
      <c r="EMJ253" s="23"/>
      <c r="EMO253" s="26"/>
      <c r="EMS253" s="23"/>
      <c r="EMX253" s="26"/>
      <c r="ENB253" s="23"/>
      <c r="ENG253" s="26"/>
      <c r="ENK253" s="23"/>
      <c r="ENP253" s="26"/>
      <c r="ENT253" s="23"/>
      <c r="ENY253" s="26"/>
      <c r="EOC253" s="23"/>
      <c r="EOH253" s="26"/>
      <c r="EOL253" s="23"/>
      <c r="EOQ253" s="26"/>
      <c r="EOU253" s="23"/>
      <c r="EOZ253" s="26"/>
      <c r="EPD253" s="23"/>
      <c r="EPI253" s="26"/>
      <c r="EPM253" s="23"/>
      <c r="EPR253" s="26"/>
      <c r="EPV253" s="23"/>
      <c r="EQA253" s="26"/>
      <c r="EQE253" s="23"/>
      <c r="EQJ253" s="26"/>
      <c r="EQN253" s="23"/>
      <c r="EQS253" s="26"/>
      <c r="EQW253" s="23"/>
      <c r="ERB253" s="26"/>
      <c r="ERF253" s="23"/>
      <c r="ERK253" s="26"/>
      <c r="ERO253" s="23"/>
      <c r="ERT253" s="26"/>
      <c r="ERX253" s="23"/>
      <c r="ESC253" s="26"/>
      <c r="ESG253" s="23"/>
      <c r="ESL253" s="26"/>
      <c r="ESP253" s="23"/>
      <c r="ESU253" s="26"/>
      <c r="ESY253" s="23"/>
      <c r="ETD253" s="26"/>
      <c r="ETH253" s="23"/>
      <c r="ETM253" s="26"/>
      <c r="ETQ253" s="23"/>
      <c r="ETV253" s="26"/>
      <c r="ETZ253" s="23"/>
      <c r="EUE253" s="26"/>
      <c r="EUI253" s="23"/>
      <c r="EUN253" s="26"/>
      <c r="EUR253" s="23"/>
      <c r="EUW253" s="26"/>
      <c r="EVA253" s="23"/>
      <c r="EVF253" s="26"/>
      <c r="EVJ253" s="23"/>
      <c r="EVO253" s="26"/>
      <c r="EVS253" s="23"/>
      <c r="EVX253" s="26"/>
      <c r="EWB253" s="23"/>
      <c r="EWG253" s="26"/>
      <c r="EWK253" s="23"/>
      <c r="EWP253" s="26"/>
      <c r="EWT253" s="23"/>
      <c r="EWY253" s="26"/>
      <c r="EXC253" s="23"/>
      <c r="EXH253" s="26"/>
      <c r="EXL253" s="23"/>
      <c r="EXQ253" s="26"/>
      <c r="EXU253" s="23"/>
      <c r="EXZ253" s="26"/>
      <c r="EYD253" s="23"/>
      <c r="EYI253" s="26"/>
      <c r="EYM253" s="23"/>
      <c r="EYR253" s="26"/>
      <c r="EYV253" s="23"/>
      <c r="EZA253" s="26"/>
      <c r="EZE253" s="23"/>
      <c r="EZJ253" s="26"/>
      <c r="EZN253" s="23"/>
      <c r="EZS253" s="26"/>
      <c r="EZW253" s="23"/>
      <c r="FAB253" s="26"/>
      <c r="FAF253" s="23"/>
      <c r="FAK253" s="26"/>
      <c r="FAO253" s="23"/>
      <c r="FAT253" s="26"/>
      <c r="FAX253" s="23"/>
      <c r="FBC253" s="26"/>
      <c r="FBG253" s="23"/>
      <c r="FBL253" s="26"/>
      <c r="FBP253" s="23"/>
      <c r="FBU253" s="26"/>
      <c r="FBY253" s="23"/>
      <c r="FCD253" s="26"/>
      <c r="FCH253" s="23"/>
      <c r="FCM253" s="26"/>
      <c r="FCQ253" s="23"/>
      <c r="FCV253" s="26"/>
      <c r="FCZ253" s="23"/>
      <c r="FDE253" s="26"/>
      <c r="FDI253" s="23"/>
      <c r="FDN253" s="26"/>
      <c r="FDR253" s="23"/>
      <c r="FDW253" s="26"/>
      <c r="FEA253" s="23"/>
      <c r="FEF253" s="26"/>
      <c r="FEJ253" s="23"/>
      <c r="FEO253" s="26"/>
      <c r="FES253" s="23"/>
      <c r="FEX253" s="26"/>
      <c r="FFB253" s="23"/>
      <c r="FFG253" s="26"/>
      <c r="FFK253" s="23"/>
      <c r="FFP253" s="26"/>
      <c r="FFT253" s="23"/>
      <c r="FFY253" s="26"/>
      <c r="FGC253" s="23"/>
      <c r="FGH253" s="26"/>
      <c r="FGL253" s="23"/>
      <c r="FGQ253" s="26"/>
      <c r="FGU253" s="23"/>
      <c r="FGZ253" s="26"/>
      <c r="FHD253" s="23"/>
      <c r="FHI253" s="26"/>
      <c r="FHM253" s="23"/>
      <c r="FHR253" s="26"/>
      <c r="FHV253" s="23"/>
      <c r="FIA253" s="26"/>
      <c r="FIE253" s="23"/>
      <c r="FIJ253" s="26"/>
      <c r="FIN253" s="23"/>
      <c r="FIS253" s="26"/>
      <c r="FIW253" s="23"/>
      <c r="FJB253" s="26"/>
      <c r="FJF253" s="23"/>
      <c r="FJK253" s="26"/>
      <c r="FJO253" s="23"/>
      <c r="FJT253" s="26"/>
      <c r="FJX253" s="23"/>
      <c r="FKC253" s="26"/>
      <c r="FKG253" s="23"/>
      <c r="FKL253" s="26"/>
      <c r="FKP253" s="23"/>
      <c r="FKU253" s="26"/>
      <c r="FKY253" s="23"/>
      <c r="FLD253" s="26"/>
      <c r="FLH253" s="23"/>
      <c r="FLM253" s="26"/>
      <c r="FLQ253" s="23"/>
      <c r="FLV253" s="26"/>
      <c r="FLZ253" s="23"/>
      <c r="FME253" s="26"/>
      <c r="FMI253" s="23"/>
      <c r="FMN253" s="26"/>
      <c r="FMR253" s="23"/>
      <c r="FMW253" s="26"/>
      <c r="FNA253" s="23"/>
      <c r="FNF253" s="26"/>
      <c r="FNJ253" s="23"/>
      <c r="FNO253" s="26"/>
      <c r="FNS253" s="23"/>
      <c r="FNX253" s="26"/>
      <c r="FOB253" s="23"/>
      <c r="FOG253" s="26"/>
      <c r="FOK253" s="23"/>
      <c r="FOP253" s="26"/>
      <c r="FOT253" s="23"/>
      <c r="FOY253" s="26"/>
      <c r="FPC253" s="23"/>
      <c r="FPH253" s="26"/>
      <c r="FPL253" s="23"/>
      <c r="FPQ253" s="26"/>
      <c r="FPU253" s="23"/>
      <c r="FPZ253" s="26"/>
      <c r="FQD253" s="23"/>
      <c r="FQI253" s="26"/>
      <c r="FQM253" s="23"/>
      <c r="FQR253" s="26"/>
      <c r="FQV253" s="23"/>
      <c r="FRA253" s="26"/>
      <c r="FRE253" s="23"/>
      <c r="FRJ253" s="26"/>
      <c r="FRN253" s="23"/>
      <c r="FRS253" s="26"/>
      <c r="FRW253" s="23"/>
      <c r="FSB253" s="26"/>
      <c r="FSF253" s="23"/>
      <c r="FSK253" s="26"/>
      <c r="FSO253" s="23"/>
      <c r="FST253" s="26"/>
      <c r="FSX253" s="23"/>
      <c r="FTC253" s="26"/>
      <c r="FTG253" s="23"/>
      <c r="FTL253" s="26"/>
      <c r="FTP253" s="23"/>
      <c r="FTU253" s="26"/>
      <c r="FTY253" s="23"/>
      <c r="FUD253" s="26"/>
      <c r="FUH253" s="23"/>
      <c r="FUM253" s="26"/>
      <c r="FUQ253" s="23"/>
      <c r="FUV253" s="26"/>
      <c r="FUZ253" s="23"/>
      <c r="FVE253" s="26"/>
      <c r="FVI253" s="23"/>
      <c r="FVN253" s="26"/>
      <c r="FVR253" s="23"/>
      <c r="FVW253" s="26"/>
      <c r="FWA253" s="23"/>
      <c r="FWF253" s="26"/>
      <c r="FWJ253" s="23"/>
      <c r="FWO253" s="26"/>
      <c r="FWS253" s="23"/>
      <c r="FWX253" s="26"/>
      <c r="FXB253" s="23"/>
      <c r="FXG253" s="26"/>
      <c r="FXK253" s="23"/>
      <c r="FXP253" s="26"/>
      <c r="FXT253" s="23"/>
      <c r="FXY253" s="26"/>
      <c r="FYC253" s="23"/>
      <c r="FYH253" s="26"/>
      <c r="FYL253" s="23"/>
      <c r="FYQ253" s="26"/>
      <c r="FYU253" s="23"/>
      <c r="FYZ253" s="26"/>
      <c r="FZD253" s="23"/>
      <c r="FZI253" s="26"/>
      <c r="FZM253" s="23"/>
      <c r="FZR253" s="26"/>
      <c r="FZV253" s="23"/>
      <c r="GAA253" s="26"/>
      <c r="GAE253" s="23"/>
      <c r="GAJ253" s="26"/>
      <c r="GAN253" s="23"/>
      <c r="GAS253" s="26"/>
      <c r="GAW253" s="23"/>
      <c r="GBB253" s="26"/>
      <c r="GBF253" s="23"/>
      <c r="GBK253" s="26"/>
      <c r="GBO253" s="23"/>
      <c r="GBT253" s="26"/>
      <c r="GBX253" s="23"/>
      <c r="GCC253" s="26"/>
      <c r="GCG253" s="23"/>
      <c r="GCL253" s="26"/>
      <c r="GCP253" s="23"/>
      <c r="GCU253" s="26"/>
      <c r="GCY253" s="23"/>
      <c r="GDD253" s="26"/>
      <c r="GDH253" s="23"/>
      <c r="GDM253" s="26"/>
      <c r="GDQ253" s="23"/>
      <c r="GDV253" s="26"/>
      <c r="GDZ253" s="23"/>
      <c r="GEE253" s="26"/>
      <c r="GEI253" s="23"/>
      <c r="GEN253" s="26"/>
      <c r="GER253" s="23"/>
      <c r="GEW253" s="26"/>
      <c r="GFA253" s="23"/>
      <c r="GFF253" s="26"/>
      <c r="GFJ253" s="23"/>
      <c r="GFO253" s="26"/>
      <c r="GFS253" s="23"/>
      <c r="GFX253" s="26"/>
      <c r="GGB253" s="23"/>
      <c r="GGG253" s="26"/>
      <c r="GGK253" s="23"/>
      <c r="GGP253" s="26"/>
      <c r="GGT253" s="23"/>
      <c r="GGY253" s="26"/>
      <c r="GHC253" s="23"/>
      <c r="GHH253" s="26"/>
      <c r="GHL253" s="23"/>
      <c r="GHQ253" s="26"/>
      <c r="GHU253" s="23"/>
      <c r="GHZ253" s="26"/>
      <c r="GID253" s="23"/>
      <c r="GII253" s="26"/>
      <c r="GIM253" s="23"/>
      <c r="GIR253" s="26"/>
      <c r="GIV253" s="23"/>
      <c r="GJA253" s="26"/>
      <c r="GJE253" s="23"/>
      <c r="GJJ253" s="26"/>
      <c r="GJN253" s="23"/>
      <c r="GJS253" s="26"/>
      <c r="GJW253" s="23"/>
      <c r="GKB253" s="26"/>
      <c r="GKF253" s="23"/>
      <c r="GKK253" s="26"/>
      <c r="GKO253" s="23"/>
      <c r="GKT253" s="26"/>
      <c r="GKX253" s="23"/>
      <c r="GLC253" s="26"/>
      <c r="GLG253" s="23"/>
      <c r="GLL253" s="26"/>
      <c r="GLP253" s="23"/>
      <c r="GLU253" s="26"/>
      <c r="GLY253" s="23"/>
      <c r="GMD253" s="26"/>
      <c r="GMH253" s="23"/>
      <c r="GMM253" s="26"/>
      <c r="GMQ253" s="23"/>
      <c r="GMV253" s="26"/>
      <c r="GMZ253" s="23"/>
      <c r="GNE253" s="26"/>
      <c r="GNI253" s="23"/>
      <c r="GNN253" s="26"/>
      <c r="GNR253" s="23"/>
      <c r="GNW253" s="26"/>
      <c r="GOA253" s="23"/>
      <c r="GOF253" s="26"/>
      <c r="GOJ253" s="23"/>
      <c r="GOO253" s="26"/>
      <c r="GOS253" s="23"/>
      <c r="GOX253" s="26"/>
      <c r="GPB253" s="23"/>
      <c r="GPG253" s="26"/>
      <c r="GPK253" s="23"/>
      <c r="GPP253" s="26"/>
      <c r="GPT253" s="23"/>
      <c r="GPY253" s="26"/>
      <c r="GQC253" s="23"/>
      <c r="GQH253" s="26"/>
      <c r="GQL253" s="23"/>
      <c r="GQQ253" s="26"/>
      <c r="GQU253" s="23"/>
      <c r="GQZ253" s="26"/>
      <c r="GRD253" s="23"/>
      <c r="GRI253" s="26"/>
      <c r="GRM253" s="23"/>
      <c r="GRR253" s="26"/>
      <c r="GRV253" s="23"/>
      <c r="GSA253" s="26"/>
      <c r="GSE253" s="23"/>
      <c r="GSJ253" s="26"/>
      <c r="GSN253" s="23"/>
      <c r="GSS253" s="26"/>
      <c r="GSW253" s="23"/>
      <c r="GTB253" s="26"/>
      <c r="GTF253" s="23"/>
      <c r="GTK253" s="26"/>
      <c r="GTO253" s="23"/>
      <c r="GTT253" s="26"/>
      <c r="GTX253" s="23"/>
      <c r="GUC253" s="26"/>
      <c r="GUG253" s="23"/>
      <c r="GUL253" s="26"/>
      <c r="GUP253" s="23"/>
      <c r="GUU253" s="26"/>
      <c r="GUY253" s="23"/>
      <c r="GVD253" s="26"/>
      <c r="GVH253" s="23"/>
      <c r="GVM253" s="26"/>
      <c r="GVQ253" s="23"/>
      <c r="GVV253" s="26"/>
      <c r="GVZ253" s="23"/>
      <c r="GWE253" s="26"/>
      <c r="GWI253" s="23"/>
      <c r="GWN253" s="26"/>
      <c r="GWR253" s="23"/>
      <c r="GWW253" s="26"/>
      <c r="GXA253" s="23"/>
      <c r="GXF253" s="26"/>
      <c r="GXJ253" s="23"/>
      <c r="GXO253" s="26"/>
      <c r="GXS253" s="23"/>
      <c r="GXX253" s="26"/>
      <c r="GYB253" s="23"/>
      <c r="GYG253" s="26"/>
      <c r="GYK253" s="23"/>
      <c r="GYP253" s="26"/>
      <c r="GYT253" s="23"/>
      <c r="GYY253" s="26"/>
      <c r="GZC253" s="23"/>
      <c r="GZH253" s="26"/>
      <c r="GZL253" s="23"/>
      <c r="GZQ253" s="26"/>
      <c r="GZU253" s="23"/>
      <c r="GZZ253" s="26"/>
      <c r="HAD253" s="23"/>
      <c r="HAI253" s="26"/>
      <c r="HAM253" s="23"/>
      <c r="HAR253" s="26"/>
      <c r="HAV253" s="23"/>
      <c r="HBA253" s="26"/>
      <c r="HBE253" s="23"/>
      <c r="HBJ253" s="26"/>
      <c r="HBN253" s="23"/>
      <c r="HBS253" s="26"/>
      <c r="HBW253" s="23"/>
      <c r="HCB253" s="26"/>
      <c r="HCF253" s="23"/>
      <c r="HCK253" s="26"/>
      <c r="HCO253" s="23"/>
      <c r="HCT253" s="26"/>
      <c r="HCX253" s="23"/>
      <c r="HDC253" s="26"/>
      <c r="HDG253" s="23"/>
      <c r="HDL253" s="26"/>
      <c r="HDP253" s="23"/>
      <c r="HDU253" s="26"/>
      <c r="HDY253" s="23"/>
      <c r="HED253" s="26"/>
      <c r="HEH253" s="23"/>
      <c r="HEM253" s="26"/>
      <c r="HEQ253" s="23"/>
      <c r="HEV253" s="26"/>
      <c r="HEZ253" s="23"/>
      <c r="HFE253" s="26"/>
      <c r="HFI253" s="23"/>
      <c r="HFN253" s="26"/>
      <c r="HFR253" s="23"/>
      <c r="HFW253" s="26"/>
      <c r="HGA253" s="23"/>
      <c r="HGF253" s="26"/>
      <c r="HGJ253" s="23"/>
      <c r="HGO253" s="26"/>
      <c r="HGS253" s="23"/>
      <c r="HGX253" s="26"/>
      <c r="HHB253" s="23"/>
      <c r="HHG253" s="26"/>
      <c r="HHK253" s="23"/>
      <c r="HHP253" s="26"/>
      <c r="HHT253" s="23"/>
      <c r="HHY253" s="26"/>
      <c r="HIC253" s="23"/>
      <c r="HIH253" s="26"/>
      <c r="HIL253" s="23"/>
      <c r="HIQ253" s="26"/>
      <c r="HIU253" s="23"/>
      <c r="HIZ253" s="26"/>
      <c r="HJD253" s="23"/>
      <c r="HJI253" s="26"/>
      <c r="HJM253" s="23"/>
      <c r="HJR253" s="26"/>
      <c r="HJV253" s="23"/>
      <c r="HKA253" s="26"/>
      <c r="HKE253" s="23"/>
      <c r="HKJ253" s="26"/>
      <c r="HKN253" s="23"/>
      <c r="HKS253" s="26"/>
      <c r="HKW253" s="23"/>
      <c r="HLB253" s="26"/>
      <c r="HLF253" s="23"/>
      <c r="HLK253" s="26"/>
      <c r="HLO253" s="23"/>
      <c r="HLT253" s="26"/>
      <c r="HLX253" s="23"/>
      <c r="HMC253" s="26"/>
      <c r="HMG253" s="23"/>
      <c r="HML253" s="26"/>
      <c r="HMP253" s="23"/>
      <c r="HMU253" s="26"/>
      <c r="HMY253" s="23"/>
      <c r="HND253" s="26"/>
      <c r="HNH253" s="23"/>
      <c r="HNM253" s="26"/>
      <c r="HNQ253" s="23"/>
      <c r="HNV253" s="26"/>
      <c r="HNZ253" s="23"/>
      <c r="HOE253" s="26"/>
      <c r="HOI253" s="23"/>
      <c r="HON253" s="26"/>
      <c r="HOR253" s="23"/>
      <c r="HOW253" s="26"/>
      <c r="HPA253" s="23"/>
      <c r="HPF253" s="26"/>
      <c r="HPJ253" s="23"/>
      <c r="HPO253" s="26"/>
      <c r="HPS253" s="23"/>
      <c r="HPX253" s="26"/>
      <c r="HQB253" s="23"/>
      <c r="HQG253" s="26"/>
      <c r="HQK253" s="23"/>
      <c r="HQP253" s="26"/>
      <c r="HQT253" s="23"/>
      <c r="HQY253" s="26"/>
      <c r="HRC253" s="23"/>
      <c r="HRH253" s="26"/>
      <c r="HRL253" s="23"/>
      <c r="HRQ253" s="26"/>
      <c r="HRU253" s="23"/>
      <c r="HRZ253" s="26"/>
      <c r="HSD253" s="23"/>
      <c r="HSI253" s="26"/>
      <c r="HSM253" s="23"/>
      <c r="HSR253" s="26"/>
      <c r="HSV253" s="23"/>
      <c r="HTA253" s="26"/>
      <c r="HTE253" s="23"/>
      <c r="HTJ253" s="26"/>
      <c r="HTN253" s="23"/>
      <c r="HTS253" s="26"/>
      <c r="HTW253" s="23"/>
      <c r="HUB253" s="26"/>
      <c r="HUF253" s="23"/>
      <c r="HUK253" s="26"/>
      <c r="HUO253" s="23"/>
      <c r="HUT253" s="26"/>
      <c r="HUX253" s="23"/>
      <c r="HVC253" s="26"/>
      <c r="HVG253" s="23"/>
      <c r="HVL253" s="26"/>
      <c r="HVP253" s="23"/>
      <c r="HVU253" s="26"/>
      <c r="HVY253" s="23"/>
      <c r="HWD253" s="26"/>
      <c r="HWH253" s="23"/>
      <c r="HWM253" s="26"/>
      <c r="HWQ253" s="23"/>
      <c r="HWV253" s="26"/>
      <c r="HWZ253" s="23"/>
      <c r="HXE253" s="26"/>
      <c r="HXI253" s="23"/>
      <c r="HXN253" s="26"/>
      <c r="HXR253" s="23"/>
      <c r="HXW253" s="26"/>
      <c r="HYA253" s="23"/>
      <c r="HYF253" s="26"/>
      <c r="HYJ253" s="23"/>
      <c r="HYO253" s="26"/>
      <c r="HYS253" s="23"/>
      <c r="HYX253" s="26"/>
      <c r="HZB253" s="23"/>
      <c r="HZG253" s="26"/>
      <c r="HZK253" s="23"/>
      <c r="HZP253" s="26"/>
      <c r="HZT253" s="23"/>
      <c r="HZY253" s="26"/>
      <c r="IAC253" s="23"/>
      <c r="IAH253" s="26"/>
      <c r="IAL253" s="23"/>
      <c r="IAQ253" s="26"/>
      <c r="IAU253" s="23"/>
      <c r="IAZ253" s="26"/>
      <c r="IBD253" s="23"/>
      <c r="IBI253" s="26"/>
      <c r="IBM253" s="23"/>
      <c r="IBR253" s="26"/>
      <c r="IBV253" s="23"/>
      <c r="ICA253" s="26"/>
      <c r="ICE253" s="23"/>
      <c r="ICJ253" s="26"/>
      <c r="ICN253" s="23"/>
      <c r="ICS253" s="26"/>
      <c r="ICW253" s="23"/>
      <c r="IDB253" s="26"/>
      <c r="IDF253" s="23"/>
      <c r="IDK253" s="26"/>
      <c r="IDO253" s="23"/>
      <c r="IDT253" s="26"/>
      <c r="IDX253" s="23"/>
      <c r="IEC253" s="26"/>
      <c r="IEG253" s="23"/>
      <c r="IEL253" s="26"/>
      <c r="IEP253" s="23"/>
      <c r="IEU253" s="26"/>
      <c r="IEY253" s="23"/>
      <c r="IFD253" s="26"/>
      <c r="IFH253" s="23"/>
      <c r="IFM253" s="26"/>
      <c r="IFQ253" s="23"/>
      <c r="IFV253" s="26"/>
      <c r="IFZ253" s="23"/>
      <c r="IGE253" s="26"/>
      <c r="IGI253" s="23"/>
      <c r="IGN253" s="26"/>
      <c r="IGR253" s="23"/>
      <c r="IGW253" s="26"/>
      <c r="IHA253" s="23"/>
      <c r="IHF253" s="26"/>
      <c r="IHJ253" s="23"/>
      <c r="IHO253" s="26"/>
      <c r="IHS253" s="23"/>
      <c r="IHX253" s="26"/>
      <c r="IIB253" s="23"/>
      <c r="IIG253" s="26"/>
      <c r="IIK253" s="23"/>
      <c r="IIP253" s="26"/>
      <c r="IIT253" s="23"/>
      <c r="IIY253" s="26"/>
      <c r="IJC253" s="23"/>
      <c r="IJH253" s="26"/>
      <c r="IJL253" s="23"/>
      <c r="IJQ253" s="26"/>
      <c r="IJU253" s="23"/>
      <c r="IJZ253" s="26"/>
      <c r="IKD253" s="23"/>
      <c r="IKI253" s="26"/>
      <c r="IKM253" s="23"/>
      <c r="IKR253" s="26"/>
      <c r="IKV253" s="23"/>
      <c r="ILA253" s="26"/>
      <c r="ILE253" s="23"/>
      <c r="ILJ253" s="26"/>
      <c r="ILN253" s="23"/>
      <c r="ILS253" s="26"/>
      <c r="ILW253" s="23"/>
      <c r="IMB253" s="26"/>
      <c r="IMF253" s="23"/>
      <c r="IMK253" s="26"/>
      <c r="IMO253" s="23"/>
      <c r="IMT253" s="26"/>
      <c r="IMX253" s="23"/>
      <c r="INC253" s="26"/>
      <c r="ING253" s="23"/>
      <c r="INL253" s="26"/>
      <c r="INP253" s="23"/>
      <c r="INU253" s="26"/>
      <c r="INY253" s="23"/>
      <c r="IOD253" s="26"/>
      <c r="IOH253" s="23"/>
      <c r="IOM253" s="26"/>
      <c r="IOQ253" s="23"/>
      <c r="IOV253" s="26"/>
      <c r="IOZ253" s="23"/>
      <c r="IPE253" s="26"/>
      <c r="IPI253" s="23"/>
      <c r="IPN253" s="26"/>
      <c r="IPR253" s="23"/>
      <c r="IPW253" s="26"/>
      <c r="IQA253" s="23"/>
      <c r="IQF253" s="26"/>
      <c r="IQJ253" s="23"/>
      <c r="IQO253" s="26"/>
      <c r="IQS253" s="23"/>
      <c r="IQX253" s="26"/>
      <c r="IRB253" s="23"/>
      <c r="IRG253" s="26"/>
      <c r="IRK253" s="23"/>
      <c r="IRP253" s="26"/>
      <c r="IRT253" s="23"/>
      <c r="IRY253" s="26"/>
      <c r="ISC253" s="23"/>
      <c r="ISH253" s="26"/>
      <c r="ISL253" s="23"/>
      <c r="ISQ253" s="26"/>
      <c r="ISU253" s="23"/>
      <c r="ISZ253" s="26"/>
      <c r="ITD253" s="23"/>
      <c r="ITI253" s="26"/>
      <c r="ITM253" s="23"/>
      <c r="ITR253" s="26"/>
      <c r="ITV253" s="23"/>
      <c r="IUA253" s="26"/>
      <c r="IUE253" s="23"/>
      <c r="IUJ253" s="26"/>
      <c r="IUN253" s="23"/>
      <c r="IUS253" s="26"/>
      <c r="IUW253" s="23"/>
      <c r="IVB253" s="26"/>
      <c r="IVF253" s="23"/>
      <c r="IVK253" s="26"/>
      <c r="IVO253" s="23"/>
      <c r="IVT253" s="26"/>
      <c r="IVX253" s="23"/>
      <c r="IWC253" s="26"/>
      <c r="IWG253" s="23"/>
      <c r="IWL253" s="26"/>
      <c r="IWP253" s="23"/>
      <c r="IWU253" s="26"/>
      <c r="IWY253" s="23"/>
      <c r="IXD253" s="26"/>
      <c r="IXH253" s="23"/>
      <c r="IXM253" s="26"/>
      <c r="IXQ253" s="23"/>
      <c r="IXV253" s="26"/>
      <c r="IXZ253" s="23"/>
      <c r="IYE253" s="26"/>
      <c r="IYI253" s="23"/>
      <c r="IYN253" s="26"/>
      <c r="IYR253" s="23"/>
      <c r="IYW253" s="26"/>
      <c r="IZA253" s="23"/>
      <c r="IZF253" s="26"/>
      <c r="IZJ253" s="23"/>
      <c r="IZO253" s="26"/>
      <c r="IZS253" s="23"/>
      <c r="IZX253" s="26"/>
      <c r="JAB253" s="23"/>
      <c r="JAG253" s="26"/>
      <c r="JAK253" s="23"/>
      <c r="JAP253" s="26"/>
      <c r="JAT253" s="23"/>
      <c r="JAY253" s="26"/>
      <c r="JBC253" s="23"/>
      <c r="JBH253" s="26"/>
      <c r="JBL253" s="23"/>
      <c r="JBQ253" s="26"/>
      <c r="JBU253" s="23"/>
      <c r="JBZ253" s="26"/>
      <c r="JCD253" s="23"/>
      <c r="JCI253" s="26"/>
      <c r="JCM253" s="23"/>
      <c r="JCR253" s="26"/>
      <c r="JCV253" s="23"/>
      <c r="JDA253" s="26"/>
      <c r="JDE253" s="23"/>
      <c r="JDJ253" s="26"/>
      <c r="JDN253" s="23"/>
      <c r="JDS253" s="26"/>
      <c r="JDW253" s="23"/>
      <c r="JEB253" s="26"/>
      <c r="JEF253" s="23"/>
      <c r="JEK253" s="26"/>
      <c r="JEO253" s="23"/>
      <c r="JET253" s="26"/>
      <c r="JEX253" s="23"/>
      <c r="JFC253" s="26"/>
      <c r="JFG253" s="23"/>
      <c r="JFL253" s="26"/>
      <c r="JFP253" s="23"/>
      <c r="JFU253" s="26"/>
      <c r="JFY253" s="23"/>
      <c r="JGD253" s="26"/>
      <c r="JGH253" s="23"/>
      <c r="JGM253" s="26"/>
      <c r="JGQ253" s="23"/>
      <c r="JGV253" s="26"/>
      <c r="JGZ253" s="23"/>
      <c r="JHE253" s="26"/>
      <c r="JHI253" s="23"/>
      <c r="JHN253" s="26"/>
      <c r="JHR253" s="23"/>
      <c r="JHW253" s="26"/>
      <c r="JIA253" s="23"/>
      <c r="JIF253" s="26"/>
      <c r="JIJ253" s="23"/>
      <c r="JIO253" s="26"/>
      <c r="JIS253" s="23"/>
      <c r="JIX253" s="26"/>
      <c r="JJB253" s="23"/>
      <c r="JJG253" s="26"/>
      <c r="JJK253" s="23"/>
      <c r="JJP253" s="26"/>
      <c r="JJT253" s="23"/>
      <c r="JJY253" s="26"/>
      <c r="JKC253" s="23"/>
      <c r="JKH253" s="26"/>
      <c r="JKL253" s="23"/>
      <c r="JKQ253" s="26"/>
      <c r="JKU253" s="23"/>
      <c r="JKZ253" s="26"/>
      <c r="JLD253" s="23"/>
      <c r="JLI253" s="26"/>
      <c r="JLM253" s="23"/>
      <c r="JLR253" s="26"/>
      <c r="JLV253" s="23"/>
      <c r="JMA253" s="26"/>
      <c r="JME253" s="23"/>
      <c r="JMJ253" s="26"/>
      <c r="JMN253" s="23"/>
      <c r="JMS253" s="26"/>
      <c r="JMW253" s="23"/>
      <c r="JNB253" s="26"/>
      <c r="JNF253" s="23"/>
      <c r="JNK253" s="26"/>
      <c r="JNO253" s="23"/>
      <c r="JNT253" s="26"/>
      <c r="JNX253" s="23"/>
      <c r="JOC253" s="26"/>
      <c r="JOG253" s="23"/>
      <c r="JOL253" s="26"/>
      <c r="JOP253" s="23"/>
      <c r="JOU253" s="26"/>
      <c r="JOY253" s="23"/>
      <c r="JPD253" s="26"/>
      <c r="JPH253" s="23"/>
      <c r="JPM253" s="26"/>
      <c r="JPQ253" s="23"/>
      <c r="JPV253" s="26"/>
      <c r="JPZ253" s="23"/>
      <c r="JQE253" s="26"/>
      <c r="JQI253" s="23"/>
      <c r="JQN253" s="26"/>
      <c r="JQR253" s="23"/>
      <c r="JQW253" s="26"/>
      <c r="JRA253" s="23"/>
      <c r="JRF253" s="26"/>
      <c r="JRJ253" s="23"/>
      <c r="JRO253" s="26"/>
      <c r="JRS253" s="23"/>
      <c r="JRX253" s="26"/>
      <c r="JSB253" s="23"/>
      <c r="JSG253" s="26"/>
      <c r="JSK253" s="23"/>
      <c r="JSP253" s="26"/>
      <c r="JST253" s="23"/>
      <c r="JSY253" s="26"/>
      <c r="JTC253" s="23"/>
      <c r="JTH253" s="26"/>
      <c r="JTL253" s="23"/>
      <c r="JTQ253" s="26"/>
      <c r="JTU253" s="23"/>
      <c r="JTZ253" s="26"/>
      <c r="JUD253" s="23"/>
      <c r="JUI253" s="26"/>
      <c r="JUM253" s="23"/>
      <c r="JUR253" s="26"/>
      <c r="JUV253" s="23"/>
      <c r="JVA253" s="26"/>
      <c r="JVE253" s="23"/>
      <c r="JVJ253" s="26"/>
      <c r="JVN253" s="23"/>
      <c r="JVS253" s="26"/>
      <c r="JVW253" s="23"/>
      <c r="JWB253" s="26"/>
      <c r="JWF253" s="23"/>
      <c r="JWK253" s="26"/>
      <c r="JWO253" s="23"/>
      <c r="JWT253" s="26"/>
      <c r="JWX253" s="23"/>
      <c r="JXC253" s="26"/>
      <c r="JXG253" s="23"/>
      <c r="JXL253" s="26"/>
      <c r="JXP253" s="23"/>
      <c r="JXU253" s="26"/>
      <c r="JXY253" s="23"/>
      <c r="JYD253" s="26"/>
      <c r="JYH253" s="23"/>
      <c r="JYM253" s="26"/>
      <c r="JYQ253" s="23"/>
      <c r="JYV253" s="26"/>
      <c r="JYZ253" s="23"/>
      <c r="JZE253" s="26"/>
      <c r="JZI253" s="23"/>
      <c r="JZN253" s="26"/>
      <c r="JZR253" s="23"/>
      <c r="JZW253" s="26"/>
      <c r="KAA253" s="23"/>
      <c r="KAF253" s="26"/>
      <c r="KAJ253" s="23"/>
      <c r="KAO253" s="26"/>
      <c r="KAS253" s="23"/>
      <c r="KAX253" s="26"/>
      <c r="KBB253" s="23"/>
      <c r="KBG253" s="26"/>
      <c r="KBK253" s="23"/>
      <c r="KBP253" s="26"/>
      <c r="KBT253" s="23"/>
      <c r="KBY253" s="26"/>
      <c r="KCC253" s="23"/>
      <c r="KCH253" s="26"/>
      <c r="KCL253" s="23"/>
      <c r="KCQ253" s="26"/>
      <c r="KCU253" s="23"/>
      <c r="KCZ253" s="26"/>
      <c r="KDD253" s="23"/>
      <c r="KDI253" s="26"/>
      <c r="KDM253" s="23"/>
      <c r="KDR253" s="26"/>
      <c r="KDV253" s="23"/>
      <c r="KEA253" s="26"/>
      <c r="KEE253" s="23"/>
      <c r="KEJ253" s="26"/>
      <c r="KEN253" s="23"/>
      <c r="KES253" s="26"/>
      <c r="KEW253" s="23"/>
      <c r="KFB253" s="26"/>
      <c r="KFF253" s="23"/>
      <c r="KFK253" s="26"/>
      <c r="KFO253" s="23"/>
      <c r="KFT253" s="26"/>
      <c r="KFX253" s="23"/>
      <c r="KGC253" s="26"/>
      <c r="KGG253" s="23"/>
      <c r="KGL253" s="26"/>
      <c r="KGP253" s="23"/>
      <c r="KGU253" s="26"/>
      <c r="KGY253" s="23"/>
      <c r="KHD253" s="26"/>
      <c r="KHH253" s="23"/>
      <c r="KHM253" s="26"/>
      <c r="KHQ253" s="23"/>
      <c r="KHV253" s="26"/>
      <c r="KHZ253" s="23"/>
      <c r="KIE253" s="26"/>
      <c r="KII253" s="23"/>
      <c r="KIN253" s="26"/>
      <c r="KIR253" s="23"/>
      <c r="KIW253" s="26"/>
      <c r="KJA253" s="23"/>
      <c r="KJF253" s="26"/>
      <c r="KJJ253" s="23"/>
      <c r="KJO253" s="26"/>
      <c r="KJS253" s="23"/>
      <c r="KJX253" s="26"/>
      <c r="KKB253" s="23"/>
      <c r="KKG253" s="26"/>
      <c r="KKK253" s="23"/>
      <c r="KKP253" s="26"/>
      <c r="KKT253" s="23"/>
      <c r="KKY253" s="26"/>
      <c r="KLC253" s="23"/>
      <c r="KLH253" s="26"/>
      <c r="KLL253" s="23"/>
      <c r="KLQ253" s="26"/>
      <c r="KLU253" s="23"/>
      <c r="KLZ253" s="26"/>
      <c r="KMD253" s="23"/>
      <c r="KMI253" s="26"/>
      <c r="KMM253" s="23"/>
      <c r="KMR253" s="26"/>
      <c r="KMV253" s="23"/>
      <c r="KNA253" s="26"/>
      <c r="KNE253" s="23"/>
      <c r="KNJ253" s="26"/>
      <c r="KNN253" s="23"/>
      <c r="KNS253" s="26"/>
      <c r="KNW253" s="23"/>
      <c r="KOB253" s="26"/>
      <c r="KOF253" s="23"/>
      <c r="KOK253" s="26"/>
      <c r="KOO253" s="23"/>
      <c r="KOT253" s="26"/>
      <c r="KOX253" s="23"/>
      <c r="KPC253" s="26"/>
      <c r="KPG253" s="23"/>
      <c r="KPL253" s="26"/>
      <c r="KPP253" s="23"/>
      <c r="KPU253" s="26"/>
      <c r="KPY253" s="23"/>
      <c r="KQD253" s="26"/>
      <c r="KQH253" s="23"/>
      <c r="KQM253" s="26"/>
      <c r="KQQ253" s="23"/>
      <c r="KQV253" s="26"/>
      <c r="KQZ253" s="23"/>
      <c r="KRE253" s="26"/>
      <c r="KRI253" s="23"/>
      <c r="KRN253" s="26"/>
      <c r="KRR253" s="23"/>
      <c r="KRW253" s="26"/>
      <c r="KSA253" s="23"/>
      <c r="KSF253" s="26"/>
      <c r="KSJ253" s="23"/>
      <c r="KSO253" s="26"/>
      <c r="KSS253" s="23"/>
      <c r="KSX253" s="26"/>
      <c r="KTB253" s="23"/>
      <c r="KTG253" s="26"/>
      <c r="KTK253" s="23"/>
      <c r="KTP253" s="26"/>
      <c r="KTT253" s="23"/>
      <c r="KTY253" s="26"/>
      <c r="KUC253" s="23"/>
      <c r="KUH253" s="26"/>
      <c r="KUL253" s="23"/>
      <c r="KUQ253" s="26"/>
      <c r="KUU253" s="23"/>
      <c r="KUZ253" s="26"/>
      <c r="KVD253" s="23"/>
      <c r="KVI253" s="26"/>
      <c r="KVM253" s="23"/>
      <c r="KVR253" s="26"/>
      <c r="KVV253" s="23"/>
      <c r="KWA253" s="26"/>
      <c r="KWE253" s="23"/>
      <c r="KWJ253" s="26"/>
      <c r="KWN253" s="23"/>
      <c r="KWS253" s="26"/>
      <c r="KWW253" s="23"/>
      <c r="KXB253" s="26"/>
      <c r="KXF253" s="23"/>
      <c r="KXK253" s="26"/>
      <c r="KXO253" s="23"/>
      <c r="KXT253" s="26"/>
      <c r="KXX253" s="23"/>
      <c r="KYC253" s="26"/>
      <c r="KYG253" s="23"/>
      <c r="KYL253" s="26"/>
      <c r="KYP253" s="23"/>
      <c r="KYU253" s="26"/>
      <c r="KYY253" s="23"/>
      <c r="KZD253" s="26"/>
      <c r="KZH253" s="23"/>
      <c r="KZM253" s="26"/>
      <c r="KZQ253" s="23"/>
      <c r="KZV253" s="26"/>
      <c r="KZZ253" s="23"/>
      <c r="LAE253" s="26"/>
      <c r="LAI253" s="23"/>
      <c r="LAN253" s="26"/>
      <c r="LAR253" s="23"/>
      <c r="LAW253" s="26"/>
      <c r="LBA253" s="23"/>
      <c r="LBF253" s="26"/>
      <c r="LBJ253" s="23"/>
      <c r="LBO253" s="26"/>
      <c r="LBS253" s="23"/>
      <c r="LBX253" s="26"/>
      <c r="LCB253" s="23"/>
      <c r="LCG253" s="26"/>
      <c r="LCK253" s="23"/>
      <c r="LCP253" s="26"/>
      <c r="LCT253" s="23"/>
      <c r="LCY253" s="26"/>
      <c r="LDC253" s="23"/>
      <c r="LDH253" s="26"/>
      <c r="LDL253" s="23"/>
      <c r="LDQ253" s="26"/>
      <c r="LDU253" s="23"/>
      <c r="LDZ253" s="26"/>
      <c r="LED253" s="23"/>
      <c r="LEI253" s="26"/>
      <c r="LEM253" s="23"/>
      <c r="LER253" s="26"/>
      <c r="LEV253" s="23"/>
      <c r="LFA253" s="26"/>
      <c r="LFE253" s="23"/>
      <c r="LFJ253" s="26"/>
      <c r="LFN253" s="23"/>
      <c r="LFS253" s="26"/>
      <c r="LFW253" s="23"/>
      <c r="LGB253" s="26"/>
      <c r="LGF253" s="23"/>
      <c r="LGK253" s="26"/>
      <c r="LGO253" s="23"/>
      <c r="LGT253" s="26"/>
      <c r="LGX253" s="23"/>
      <c r="LHC253" s="26"/>
      <c r="LHG253" s="23"/>
      <c r="LHL253" s="26"/>
      <c r="LHP253" s="23"/>
      <c r="LHU253" s="26"/>
      <c r="LHY253" s="23"/>
      <c r="LID253" s="26"/>
      <c r="LIH253" s="23"/>
      <c r="LIM253" s="26"/>
      <c r="LIQ253" s="23"/>
      <c r="LIV253" s="26"/>
      <c r="LIZ253" s="23"/>
      <c r="LJE253" s="26"/>
      <c r="LJI253" s="23"/>
      <c r="LJN253" s="26"/>
      <c r="LJR253" s="23"/>
      <c r="LJW253" s="26"/>
      <c r="LKA253" s="23"/>
      <c r="LKF253" s="26"/>
      <c r="LKJ253" s="23"/>
      <c r="LKO253" s="26"/>
      <c r="LKS253" s="23"/>
      <c r="LKX253" s="26"/>
      <c r="LLB253" s="23"/>
      <c r="LLG253" s="26"/>
      <c r="LLK253" s="23"/>
      <c r="LLP253" s="26"/>
      <c r="LLT253" s="23"/>
      <c r="LLY253" s="26"/>
      <c r="LMC253" s="23"/>
      <c r="LMH253" s="26"/>
      <c r="LML253" s="23"/>
      <c r="LMQ253" s="26"/>
      <c r="LMU253" s="23"/>
      <c r="LMZ253" s="26"/>
      <c r="LND253" s="23"/>
      <c r="LNI253" s="26"/>
      <c r="LNM253" s="23"/>
      <c r="LNR253" s="26"/>
      <c r="LNV253" s="23"/>
      <c r="LOA253" s="26"/>
      <c r="LOE253" s="23"/>
      <c r="LOJ253" s="26"/>
      <c r="LON253" s="23"/>
      <c r="LOS253" s="26"/>
      <c r="LOW253" s="23"/>
      <c r="LPB253" s="26"/>
      <c r="LPF253" s="23"/>
      <c r="LPK253" s="26"/>
      <c r="LPO253" s="23"/>
      <c r="LPT253" s="26"/>
      <c r="LPX253" s="23"/>
      <c r="LQC253" s="26"/>
      <c r="LQG253" s="23"/>
      <c r="LQL253" s="26"/>
      <c r="LQP253" s="23"/>
      <c r="LQU253" s="26"/>
      <c r="LQY253" s="23"/>
      <c r="LRD253" s="26"/>
      <c r="LRH253" s="23"/>
      <c r="LRM253" s="26"/>
      <c r="LRQ253" s="23"/>
      <c r="LRV253" s="26"/>
      <c r="LRZ253" s="23"/>
      <c r="LSE253" s="26"/>
      <c r="LSI253" s="23"/>
      <c r="LSN253" s="26"/>
      <c r="LSR253" s="23"/>
      <c r="LSW253" s="26"/>
      <c r="LTA253" s="23"/>
      <c r="LTF253" s="26"/>
      <c r="LTJ253" s="23"/>
      <c r="LTO253" s="26"/>
      <c r="LTS253" s="23"/>
      <c r="LTX253" s="26"/>
      <c r="LUB253" s="23"/>
      <c r="LUG253" s="26"/>
      <c r="LUK253" s="23"/>
      <c r="LUP253" s="26"/>
      <c r="LUT253" s="23"/>
      <c r="LUY253" s="26"/>
      <c r="LVC253" s="23"/>
      <c r="LVH253" s="26"/>
      <c r="LVL253" s="23"/>
      <c r="LVQ253" s="26"/>
      <c r="LVU253" s="23"/>
      <c r="LVZ253" s="26"/>
      <c r="LWD253" s="23"/>
      <c r="LWI253" s="26"/>
      <c r="LWM253" s="23"/>
      <c r="LWR253" s="26"/>
      <c r="LWV253" s="23"/>
      <c r="LXA253" s="26"/>
      <c r="LXE253" s="23"/>
      <c r="LXJ253" s="26"/>
      <c r="LXN253" s="23"/>
      <c r="LXS253" s="26"/>
      <c r="LXW253" s="23"/>
      <c r="LYB253" s="26"/>
      <c r="LYF253" s="23"/>
      <c r="LYK253" s="26"/>
      <c r="LYO253" s="23"/>
      <c r="LYT253" s="26"/>
      <c r="LYX253" s="23"/>
      <c r="LZC253" s="26"/>
      <c r="LZG253" s="23"/>
      <c r="LZL253" s="26"/>
      <c r="LZP253" s="23"/>
      <c r="LZU253" s="26"/>
      <c r="LZY253" s="23"/>
      <c r="MAD253" s="26"/>
      <c r="MAH253" s="23"/>
      <c r="MAM253" s="26"/>
      <c r="MAQ253" s="23"/>
      <c r="MAV253" s="26"/>
      <c r="MAZ253" s="23"/>
      <c r="MBE253" s="26"/>
      <c r="MBI253" s="23"/>
      <c r="MBN253" s="26"/>
      <c r="MBR253" s="23"/>
      <c r="MBW253" s="26"/>
      <c r="MCA253" s="23"/>
      <c r="MCF253" s="26"/>
      <c r="MCJ253" s="23"/>
      <c r="MCO253" s="26"/>
      <c r="MCS253" s="23"/>
      <c r="MCX253" s="26"/>
      <c r="MDB253" s="23"/>
      <c r="MDG253" s="26"/>
      <c r="MDK253" s="23"/>
      <c r="MDP253" s="26"/>
      <c r="MDT253" s="23"/>
      <c r="MDY253" s="26"/>
      <c r="MEC253" s="23"/>
      <c r="MEH253" s="26"/>
      <c r="MEL253" s="23"/>
      <c r="MEQ253" s="26"/>
      <c r="MEU253" s="23"/>
      <c r="MEZ253" s="26"/>
      <c r="MFD253" s="23"/>
      <c r="MFI253" s="26"/>
      <c r="MFM253" s="23"/>
      <c r="MFR253" s="26"/>
      <c r="MFV253" s="23"/>
      <c r="MGA253" s="26"/>
      <c r="MGE253" s="23"/>
      <c r="MGJ253" s="26"/>
      <c r="MGN253" s="23"/>
      <c r="MGS253" s="26"/>
      <c r="MGW253" s="23"/>
      <c r="MHB253" s="26"/>
      <c r="MHF253" s="23"/>
      <c r="MHK253" s="26"/>
      <c r="MHO253" s="23"/>
      <c r="MHT253" s="26"/>
      <c r="MHX253" s="23"/>
      <c r="MIC253" s="26"/>
      <c r="MIG253" s="23"/>
      <c r="MIL253" s="26"/>
      <c r="MIP253" s="23"/>
      <c r="MIU253" s="26"/>
      <c r="MIY253" s="23"/>
      <c r="MJD253" s="26"/>
      <c r="MJH253" s="23"/>
      <c r="MJM253" s="26"/>
      <c r="MJQ253" s="23"/>
      <c r="MJV253" s="26"/>
      <c r="MJZ253" s="23"/>
      <c r="MKE253" s="26"/>
      <c r="MKI253" s="23"/>
      <c r="MKN253" s="26"/>
      <c r="MKR253" s="23"/>
      <c r="MKW253" s="26"/>
      <c r="MLA253" s="23"/>
      <c r="MLF253" s="26"/>
      <c r="MLJ253" s="23"/>
      <c r="MLO253" s="26"/>
      <c r="MLS253" s="23"/>
      <c r="MLX253" s="26"/>
      <c r="MMB253" s="23"/>
      <c r="MMG253" s="26"/>
      <c r="MMK253" s="23"/>
      <c r="MMP253" s="26"/>
      <c r="MMT253" s="23"/>
      <c r="MMY253" s="26"/>
      <c r="MNC253" s="23"/>
      <c r="MNH253" s="26"/>
      <c r="MNL253" s="23"/>
      <c r="MNQ253" s="26"/>
      <c r="MNU253" s="23"/>
      <c r="MNZ253" s="26"/>
      <c r="MOD253" s="23"/>
      <c r="MOI253" s="26"/>
      <c r="MOM253" s="23"/>
      <c r="MOR253" s="26"/>
      <c r="MOV253" s="23"/>
      <c r="MPA253" s="26"/>
      <c r="MPE253" s="23"/>
      <c r="MPJ253" s="26"/>
      <c r="MPN253" s="23"/>
      <c r="MPS253" s="26"/>
      <c r="MPW253" s="23"/>
      <c r="MQB253" s="26"/>
      <c r="MQF253" s="23"/>
      <c r="MQK253" s="26"/>
      <c r="MQO253" s="23"/>
      <c r="MQT253" s="26"/>
      <c r="MQX253" s="23"/>
      <c r="MRC253" s="26"/>
      <c r="MRG253" s="23"/>
      <c r="MRL253" s="26"/>
      <c r="MRP253" s="23"/>
      <c r="MRU253" s="26"/>
      <c r="MRY253" s="23"/>
      <c r="MSD253" s="26"/>
      <c r="MSH253" s="23"/>
      <c r="MSM253" s="26"/>
      <c r="MSQ253" s="23"/>
      <c r="MSV253" s="26"/>
      <c r="MSZ253" s="23"/>
      <c r="MTE253" s="26"/>
      <c r="MTI253" s="23"/>
      <c r="MTN253" s="26"/>
      <c r="MTR253" s="23"/>
      <c r="MTW253" s="26"/>
      <c r="MUA253" s="23"/>
      <c r="MUF253" s="26"/>
      <c r="MUJ253" s="23"/>
      <c r="MUO253" s="26"/>
      <c r="MUS253" s="23"/>
      <c r="MUX253" s="26"/>
      <c r="MVB253" s="23"/>
      <c r="MVG253" s="26"/>
      <c r="MVK253" s="23"/>
      <c r="MVP253" s="26"/>
      <c r="MVT253" s="23"/>
      <c r="MVY253" s="26"/>
      <c r="MWC253" s="23"/>
      <c r="MWH253" s="26"/>
      <c r="MWL253" s="23"/>
      <c r="MWQ253" s="26"/>
      <c r="MWU253" s="23"/>
      <c r="MWZ253" s="26"/>
      <c r="MXD253" s="23"/>
      <c r="MXI253" s="26"/>
      <c r="MXM253" s="23"/>
      <c r="MXR253" s="26"/>
      <c r="MXV253" s="23"/>
      <c r="MYA253" s="26"/>
      <c r="MYE253" s="23"/>
      <c r="MYJ253" s="26"/>
      <c r="MYN253" s="23"/>
      <c r="MYS253" s="26"/>
      <c r="MYW253" s="23"/>
      <c r="MZB253" s="26"/>
      <c r="MZF253" s="23"/>
      <c r="MZK253" s="26"/>
      <c r="MZO253" s="23"/>
      <c r="MZT253" s="26"/>
      <c r="MZX253" s="23"/>
      <c r="NAC253" s="26"/>
      <c r="NAG253" s="23"/>
      <c r="NAL253" s="26"/>
      <c r="NAP253" s="23"/>
      <c r="NAU253" s="26"/>
      <c r="NAY253" s="23"/>
      <c r="NBD253" s="26"/>
      <c r="NBH253" s="23"/>
      <c r="NBM253" s="26"/>
      <c r="NBQ253" s="23"/>
      <c r="NBV253" s="26"/>
      <c r="NBZ253" s="23"/>
      <c r="NCE253" s="26"/>
      <c r="NCI253" s="23"/>
      <c r="NCN253" s="26"/>
      <c r="NCR253" s="23"/>
      <c r="NCW253" s="26"/>
      <c r="NDA253" s="23"/>
      <c r="NDF253" s="26"/>
      <c r="NDJ253" s="23"/>
      <c r="NDO253" s="26"/>
      <c r="NDS253" s="23"/>
      <c r="NDX253" s="26"/>
      <c r="NEB253" s="23"/>
      <c r="NEG253" s="26"/>
      <c r="NEK253" s="23"/>
      <c r="NEP253" s="26"/>
      <c r="NET253" s="23"/>
      <c r="NEY253" s="26"/>
      <c r="NFC253" s="23"/>
      <c r="NFH253" s="26"/>
      <c r="NFL253" s="23"/>
      <c r="NFQ253" s="26"/>
      <c r="NFU253" s="23"/>
      <c r="NFZ253" s="26"/>
      <c r="NGD253" s="23"/>
      <c r="NGI253" s="26"/>
      <c r="NGM253" s="23"/>
      <c r="NGR253" s="26"/>
      <c r="NGV253" s="23"/>
      <c r="NHA253" s="26"/>
      <c r="NHE253" s="23"/>
      <c r="NHJ253" s="26"/>
      <c r="NHN253" s="23"/>
      <c r="NHS253" s="26"/>
      <c r="NHW253" s="23"/>
      <c r="NIB253" s="26"/>
      <c r="NIF253" s="23"/>
      <c r="NIK253" s="26"/>
      <c r="NIO253" s="23"/>
      <c r="NIT253" s="26"/>
      <c r="NIX253" s="23"/>
      <c r="NJC253" s="26"/>
      <c r="NJG253" s="23"/>
      <c r="NJL253" s="26"/>
      <c r="NJP253" s="23"/>
      <c r="NJU253" s="26"/>
      <c r="NJY253" s="23"/>
      <c r="NKD253" s="26"/>
      <c r="NKH253" s="23"/>
      <c r="NKM253" s="26"/>
      <c r="NKQ253" s="23"/>
      <c r="NKV253" s="26"/>
      <c r="NKZ253" s="23"/>
      <c r="NLE253" s="26"/>
      <c r="NLI253" s="23"/>
      <c r="NLN253" s="26"/>
      <c r="NLR253" s="23"/>
      <c r="NLW253" s="26"/>
      <c r="NMA253" s="23"/>
      <c r="NMF253" s="26"/>
      <c r="NMJ253" s="23"/>
      <c r="NMO253" s="26"/>
      <c r="NMS253" s="23"/>
      <c r="NMX253" s="26"/>
      <c r="NNB253" s="23"/>
      <c r="NNG253" s="26"/>
      <c r="NNK253" s="23"/>
      <c r="NNP253" s="26"/>
      <c r="NNT253" s="23"/>
      <c r="NNY253" s="26"/>
      <c r="NOC253" s="23"/>
      <c r="NOH253" s="26"/>
      <c r="NOL253" s="23"/>
      <c r="NOQ253" s="26"/>
      <c r="NOU253" s="23"/>
      <c r="NOZ253" s="26"/>
      <c r="NPD253" s="23"/>
      <c r="NPI253" s="26"/>
      <c r="NPM253" s="23"/>
      <c r="NPR253" s="26"/>
      <c r="NPV253" s="23"/>
      <c r="NQA253" s="26"/>
      <c r="NQE253" s="23"/>
      <c r="NQJ253" s="26"/>
      <c r="NQN253" s="23"/>
      <c r="NQS253" s="26"/>
      <c r="NQW253" s="23"/>
      <c r="NRB253" s="26"/>
      <c r="NRF253" s="23"/>
      <c r="NRK253" s="26"/>
      <c r="NRO253" s="23"/>
      <c r="NRT253" s="26"/>
      <c r="NRX253" s="23"/>
      <c r="NSC253" s="26"/>
      <c r="NSG253" s="23"/>
      <c r="NSL253" s="26"/>
      <c r="NSP253" s="23"/>
      <c r="NSU253" s="26"/>
      <c r="NSY253" s="23"/>
      <c r="NTD253" s="26"/>
      <c r="NTH253" s="23"/>
      <c r="NTM253" s="26"/>
      <c r="NTQ253" s="23"/>
      <c r="NTV253" s="26"/>
      <c r="NTZ253" s="23"/>
      <c r="NUE253" s="26"/>
      <c r="NUI253" s="23"/>
      <c r="NUN253" s="26"/>
      <c r="NUR253" s="23"/>
      <c r="NUW253" s="26"/>
      <c r="NVA253" s="23"/>
      <c r="NVF253" s="26"/>
      <c r="NVJ253" s="23"/>
      <c r="NVO253" s="26"/>
      <c r="NVS253" s="23"/>
      <c r="NVX253" s="26"/>
      <c r="NWB253" s="23"/>
      <c r="NWG253" s="26"/>
      <c r="NWK253" s="23"/>
      <c r="NWP253" s="26"/>
      <c r="NWT253" s="23"/>
      <c r="NWY253" s="26"/>
      <c r="NXC253" s="23"/>
      <c r="NXH253" s="26"/>
      <c r="NXL253" s="23"/>
      <c r="NXQ253" s="26"/>
      <c r="NXU253" s="23"/>
      <c r="NXZ253" s="26"/>
      <c r="NYD253" s="23"/>
      <c r="NYI253" s="26"/>
      <c r="NYM253" s="23"/>
      <c r="NYR253" s="26"/>
      <c r="NYV253" s="23"/>
      <c r="NZA253" s="26"/>
      <c r="NZE253" s="23"/>
      <c r="NZJ253" s="26"/>
      <c r="NZN253" s="23"/>
      <c r="NZS253" s="26"/>
      <c r="NZW253" s="23"/>
      <c r="OAB253" s="26"/>
      <c r="OAF253" s="23"/>
      <c r="OAK253" s="26"/>
      <c r="OAO253" s="23"/>
      <c r="OAT253" s="26"/>
      <c r="OAX253" s="23"/>
      <c r="OBC253" s="26"/>
      <c r="OBG253" s="23"/>
      <c r="OBL253" s="26"/>
      <c r="OBP253" s="23"/>
      <c r="OBU253" s="26"/>
      <c r="OBY253" s="23"/>
      <c r="OCD253" s="26"/>
      <c r="OCH253" s="23"/>
      <c r="OCM253" s="26"/>
      <c r="OCQ253" s="23"/>
      <c r="OCV253" s="26"/>
      <c r="OCZ253" s="23"/>
      <c r="ODE253" s="26"/>
      <c r="ODI253" s="23"/>
      <c r="ODN253" s="26"/>
      <c r="ODR253" s="23"/>
      <c r="ODW253" s="26"/>
      <c r="OEA253" s="23"/>
      <c r="OEF253" s="26"/>
      <c r="OEJ253" s="23"/>
      <c r="OEO253" s="26"/>
      <c r="OES253" s="23"/>
      <c r="OEX253" s="26"/>
      <c r="OFB253" s="23"/>
      <c r="OFG253" s="26"/>
      <c r="OFK253" s="23"/>
      <c r="OFP253" s="26"/>
      <c r="OFT253" s="23"/>
      <c r="OFY253" s="26"/>
      <c r="OGC253" s="23"/>
      <c r="OGH253" s="26"/>
      <c r="OGL253" s="23"/>
      <c r="OGQ253" s="26"/>
      <c r="OGU253" s="23"/>
      <c r="OGZ253" s="26"/>
      <c r="OHD253" s="23"/>
      <c r="OHI253" s="26"/>
      <c r="OHM253" s="23"/>
      <c r="OHR253" s="26"/>
      <c r="OHV253" s="23"/>
      <c r="OIA253" s="26"/>
      <c r="OIE253" s="23"/>
      <c r="OIJ253" s="26"/>
      <c r="OIN253" s="23"/>
      <c r="OIS253" s="26"/>
      <c r="OIW253" s="23"/>
      <c r="OJB253" s="26"/>
      <c r="OJF253" s="23"/>
      <c r="OJK253" s="26"/>
      <c r="OJO253" s="23"/>
      <c r="OJT253" s="26"/>
      <c r="OJX253" s="23"/>
      <c r="OKC253" s="26"/>
      <c r="OKG253" s="23"/>
      <c r="OKL253" s="26"/>
      <c r="OKP253" s="23"/>
      <c r="OKU253" s="26"/>
      <c r="OKY253" s="23"/>
      <c r="OLD253" s="26"/>
      <c r="OLH253" s="23"/>
      <c r="OLM253" s="26"/>
      <c r="OLQ253" s="23"/>
      <c r="OLV253" s="26"/>
      <c r="OLZ253" s="23"/>
      <c r="OME253" s="26"/>
      <c r="OMI253" s="23"/>
      <c r="OMN253" s="26"/>
      <c r="OMR253" s="23"/>
      <c r="OMW253" s="26"/>
      <c r="ONA253" s="23"/>
      <c r="ONF253" s="26"/>
      <c r="ONJ253" s="23"/>
      <c r="ONO253" s="26"/>
      <c r="ONS253" s="23"/>
      <c r="ONX253" s="26"/>
      <c r="OOB253" s="23"/>
      <c r="OOG253" s="26"/>
      <c r="OOK253" s="23"/>
      <c r="OOP253" s="26"/>
      <c r="OOT253" s="23"/>
      <c r="OOY253" s="26"/>
      <c r="OPC253" s="23"/>
      <c r="OPH253" s="26"/>
      <c r="OPL253" s="23"/>
      <c r="OPQ253" s="26"/>
      <c r="OPU253" s="23"/>
      <c r="OPZ253" s="26"/>
      <c r="OQD253" s="23"/>
      <c r="OQI253" s="26"/>
      <c r="OQM253" s="23"/>
      <c r="OQR253" s="26"/>
      <c r="OQV253" s="23"/>
      <c r="ORA253" s="26"/>
      <c r="ORE253" s="23"/>
      <c r="ORJ253" s="26"/>
      <c r="ORN253" s="23"/>
      <c r="ORS253" s="26"/>
      <c r="ORW253" s="23"/>
      <c r="OSB253" s="26"/>
      <c r="OSF253" s="23"/>
      <c r="OSK253" s="26"/>
      <c r="OSO253" s="23"/>
      <c r="OST253" s="26"/>
      <c r="OSX253" s="23"/>
      <c r="OTC253" s="26"/>
      <c r="OTG253" s="23"/>
      <c r="OTL253" s="26"/>
      <c r="OTP253" s="23"/>
      <c r="OTU253" s="26"/>
      <c r="OTY253" s="23"/>
      <c r="OUD253" s="26"/>
      <c r="OUH253" s="23"/>
      <c r="OUM253" s="26"/>
      <c r="OUQ253" s="23"/>
      <c r="OUV253" s="26"/>
      <c r="OUZ253" s="23"/>
      <c r="OVE253" s="26"/>
      <c r="OVI253" s="23"/>
      <c r="OVN253" s="26"/>
      <c r="OVR253" s="23"/>
      <c r="OVW253" s="26"/>
      <c r="OWA253" s="23"/>
      <c r="OWF253" s="26"/>
      <c r="OWJ253" s="23"/>
      <c r="OWO253" s="26"/>
      <c r="OWS253" s="23"/>
      <c r="OWX253" s="26"/>
      <c r="OXB253" s="23"/>
      <c r="OXG253" s="26"/>
      <c r="OXK253" s="23"/>
      <c r="OXP253" s="26"/>
      <c r="OXT253" s="23"/>
      <c r="OXY253" s="26"/>
      <c r="OYC253" s="23"/>
      <c r="OYH253" s="26"/>
      <c r="OYL253" s="23"/>
      <c r="OYQ253" s="26"/>
      <c r="OYU253" s="23"/>
      <c r="OYZ253" s="26"/>
      <c r="OZD253" s="23"/>
      <c r="OZI253" s="26"/>
      <c r="OZM253" s="23"/>
      <c r="OZR253" s="26"/>
      <c r="OZV253" s="23"/>
      <c r="PAA253" s="26"/>
      <c r="PAE253" s="23"/>
      <c r="PAJ253" s="26"/>
      <c r="PAN253" s="23"/>
      <c r="PAS253" s="26"/>
      <c r="PAW253" s="23"/>
      <c r="PBB253" s="26"/>
      <c r="PBF253" s="23"/>
      <c r="PBK253" s="26"/>
      <c r="PBO253" s="23"/>
      <c r="PBT253" s="26"/>
      <c r="PBX253" s="23"/>
      <c r="PCC253" s="26"/>
      <c r="PCG253" s="23"/>
      <c r="PCL253" s="26"/>
      <c r="PCP253" s="23"/>
      <c r="PCU253" s="26"/>
      <c r="PCY253" s="23"/>
      <c r="PDD253" s="26"/>
      <c r="PDH253" s="23"/>
      <c r="PDM253" s="26"/>
      <c r="PDQ253" s="23"/>
      <c r="PDV253" s="26"/>
      <c r="PDZ253" s="23"/>
      <c r="PEE253" s="26"/>
      <c r="PEI253" s="23"/>
      <c r="PEN253" s="26"/>
      <c r="PER253" s="23"/>
      <c r="PEW253" s="26"/>
      <c r="PFA253" s="23"/>
      <c r="PFF253" s="26"/>
      <c r="PFJ253" s="23"/>
      <c r="PFO253" s="26"/>
      <c r="PFS253" s="23"/>
      <c r="PFX253" s="26"/>
      <c r="PGB253" s="23"/>
      <c r="PGG253" s="26"/>
      <c r="PGK253" s="23"/>
      <c r="PGP253" s="26"/>
      <c r="PGT253" s="23"/>
      <c r="PGY253" s="26"/>
      <c r="PHC253" s="23"/>
      <c r="PHH253" s="26"/>
      <c r="PHL253" s="23"/>
      <c r="PHQ253" s="26"/>
      <c r="PHU253" s="23"/>
      <c r="PHZ253" s="26"/>
      <c r="PID253" s="23"/>
      <c r="PII253" s="26"/>
      <c r="PIM253" s="23"/>
      <c r="PIR253" s="26"/>
      <c r="PIV253" s="23"/>
      <c r="PJA253" s="26"/>
      <c r="PJE253" s="23"/>
      <c r="PJJ253" s="26"/>
      <c r="PJN253" s="23"/>
      <c r="PJS253" s="26"/>
      <c r="PJW253" s="23"/>
      <c r="PKB253" s="26"/>
      <c r="PKF253" s="23"/>
      <c r="PKK253" s="26"/>
      <c r="PKO253" s="23"/>
      <c r="PKT253" s="26"/>
      <c r="PKX253" s="23"/>
      <c r="PLC253" s="26"/>
      <c r="PLG253" s="23"/>
      <c r="PLL253" s="26"/>
      <c r="PLP253" s="23"/>
      <c r="PLU253" s="26"/>
      <c r="PLY253" s="23"/>
      <c r="PMD253" s="26"/>
      <c r="PMH253" s="23"/>
      <c r="PMM253" s="26"/>
      <c r="PMQ253" s="23"/>
      <c r="PMV253" s="26"/>
      <c r="PMZ253" s="23"/>
      <c r="PNE253" s="26"/>
      <c r="PNI253" s="23"/>
      <c r="PNN253" s="26"/>
      <c r="PNR253" s="23"/>
      <c r="PNW253" s="26"/>
      <c r="POA253" s="23"/>
      <c r="POF253" s="26"/>
      <c r="POJ253" s="23"/>
      <c r="POO253" s="26"/>
      <c r="POS253" s="23"/>
      <c r="POX253" s="26"/>
      <c r="PPB253" s="23"/>
      <c r="PPG253" s="26"/>
      <c r="PPK253" s="23"/>
      <c r="PPP253" s="26"/>
      <c r="PPT253" s="23"/>
      <c r="PPY253" s="26"/>
      <c r="PQC253" s="23"/>
      <c r="PQH253" s="26"/>
      <c r="PQL253" s="23"/>
      <c r="PQQ253" s="26"/>
      <c r="PQU253" s="23"/>
      <c r="PQZ253" s="26"/>
      <c r="PRD253" s="23"/>
      <c r="PRI253" s="26"/>
      <c r="PRM253" s="23"/>
      <c r="PRR253" s="26"/>
      <c r="PRV253" s="23"/>
      <c r="PSA253" s="26"/>
      <c r="PSE253" s="23"/>
      <c r="PSJ253" s="26"/>
      <c r="PSN253" s="23"/>
      <c r="PSS253" s="26"/>
      <c r="PSW253" s="23"/>
      <c r="PTB253" s="26"/>
      <c r="PTF253" s="23"/>
      <c r="PTK253" s="26"/>
      <c r="PTO253" s="23"/>
      <c r="PTT253" s="26"/>
      <c r="PTX253" s="23"/>
      <c r="PUC253" s="26"/>
      <c r="PUG253" s="23"/>
      <c r="PUL253" s="26"/>
      <c r="PUP253" s="23"/>
      <c r="PUU253" s="26"/>
      <c r="PUY253" s="23"/>
      <c r="PVD253" s="26"/>
      <c r="PVH253" s="23"/>
      <c r="PVM253" s="26"/>
      <c r="PVQ253" s="23"/>
      <c r="PVV253" s="26"/>
      <c r="PVZ253" s="23"/>
      <c r="PWE253" s="26"/>
      <c r="PWI253" s="23"/>
      <c r="PWN253" s="26"/>
      <c r="PWR253" s="23"/>
      <c r="PWW253" s="26"/>
      <c r="PXA253" s="23"/>
      <c r="PXF253" s="26"/>
      <c r="PXJ253" s="23"/>
      <c r="PXO253" s="26"/>
      <c r="PXS253" s="23"/>
      <c r="PXX253" s="26"/>
      <c r="PYB253" s="23"/>
      <c r="PYG253" s="26"/>
      <c r="PYK253" s="23"/>
      <c r="PYP253" s="26"/>
      <c r="PYT253" s="23"/>
      <c r="PYY253" s="26"/>
      <c r="PZC253" s="23"/>
      <c r="PZH253" s="26"/>
      <c r="PZL253" s="23"/>
      <c r="PZQ253" s="26"/>
      <c r="PZU253" s="23"/>
      <c r="PZZ253" s="26"/>
      <c r="QAD253" s="23"/>
      <c r="QAI253" s="26"/>
      <c r="QAM253" s="23"/>
      <c r="QAR253" s="26"/>
      <c r="QAV253" s="23"/>
      <c r="QBA253" s="26"/>
      <c r="QBE253" s="23"/>
      <c r="QBJ253" s="26"/>
      <c r="QBN253" s="23"/>
      <c r="QBS253" s="26"/>
      <c r="QBW253" s="23"/>
      <c r="QCB253" s="26"/>
      <c r="QCF253" s="23"/>
      <c r="QCK253" s="26"/>
      <c r="QCO253" s="23"/>
      <c r="QCT253" s="26"/>
      <c r="QCX253" s="23"/>
      <c r="QDC253" s="26"/>
      <c r="QDG253" s="23"/>
      <c r="QDL253" s="26"/>
      <c r="QDP253" s="23"/>
      <c r="QDU253" s="26"/>
      <c r="QDY253" s="23"/>
      <c r="QED253" s="26"/>
      <c r="QEH253" s="23"/>
      <c r="QEM253" s="26"/>
      <c r="QEQ253" s="23"/>
      <c r="QEV253" s="26"/>
      <c r="QEZ253" s="23"/>
      <c r="QFE253" s="26"/>
      <c r="QFI253" s="23"/>
      <c r="QFN253" s="26"/>
      <c r="QFR253" s="23"/>
      <c r="QFW253" s="26"/>
      <c r="QGA253" s="23"/>
      <c r="QGF253" s="26"/>
      <c r="QGJ253" s="23"/>
      <c r="QGO253" s="26"/>
      <c r="QGS253" s="23"/>
      <c r="QGX253" s="26"/>
      <c r="QHB253" s="23"/>
      <c r="QHG253" s="26"/>
      <c r="QHK253" s="23"/>
      <c r="QHP253" s="26"/>
      <c r="QHT253" s="23"/>
      <c r="QHY253" s="26"/>
      <c r="QIC253" s="23"/>
      <c r="QIH253" s="26"/>
      <c r="QIL253" s="23"/>
      <c r="QIQ253" s="26"/>
      <c r="QIU253" s="23"/>
      <c r="QIZ253" s="26"/>
      <c r="QJD253" s="23"/>
      <c r="QJI253" s="26"/>
      <c r="QJM253" s="23"/>
      <c r="QJR253" s="26"/>
      <c r="QJV253" s="23"/>
      <c r="QKA253" s="26"/>
      <c r="QKE253" s="23"/>
      <c r="QKJ253" s="26"/>
      <c r="QKN253" s="23"/>
      <c r="QKS253" s="26"/>
      <c r="QKW253" s="23"/>
      <c r="QLB253" s="26"/>
      <c r="QLF253" s="23"/>
      <c r="QLK253" s="26"/>
      <c r="QLO253" s="23"/>
      <c r="QLT253" s="26"/>
      <c r="QLX253" s="23"/>
      <c r="QMC253" s="26"/>
      <c r="QMG253" s="23"/>
      <c r="QML253" s="26"/>
      <c r="QMP253" s="23"/>
      <c r="QMU253" s="26"/>
      <c r="QMY253" s="23"/>
      <c r="QND253" s="26"/>
      <c r="QNH253" s="23"/>
      <c r="QNM253" s="26"/>
      <c r="QNQ253" s="23"/>
      <c r="QNV253" s="26"/>
      <c r="QNZ253" s="23"/>
      <c r="QOE253" s="26"/>
      <c r="QOI253" s="23"/>
      <c r="QON253" s="26"/>
      <c r="QOR253" s="23"/>
      <c r="QOW253" s="26"/>
      <c r="QPA253" s="23"/>
      <c r="QPF253" s="26"/>
      <c r="QPJ253" s="23"/>
      <c r="QPO253" s="26"/>
      <c r="QPS253" s="23"/>
      <c r="QPX253" s="26"/>
      <c r="QQB253" s="23"/>
      <c r="QQG253" s="26"/>
      <c r="QQK253" s="23"/>
      <c r="QQP253" s="26"/>
      <c r="QQT253" s="23"/>
      <c r="QQY253" s="26"/>
      <c r="QRC253" s="23"/>
      <c r="QRH253" s="26"/>
      <c r="QRL253" s="23"/>
      <c r="QRQ253" s="26"/>
      <c r="QRU253" s="23"/>
      <c r="QRZ253" s="26"/>
      <c r="QSD253" s="23"/>
      <c r="QSI253" s="26"/>
      <c r="QSM253" s="23"/>
      <c r="QSR253" s="26"/>
      <c r="QSV253" s="23"/>
      <c r="QTA253" s="26"/>
      <c r="QTE253" s="23"/>
      <c r="QTJ253" s="26"/>
      <c r="QTN253" s="23"/>
      <c r="QTS253" s="26"/>
      <c r="QTW253" s="23"/>
      <c r="QUB253" s="26"/>
      <c r="QUF253" s="23"/>
      <c r="QUK253" s="26"/>
      <c r="QUO253" s="23"/>
      <c r="QUT253" s="26"/>
      <c r="QUX253" s="23"/>
      <c r="QVC253" s="26"/>
      <c r="QVG253" s="23"/>
      <c r="QVL253" s="26"/>
      <c r="QVP253" s="23"/>
      <c r="QVU253" s="26"/>
      <c r="QVY253" s="23"/>
      <c r="QWD253" s="26"/>
      <c r="QWH253" s="23"/>
      <c r="QWM253" s="26"/>
      <c r="QWQ253" s="23"/>
      <c r="QWV253" s="26"/>
      <c r="QWZ253" s="23"/>
      <c r="QXE253" s="26"/>
      <c r="QXI253" s="23"/>
      <c r="QXN253" s="26"/>
      <c r="QXR253" s="23"/>
      <c r="QXW253" s="26"/>
      <c r="QYA253" s="23"/>
      <c r="QYF253" s="26"/>
      <c r="QYJ253" s="23"/>
      <c r="QYO253" s="26"/>
      <c r="QYS253" s="23"/>
      <c r="QYX253" s="26"/>
      <c r="QZB253" s="23"/>
      <c r="QZG253" s="26"/>
      <c r="QZK253" s="23"/>
      <c r="QZP253" s="26"/>
      <c r="QZT253" s="23"/>
      <c r="QZY253" s="26"/>
      <c r="RAC253" s="23"/>
      <c r="RAH253" s="26"/>
      <c r="RAL253" s="23"/>
      <c r="RAQ253" s="26"/>
      <c r="RAU253" s="23"/>
      <c r="RAZ253" s="26"/>
      <c r="RBD253" s="23"/>
      <c r="RBI253" s="26"/>
      <c r="RBM253" s="23"/>
      <c r="RBR253" s="26"/>
      <c r="RBV253" s="23"/>
      <c r="RCA253" s="26"/>
      <c r="RCE253" s="23"/>
      <c r="RCJ253" s="26"/>
      <c r="RCN253" s="23"/>
      <c r="RCS253" s="26"/>
      <c r="RCW253" s="23"/>
      <c r="RDB253" s="26"/>
      <c r="RDF253" s="23"/>
      <c r="RDK253" s="26"/>
      <c r="RDO253" s="23"/>
      <c r="RDT253" s="26"/>
      <c r="RDX253" s="23"/>
      <c r="REC253" s="26"/>
      <c r="REG253" s="23"/>
      <c r="REL253" s="26"/>
      <c r="REP253" s="23"/>
      <c r="REU253" s="26"/>
      <c r="REY253" s="23"/>
      <c r="RFD253" s="26"/>
      <c r="RFH253" s="23"/>
      <c r="RFM253" s="26"/>
      <c r="RFQ253" s="23"/>
      <c r="RFV253" s="26"/>
      <c r="RFZ253" s="23"/>
      <c r="RGE253" s="26"/>
      <c r="RGI253" s="23"/>
      <c r="RGN253" s="26"/>
      <c r="RGR253" s="23"/>
      <c r="RGW253" s="26"/>
      <c r="RHA253" s="23"/>
      <c r="RHF253" s="26"/>
      <c r="RHJ253" s="23"/>
      <c r="RHO253" s="26"/>
      <c r="RHS253" s="23"/>
      <c r="RHX253" s="26"/>
      <c r="RIB253" s="23"/>
      <c r="RIG253" s="26"/>
      <c r="RIK253" s="23"/>
      <c r="RIP253" s="26"/>
      <c r="RIT253" s="23"/>
      <c r="RIY253" s="26"/>
      <c r="RJC253" s="23"/>
      <c r="RJH253" s="26"/>
      <c r="RJL253" s="23"/>
      <c r="RJQ253" s="26"/>
      <c r="RJU253" s="23"/>
      <c r="RJZ253" s="26"/>
      <c r="RKD253" s="23"/>
      <c r="RKI253" s="26"/>
      <c r="RKM253" s="23"/>
      <c r="RKR253" s="26"/>
      <c r="RKV253" s="23"/>
      <c r="RLA253" s="26"/>
      <c r="RLE253" s="23"/>
      <c r="RLJ253" s="26"/>
      <c r="RLN253" s="23"/>
      <c r="RLS253" s="26"/>
      <c r="RLW253" s="23"/>
      <c r="RMB253" s="26"/>
      <c r="RMF253" s="23"/>
      <c r="RMK253" s="26"/>
      <c r="RMO253" s="23"/>
      <c r="RMT253" s="26"/>
      <c r="RMX253" s="23"/>
      <c r="RNC253" s="26"/>
      <c r="RNG253" s="23"/>
      <c r="RNL253" s="26"/>
      <c r="RNP253" s="23"/>
      <c r="RNU253" s="26"/>
      <c r="RNY253" s="23"/>
      <c r="ROD253" s="26"/>
      <c r="ROH253" s="23"/>
      <c r="ROM253" s="26"/>
      <c r="ROQ253" s="23"/>
      <c r="ROV253" s="26"/>
      <c r="ROZ253" s="23"/>
      <c r="RPE253" s="26"/>
      <c r="RPI253" s="23"/>
      <c r="RPN253" s="26"/>
      <c r="RPR253" s="23"/>
      <c r="RPW253" s="26"/>
      <c r="RQA253" s="23"/>
      <c r="RQF253" s="26"/>
      <c r="RQJ253" s="23"/>
      <c r="RQO253" s="26"/>
      <c r="RQS253" s="23"/>
      <c r="RQX253" s="26"/>
      <c r="RRB253" s="23"/>
      <c r="RRG253" s="26"/>
      <c r="RRK253" s="23"/>
      <c r="RRP253" s="26"/>
      <c r="RRT253" s="23"/>
      <c r="RRY253" s="26"/>
      <c r="RSC253" s="23"/>
      <c r="RSH253" s="26"/>
      <c r="RSL253" s="23"/>
      <c r="RSQ253" s="26"/>
      <c r="RSU253" s="23"/>
      <c r="RSZ253" s="26"/>
      <c r="RTD253" s="23"/>
      <c r="RTI253" s="26"/>
      <c r="RTM253" s="23"/>
      <c r="RTR253" s="26"/>
      <c r="RTV253" s="23"/>
      <c r="RUA253" s="26"/>
      <c r="RUE253" s="23"/>
      <c r="RUJ253" s="26"/>
      <c r="RUN253" s="23"/>
      <c r="RUS253" s="26"/>
      <c r="RUW253" s="23"/>
      <c r="RVB253" s="26"/>
      <c r="RVF253" s="23"/>
      <c r="RVK253" s="26"/>
      <c r="RVO253" s="23"/>
      <c r="RVT253" s="26"/>
      <c r="RVX253" s="23"/>
      <c r="RWC253" s="26"/>
      <c r="RWG253" s="23"/>
      <c r="RWL253" s="26"/>
      <c r="RWP253" s="23"/>
      <c r="RWU253" s="26"/>
      <c r="RWY253" s="23"/>
      <c r="RXD253" s="26"/>
      <c r="RXH253" s="23"/>
      <c r="RXM253" s="26"/>
      <c r="RXQ253" s="23"/>
      <c r="RXV253" s="26"/>
      <c r="RXZ253" s="23"/>
      <c r="RYE253" s="26"/>
      <c r="RYI253" s="23"/>
      <c r="RYN253" s="26"/>
      <c r="RYR253" s="23"/>
      <c r="RYW253" s="26"/>
      <c r="RZA253" s="23"/>
      <c r="RZF253" s="26"/>
      <c r="RZJ253" s="23"/>
      <c r="RZO253" s="26"/>
      <c r="RZS253" s="23"/>
      <c r="RZX253" s="26"/>
      <c r="SAB253" s="23"/>
      <c r="SAG253" s="26"/>
      <c r="SAK253" s="23"/>
      <c r="SAP253" s="26"/>
      <c r="SAT253" s="23"/>
      <c r="SAY253" s="26"/>
      <c r="SBC253" s="23"/>
      <c r="SBH253" s="26"/>
      <c r="SBL253" s="23"/>
      <c r="SBQ253" s="26"/>
      <c r="SBU253" s="23"/>
      <c r="SBZ253" s="26"/>
      <c r="SCD253" s="23"/>
      <c r="SCI253" s="26"/>
      <c r="SCM253" s="23"/>
      <c r="SCR253" s="26"/>
      <c r="SCV253" s="23"/>
      <c r="SDA253" s="26"/>
      <c r="SDE253" s="23"/>
      <c r="SDJ253" s="26"/>
      <c r="SDN253" s="23"/>
      <c r="SDS253" s="26"/>
      <c r="SDW253" s="23"/>
      <c r="SEB253" s="26"/>
      <c r="SEF253" s="23"/>
      <c r="SEK253" s="26"/>
      <c r="SEO253" s="23"/>
      <c r="SET253" s="26"/>
      <c r="SEX253" s="23"/>
      <c r="SFC253" s="26"/>
      <c r="SFG253" s="23"/>
      <c r="SFL253" s="26"/>
      <c r="SFP253" s="23"/>
      <c r="SFU253" s="26"/>
      <c r="SFY253" s="23"/>
      <c r="SGD253" s="26"/>
      <c r="SGH253" s="23"/>
      <c r="SGM253" s="26"/>
      <c r="SGQ253" s="23"/>
      <c r="SGV253" s="26"/>
      <c r="SGZ253" s="23"/>
      <c r="SHE253" s="26"/>
      <c r="SHI253" s="23"/>
      <c r="SHN253" s="26"/>
      <c r="SHR253" s="23"/>
      <c r="SHW253" s="26"/>
      <c r="SIA253" s="23"/>
      <c r="SIF253" s="26"/>
      <c r="SIJ253" s="23"/>
      <c r="SIO253" s="26"/>
      <c r="SIS253" s="23"/>
      <c r="SIX253" s="26"/>
      <c r="SJB253" s="23"/>
      <c r="SJG253" s="26"/>
      <c r="SJK253" s="23"/>
      <c r="SJP253" s="26"/>
      <c r="SJT253" s="23"/>
      <c r="SJY253" s="26"/>
      <c r="SKC253" s="23"/>
      <c r="SKH253" s="26"/>
      <c r="SKL253" s="23"/>
      <c r="SKQ253" s="26"/>
      <c r="SKU253" s="23"/>
      <c r="SKZ253" s="26"/>
      <c r="SLD253" s="23"/>
      <c r="SLI253" s="26"/>
      <c r="SLM253" s="23"/>
      <c r="SLR253" s="26"/>
      <c r="SLV253" s="23"/>
      <c r="SMA253" s="26"/>
      <c r="SME253" s="23"/>
      <c r="SMJ253" s="26"/>
      <c r="SMN253" s="23"/>
      <c r="SMS253" s="26"/>
      <c r="SMW253" s="23"/>
      <c r="SNB253" s="26"/>
      <c r="SNF253" s="23"/>
      <c r="SNK253" s="26"/>
      <c r="SNO253" s="23"/>
      <c r="SNT253" s="26"/>
      <c r="SNX253" s="23"/>
      <c r="SOC253" s="26"/>
      <c r="SOG253" s="23"/>
      <c r="SOL253" s="26"/>
      <c r="SOP253" s="23"/>
      <c r="SOU253" s="26"/>
      <c r="SOY253" s="23"/>
      <c r="SPD253" s="26"/>
      <c r="SPH253" s="23"/>
      <c r="SPM253" s="26"/>
      <c r="SPQ253" s="23"/>
      <c r="SPV253" s="26"/>
      <c r="SPZ253" s="23"/>
      <c r="SQE253" s="26"/>
      <c r="SQI253" s="23"/>
      <c r="SQN253" s="26"/>
      <c r="SQR253" s="23"/>
      <c r="SQW253" s="26"/>
      <c r="SRA253" s="23"/>
      <c r="SRF253" s="26"/>
      <c r="SRJ253" s="23"/>
      <c r="SRO253" s="26"/>
      <c r="SRS253" s="23"/>
      <c r="SRX253" s="26"/>
      <c r="SSB253" s="23"/>
      <c r="SSG253" s="26"/>
      <c r="SSK253" s="23"/>
      <c r="SSP253" s="26"/>
      <c r="SST253" s="23"/>
      <c r="SSY253" s="26"/>
      <c r="STC253" s="23"/>
      <c r="STH253" s="26"/>
      <c r="STL253" s="23"/>
      <c r="STQ253" s="26"/>
      <c r="STU253" s="23"/>
      <c r="STZ253" s="26"/>
      <c r="SUD253" s="23"/>
      <c r="SUI253" s="26"/>
      <c r="SUM253" s="23"/>
      <c r="SUR253" s="26"/>
      <c r="SUV253" s="23"/>
      <c r="SVA253" s="26"/>
      <c r="SVE253" s="23"/>
      <c r="SVJ253" s="26"/>
      <c r="SVN253" s="23"/>
      <c r="SVS253" s="26"/>
      <c r="SVW253" s="23"/>
      <c r="SWB253" s="26"/>
      <c r="SWF253" s="23"/>
      <c r="SWK253" s="26"/>
      <c r="SWO253" s="23"/>
      <c r="SWT253" s="26"/>
      <c r="SWX253" s="23"/>
      <c r="SXC253" s="26"/>
      <c r="SXG253" s="23"/>
      <c r="SXL253" s="26"/>
      <c r="SXP253" s="23"/>
      <c r="SXU253" s="26"/>
      <c r="SXY253" s="23"/>
      <c r="SYD253" s="26"/>
      <c r="SYH253" s="23"/>
      <c r="SYM253" s="26"/>
      <c r="SYQ253" s="23"/>
      <c r="SYV253" s="26"/>
      <c r="SYZ253" s="23"/>
      <c r="SZE253" s="26"/>
      <c r="SZI253" s="23"/>
      <c r="SZN253" s="26"/>
      <c r="SZR253" s="23"/>
      <c r="SZW253" s="26"/>
      <c r="TAA253" s="23"/>
      <c r="TAF253" s="26"/>
      <c r="TAJ253" s="23"/>
      <c r="TAO253" s="26"/>
      <c r="TAS253" s="23"/>
      <c r="TAX253" s="26"/>
      <c r="TBB253" s="23"/>
      <c r="TBG253" s="26"/>
      <c r="TBK253" s="23"/>
      <c r="TBP253" s="26"/>
      <c r="TBT253" s="23"/>
      <c r="TBY253" s="26"/>
      <c r="TCC253" s="23"/>
      <c r="TCH253" s="26"/>
      <c r="TCL253" s="23"/>
      <c r="TCQ253" s="26"/>
      <c r="TCU253" s="23"/>
      <c r="TCZ253" s="26"/>
      <c r="TDD253" s="23"/>
      <c r="TDI253" s="26"/>
      <c r="TDM253" s="23"/>
      <c r="TDR253" s="26"/>
      <c r="TDV253" s="23"/>
      <c r="TEA253" s="26"/>
      <c r="TEE253" s="23"/>
      <c r="TEJ253" s="26"/>
      <c r="TEN253" s="23"/>
      <c r="TES253" s="26"/>
      <c r="TEW253" s="23"/>
      <c r="TFB253" s="26"/>
      <c r="TFF253" s="23"/>
      <c r="TFK253" s="26"/>
      <c r="TFO253" s="23"/>
      <c r="TFT253" s="26"/>
      <c r="TFX253" s="23"/>
      <c r="TGC253" s="26"/>
      <c r="TGG253" s="23"/>
      <c r="TGL253" s="26"/>
      <c r="TGP253" s="23"/>
      <c r="TGU253" s="26"/>
      <c r="TGY253" s="23"/>
      <c r="THD253" s="26"/>
      <c r="THH253" s="23"/>
      <c r="THM253" s="26"/>
      <c r="THQ253" s="23"/>
      <c r="THV253" s="26"/>
      <c r="THZ253" s="23"/>
      <c r="TIE253" s="26"/>
      <c r="TII253" s="23"/>
      <c r="TIN253" s="26"/>
      <c r="TIR253" s="23"/>
      <c r="TIW253" s="26"/>
      <c r="TJA253" s="23"/>
      <c r="TJF253" s="26"/>
      <c r="TJJ253" s="23"/>
      <c r="TJO253" s="26"/>
      <c r="TJS253" s="23"/>
      <c r="TJX253" s="26"/>
      <c r="TKB253" s="23"/>
      <c r="TKG253" s="26"/>
      <c r="TKK253" s="23"/>
      <c r="TKP253" s="26"/>
      <c r="TKT253" s="23"/>
      <c r="TKY253" s="26"/>
      <c r="TLC253" s="23"/>
      <c r="TLH253" s="26"/>
      <c r="TLL253" s="23"/>
      <c r="TLQ253" s="26"/>
      <c r="TLU253" s="23"/>
      <c r="TLZ253" s="26"/>
      <c r="TMD253" s="23"/>
      <c r="TMI253" s="26"/>
      <c r="TMM253" s="23"/>
      <c r="TMR253" s="26"/>
      <c r="TMV253" s="23"/>
      <c r="TNA253" s="26"/>
      <c r="TNE253" s="23"/>
      <c r="TNJ253" s="26"/>
      <c r="TNN253" s="23"/>
      <c r="TNS253" s="26"/>
      <c r="TNW253" s="23"/>
      <c r="TOB253" s="26"/>
      <c r="TOF253" s="23"/>
      <c r="TOK253" s="26"/>
      <c r="TOO253" s="23"/>
      <c r="TOT253" s="26"/>
      <c r="TOX253" s="23"/>
      <c r="TPC253" s="26"/>
      <c r="TPG253" s="23"/>
      <c r="TPL253" s="26"/>
      <c r="TPP253" s="23"/>
      <c r="TPU253" s="26"/>
      <c r="TPY253" s="23"/>
      <c r="TQD253" s="26"/>
      <c r="TQH253" s="23"/>
      <c r="TQM253" s="26"/>
      <c r="TQQ253" s="23"/>
      <c r="TQV253" s="26"/>
      <c r="TQZ253" s="23"/>
      <c r="TRE253" s="26"/>
      <c r="TRI253" s="23"/>
      <c r="TRN253" s="26"/>
      <c r="TRR253" s="23"/>
      <c r="TRW253" s="26"/>
      <c r="TSA253" s="23"/>
      <c r="TSF253" s="26"/>
      <c r="TSJ253" s="23"/>
      <c r="TSO253" s="26"/>
      <c r="TSS253" s="23"/>
      <c r="TSX253" s="26"/>
      <c r="TTB253" s="23"/>
      <c r="TTG253" s="26"/>
      <c r="TTK253" s="23"/>
      <c r="TTP253" s="26"/>
      <c r="TTT253" s="23"/>
      <c r="TTY253" s="26"/>
      <c r="TUC253" s="23"/>
      <c r="TUH253" s="26"/>
      <c r="TUL253" s="23"/>
      <c r="TUQ253" s="26"/>
      <c r="TUU253" s="23"/>
      <c r="TUZ253" s="26"/>
      <c r="TVD253" s="23"/>
      <c r="TVI253" s="26"/>
      <c r="TVM253" s="23"/>
      <c r="TVR253" s="26"/>
      <c r="TVV253" s="23"/>
      <c r="TWA253" s="26"/>
      <c r="TWE253" s="23"/>
      <c r="TWJ253" s="26"/>
      <c r="TWN253" s="23"/>
      <c r="TWS253" s="26"/>
      <c r="TWW253" s="23"/>
      <c r="TXB253" s="26"/>
      <c r="TXF253" s="23"/>
      <c r="TXK253" s="26"/>
      <c r="TXO253" s="23"/>
      <c r="TXT253" s="26"/>
      <c r="TXX253" s="23"/>
      <c r="TYC253" s="26"/>
      <c r="TYG253" s="23"/>
      <c r="TYL253" s="26"/>
      <c r="TYP253" s="23"/>
      <c r="TYU253" s="26"/>
      <c r="TYY253" s="23"/>
      <c r="TZD253" s="26"/>
      <c r="TZH253" s="23"/>
      <c r="TZM253" s="26"/>
      <c r="TZQ253" s="23"/>
      <c r="TZV253" s="26"/>
      <c r="TZZ253" s="23"/>
      <c r="UAE253" s="26"/>
      <c r="UAI253" s="23"/>
      <c r="UAN253" s="26"/>
      <c r="UAR253" s="23"/>
      <c r="UAW253" s="26"/>
      <c r="UBA253" s="23"/>
      <c r="UBF253" s="26"/>
      <c r="UBJ253" s="23"/>
      <c r="UBO253" s="26"/>
      <c r="UBS253" s="23"/>
      <c r="UBX253" s="26"/>
      <c r="UCB253" s="23"/>
      <c r="UCG253" s="26"/>
      <c r="UCK253" s="23"/>
      <c r="UCP253" s="26"/>
      <c r="UCT253" s="23"/>
      <c r="UCY253" s="26"/>
      <c r="UDC253" s="23"/>
      <c r="UDH253" s="26"/>
      <c r="UDL253" s="23"/>
      <c r="UDQ253" s="26"/>
      <c r="UDU253" s="23"/>
      <c r="UDZ253" s="26"/>
      <c r="UED253" s="23"/>
      <c r="UEI253" s="26"/>
      <c r="UEM253" s="23"/>
      <c r="UER253" s="26"/>
      <c r="UEV253" s="23"/>
      <c r="UFA253" s="26"/>
      <c r="UFE253" s="23"/>
      <c r="UFJ253" s="26"/>
      <c r="UFN253" s="23"/>
      <c r="UFS253" s="26"/>
      <c r="UFW253" s="23"/>
      <c r="UGB253" s="26"/>
      <c r="UGF253" s="23"/>
      <c r="UGK253" s="26"/>
      <c r="UGO253" s="23"/>
      <c r="UGT253" s="26"/>
      <c r="UGX253" s="23"/>
      <c r="UHC253" s="26"/>
      <c r="UHG253" s="23"/>
      <c r="UHL253" s="26"/>
      <c r="UHP253" s="23"/>
      <c r="UHU253" s="26"/>
      <c r="UHY253" s="23"/>
      <c r="UID253" s="26"/>
      <c r="UIH253" s="23"/>
      <c r="UIM253" s="26"/>
      <c r="UIQ253" s="23"/>
      <c r="UIV253" s="26"/>
      <c r="UIZ253" s="23"/>
      <c r="UJE253" s="26"/>
      <c r="UJI253" s="23"/>
      <c r="UJN253" s="26"/>
      <c r="UJR253" s="23"/>
      <c r="UJW253" s="26"/>
      <c r="UKA253" s="23"/>
      <c r="UKF253" s="26"/>
      <c r="UKJ253" s="23"/>
      <c r="UKO253" s="26"/>
      <c r="UKS253" s="23"/>
      <c r="UKX253" s="26"/>
      <c r="ULB253" s="23"/>
      <c r="ULG253" s="26"/>
      <c r="ULK253" s="23"/>
      <c r="ULP253" s="26"/>
      <c r="ULT253" s="23"/>
      <c r="ULY253" s="26"/>
      <c r="UMC253" s="23"/>
      <c r="UMH253" s="26"/>
      <c r="UML253" s="23"/>
      <c r="UMQ253" s="26"/>
      <c r="UMU253" s="23"/>
      <c r="UMZ253" s="26"/>
      <c r="UND253" s="23"/>
      <c r="UNI253" s="26"/>
      <c r="UNM253" s="23"/>
      <c r="UNR253" s="26"/>
      <c r="UNV253" s="23"/>
      <c r="UOA253" s="26"/>
      <c r="UOE253" s="23"/>
      <c r="UOJ253" s="26"/>
      <c r="UON253" s="23"/>
      <c r="UOS253" s="26"/>
      <c r="UOW253" s="23"/>
      <c r="UPB253" s="26"/>
      <c r="UPF253" s="23"/>
      <c r="UPK253" s="26"/>
      <c r="UPO253" s="23"/>
      <c r="UPT253" s="26"/>
      <c r="UPX253" s="23"/>
      <c r="UQC253" s="26"/>
      <c r="UQG253" s="23"/>
      <c r="UQL253" s="26"/>
      <c r="UQP253" s="23"/>
      <c r="UQU253" s="26"/>
      <c r="UQY253" s="23"/>
      <c r="URD253" s="26"/>
      <c r="URH253" s="23"/>
      <c r="URM253" s="26"/>
      <c r="URQ253" s="23"/>
      <c r="URV253" s="26"/>
      <c r="URZ253" s="23"/>
      <c r="USE253" s="26"/>
      <c r="USI253" s="23"/>
      <c r="USN253" s="26"/>
      <c r="USR253" s="23"/>
      <c r="USW253" s="26"/>
      <c r="UTA253" s="23"/>
      <c r="UTF253" s="26"/>
      <c r="UTJ253" s="23"/>
      <c r="UTO253" s="26"/>
      <c r="UTS253" s="23"/>
      <c r="UTX253" s="26"/>
      <c r="UUB253" s="23"/>
      <c r="UUG253" s="26"/>
      <c r="UUK253" s="23"/>
      <c r="UUP253" s="26"/>
      <c r="UUT253" s="23"/>
      <c r="UUY253" s="26"/>
      <c r="UVC253" s="23"/>
      <c r="UVH253" s="26"/>
      <c r="UVL253" s="23"/>
      <c r="UVQ253" s="26"/>
      <c r="UVU253" s="23"/>
      <c r="UVZ253" s="26"/>
      <c r="UWD253" s="23"/>
      <c r="UWI253" s="26"/>
      <c r="UWM253" s="23"/>
      <c r="UWR253" s="26"/>
      <c r="UWV253" s="23"/>
      <c r="UXA253" s="26"/>
      <c r="UXE253" s="23"/>
      <c r="UXJ253" s="26"/>
      <c r="UXN253" s="23"/>
      <c r="UXS253" s="26"/>
      <c r="UXW253" s="23"/>
      <c r="UYB253" s="26"/>
      <c r="UYF253" s="23"/>
      <c r="UYK253" s="26"/>
      <c r="UYO253" s="23"/>
      <c r="UYT253" s="26"/>
      <c r="UYX253" s="23"/>
      <c r="UZC253" s="26"/>
      <c r="UZG253" s="23"/>
      <c r="UZL253" s="26"/>
      <c r="UZP253" s="23"/>
      <c r="UZU253" s="26"/>
      <c r="UZY253" s="23"/>
      <c r="VAD253" s="26"/>
      <c r="VAH253" s="23"/>
      <c r="VAM253" s="26"/>
      <c r="VAQ253" s="23"/>
      <c r="VAV253" s="26"/>
      <c r="VAZ253" s="23"/>
      <c r="VBE253" s="26"/>
      <c r="VBI253" s="23"/>
      <c r="VBN253" s="26"/>
      <c r="VBR253" s="23"/>
      <c r="VBW253" s="26"/>
      <c r="VCA253" s="23"/>
      <c r="VCF253" s="26"/>
      <c r="VCJ253" s="23"/>
      <c r="VCO253" s="26"/>
      <c r="VCS253" s="23"/>
      <c r="VCX253" s="26"/>
      <c r="VDB253" s="23"/>
      <c r="VDG253" s="26"/>
      <c r="VDK253" s="23"/>
      <c r="VDP253" s="26"/>
      <c r="VDT253" s="23"/>
      <c r="VDY253" s="26"/>
      <c r="VEC253" s="23"/>
      <c r="VEH253" s="26"/>
      <c r="VEL253" s="23"/>
      <c r="VEQ253" s="26"/>
      <c r="VEU253" s="23"/>
      <c r="VEZ253" s="26"/>
      <c r="VFD253" s="23"/>
      <c r="VFI253" s="26"/>
      <c r="VFM253" s="23"/>
      <c r="VFR253" s="26"/>
      <c r="VFV253" s="23"/>
      <c r="VGA253" s="26"/>
      <c r="VGE253" s="23"/>
      <c r="VGJ253" s="26"/>
      <c r="VGN253" s="23"/>
      <c r="VGS253" s="26"/>
      <c r="VGW253" s="23"/>
      <c r="VHB253" s="26"/>
      <c r="VHF253" s="23"/>
      <c r="VHK253" s="26"/>
      <c r="VHO253" s="23"/>
      <c r="VHT253" s="26"/>
      <c r="VHX253" s="23"/>
      <c r="VIC253" s="26"/>
      <c r="VIG253" s="23"/>
      <c r="VIL253" s="26"/>
      <c r="VIP253" s="23"/>
      <c r="VIU253" s="26"/>
      <c r="VIY253" s="23"/>
      <c r="VJD253" s="26"/>
      <c r="VJH253" s="23"/>
      <c r="VJM253" s="26"/>
      <c r="VJQ253" s="23"/>
      <c r="VJV253" s="26"/>
      <c r="VJZ253" s="23"/>
      <c r="VKE253" s="26"/>
      <c r="VKI253" s="23"/>
      <c r="VKN253" s="26"/>
      <c r="VKR253" s="23"/>
      <c r="VKW253" s="26"/>
      <c r="VLA253" s="23"/>
      <c r="VLF253" s="26"/>
      <c r="VLJ253" s="23"/>
      <c r="VLO253" s="26"/>
      <c r="VLS253" s="23"/>
      <c r="VLX253" s="26"/>
      <c r="VMB253" s="23"/>
      <c r="VMG253" s="26"/>
      <c r="VMK253" s="23"/>
      <c r="VMP253" s="26"/>
      <c r="VMT253" s="23"/>
      <c r="VMY253" s="26"/>
      <c r="VNC253" s="23"/>
      <c r="VNH253" s="26"/>
      <c r="VNL253" s="23"/>
      <c r="VNQ253" s="26"/>
      <c r="VNU253" s="23"/>
      <c r="VNZ253" s="26"/>
      <c r="VOD253" s="23"/>
      <c r="VOI253" s="26"/>
      <c r="VOM253" s="23"/>
      <c r="VOR253" s="26"/>
      <c r="VOV253" s="23"/>
      <c r="VPA253" s="26"/>
      <c r="VPE253" s="23"/>
      <c r="VPJ253" s="26"/>
      <c r="VPN253" s="23"/>
      <c r="VPS253" s="26"/>
      <c r="VPW253" s="23"/>
      <c r="VQB253" s="26"/>
      <c r="VQF253" s="23"/>
      <c r="VQK253" s="26"/>
      <c r="VQO253" s="23"/>
      <c r="VQT253" s="26"/>
      <c r="VQX253" s="23"/>
      <c r="VRC253" s="26"/>
      <c r="VRG253" s="23"/>
      <c r="VRL253" s="26"/>
      <c r="VRP253" s="23"/>
      <c r="VRU253" s="26"/>
      <c r="VRY253" s="23"/>
      <c r="VSD253" s="26"/>
      <c r="VSH253" s="23"/>
      <c r="VSM253" s="26"/>
      <c r="VSQ253" s="23"/>
      <c r="VSV253" s="26"/>
      <c r="VSZ253" s="23"/>
      <c r="VTE253" s="26"/>
      <c r="VTI253" s="23"/>
      <c r="VTN253" s="26"/>
      <c r="VTR253" s="23"/>
      <c r="VTW253" s="26"/>
      <c r="VUA253" s="23"/>
      <c r="VUF253" s="26"/>
      <c r="VUJ253" s="23"/>
      <c r="VUO253" s="26"/>
      <c r="VUS253" s="23"/>
      <c r="VUX253" s="26"/>
      <c r="VVB253" s="23"/>
      <c r="VVG253" s="26"/>
      <c r="VVK253" s="23"/>
      <c r="VVP253" s="26"/>
      <c r="VVT253" s="23"/>
      <c r="VVY253" s="26"/>
      <c r="VWC253" s="23"/>
      <c r="VWH253" s="26"/>
      <c r="VWL253" s="23"/>
      <c r="VWQ253" s="26"/>
      <c r="VWU253" s="23"/>
      <c r="VWZ253" s="26"/>
      <c r="VXD253" s="23"/>
      <c r="VXI253" s="26"/>
      <c r="VXM253" s="23"/>
      <c r="VXR253" s="26"/>
      <c r="VXV253" s="23"/>
      <c r="VYA253" s="26"/>
      <c r="VYE253" s="23"/>
      <c r="VYJ253" s="26"/>
      <c r="VYN253" s="23"/>
      <c r="VYS253" s="26"/>
      <c r="VYW253" s="23"/>
      <c r="VZB253" s="26"/>
      <c r="VZF253" s="23"/>
      <c r="VZK253" s="26"/>
      <c r="VZO253" s="23"/>
      <c r="VZT253" s="26"/>
      <c r="VZX253" s="23"/>
      <c r="WAC253" s="26"/>
      <c r="WAG253" s="23"/>
      <c r="WAL253" s="26"/>
      <c r="WAP253" s="23"/>
      <c r="WAU253" s="26"/>
      <c r="WAY253" s="23"/>
      <c r="WBD253" s="26"/>
      <c r="WBH253" s="23"/>
      <c r="WBM253" s="26"/>
      <c r="WBQ253" s="23"/>
      <c r="WBV253" s="26"/>
      <c r="WBZ253" s="23"/>
      <c r="WCE253" s="26"/>
      <c r="WCI253" s="23"/>
      <c r="WCN253" s="26"/>
      <c r="WCR253" s="23"/>
      <c r="WCW253" s="26"/>
      <c r="WDA253" s="23"/>
      <c r="WDF253" s="26"/>
      <c r="WDJ253" s="23"/>
      <c r="WDO253" s="26"/>
      <c r="WDS253" s="23"/>
      <c r="WDX253" s="26"/>
      <c r="WEB253" s="23"/>
      <c r="WEG253" s="26"/>
      <c r="WEK253" s="23"/>
      <c r="WEP253" s="26"/>
      <c r="WET253" s="23"/>
      <c r="WEY253" s="26"/>
      <c r="WFC253" s="23"/>
      <c r="WFH253" s="26"/>
      <c r="WFL253" s="23"/>
      <c r="WFQ253" s="26"/>
      <c r="WFU253" s="23"/>
      <c r="WFZ253" s="26"/>
      <c r="WGD253" s="23"/>
      <c r="WGI253" s="26"/>
      <c r="WGM253" s="23"/>
      <c r="WGR253" s="26"/>
      <c r="WGV253" s="23"/>
      <c r="WHA253" s="26"/>
      <c r="WHE253" s="23"/>
      <c r="WHJ253" s="26"/>
      <c r="WHN253" s="23"/>
      <c r="WHS253" s="26"/>
      <c r="WHW253" s="23"/>
      <c r="WIB253" s="26"/>
      <c r="WIF253" s="23"/>
      <c r="WIK253" s="26"/>
      <c r="WIO253" s="23"/>
      <c r="WIT253" s="26"/>
      <c r="WIX253" s="23"/>
      <c r="WJC253" s="26"/>
      <c r="WJG253" s="23"/>
      <c r="WJL253" s="26"/>
      <c r="WJP253" s="23"/>
      <c r="WJU253" s="26"/>
      <c r="WJY253" s="23"/>
      <c r="WKD253" s="26"/>
      <c r="WKH253" s="23"/>
      <c r="WKM253" s="26"/>
      <c r="WKQ253" s="23"/>
      <c r="WKV253" s="26"/>
      <c r="WKZ253" s="23"/>
      <c r="WLE253" s="26"/>
      <c r="WLI253" s="23"/>
      <c r="WLN253" s="26"/>
      <c r="WLR253" s="23"/>
      <c r="WLW253" s="26"/>
      <c r="WMA253" s="23"/>
      <c r="WMF253" s="26"/>
      <c r="WMJ253" s="23"/>
      <c r="WMO253" s="26"/>
      <c r="WMS253" s="23"/>
      <c r="WMX253" s="26"/>
      <c r="WNB253" s="23"/>
      <c r="WNG253" s="26"/>
      <c r="WNK253" s="23"/>
      <c r="WNP253" s="26"/>
      <c r="WNT253" s="23"/>
      <c r="WNY253" s="26"/>
      <c r="WOC253" s="23"/>
      <c r="WOH253" s="26"/>
      <c r="WOL253" s="23"/>
      <c r="WOQ253" s="26"/>
      <c r="WOU253" s="23"/>
      <c r="WOZ253" s="26"/>
      <c r="WPD253" s="23"/>
      <c r="WPI253" s="26"/>
      <c r="WPM253" s="23"/>
      <c r="WPR253" s="26"/>
      <c r="WPV253" s="23"/>
      <c r="WQA253" s="26"/>
      <c r="WQE253" s="23"/>
      <c r="WQJ253" s="26"/>
      <c r="WQN253" s="23"/>
      <c r="WQS253" s="26"/>
      <c r="WQW253" s="23"/>
      <c r="WRB253" s="26"/>
      <c r="WRF253" s="23"/>
      <c r="WRK253" s="26"/>
      <c r="WRO253" s="23"/>
      <c r="WRT253" s="26"/>
      <c r="WRX253" s="23"/>
      <c r="WSC253" s="26"/>
      <c r="WSG253" s="23"/>
      <c r="WSL253" s="26"/>
      <c r="WSP253" s="23"/>
      <c r="WSU253" s="26"/>
      <c r="WSY253" s="23"/>
      <c r="WTD253" s="26"/>
      <c r="WTH253" s="23"/>
      <c r="WTM253" s="26"/>
      <c r="WTQ253" s="23"/>
      <c r="WTV253" s="26"/>
      <c r="WTZ253" s="23"/>
      <c r="WUE253" s="26"/>
      <c r="WUI253" s="23"/>
      <c r="WUN253" s="26"/>
      <c r="WUR253" s="23"/>
      <c r="WUW253" s="26"/>
      <c r="WVA253" s="23"/>
      <c r="WVF253" s="26"/>
      <c r="WVJ253" s="23"/>
      <c r="WVO253" s="26"/>
      <c r="WVS253" s="23"/>
      <c r="WVX253" s="26"/>
      <c r="WWB253" s="23"/>
      <c r="WWG253" s="26"/>
      <c r="WWK253" s="23"/>
      <c r="WWP253" s="26"/>
      <c r="WWT253" s="23"/>
      <c r="WWY253" s="26"/>
      <c r="WXC253" s="23"/>
      <c r="WXH253" s="26"/>
      <c r="WXL253" s="23"/>
      <c r="WXQ253" s="26"/>
      <c r="WXU253" s="23"/>
      <c r="WXZ253" s="26"/>
      <c r="WYD253" s="23"/>
      <c r="WYI253" s="26"/>
      <c r="WYM253" s="23"/>
      <c r="WYR253" s="26"/>
      <c r="WYV253" s="23"/>
      <c r="WZA253" s="26"/>
      <c r="WZE253" s="23"/>
      <c r="WZJ253" s="26"/>
      <c r="WZN253" s="23"/>
      <c r="WZS253" s="26"/>
      <c r="WZW253" s="23"/>
      <c r="XAB253" s="26"/>
      <c r="XAF253" s="23"/>
      <c r="XAK253" s="26"/>
      <c r="XAO253" s="23"/>
      <c r="XAT253" s="26"/>
      <c r="XAX253" s="23"/>
      <c r="XBC253" s="26"/>
      <c r="XBG253" s="23"/>
      <c r="XBL253" s="26"/>
      <c r="XBP253" s="23"/>
      <c r="XBU253" s="26"/>
      <c r="XBY253" s="23"/>
      <c r="XCD253" s="26"/>
      <c r="XCH253" s="23"/>
      <c r="XCM253" s="26"/>
      <c r="XCQ253" s="23"/>
      <c r="XCV253" s="26"/>
      <c r="XCZ253" s="23"/>
      <c r="XDE253" s="26"/>
      <c r="XDI253" s="23"/>
      <c r="XDN253" s="26"/>
      <c r="XDR253" s="23"/>
      <c r="XDW253" s="26"/>
      <c r="XEA253" s="23"/>
      <c r="XEF253" s="26"/>
      <c r="XEJ253" s="23"/>
      <c r="XEO253" s="26"/>
      <c r="XES253" s="23"/>
      <c r="XEX253" s="26"/>
      <c r="XFB253" s="23"/>
    </row>
    <row r="254" spans="2:1024 1028:2045 2050:3071 3076:4093 4097:5119 5123:6140 6145:7166 7171:8192 8197:9214 9218:10240 10244:11261 11266:12287 12292:13309 13313:14335 14339:15356 15361:16382" x14ac:dyDescent="0.3">
      <c r="B254" s="23"/>
      <c r="K254" s="23"/>
      <c r="P254" s="26"/>
      <c r="T254" s="23"/>
      <c r="Y254" s="26"/>
      <c r="AC254" s="23"/>
      <c r="AH254" s="26"/>
      <c r="AL254" s="23"/>
      <c r="AQ254" s="26"/>
      <c r="AU254" s="23"/>
      <c r="AZ254" s="26"/>
      <c r="BD254" s="23"/>
      <c r="BI254" s="26"/>
      <c r="BM254" s="23"/>
      <c r="BR254" s="26"/>
      <c r="BV254" s="23"/>
      <c r="CA254" s="26"/>
      <c r="CE254" s="23"/>
      <c r="CJ254" s="26"/>
      <c r="CN254" s="23"/>
      <c r="CS254" s="26"/>
      <c r="CW254" s="23"/>
      <c r="DB254" s="26"/>
      <c r="DF254" s="23"/>
      <c r="DK254" s="26"/>
      <c r="DO254" s="23"/>
      <c r="DT254" s="26"/>
      <c r="DX254" s="23"/>
      <c r="EC254" s="26"/>
      <c r="EG254" s="23"/>
      <c r="EL254" s="26"/>
      <c r="EP254" s="23"/>
      <c r="EU254" s="26"/>
      <c r="EY254" s="23"/>
      <c r="FD254" s="26"/>
      <c r="FH254" s="23"/>
      <c r="FM254" s="26"/>
      <c r="FQ254" s="23"/>
      <c r="FV254" s="26"/>
      <c r="FZ254" s="23"/>
      <c r="GE254" s="26"/>
      <c r="GI254" s="23"/>
      <c r="GN254" s="26"/>
      <c r="GR254" s="23"/>
      <c r="GW254" s="26"/>
      <c r="HA254" s="23"/>
      <c r="HF254" s="26"/>
      <c r="HJ254" s="23"/>
      <c r="HO254" s="26"/>
      <c r="HS254" s="23"/>
      <c r="HX254" s="26"/>
      <c r="IB254" s="23"/>
      <c r="IG254" s="26"/>
      <c r="IK254" s="23"/>
      <c r="IP254" s="26"/>
      <c r="IT254" s="23"/>
      <c r="IY254" s="26"/>
      <c r="JC254" s="23"/>
      <c r="JH254" s="26"/>
      <c r="JL254" s="23"/>
      <c r="JQ254" s="26"/>
      <c r="JU254" s="23"/>
      <c r="JZ254" s="26"/>
      <c r="KD254" s="23"/>
      <c r="KI254" s="26"/>
      <c r="KM254" s="23"/>
      <c r="KR254" s="26"/>
      <c r="KV254" s="23"/>
      <c r="LA254" s="26"/>
      <c r="LE254" s="23"/>
      <c r="LJ254" s="26"/>
      <c r="LN254" s="23"/>
      <c r="LS254" s="26"/>
      <c r="LW254" s="23"/>
      <c r="MB254" s="26"/>
      <c r="MF254" s="23"/>
      <c r="MK254" s="26"/>
      <c r="MO254" s="23"/>
      <c r="MT254" s="26"/>
      <c r="MX254" s="23"/>
      <c r="NC254" s="26"/>
      <c r="NG254" s="23"/>
      <c r="NL254" s="26"/>
      <c r="NP254" s="23"/>
      <c r="NU254" s="26"/>
      <c r="NY254" s="23"/>
      <c r="OD254" s="26"/>
      <c r="OH254" s="23"/>
      <c r="OM254" s="26"/>
      <c r="OQ254" s="23"/>
      <c r="OV254" s="26"/>
      <c r="OZ254" s="23"/>
      <c r="PE254" s="26"/>
      <c r="PI254" s="23"/>
      <c r="PN254" s="26"/>
      <c r="PR254" s="23"/>
      <c r="PW254" s="26"/>
      <c r="QA254" s="23"/>
      <c r="QF254" s="26"/>
      <c r="QJ254" s="23"/>
      <c r="QO254" s="26"/>
      <c r="QS254" s="23"/>
      <c r="QX254" s="26"/>
      <c r="RB254" s="23"/>
      <c r="RG254" s="26"/>
      <c r="RK254" s="23"/>
      <c r="RP254" s="26"/>
      <c r="RT254" s="23"/>
      <c r="RY254" s="26"/>
      <c r="SC254" s="23"/>
      <c r="SH254" s="26"/>
      <c r="SL254" s="23"/>
      <c r="SQ254" s="26"/>
      <c r="SU254" s="23"/>
      <c r="SZ254" s="26"/>
      <c r="TD254" s="23"/>
      <c r="TI254" s="26"/>
      <c r="TM254" s="23"/>
      <c r="TR254" s="26"/>
      <c r="TV254" s="23"/>
      <c r="UA254" s="26"/>
      <c r="UE254" s="23"/>
      <c r="UJ254" s="26"/>
      <c r="UN254" s="23"/>
      <c r="US254" s="26"/>
      <c r="UW254" s="23"/>
      <c r="VB254" s="26"/>
      <c r="VF254" s="23"/>
      <c r="VK254" s="26"/>
      <c r="VO254" s="23"/>
      <c r="VT254" s="26"/>
      <c r="VX254" s="23"/>
      <c r="WC254" s="26"/>
      <c r="WG254" s="23"/>
      <c r="WL254" s="26"/>
      <c r="WP254" s="23"/>
      <c r="WU254" s="26"/>
      <c r="WY254" s="23"/>
      <c r="XD254" s="26"/>
      <c r="XH254" s="23"/>
      <c r="XM254" s="26"/>
      <c r="XQ254" s="23"/>
      <c r="XV254" s="26"/>
      <c r="XZ254" s="23"/>
      <c r="YE254" s="26"/>
      <c r="YI254" s="23"/>
      <c r="YN254" s="26"/>
      <c r="YR254" s="23"/>
      <c r="YW254" s="26"/>
      <c r="ZA254" s="23"/>
      <c r="ZF254" s="26"/>
      <c r="ZJ254" s="23"/>
      <c r="ZO254" s="26"/>
      <c r="ZS254" s="23"/>
      <c r="ZX254" s="26"/>
      <c r="AAB254" s="23"/>
      <c r="AAG254" s="26"/>
      <c r="AAK254" s="23"/>
      <c r="AAP254" s="26"/>
      <c r="AAT254" s="23"/>
      <c r="AAY254" s="26"/>
      <c r="ABC254" s="23"/>
      <c r="ABH254" s="26"/>
      <c r="ABL254" s="23"/>
      <c r="ABQ254" s="26"/>
      <c r="ABU254" s="23"/>
      <c r="ABZ254" s="26"/>
      <c r="ACD254" s="23"/>
      <c r="ACI254" s="26"/>
      <c r="ACM254" s="23"/>
      <c r="ACR254" s="26"/>
      <c r="ACV254" s="23"/>
      <c r="ADA254" s="26"/>
      <c r="ADE254" s="23"/>
      <c r="ADJ254" s="26"/>
      <c r="ADN254" s="23"/>
      <c r="ADS254" s="26"/>
      <c r="ADW254" s="23"/>
      <c r="AEB254" s="26"/>
      <c r="AEF254" s="23"/>
      <c r="AEK254" s="26"/>
      <c r="AEO254" s="23"/>
      <c r="AET254" s="26"/>
      <c r="AEX254" s="23"/>
      <c r="AFC254" s="26"/>
      <c r="AFG254" s="23"/>
      <c r="AFL254" s="26"/>
      <c r="AFP254" s="23"/>
      <c r="AFU254" s="26"/>
      <c r="AFY254" s="23"/>
      <c r="AGD254" s="26"/>
      <c r="AGH254" s="23"/>
      <c r="AGM254" s="26"/>
      <c r="AGQ254" s="23"/>
      <c r="AGV254" s="26"/>
      <c r="AGZ254" s="23"/>
      <c r="AHE254" s="26"/>
      <c r="AHI254" s="23"/>
      <c r="AHN254" s="26"/>
      <c r="AHR254" s="23"/>
      <c r="AHW254" s="26"/>
      <c r="AIA254" s="23"/>
      <c r="AIF254" s="26"/>
      <c r="AIJ254" s="23"/>
      <c r="AIO254" s="26"/>
      <c r="AIS254" s="23"/>
      <c r="AIX254" s="26"/>
      <c r="AJB254" s="23"/>
      <c r="AJG254" s="26"/>
      <c r="AJK254" s="23"/>
      <c r="AJP254" s="26"/>
      <c r="AJT254" s="23"/>
      <c r="AJY254" s="26"/>
      <c r="AKC254" s="23"/>
      <c r="AKH254" s="26"/>
      <c r="AKL254" s="23"/>
      <c r="AKQ254" s="26"/>
      <c r="AKU254" s="23"/>
      <c r="AKZ254" s="26"/>
      <c r="ALD254" s="23"/>
      <c r="ALI254" s="26"/>
      <c r="ALM254" s="23"/>
      <c r="ALR254" s="26"/>
      <c r="ALV254" s="23"/>
      <c r="AMA254" s="26"/>
      <c r="AME254" s="23"/>
      <c r="AMJ254" s="26"/>
      <c r="AMN254" s="23"/>
      <c r="AMS254" s="26"/>
      <c r="AMW254" s="23"/>
      <c r="ANB254" s="26"/>
      <c r="ANF254" s="23"/>
      <c r="ANK254" s="26"/>
      <c r="ANO254" s="23"/>
      <c r="ANT254" s="26"/>
      <c r="ANX254" s="23"/>
      <c r="AOC254" s="26"/>
      <c r="AOG254" s="23"/>
      <c r="AOL254" s="26"/>
      <c r="AOP254" s="23"/>
      <c r="AOU254" s="26"/>
      <c r="AOY254" s="23"/>
      <c r="APD254" s="26"/>
      <c r="APH254" s="23"/>
      <c r="APM254" s="26"/>
      <c r="APQ254" s="23"/>
      <c r="APV254" s="26"/>
      <c r="APZ254" s="23"/>
      <c r="AQE254" s="26"/>
      <c r="AQI254" s="23"/>
      <c r="AQN254" s="26"/>
      <c r="AQR254" s="23"/>
      <c r="AQW254" s="26"/>
      <c r="ARA254" s="23"/>
      <c r="ARF254" s="26"/>
      <c r="ARJ254" s="23"/>
      <c r="ARO254" s="26"/>
      <c r="ARS254" s="23"/>
      <c r="ARX254" s="26"/>
      <c r="ASB254" s="23"/>
      <c r="ASG254" s="26"/>
      <c r="ASK254" s="23"/>
      <c r="ASP254" s="26"/>
      <c r="AST254" s="23"/>
      <c r="ASY254" s="26"/>
      <c r="ATC254" s="23"/>
      <c r="ATH254" s="26"/>
      <c r="ATL254" s="23"/>
      <c r="ATQ254" s="26"/>
      <c r="ATU254" s="23"/>
      <c r="ATZ254" s="26"/>
      <c r="AUD254" s="23"/>
      <c r="AUI254" s="26"/>
      <c r="AUM254" s="23"/>
      <c r="AUR254" s="26"/>
      <c r="AUV254" s="23"/>
      <c r="AVA254" s="26"/>
      <c r="AVE254" s="23"/>
      <c r="AVJ254" s="26"/>
      <c r="AVN254" s="23"/>
      <c r="AVS254" s="26"/>
      <c r="AVW254" s="23"/>
      <c r="AWB254" s="26"/>
      <c r="AWF254" s="23"/>
      <c r="AWK254" s="26"/>
      <c r="AWO254" s="23"/>
      <c r="AWT254" s="26"/>
      <c r="AWX254" s="23"/>
      <c r="AXC254" s="26"/>
      <c r="AXG254" s="23"/>
      <c r="AXL254" s="26"/>
      <c r="AXP254" s="23"/>
      <c r="AXU254" s="26"/>
      <c r="AXY254" s="23"/>
      <c r="AYD254" s="26"/>
      <c r="AYH254" s="23"/>
      <c r="AYM254" s="26"/>
      <c r="AYQ254" s="23"/>
      <c r="AYV254" s="26"/>
      <c r="AYZ254" s="23"/>
      <c r="AZE254" s="26"/>
      <c r="AZI254" s="23"/>
      <c r="AZN254" s="26"/>
      <c r="AZR254" s="23"/>
      <c r="AZW254" s="26"/>
      <c r="BAA254" s="23"/>
      <c r="BAF254" s="26"/>
      <c r="BAJ254" s="23"/>
      <c r="BAO254" s="26"/>
      <c r="BAS254" s="23"/>
      <c r="BAX254" s="26"/>
      <c r="BBB254" s="23"/>
      <c r="BBG254" s="26"/>
      <c r="BBK254" s="23"/>
      <c r="BBP254" s="26"/>
      <c r="BBT254" s="23"/>
      <c r="BBY254" s="26"/>
      <c r="BCC254" s="23"/>
      <c r="BCH254" s="26"/>
      <c r="BCL254" s="23"/>
      <c r="BCQ254" s="26"/>
      <c r="BCU254" s="23"/>
      <c r="BCZ254" s="26"/>
      <c r="BDD254" s="23"/>
      <c r="BDI254" s="26"/>
      <c r="BDM254" s="23"/>
      <c r="BDR254" s="26"/>
      <c r="BDV254" s="23"/>
      <c r="BEA254" s="26"/>
      <c r="BEE254" s="23"/>
      <c r="BEJ254" s="26"/>
      <c r="BEN254" s="23"/>
      <c r="BES254" s="26"/>
      <c r="BEW254" s="23"/>
      <c r="BFB254" s="26"/>
      <c r="BFF254" s="23"/>
      <c r="BFK254" s="26"/>
      <c r="BFO254" s="23"/>
      <c r="BFT254" s="26"/>
      <c r="BFX254" s="23"/>
      <c r="BGC254" s="26"/>
      <c r="BGG254" s="23"/>
      <c r="BGL254" s="26"/>
      <c r="BGP254" s="23"/>
      <c r="BGU254" s="26"/>
      <c r="BGY254" s="23"/>
      <c r="BHD254" s="26"/>
      <c r="BHH254" s="23"/>
      <c r="BHM254" s="26"/>
      <c r="BHQ254" s="23"/>
      <c r="BHV254" s="26"/>
      <c r="BHZ254" s="23"/>
      <c r="BIE254" s="26"/>
      <c r="BII254" s="23"/>
      <c r="BIN254" s="26"/>
      <c r="BIR254" s="23"/>
      <c r="BIW254" s="26"/>
      <c r="BJA254" s="23"/>
      <c r="BJF254" s="26"/>
      <c r="BJJ254" s="23"/>
      <c r="BJO254" s="26"/>
      <c r="BJS254" s="23"/>
      <c r="BJX254" s="26"/>
      <c r="BKB254" s="23"/>
      <c r="BKG254" s="26"/>
      <c r="BKK254" s="23"/>
      <c r="BKP254" s="26"/>
      <c r="BKT254" s="23"/>
      <c r="BKY254" s="26"/>
      <c r="BLC254" s="23"/>
      <c r="BLH254" s="26"/>
      <c r="BLL254" s="23"/>
      <c r="BLQ254" s="26"/>
      <c r="BLU254" s="23"/>
      <c r="BLZ254" s="26"/>
      <c r="BMD254" s="23"/>
      <c r="BMI254" s="26"/>
      <c r="BMM254" s="23"/>
      <c r="BMR254" s="26"/>
      <c r="BMV254" s="23"/>
      <c r="BNA254" s="26"/>
      <c r="BNE254" s="23"/>
      <c r="BNJ254" s="26"/>
      <c r="BNN254" s="23"/>
      <c r="BNS254" s="26"/>
      <c r="BNW254" s="23"/>
      <c r="BOB254" s="26"/>
      <c r="BOF254" s="23"/>
      <c r="BOK254" s="26"/>
      <c r="BOO254" s="23"/>
      <c r="BOT254" s="26"/>
      <c r="BOX254" s="23"/>
      <c r="BPC254" s="26"/>
      <c r="BPG254" s="23"/>
      <c r="BPL254" s="26"/>
      <c r="BPP254" s="23"/>
      <c r="BPU254" s="26"/>
      <c r="BPY254" s="23"/>
      <c r="BQD254" s="26"/>
      <c r="BQH254" s="23"/>
      <c r="BQM254" s="26"/>
      <c r="BQQ254" s="23"/>
      <c r="BQV254" s="26"/>
      <c r="BQZ254" s="23"/>
      <c r="BRE254" s="26"/>
      <c r="BRI254" s="23"/>
      <c r="BRN254" s="26"/>
      <c r="BRR254" s="23"/>
      <c r="BRW254" s="26"/>
      <c r="BSA254" s="23"/>
      <c r="BSF254" s="26"/>
      <c r="BSJ254" s="23"/>
      <c r="BSO254" s="26"/>
      <c r="BSS254" s="23"/>
      <c r="BSX254" s="26"/>
      <c r="BTB254" s="23"/>
      <c r="BTG254" s="26"/>
      <c r="BTK254" s="23"/>
      <c r="BTP254" s="26"/>
      <c r="BTT254" s="23"/>
      <c r="BTY254" s="26"/>
      <c r="BUC254" s="23"/>
      <c r="BUH254" s="26"/>
      <c r="BUL254" s="23"/>
      <c r="BUQ254" s="26"/>
      <c r="BUU254" s="23"/>
      <c r="BUZ254" s="26"/>
      <c r="BVD254" s="23"/>
      <c r="BVI254" s="26"/>
      <c r="BVM254" s="23"/>
      <c r="BVR254" s="26"/>
      <c r="BVV254" s="23"/>
      <c r="BWA254" s="26"/>
      <c r="BWE254" s="23"/>
      <c r="BWJ254" s="26"/>
      <c r="BWN254" s="23"/>
      <c r="BWS254" s="26"/>
      <c r="BWW254" s="23"/>
      <c r="BXB254" s="26"/>
      <c r="BXF254" s="23"/>
      <c r="BXK254" s="26"/>
      <c r="BXO254" s="23"/>
      <c r="BXT254" s="26"/>
      <c r="BXX254" s="23"/>
      <c r="BYC254" s="26"/>
      <c r="BYG254" s="23"/>
      <c r="BYL254" s="26"/>
      <c r="BYP254" s="23"/>
      <c r="BYU254" s="26"/>
      <c r="BYY254" s="23"/>
      <c r="BZD254" s="26"/>
      <c r="BZH254" s="23"/>
      <c r="BZM254" s="26"/>
      <c r="BZQ254" s="23"/>
      <c r="BZV254" s="26"/>
      <c r="BZZ254" s="23"/>
      <c r="CAE254" s="26"/>
      <c r="CAI254" s="23"/>
      <c r="CAN254" s="26"/>
      <c r="CAR254" s="23"/>
      <c r="CAW254" s="26"/>
      <c r="CBA254" s="23"/>
      <c r="CBF254" s="26"/>
      <c r="CBJ254" s="23"/>
      <c r="CBO254" s="26"/>
      <c r="CBS254" s="23"/>
      <c r="CBX254" s="26"/>
      <c r="CCB254" s="23"/>
      <c r="CCG254" s="26"/>
      <c r="CCK254" s="23"/>
      <c r="CCP254" s="26"/>
      <c r="CCT254" s="23"/>
      <c r="CCY254" s="26"/>
      <c r="CDC254" s="23"/>
      <c r="CDH254" s="26"/>
      <c r="CDL254" s="23"/>
      <c r="CDQ254" s="26"/>
      <c r="CDU254" s="23"/>
      <c r="CDZ254" s="26"/>
      <c r="CED254" s="23"/>
      <c r="CEI254" s="26"/>
      <c r="CEM254" s="23"/>
      <c r="CER254" s="26"/>
      <c r="CEV254" s="23"/>
      <c r="CFA254" s="26"/>
      <c r="CFE254" s="23"/>
      <c r="CFJ254" s="26"/>
      <c r="CFN254" s="23"/>
      <c r="CFS254" s="26"/>
      <c r="CFW254" s="23"/>
      <c r="CGB254" s="26"/>
      <c r="CGF254" s="23"/>
      <c r="CGK254" s="26"/>
      <c r="CGO254" s="23"/>
      <c r="CGT254" s="26"/>
      <c r="CGX254" s="23"/>
      <c r="CHC254" s="26"/>
      <c r="CHG254" s="23"/>
      <c r="CHL254" s="26"/>
      <c r="CHP254" s="23"/>
      <c r="CHU254" s="26"/>
      <c r="CHY254" s="23"/>
      <c r="CID254" s="26"/>
      <c r="CIH254" s="23"/>
      <c r="CIM254" s="26"/>
      <c r="CIQ254" s="23"/>
      <c r="CIV254" s="26"/>
      <c r="CIZ254" s="23"/>
      <c r="CJE254" s="26"/>
      <c r="CJI254" s="23"/>
      <c r="CJN254" s="26"/>
      <c r="CJR254" s="23"/>
      <c r="CJW254" s="26"/>
      <c r="CKA254" s="23"/>
      <c r="CKF254" s="26"/>
      <c r="CKJ254" s="23"/>
      <c r="CKO254" s="26"/>
      <c r="CKS254" s="23"/>
      <c r="CKX254" s="26"/>
      <c r="CLB254" s="23"/>
      <c r="CLG254" s="26"/>
      <c r="CLK254" s="23"/>
      <c r="CLP254" s="26"/>
      <c r="CLT254" s="23"/>
      <c r="CLY254" s="26"/>
      <c r="CMC254" s="23"/>
      <c r="CMH254" s="26"/>
      <c r="CML254" s="23"/>
      <c r="CMQ254" s="26"/>
      <c r="CMU254" s="23"/>
      <c r="CMZ254" s="26"/>
      <c r="CND254" s="23"/>
      <c r="CNI254" s="26"/>
      <c r="CNM254" s="23"/>
      <c r="CNR254" s="26"/>
      <c r="CNV254" s="23"/>
      <c r="COA254" s="26"/>
      <c r="COE254" s="23"/>
      <c r="COJ254" s="26"/>
      <c r="CON254" s="23"/>
      <c r="COS254" s="26"/>
      <c r="COW254" s="23"/>
      <c r="CPB254" s="26"/>
      <c r="CPF254" s="23"/>
      <c r="CPK254" s="26"/>
      <c r="CPO254" s="23"/>
      <c r="CPT254" s="26"/>
      <c r="CPX254" s="23"/>
      <c r="CQC254" s="26"/>
      <c r="CQG254" s="23"/>
      <c r="CQL254" s="26"/>
      <c r="CQP254" s="23"/>
      <c r="CQU254" s="26"/>
      <c r="CQY254" s="23"/>
      <c r="CRD254" s="26"/>
      <c r="CRH254" s="23"/>
      <c r="CRM254" s="26"/>
      <c r="CRQ254" s="23"/>
      <c r="CRV254" s="26"/>
      <c r="CRZ254" s="23"/>
      <c r="CSE254" s="26"/>
      <c r="CSI254" s="23"/>
      <c r="CSN254" s="26"/>
      <c r="CSR254" s="23"/>
      <c r="CSW254" s="26"/>
      <c r="CTA254" s="23"/>
      <c r="CTF254" s="26"/>
      <c r="CTJ254" s="23"/>
      <c r="CTO254" s="26"/>
      <c r="CTS254" s="23"/>
      <c r="CTX254" s="26"/>
      <c r="CUB254" s="23"/>
      <c r="CUG254" s="26"/>
      <c r="CUK254" s="23"/>
      <c r="CUP254" s="26"/>
      <c r="CUT254" s="23"/>
      <c r="CUY254" s="26"/>
      <c r="CVC254" s="23"/>
      <c r="CVH254" s="26"/>
      <c r="CVL254" s="23"/>
      <c r="CVQ254" s="26"/>
      <c r="CVU254" s="23"/>
      <c r="CVZ254" s="26"/>
      <c r="CWD254" s="23"/>
      <c r="CWI254" s="26"/>
      <c r="CWM254" s="23"/>
      <c r="CWR254" s="26"/>
      <c r="CWV254" s="23"/>
      <c r="CXA254" s="26"/>
      <c r="CXE254" s="23"/>
      <c r="CXJ254" s="26"/>
      <c r="CXN254" s="23"/>
      <c r="CXS254" s="26"/>
      <c r="CXW254" s="23"/>
      <c r="CYB254" s="26"/>
      <c r="CYF254" s="23"/>
      <c r="CYK254" s="26"/>
      <c r="CYO254" s="23"/>
      <c r="CYT254" s="26"/>
      <c r="CYX254" s="23"/>
      <c r="CZC254" s="26"/>
      <c r="CZG254" s="23"/>
      <c r="CZL254" s="26"/>
      <c r="CZP254" s="23"/>
      <c r="CZU254" s="26"/>
      <c r="CZY254" s="23"/>
      <c r="DAD254" s="26"/>
      <c r="DAH254" s="23"/>
      <c r="DAM254" s="26"/>
      <c r="DAQ254" s="23"/>
      <c r="DAV254" s="26"/>
      <c r="DAZ254" s="23"/>
      <c r="DBE254" s="26"/>
      <c r="DBI254" s="23"/>
      <c r="DBN254" s="26"/>
      <c r="DBR254" s="23"/>
      <c r="DBW254" s="26"/>
      <c r="DCA254" s="23"/>
      <c r="DCF254" s="26"/>
      <c r="DCJ254" s="23"/>
      <c r="DCO254" s="26"/>
      <c r="DCS254" s="23"/>
      <c r="DCX254" s="26"/>
      <c r="DDB254" s="23"/>
      <c r="DDG254" s="26"/>
      <c r="DDK254" s="23"/>
      <c r="DDP254" s="26"/>
      <c r="DDT254" s="23"/>
      <c r="DDY254" s="26"/>
      <c r="DEC254" s="23"/>
      <c r="DEH254" s="26"/>
      <c r="DEL254" s="23"/>
      <c r="DEQ254" s="26"/>
      <c r="DEU254" s="23"/>
      <c r="DEZ254" s="26"/>
      <c r="DFD254" s="23"/>
      <c r="DFI254" s="26"/>
      <c r="DFM254" s="23"/>
      <c r="DFR254" s="26"/>
      <c r="DFV254" s="23"/>
      <c r="DGA254" s="26"/>
      <c r="DGE254" s="23"/>
      <c r="DGJ254" s="26"/>
      <c r="DGN254" s="23"/>
      <c r="DGS254" s="26"/>
      <c r="DGW254" s="23"/>
      <c r="DHB254" s="26"/>
      <c r="DHF254" s="23"/>
      <c r="DHK254" s="26"/>
      <c r="DHO254" s="23"/>
      <c r="DHT254" s="26"/>
      <c r="DHX254" s="23"/>
      <c r="DIC254" s="26"/>
      <c r="DIG254" s="23"/>
      <c r="DIL254" s="26"/>
      <c r="DIP254" s="23"/>
      <c r="DIU254" s="26"/>
      <c r="DIY254" s="23"/>
      <c r="DJD254" s="26"/>
      <c r="DJH254" s="23"/>
      <c r="DJM254" s="26"/>
      <c r="DJQ254" s="23"/>
      <c r="DJV254" s="26"/>
      <c r="DJZ254" s="23"/>
      <c r="DKE254" s="26"/>
      <c r="DKI254" s="23"/>
      <c r="DKN254" s="26"/>
      <c r="DKR254" s="23"/>
      <c r="DKW254" s="26"/>
      <c r="DLA254" s="23"/>
      <c r="DLF254" s="26"/>
      <c r="DLJ254" s="23"/>
      <c r="DLO254" s="26"/>
      <c r="DLS254" s="23"/>
      <c r="DLX254" s="26"/>
      <c r="DMB254" s="23"/>
      <c r="DMG254" s="26"/>
      <c r="DMK254" s="23"/>
      <c r="DMP254" s="26"/>
      <c r="DMT254" s="23"/>
      <c r="DMY254" s="26"/>
      <c r="DNC254" s="23"/>
      <c r="DNH254" s="26"/>
      <c r="DNL254" s="23"/>
      <c r="DNQ254" s="26"/>
      <c r="DNU254" s="23"/>
      <c r="DNZ254" s="26"/>
      <c r="DOD254" s="23"/>
      <c r="DOI254" s="26"/>
      <c r="DOM254" s="23"/>
      <c r="DOR254" s="26"/>
      <c r="DOV254" s="23"/>
      <c r="DPA254" s="26"/>
      <c r="DPE254" s="23"/>
      <c r="DPJ254" s="26"/>
      <c r="DPN254" s="23"/>
      <c r="DPS254" s="26"/>
      <c r="DPW254" s="23"/>
      <c r="DQB254" s="26"/>
      <c r="DQF254" s="23"/>
      <c r="DQK254" s="26"/>
      <c r="DQO254" s="23"/>
      <c r="DQT254" s="26"/>
      <c r="DQX254" s="23"/>
      <c r="DRC254" s="26"/>
      <c r="DRG254" s="23"/>
      <c r="DRL254" s="26"/>
      <c r="DRP254" s="23"/>
      <c r="DRU254" s="26"/>
      <c r="DRY254" s="23"/>
      <c r="DSD254" s="26"/>
      <c r="DSH254" s="23"/>
      <c r="DSM254" s="26"/>
      <c r="DSQ254" s="23"/>
      <c r="DSV254" s="26"/>
      <c r="DSZ254" s="23"/>
      <c r="DTE254" s="26"/>
      <c r="DTI254" s="23"/>
      <c r="DTN254" s="26"/>
      <c r="DTR254" s="23"/>
      <c r="DTW254" s="26"/>
      <c r="DUA254" s="23"/>
      <c r="DUF254" s="26"/>
      <c r="DUJ254" s="23"/>
      <c r="DUO254" s="26"/>
      <c r="DUS254" s="23"/>
      <c r="DUX254" s="26"/>
      <c r="DVB254" s="23"/>
      <c r="DVG254" s="26"/>
      <c r="DVK254" s="23"/>
      <c r="DVP254" s="26"/>
      <c r="DVT254" s="23"/>
      <c r="DVY254" s="26"/>
      <c r="DWC254" s="23"/>
      <c r="DWH254" s="26"/>
      <c r="DWL254" s="23"/>
      <c r="DWQ254" s="26"/>
      <c r="DWU254" s="23"/>
      <c r="DWZ254" s="26"/>
      <c r="DXD254" s="23"/>
      <c r="DXI254" s="26"/>
      <c r="DXM254" s="23"/>
      <c r="DXR254" s="26"/>
      <c r="DXV254" s="23"/>
      <c r="DYA254" s="26"/>
      <c r="DYE254" s="23"/>
      <c r="DYJ254" s="26"/>
      <c r="DYN254" s="23"/>
      <c r="DYS254" s="26"/>
      <c r="DYW254" s="23"/>
      <c r="DZB254" s="26"/>
      <c r="DZF254" s="23"/>
      <c r="DZK254" s="26"/>
      <c r="DZO254" s="23"/>
      <c r="DZT254" s="26"/>
      <c r="DZX254" s="23"/>
      <c r="EAC254" s="26"/>
      <c r="EAG254" s="23"/>
      <c r="EAL254" s="26"/>
      <c r="EAP254" s="23"/>
      <c r="EAU254" s="26"/>
      <c r="EAY254" s="23"/>
      <c r="EBD254" s="26"/>
      <c r="EBH254" s="23"/>
      <c r="EBM254" s="26"/>
      <c r="EBQ254" s="23"/>
      <c r="EBV254" s="26"/>
      <c r="EBZ254" s="23"/>
      <c r="ECE254" s="26"/>
      <c r="ECI254" s="23"/>
      <c r="ECN254" s="26"/>
      <c r="ECR254" s="23"/>
      <c r="ECW254" s="26"/>
      <c r="EDA254" s="23"/>
      <c r="EDF254" s="26"/>
      <c r="EDJ254" s="23"/>
      <c r="EDO254" s="26"/>
      <c r="EDS254" s="23"/>
      <c r="EDX254" s="26"/>
      <c r="EEB254" s="23"/>
      <c r="EEG254" s="26"/>
      <c r="EEK254" s="23"/>
      <c r="EEP254" s="26"/>
      <c r="EET254" s="23"/>
      <c r="EEY254" s="26"/>
      <c r="EFC254" s="23"/>
      <c r="EFH254" s="26"/>
      <c r="EFL254" s="23"/>
      <c r="EFQ254" s="26"/>
      <c r="EFU254" s="23"/>
      <c r="EFZ254" s="26"/>
      <c r="EGD254" s="23"/>
      <c r="EGI254" s="26"/>
      <c r="EGM254" s="23"/>
      <c r="EGR254" s="26"/>
      <c r="EGV254" s="23"/>
      <c r="EHA254" s="26"/>
      <c r="EHE254" s="23"/>
      <c r="EHJ254" s="26"/>
      <c r="EHN254" s="23"/>
      <c r="EHS254" s="26"/>
      <c r="EHW254" s="23"/>
      <c r="EIB254" s="26"/>
      <c r="EIF254" s="23"/>
      <c r="EIK254" s="26"/>
      <c r="EIO254" s="23"/>
      <c r="EIT254" s="26"/>
      <c r="EIX254" s="23"/>
      <c r="EJC254" s="26"/>
      <c r="EJG254" s="23"/>
      <c r="EJL254" s="26"/>
      <c r="EJP254" s="23"/>
      <c r="EJU254" s="26"/>
      <c r="EJY254" s="23"/>
      <c r="EKD254" s="26"/>
      <c r="EKH254" s="23"/>
      <c r="EKM254" s="26"/>
      <c r="EKQ254" s="23"/>
      <c r="EKV254" s="26"/>
      <c r="EKZ254" s="23"/>
      <c r="ELE254" s="26"/>
      <c r="ELI254" s="23"/>
      <c r="ELN254" s="26"/>
      <c r="ELR254" s="23"/>
      <c r="ELW254" s="26"/>
      <c r="EMA254" s="23"/>
      <c r="EMF254" s="26"/>
      <c r="EMJ254" s="23"/>
      <c r="EMO254" s="26"/>
      <c r="EMS254" s="23"/>
      <c r="EMX254" s="26"/>
      <c r="ENB254" s="23"/>
      <c r="ENG254" s="26"/>
      <c r="ENK254" s="23"/>
      <c r="ENP254" s="26"/>
      <c r="ENT254" s="23"/>
      <c r="ENY254" s="26"/>
      <c r="EOC254" s="23"/>
      <c r="EOH254" s="26"/>
      <c r="EOL254" s="23"/>
      <c r="EOQ254" s="26"/>
      <c r="EOU254" s="23"/>
      <c r="EOZ254" s="26"/>
      <c r="EPD254" s="23"/>
      <c r="EPI254" s="26"/>
      <c r="EPM254" s="23"/>
      <c r="EPR254" s="26"/>
      <c r="EPV254" s="23"/>
      <c r="EQA254" s="26"/>
      <c r="EQE254" s="23"/>
      <c r="EQJ254" s="26"/>
      <c r="EQN254" s="23"/>
      <c r="EQS254" s="26"/>
      <c r="EQW254" s="23"/>
      <c r="ERB254" s="26"/>
      <c r="ERF254" s="23"/>
      <c r="ERK254" s="26"/>
      <c r="ERO254" s="23"/>
      <c r="ERT254" s="26"/>
      <c r="ERX254" s="23"/>
      <c r="ESC254" s="26"/>
      <c r="ESG254" s="23"/>
      <c r="ESL254" s="26"/>
      <c r="ESP254" s="23"/>
      <c r="ESU254" s="26"/>
      <c r="ESY254" s="23"/>
      <c r="ETD254" s="26"/>
      <c r="ETH254" s="23"/>
      <c r="ETM254" s="26"/>
      <c r="ETQ254" s="23"/>
      <c r="ETV254" s="26"/>
      <c r="ETZ254" s="23"/>
      <c r="EUE254" s="26"/>
      <c r="EUI254" s="23"/>
      <c r="EUN254" s="26"/>
      <c r="EUR254" s="23"/>
      <c r="EUW254" s="26"/>
      <c r="EVA254" s="23"/>
      <c r="EVF254" s="26"/>
      <c r="EVJ254" s="23"/>
      <c r="EVO254" s="26"/>
      <c r="EVS254" s="23"/>
      <c r="EVX254" s="26"/>
      <c r="EWB254" s="23"/>
      <c r="EWG254" s="26"/>
      <c r="EWK254" s="23"/>
      <c r="EWP254" s="26"/>
      <c r="EWT254" s="23"/>
      <c r="EWY254" s="26"/>
      <c r="EXC254" s="23"/>
      <c r="EXH254" s="26"/>
      <c r="EXL254" s="23"/>
      <c r="EXQ254" s="26"/>
      <c r="EXU254" s="23"/>
      <c r="EXZ254" s="26"/>
      <c r="EYD254" s="23"/>
      <c r="EYI254" s="26"/>
      <c r="EYM254" s="23"/>
      <c r="EYR254" s="26"/>
      <c r="EYV254" s="23"/>
      <c r="EZA254" s="26"/>
      <c r="EZE254" s="23"/>
      <c r="EZJ254" s="26"/>
      <c r="EZN254" s="23"/>
      <c r="EZS254" s="26"/>
      <c r="EZW254" s="23"/>
      <c r="FAB254" s="26"/>
      <c r="FAF254" s="23"/>
      <c r="FAK254" s="26"/>
      <c r="FAO254" s="23"/>
      <c r="FAT254" s="26"/>
      <c r="FAX254" s="23"/>
      <c r="FBC254" s="26"/>
      <c r="FBG254" s="23"/>
      <c r="FBL254" s="26"/>
      <c r="FBP254" s="23"/>
      <c r="FBU254" s="26"/>
      <c r="FBY254" s="23"/>
      <c r="FCD254" s="26"/>
      <c r="FCH254" s="23"/>
      <c r="FCM254" s="26"/>
      <c r="FCQ254" s="23"/>
      <c r="FCV254" s="26"/>
      <c r="FCZ254" s="23"/>
      <c r="FDE254" s="26"/>
      <c r="FDI254" s="23"/>
      <c r="FDN254" s="26"/>
      <c r="FDR254" s="23"/>
      <c r="FDW254" s="26"/>
      <c r="FEA254" s="23"/>
      <c r="FEF254" s="26"/>
      <c r="FEJ254" s="23"/>
      <c r="FEO254" s="26"/>
      <c r="FES254" s="23"/>
      <c r="FEX254" s="26"/>
      <c r="FFB254" s="23"/>
      <c r="FFG254" s="26"/>
      <c r="FFK254" s="23"/>
      <c r="FFP254" s="26"/>
      <c r="FFT254" s="23"/>
      <c r="FFY254" s="26"/>
      <c r="FGC254" s="23"/>
      <c r="FGH254" s="26"/>
      <c r="FGL254" s="23"/>
      <c r="FGQ254" s="26"/>
      <c r="FGU254" s="23"/>
      <c r="FGZ254" s="26"/>
      <c r="FHD254" s="23"/>
      <c r="FHI254" s="26"/>
      <c r="FHM254" s="23"/>
      <c r="FHR254" s="26"/>
      <c r="FHV254" s="23"/>
      <c r="FIA254" s="26"/>
      <c r="FIE254" s="23"/>
      <c r="FIJ254" s="26"/>
      <c r="FIN254" s="23"/>
      <c r="FIS254" s="26"/>
      <c r="FIW254" s="23"/>
      <c r="FJB254" s="26"/>
      <c r="FJF254" s="23"/>
      <c r="FJK254" s="26"/>
      <c r="FJO254" s="23"/>
      <c r="FJT254" s="26"/>
      <c r="FJX254" s="23"/>
      <c r="FKC254" s="26"/>
      <c r="FKG254" s="23"/>
      <c r="FKL254" s="26"/>
      <c r="FKP254" s="23"/>
      <c r="FKU254" s="26"/>
      <c r="FKY254" s="23"/>
      <c r="FLD254" s="26"/>
      <c r="FLH254" s="23"/>
      <c r="FLM254" s="26"/>
      <c r="FLQ254" s="23"/>
      <c r="FLV254" s="26"/>
      <c r="FLZ254" s="23"/>
      <c r="FME254" s="26"/>
      <c r="FMI254" s="23"/>
      <c r="FMN254" s="26"/>
      <c r="FMR254" s="23"/>
      <c r="FMW254" s="26"/>
      <c r="FNA254" s="23"/>
      <c r="FNF254" s="26"/>
      <c r="FNJ254" s="23"/>
      <c r="FNO254" s="26"/>
      <c r="FNS254" s="23"/>
      <c r="FNX254" s="26"/>
      <c r="FOB254" s="23"/>
      <c r="FOG254" s="26"/>
      <c r="FOK254" s="23"/>
      <c r="FOP254" s="26"/>
      <c r="FOT254" s="23"/>
      <c r="FOY254" s="26"/>
      <c r="FPC254" s="23"/>
      <c r="FPH254" s="26"/>
      <c r="FPL254" s="23"/>
      <c r="FPQ254" s="26"/>
      <c r="FPU254" s="23"/>
      <c r="FPZ254" s="26"/>
      <c r="FQD254" s="23"/>
      <c r="FQI254" s="26"/>
      <c r="FQM254" s="23"/>
      <c r="FQR254" s="26"/>
      <c r="FQV254" s="23"/>
      <c r="FRA254" s="26"/>
      <c r="FRE254" s="23"/>
      <c r="FRJ254" s="26"/>
      <c r="FRN254" s="23"/>
      <c r="FRS254" s="26"/>
      <c r="FRW254" s="23"/>
      <c r="FSB254" s="26"/>
      <c r="FSF254" s="23"/>
      <c r="FSK254" s="26"/>
      <c r="FSO254" s="23"/>
      <c r="FST254" s="26"/>
      <c r="FSX254" s="23"/>
      <c r="FTC254" s="26"/>
      <c r="FTG254" s="23"/>
      <c r="FTL254" s="26"/>
      <c r="FTP254" s="23"/>
      <c r="FTU254" s="26"/>
      <c r="FTY254" s="23"/>
      <c r="FUD254" s="26"/>
      <c r="FUH254" s="23"/>
      <c r="FUM254" s="26"/>
      <c r="FUQ254" s="23"/>
      <c r="FUV254" s="26"/>
      <c r="FUZ254" s="23"/>
      <c r="FVE254" s="26"/>
      <c r="FVI254" s="23"/>
      <c r="FVN254" s="26"/>
      <c r="FVR254" s="23"/>
      <c r="FVW254" s="26"/>
      <c r="FWA254" s="23"/>
      <c r="FWF254" s="26"/>
      <c r="FWJ254" s="23"/>
      <c r="FWO254" s="26"/>
      <c r="FWS254" s="23"/>
      <c r="FWX254" s="26"/>
      <c r="FXB254" s="23"/>
      <c r="FXG254" s="26"/>
      <c r="FXK254" s="23"/>
      <c r="FXP254" s="26"/>
      <c r="FXT254" s="23"/>
      <c r="FXY254" s="26"/>
      <c r="FYC254" s="23"/>
      <c r="FYH254" s="26"/>
      <c r="FYL254" s="23"/>
      <c r="FYQ254" s="26"/>
      <c r="FYU254" s="23"/>
      <c r="FYZ254" s="26"/>
      <c r="FZD254" s="23"/>
      <c r="FZI254" s="26"/>
      <c r="FZM254" s="23"/>
      <c r="FZR254" s="26"/>
      <c r="FZV254" s="23"/>
      <c r="GAA254" s="26"/>
      <c r="GAE254" s="23"/>
      <c r="GAJ254" s="26"/>
      <c r="GAN254" s="23"/>
      <c r="GAS254" s="26"/>
      <c r="GAW254" s="23"/>
      <c r="GBB254" s="26"/>
      <c r="GBF254" s="23"/>
      <c r="GBK254" s="26"/>
      <c r="GBO254" s="23"/>
      <c r="GBT254" s="26"/>
      <c r="GBX254" s="23"/>
      <c r="GCC254" s="26"/>
      <c r="GCG254" s="23"/>
      <c r="GCL254" s="26"/>
      <c r="GCP254" s="23"/>
      <c r="GCU254" s="26"/>
      <c r="GCY254" s="23"/>
      <c r="GDD254" s="26"/>
      <c r="GDH254" s="23"/>
      <c r="GDM254" s="26"/>
      <c r="GDQ254" s="23"/>
      <c r="GDV254" s="26"/>
      <c r="GDZ254" s="23"/>
      <c r="GEE254" s="26"/>
      <c r="GEI254" s="23"/>
      <c r="GEN254" s="26"/>
      <c r="GER254" s="23"/>
      <c r="GEW254" s="26"/>
      <c r="GFA254" s="23"/>
      <c r="GFF254" s="26"/>
      <c r="GFJ254" s="23"/>
      <c r="GFO254" s="26"/>
      <c r="GFS254" s="23"/>
      <c r="GFX254" s="26"/>
      <c r="GGB254" s="23"/>
      <c r="GGG254" s="26"/>
      <c r="GGK254" s="23"/>
      <c r="GGP254" s="26"/>
      <c r="GGT254" s="23"/>
      <c r="GGY254" s="26"/>
      <c r="GHC254" s="23"/>
      <c r="GHH254" s="26"/>
      <c r="GHL254" s="23"/>
      <c r="GHQ254" s="26"/>
      <c r="GHU254" s="23"/>
      <c r="GHZ254" s="26"/>
      <c r="GID254" s="23"/>
      <c r="GII254" s="26"/>
      <c r="GIM254" s="23"/>
      <c r="GIR254" s="26"/>
      <c r="GIV254" s="23"/>
      <c r="GJA254" s="26"/>
      <c r="GJE254" s="23"/>
      <c r="GJJ254" s="26"/>
      <c r="GJN254" s="23"/>
      <c r="GJS254" s="26"/>
      <c r="GJW254" s="23"/>
      <c r="GKB254" s="26"/>
      <c r="GKF254" s="23"/>
      <c r="GKK254" s="26"/>
      <c r="GKO254" s="23"/>
      <c r="GKT254" s="26"/>
      <c r="GKX254" s="23"/>
      <c r="GLC254" s="26"/>
      <c r="GLG254" s="23"/>
      <c r="GLL254" s="26"/>
      <c r="GLP254" s="23"/>
      <c r="GLU254" s="26"/>
      <c r="GLY254" s="23"/>
      <c r="GMD254" s="26"/>
      <c r="GMH254" s="23"/>
      <c r="GMM254" s="26"/>
      <c r="GMQ254" s="23"/>
      <c r="GMV254" s="26"/>
      <c r="GMZ254" s="23"/>
      <c r="GNE254" s="26"/>
      <c r="GNI254" s="23"/>
      <c r="GNN254" s="26"/>
      <c r="GNR254" s="23"/>
      <c r="GNW254" s="26"/>
      <c r="GOA254" s="23"/>
      <c r="GOF254" s="26"/>
      <c r="GOJ254" s="23"/>
      <c r="GOO254" s="26"/>
      <c r="GOS254" s="23"/>
      <c r="GOX254" s="26"/>
      <c r="GPB254" s="23"/>
      <c r="GPG254" s="26"/>
      <c r="GPK254" s="23"/>
      <c r="GPP254" s="26"/>
      <c r="GPT254" s="23"/>
      <c r="GPY254" s="26"/>
      <c r="GQC254" s="23"/>
      <c r="GQH254" s="26"/>
      <c r="GQL254" s="23"/>
      <c r="GQQ254" s="26"/>
      <c r="GQU254" s="23"/>
      <c r="GQZ254" s="26"/>
      <c r="GRD254" s="23"/>
      <c r="GRI254" s="26"/>
      <c r="GRM254" s="23"/>
      <c r="GRR254" s="26"/>
      <c r="GRV254" s="23"/>
      <c r="GSA254" s="26"/>
      <c r="GSE254" s="23"/>
      <c r="GSJ254" s="26"/>
      <c r="GSN254" s="23"/>
      <c r="GSS254" s="26"/>
      <c r="GSW254" s="23"/>
      <c r="GTB254" s="26"/>
      <c r="GTF254" s="23"/>
      <c r="GTK254" s="26"/>
      <c r="GTO254" s="23"/>
      <c r="GTT254" s="26"/>
      <c r="GTX254" s="23"/>
      <c r="GUC254" s="26"/>
      <c r="GUG254" s="23"/>
      <c r="GUL254" s="26"/>
      <c r="GUP254" s="23"/>
      <c r="GUU254" s="26"/>
      <c r="GUY254" s="23"/>
      <c r="GVD254" s="26"/>
      <c r="GVH254" s="23"/>
      <c r="GVM254" s="26"/>
      <c r="GVQ254" s="23"/>
      <c r="GVV254" s="26"/>
      <c r="GVZ254" s="23"/>
      <c r="GWE254" s="26"/>
      <c r="GWI254" s="23"/>
      <c r="GWN254" s="26"/>
      <c r="GWR254" s="23"/>
      <c r="GWW254" s="26"/>
      <c r="GXA254" s="23"/>
      <c r="GXF254" s="26"/>
      <c r="GXJ254" s="23"/>
      <c r="GXO254" s="26"/>
      <c r="GXS254" s="23"/>
      <c r="GXX254" s="26"/>
      <c r="GYB254" s="23"/>
      <c r="GYG254" s="26"/>
      <c r="GYK254" s="23"/>
      <c r="GYP254" s="26"/>
      <c r="GYT254" s="23"/>
      <c r="GYY254" s="26"/>
      <c r="GZC254" s="23"/>
      <c r="GZH254" s="26"/>
      <c r="GZL254" s="23"/>
      <c r="GZQ254" s="26"/>
      <c r="GZU254" s="23"/>
      <c r="GZZ254" s="26"/>
      <c r="HAD254" s="23"/>
      <c r="HAI254" s="26"/>
      <c r="HAM254" s="23"/>
      <c r="HAR254" s="26"/>
      <c r="HAV254" s="23"/>
      <c r="HBA254" s="26"/>
      <c r="HBE254" s="23"/>
      <c r="HBJ254" s="26"/>
      <c r="HBN254" s="23"/>
      <c r="HBS254" s="26"/>
      <c r="HBW254" s="23"/>
      <c r="HCB254" s="26"/>
      <c r="HCF254" s="23"/>
      <c r="HCK254" s="26"/>
      <c r="HCO254" s="23"/>
      <c r="HCT254" s="26"/>
      <c r="HCX254" s="23"/>
      <c r="HDC254" s="26"/>
      <c r="HDG254" s="23"/>
      <c r="HDL254" s="26"/>
      <c r="HDP254" s="23"/>
      <c r="HDU254" s="26"/>
      <c r="HDY254" s="23"/>
      <c r="HED254" s="26"/>
      <c r="HEH254" s="23"/>
      <c r="HEM254" s="26"/>
      <c r="HEQ254" s="23"/>
      <c r="HEV254" s="26"/>
      <c r="HEZ254" s="23"/>
      <c r="HFE254" s="26"/>
      <c r="HFI254" s="23"/>
      <c r="HFN254" s="26"/>
      <c r="HFR254" s="23"/>
      <c r="HFW254" s="26"/>
      <c r="HGA254" s="23"/>
      <c r="HGF254" s="26"/>
      <c r="HGJ254" s="23"/>
      <c r="HGO254" s="26"/>
      <c r="HGS254" s="23"/>
      <c r="HGX254" s="26"/>
      <c r="HHB254" s="23"/>
      <c r="HHG254" s="26"/>
      <c r="HHK254" s="23"/>
      <c r="HHP254" s="26"/>
      <c r="HHT254" s="23"/>
      <c r="HHY254" s="26"/>
      <c r="HIC254" s="23"/>
      <c r="HIH254" s="26"/>
      <c r="HIL254" s="23"/>
      <c r="HIQ254" s="26"/>
      <c r="HIU254" s="23"/>
      <c r="HIZ254" s="26"/>
      <c r="HJD254" s="23"/>
      <c r="HJI254" s="26"/>
      <c r="HJM254" s="23"/>
      <c r="HJR254" s="26"/>
      <c r="HJV254" s="23"/>
      <c r="HKA254" s="26"/>
      <c r="HKE254" s="23"/>
      <c r="HKJ254" s="26"/>
      <c r="HKN254" s="23"/>
      <c r="HKS254" s="26"/>
      <c r="HKW254" s="23"/>
      <c r="HLB254" s="26"/>
      <c r="HLF254" s="23"/>
      <c r="HLK254" s="26"/>
      <c r="HLO254" s="23"/>
      <c r="HLT254" s="26"/>
      <c r="HLX254" s="23"/>
      <c r="HMC254" s="26"/>
      <c r="HMG254" s="23"/>
      <c r="HML254" s="26"/>
      <c r="HMP254" s="23"/>
      <c r="HMU254" s="26"/>
      <c r="HMY254" s="23"/>
      <c r="HND254" s="26"/>
      <c r="HNH254" s="23"/>
      <c r="HNM254" s="26"/>
      <c r="HNQ254" s="23"/>
      <c r="HNV254" s="26"/>
      <c r="HNZ254" s="23"/>
      <c r="HOE254" s="26"/>
      <c r="HOI254" s="23"/>
      <c r="HON254" s="26"/>
      <c r="HOR254" s="23"/>
      <c r="HOW254" s="26"/>
      <c r="HPA254" s="23"/>
      <c r="HPF254" s="26"/>
      <c r="HPJ254" s="23"/>
      <c r="HPO254" s="26"/>
      <c r="HPS254" s="23"/>
      <c r="HPX254" s="26"/>
      <c r="HQB254" s="23"/>
      <c r="HQG254" s="26"/>
      <c r="HQK254" s="23"/>
      <c r="HQP254" s="26"/>
      <c r="HQT254" s="23"/>
      <c r="HQY254" s="26"/>
      <c r="HRC254" s="23"/>
      <c r="HRH254" s="26"/>
      <c r="HRL254" s="23"/>
      <c r="HRQ254" s="26"/>
      <c r="HRU254" s="23"/>
      <c r="HRZ254" s="26"/>
      <c r="HSD254" s="23"/>
      <c r="HSI254" s="26"/>
      <c r="HSM254" s="23"/>
      <c r="HSR254" s="26"/>
      <c r="HSV254" s="23"/>
      <c r="HTA254" s="26"/>
      <c r="HTE254" s="23"/>
      <c r="HTJ254" s="26"/>
      <c r="HTN254" s="23"/>
      <c r="HTS254" s="26"/>
      <c r="HTW254" s="23"/>
      <c r="HUB254" s="26"/>
      <c r="HUF254" s="23"/>
      <c r="HUK254" s="26"/>
      <c r="HUO254" s="23"/>
      <c r="HUT254" s="26"/>
      <c r="HUX254" s="23"/>
      <c r="HVC254" s="26"/>
      <c r="HVG254" s="23"/>
      <c r="HVL254" s="26"/>
      <c r="HVP254" s="23"/>
      <c r="HVU254" s="26"/>
      <c r="HVY254" s="23"/>
      <c r="HWD254" s="26"/>
      <c r="HWH254" s="23"/>
      <c r="HWM254" s="26"/>
      <c r="HWQ254" s="23"/>
      <c r="HWV254" s="26"/>
      <c r="HWZ254" s="23"/>
      <c r="HXE254" s="26"/>
      <c r="HXI254" s="23"/>
      <c r="HXN254" s="26"/>
      <c r="HXR254" s="23"/>
      <c r="HXW254" s="26"/>
      <c r="HYA254" s="23"/>
      <c r="HYF254" s="26"/>
      <c r="HYJ254" s="23"/>
      <c r="HYO254" s="26"/>
      <c r="HYS254" s="23"/>
      <c r="HYX254" s="26"/>
      <c r="HZB254" s="23"/>
      <c r="HZG254" s="26"/>
      <c r="HZK254" s="23"/>
      <c r="HZP254" s="26"/>
      <c r="HZT254" s="23"/>
      <c r="HZY254" s="26"/>
      <c r="IAC254" s="23"/>
      <c r="IAH254" s="26"/>
      <c r="IAL254" s="23"/>
      <c r="IAQ254" s="26"/>
      <c r="IAU254" s="23"/>
      <c r="IAZ254" s="26"/>
      <c r="IBD254" s="23"/>
      <c r="IBI254" s="26"/>
      <c r="IBM254" s="23"/>
      <c r="IBR254" s="26"/>
      <c r="IBV254" s="23"/>
      <c r="ICA254" s="26"/>
      <c r="ICE254" s="23"/>
      <c r="ICJ254" s="26"/>
      <c r="ICN254" s="23"/>
      <c r="ICS254" s="26"/>
      <c r="ICW254" s="23"/>
      <c r="IDB254" s="26"/>
      <c r="IDF254" s="23"/>
      <c r="IDK254" s="26"/>
      <c r="IDO254" s="23"/>
      <c r="IDT254" s="26"/>
      <c r="IDX254" s="23"/>
      <c r="IEC254" s="26"/>
      <c r="IEG254" s="23"/>
      <c r="IEL254" s="26"/>
      <c r="IEP254" s="23"/>
      <c r="IEU254" s="26"/>
      <c r="IEY254" s="23"/>
      <c r="IFD254" s="26"/>
      <c r="IFH254" s="23"/>
      <c r="IFM254" s="26"/>
      <c r="IFQ254" s="23"/>
      <c r="IFV254" s="26"/>
      <c r="IFZ254" s="23"/>
      <c r="IGE254" s="26"/>
      <c r="IGI254" s="23"/>
      <c r="IGN254" s="26"/>
      <c r="IGR254" s="23"/>
      <c r="IGW254" s="26"/>
      <c r="IHA254" s="23"/>
      <c r="IHF254" s="26"/>
      <c r="IHJ254" s="23"/>
      <c r="IHO254" s="26"/>
      <c r="IHS254" s="23"/>
      <c r="IHX254" s="26"/>
      <c r="IIB254" s="23"/>
      <c r="IIG254" s="26"/>
      <c r="IIK254" s="23"/>
      <c r="IIP254" s="26"/>
      <c r="IIT254" s="23"/>
      <c r="IIY254" s="26"/>
      <c r="IJC254" s="23"/>
      <c r="IJH254" s="26"/>
      <c r="IJL254" s="23"/>
      <c r="IJQ254" s="26"/>
      <c r="IJU254" s="23"/>
      <c r="IJZ254" s="26"/>
      <c r="IKD254" s="23"/>
      <c r="IKI254" s="26"/>
      <c r="IKM254" s="23"/>
      <c r="IKR254" s="26"/>
      <c r="IKV254" s="23"/>
      <c r="ILA254" s="26"/>
      <c r="ILE254" s="23"/>
      <c r="ILJ254" s="26"/>
      <c r="ILN254" s="23"/>
      <c r="ILS254" s="26"/>
      <c r="ILW254" s="23"/>
      <c r="IMB254" s="26"/>
      <c r="IMF254" s="23"/>
      <c r="IMK254" s="26"/>
      <c r="IMO254" s="23"/>
      <c r="IMT254" s="26"/>
      <c r="IMX254" s="23"/>
      <c r="INC254" s="26"/>
      <c r="ING254" s="23"/>
      <c r="INL254" s="26"/>
      <c r="INP254" s="23"/>
      <c r="INU254" s="26"/>
      <c r="INY254" s="23"/>
      <c r="IOD254" s="26"/>
      <c r="IOH254" s="23"/>
      <c r="IOM254" s="26"/>
      <c r="IOQ254" s="23"/>
      <c r="IOV254" s="26"/>
      <c r="IOZ254" s="23"/>
      <c r="IPE254" s="26"/>
      <c r="IPI254" s="23"/>
      <c r="IPN254" s="26"/>
      <c r="IPR254" s="23"/>
      <c r="IPW254" s="26"/>
      <c r="IQA254" s="23"/>
      <c r="IQF254" s="26"/>
      <c r="IQJ254" s="23"/>
      <c r="IQO254" s="26"/>
      <c r="IQS254" s="23"/>
      <c r="IQX254" s="26"/>
      <c r="IRB254" s="23"/>
      <c r="IRG254" s="26"/>
      <c r="IRK254" s="23"/>
      <c r="IRP254" s="26"/>
      <c r="IRT254" s="23"/>
      <c r="IRY254" s="26"/>
      <c r="ISC254" s="23"/>
      <c r="ISH254" s="26"/>
      <c r="ISL254" s="23"/>
      <c r="ISQ254" s="26"/>
      <c r="ISU254" s="23"/>
      <c r="ISZ254" s="26"/>
      <c r="ITD254" s="23"/>
      <c r="ITI254" s="26"/>
      <c r="ITM254" s="23"/>
      <c r="ITR254" s="26"/>
      <c r="ITV254" s="23"/>
      <c r="IUA254" s="26"/>
      <c r="IUE254" s="23"/>
      <c r="IUJ254" s="26"/>
      <c r="IUN254" s="23"/>
      <c r="IUS254" s="26"/>
      <c r="IUW254" s="23"/>
      <c r="IVB254" s="26"/>
      <c r="IVF254" s="23"/>
      <c r="IVK254" s="26"/>
      <c r="IVO254" s="23"/>
      <c r="IVT254" s="26"/>
      <c r="IVX254" s="23"/>
      <c r="IWC254" s="26"/>
      <c r="IWG254" s="23"/>
      <c r="IWL254" s="26"/>
      <c r="IWP254" s="23"/>
      <c r="IWU254" s="26"/>
      <c r="IWY254" s="23"/>
      <c r="IXD254" s="26"/>
      <c r="IXH254" s="23"/>
      <c r="IXM254" s="26"/>
      <c r="IXQ254" s="23"/>
      <c r="IXV254" s="26"/>
      <c r="IXZ254" s="23"/>
      <c r="IYE254" s="26"/>
      <c r="IYI254" s="23"/>
      <c r="IYN254" s="26"/>
      <c r="IYR254" s="23"/>
      <c r="IYW254" s="26"/>
      <c r="IZA254" s="23"/>
      <c r="IZF254" s="26"/>
      <c r="IZJ254" s="23"/>
      <c r="IZO254" s="26"/>
      <c r="IZS254" s="23"/>
      <c r="IZX254" s="26"/>
      <c r="JAB254" s="23"/>
      <c r="JAG254" s="26"/>
      <c r="JAK254" s="23"/>
      <c r="JAP254" s="26"/>
      <c r="JAT254" s="23"/>
      <c r="JAY254" s="26"/>
      <c r="JBC254" s="23"/>
      <c r="JBH254" s="26"/>
      <c r="JBL254" s="23"/>
      <c r="JBQ254" s="26"/>
      <c r="JBU254" s="23"/>
      <c r="JBZ254" s="26"/>
      <c r="JCD254" s="23"/>
      <c r="JCI254" s="26"/>
      <c r="JCM254" s="23"/>
      <c r="JCR254" s="26"/>
      <c r="JCV254" s="23"/>
      <c r="JDA254" s="26"/>
      <c r="JDE254" s="23"/>
      <c r="JDJ254" s="26"/>
      <c r="JDN254" s="23"/>
      <c r="JDS254" s="26"/>
      <c r="JDW254" s="23"/>
      <c r="JEB254" s="26"/>
      <c r="JEF254" s="23"/>
      <c r="JEK254" s="26"/>
      <c r="JEO254" s="23"/>
      <c r="JET254" s="26"/>
      <c r="JEX254" s="23"/>
      <c r="JFC254" s="26"/>
      <c r="JFG254" s="23"/>
      <c r="JFL254" s="26"/>
      <c r="JFP254" s="23"/>
      <c r="JFU254" s="26"/>
      <c r="JFY254" s="23"/>
      <c r="JGD254" s="26"/>
      <c r="JGH254" s="23"/>
      <c r="JGM254" s="26"/>
      <c r="JGQ254" s="23"/>
      <c r="JGV254" s="26"/>
      <c r="JGZ254" s="23"/>
      <c r="JHE254" s="26"/>
      <c r="JHI254" s="23"/>
      <c r="JHN254" s="26"/>
      <c r="JHR254" s="23"/>
      <c r="JHW254" s="26"/>
      <c r="JIA254" s="23"/>
      <c r="JIF254" s="26"/>
      <c r="JIJ254" s="23"/>
      <c r="JIO254" s="26"/>
      <c r="JIS254" s="23"/>
      <c r="JIX254" s="26"/>
      <c r="JJB254" s="23"/>
      <c r="JJG254" s="26"/>
      <c r="JJK254" s="23"/>
      <c r="JJP254" s="26"/>
      <c r="JJT254" s="23"/>
      <c r="JJY254" s="26"/>
      <c r="JKC254" s="23"/>
      <c r="JKH254" s="26"/>
      <c r="JKL254" s="23"/>
      <c r="JKQ254" s="26"/>
      <c r="JKU254" s="23"/>
      <c r="JKZ254" s="26"/>
      <c r="JLD254" s="23"/>
      <c r="JLI254" s="26"/>
      <c r="JLM254" s="23"/>
      <c r="JLR254" s="26"/>
      <c r="JLV254" s="23"/>
      <c r="JMA254" s="26"/>
      <c r="JME254" s="23"/>
      <c r="JMJ254" s="26"/>
      <c r="JMN254" s="23"/>
      <c r="JMS254" s="26"/>
      <c r="JMW254" s="23"/>
      <c r="JNB254" s="26"/>
      <c r="JNF254" s="23"/>
      <c r="JNK254" s="26"/>
      <c r="JNO254" s="23"/>
      <c r="JNT254" s="26"/>
      <c r="JNX254" s="23"/>
      <c r="JOC254" s="26"/>
      <c r="JOG254" s="23"/>
      <c r="JOL254" s="26"/>
      <c r="JOP254" s="23"/>
      <c r="JOU254" s="26"/>
      <c r="JOY254" s="23"/>
      <c r="JPD254" s="26"/>
      <c r="JPH254" s="23"/>
      <c r="JPM254" s="26"/>
      <c r="JPQ254" s="23"/>
      <c r="JPV254" s="26"/>
      <c r="JPZ254" s="23"/>
      <c r="JQE254" s="26"/>
      <c r="JQI254" s="23"/>
      <c r="JQN254" s="26"/>
      <c r="JQR254" s="23"/>
      <c r="JQW254" s="26"/>
      <c r="JRA254" s="23"/>
      <c r="JRF254" s="26"/>
      <c r="JRJ254" s="23"/>
      <c r="JRO254" s="26"/>
      <c r="JRS254" s="23"/>
      <c r="JRX254" s="26"/>
      <c r="JSB254" s="23"/>
      <c r="JSG254" s="26"/>
      <c r="JSK254" s="23"/>
      <c r="JSP254" s="26"/>
      <c r="JST254" s="23"/>
      <c r="JSY254" s="26"/>
      <c r="JTC254" s="23"/>
      <c r="JTH254" s="26"/>
      <c r="JTL254" s="23"/>
      <c r="JTQ254" s="26"/>
      <c r="JTU254" s="23"/>
      <c r="JTZ254" s="26"/>
      <c r="JUD254" s="23"/>
      <c r="JUI254" s="26"/>
      <c r="JUM254" s="23"/>
      <c r="JUR254" s="26"/>
      <c r="JUV254" s="23"/>
      <c r="JVA254" s="26"/>
      <c r="JVE254" s="23"/>
      <c r="JVJ254" s="26"/>
      <c r="JVN254" s="23"/>
      <c r="JVS254" s="26"/>
      <c r="JVW254" s="23"/>
      <c r="JWB254" s="26"/>
      <c r="JWF254" s="23"/>
      <c r="JWK254" s="26"/>
      <c r="JWO254" s="23"/>
      <c r="JWT254" s="26"/>
      <c r="JWX254" s="23"/>
      <c r="JXC254" s="26"/>
      <c r="JXG254" s="23"/>
      <c r="JXL254" s="26"/>
      <c r="JXP254" s="23"/>
      <c r="JXU254" s="26"/>
      <c r="JXY254" s="23"/>
      <c r="JYD254" s="26"/>
      <c r="JYH254" s="23"/>
      <c r="JYM254" s="26"/>
      <c r="JYQ254" s="23"/>
      <c r="JYV254" s="26"/>
      <c r="JYZ254" s="23"/>
      <c r="JZE254" s="26"/>
      <c r="JZI254" s="23"/>
      <c r="JZN254" s="26"/>
      <c r="JZR254" s="23"/>
      <c r="JZW254" s="26"/>
      <c r="KAA254" s="23"/>
      <c r="KAF254" s="26"/>
      <c r="KAJ254" s="23"/>
      <c r="KAO254" s="26"/>
      <c r="KAS254" s="23"/>
      <c r="KAX254" s="26"/>
      <c r="KBB254" s="23"/>
      <c r="KBG254" s="26"/>
      <c r="KBK254" s="23"/>
      <c r="KBP254" s="26"/>
      <c r="KBT254" s="23"/>
      <c r="KBY254" s="26"/>
      <c r="KCC254" s="23"/>
      <c r="KCH254" s="26"/>
      <c r="KCL254" s="23"/>
      <c r="KCQ254" s="26"/>
      <c r="KCU254" s="23"/>
      <c r="KCZ254" s="26"/>
      <c r="KDD254" s="23"/>
      <c r="KDI254" s="26"/>
      <c r="KDM254" s="23"/>
      <c r="KDR254" s="26"/>
      <c r="KDV254" s="23"/>
      <c r="KEA254" s="26"/>
      <c r="KEE254" s="23"/>
      <c r="KEJ254" s="26"/>
      <c r="KEN254" s="23"/>
      <c r="KES254" s="26"/>
      <c r="KEW254" s="23"/>
      <c r="KFB254" s="26"/>
      <c r="KFF254" s="23"/>
      <c r="KFK254" s="26"/>
      <c r="KFO254" s="23"/>
      <c r="KFT254" s="26"/>
      <c r="KFX254" s="23"/>
      <c r="KGC254" s="26"/>
      <c r="KGG254" s="23"/>
      <c r="KGL254" s="26"/>
      <c r="KGP254" s="23"/>
      <c r="KGU254" s="26"/>
      <c r="KGY254" s="23"/>
      <c r="KHD254" s="26"/>
      <c r="KHH254" s="23"/>
      <c r="KHM254" s="26"/>
      <c r="KHQ254" s="23"/>
      <c r="KHV254" s="26"/>
      <c r="KHZ254" s="23"/>
      <c r="KIE254" s="26"/>
      <c r="KII254" s="23"/>
      <c r="KIN254" s="26"/>
      <c r="KIR254" s="23"/>
      <c r="KIW254" s="26"/>
      <c r="KJA254" s="23"/>
      <c r="KJF254" s="26"/>
      <c r="KJJ254" s="23"/>
      <c r="KJO254" s="26"/>
      <c r="KJS254" s="23"/>
      <c r="KJX254" s="26"/>
      <c r="KKB254" s="23"/>
      <c r="KKG254" s="26"/>
      <c r="KKK254" s="23"/>
      <c r="KKP254" s="26"/>
      <c r="KKT254" s="23"/>
      <c r="KKY254" s="26"/>
      <c r="KLC254" s="23"/>
      <c r="KLH254" s="26"/>
      <c r="KLL254" s="23"/>
      <c r="KLQ254" s="26"/>
      <c r="KLU254" s="23"/>
      <c r="KLZ254" s="26"/>
      <c r="KMD254" s="23"/>
      <c r="KMI254" s="26"/>
      <c r="KMM254" s="23"/>
      <c r="KMR254" s="26"/>
      <c r="KMV254" s="23"/>
      <c r="KNA254" s="26"/>
      <c r="KNE254" s="23"/>
      <c r="KNJ254" s="26"/>
      <c r="KNN254" s="23"/>
      <c r="KNS254" s="26"/>
      <c r="KNW254" s="23"/>
      <c r="KOB254" s="26"/>
      <c r="KOF254" s="23"/>
      <c r="KOK254" s="26"/>
      <c r="KOO254" s="23"/>
      <c r="KOT254" s="26"/>
      <c r="KOX254" s="23"/>
      <c r="KPC254" s="26"/>
      <c r="KPG254" s="23"/>
      <c r="KPL254" s="26"/>
      <c r="KPP254" s="23"/>
      <c r="KPU254" s="26"/>
      <c r="KPY254" s="23"/>
      <c r="KQD254" s="26"/>
      <c r="KQH254" s="23"/>
      <c r="KQM254" s="26"/>
      <c r="KQQ254" s="23"/>
      <c r="KQV254" s="26"/>
      <c r="KQZ254" s="23"/>
      <c r="KRE254" s="26"/>
      <c r="KRI254" s="23"/>
      <c r="KRN254" s="26"/>
      <c r="KRR254" s="23"/>
      <c r="KRW254" s="26"/>
      <c r="KSA254" s="23"/>
      <c r="KSF254" s="26"/>
      <c r="KSJ254" s="23"/>
      <c r="KSO254" s="26"/>
      <c r="KSS254" s="23"/>
      <c r="KSX254" s="26"/>
      <c r="KTB254" s="23"/>
      <c r="KTG254" s="26"/>
      <c r="KTK254" s="23"/>
      <c r="KTP254" s="26"/>
      <c r="KTT254" s="23"/>
      <c r="KTY254" s="26"/>
      <c r="KUC254" s="23"/>
      <c r="KUH254" s="26"/>
      <c r="KUL254" s="23"/>
      <c r="KUQ254" s="26"/>
      <c r="KUU254" s="23"/>
      <c r="KUZ254" s="26"/>
      <c r="KVD254" s="23"/>
      <c r="KVI254" s="26"/>
      <c r="KVM254" s="23"/>
      <c r="KVR254" s="26"/>
      <c r="KVV254" s="23"/>
      <c r="KWA254" s="26"/>
      <c r="KWE254" s="23"/>
      <c r="KWJ254" s="26"/>
      <c r="KWN254" s="23"/>
      <c r="KWS254" s="26"/>
      <c r="KWW254" s="23"/>
      <c r="KXB254" s="26"/>
      <c r="KXF254" s="23"/>
      <c r="KXK254" s="26"/>
      <c r="KXO254" s="23"/>
      <c r="KXT254" s="26"/>
      <c r="KXX254" s="23"/>
      <c r="KYC254" s="26"/>
      <c r="KYG254" s="23"/>
      <c r="KYL254" s="26"/>
      <c r="KYP254" s="23"/>
      <c r="KYU254" s="26"/>
      <c r="KYY254" s="23"/>
      <c r="KZD254" s="26"/>
      <c r="KZH254" s="23"/>
      <c r="KZM254" s="26"/>
      <c r="KZQ254" s="23"/>
      <c r="KZV254" s="26"/>
      <c r="KZZ254" s="23"/>
      <c r="LAE254" s="26"/>
      <c r="LAI254" s="23"/>
      <c r="LAN254" s="26"/>
      <c r="LAR254" s="23"/>
      <c r="LAW254" s="26"/>
      <c r="LBA254" s="23"/>
      <c r="LBF254" s="26"/>
      <c r="LBJ254" s="23"/>
      <c r="LBO254" s="26"/>
      <c r="LBS254" s="23"/>
      <c r="LBX254" s="26"/>
      <c r="LCB254" s="23"/>
      <c r="LCG254" s="26"/>
      <c r="LCK254" s="23"/>
      <c r="LCP254" s="26"/>
      <c r="LCT254" s="23"/>
      <c r="LCY254" s="26"/>
      <c r="LDC254" s="23"/>
      <c r="LDH254" s="26"/>
      <c r="LDL254" s="23"/>
      <c r="LDQ254" s="26"/>
      <c r="LDU254" s="23"/>
      <c r="LDZ254" s="26"/>
      <c r="LED254" s="23"/>
      <c r="LEI254" s="26"/>
      <c r="LEM254" s="23"/>
      <c r="LER254" s="26"/>
      <c r="LEV254" s="23"/>
      <c r="LFA254" s="26"/>
      <c r="LFE254" s="23"/>
      <c r="LFJ254" s="26"/>
      <c r="LFN254" s="23"/>
      <c r="LFS254" s="26"/>
      <c r="LFW254" s="23"/>
      <c r="LGB254" s="26"/>
      <c r="LGF254" s="23"/>
      <c r="LGK254" s="26"/>
      <c r="LGO254" s="23"/>
      <c r="LGT254" s="26"/>
      <c r="LGX254" s="23"/>
      <c r="LHC254" s="26"/>
      <c r="LHG254" s="23"/>
      <c r="LHL254" s="26"/>
      <c r="LHP254" s="23"/>
      <c r="LHU254" s="26"/>
      <c r="LHY254" s="23"/>
      <c r="LID254" s="26"/>
      <c r="LIH254" s="23"/>
      <c r="LIM254" s="26"/>
      <c r="LIQ254" s="23"/>
      <c r="LIV254" s="26"/>
      <c r="LIZ254" s="23"/>
      <c r="LJE254" s="26"/>
      <c r="LJI254" s="23"/>
      <c r="LJN254" s="26"/>
      <c r="LJR254" s="23"/>
      <c r="LJW254" s="26"/>
      <c r="LKA254" s="23"/>
      <c r="LKF254" s="26"/>
      <c r="LKJ254" s="23"/>
      <c r="LKO254" s="26"/>
      <c r="LKS254" s="23"/>
      <c r="LKX254" s="26"/>
      <c r="LLB254" s="23"/>
      <c r="LLG254" s="26"/>
      <c r="LLK254" s="23"/>
      <c r="LLP254" s="26"/>
      <c r="LLT254" s="23"/>
      <c r="LLY254" s="26"/>
      <c r="LMC254" s="23"/>
      <c r="LMH254" s="26"/>
      <c r="LML254" s="23"/>
      <c r="LMQ254" s="26"/>
      <c r="LMU254" s="23"/>
      <c r="LMZ254" s="26"/>
      <c r="LND254" s="23"/>
      <c r="LNI254" s="26"/>
      <c r="LNM254" s="23"/>
      <c r="LNR254" s="26"/>
      <c r="LNV254" s="23"/>
      <c r="LOA254" s="26"/>
      <c r="LOE254" s="23"/>
      <c r="LOJ254" s="26"/>
      <c r="LON254" s="23"/>
      <c r="LOS254" s="26"/>
      <c r="LOW254" s="23"/>
      <c r="LPB254" s="26"/>
      <c r="LPF254" s="23"/>
      <c r="LPK254" s="26"/>
      <c r="LPO254" s="23"/>
      <c r="LPT254" s="26"/>
      <c r="LPX254" s="23"/>
      <c r="LQC254" s="26"/>
      <c r="LQG254" s="23"/>
      <c r="LQL254" s="26"/>
      <c r="LQP254" s="23"/>
      <c r="LQU254" s="26"/>
      <c r="LQY254" s="23"/>
      <c r="LRD254" s="26"/>
      <c r="LRH254" s="23"/>
      <c r="LRM254" s="26"/>
      <c r="LRQ254" s="23"/>
      <c r="LRV254" s="26"/>
      <c r="LRZ254" s="23"/>
      <c r="LSE254" s="26"/>
      <c r="LSI254" s="23"/>
      <c r="LSN254" s="26"/>
      <c r="LSR254" s="23"/>
      <c r="LSW254" s="26"/>
      <c r="LTA254" s="23"/>
      <c r="LTF254" s="26"/>
      <c r="LTJ254" s="23"/>
      <c r="LTO254" s="26"/>
      <c r="LTS254" s="23"/>
      <c r="LTX254" s="26"/>
      <c r="LUB254" s="23"/>
      <c r="LUG254" s="26"/>
      <c r="LUK254" s="23"/>
      <c r="LUP254" s="26"/>
      <c r="LUT254" s="23"/>
      <c r="LUY254" s="26"/>
      <c r="LVC254" s="23"/>
      <c r="LVH254" s="26"/>
      <c r="LVL254" s="23"/>
      <c r="LVQ254" s="26"/>
      <c r="LVU254" s="23"/>
      <c r="LVZ254" s="26"/>
      <c r="LWD254" s="23"/>
      <c r="LWI254" s="26"/>
      <c r="LWM254" s="23"/>
      <c r="LWR254" s="26"/>
      <c r="LWV254" s="23"/>
      <c r="LXA254" s="26"/>
      <c r="LXE254" s="23"/>
      <c r="LXJ254" s="26"/>
      <c r="LXN254" s="23"/>
      <c r="LXS254" s="26"/>
      <c r="LXW254" s="23"/>
      <c r="LYB254" s="26"/>
      <c r="LYF254" s="23"/>
      <c r="LYK254" s="26"/>
      <c r="LYO254" s="23"/>
      <c r="LYT254" s="26"/>
      <c r="LYX254" s="23"/>
      <c r="LZC254" s="26"/>
      <c r="LZG254" s="23"/>
      <c r="LZL254" s="26"/>
      <c r="LZP254" s="23"/>
      <c r="LZU254" s="26"/>
      <c r="LZY254" s="23"/>
      <c r="MAD254" s="26"/>
      <c r="MAH254" s="23"/>
      <c r="MAM254" s="26"/>
      <c r="MAQ254" s="23"/>
      <c r="MAV254" s="26"/>
      <c r="MAZ254" s="23"/>
      <c r="MBE254" s="26"/>
      <c r="MBI254" s="23"/>
      <c r="MBN254" s="26"/>
      <c r="MBR254" s="23"/>
      <c r="MBW254" s="26"/>
      <c r="MCA254" s="23"/>
      <c r="MCF254" s="26"/>
      <c r="MCJ254" s="23"/>
      <c r="MCO254" s="26"/>
      <c r="MCS254" s="23"/>
      <c r="MCX254" s="26"/>
      <c r="MDB254" s="23"/>
      <c r="MDG254" s="26"/>
      <c r="MDK254" s="23"/>
      <c r="MDP254" s="26"/>
      <c r="MDT254" s="23"/>
      <c r="MDY254" s="26"/>
      <c r="MEC254" s="23"/>
      <c r="MEH254" s="26"/>
      <c r="MEL254" s="23"/>
      <c r="MEQ254" s="26"/>
      <c r="MEU254" s="23"/>
      <c r="MEZ254" s="26"/>
      <c r="MFD254" s="23"/>
      <c r="MFI254" s="26"/>
      <c r="MFM254" s="23"/>
      <c r="MFR254" s="26"/>
      <c r="MFV254" s="23"/>
      <c r="MGA254" s="26"/>
      <c r="MGE254" s="23"/>
      <c r="MGJ254" s="26"/>
      <c r="MGN254" s="23"/>
      <c r="MGS254" s="26"/>
      <c r="MGW254" s="23"/>
      <c r="MHB254" s="26"/>
      <c r="MHF254" s="23"/>
      <c r="MHK254" s="26"/>
      <c r="MHO254" s="23"/>
      <c r="MHT254" s="26"/>
      <c r="MHX254" s="23"/>
      <c r="MIC254" s="26"/>
      <c r="MIG254" s="23"/>
      <c r="MIL254" s="26"/>
      <c r="MIP254" s="23"/>
      <c r="MIU254" s="26"/>
      <c r="MIY254" s="23"/>
      <c r="MJD254" s="26"/>
      <c r="MJH254" s="23"/>
      <c r="MJM254" s="26"/>
      <c r="MJQ254" s="23"/>
      <c r="MJV254" s="26"/>
      <c r="MJZ254" s="23"/>
      <c r="MKE254" s="26"/>
      <c r="MKI254" s="23"/>
      <c r="MKN254" s="26"/>
      <c r="MKR254" s="23"/>
      <c r="MKW254" s="26"/>
      <c r="MLA254" s="23"/>
      <c r="MLF254" s="26"/>
      <c r="MLJ254" s="23"/>
      <c r="MLO254" s="26"/>
      <c r="MLS254" s="23"/>
      <c r="MLX254" s="26"/>
      <c r="MMB254" s="23"/>
      <c r="MMG254" s="26"/>
      <c r="MMK254" s="23"/>
      <c r="MMP254" s="26"/>
      <c r="MMT254" s="23"/>
      <c r="MMY254" s="26"/>
      <c r="MNC254" s="23"/>
      <c r="MNH254" s="26"/>
      <c r="MNL254" s="23"/>
      <c r="MNQ254" s="26"/>
      <c r="MNU254" s="23"/>
      <c r="MNZ254" s="26"/>
      <c r="MOD254" s="23"/>
      <c r="MOI254" s="26"/>
      <c r="MOM254" s="23"/>
      <c r="MOR254" s="26"/>
      <c r="MOV254" s="23"/>
      <c r="MPA254" s="26"/>
      <c r="MPE254" s="23"/>
      <c r="MPJ254" s="26"/>
      <c r="MPN254" s="23"/>
      <c r="MPS254" s="26"/>
      <c r="MPW254" s="23"/>
      <c r="MQB254" s="26"/>
      <c r="MQF254" s="23"/>
      <c r="MQK254" s="26"/>
      <c r="MQO254" s="23"/>
      <c r="MQT254" s="26"/>
      <c r="MQX254" s="23"/>
      <c r="MRC254" s="26"/>
      <c r="MRG254" s="23"/>
      <c r="MRL254" s="26"/>
      <c r="MRP254" s="23"/>
      <c r="MRU254" s="26"/>
      <c r="MRY254" s="23"/>
      <c r="MSD254" s="26"/>
      <c r="MSH254" s="23"/>
      <c r="MSM254" s="26"/>
      <c r="MSQ254" s="23"/>
      <c r="MSV254" s="26"/>
      <c r="MSZ254" s="23"/>
      <c r="MTE254" s="26"/>
      <c r="MTI254" s="23"/>
      <c r="MTN254" s="26"/>
      <c r="MTR254" s="23"/>
      <c r="MTW254" s="26"/>
      <c r="MUA254" s="23"/>
      <c r="MUF254" s="26"/>
      <c r="MUJ254" s="23"/>
      <c r="MUO254" s="26"/>
      <c r="MUS254" s="23"/>
      <c r="MUX254" s="26"/>
      <c r="MVB254" s="23"/>
      <c r="MVG254" s="26"/>
      <c r="MVK254" s="23"/>
      <c r="MVP254" s="26"/>
      <c r="MVT254" s="23"/>
      <c r="MVY254" s="26"/>
      <c r="MWC254" s="23"/>
      <c r="MWH254" s="26"/>
      <c r="MWL254" s="23"/>
      <c r="MWQ254" s="26"/>
      <c r="MWU254" s="23"/>
      <c r="MWZ254" s="26"/>
      <c r="MXD254" s="23"/>
      <c r="MXI254" s="26"/>
      <c r="MXM254" s="23"/>
      <c r="MXR254" s="26"/>
      <c r="MXV254" s="23"/>
      <c r="MYA254" s="26"/>
      <c r="MYE254" s="23"/>
      <c r="MYJ254" s="26"/>
      <c r="MYN254" s="23"/>
      <c r="MYS254" s="26"/>
      <c r="MYW254" s="23"/>
      <c r="MZB254" s="26"/>
      <c r="MZF254" s="23"/>
      <c r="MZK254" s="26"/>
      <c r="MZO254" s="23"/>
      <c r="MZT254" s="26"/>
      <c r="MZX254" s="23"/>
      <c r="NAC254" s="26"/>
      <c r="NAG254" s="23"/>
      <c r="NAL254" s="26"/>
      <c r="NAP254" s="23"/>
      <c r="NAU254" s="26"/>
      <c r="NAY254" s="23"/>
      <c r="NBD254" s="26"/>
      <c r="NBH254" s="23"/>
      <c r="NBM254" s="26"/>
      <c r="NBQ254" s="23"/>
      <c r="NBV254" s="26"/>
      <c r="NBZ254" s="23"/>
      <c r="NCE254" s="26"/>
      <c r="NCI254" s="23"/>
      <c r="NCN254" s="26"/>
      <c r="NCR254" s="23"/>
      <c r="NCW254" s="26"/>
      <c r="NDA254" s="23"/>
      <c r="NDF254" s="26"/>
      <c r="NDJ254" s="23"/>
      <c r="NDO254" s="26"/>
      <c r="NDS254" s="23"/>
      <c r="NDX254" s="26"/>
      <c r="NEB254" s="23"/>
      <c r="NEG254" s="26"/>
      <c r="NEK254" s="23"/>
      <c r="NEP254" s="26"/>
      <c r="NET254" s="23"/>
      <c r="NEY254" s="26"/>
      <c r="NFC254" s="23"/>
      <c r="NFH254" s="26"/>
      <c r="NFL254" s="23"/>
      <c r="NFQ254" s="26"/>
      <c r="NFU254" s="23"/>
      <c r="NFZ254" s="26"/>
      <c r="NGD254" s="23"/>
      <c r="NGI254" s="26"/>
      <c r="NGM254" s="23"/>
      <c r="NGR254" s="26"/>
      <c r="NGV254" s="23"/>
      <c r="NHA254" s="26"/>
      <c r="NHE254" s="23"/>
      <c r="NHJ254" s="26"/>
      <c r="NHN254" s="23"/>
      <c r="NHS254" s="26"/>
      <c r="NHW254" s="23"/>
      <c r="NIB254" s="26"/>
      <c r="NIF254" s="23"/>
      <c r="NIK254" s="26"/>
      <c r="NIO254" s="23"/>
      <c r="NIT254" s="26"/>
      <c r="NIX254" s="23"/>
      <c r="NJC254" s="26"/>
      <c r="NJG254" s="23"/>
      <c r="NJL254" s="26"/>
      <c r="NJP254" s="23"/>
      <c r="NJU254" s="26"/>
      <c r="NJY254" s="23"/>
      <c r="NKD254" s="26"/>
      <c r="NKH254" s="23"/>
      <c r="NKM254" s="26"/>
      <c r="NKQ254" s="23"/>
      <c r="NKV254" s="26"/>
      <c r="NKZ254" s="23"/>
      <c r="NLE254" s="26"/>
      <c r="NLI254" s="23"/>
      <c r="NLN254" s="26"/>
      <c r="NLR254" s="23"/>
      <c r="NLW254" s="26"/>
      <c r="NMA254" s="23"/>
      <c r="NMF254" s="26"/>
      <c r="NMJ254" s="23"/>
      <c r="NMO254" s="26"/>
      <c r="NMS254" s="23"/>
      <c r="NMX254" s="26"/>
      <c r="NNB254" s="23"/>
      <c r="NNG254" s="26"/>
      <c r="NNK254" s="23"/>
      <c r="NNP254" s="26"/>
      <c r="NNT254" s="23"/>
      <c r="NNY254" s="26"/>
      <c r="NOC254" s="23"/>
      <c r="NOH254" s="26"/>
      <c r="NOL254" s="23"/>
      <c r="NOQ254" s="26"/>
      <c r="NOU254" s="23"/>
      <c r="NOZ254" s="26"/>
      <c r="NPD254" s="23"/>
      <c r="NPI254" s="26"/>
      <c r="NPM254" s="23"/>
      <c r="NPR254" s="26"/>
      <c r="NPV254" s="23"/>
      <c r="NQA254" s="26"/>
      <c r="NQE254" s="23"/>
      <c r="NQJ254" s="26"/>
      <c r="NQN254" s="23"/>
      <c r="NQS254" s="26"/>
      <c r="NQW254" s="23"/>
      <c r="NRB254" s="26"/>
      <c r="NRF254" s="23"/>
      <c r="NRK254" s="26"/>
      <c r="NRO254" s="23"/>
      <c r="NRT254" s="26"/>
      <c r="NRX254" s="23"/>
      <c r="NSC254" s="26"/>
      <c r="NSG254" s="23"/>
      <c r="NSL254" s="26"/>
      <c r="NSP254" s="23"/>
      <c r="NSU254" s="26"/>
      <c r="NSY254" s="23"/>
      <c r="NTD254" s="26"/>
      <c r="NTH254" s="23"/>
      <c r="NTM254" s="26"/>
      <c r="NTQ254" s="23"/>
      <c r="NTV254" s="26"/>
      <c r="NTZ254" s="23"/>
      <c r="NUE254" s="26"/>
      <c r="NUI254" s="23"/>
      <c r="NUN254" s="26"/>
      <c r="NUR254" s="23"/>
      <c r="NUW254" s="26"/>
      <c r="NVA254" s="23"/>
      <c r="NVF254" s="26"/>
      <c r="NVJ254" s="23"/>
      <c r="NVO254" s="26"/>
      <c r="NVS254" s="23"/>
      <c r="NVX254" s="26"/>
      <c r="NWB254" s="23"/>
      <c r="NWG254" s="26"/>
      <c r="NWK254" s="23"/>
      <c r="NWP254" s="26"/>
      <c r="NWT254" s="23"/>
      <c r="NWY254" s="26"/>
      <c r="NXC254" s="23"/>
      <c r="NXH254" s="26"/>
      <c r="NXL254" s="23"/>
      <c r="NXQ254" s="26"/>
      <c r="NXU254" s="23"/>
      <c r="NXZ254" s="26"/>
      <c r="NYD254" s="23"/>
      <c r="NYI254" s="26"/>
      <c r="NYM254" s="23"/>
      <c r="NYR254" s="26"/>
      <c r="NYV254" s="23"/>
      <c r="NZA254" s="26"/>
      <c r="NZE254" s="23"/>
      <c r="NZJ254" s="26"/>
      <c r="NZN254" s="23"/>
      <c r="NZS254" s="26"/>
      <c r="NZW254" s="23"/>
      <c r="OAB254" s="26"/>
      <c r="OAF254" s="23"/>
      <c r="OAK254" s="26"/>
      <c r="OAO254" s="23"/>
      <c r="OAT254" s="26"/>
      <c r="OAX254" s="23"/>
      <c r="OBC254" s="26"/>
      <c r="OBG254" s="23"/>
      <c r="OBL254" s="26"/>
      <c r="OBP254" s="23"/>
      <c r="OBU254" s="26"/>
      <c r="OBY254" s="23"/>
      <c r="OCD254" s="26"/>
      <c r="OCH254" s="23"/>
      <c r="OCM254" s="26"/>
      <c r="OCQ254" s="23"/>
      <c r="OCV254" s="26"/>
      <c r="OCZ254" s="23"/>
      <c r="ODE254" s="26"/>
      <c r="ODI254" s="23"/>
      <c r="ODN254" s="26"/>
      <c r="ODR254" s="23"/>
      <c r="ODW254" s="26"/>
      <c r="OEA254" s="23"/>
      <c r="OEF254" s="26"/>
      <c r="OEJ254" s="23"/>
      <c r="OEO254" s="26"/>
      <c r="OES254" s="23"/>
      <c r="OEX254" s="26"/>
      <c r="OFB254" s="23"/>
      <c r="OFG254" s="26"/>
      <c r="OFK254" s="23"/>
      <c r="OFP254" s="26"/>
      <c r="OFT254" s="23"/>
      <c r="OFY254" s="26"/>
      <c r="OGC254" s="23"/>
      <c r="OGH254" s="26"/>
      <c r="OGL254" s="23"/>
      <c r="OGQ254" s="26"/>
      <c r="OGU254" s="23"/>
      <c r="OGZ254" s="26"/>
      <c r="OHD254" s="23"/>
      <c r="OHI254" s="26"/>
      <c r="OHM254" s="23"/>
      <c r="OHR254" s="26"/>
      <c r="OHV254" s="23"/>
      <c r="OIA254" s="26"/>
      <c r="OIE254" s="23"/>
      <c r="OIJ254" s="26"/>
      <c r="OIN254" s="23"/>
      <c r="OIS254" s="26"/>
      <c r="OIW254" s="23"/>
      <c r="OJB254" s="26"/>
      <c r="OJF254" s="23"/>
      <c r="OJK254" s="26"/>
      <c r="OJO254" s="23"/>
      <c r="OJT254" s="26"/>
      <c r="OJX254" s="23"/>
      <c r="OKC254" s="26"/>
      <c r="OKG254" s="23"/>
      <c r="OKL254" s="26"/>
      <c r="OKP254" s="23"/>
      <c r="OKU254" s="26"/>
      <c r="OKY254" s="23"/>
      <c r="OLD254" s="26"/>
      <c r="OLH254" s="23"/>
      <c r="OLM254" s="26"/>
      <c r="OLQ254" s="23"/>
      <c r="OLV254" s="26"/>
      <c r="OLZ254" s="23"/>
      <c r="OME254" s="26"/>
      <c r="OMI254" s="23"/>
      <c r="OMN254" s="26"/>
      <c r="OMR254" s="23"/>
      <c r="OMW254" s="26"/>
      <c r="ONA254" s="23"/>
      <c r="ONF254" s="26"/>
      <c r="ONJ254" s="23"/>
      <c r="ONO254" s="26"/>
      <c r="ONS254" s="23"/>
      <c r="ONX254" s="26"/>
      <c r="OOB254" s="23"/>
      <c r="OOG254" s="26"/>
      <c r="OOK254" s="23"/>
      <c r="OOP254" s="26"/>
      <c r="OOT254" s="23"/>
      <c r="OOY254" s="26"/>
      <c r="OPC254" s="23"/>
      <c r="OPH254" s="26"/>
      <c r="OPL254" s="23"/>
      <c r="OPQ254" s="26"/>
      <c r="OPU254" s="23"/>
      <c r="OPZ254" s="26"/>
      <c r="OQD254" s="23"/>
      <c r="OQI254" s="26"/>
      <c r="OQM254" s="23"/>
      <c r="OQR254" s="26"/>
      <c r="OQV254" s="23"/>
      <c r="ORA254" s="26"/>
      <c r="ORE254" s="23"/>
      <c r="ORJ254" s="26"/>
      <c r="ORN254" s="23"/>
      <c r="ORS254" s="26"/>
      <c r="ORW254" s="23"/>
      <c r="OSB254" s="26"/>
      <c r="OSF254" s="23"/>
      <c r="OSK254" s="26"/>
      <c r="OSO254" s="23"/>
      <c r="OST254" s="26"/>
      <c r="OSX254" s="23"/>
      <c r="OTC254" s="26"/>
      <c r="OTG254" s="23"/>
      <c r="OTL254" s="26"/>
      <c r="OTP254" s="23"/>
      <c r="OTU254" s="26"/>
      <c r="OTY254" s="23"/>
      <c r="OUD254" s="26"/>
      <c r="OUH254" s="23"/>
      <c r="OUM254" s="26"/>
      <c r="OUQ254" s="23"/>
      <c r="OUV254" s="26"/>
      <c r="OUZ254" s="23"/>
      <c r="OVE254" s="26"/>
      <c r="OVI254" s="23"/>
      <c r="OVN254" s="26"/>
      <c r="OVR254" s="23"/>
      <c r="OVW254" s="26"/>
      <c r="OWA254" s="23"/>
      <c r="OWF254" s="26"/>
      <c r="OWJ254" s="23"/>
      <c r="OWO254" s="26"/>
      <c r="OWS254" s="23"/>
      <c r="OWX254" s="26"/>
      <c r="OXB254" s="23"/>
      <c r="OXG254" s="26"/>
      <c r="OXK254" s="23"/>
      <c r="OXP254" s="26"/>
      <c r="OXT254" s="23"/>
      <c r="OXY254" s="26"/>
      <c r="OYC254" s="23"/>
      <c r="OYH254" s="26"/>
      <c r="OYL254" s="23"/>
      <c r="OYQ254" s="26"/>
      <c r="OYU254" s="23"/>
      <c r="OYZ254" s="26"/>
      <c r="OZD254" s="23"/>
      <c r="OZI254" s="26"/>
      <c r="OZM254" s="23"/>
      <c r="OZR254" s="26"/>
      <c r="OZV254" s="23"/>
      <c r="PAA254" s="26"/>
      <c r="PAE254" s="23"/>
      <c r="PAJ254" s="26"/>
      <c r="PAN254" s="23"/>
      <c r="PAS254" s="26"/>
      <c r="PAW254" s="23"/>
      <c r="PBB254" s="26"/>
      <c r="PBF254" s="23"/>
      <c r="PBK254" s="26"/>
      <c r="PBO254" s="23"/>
      <c r="PBT254" s="26"/>
      <c r="PBX254" s="23"/>
      <c r="PCC254" s="26"/>
      <c r="PCG254" s="23"/>
      <c r="PCL254" s="26"/>
      <c r="PCP254" s="23"/>
      <c r="PCU254" s="26"/>
      <c r="PCY254" s="23"/>
      <c r="PDD254" s="26"/>
      <c r="PDH254" s="23"/>
      <c r="PDM254" s="26"/>
      <c r="PDQ254" s="23"/>
      <c r="PDV254" s="26"/>
      <c r="PDZ254" s="23"/>
      <c r="PEE254" s="26"/>
      <c r="PEI254" s="23"/>
      <c r="PEN254" s="26"/>
      <c r="PER254" s="23"/>
      <c r="PEW254" s="26"/>
      <c r="PFA254" s="23"/>
      <c r="PFF254" s="26"/>
      <c r="PFJ254" s="23"/>
      <c r="PFO254" s="26"/>
      <c r="PFS254" s="23"/>
      <c r="PFX254" s="26"/>
      <c r="PGB254" s="23"/>
      <c r="PGG254" s="26"/>
      <c r="PGK254" s="23"/>
      <c r="PGP254" s="26"/>
      <c r="PGT254" s="23"/>
      <c r="PGY254" s="26"/>
      <c r="PHC254" s="23"/>
      <c r="PHH254" s="26"/>
      <c r="PHL254" s="23"/>
      <c r="PHQ254" s="26"/>
      <c r="PHU254" s="23"/>
      <c r="PHZ254" s="26"/>
      <c r="PID254" s="23"/>
      <c r="PII254" s="26"/>
      <c r="PIM254" s="23"/>
      <c r="PIR254" s="26"/>
      <c r="PIV254" s="23"/>
      <c r="PJA254" s="26"/>
      <c r="PJE254" s="23"/>
      <c r="PJJ254" s="26"/>
      <c r="PJN254" s="23"/>
      <c r="PJS254" s="26"/>
      <c r="PJW254" s="23"/>
      <c r="PKB254" s="26"/>
      <c r="PKF254" s="23"/>
      <c r="PKK254" s="26"/>
      <c r="PKO254" s="23"/>
      <c r="PKT254" s="26"/>
      <c r="PKX254" s="23"/>
      <c r="PLC254" s="26"/>
      <c r="PLG254" s="23"/>
      <c r="PLL254" s="26"/>
      <c r="PLP254" s="23"/>
      <c r="PLU254" s="26"/>
      <c r="PLY254" s="23"/>
      <c r="PMD254" s="26"/>
      <c r="PMH254" s="23"/>
      <c r="PMM254" s="26"/>
      <c r="PMQ254" s="23"/>
      <c r="PMV254" s="26"/>
      <c r="PMZ254" s="23"/>
      <c r="PNE254" s="26"/>
      <c r="PNI254" s="23"/>
      <c r="PNN254" s="26"/>
      <c r="PNR254" s="23"/>
      <c r="PNW254" s="26"/>
      <c r="POA254" s="23"/>
      <c r="POF254" s="26"/>
      <c r="POJ254" s="23"/>
      <c r="POO254" s="26"/>
      <c r="POS254" s="23"/>
      <c r="POX254" s="26"/>
      <c r="PPB254" s="23"/>
      <c r="PPG254" s="26"/>
      <c r="PPK254" s="23"/>
      <c r="PPP254" s="26"/>
      <c r="PPT254" s="23"/>
      <c r="PPY254" s="26"/>
      <c r="PQC254" s="23"/>
      <c r="PQH254" s="26"/>
      <c r="PQL254" s="23"/>
      <c r="PQQ254" s="26"/>
      <c r="PQU254" s="23"/>
      <c r="PQZ254" s="26"/>
      <c r="PRD254" s="23"/>
      <c r="PRI254" s="26"/>
      <c r="PRM254" s="23"/>
      <c r="PRR254" s="26"/>
      <c r="PRV254" s="23"/>
      <c r="PSA254" s="26"/>
      <c r="PSE254" s="23"/>
      <c r="PSJ254" s="26"/>
      <c r="PSN254" s="23"/>
      <c r="PSS254" s="26"/>
      <c r="PSW254" s="23"/>
      <c r="PTB254" s="26"/>
      <c r="PTF254" s="23"/>
      <c r="PTK254" s="26"/>
      <c r="PTO254" s="23"/>
      <c r="PTT254" s="26"/>
      <c r="PTX254" s="23"/>
      <c r="PUC254" s="26"/>
      <c r="PUG254" s="23"/>
      <c r="PUL254" s="26"/>
      <c r="PUP254" s="23"/>
      <c r="PUU254" s="26"/>
      <c r="PUY254" s="23"/>
      <c r="PVD254" s="26"/>
      <c r="PVH254" s="23"/>
      <c r="PVM254" s="26"/>
      <c r="PVQ254" s="23"/>
      <c r="PVV254" s="26"/>
      <c r="PVZ254" s="23"/>
      <c r="PWE254" s="26"/>
      <c r="PWI254" s="23"/>
      <c r="PWN254" s="26"/>
      <c r="PWR254" s="23"/>
      <c r="PWW254" s="26"/>
      <c r="PXA254" s="23"/>
      <c r="PXF254" s="26"/>
      <c r="PXJ254" s="23"/>
      <c r="PXO254" s="26"/>
      <c r="PXS254" s="23"/>
      <c r="PXX254" s="26"/>
      <c r="PYB254" s="23"/>
      <c r="PYG254" s="26"/>
      <c r="PYK254" s="23"/>
      <c r="PYP254" s="26"/>
      <c r="PYT254" s="23"/>
      <c r="PYY254" s="26"/>
      <c r="PZC254" s="23"/>
      <c r="PZH254" s="26"/>
      <c r="PZL254" s="23"/>
      <c r="PZQ254" s="26"/>
      <c r="PZU254" s="23"/>
      <c r="PZZ254" s="26"/>
      <c r="QAD254" s="23"/>
      <c r="QAI254" s="26"/>
      <c r="QAM254" s="23"/>
      <c r="QAR254" s="26"/>
      <c r="QAV254" s="23"/>
      <c r="QBA254" s="26"/>
      <c r="QBE254" s="23"/>
      <c r="QBJ254" s="26"/>
      <c r="QBN254" s="23"/>
      <c r="QBS254" s="26"/>
      <c r="QBW254" s="23"/>
      <c r="QCB254" s="26"/>
      <c r="QCF254" s="23"/>
      <c r="QCK254" s="26"/>
      <c r="QCO254" s="23"/>
      <c r="QCT254" s="26"/>
      <c r="QCX254" s="23"/>
      <c r="QDC254" s="26"/>
      <c r="QDG254" s="23"/>
      <c r="QDL254" s="26"/>
      <c r="QDP254" s="23"/>
      <c r="QDU254" s="26"/>
      <c r="QDY254" s="23"/>
      <c r="QED254" s="26"/>
      <c r="QEH254" s="23"/>
      <c r="QEM254" s="26"/>
      <c r="QEQ254" s="23"/>
      <c r="QEV254" s="26"/>
      <c r="QEZ254" s="23"/>
      <c r="QFE254" s="26"/>
      <c r="QFI254" s="23"/>
      <c r="QFN254" s="26"/>
      <c r="QFR254" s="23"/>
      <c r="QFW254" s="26"/>
      <c r="QGA254" s="23"/>
      <c r="QGF254" s="26"/>
      <c r="QGJ254" s="23"/>
      <c r="QGO254" s="26"/>
      <c r="QGS254" s="23"/>
      <c r="QGX254" s="26"/>
      <c r="QHB254" s="23"/>
      <c r="QHG254" s="26"/>
      <c r="QHK254" s="23"/>
      <c r="QHP254" s="26"/>
      <c r="QHT254" s="23"/>
      <c r="QHY254" s="26"/>
      <c r="QIC254" s="23"/>
      <c r="QIH254" s="26"/>
      <c r="QIL254" s="23"/>
      <c r="QIQ254" s="26"/>
      <c r="QIU254" s="23"/>
      <c r="QIZ254" s="26"/>
      <c r="QJD254" s="23"/>
      <c r="QJI254" s="26"/>
      <c r="QJM254" s="23"/>
      <c r="QJR254" s="26"/>
      <c r="QJV254" s="23"/>
      <c r="QKA254" s="26"/>
      <c r="QKE254" s="23"/>
      <c r="QKJ254" s="26"/>
      <c r="QKN254" s="23"/>
      <c r="QKS254" s="26"/>
      <c r="QKW254" s="23"/>
      <c r="QLB254" s="26"/>
      <c r="QLF254" s="23"/>
      <c r="QLK254" s="26"/>
      <c r="QLO254" s="23"/>
      <c r="QLT254" s="26"/>
      <c r="QLX254" s="23"/>
      <c r="QMC254" s="26"/>
      <c r="QMG254" s="23"/>
      <c r="QML254" s="26"/>
      <c r="QMP254" s="23"/>
      <c r="QMU254" s="26"/>
      <c r="QMY254" s="23"/>
      <c r="QND254" s="26"/>
      <c r="QNH254" s="23"/>
      <c r="QNM254" s="26"/>
      <c r="QNQ254" s="23"/>
      <c r="QNV254" s="26"/>
      <c r="QNZ254" s="23"/>
      <c r="QOE254" s="26"/>
      <c r="QOI254" s="23"/>
      <c r="QON254" s="26"/>
      <c r="QOR254" s="23"/>
      <c r="QOW254" s="26"/>
      <c r="QPA254" s="23"/>
      <c r="QPF254" s="26"/>
      <c r="QPJ254" s="23"/>
      <c r="QPO254" s="26"/>
      <c r="QPS254" s="23"/>
      <c r="QPX254" s="26"/>
      <c r="QQB254" s="23"/>
      <c r="QQG254" s="26"/>
      <c r="QQK254" s="23"/>
      <c r="QQP254" s="26"/>
      <c r="QQT254" s="23"/>
      <c r="QQY254" s="26"/>
      <c r="QRC254" s="23"/>
      <c r="QRH254" s="26"/>
      <c r="QRL254" s="23"/>
      <c r="QRQ254" s="26"/>
      <c r="QRU254" s="23"/>
      <c r="QRZ254" s="26"/>
      <c r="QSD254" s="23"/>
      <c r="QSI254" s="26"/>
      <c r="QSM254" s="23"/>
      <c r="QSR254" s="26"/>
      <c r="QSV254" s="23"/>
      <c r="QTA254" s="26"/>
      <c r="QTE254" s="23"/>
      <c r="QTJ254" s="26"/>
      <c r="QTN254" s="23"/>
      <c r="QTS254" s="26"/>
      <c r="QTW254" s="23"/>
      <c r="QUB254" s="26"/>
      <c r="QUF254" s="23"/>
      <c r="QUK254" s="26"/>
      <c r="QUO254" s="23"/>
      <c r="QUT254" s="26"/>
      <c r="QUX254" s="23"/>
      <c r="QVC254" s="26"/>
      <c r="QVG254" s="23"/>
      <c r="QVL254" s="26"/>
      <c r="QVP254" s="23"/>
      <c r="QVU254" s="26"/>
      <c r="QVY254" s="23"/>
      <c r="QWD254" s="26"/>
      <c r="QWH254" s="23"/>
      <c r="QWM254" s="26"/>
      <c r="QWQ254" s="23"/>
      <c r="QWV254" s="26"/>
      <c r="QWZ254" s="23"/>
      <c r="QXE254" s="26"/>
      <c r="QXI254" s="23"/>
      <c r="QXN254" s="26"/>
      <c r="QXR254" s="23"/>
      <c r="QXW254" s="26"/>
      <c r="QYA254" s="23"/>
      <c r="QYF254" s="26"/>
      <c r="QYJ254" s="23"/>
      <c r="QYO254" s="26"/>
      <c r="QYS254" s="23"/>
      <c r="QYX254" s="26"/>
      <c r="QZB254" s="23"/>
      <c r="QZG254" s="26"/>
      <c r="QZK254" s="23"/>
      <c r="QZP254" s="26"/>
      <c r="QZT254" s="23"/>
      <c r="QZY254" s="26"/>
      <c r="RAC254" s="23"/>
      <c r="RAH254" s="26"/>
      <c r="RAL254" s="23"/>
      <c r="RAQ254" s="26"/>
      <c r="RAU254" s="23"/>
      <c r="RAZ254" s="26"/>
      <c r="RBD254" s="23"/>
      <c r="RBI254" s="26"/>
      <c r="RBM254" s="23"/>
      <c r="RBR254" s="26"/>
      <c r="RBV254" s="23"/>
      <c r="RCA254" s="26"/>
      <c r="RCE254" s="23"/>
      <c r="RCJ254" s="26"/>
      <c r="RCN254" s="23"/>
      <c r="RCS254" s="26"/>
      <c r="RCW254" s="23"/>
      <c r="RDB254" s="26"/>
      <c r="RDF254" s="23"/>
      <c r="RDK254" s="26"/>
      <c r="RDO254" s="23"/>
      <c r="RDT254" s="26"/>
      <c r="RDX254" s="23"/>
      <c r="REC254" s="26"/>
      <c r="REG254" s="23"/>
      <c r="REL254" s="26"/>
      <c r="REP254" s="23"/>
      <c r="REU254" s="26"/>
      <c r="REY254" s="23"/>
      <c r="RFD254" s="26"/>
      <c r="RFH254" s="23"/>
      <c r="RFM254" s="26"/>
      <c r="RFQ254" s="23"/>
      <c r="RFV254" s="26"/>
      <c r="RFZ254" s="23"/>
      <c r="RGE254" s="26"/>
      <c r="RGI254" s="23"/>
      <c r="RGN254" s="26"/>
      <c r="RGR254" s="23"/>
      <c r="RGW254" s="26"/>
      <c r="RHA254" s="23"/>
      <c r="RHF254" s="26"/>
      <c r="RHJ254" s="23"/>
      <c r="RHO254" s="26"/>
      <c r="RHS254" s="23"/>
      <c r="RHX254" s="26"/>
      <c r="RIB254" s="23"/>
      <c r="RIG254" s="26"/>
      <c r="RIK254" s="23"/>
      <c r="RIP254" s="26"/>
      <c r="RIT254" s="23"/>
      <c r="RIY254" s="26"/>
      <c r="RJC254" s="23"/>
      <c r="RJH254" s="26"/>
      <c r="RJL254" s="23"/>
      <c r="RJQ254" s="26"/>
      <c r="RJU254" s="23"/>
      <c r="RJZ254" s="26"/>
      <c r="RKD254" s="23"/>
      <c r="RKI254" s="26"/>
      <c r="RKM254" s="23"/>
      <c r="RKR254" s="26"/>
      <c r="RKV254" s="23"/>
      <c r="RLA254" s="26"/>
      <c r="RLE254" s="23"/>
      <c r="RLJ254" s="26"/>
      <c r="RLN254" s="23"/>
      <c r="RLS254" s="26"/>
      <c r="RLW254" s="23"/>
      <c r="RMB254" s="26"/>
      <c r="RMF254" s="23"/>
      <c r="RMK254" s="26"/>
      <c r="RMO254" s="23"/>
      <c r="RMT254" s="26"/>
      <c r="RMX254" s="23"/>
      <c r="RNC254" s="26"/>
      <c r="RNG254" s="23"/>
      <c r="RNL254" s="26"/>
      <c r="RNP254" s="23"/>
      <c r="RNU254" s="26"/>
      <c r="RNY254" s="23"/>
      <c r="ROD254" s="26"/>
      <c r="ROH254" s="23"/>
      <c r="ROM254" s="26"/>
      <c r="ROQ254" s="23"/>
      <c r="ROV254" s="26"/>
      <c r="ROZ254" s="23"/>
      <c r="RPE254" s="26"/>
      <c r="RPI254" s="23"/>
      <c r="RPN254" s="26"/>
      <c r="RPR254" s="23"/>
      <c r="RPW254" s="26"/>
      <c r="RQA254" s="23"/>
      <c r="RQF254" s="26"/>
      <c r="RQJ254" s="23"/>
      <c r="RQO254" s="26"/>
      <c r="RQS254" s="23"/>
      <c r="RQX254" s="26"/>
      <c r="RRB254" s="23"/>
      <c r="RRG254" s="26"/>
      <c r="RRK254" s="23"/>
      <c r="RRP254" s="26"/>
      <c r="RRT254" s="23"/>
      <c r="RRY254" s="26"/>
      <c r="RSC254" s="23"/>
      <c r="RSH254" s="26"/>
      <c r="RSL254" s="23"/>
      <c r="RSQ254" s="26"/>
      <c r="RSU254" s="23"/>
      <c r="RSZ254" s="26"/>
      <c r="RTD254" s="23"/>
      <c r="RTI254" s="26"/>
      <c r="RTM254" s="23"/>
      <c r="RTR254" s="26"/>
      <c r="RTV254" s="23"/>
      <c r="RUA254" s="26"/>
      <c r="RUE254" s="23"/>
      <c r="RUJ254" s="26"/>
      <c r="RUN254" s="23"/>
      <c r="RUS254" s="26"/>
      <c r="RUW254" s="23"/>
      <c r="RVB254" s="26"/>
      <c r="RVF254" s="23"/>
      <c r="RVK254" s="26"/>
      <c r="RVO254" s="23"/>
      <c r="RVT254" s="26"/>
      <c r="RVX254" s="23"/>
      <c r="RWC254" s="26"/>
      <c r="RWG254" s="23"/>
      <c r="RWL254" s="26"/>
      <c r="RWP254" s="23"/>
      <c r="RWU254" s="26"/>
      <c r="RWY254" s="23"/>
      <c r="RXD254" s="26"/>
      <c r="RXH254" s="23"/>
      <c r="RXM254" s="26"/>
      <c r="RXQ254" s="23"/>
      <c r="RXV254" s="26"/>
      <c r="RXZ254" s="23"/>
      <c r="RYE254" s="26"/>
      <c r="RYI254" s="23"/>
      <c r="RYN254" s="26"/>
      <c r="RYR254" s="23"/>
      <c r="RYW254" s="26"/>
      <c r="RZA254" s="23"/>
      <c r="RZF254" s="26"/>
      <c r="RZJ254" s="23"/>
      <c r="RZO254" s="26"/>
      <c r="RZS254" s="23"/>
      <c r="RZX254" s="26"/>
      <c r="SAB254" s="23"/>
      <c r="SAG254" s="26"/>
      <c r="SAK254" s="23"/>
      <c r="SAP254" s="26"/>
      <c r="SAT254" s="23"/>
      <c r="SAY254" s="26"/>
      <c r="SBC254" s="23"/>
      <c r="SBH254" s="26"/>
      <c r="SBL254" s="23"/>
      <c r="SBQ254" s="26"/>
      <c r="SBU254" s="23"/>
      <c r="SBZ254" s="26"/>
      <c r="SCD254" s="23"/>
      <c r="SCI254" s="26"/>
      <c r="SCM254" s="23"/>
      <c r="SCR254" s="26"/>
      <c r="SCV254" s="23"/>
      <c r="SDA254" s="26"/>
      <c r="SDE254" s="23"/>
      <c r="SDJ254" s="26"/>
      <c r="SDN254" s="23"/>
      <c r="SDS254" s="26"/>
      <c r="SDW254" s="23"/>
      <c r="SEB254" s="26"/>
      <c r="SEF254" s="23"/>
      <c r="SEK254" s="26"/>
      <c r="SEO254" s="23"/>
      <c r="SET254" s="26"/>
      <c r="SEX254" s="23"/>
      <c r="SFC254" s="26"/>
      <c r="SFG254" s="23"/>
      <c r="SFL254" s="26"/>
      <c r="SFP254" s="23"/>
      <c r="SFU254" s="26"/>
      <c r="SFY254" s="23"/>
      <c r="SGD254" s="26"/>
      <c r="SGH254" s="23"/>
      <c r="SGM254" s="26"/>
      <c r="SGQ254" s="23"/>
      <c r="SGV254" s="26"/>
      <c r="SGZ254" s="23"/>
      <c r="SHE254" s="26"/>
      <c r="SHI254" s="23"/>
      <c r="SHN254" s="26"/>
      <c r="SHR254" s="23"/>
      <c r="SHW254" s="26"/>
      <c r="SIA254" s="23"/>
      <c r="SIF254" s="26"/>
      <c r="SIJ254" s="23"/>
      <c r="SIO254" s="26"/>
      <c r="SIS254" s="23"/>
      <c r="SIX254" s="26"/>
      <c r="SJB254" s="23"/>
      <c r="SJG254" s="26"/>
      <c r="SJK254" s="23"/>
      <c r="SJP254" s="26"/>
      <c r="SJT254" s="23"/>
      <c r="SJY254" s="26"/>
      <c r="SKC254" s="23"/>
      <c r="SKH254" s="26"/>
      <c r="SKL254" s="23"/>
      <c r="SKQ254" s="26"/>
      <c r="SKU254" s="23"/>
      <c r="SKZ254" s="26"/>
      <c r="SLD254" s="23"/>
      <c r="SLI254" s="26"/>
      <c r="SLM254" s="23"/>
      <c r="SLR254" s="26"/>
      <c r="SLV254" s="23"/>
      <c r="SMA254" s="26"/>
      <c r="SME254" s="23"/>
      <c r="SMJ254" s="26"/>
      <c r="SMN254" s="23"/>
      <c r="SMS254" s="26"/>
      <c r="SMW254" s="23"/>
      <c r="SNB254" s="26"/>
      <c r="SNF254" s="23"/>
      <c r="SNK254" s="26"/>
      <c r="SNO254" s="23"/>
      <c r="SNT254" s="26"/>
      <c r="SNX254" s="23"/>
      <c r="SOC254" s="26"/>
      <c r="SOG254" s="23"/>
      <c r="SOL254" s="26"/>
      <c r="SOP254" s="23"/>
      <c r="SOU254" s="26"/>
      <c r="SOY254" s="23"/>
      <c r="SPD254" s="26"/>
      <c r="SPH254" s="23"/>
      <c r="SPM254" s="26"/>
      <c r="SPQ254" s="23"/>
      <c r="SPV254" s="26"/>
      <c r="SPZ254" s="23"/>
      <c r="SQE254" s="26"/>
      <c r="SQI254" s="23"/>
      <c r="SQN254" s="26"/>
      <c r="SQR254" s="23"/>
      <c r="SQW254" s="26"/>
      <c r="SRA254" s="23"/>
      <c r="SRF254" s="26"/>
      <c r="SRJ254" s="23"/>
      <c r="SRO254" s="26"/>
      <c r="SRS254" s="23"/>
      <c r="SRX254" s="26"/>
      <c r="SSB254" s="23"/>
      <c r="SSG254" s="26"/>
      <c r="SSK254" s="23"/>
      <c r="SSP254" s="26"/>
      <c r="SST254" s="23"/>
      <c r="SSY254" s="26"/>
      <c r="STC254" s="23"/>
      <c r="STH254" s="26"/>
      <c r="STL254" s="23"/>
      <c r="STQ254" s="26"/>
      <c r="STU254" s="23"/>
      <c r="STZ254" s="26"/>
      <c r="SUD254" s="23"/>
      <c r="SUI254" s="26"/>
      <c r="SUM254" s="23"/>
      <c r="SUR254" s="26"/>
      <c r="SUV254" s="23"/>
      <c r="SVA254" s="26"/>
      <c r="SVE254" s="23"/>
      <c r="SVJ254" s="26"/>
      <c r="SVN254" s="23"/>
      <c r="SVS254" s="26"/>
      <c r="SVW254" s="23"/>
      <c r="SWB254" s="26"/>
      <c r="SWF254" s="23"/>
      <c r="SWK254" s="26"/>
      <c r="SWO254" s="23"/>
      <c r="SWT254" s="26"/>
      <c r="SWX254" s="23"/>
      <c r="SXC254" s="26"/>
      <c r="SXG254" s="23"/>
      <c r="SXL254" s="26"/>
      <c r="SXP254" s="23"/>
      <c r="SXU254" s="26"/>
      <c r="SXY254" s="23"/>
      <c r="SYD254" s="26"/>
      <c r="SYH254" s="23"/>
      <c r="SYM254" s="26"/>
      <c r="SYQ254" s="23"/>
      <c r="SYV254" s="26"/>
      <c r="SYZ254" s="23"/>
      <c r="SZE254" s="26"/>
      <c r="SZI254" s="23"/>
      <c r="SZN254" s="26"/>
      <c r="SZR254" s="23"/>
      <c r="SZW254" s="26"/>
      <c r="TAA254" s="23"/>
      <c r="TAF254" s="26"/>
      <c r="TAJ254" s="23"/>
      <c r="TAO254" s="26"/>
      <c r="TAS254" s="23"/>
      <c r="TAX254" s="26"/>
      <c r="TBB254" s="23"/>
      <c r="TBG254" s="26"/>
      <c r="TBK254" s="23"/>
      <c r="TBP254" s="26"/>
      <c r="TBT254" s="23"/>
      <c r="TBY254" s="26"/>
      <c r="TCC254" s="23"/>
      <c r="TCH254" s="26"/>
      <c r="TCL254" s="23"/>
      <c r="TCQ254" s="26"/>
      <c r="TCU254" s="23"/>
      <c r="TCZ254" s="26"/>
      <c r="TDD254" s="23"/>
      <c r="TDI254" s="26"/>
      <c r="TDM254" s="23"/>
      <c r="TDR254" s="26"/>
      <c r="TDV254" s="23"/>
      <c r="TEA254" s="26"/>
      <c r="TEE254" s="23"/>
      <c r="TEJ254" s="26"/>
      <c r="TEN254" s="23"/>
      <c r="TES254" s="26"/>
      <c r="TEW254" s="23"/>
      <c r="TFB254" s="26"/>
      <c r="TFF254" s="23"/>
      <c r="TFK254" s="26"/>
      <c r="TFO254" s="23"/>
      <c r="TFT254" s="26"/>
      <c r="TFX254" s="23"/>
      <c r="TGC254" s="26"/>
      <c r="TGG254" s="23"/>
      <c r="TGL254" s="26"/>
      <c r="TGP254" s="23"/>
      <c r="TGU254" s="26"/>
      <c r="TGY254" s="23"/>
      <c r="THD254" s="26"/>
      <c r="THH254" s="23"/>
      <c r="THM254" s="26"/>
      <c r="THQ254" s="23"/>
      <c r="THV254" s="26"/>
      <c r="THZ254" s="23"/>
      <c r="TIE254" s="26"/>
      <c r="TII254" s="23"/>
      <c r="TIN254" s="26"/>
      <c r="TIR254" s="23"/>
      <c r="TIW254" s="26"/>
      <c r="TJA254" s="23"/>
      <c r="TJF254" s="26"/>
      <c r="TJJ254" s="23"/>
      <c r="TJO254" s="26"/>
      <c r="TJS254" s="23"/>
      <c r="TJX254" s="26"/>
      <c r="TKB254" s="23"/>
      <c r="TKG254" s="26"/>
      <c r="TKK254" s="23"/>
      <c r="TKP254" s="26"/>
      <c r="TKT254" s="23"/>
      <c r="TKY254" s="26"/>
      <c r="TLC254" s="23"/>
      <c r="TLH254" s="26"/>
      <c r="TLL254" s="23"/>
      <c r="TLQ254" s="26"/>
      <c r="TLU254" s="23"/>
      <c r="TLZ254" s="26"/>
      <c r="TMD254" s="23"/>
      <c r="TMI254" s="26"/>
      <c r="TMM254" s="23"/>
      <c r="TMR254" s="26"/>
      <c r="TMV254" s="23"/>
      <c r="TNA254" s="26"/>
      <c r="TNE254" s="23"/>
      <c r="TNJ254" s="26"/>
      <c r="TNN254" s="23"/>
      <c r="TNS254" s="26"/>
      <c r="TNW254" s="23"/>
      <c r="TOB254" s="26"/>
      <c r="TOF254" s="23"/>
      <c r="TOK254" s="26"/>
      <c r="TOO254" s="23"/>
      <c r="TOT254" s="26"/>
      <c r="TOX254" s="23"/>
      <c r="TPC254" s="26"/>
      <c r="TPG254" s="23"/>
      <c r="TPL254" s="26"/>
      <c r="TPP254" s="23"/>
      <c r="TPU254" s="26"/>
      <c r="TPY254" s="23"/>
      <c r="TQD254" s="26"/>
      <c r="TQH254" s="23"/>
      <c r="TQM254" s="26"/>
      <c r="TQQ254" s="23"/>
      <c r="TQV254" s="26"/>
      <c r="TQZ254" s="23"/>
      <c r="TRE254" s="26"/>
      <c r="TRI254" s="23"/>
      <c r="TRN254" s="26"/>
      <c r="TRR254" s="23"/>
      <c r="TRW254" s="26"/>
      <c r="TSA254" s="23"/>
      <c r="TSF254" s="26"/>
      <c r="TSJ254" s="23"/>
      <c r="TSO254" s="26"/>
      <c r="TSS254" s="23"/>
      <c r="TSX254" s="26"/>
      <c r="TTB254" s="23"/>
      <c r="TTG254" s="26"/>
      <c r="TTK254" s="23"/>
      <c r="TTP254" s="26"/>
      <c r="TTT254" s="23"/>
      <c r="TTY254" s="26"/>
      <c r="TUC254" s="23"/>
      <c r="TUH254" s="26"/>
      <c r="TUL254" s="23"/>
      <c r="TUQ254" s="26"/>
      <c r="TUU254" s="23"/>
      <c r="TUZ254" s="26"/>
      <c r="TVD254" s="23"/>
      <c r="TVI254" s="26"/>
      <c r="TVM254" s="23"/>
      <c r="TVR254" s="26"/>
      <c r="TVV254" s="23"/>
      <c r="TWA254" s="26"/>
      <c r="TWE254" s="23"/>
      <c r="TWJ254" s="26"/>
      <c r="TWN254" s="23"/>
      <c r="TWS254" s="26"/>
      <c r="TWW254" s="23"/>
      <c r="TXB254" s="26"/>
      <c r="TXF254" s="23"/>
      <c r="TXK254" s="26"/>
      <c r="TXO254" s="23"/>
      <c r="TXT254" s="26"/>
      <c r="TXX254" s="23"/>
      <c r="TYC254" s="26"/>
      <c r="TYG254" s="23"/>
      <c r="TYL254" s="26"/>
      <c r="TYP254" s="23"/>
      <c r="TYU254" s="26"/>
      <c r="TYY254" s="23"/>
      <c r="TZD254" s="26"/>
      <c r="TZH254" s="23"/>
      <c r="TZM254" s="26"/>
      <c r="TZQ254" s="23"/>
      <c r="TZV254" s="26"/>
      <c r="TZZ254" s="23"/>
      <c r="UAE254" s="26"/>
      <c r="UAI254" s="23"/>
      <c r="UAN254" s="26"/>
      <c r="UAR254" s="23"/>
      <c r="UAW254" s="26"/>
      <c r="UBA254" s="23"/>
      <c r="UBF254" s="26"/>
      <c r="UBJ254" s="23"/>
      <c r="UBO254" s="26"/>
      <c r="UBS254" s="23"/>
      <c r="UBX254" s="26"/>
      <c r="UCB254" s="23"/>
      <c r="UCG254" s="26"/>
      <c r="UCK254" s="23"/>
      <c r="UCP254" s="26"/>
      <c r="UCT254" s="23"/>
      <c r="UCY254" s="26"/>
      <c r="UDC254" s="23"/>
      <c r="UDH254" s="26"/>
      <c r="UDL254" s="23"/>
      <c r="UDQ254" s="26"/>
      <c r="UDU254" s="23"/>
      <c r="UDZ254" s="26"/>
      <c r="UED254" s="23"/>
      <c r="UEI254" s="26"/>
      <c r="UEM254" s="23"/>
      <c r="UER254" s="26"/>
      <c r="UEV254" s="23"/>
      <c r="UFA254" s="26"/>
      <c r="UFE254" s="23"/>
      <c r="UFJ254" s="26"/>
      <c r="UFN254" s="23"/>
      <c r="UFS254" s="26"/>
      <c r="UFW254" s="23"/>
      <c r="UGB254" s="26"/>
      <c r="UGF254" s="23"/>
      <c r="UGK254" s="26"/>
      <c r="UGO254" s="23"/>
      <c r="UGT254" s="26"/>
      <c r="UGX254" s="23"/>
      <c r="UHC254" s="26"/>
      <c r="UHG254" s="23"/>
      <c r="UHL254" s="26"/>
      <c r="UHP254" s="23"/>
      <c r="UHU254" s="26"/>
      <c r="UHY254" s="23"/>
      <c r="UID254" s="26"/>
      <c r="UIH254" s="23"/>
      <c r="UIM254" s="26"/>
      <c r="UIQ254" s="23"/>
      <c r="UIV254" s="26"/>
      <c r="UIZ254" s="23"/>
      <c r="UJE254" s="26"/>
      <c r="UJI254" s="23"/>
      <c r="UJN254" s="26"/>
      <c r="UJR254" s="23"/>
      <c r="UJW254" s="26"/>
      <c r="UKA254" s="23"/>
      <c r="UKF254" s="26"/>
      <c r="UKJ254" s="23"/>
      <c r="UKO254" s="26"/>
      <c r="UKS254" s="23"/>
      <c r="UKX254" s="26"/>
      <c r="ULB254" s="23"/>
      <c r="ULG254" s="26"/>
      <c r="ULK254" s="23"/>
      <c r="ULP254" s="26"/>
      <c r="ULT254" s="23"/>
      <c r="ULY254" s="26"/>
      <c r="UMC254" s="23"/>
      <c r="UMH254" s="26"/>
      <c r="UML254" s="23"/>
      <c r="UMQ254" s="26"/>
      <c r="UMU254" s="23"/>
      <c r="UMZ254" s="26"/>
      <c r="UND254" s="23"/>
      <c r="UNI254" s="26"/>
      <c r="UNM254" s="23"/>
      <c r="UNR254" s="26"/>
      <c r="UNV254" s="23"/>
      <c r="UOA254" s="26"/>
      <c r="UOE254" s="23"/>
      <c r="UOJ254" s="26"/>
      <c r="UON254" s="23"/>
      <c r="UOS254" s="26"/>
      <c r="UOW254" s="23"/>
      <c r="UPB254" s="26"/>
      <c r="UPF254" s="23"/>
      <c r="UPK254" s="26"/>
      <c r="UPO254" s="23"/>
      <c r="UPT254" s="26"/>
      <c r="UPX254" s="23"/>
      <c r="UQC254" s="26"/>
      <c r="UQG254" s="23"/>
      <c r="UQL254" s="26"/>
      <c r="UQP254" s="23"/>
      <c r="UQU254" s="26"/>
      <c r="UQY254" s="23"/>
      <c r="URD254" s="26"/>
      <c r="URH254" s="23"/>
      <c r="URM254" s="26"/>
      <c r="URQ254" s="23"/>
      <c r="URV254" s="26"/>
      <c r="URZ254" s="23"/>
      <c r="USE254" s="26"/>
      <c r="USI254" s="23"/>
      <c r="USN254" s="26"/>
      <c r="USR254" s="23"/>
      <c r="USW254" s="26"/>
      <c r="UTA254" s="23"/>
      <c r="UTF254" s="26"/>
      <c r="UTJ254" s="23"/>
      <c r="UTO254" s="26"/>
      <c r="UTS254" s="23"/>
      <c r="UTX254" s="26"/>
      <c r="UUB254" s="23"/>
      <c r="UUG254" s="26"/>
      <c r="UUK254" s="23"/>
      <c r="UUP254" s="26"/>
      <c r="UUT254" s="23"/>
      <c r="UUY254" s="26"/>
      <c r="UVC254" s="23"/>
      <c r="UVH254" s="26"/>
      <c r="UVL254" s="23"/>
      <c r="UVQ254" s="26"/>
      <c r="UVU254" s="23"/>
      <c r="UVZ254" s="26"/>
      <c r="UWD254" s="23"/>
      <c r="UWI254" s="26"/>
      <c r="UWM254" s="23"/>
      <c r="UWR254" s="26"/>
      <c r="UWV254" s="23"/>
      <c r="UXA254" s="26"/>
      <c r="UXE254" s="23"/>
      <c r="UXJ254" s="26"/>
      <c r="UXN254" s="23"/>
      <c r="UXS254" s="26"/>
      <c r="UXW254" s="23"/>
      <c r="UYB254" s="26"/>
      <c r="UYF254" s="23"/>
      <c r="UYK254" s="26"/>
      <c r="UYO254" s="23"/>
      <c r="UYT254" s="26"/>
      <c r="UYX254" s="23"/>
      <c r="UZC254" s="26"/>
      <c r="UZG254" s="23"/>
      <c r="UZL254" s="26"/>
      <c r="UZP254" s="23"/>
      <c r="UZU254" s="26"/>
      <c r="UZY254" s="23"/>
      <c r="VAD254" s="26"/>
      <c r="VAH254" s="23"/>
      <c r="VAM254" s="26"/>
      <c r="VAQ254" s="23"/>
      <c r="VAV254" s="26"/>
      <c r="VAZ254" s="23"/>
      <c r="VBE254" s="26"/>
      <c r="VBI254" s="23"/>
      <c r="VBN254" s="26"/>
      <c r="VBR254" s="23"/>
      <c r="VBW254" s="26"/>
      <c r="VCA254" s="23"/>
      <c r="VCF254" s="26"/>
      <c r="VCJ254" s="23"/>
      <c r="VCO254" s="26"/>
      <c r="VCS254" s="23"/>
      <c r="VCX254" s="26"/>
      <c r="VDB254" s="23"/>
      <c r="VDG254" s="26"/>
      <c r="VDK254" s="23"/>
      <c r="VDP254" s="26"/>
      <c r="VDT254" s="23"/>
      <c r="VDY254" s="26"/>
      <c r="VEC254" s="23"/>
      <c r="VEH254" s="26"/>
      <c r="VEL254" s="23"/>
      <c r="VEQ254" s="26"/>
      <c r="VEU254" s="23"/>
      <c r="VEZ254" s="26"/>
      <c r="VFD254" s="23"/>
      <c r="VFI254" s="26"/>
      <c r="VFM254" s="23"/>
      <c r="VFR254" s="26"/>
      <c r="VFV254" s="23"/>
      <c r="VGA254" s="26"/>
      <c r="VGE254" s="23"/>
      <c r="VGJ254" s="26"/>
      <c r="VGN254" s="23"/>
      <c r="VGS254" s="26"/>
      <c r="VGW254" s="23"/>
      <c r="VHB254" s="26"/>
      <c r="VHF254" s="23"/>
      <c r="VHK254" s="26"/>
      <c r="VHO254" s="23"/>
      <c r="VHT254" s="26"/>
      <c r="VHX254" s="23"/>
      <c r="VIC254" s="26"/>
      <c r="VIG254" s="23"/>
      <c r="VIL254" s="26"/>
      <c r="VIP254" s="23"/>
      <c r="VIU254" s="26"/>
      <c r="VIY254" s="23"/>
      <c r="VJD254" s="26"/>
      <c r="VJH254" s="23"/>
      <c r="VJM254" s="26"/>
      <c r="VJQ254" s="23"/>
      <c r="VJV254" s="26"/>
      <c r="VJZ254" s="23"/>
      <c r="VKE254" s="26"/>
      <c r="VKI254" s="23"/>
      <c r="VKN254" s="26"/>
      <c r="VKR254" s="23"/>
      <c r="VKW254" s="26"/>
      <c r="VLA254" s="23"/>
      <c r="VLF254" s="26"/>
      <c r="VLJ254" s="23"/>
      <c r="VLO254" s="26"/>
      <c r="VLS254" s="23"/>
      <c r="VLX254" s="26"/>
      <c r="VMB254" s="23"/>
      <c r="VMG254" s="26"/>
      <c r="VMK254" s="23"/>
      <c r="VMP254" s="26"/>
      <c r="VMT254" s="23"/>
      <c r="VMY254" s="26"/>
      <c r="VNC254" s="23"/>
      <c r="VNH254" s="26"/>
      <c r="VNL254" s="23"/>
      <c r="VNQ254" s="26"/>
      <c r="VNU254" s="23"/>
      <c r="VNZ254" s="26"/>
      <c r="VOD254" s="23"/>
      <c r="VOI254" s="26"/>
      <c r="VOM254" s="23"/>
      <c r="VOR254" s="26"/>
      <c r="VOV254" s="23"/>
      <c r="VPA254" s="26"/>
      <c r="VPE254" s="23"/>
      <c r="VPJ254" s="26"/>
      <c r="VPN254" s="23"/>
      <c r="VPS254" s="26"/>
      <c r="VPW254" s="23"/>
      <c r="VQB254" s="26"/>
      <c r="VQF254" s="23"/>
      <c r="VQK254" s="26"/>
      <c r="VQO254" s="23"/>
      <c r="VQT254" s="26"/>
      <c r="VQX254" s="23"/>
      <c r="VRC254" s="26"/>
      <c r="VRG254" s="23"/>
      <c r="VRL254" s="26"/>
      <c r="VRP254" s="23"/>
      <c r="VRU254" s="26"/>
      <c r="VRY254" s="23"/>
      <c r="VSD254" s="26"/>
      <c r="VSH254" s="23"/>
      <c r="VSM254" s="26"/>
      <c r="VSQ254" s="23"/>
      <c r="VSV254" s="26"/>
      <c r="VSZ254" s="23"/>
      <c r="VTE254" s="26"/>
      <c r="VTI254" s="23"/>
      <c r="VTN254" s="26"/>
      <c r="VTR254" s="23"/>
      <c r="VTW254" s="26"/>
      <c r="VUA254" s="23"/>
      <c r="VUF254" s="26"/>
      <c r="VUJ254" s="23"/>
      <c r="VUO254" s="26"/>
      <c r="VUS254" s="23"/>
      <c r="VUX254" s="26"/>
      <c r="VVB254" s="23"/>
      <c r="VVG254" s="26"/>
      <c r="VVK254" s="23"/>
      <c r="VVP254" s="26"/>
      <c r="VVT254" s="23"/>
      <c r="VVY254" s="26"/>
      <c r="VWC254" s="23"/>
      <c r="VWH254" s="26"/>
      <c r="VWL254" s="23"/>
      <c r="VWQ254" s="26"/>
      <c r="VWU254" s="23"/>
      <c r="VWZ254" s="26"/>
      <c r="VXD254" s="23"/>
      <c r="VXI254" s="26"/>
      <c r="VXM254" s="23"/>
      <c r="VXR254" s="26"/>
      <c r="VXV254" s="23"/>
      <c r="VYA254" s="26"/>
      <c r="VYE254" s="23"/>
      <c r="VYJ254" s="26"/>
      <c r="VYN254" s="23"/>
      <c r="VYS254" s="26"/>
      <c r="VYW254" s="23"/>
      <c r="VZB254" s="26"/>
      <c r="VZF254" s="23"/>
      <c r="VZK254" s="26"/>
      <c r="VZO254" s="23"/>
      <c r="VZT254" s="26"/>
      <c r="VZX254" s="23"/>
      <c r="WAC254" s="26"/>
      <c r="WAG254" s="23"/>
      <c r="WAL254" s="26"/>
      <c r="WAP254" s="23"/>
      <c r="WAU254" s="26"/>
      <c r="WAY254" s="23"/>
      <c r="WBD254" s="26"/>
      <c r="WBH254" s="23"/>
      <c r="WBM254" s="26"/>
      <c r="WBQ254" s="23"/>
      <c r="WBV254" s="26"/>
      <c r="WBZ254" s="23"/>
      <c r="WCE254" s="26"/>
      <c r="WCI254" s="23"/>
      <c r="WCN254" s="26"/>
      <c r="WCR254" s="23"/>
      <c r="WCW254" s="26"/>
      <c r="WDA254" s="23"/>
      <c r="WDF254" s="26"/>
      <c r="WDJ254" s="23"/>
      <c r="WDO254" s="26"/>
      <c r="WDS254" s="23"/>
      <c r="WDX254" s="26"/>
      <c r="WEB254" s="23"/>
      <c r="WEG254" s="26"/>
      <c r="WEK254" s="23"/>
      <c r="WEP254" s="26"/>
      <c r="WET254" s="23"/>
      <c r="WEY254" s="26"/>
      <c r="WFC254" s="23"/>
      <c r="WFH254" s="26"/>
      <c r="WFL254" s="23"/>
      <c r="WFQ254" s="26"/>
      <c r="WFU254" s="23"/>
      <c r="WFZ254" s="26"/>
      <c r="WGD254" s="23"/>
      <c r="WGI254" s="26"/>
      <c r="WGM254" s="23"/>
      <c r="WGR254" s="26"/>
      <c r="WGV254" s="23"/>
      <c r="WHA254" s="26"/>
      <c r="WHE254" s="23"/>
      <c r="WHJ254" s="26"/>
      <c r="WHN254" s="23"/>
      <c r="WHS254" s="26"/>
      <c r="WHW254" s="23"/>
      <c r="WIB254" s="26"/>
      <c r="WIF254" s="23"/>
      <c r="WIK254" s="26"/>
      <c r="WIO254" s="23"/>
      <c r="WIT254" s="26"/>
      <c r="WIX254" s="23"/>
      <c r="WJC254" s="26"/>
      <c r="WJG254" s="23"/>
      <c r="WJL254" s="26"/>
      <c r="WJP254" s="23"/>
      <c r="WJU254" s="26"/>
      <c r="WJY254" s="23"/>
      <c r="WKD254" s="26"/>
      <c r="WKH254" s="23"/>
      <c r="WKM254" s="26"/>
      <c r="WKQ254" s="23"/>
      <c r="WKV254" s="26"/>
      <c r="WKZ254" s="23"/>
      <c r="WLE254" s="26"/>
      <c r="WLI254" s="23"/>
      <c r="WLN254" s="26"/>
      <c r="WLR254" s="23"/>
      <c r="WLW254" s="26"/>
      <c r="WMA254" s="23"/>
      <c r="WMF254" s="26"/>
      <c r="WMJ254" s="23"/>
      <c r="WMO254" s="26"/>
      <c r="WMS254" s="23"/>
      <c r="WMX254" s="26"/>
      <c r="WNB254" s="23"/>
      <c r="WNG254" s="26"/>
      <c r="WNK254" s="23"/>
      <c r="WNP254" s="26"/>
      <c r="WNT254" s="23"/>
      <c r="WNY254" s="26"/>
      <c r="WOC254" s="23"/>
      <c r="WOH254" s="26"/>
      <c r="WOL254" s="23"/>
      <c r="WOQ254" s="26"/>
      <c r="WOU254" s="23"/>
      <c r="WOZ254" s="26"/>
      <c r="WPD254" s="23"/>
      <c r="WPI254" s="26"/>
      <c r="WPM254" s="23"/>
      <c r="WPR254" s="26"/>
      <c r="WPV254" s="23"/>
      <c r="WQA254" s="26"/>
      <c r="WQE254" s="23"/>
      <c r="WQJ254" s="26"/>
      <c r="WQN254" s="23"/>
      <c r="WQS254" s="26"/>
      <c r="WQW254" s="23"/>
      <c r="WRB254" s="26"/>
      <c r="WRF254" s="23"/>
      <c r="WRK254" s="26"/>
      <c r="WRO254" s="23"/>
      <c r="WRT254" s="26"/>
      <c r="WRX254" s="23"/>
      <c r="WSC254" s="26"/>
      <c r="WSG254" s="23"/>
      <c r="WSL254" s="26"/>
      <c r="WSP254" s="23"/>
      <c r="WSU254" s="26"/>
      <c r="WSY254" s="23"/>
      <c r="WTD254" s="26"/>
      <c r="WTH254" s="23"/>
      <c r="WTM254" s="26"/>
      <c r="WTQ254" s="23"/>
      <c r="WTV254" s="26"/>
      <c r="WTZ254" s="23"/>
      <c r="WUE254" s="26"/>
      <c r="WUI254" s="23"/>
      <c r="WUN254" s="26"/>
      <c r="WUR254" s="23"/>
      <c r="WUW254" s="26"/>
      <c r="WVA254" s="23"/>
      <c r="WVF254" s="26"/>
      <c r="WVJ254" s="23"/>
      <c r="WVO254" s="26"/>
      <c r="WVS254" s="23"/>
      <c r="WVX254" s="26"/>
      <c r="WWB254" s="23"/>
      <c r="WWG254" s="26"/>
      <c r="WWK254" s="23"/>
      <c r="WWP254" s="26"/>
      <c r="WWT254" s="23"/>
      <c r="WWY254" s="26"/>
      <c r="WXC254" s="23"/>
      <c r="WXH254" s="26"/>
      <c r="WXL254" s="23"/>
      <c r="WXQ254" s="26"/>
      <c r="WXU254" s="23"/>
      <c r="WXZ254" s="26"/>
      <c r="WYD254" s="23"/>
      <c r="WYI254" s="26"/>
      <c r="WYM254" s="23"/>
      <c r="WYR254" s="26"/>
      <c r="WYV254" s="23"/>
      <c r="WZA254" s="26"/>
      <c r="WZE254" s="23"/>
      <c r="WZJ254" s="26"/>
      <c r="WZN254" s="23"/>
      <c r="WZS254" s="26"/>
      <c r="WZW254" s="23"/>
      <c r="XAB254" s="26"/>
      <c r="XAF254" s="23"/>
      <c r="XAK254" s="26"/>
      <c r="XAO254" s="23"/>
      <c r="XAT254" s="26"/>
      <c r="XAX254" s="23"/>
      <c r="XBC254" s="26"/>
      <c r="XBG254" s="23"/>
      <c r="XBL254" s="26"/>
      <c r="XBP254" s="23"/>
      <c r="XBU254" s="26"/>
      <c r="XBY254" s="23"/>
      <c r="XCD254" s="26"/>
      <c r="XCH254" s="23"/>
      <c r="XCM254" s="26"/>
      <c r="XCQ254" s="23"/>
      <c r="XCV254" s="26"/>
      <c r="XCZ254" s="23"/>
      <c r="XDE254" s="26"/>
      <c r="XDI254" s="23"/>
      <c r="XDN254" s="26"/>
      <c r="XDR254" s="23"/>
      <c r="XDW254" s="26"/>
      <c r="XEA254" s="23"/>
      <c r="XEF254" s="26"/>
      <c r="XEJ254" s="23"/>
      <c r="XEO254" s="26"/>
      <c r="XES254" s="23"/>
      <c r="XEX254" s="26"/>
      <c r="XFB254" s="23"/>
    </row>
    <row r="255" spans="2:1024 1028:2045 2050:3071 3076:4093 4097:5119 5123:6140 6145:7166 7171:8192 8197:9214 9218:10240 10244:11261 11266:12287 12292:13309 13313:14335 14339:15356 15361:16382" x14ac:dyDescent="0.3">
      <c r="B255" s="23"/>
      <c r="K255" s="23"/>
      <c r="P255" s="26"/>
      <c r="T255" s="23"/>
      <c r="Y255" s="26"/>
      <c r="AC255" s="23"/>
      <c r="AH255" s="26"/>
      <c r="AL255" s="23"/>
      <c r="AQ255" s="26"/>
      <c r="AU255" s="23"/>
      <c r="AZ255" s="26"/>
      <c r="BD255" s="23"/>
      <c r="BI255" s="26"/>
      <c r="BM255" s="23"/>
      <c r="BR255" s="26"/>
      <c r="BV255" s="23"/>
      <c r="CA255" s="26"/>
      <c r="CE255" s="23"/>
      <c r="CJ255" s="26"/>
      <c r="CN255" s="23"/>
      <c r="CS255" s="26"/>
      <c r="CW255" s="23"/>
      <c r="DB255" s="26"/>
      <c r="DF255" s="23"/>
      <c r="DK255" s="26"/>
      <c r="DO255" s="23"/>
      <c r="DT255" s="26"/>
      <c r="DX255" s="23"/>
      <c r="EC255" s="26"/>
      <c r="EG255" s="23"/>
      <c r="EL255" s="26"/>
      <c r="EP255" s="23"/>
      <c r="EU255" s="26"/>
      <c r="EY255" s="23"/>
      <c r="FD255" s="26"/>
      <c r="FH255" s="23"/>
      <c r="FM255" s="26"/>
      <c r="FQ255" s="23"/>
      <c r="FV255" s="26"/>
      <c r="FZ255" s="23"/>
      <c r="GE255" s="26"/>
      <c r="GI255" s="23"/>
      <c r="GN255" s="26"/>
      <c r="GR255" s="23"/>
      <c r="GW255" s="26"/>
      <c r="HA255" s="23"/>
      <c r="HF255" s="26"/>
      <c r="HJ255" s="23"/>
      <c r="HO255" s="26"/>
      <c r="HS255" s="23"/>
      <c r="HX255" s="26"/>
      <c r="IB255" s="23"/>
      <c r="IG255" s="26"/>
      <c r="IK255" s="23"/>
      <c r="IP255" s="26"/>
      <c r="IT255" s="23"/>
      <c r="IY255" s="26"/>
      <c r="JC255" s="23"/>
      <c r="JH255" s="26"/>
      <c r="JL255" s="23"/>
      <c r="JQ255" s="26"/>
      <c r="JU255" s="23"/>
      <c r="JZ255" s="26"/>
      <c r="KD255" s="23"/>
      <c r="KI255" s="26"/>
      <c r="KM255" s="23"/>
      <c r="KR255" s="26"/>
      <c r="KV255" s="23"/>
      <c r="LA255" s="26"/>
      <c r="LE255" s="23"/>
      <c r="LJ255" s="26"/>
      <c r="LN255" s="23"/>
      <c r="LS255" s="26"/>
      <c r="LW255" s="23"/>
      <c r="MB255" s="26"/>
      <c r="MF255" s="23"/>
      <c r="MK255" s="26"/>
      <c r="MO255" s="23"/>
      <c r="MT255" s="26"/>
      <c r="MX255" s="23"/>
      <c r="NC255" s="26"/>
      <c r="NG255" s="23"/>
      <c r="NL255" s="26"/>
      <c r="NP255" s="23"/>
      <c r="NU255" s="26"/>
      <c r="NY255" s="23"/>
      <c r="OD255" s="26"/>
      <c r="OH255" s="23"/>
      <c r="OM255" s="26"/>
      <c r="OQ255" s="23"/>
      <c r="OV255" s="26"/>
      <c r="OZ255" s="23"/>
      <c r="PE255" s="26"/>
      <c r="PI255" s="23"/>
      <c r="PN255" s="26"/>
      <c r="PR255" s="23"/>
      <c r="PW255" s="26"/>
      <c r="QA255" s="23"/>
      <c r="QF255" s="26"/>
      <c r="QJ255" s="23"/>
      <c r="QO255" s="26"/>
      <c r="QS255" s="23"/>
      <c r="QX255" s="26"/>
      <c r="RB255" s="23"/>
      <c r="RG255" s="26"/>
      <c r="RK255" s="23"/>
      <c r="RP255" s="26"/>
      <c r="RT255" s="23"/>
      <c r="RY255" s="26"/>
      <c r="SC255" s="23"/>
      <c r="SH255" s="26"/>
      <c r="SL255" s="23"/>
      <c r="SQ255" s="26"/>
      <c r="SU255" s="23"/>
      <c r="SZ255" s="26"/>
      <c r="TD255" s="23"/>
      <c r="TI255" s="26"/>
      <c r="TM255" s="23"/>
      <c r="TR255" s="26"/>
      <c r="TV255" s="23"/>
      <c r="UA255" s="26"/>
      <c r="UE255" s="23"/>
      <c r="UJ255" s="26"/>
      <c r="UN255" s="23"/>
      <c r="US255" s="26"/>
      <c r="UW255" s="23"/>
      <c r="VB255" s="26"/>
      <c r="VF255" s="23"/>
      <c r="VK255" s="26"/>
      <c r="VO255" s="23"/>
      <c r="VT255" s="26"/>
      <c r="VX255" s="23"/>
      <c r="WC255" s="26"/>
      <c r="WG255" s="23"/>
      <c r="WL255" s="26"/>
      <c r="WP255" s="23"/>
      <c r="WU255" s="26"/>
      <c r="WY255" s="23"/>
      <c r="XD255" s="26"/>
      <c r="XH255" s="23"/>
      <c r="XM255" s="26"/>
      <c r="XQ255" s="23"/>
      <c r="XV255" s="26"/>
      <c r="XZ255" s="23"/>
      <c r="YE255" s="26"/>
      <c r="YI255" s="23"/>
      <c r="YN255" s="26"/>
      <c r="YR255" s="23"/>
      <c r="YW255" s="26"/>
      <c r="ZA255" s="23"/>
      <c r="ZF255" s="26"/>
      <c r="ZJ255" s="23"/>
      <c r="ZO255" s="26"/>
      <c r="ZS255" s="23"/>
      <c r="ZX255" s="26"/>
      <c r="AAB255" s="23"/>
      <c r="AAG255" s="26"/>
      <c r="AAK255" s="23"/>
      <c r="AAP255" s="26"/>
      <c r="AAT255" s="23"/>
      <c r="AAY255" s="26"/>
      <c r="ABC255" s="23"/>
      <c r="ABH255" s="26"/>
      <c r="ABL255" s="23"/>
      <c r="ABQ255" s="26"/>
      <c r="ABU255" s="23"/>
      <c r="ABZ255" s="26"/>
      <c r="ACD255" s="23"/>
      <c r="ACI255" s="26"/>
      <c r="ACM255" s="23"/>
      <c r="ACR255" s="26"/>
      <c r="ACV255" s="23"/>
      <c r="ADA255" s="26"/>
      <c r="ADE255" s="23"/>
      <c r="ADJ255" s="26"/>
      <c r="ADN255" s="23"/>
      <c r="ADS255" s="26"/>
      <c r="ADW255" s="23"/>
      <c r="AEB255" s="26"/>
      <c r="AEF255" s="23"/>
      <c r="AEK255" s="26"/>
      <c r="AEO255" s="23"/>
      <c r="AET255" s="26"/>
      <c r="AEX255" s="23"/>
      <c r="AFC255" s="26"/>
      <c r="AFG255" s="23"/>
      <c r="AFL255" s="26"/>
      <c r="AFP255" s="23"/>
      <c r="AFU255" s="26"/>
      <c r="AFY255" s="23"/>
      <c r="AGD255" s="26"/>
      <c r="AGH255" s="23"/>
      <c r="AGM255" s="26"/>
      <c r="AGQ255" s="23"/>
      <c r="AGV255" s="26"/>
      <c r="AGZ255" s="23"/>
      <c r="AHE255" s="26"/>
      <c r="AHI255" s="23"/>
      <c r="AHN255" s="26"/>
      <c r="AHR255" s="23"/>
      <c r="AHW255" s="26"/>
      <c r="AIA255" s="23"/>
      <c r="AIF255" s="26"/>
      <c r="AIJ255" s="23"/>
      <c r="AIO255" s="26"/>
      <c r="AIS255" s="23"/>
      <c r="AIX255" s="26"/>
      <c r="AJB255" s="23"/>
      <c r="AJG255" s="26"/>
      <c r="AJK255" s="23"/>
      <c r="AJP255" s="26"/>
      <c r="AJT255" s="23"/>
      <c r="AJY255" s="26"/>
      <c r="AKC255" s="23"/>
      <c r="AKH255" s="26"/>
      <c r="AKL255" s="23"/>
      <c r="AKQ255" s="26"/>
      <c r="AKU255" s="23"/>
      <c r="AKZ255" s="26"/>
      <c r="ALD255" s="23"/>
      <c r="ALI255" s="26"/>
      <c r="ALM255" s="23"/>
      <c r="ALR255" s="26"/>
      <c r="ALV255" s="23"/>
      <c r="AMA255" s="26"/>
      <c r="AME255" s="23"/>
      <c r="AMJ255" s="26"/>
      <c r="AMN255" s="23"/>
      <c r="AMS255" s="26"/>
      <c r="AMW255" s="23"/>
      <c r="ANB255" s="26"/>
      <c r="ANF255" s="23"/>
      <c r="ANK255" s="26"/>
      <c r="ANO255" s="23"/>
      <c r="ANT255" s="26"/>
      <c r="ANX255" s="23"/>
      <c r="AOC255" s="26"/>
      <c r="AOG255" s="23"/>
      <c r="AOL255" s="26"/>
      <c r="AOP255" s="23"/>
      <c r="AOU255" s="26"/>
      <c r="AOY255" s="23"/>
      <c r="APD255" s="26"/>
      <c r="APH255" s="23"/>
      <c r="APM255" s="26"/>
      <c r="APQ255" s="23"/>
      <c r="APV255" s="26"/>
      <c r="APZ255" s="23"/>
      <c r="AQE255" s="26"/>
      <c r="AQI255" s="23"/>
      <c r="AQN255" s="26"/>
      <c r="AQR255" s="23"/>
      <c r="AQW255" s="26"/>
      <c r="ARA255" s="23"/>
      <c r="ARF255" s="26"/>
      <c r="ARJ255" s="23"/>
      <c r="ARO255" s="26"/>
      <c r="ARS255" s="23"/>
      <c r="ARX255" s="26"/>
      <c r="ASB255" s="23"/>
      <c r="ASG255" s="26"/>
      <c r="ASK255" s="23"/>
      <c r="ASP255" s="26"/>
      <c r="AST255" s="23"/>
      <c r="ASY255" s="26"/>
      <c r="ATC255" s="23"/>
      <c r="ATH255" s="26"/>
      <c r="ATL255" s="23"/>
      <c r="ATQ255" s="26"/>
      <c r="ATU255" s="23"/>
      <c r="ATZ255" s="26"/>
      <c r="AUD255" s="23"/>
      <c r="AUI255" s="26"/>
      <c r="AUM255" s="23"/>
      <c r="AUR255" s="26"/>
      <c r="AUV255" s="23"/>
      <c r="AVA255" s="26"/>
      <c r="AVE255" s="23"/>
      <c r="AVJ255" s="26"/>
      <c r="AVN255" s="23"/>
      <c r="AVS255" s="26"/>
      <c r="AVW255" s="23"/>
      <c r="AWB255" s="26"/>
      <c r="AWF255" s="23"/>
      <c r="AWK255" s="26"/>
      <c r="AWO255" s="23"/>
      <c r="AWT255" s="26"/>
      <c r="AWX255" s="23"/>
      <c r="AXC255" s="26"/>
      <c r="AXG255" s="23"/>
      <c r="AXL255" s="26"/>
      <c r="AXP255" s="23"/>
      <c r="AXU255" s="26"/>
      <c r="AXY255" s="23"/>
      <c r="AYD255" s="26"/>
      <c r="AYH255" s="23"/>
      <c r="AYM255" s="26"/>
      <c r="AYQ255" s="23"/>
      <c r="AYV255" s="26"/>
      <c r="AYZ255" s="23"/>
      <c r="AZE255" s="26"/>
      <c r="AZI255" s="23"/>
      <c r="AZN255" s="26"/>
      <c r="AZR255" s="23"/>
      <c r="AZW255" s="26"/>
      <c r="BAA255" s="23"/>
      <c r="BAF255" s="26"/>
      <c r="BAJ255" s="23"/>
      <c r="BAO255" s="26"/>
      <c r="BAS255" s="23"/>
      <c r="BAX255" s="26"/>
      <c r="BBB255" s="23"/>
      <c r="BBG255" s="26"/>
      <c r="BBK255" s="23"/>
      <c r="BBP255" s="26"/>
      <c r="BBT255" s="23"/>
      <c r="BBY255" s="26"/>
      <c r="BCC255" s="23"/>
      <c r="BCH255" s="26"/>
      <c r="BCL255" s="23"/>
      <c r="BCQ255" s="26"/>
      <c r="BCU255" s="23"/>
      <c r="BCZ255" s="26"/>
      <c r="BDD255" s="23"/>
      <c r="BDI255" s="26"/>
      <c r="BDM255" s="23"/>
      <c r="BDR255" s="26"/>
      <c r="BDV255" s="23"/>
      <c r="BEA255" s="26"/>
      <c r="BEE255" s="23"/>
      <c r="BEJ255" s="26"/>
      <c r="BEN255" s="23"/>
      <c r="BES255" s="26"/>
      <c r="BEW255" s="23"/>
      <c r="BFB255" s="26"/>
      <c r="BFF255" s="23"/>
      <c r="BFK255" s="26"/>
      <c r="BFO255" s="23"/>
      <c r="BFT255" s="26"/>
      <c r="BFX255" s="23"/>
      <c r="BGC255" s="26"/>
      <c r="BGG255" s="23"/>
      <c r="BGL255" s="26"/>
      <c r="BGP255" s="23"/>
      <c r="BGU255" s="26"/>
      <c r="BGY255" s="23"/>
      <c r="BHD255" s="26"/>
      <c r="BHH255" s="23"/>
      <c r="BHM255" s="26"/>
      <c r="BHQ255" s="23"/>
      <c r="BHV255" s="26"/>
      <c r="BHZ255" s="23"/>
      <c r="BIE255" s="26"/>
      <c r="BII255" s="23"/>
      <c r="BIN255" s="26"/>
      <c r="BIR255" s="23"/>
      <c r="BIW255" s="26"/>
      <c r="BJA255" s="23"/>
      <c r="BJF255" s="26"/>
      <c r="BJJ255" s="23"/>
      <c r="BJO255" s="26"/>
      <c r="BJS255" s="23"/>
      <c r="BJX255" s="26"/>
      <c r="BKB255" s="23"/>
      <c r="BKG255" s="26"/>
      <c r="BKK255" s="23"/>
      <c r="BKP255" s="26"/>
      <c r="BKT255" s="23"/>
      <c r="BKY255" s="26"/>
      <c r="BLC255" s="23"/>
      <c r="BLH255" s="26"/>
      <c r="BLL255" s="23"/>
      <c r="BLQ255" s="26"/>
      <c r="BLU255" s="23"/>
      <c r="BLZ255" s="26"/>
      <c r="BMD255" s="23"/>
      <c r="BMI255" s="26"/>
      <c r="BMM255" s="23"/>
      <c r="BMR255" s="26"/>
      <c r="BMV255" s="23"/>
      <c r="BNA255" s="26"/>
      <c r="BNE255" s="23"/>
      <c r="BNJ255" s="26"/>
      <c r="BNN255" s="23"/>
      <c r="BNS255" s="26"/>
      <c r="BNW255" s="23"/>
      <c r="BOB255" s="26"/>
      <c r="BOF255" s="23"/>
      <c r="BOK255" s="26"/>
      <c r="BOO255" s="23"/>
      <c r="BOT255" s="26"/>
      <c r="BOX255" s="23"/>
      <c r="BPC255" s="26"/>
      <c r="BPG255" s="23"/>
      <c r="BPL255" s="26"/>
      <c r="BPP255" s="23"/>
      <c r="BPU255" s="26"/>
      <c r="BPY255" s="23"/>
      <c r="BQD255" s="26"/>
      <c r="BQH255" s="23"/>
      <c r="BQM255" s="26"/>
      <c r="BQQ255" s="23"/>
      <c r="BQV255" s="26"/>
      <c r="BQZ255" s="23"/>
      <c r="BRE255" s="26"/>
      <c r="BRI255" s="23"/>
      <c r="BRN255" s="26"/>
      <c r="BRR255" s="23"/>
      <c r="BRW255" s="26"/>
      <c r="BSA255" s="23"/>
      <c r="BSF255" s="26"/>
      <c r="BSJ255" s="23"/>
      <c r="BSO255" s="26"/>
      <c r="BSS255" s="23"/>
      <c r="BSX255" s="26"/>
      <c r="BTB255" s="23"/>
      <c r="BTG255" s="26"/>
      <c r="BTK255" s="23"/>
      <c r="BTP255" s="26"/>
      <c r="BTT255" s="23"/>
      <c r="BTY255" s="26"/>
      <c r="BUC255" s="23"/>
      <c r="BUH255" s="26"/>
      <c r="BUL255" s="23"/>
      <c r="BUQ255" s="26"/>
      <c r="BUU255" s="23"/>
      <c r="BUZ255" s="26"/>
      <c r="BVD255" s="23"/>
      <c r="BVI255" s="26"/>
      <c r="BVM255" s="23"/>
      <c r="BVR255" s="26"/>
      <c r="BVV255" s="23"/>
      <c r="BWA255" s="26"/>
      <c r="BWE255" s="23"/>
      <c r="BWJ255" s="26"/>
      <c r="BWN255" s="23"/>
      <c r="BWS255" s="26"/>
      <c r="BWW255" s="23"/>
      <c r="BXB255" s="26"/>
      <c r="BXF255" s="23"/>
      <c r="BXK255" s="26"/>
      <c r="BXO255" s="23"/>
      <c r="BXT255" s="26"/>
      <c r="BXX255" s="23"/>
      <c r="BYC255" s="26"/>
      <c r="BYG255" s="23"/>
      <c r="BYL255" s="26"/>
      <c r="BYP255" s="23"/>
      <c r="BYU255" s="26"/>
      <c r="BYY255" s="23"/>
      <c r="BZD255" s="26"/>
      <c r="BZH255" s="23"/>
      <c r="BZM255" s="26"/>
      <c r="BZQ255" s="23"/>
      <c r="BZV255" s="26"/>
      <c r="BZZ255" s="23"/>
      <c r="CAE255" s="26"/>
      <c r="CAI255" s="23"/>
      <c r="CAN255" s="26"/>
      <c r="CAR255" s="23"/>
      <c r="CAW255" s="26"/>
      <c r="CBA255" s="23"/>
      <c r="CBF255" s="26"/>
      <c r="CBJ255" s="23"/>
      <c r="CBO255" s="26"/>
      <c r="CBS255" s="23"/>
      <c r="CBX255" s="26"/>
      <c r="CCB255" s="23"/>
      <c r="CCG255" s="26"/>
      <c r="CCK255" s="23"/>
      <c r="CCP255" s="26"/>
      <c r="CCT255" s="23"/>
      <c r="CCY255" s="26"/>
      <c r="CDC255" s="23"/>
      <c r="CDH255" s="26"/>
      <c r="CDL255" s="23"/>
      <c r="CDQ255" s="26"/>
      <c r="CDU255" s="23"/>
      <c r="CDZ255" s="26"/>
      <c r="CED255" s="23"/>
      <c r="CEI255" s="26"/>
      <c r="CEM255" s="23"/>
      <c r="CER255" s="26"/>
      <c r="CEV255" s="23"/>
      <c r="CFA255" s="26"/>
      <c r="CFE255" s="23"/>
      <c r="CFJ255" s="26"/>
      <c r="CFN255" s="23"/>
      <c r="CFS255" s="26"/>
      <c r="CFW255" s="23"/>
      <c r="CGB255" s="26"/>
      <c r="CGF255" s="23"/>
      <c r="CGK255" s="26"/>
      <c r="CGO255" s="23"/>
      <c r="CGT255" s="26"/>
      <c r="CGX255" s="23"/>
      <c r="CHC255" s="26"/>
      <c r="CHG255" s="23"/>
      <c r="CHL255" s="26"/>
      <c r="CHP255" s="23"/>
      <c r="CHU255" s="26"/>
      <c r="CHY255" s="23"/>
      <c r="CID255" s="26"/>
      <c r="CIH255" s="23"/>
      <c r="CIM255" s="26"/>
      <c r="CIQ255" s="23"/>
      <c r="CIV255" s="26"/>
      <c r="CIZ255" s="23"/>
      <c r="CJE255" s="26"/>
      <c r="CJI255" s="23"/>
      <c r="CJN255" s="26"/>
      <c r="CJR255" s="23"/>
      <c r="CJW255" s="26"/>
      <c r="CKA255" s="23"/>
      <c r="CKF255" s="26"/>
      <c r="CKJ255" s="23"/>
      <c r="CKO255" s="26"/>
      <c r="CKS255" s="23"/>
      <c r="CKX255" s="26"/>
      <c r="CLB255" s="23"/>
      <c r="CLG255" s="26"/>
      <c r="CLK255" s="23"/>
      <c r="CLP255" s="26"/>
      <c r="CLT255" s="23"/>
      <c r="CLY255" s="26"/>
      <c r="CMC255" s="23"/>
      <c r="CMH255" s="26"/>
      <c r="CML255" s="23"/>
      <c r="CMQ255" s="26"/>
      <c r="CMU255" s="23"/>
      <c r="CMZ255" s="26"/>
      <c r="CND255" s="23"/>
      <c r="CNI255" s="26"/>
      <c r="CNM255" s="23"/>
      <c r="CNR255" s="26"/>
      <c r="CNV255" s="23"/>
      <c r="COA255" s="26"/>
      <c r="COE255" s="23"/>
      <c r="COJ255" s="26"/>
      <c r="CON255" s="23"/>
      <c r="COS255" s="26"/>
      <c r="COW255" s="23"/>
      <c r="CPB255" s="26"/>
      <c r="CPF255" s="23"/>
      <c r="CPK255" s="26"/>
      <c r="CPO255" s="23"/>
      <c r="CPT255" s="26"/>
      <c r="CPX255" s="23"/>
      <c r="CQC255" s="26"/>
      <c r="CQG255" s="23"/>
      <c r="CQL255" s="26"/>
      <c r="CQP255" s="23"/>
      <c r="CQU255" s="26"/>
      <c r="CQY255" s="23"/>
      <c r="CRD255" s="26"/>
      <c r="CRH255" s="23"/>
      <c r="CRM255" s="26"/>
      <c r="CRQ255" s="23"/>
      <c r="CRV255" s="26"/>
      <c r="CRZ255" s="23"/>
      <c r="CSE255" s="26"/>
      <c r="CSI255" s="23"/>
      <c r="CSN255" s="26"/>
      <c r="CSR255" s="23"/>
      <c r="CSW255" s="26"/>
      <c r="CTA255" s="23"/>
      <c r="CTF255" s="26"/>
      <c r="CTJ255" s="23"/>
      <c r="CTO255" s="26"/>
      <c r="CTS255" s="23"/>
      <c r="CTX255" s="26"/>
      <c r="CUB255" s="23"/>
      <c r="CUG255" s="26"/>
      <c r="CUK255" s="23"/>
      <c r="CUP255" s="26"/>
      <c r="CUT255" s="23"/>
      <c r="CUY255" s="26"/>
      <c r="CVC255" s="23"/>
      <c r="CVH255" s="26"/>
      <c r="CVL255" s="23"/>
      <c r="CVQ255" s="26"/>
      <c r="CVU255" s="23"/>
      <c r="CVZ255" s="26"/>
      <c r="CWD255" s="23"/>
      <c r="CWI255" s="26"/>
      <c r="CWM255" s="23"/>
      <c r="CWR255" s="26"/>
      <c r="CWV255" s="23"/>
      <c r="CXA255" s="26"/>
      <c r="CXE255" s="23"/>
      <c r="CXJ255" s="26"/>
      <c r="CXN255" s="23"/>
      <c r="CXS255" s="26"/>
      <c r="CXW255" s="23"/>
      <c r="CYB255" s="26"/>
      <c r="CYF255" s="23"/>
      <c r="CYK255" s="26"/>
      <c r="CYO255" s="23"/>
      <c r="CYT255" s="26"/>
      <c r="CYX255" s="23"/>
      <c r="CZC255" s="26"/>
      <c r="CZG255" s="23"/>
      <c r="CZL255" s="26"/>
      <c r="CZP255" s="23"/>
      <c r="CZU255" s="26"/>
      <c r="CZY255" s="23"/>
      <c r="DAD255" s="26"/>
      <c r="DAH255" s="23"/>
      <c r="DAM255" s="26"/>
      <c r="DAQ255" s="23"/>
      <c r="DAV255" s="26"/>
      <c r="DAZ255" s="23"/>
      <c r="DBE255" s="26"/>
      <c r="DBI255" s="23"/>
      <c r="DBN255" s="26"/>
      <c r="DBR255" s="23"/>
      <c r="DBW255" s="26"/>
      <c r="DCA255" s="23"/>
      <c r="DCF255" s="26"/>
      <c r="DCJ255" s="23"/>
      <c r="DCO255" s="26"/>
      <c r="DCS255" s="23"/>
      <c r="DCX255" s="26"/>
      <c r="DDB255" s="23"/>
      <c r="DDG255" s="26"/>
      <c r="DDK255" s="23"/>
      <c r="DDP255" s="26"/>
      <c r="DDT255" s="23"/>
      <c r="DDY255" s="26"/>
      <c r="DEC255" s="23"/>
      <c r="DEH255" s="26"/>
      <c r="DEL255" s="23"/>
      <c r="DEQ255" s="26"/>
      <c r="DEU255" s="23"/>
      <c r="DEZ255" s="26"/>
      <c r="DFD255" s="23"/>
      <c r="DFI255" s="26"/>
      <c r="DFM255" s="23"/>
      <c r="DFR255" s="26"/>
      <c r="DFV255" s="23"/>
      <c r="DGA255" s="26"/>
      <c r="DGE255" s="23"/>
      <c r="DGJ255" s="26"/>
      <c r="DGN255" s="23"/>
      <c r="DGS255" s="26"/>
      <c r="DGW255" s="23"/>
      <c r="DHB255" s="26"/>
      <c r="DHF255" s="23"/>
      <c r="DHK255" s="26"/>
      <c r="DHO255" s="23"/>
      <c r="DHT255" s="26"/>
      <c r="DHX255" s="23"/>
      <c r="DIC255" s="26"/>
      <c r="DIG255" s="23"/>
      <c r="DIL255" s="26"/>
      <c r="DIP255" s="23"/>
      <c r="DIU255" s="26"/>
      <c r="DIY255" s="23"/>
      <c r="DJD255" s="26"/>
      <c r="DJH255" s="23"/>
      <c r="DJM255" s="26"/>
      <c r="DJQ255" s="23"/>
      <c r="DJV255" s="26"/>
      <c r="DJZ255" s="23"/>
      <c r="DKE255" s="26"/>
      <c r="DKI255" s="23"/>
      <c r="DKN255" s="26"/>
      <c r="DKR255" s="23"/>
      <c r="DKW255" s="26"/>
      <c r="DLA255" s="23"/>
      <c r="DLF255" s="26"/>
      <c r="DLJ255" s="23"/>
      <c r="DLO255" s="26"/>
      <c r="DLS255" s="23"/>
      <c r="DLX255" s="26"/>
      <c r="DMB255" s="23"/>
      <c r="DMG255" s="26"/>
      <c r="DMK255" s="23"/>
      <c r="DMP255" s="26"/>
      <c r="DMT255" s="23"/>
      <c r="DMY255" s="26"/>
      <c r="DNC255" s="23"/>
      <c r="DNH255" s="26"/>
      <c r="DNL255" s="23"/>
      <c r="DNQ255" s="26"/>
      <c r="DNU255" s="23"/>
      <c r="DNZ255" s="26"/>
      <c r="DOD255" s="23"/>
      <c r="DOI255" s="26"/>
      <c r="DOM255" s="23"/>
      <c r="DOR255" s="26"/>
      <c r="DOV255" s="23"/>
      <c r="DPA255" s="26"/>
      <c r="DPE255" s="23"/>
      <c r="DPJ255" s="26"/>
      <c r="DPN255" s="23"/>
      <c r="DPS255" s="26"/>
      <c r="DPW255" s="23"/>
      <c r="DQB255" s="26"/>
      <c r="DQF255" s="23"/>
      <c r="DQK255" s="26"/>
      <c r="DQO255" s="23"/>
      <c r="DQT255" s="26"/>
      <c r="DQX255" s="23"/>
      <c r="DRC255" s="26"/>
      <c r="DRG255" s="23"/>
      <c r="DRL255" s="26"/>
      <c r="DRP255" s="23"/>
      <c r="DRU255" s="26"/>
      <c r="DRY255" s="23"/>
      <c r="DSD255" s="26"/>
      <c r="DSH255" s="23"/>
      <c r="DSM255" s="26"/>
      <c r="DSQ255" s="23"/>
      <c r="DSV255" s="26"/>
      <c r="DSZ255" s="23"/>
      <c r="DTE255" s="26"/>
      <c r="DTI255" s="23"/>
      <c r="DTN255" s="26"/>
      <c r="DTR255" s="23"/>
      <c r="DTW255" s="26"/>
      <c r="DUA255" s="23"/>
      <c r="DUF255" s="26"/>
      <c r="DUJ255" s="23"/>
      <c r="DUO255" s="26"/>
      <c r="DUS255" s="23"/>
      <c r="DUX255" s="26"/>
      <c r="DVB255" s="23"/>
      <c r="DVG255" s="26"/>
      <c r="DVK255" s="23"/>
      <c r="DVP255" s="26"/>
      <c r="DVT255" s="23"/>
      <c r="DVY255" s="26"/>
      <c r="DWC255" s="23"/>
      <c r="DWH255" s="26"/>
      <c r="DWL255" s="23"/>
      <c r="DWQ255" s="26"/>
      <c r="DWU255" s="23"/>
      <c r="DWZ255" s="26"/>
      <c r="DXD255" s="23"/>
      <c r="DXI255" s="26"/>
      <c r="DXM255" s="23"/>
      <c r="DXR255" s="26"/>
      <c r="DXV255" s="23"/>
      <c r="DYA255" s="26"/>
      <c r="DYE255" s="23"/>
      <c r="DYJ255" s="26"/>
      <c r="DYN255" s="23"/>
      <c r="DYS255" s="26"/>
      <c r="DYW255" s="23"/>
      <c r="DZB255" s="26"/>
      <c r="DZF255" s="23"/>
      <c r="DZK255" s="26"/>
      <c r="DZO255" s="23"/>
      <c r="DZT255" s="26"/>
      <c r="DZX255" s="23"/>
      <c r="EAC255" s="26"/>
      <c r="EAG255" s="23"/>
      <c r="EAL255" s="26"/>
      <c r="EAP255" s="23"/>
      <c r="EAU255" s="26"/>
      <c r="EAY255" s="23"/>
      <c r="EBD255" s="26"/>
      <c r="EBH255" s="23"/>
      <c r="EBM255" s="26"/>
      <c r="EBQ255" s="23"/>
      <c r="EBV255" s="26"/>
      <c r="EBZ255" s="23"/>
      <c r="ECE255" s="26"/>
      <c r="ECI255" s="23"/>
      <c r="ECN255" s="26"/>
      <c r="ECR255" s="23"/>
      <c r="ECW255" s="26"/>
      <c r="EDA255" s="23"/>
      <c r="EDF255" s="26"/>
      <c r="EDJ255" s="23"/>
      <c r="EDO255" s="26"/>
      <c r="EDS255" s="23"/>
      <c r="EDX255" s="26"/>
      <c r="EEB255" s="23"/>
      <c r="EEG255" s="26"/>
      <c r="EEK255" s="23"/>
      <c r="EEP255" s="26"/>
      <c r="EET255" s="23"/>
      <c r="EEY255" s="26"/>
      <c r="EFC255" s="23"/>
      <c r="EFH255" s="26"/>
      <c r="EFL255" s="23"/>
      <c r="EFQ255" s="26"/>
      <c r="EFU255" s="23"/>
      <c r="EFZ255" s="26"/>
      <c r="EGD255" s="23"/>
      <c r="EGI255" s="26"/>
      <c r="EGM255" s="23"/>
      <c r="EGR255" s="26"/>
      <c r="EGV255" s="23"/>
      <c r="EHA255" s="26"/>
      <c r="EHE255" s="23"/>
      <c r="EHJ255" s="26"/>
      <c r="EHN255" s="23"/>
      <c r="EHS255" s="26"/>
      <c r="EHW255" s="23"/>
      <c r="EIB255" s="26"/>
      <c r="EIF255" s="23"/>
      <c r="EIK255" s="26"/>
      <c r="EIO255" s="23"/>
      <c r="EIT255" s="26"/>
      <c r="EIX255" s="23"/>
      <c r="EJC255" s="26"/>
      <c r="EJG255" s="23"/>
      <c r="EJL255" s="26"/>
      <c r="EJP255" s="23"/>
      <c r="EJU255" s="26"/>
      <c r="EJY255" s="23"/>
      <c r="EKD255" s="26"/>
      <c r="EKH255" s="23"/>
      <c r="EKM255" s="26"/>
      <c r="EKQ255" s="23"/>
      <c r="EKV255" s="26"/>
      <c r="EKZ255" s="23"/>
      <c r="ELE255" s="26"/>
      <c r="ELI255" s="23"/>
      <c r="ELN255" s="26"/>
      <c r="ELR255" s="23"/>
      <c r="ELW255" s="26"/>
      <c r="EMA255" s="23"/>
      <c r="EMF255" s="26"/>
      <c r="EMJ255" s="23"/>
      <c r="EMO255" s="26"/>
      <c r="EMS255" s="23"/>
      <c r="EMX255" s="26"/>
      <c r="ENB255" s="23"/>
      <c r="ENG255" s="26"/>
      <c r="ENK255" s="23"/>
      <c r="ENP255" s="26"/>
      <c r="ENT255" s="23"/>
      <c r="ENY255" s="26"/>
      <c r="EOC255" s="23"/>
      <c r="EOH255" s="26"/>
      <c r="EOL255" s="23"/>
      <c r="EOQ255" s="26"/>
      <c r="EOU255" s="23"/>
      <c r="EOZ255" s="26"/>
      <c r="EPD255" s="23"/>
      <c r="EPI255" s="26"/>
      <c r="EPM255" s="23"/>
      <c r="EPR255" s="26"/>
      <c r="EPV255" s="23"/>
      <c r="EQA255" s="26"/>
      <c r="EQE255" s="23"/>
      <c r="EQJ255" s="26"/>
      <c r="EQN255" s="23"/>
      <c r="EQS255" s="26"/>
      <c r="EQW255" s="23"/>
      <c r="ERB255" s="26"/>
      <c r="ERF255" s="23"/>
      <c r="ERK255" s="26"/>
      <c r="ERO255" s="23"/>
      <c r="ERT255" s="26"/>
      <c r="ERX255" s="23"/>
      <c r="ESC255" s="26"/>
      <c r="ESG255" s="23"/>
      <c r="ESL255" s="26"/>
      <c r="ESP255" s="23"/>
      <c r="ESU255" s="26"/>
      <c r="ESY255" s="23"/>
      <c r="ETD255" s="26"/>
      <c r="ETH255" s="23"/>
      <c r="ETM255" s="26"/>
      <c r="ETQ255" s="23"/>
      <c r="ETV255" s="26"/>
      <c r="ETZ255" s="23"/>
      <c r="EUE255" s="26"/>
      <c r="EUI255" s="23"/>
      <c r="EUN255" s="26"/>
      <c r="EUR255" s="23"/>
      <c r="EUW255" s="26"/>
      <c r="EVA255" s="23"/>
      <c r="EVF255" s="26"/>
      <c r="EVJ255" s="23"/>
      <c r="EVO255" s="26"/>
      <c r="EVS255" s="23"/>
      <c r="EVX255" s="26"/>
      <c r="EWB255" s="23"/>
      <c r="EWG255" s="26"/>
      <c r="EWK255" s="23"/>
      <c r="EWP255" s="26"/>
      <c r="EWT255" s="23"/>
      <c r="EWY255" s="26"/>
      <c r="EXC255" s="23"/>
      <c r="EXH255" s="26"/>
      <c r="EXL255" s="23"/>
      <c r="EXQ255" s="26"/>
      <c r="EXU255" s="23"/>
      <c r="EXZ255" s="26"/>
      <c r="EYD255" s="23"/>
      <c r="EYI255" s="26"/>
      <c r="EYM255" s="23"/>
      <c r="EYR255" s="26"/>
      <c r="EYV255" s="23"/>
      <c r="EZA255" s="26"/>
      <c r="EZE255" s="23"/>
      <c r="EZJ255" s="26"/>
      <c r="EZN255" s="23"/>
      <c r="EZS255" s="26"/>
      <c r="EZW255" s="23"/>
      <c r="FAB255" s="26"/>
      <c r="FAF255" s="23"/>
      <c r="FAK255" s="26"/>
      <c r="FAO255" s="23"/>
      <c r="FAT255" s="26"/>
      <c r="FAX255" s="23"/>
      <c r="FBC255" s="26"/>
      <c r="FBG255" s="23"/>
      <c r="FBL255" s="26"/>
      <c r="FBP255" s="23"/>
      <c r="FBU255" s="26"/>
      <c r="FBY255" s="23"/>
      <c r="FCD255" s="26"/>
      <c r="FCH255" s="23"/>
      <c r="FCM255" s="26"/>
      <c r="FCQ255" s="23"/>
      <c r="FCV255" s="26"/>
      <c r="FCZ255" s="23"/>
      <c r="FDE255" s="26"/>
      <c r="FDI255" s="23"/>
      <c r="FDN255" s="26"/>
      <c r="FDR255" s="23"/>
      <c r="FDW255" s="26"/>
      <c r="FEA255" s="23"/>
      <c r="FEF255" s="26"/>
      <c r="FEJ255" s="23"/>
      <c r="FEO255" s="26"/>
      <c r="FES255" s="23"/>
      <c r="FEX255" s="26"/>
      <c r="FFB255" s="23"/>
      <c r="FFG255" s="26"/>
      <c r="FFK255" s="23"/>
      <c r="FFP255" s="26"/>
      <c r="FFT255" s="23"/>
      <c r="FFY255" s="26"/>
      <c r="FGC255" s="23"/>
      <c r="FGH255" s="26"/>
      <c r="FGL255" s="23"/>
      <c r="FGQ255" s="26"/>
      <c r="FGU255" s="23"/>
      <c r="FGZ255" s="26"/>
      <c r="FHD255" s="23"/>
      <c r="FHI255" s="26"/>
      <c r="FHM255" s="23"/>
      <c r="FHR255" s="26"/>
      <c r="FHV255" s="23"/>
      <c r="FIA255" s="26"/>
      <c r="FIE255" s="23"/>
      <c r="FIJ255" s="26"/>
      <c r="FIN255" s="23"/>
      <c r="FIS255" s="26"/>
      <c r="FIW255" s="23"/>
      <c r="FJB255" s="26"/>
      <c r="FJF255" s="23"/>
      <c r="FJK255" s="26"/>
      <c r="FJO255" s="23"/>
      <c r="FJT255" s="26"/>
      <c r="FJX255" s="23"/>
      <c r="FKC255" s="26"/>
      <c r="FKG255" s="23"/>
      <c r="FKL255" s="26"/>
      <c r="FKP255" s="23"/>
      <c r="FKU255" s="26"/>
      <c r="FKY255" s="23"/>
      <c r="FLD255" s="26"/>
      <c r="FLH255" s="23"/>
      <c r="FLM255" s="26"/>
      <c r="FLQ255" s="23"/>
      <c r="FLV255" s="26"/>
      <c r="FLZ255" s="23"/>
      <c r="FME255" s="26"/>
      <c r="FMI255" s="23"/>
      <c r="FMN255" s="26"/>
      <c r="FMR255" s="23"/>
      <c r="FMW255" s="26"/>
      <c r="FNA255" s="23"/>
      <c r="FNF255" s="26"/>
      <c r="FNJ255" s="23"/>
      <c r="FNO255" s="26"/>
      <c r="FNS255" s="23"/>
      <c r="FNX255" s="26"/>
      <c r="FOB255" s="23"/>
      <c r="FOG255" s="26"/>
      <c r="FOK255" s="23"/>
      <c r="FOP255" s="26"/>
      <c r="FOT255" s="23"/>
      <c r="FOY255" s="26"/>
      <c r="FPC255" s="23"/>
      <c r="FPH255" s="26"/>
      <c r="FPL255" s="23"/>
      <c r="FPQ255" s="26"/>
      <c r="FPU255" s="23"/>
      <c r="FPZ255" s="26"/>
      <c r="FQD255" s="23"/>
      <c r="FQI255" s="26"/>
      <c r="FQM255" s="23"/>
      <c r="FQR255" s="26"/>
      <c r="FQV255" s="23"/>
      <c r="FRA255" s="26"/>
      <c r="FRE255" s="23"/>
      <c r="FRJ255" s="26"/>
      <c r="FRN255" s="23"/>
      <c r="FRS255" s="26"/>
      <c r="FRW255" s="23"/>
      <c r="FSB255" s="26"/>
      <c r="FSF255" s="23"/>
      <c r="FSK255" s="26"/>
      <c r="FSO255" s="23"/>
      <c r="FST255" s="26"/>
      <c r="FSX255" s="23"/>
      <c r="FTC255" s="26"/>
      <c r="FTG255" s="23"/>
      <c r="FTL255" s="26"/>
      <c r="FTP255" s="23"/>
      <c r="FTU255" s="26"/>
      <c r="FTY255" s="23"/>
      <c r="FUD255" s="26"/>
      <c r="FUH255" s="23"/>
      <c r="FUM255" s="26"/>
      <c r="FUQ255" s="23"/>
      <c r="FUV255" s="26"/>
      <c r="FUZ255" s="23"/>
      <c r="FVE255" s="26"/>
      <c r="FVI255" s="23"/>
      <c r="FVN255" s="26"/>
      <c r="FVR255" s="23"/>
      <c r="FVW255" s="26"/>
      <c r="FWA255" s="23"/>
      <c r="FWF255" s="26"/>
      <c r="FWJ255" s="23"/>
      <c r="FWO255" s="26"/>
      <c r="FWS255" s="23"/>
      <c r="FWX255" s="26"/>
      <c r="FXB255" s="23"/>
      <c r="FXG255" s="26"/>
      <c r="FXK255" s="23"/>
      <c r="FXP255" s="26"/>
      <c r="FXT255" s="23"/>
      <c r="FXY255" s="26"/>
      <c r="FYC255" s="23"/>
      <c r="FYH255" s="26"/>
      <c r="FYL255" s="23"/>
      <c r="FYQ255" s="26"/>
      <c r="FYU255" s="23"/>
      <c r="FYZ255" s="26"/>
      <c r="FZD255" s="23"/>
      <c r="FZI255" s="26"/>
      <c r="FZM255" s="23"/>
      <c r="FZR255" s="26"/>
      <c r="FZV255" s="23"/>
      <c r="GAA255" s="26"/>
      <c r="GAE255" s="23"/>
      <c r="GAJ255" s="26"/>
      <c r="GAN255" s="23"/>
      <c r="GAS255" s="26"/>
      <c r="GAW255" s="23"/>
      <c r="GBB255" s="26"/>
      <c r="GBF255" s="23"/>
      <c r="GBK255" s="26"/>
      <c r="GBO255" s="23"/>
      <c r="GBT255" s="26"/>
      <c r="GBX255" s="23"/>
      <c r="GCC255" s="26"/>
      <c r="GCG255" s="23"/>
      <c r="GCL255" s="26"/>
      <c r="GCP255" s="23"/>
      <c r="GCU255" s="26"/>
      <c r="GCY255" s="23"/>
      <c r="GDD255" s="26"/>
      <c r="GDH255" s="23"/>
      <c r="GDM255" s="26"/>
      <c r="GDQ255" s="23"/>
      <c r="GDV255" s="26"/>
      <c r="GDZ255" s="23"/>
      <c r="GEE255" s="26"/>
      <c r="GEI255" s="23"/>
      <c r="GEN255" s="26"/>
      <c r="GER255" s="23"/>
      <c r="GEW255" s="26"/>
      <c r="GFA255" s="23"/>
      <c r="GFF255" s="26"/>
      <c r="GFJ255" s="23"/>
      <c r="GFO255" s="26"/>
      <c r="GFS255" s="23"/>
      <c r="GFX255" s="26"/>
      <c r="GGB255" s="23"/>
      <c r="GGG255" s="26"/>
      <c r="GGK255" s="23"/>
      <c r="GGP255" s="26"/>
      <c r="GGT255" s="23"/>
      <c r="GGY255" s="26"/>
      <c r="GHC255" s="23"/>
      <c r="GHH255" s="26"/>
      <c r="GHL255" s="23"/>
      <c r="GHQ255" s="26"/>
      <c r="GHU255" s="23"/>
      <c r="GHZ255" s="26"/>
      <c r="GID255" s="23"/>
      <c r="GII255" s="26"/>
      <c r="GIM255" s="23"/>
      <c r="GIR255" s="26"/>
      <c r="GIV255" s="23"/>
      <c r="GJA255" s="26"/>
      <c r="GJE255" s="23"/>
      <c r="GJJ255" s="26"/>
      <c r="GJN255" s="23"/>
      <c r="GJS255" s="26"/>
      <c r="GJW255" s="23"/>
      <c r="GKB255" s="26"/>
      <c r="GKF255" s="23"/>
      <c r="GKK255" s="26"/>
      <c r="GKO255" s="23"/>
      <c r="GKT255" s="26"/>
      <c r="GKX255" s="23"/>
      <c r="GLC255" s="26"/>
      <c r="GLG255" s="23"/>
      <c r="GLL255" s="26"/>
      <c r="GLP255" s="23"/>
      <c r="GLU255" s="26"/>
      <c r="GLY255" s="23"/>
      <c r="GMD255" s="26"/>
      <c r="GMH255" s="23"/>
      <c r="GMM255" s="26"/>
      <c r="GMQ255" s="23"/>
      <c r="GMV255" s="26"/>
      <c r="GMZ255" s="23"/>
      <c r="GNE255" s="26"/>
      <c r="GNI255" s="23"/>
      <c r="GNN255" s="26"/>
      <c r="GNR255" s="23"/>
      <c r="GNW255" s="26"/>
      <c r="GOA255" s="23"/>
      <c r="GOF255" s="26"/>
      <c r="GOJ255" s="23"/>
      <c r="GOO255" s="26"/>
      <c r="GOS255" s="23"/>
      <c r="GOX255" s="26"/>
      <c r="GPB255" s="23"/>
      <c r="GPG255" s="26"/>
      <c r="GPK255" s="23"/>
      <c r="GPP255" s="26"/>
      <c r="GPT255" s="23"/>
      <c r="GPY255" s="26"/>
      <c r="GQC255" s="23"/>
      <c r="GQH255" s="26"/>
      <c r="GQL255" s="23"/>
      <c r="GQQ255" s="26"/>
      <c r="GQU255" s="23"/>
      <c r="GQZ255" s="26"/>
      <c r="GRD255" s="23"/>
      <c r="GRI255" s="26"/>
      <c r="GRM255" s="23"/>
      <c r="GRR255" s="26"/>
      <c r="GRV255" s="23"/>
      <c r="GSA255" s="26"/>
      <c r="GSE255" s="23"/>
      <c r="GSJ255" s="26"/>
      <c r="GSN255" s="23"/>
      <c r="GSS255" s="26"/>
      <c r="GSW255" s="23"/>
      <c r="GTB255" s="26"/>
      <c r="GTF255" s="23"/>
      <c r="GTK255" s="26"/>
      <c r="GTO255" s="23"/>
      <c r="GTT255" s="26"/>
      <c r="GTX255" s="23"/>
      <c r="GUC255" s="26"/>
      <c r="GUG255" s="23"/>
      <c r="GUL255" s="26"/>
      <c r="GUP255" s="23"/>
      <c r="GUU255" s="26"/>
      <c r="GUY255" s="23"/>
      <c r="GVD255" s="26"/>
      <c r="GVH255" s="23"/>
      <c r="GVM255" s="26"/>
      <c r="GVQ255" s="23"/>
      <c r="GVV255" s="26"/>
      <c r="GVZ255" s="23"/>
      <c r="GWE255" s="26"/>
      <c r="GWI255" s="23"/>
      <c r="GWN255" s="26"/>
      <c r="GWR255" s="23"/>
      <c r="GWW255" s="26"/>
      <c r="GXA255" s="23"/>
      <c r="GXF255" s="26"/>
      <c r="GXJ255" s="23"/>
      <c r="GXO255" s="26"/>
      <c r="GXS255" s="23"/>
      <c r="GXX255" s="26"/>
      <c r="GYB255" s="23"/>
      <c r="GYG255" s="26"/>
      <c r="GYK255" s="23"/>
      <c r="GYP255" s="26"/>
      <c r="GYT255" s="23"/>
      <c r="GYY255" s="26"/>
      <c r="GZC255" s="23"/>
      <c r="GZH255" s="26"/>
      <c r="GZL255" s="23"/>
      <c r="GZQ255" s="26"/>
      <c r="GZU255" s="23"/>
      <c r="GZZ255" s="26"/>
      <c r="HAD255" s="23"/>
      <c r="HAI255" s="26"/>
      <c r="HAM255" s="23"/>
      <c r="HAR255" s="26"/>
      <c r="HAV255" s="23"/>
      <c r="HBA255" s="26"/>
      <c r="HBE255" s="23"/>
      <c r="HBJ255" s="26"/>
      <c r="HBN255" s="23"/>
      <c r="HBS255" s="26"/>
      <c r="HBW255" s="23"/>
      <c r="HCB255" s="26"/>
      <c r="HCF255" s="23"/>
      <c r="HCK255" s="26"/>
      <c r="HCO255" s="23"/>
      <c r="HCT255" s="26"/>
      <c r="HCX255" s="23"/>
      <c r="HDC255" s="26"/>
      <c r="HDG255" s="23"/>
      <c r="HDL255" s="26"/>
      <c r="HDP255" s="23"/>
      <c r="HDU255" s="26"/>
      <c r="HDY255" s="23"/>
      <c r="HED255" s="26"/>
      <c r="HEH255" s="23"/>
      <c r="HEM255" s="26"/>
      <c r="HEQ255" s="23"/>
      <c r="HEV255" s="26"/>
      <c r="HEZ255" s="23"/>
      <c r="HFE255" s="26"/>
      <c r="HFI255" s="23"/>
      <c r="HFN255" s="26"/>
      <c r="HFR255" s="23"/>
      <c r="HFW255" s="26"/>
      <c r="HGA255" s="23"/>
      <c r="HGF255" s="26"/>
      <c r="HGJ255" s="23"/>
      <c r="HGO255" s="26"/>
      <c r="HGS255" s="23"/>
      <c r="HGX255" s="26"/>
      <c r="HHB255" s="23"/>
      <c r="HHG255" s="26"/>
      <c r="HHK255" s="23"/>
      <c r="HHP255" s="26"/>
      <c r="HHT255" s="23"/>
      <c r="HHY255" s="26"/>
      <c r="HIC255" s="23"/>
      <c r="HIH255" s="26"/>
      <c r="HIL255" s="23"/>
      <c r="HIQ255" s="26"/>
      <c r="HIU255" s="23"/>
      <c r="HIZ255" s="26"/>
      <c r="HJD255" s="23"/>
      <c r="HJI255" s="26"/>
      <c r="HJM255" s="23"/>
      <c r="HJR255" s="26"/>
      <c r="HJV255" s="23"/>
      <c r="HKA255" s="26"/>
      <c r="HKE255" s="23"/>
      <c r="HKJ255" s="26"/>
      <c r="HKN255" s="23"/>
      <c r="HKS255" s="26"/>
      <c r="HKW255" s="23"/>
      <c r="HLB255" s="26"/>
      <c r="HLF255" s="23"/>
      <c r="HLK255" s="26"/>
      <c r="HLO255" s="23"/>
      <c r="HLT255" s="26"/>
      <c r="HLX255" s="23"/>
      <c r="HMC255" s="26"/>
      <c r="HMG255" s="23"/>
      <c r="HML255" s="26"/>
      <c r="HMP255" s="23"/>
      <c r="HMU255" s="26"/>
      <c r="HMY255" s="23"/>
      <c r="HND255" s="26"/>
      <c r="HNH255" s="23"/>
      <c r="HNM255" s="26"/>
      <c r="HNQ255" s="23"/>
      <c r="HNV255" s="26"/>
      <c r="HNZ255" s="23"/>
      <c r="HOE255" s="26"/>
      <c r="HOI255" s="23"/>
      <c r="HON255" s="26"/>
      <c r="HOR255" s="23"/>
      <c r="HOW255" s="26"/>
      <c r="HPA255" s="23"/>
      <c r="HPF255" s="26"/>
      <c r="HPJ255" s="23"/>
      <c r="HPO255" s="26"/>
      <c r="HPS255" s="23"/>
      <c r="HPX255" s="26"/>
      <c r="HQB255" s="23"/>
      <c r="HQG255" s="26"/>
      <c r="HQK255" s="23"/>
      <c r="HQP255" s="26"/>
      <c r="HQT255" s="23"/>
      <c r="HQY255" s="26"/>
      <c r="HRC255" s="23"/>
      <c r="HRH255" s="26"/>
      <c r="HRL255" s="23"/>
      <c r="HRQ255" s="26"/>
      <c r="HRU255" s="23"/>
      <c r="HRZ255" s="26"/>
      <c r="HSD255" s="23"/>
      <c r="HSI255" s="26"/>
      <c r="HSM255" s="23"/>
      <c r="HSR255" s="26"/>
      <c r="HSV255" s="23"/>
      <c r="HTA255" s="26"/>
      <c r="HTE255" s="23"/>
      <c r="HTJ255" s="26"/>
      <c r="HTN255" s="23"/>
      <c r="HTS255" s="26"/>
      <c r="HTW255" s="23"/>
      <c r="HUB255" s="26"/>
      <c r="HUF255" s="23"/>
      <c r="HUK255" s="26"/>
      <c r="HUO255" s="23"/>
      <c r="HUT255" s="26"/>
      <c r="HUX255" s="23"/>
      <c r="HVC255" s="26"/>
      <c r="HVG255" s="23"/>
      <c r="HVL255" s="26"/>
      <c r="HVP255" s="23"/>
      <c r="HVU255" s="26"/>
      <c r="HVY255" s="23"/>
      <c r="HWD255" s="26"/>
      <c r="HWH255" s="23"/>
      <c r="HWM255" s="26"/>
      <c r="HWQ255" s="23"/>
      <c r="HWV255" s="26"/>
      <c r="HWZ255" s="23"/>
      <c r="HXE255" s="26"/>
      <c r="HXI255" s="23"/>
      <c r="HXN255" s="26"/>
      <c r="HXR255" s="23"/>
      <c r="HXW255" s="26"/>
      <c r="HYA255" s="23"/>
      <c r="HYF255" s="26"/>
      <c r="HYJ255" s="23"/>
      <c r="HYO255" s="26"/>
      <c r="HYS255" s="23"/>
      <c r="HYX255" s="26"/>
      <c r="HZB255" s="23"/>
      <c r="HZG255" s="26"/>
      <c r="HZK255" s="23"/>
      <c r="HZP255" s="26"/>
      <c r="HZT255" s="23"/>
      <c r="HZY255" s="26"/>
      <c r="IAC255" s="23"/>
      <c r="IAH255" s="26"/>
      <c r="IAL255" s="23"/>
      <c r="IAQ255" s="26"/>
      <c r="IAU255" s="23"/>
      <c r="IAZ255" s="26"/>
      <c r="IBD255" s="23"/>
      <c r="IBI255" s="26"/>
      <c r="IBM255" s="23"/>
      <c r="IBR255" s="26"/>
      <c r="IBV255" s="23"/>
      <c r="ICA255" s="26"/>
      <c r="ICE255" s="23"/>
      <c r="ICJ255" s="26"/>
      <c r="ICN255" s="23"/>
      <c r="ICS255" s="26"/>
      <c r="ICW255" s="23"/>
      <c r="IDB255" s="26"/>
      <c r="IDF255" s="23"/>
      <c r="IDK255" s="26"/>
      <c r="IDO255" s="23"/>
      <c r="IDT255" s="26"/>
      <c r="IDX255" s="23"/>
      <c r="IEC255" s="26"/>
      <c r="IEG255" s="23"/>
      <c r="IEL255" s="26"/>
      <c r="IEP255" s="23"/>
      <c r="IEU255" s="26"/>
      <c r="IEY255" s="23"/>
      <c r="IFD255" s="26"/>
      <c r="IFH255" s="23"/>
      <c r="IFM255" s="26"/>
      <c r="IFQ255" s="23"/>
      <c r="IFV255" s="26"/>
      <c r="IFZ255" s="23"/>
      <c r="IGE255" s="26"/>
      <c r="IGI255" s="23"/>
      <c r="IGN255" s="26"/>
      <c r="IGR255" s="23"/>
      <c r="IGW255" s="26"/>
      <c r="IHA255" s="23"/>
      <c r="IHF255" s="26"/>
      <c r="IHJ255" s="23"/>
      <c r="IHO255" s="26"/>
      <c r="IHS255" s="23"/>
      <c r="IHX255" s="26"/>
      <c r="IIB255" s="23"/>
      <c r="IIG255" s="26"/>
      <c r="IIK255" s="23"/>
      <c r="IIP255" s="26"/>
      <c r="IIT255" s="23"/>
      <c r="IIY255" s="26"/>
      <c r="IJC255" s="23"/>
      <c r="IJH255" s="26"/>
      <c r="IJL255" s="23"/>
      <c r="IJQ255" s="26"/>
      <c r="IJU255" s="23"/>
      <c r="IJZ255" s="26"/>
      <c r="IKD255" s="23"/>
      <c r="IKI255" s="26"/>
      <c r="IKM255" s="23"/>
      <c r="IKR255" s="26"/>
      <c r="IKV255" s="23"/>
      <c r="ILA255" s="26"/>
      <c r="ILE255" s="23"/>
      <c r="ILJ255" s="26"/>
      <c r="ILN255" s="23"/>
      <c r="ILS255" s="26"/>
      <c r="ILW255" s="23"/>
      <c r="IMB255" s="26"/>
      <c r="IMF255" s="23"/>
      <c r="IMK255" s="26"/>
      <c r="IMO255" s="23"/>
      <c r="IMT255" s="26"/>
      <c r="IMX255" s="23"/>
      <c r="INC255" s="26"/>
      <c r="ING255" s="23"/>
      <c r="INL255" s="26"/>
      <c r="INP255" s="23"/>
      <c r="INU255" s="26"/>
      <c r="INY255" s="23"/>
      <c r="IOD255" s="26"/>
      <c r="IOH255" s="23"/>
      <c r="IOM255" s="26"/>
      <c r="IOQ255" s="23"/>
      <c r="IOV255" s="26"/>
      <c r="IOZ255" s="23"/>
      <c r="IPE255" s="26"/>
      <c r="IPI255" s="23"/>
      <c r="IPN255" s="26"/>
      <c r="IPR255" s="23"/>
      <c r="IPW255" s="26"/>
      <c r="IQA255" s="23"/>
      <c r="IQF255" s="26"/>
      <c r="IQJ255" s="23"/>
      <c r="IQO255" s="26"/>
      <c r="IQS255" s="23"/>
      <c r="IQX255" s="26"/>
      <c r="IRB255" s="23"/>
      <c r="IRG255" s="26"/>
      <c r="IRK255" s="23"/>
      <c r="IRP255" s="26"/>
      <c r="IRT255" s="23"/>
      <c r="IRY255" s="26"/>
      <c r="ISC255" s="23"/>
      <c r="ISH255" s="26"/>
      <c r="ISL255" s="23"/>
      <c r="ISQ255" s="26"/>
      <c r="ISU255" s="23"/>
      <c r="ISZ255" s="26"/>
      <c r="ITD255" s="23"/>
      <c r="ITI255" s="26"/>
      <c r="ITM255" s="23"/>
      <c r="ITR255" s="26"/>
      <c r="ITV255" s="23"/>
      <c r="IUA255" s="26"/>
      <c r="IUE255" s="23"/>
      <c r="IUJ255" s="26"/>
      <c r="IUN255" s="23"/>
      <c r="IUS255" s="26"/>
      <c r="IUW255" s="23"/>
      <c r="IVB255" s="26"/>
      <c r="IVF255" s="23"/>
      <c r="IVK255" s="26"/>
      <c r="IVO255" s="23"/>
      <c r="IVT255" s="26"/>
      <c r="IVX255" s="23"/>
      <c r="IWC255" s="26"/>
      <c r="IWG255" s="23"/>
      <c r="IWL255" s="26"/>
      <c r="IWP255" s="23"/>
      <c r="IWU255" s="26"/>
      <c r="IWY255" s="23"/>
      <c r="IXD255" s="26"/>
      <c r="IXH255" s="23"/>
      <c r="IXM255" s="26"/>
      <c r="IXQ255" s="23"/>
      <c r="IXV255" s="26"/>
      <c r="IXZ255" s="23"/>
      <c r="IYE255" s="26"/>
      <c r="IYI255" s="23"/>
      <c r="IYN255" s="26"/>
      <c r="IYR255" s="23"/>
      <c r="IYW255" s="26"/>
      <c r="IZA255" s="23"/>
      <c r="IZF255" s="26"/>
      <c r="IZJ255" s="23"/>
      <c r="IZO255" s="26"/>
      <c r="IZS255" s="23"/>
      <c r="IZX255" s="26"/>
      <c r="JAB255" s="23"/>
      <c r="JAG255" s="26"/>
      <c r="JAK255" s="23"/>
      <c r="JAP255" s="26"/>
      <c r="JAT255" s="23"/>
      <c r="JAY255" s="26"/>
      <c r="JBC255" s="23"/>
      <c r="JBH255" s="26"/>
      <c r="JBL255" s="23"/>
      <c r="JBQ255" s="26"/>
      <c r="JBU255" s="23"/>
      <c r="JBZ255" s="26"/>
      <c r="JCD255" s="23"/>
      <c r="JCI255" s="26"/>
      <c r="JCM255" s="23"/>
      <c r="JCR255" s="26"/>
      <c r="JCV255" s="23"/>
      <c r="JDA255" s="26"/>
      <c r="JDE255" s="23"/>
      <c r="JDJ255" s="26"/>
      <c r="JDN255" s="23"/>
      <c r="JDS255" s="26"/>
      <c r="JDW255" s="23"/>
      <c r="JEB255" s="26"/>
      <c r="JEF255" s="23"/>
      <c r="JEK255" s="26"/>
      <c r="JEO255" s="23"/>
      <c r="JET255" s="26"/>
      <c r="JEX255" s="23"/>
      <c r="JFC255" s="26"/>
      <c r="JFG255" s="23"/>
      <c r="JFL255" s="26"/>
      <c r="JFP255" s="23"/>
      <c r="JFU255" s="26"/>
      <c r="JFY255" s="23"/>
      <c r="JGD255" s="26"/>
      <c r="JGH255" s="23"/>
      <c r="JGM255" s="26"/>
      <c r="JGQ255" s="23"/>
      <c r="JGV255" s="26"/>
      <c r="JGZ255" s="23"/>
      <c r="JHE255" s="26"/>
      <c r="JHI255" s="23"/>
      <c r="JHN255" s="26"/>
      <c r="JHR255" s="23"/>
      <c r="JHW255" s="26"/>
      <c r="JIA255" s="23"/>
      <c r="JIF255" s="26"/>
      <c r="JIJ255" s="23"/>
      <c r="JIO255" s="26"/>
      <c r="JIS255" s="23"/>
      <c r="JIX255" s="26"/>
      <c r="JJB255" s="23"/>
      <c r="JJG255" s="26"/>
      <c r="JJK255" s="23"/>
      <c r="JJP255" s="26"/>
      <c r="JJT255" s="23"/>
      <c r="JJY255" s="26"/>
      <c r="JKC255" s="23"/>
      <c r="JKH255" s="26"/>
      <c r="JKL255" s="23"/>
      <c r="JKQ255" s="26"/>
      <c r="JKU255" s="23"/>
      <c r="JKZ255" s="26"/>
      <c r="JLD255" s="23"/>
      <c r="JLI255" s="26"/>
      <c r="JLM255" s="23"/>
      <c r="JLR255" s="26"/>
      <c r="JLV255" s="23"/>
      <c r="JMA255" s="26"/>
      <c r="JME255" s="23"/>
      <c r="JMJ255" s="26"/>
      <c r="JMN255" s="23"/>
      <c r="JMS255" s="26"/>
      <c r="JMW255" s="23"/>
      <c r="JNB255" s="26"/>
      <c r="JNF255" s="23"/>
      <c r="JNK255" s="26"/>
      <c r="JNO255" s="23"/>
      <c r="JNT255" s="26"/>
      <c r="JNX255" s="23"/>
      <c r="JOC255" s="26"/>
      <c r="JOG255" s="23"/>
      <c r="JOL255" s="26"/>
      <c r="JOP255" s="23"/>
      <c r="JOU255" s="26"/>
      <c r="JOY255" s="23"/>
      <c r="JPD255" s="26"/>
      <c r="JPH255" s="23"/>
      <c r="JPM255" s="26"/>
      <c r="JPQ255" s="23"/>
      <c r="JPV255" s="26"/>
      <c r="JPZ255" s="23"/>
      <c r="JQE255" s="26"/>
      <c r="JQI255" s="23"/>
      <c r="JQN255" s="26"/>
      <c r="JQR255" s="23"/>
      <c r="JQW255" s="26"/>
      <c r="JRA255" s="23"/>
      <c r="JRF255" s="26"/>
      <c r="JRJ255" s="23"/>
      <c r="JRO255" s="26"/>
      <c r="JRS255" s="23"/>
      <c r="JRX255" s="26"/>
      <c r="JSB255" s="23"/>
      <c r="JSG255" s="26"/>
      <c r="JSK255" s="23"/>
      <c r="JSP255" s="26"/>
      <c r="JST255" s="23"/>
      <c r="JSY255" s="26"/>
      <c r="JTC255" s="23"/>
      <c r="JTH255" s="26"/>
      <c r="JTL255" s="23"/>
      <c r="JTQ255" s="26"/>
      <c r="JTU255" s="23"/>
      <c r="JTZ255" s="26"/>
      <c r="JUD255" s="23"/>
      <c r="JUI255" s="26"/>
      <c r="JUM255" s="23"/>
      <c r="JUR255" s="26"/>
      <c r="JUV255" s="23"/>
      <c r="JVA255" s="26"/>
      <c r="JVE255" s="23"/>
      <c r="JVJ255" s="26"/>
      <c r="JVN255" s="23"/>
      <c r="JVS255" s="26"/>
      <c r="JVW255" s="23"/>
      <c r="JWB255" s="26"/>
      <c r="JWF255" s="23"/>
      <c r="JWK255" s="26"/>
      <c r="JWO255" s="23"/>
      <c r="JWT255" s="26"/>
      <c r="JWX255" s="23"/>
      <c r="JXC255" s="26"/>
      <c r="JXG255" s="23"/>
      <c r="JXL255" s="26"/>
      <c r="JXP255" s="23"/>
      <c r="JXU255" s="26"/>
      <c r="JXY255" s="23"/>
      <c r="JYD255" s="26"/>
      <c r="JYH255" s="23"/>
      <c r="JYM255" s="26"/>
      <c r="JYQ255" s="23"/>
      <c r="JYV255" s="26"/>
      <c r="JYZ255" s="23"/>
      <c r="JZE255" s="26"/>
      <c r="JZI255" s="23"/>
      <c r="JZN255" s="26"/>
      <c r="JZR255" s="23"/>
      <c r="JZW255" s="26"/>
      <c r="KAA255" s="23"/>
      <c r="KAF255" s="26"/>
      <c r="KAJ255" s="23"/>
      <c r="KAO255" s="26"/>
      <c r="KAS255" s="23"/>
      <c r="KAX255" s="26"/>
      <c r="KBB255" s="23"/>
      <c r="KBG255" s="26"/>
      <c r="KBK255" s="23"/>
      <c r="KBP255" s="26"/>
      <c r="KBT255" s="23"/>
      <c r="KBY255" s="26"/>
      <c r="KCC255" s="23"/>
      <c r="KCH255" s="26"/>
      <c r="KCL255" s="23"/>
      <c r="KCQ255" s="26"/>
      <c r="KCU255" s="23"/>
      <c r="KCZ255" s="26"/>
      <c r="KDD255" s="23"/>
      <c r="KDI255" s="26"/>
      <c r="KDM255" s="23"/>
      <c r="KDR255" s="26"/>
      <c r="KDV255" s="23"/>
      <c r="KEA255" s="26"/>
      <c r="KEE255" s="23"/>
      <c r="KEJ255" s="26"/>
      <c r="KEN255" s="23"/>
      <c r="KES255" s="26"/>
      <c r="KEW255" s="23"/>
      <c r="KFB255" s="26"/>
      <c r="KFF255" s="23"/>
      <c r="KFK255" s="26"/>
      <c r="KFO255" s="23"/>
      <c r="KFT255" s="26"/>
      <c r="KFX255" s="23"/>
      <c r="KGC255" s="26"/>
      <c r="KGG255" s="23"/>
      <c r="KGL255" s="26"/>
      <c r="KGP255" s="23"/>
      <c r="KGU255" s="26"/>
      <c r="KGY255" s="23"/>
      <c r="KHD255" s="26"/>
      <c r="KHH255" s="23"/>
      <c r="KHM255" s="26"/>
      <c r="KHQ255" s="23"/>
      <c r="KHV255" s="26"/>
      <c r="KHZ255" s="23"/>
      <c r="KIE255" s="26"/>
      <c r="KII255" s="23"/>
      <c r="KIN255" s="26"/>
      <c r="KIR255" s="23"/>
      <c r="KIW255" s="26"/>
      <c r="KJA255" s="23"/>
      <c r="KJF255" s="26"/>
      <c r="KJJ255" s="23"/>
      <c r="KJO255" s="26"/>
      <c r="KJS255" s="23"/>
      <c r="KJX255" s="26"/>
      <c r="KKB255" s="23"/>
      <c r="KKG255" s="26"/>
      <c r="KKK255" s="23"/>
      <c r="KKP255" s="26"/>
      <c r="KKT255" s="23"/>
      <c r="KKY255" s="26"/>
      <c r="KLC255" s="23"/>
      <c r="KLH255" s="26"/>
      <c r="KLL255" s="23"/>
      <c r="KLQ255" s="26"/>
      <c r="KLU255" s="23"/>
      <c r="KLZ255" s="26"/>
      <c r="KMD255" s="23"/>
      <c r="KMI255" s="26"/>
      <c r="KMM255" s="23"/>
      <c r="KMR255" s="26"/>
      <c r="KMV255" s="23"/>
      <c r="KNA255" s="26"/>
      <c r="KNE255" s="23"/>
      <c r="KNJ255" s="26"/>
      <c r="KNN255" s="23"/>
      <c r="KNS255" s="26"/>
      <c r="KNW255" s="23"/>
      <c r="KOB255" s="26"/>
      <c r="KOF255" s="23"/>
      <c r="KOK255" s="26"/>
      <c r="KOO255" s="23"/>
      <c r="KOT255" s="26"/>
      <c r="KOX255" s="23"/>
      <c r="KPC255" s="26"/>
      <c r="KPG255" s="23"/>
      <c r="KPL255" s="26"/>
      <c r="KPP255" s="23"/>
      <c r="KPU255" s="26"/>
      <c r="KPY255" s="23"/>
      <c r="KQD255" s="26"/>
      <c r="KQH255" s="23"/>
      <c r="KQM255" s="26"/>
      <c r="KQQ255" s="23"/>
      <c r="KQV255" s="26"/>
      <c r="KQZ255" s="23"/>
      <c r="KRE255" s="26"/>
      <c r="KRI255" s="23"/>
      <c r="KRN255" s="26"/>
      <c r="KRR255" s="23"/>
      <c r="KRW255" s="26"/>
      <c r="KSA255" s="23"/>
      <c r="KSF255" s="26"/>
      <c r="KSJ255" s="23"/>
      <c r="KSO255" s="26"/>
      <c r="KSS255" s="23"/>
      <c r="KSX255" s="26"/>
      <c r="KTB255" s="23"/>
      <c r="KTG255" s="26"/>
      <c r="KTK255" s="23"/>
      <c r="KTP255" s="26"/>
      <c r="KTT255" s="23"/>
      <c r="KTY255" s="26"/>
      <c r="KUC255" s="23"/>
      <c r="KUH255" s="26"/>
      <c r="KUL255" s="23"/>
      <c r="KUQ255" s="26"/>
      <c r="KUU255" s="23"/>
      <c r="KUZ255" s="26"/>
      <c r="KVD255" s="23"/>
      <c r="KVI255" s="26"/>
      <c r="KVM255" s="23"/>
      <c r="KVR255" s="26"/>
      <c r="KVV255" s="23"/>
      <c r="KWA255" s="26"/>
      <c r="KWE255" s="23"/>
      <c r="KWJ255" s="26"/>
      <c r="KWN255" s="23"/>
      <c r="KWS255" s="26"/>
      <c r="KWW255" s="23"/>
      <c r="KXB255" s="26"/>
      <c r="KXF255" s="23"/>
      <c r="KXK255" s="26"/>
      <c r="KXO255" s="23"/>
      <c r="KXT255" s="26"/>
      <c r="KXX255" s="23"/>
      <c r="KYC255" s="26"/>
      <c r="KYG255" s="23"/>
      <c r="KYL255" s="26"/>
      <c r="KYP255" s="23"/>
      <c r="KYU255" s="26"/>
      <c r="KYY255" s="23"/>
      <c r="KZD255" s="26"/>
      <c r="KZH255" s="23"/>
      <c r="KZM255" s="26"/>
      <c r="KZQ255" s="23"/>
      <c r="KZV255" s="26"/>
      <c r="KZZ255" s="23"/>
      <c r="LAE255" s="26"/>
      <c r="LAI255" s="23"/>
      <c r="LAN255" s="26"/>
      <c r="LAR255" s="23"/>
      <c r="LAW255" s="26"/>
      <c r="LBA255" s="23"/>
      <c r="LBF255" s="26"/>
      <c r="LBJ255" s="23"/>
      <c r="LBO255" s="26"/>
      <c r="LBS255" s="23"/>
      <c r="LBX255" s="26"/>
      <c r="LCB255" s="23"/>
      <c r="LCG255" s="26"/>
      <c r="LCK255" s="23"/>
      <c r="LCP255" s="26"/>
      <c r="LCT255" s="23"/>
      <c r="LCY255" s="26"/>
      <c r="LDC255" s="23"/>
      <c r="LDH255" s="26"/>
      <c r="LDL255" s="23"/>
      <c r="LDQ255" s="26"/>
      <c r="LDU255" s="23"/>
      <c r="LDZ255" s="26"/>
      <c r="LED255" s="23"/>
      <c r="LEI255" s="26"/>
      <c r="LEM255" s="23"/>
      <c r="LER255" s="26"/>
      <c r="LEV255" s="23"/>
      <c r="LFA255" s="26"/>
      <c r="LFE255" s="23"/>
      <c r="LFJ255" s="26"/>
      <c r="LFN255" s="23"/>
      <c r="LFS255" s="26"/>
      <c r="LFW255" s="23"/>
      <c r="LGB255" s="26"/>
      <c r="LGF255" s="23"/>
      <c r="LGK255" s="26"/>
      <c r="LGO255" s="23"/>
      <c r="LGT255" s="26"/>
      <c r="LGX255" s="23"/>
      <c r="LHC255" s="26"/>
      <c r="LHG255" s="23"/>
      <c r="LHL255" s="26"/>
      <c r="LHP255" s="23"/>
      <c r="LHU255" s="26"/>
      <c r="LHY255" s="23"/>
      <c r="LID255" s="26"/>
      <c r="LIH255" s="23"/>
      <c r="LIM255" s="26"/>
      <c r="LIQ255" s="23"/>
      <c r="LIV255" s="26"/>
      <c r="LIZ255" s="23"/>
      <c r="LJE255" s="26"/>
      <c r="LJI255" s="23"/>
      <c r="LJN255" s="26"/>
      <c r="LJR255" s="23"/>
      <c r="LJW255" s="26"/>
      <c r="LKA255" s="23"/>
      <c r="LKF255" s="26"/>
      <c r="LKJ255" s="23"/>
      <c r="LKO255" s="26"/>
      <c r="LKS255" s="23"/>
      <c r="LKX255" s="26"/>
      <c r="LLB255" s="23"/>
      <c r="LLG255" s="26"/>
      <c r="LLK255" s="23"/>
      <c r="LLP255" s="26"/>
      <c r="LLT255" s="23"/>
      <c r="LLY255" s="26"/>
      <c r="LMC255" s="23"/>
      <c r="LMH255" s="26"/>
      <c r="LML255" s="23"/>
      <c r="LMQ255" s="26"/>
      <c r="LMU255" s="23"/>
      <c r="LMZ255" s="26"/>
      <c r="LND255" s="23"/>
      <c r="LNI255" s="26"/>
      <c r="LNM255" s="23"/>
      <c r="LNR255" s="26"/>
      <c r="LNV255" s="23"/>
      <c r="LOA255" s="26"/>
      <c r="LOE255" s="23"/>
      <c r="LOJ255" s="26"/>
      <c r="LON255" s="23"/>
      <c r="LOS255" s="26"/>
      <c r="LOW255" s="23"/>
      <c r="LPB255" s="26"/>
      <c r="LPF255" s="23"/>
      <c r="LPK255" s="26"/>
      <c r="LPO255" s="23"/>
      <c r="LPT255" s="26"/>
      <c r="LPX255" s="23"/>
      <c r="LQC255" s="26"/>
      <c r="LQG255" s="23"/>
      <c r="LQL255" s="26"/>
      <c r="LQP255" s="23"/>
      <c r="LQU255" s="26"/>
      <c r="LQY255" s="23"/>
      <c r="LRD255" s="26"/>
      <c r="LRH255" s="23"/>
      <c r="LRM255" s="26"/>
      <c r="LRQ255" s="23"/>
      <c r="LRV255" s="26"/>
      <c r="LRZ255" s="23"/>
      <c r="LSE255" s="26"/>
      <c r="LSI255" s="23"/>
      <c r="LSN255" s="26"/>
      <c r="LSR255" s="23"/>
      <c r="LSW255" s="26"/>
      <c r="LTA255" s="23"/>
      <c r="LTF255" s="26"/>
      <c r="LTJ255" s="23"/>
      <c r="LTO255" s="26"/>
      <c r="LTS255" s="23"/>
      <c r="LTX255" s="26"/>
      <c r="LUB255" s="23"/>
      <c r="LUG255" s="26"/>
      <c r="LUK255" s="23"/>
      <c r="LUP255" s="26"/>
      <c r="LUT255" s="23"/>
      <c r="LUY255" s="26"/>
      <c r="LVC255" s="23"/>
      <c r="LVH255" s="26"/>
      <c r="LVL255" s="23"/>
      <c r="LVQ255" s="26"/>
      <c r="LVU255" s="23"/>
      <c r="LVZ255" s="26"/>
      <c r="LWD255" s="23"/>
      <c r="LWI255" s="26"/>
      <c r="LWM255" s="23"/>
      <c r="LWR255" s="26"/>
      <c r="LWV255" s="23"/>
      <c r="LXA255" s="26"/>
      <c r="LXE255" s="23"/>
      <c r="LXJ255" s="26"/>
      <c r="LXN255" s="23"/>
      <c r="LXS255" s="26"/>
      <c r="LXW255" s="23"/>
      <c r="LYB255" s="26"/>
      <c r="LYF255" s="23"/>
      <c r="LYK255" s="26"/>
      <c r="LYO255" s="23"/>
      <c r="LYT255" s="26"/>
      <c r="LYX255" s="23"/>
      <c r="LZC255" s="26"/>
      <c r="LZG255" s="23"/>
      <c r="LZL255" s="26"/>
      <c r="LZP255" s="23"/>
      <c r="LZU255" s="26"/>
      <c r="LZY255" s="23"/>
      <c r="MAD255" s="26"/>
      <c r="MAH255" s="23"/>
      <c r="MAM255" s="26"/>
      <c r="MAQ255" s="23"/>
      <c r="MAV255" s="26"/>
      <c r="MAZ255" s="23"/>
      <c r="MBE255" s="26"/>
      <c r="MBI255" s="23"/>
      <c r="MBN255" s="26"/>
      <c r="MBR255" s="23"/>
      <c r="MBW255" s="26"/>
      <c r="MCA255" s="23"/>
      <c r="MCF255" s="26"/>
      <c r="MCJ255" s="23"/>
      <c r="MCO255" s="26"/>
      <c r="MCS255" s="23"/>
      <c r="MCX255" s="26"/>
      <c r="MDB255" s="23"/>
      <c r="MDG255" s="26"/>
      <c r="MDK255" s="23"/>
      <c r="MDP255" s="26"/>
      <c r="MDT255" s="23"/>
      <c r="MDY255" s="26"/>
      <c r="MEC255" s="23"/>
      <c r="MEH255" s="26"/>
      <c r="MEL255" s="23"/>
      <c r="MEQ255" s="26"/>
      <c r="MEU255" s="23"/>
      <c r="MEZ255" s="26"/>
      <c r="MFD255" s="23"/>
      <c r="MFI255" s="26"/>
      <c r="MFM255" s="23"/>
      <c r="MFR255" s="26"/>
      <c r="MFV255" s="23"/>
      <c r="MGA255" s="26"/>
      <c r="MGE255" s="23"/>
      <c r="MGJ255" s="26"/>
      <c r="MGN255" s="23"/>
      <c r="MGS255" s="26"/>
      <c r="MGW255" s="23"/>
      <c r="MHB255" s="26"/>
      <c r="MHF255" s="23"/>
      <c r="MHK255" s="26"/>
      <c r="MHO255" s="23"/>
      <c r="MHT255" s="26"/>
      <c r="MHX255" s="23"/>
      <c r="MIC255" s="26"/>
      <c r="MIG255" s="23"/>
      <c r="MIL255" s="26"/>
      <c r="MIP255" s="23"/>
      <c r="MIU255" s="26"/>
      <c r="MIY255" s="23"/>
      <c r="MJD255" s="26"/>
      <c r="MJH255" s="23"/>
      <c r="MJM255" s="26"/>
      <c r="MJQ255" s="23"/>
      <c r="MJV255" s="26"/>
      <c r="MJZ255" s="23"/>
      <c r="MKE255" s="26"/>
      <c r="MKI255" s="23"/>
      <c r="MKN255" s="26"/>
      <c r="MKR255" s="23"/>
      <c r="MKW255" s="26"/>
      <c r="MLA255" s="23"/>
      <c r="MLF255" s="26"/>
      <c r="MLJ255" s="23"/>
      <c r="MLO255" s="26"/>
      <c r="MLS255" s="23"/>
      <c r="MLX255" s="26"/>
      <c r="MMB255" s="23"/>
      <c r="MMG255" s="26"/>
      <c r="MMK255" s="23"/>
      <c r="MMP255" s="26"/>
      <c r="MMT255" s="23"/>
      <c r="MMY255" s="26"/>
      <c r="MNC255" s="23"/>
      <c r="MNH255" s="26"/>
      <c r="MNL255" s="23"/>
      <c r="MNQ255" s="26"/>
      <c r="MNU255" s="23"/>
      <c r="MNZ255" s="26"/>
      <c r="MOD255" s="23"/>
      <c r="MOI255" s="26"/>
      <c r="MOM255" s="23"/>
      <c r="MOR255" s="26"/>
      <c r="MOV255" s="23"/>
      <c r="MPA255" s="26"/>
      <c r="MPE255" s="23"/>
      <c r="MPJ255" s="26"/>
      <c r="MPN255" s="23"/>
      <c r="MPS255" s="26"/>
      <c r="MPW255" s="23"/>
      <c r="MQB255" s="26"/>
      <c r="MQF255" s="23"/>
      <c r="MQK255" s="26"/>
      <c r="MQO255" s="23"/>
      <c r="MQT255" s="26"/>
      <c r="MQX255" s="23"/>
      <c r="MRC255" s="26"/>
      <c r="MRG255" s="23"/>
      <c r="MRL255" s="26"/>
      <c r="MRP255" s="23"/>
      <c r="MRU255" s="26"/>
      <c r="MRY255" s="23"/>
      <c r="MSD255" s="26"/>
      <c r="MSH255" s="23"/>
      <c r="MSM255" s="26"/>
      <c r="MSQ255" s="23"/>
      <c r="MSV255" s="26"/>
      <c r="MSZ255" s="23"/>
      <c r="MTE255" s="26"/>
      <c r="MTI255" s="23"/>
      <c r="MTN255" s="26"/>
      <c r="MTR255" s="23"/>
      <c r="MTW255" s="26"/>
      <c r="MUA255" s="23"/>
      <c r="MUF255" s="26"/>
      <c r="MUJ255" s="23"/>
      <c r="MUO255" s="26"/>
      <c r="MUS255" s="23"/>
      <c r="MUX255" s="26"/>
      <c r="MVB255" s="23"/>
      <c r="MVG255" s="26"/>
      <c r="MVK255" s="23"/>
      <c r="MVP255" s="26"/>
      <c r="MVT255" s="23"/>
      <c r="MVY255" s="26"/>
      <c r="MWC255" s="23"/>
      <c r="MWH255" s="26"/>
      <c r="MWL255" s="23"/>
      <c r="MWQ255" s="26"/>
      <c r="MWU255" s="23"/>
      <c r="MWZ255" s="26"/>
      <c r="MXD255" s="23"/>
      <c r="MXI255" s="26"/>
      <c r="MXM255" s="23"/>
      <c r="MXR255" s="26"/>
      <c r="MXV255" s="23"/>
      <c r="MYA255" s="26"/>
      <c r="MYE255" s="23"/>
      <c r="MYJ255" s="26"/>
      <c r="MYN255" s="23"/>
      <c r="MYS255" s="26"/>
      <c r="MYW255" s="23"/>
      <c r="MZB255" s="26"/>
      <c r="MZF255" s="23"/>
      <c r="MZK255" s="26"/>
      <c r="MZO255" s="23"/>
      <c r="MZT255" s="26"/>
      <c r="MZX255" s="23"/>
      <c r="NAC255" s="26"/>
      <c r="NAG255" s="23"/>
      <c r="NAL255" s="26"/>
      <c r="NAP255" s="23"/>
      <c r="NAU255" s="26"/>
      <c r="NAY255" s="23"/>
      <c r="NBD255" s="26"/>
      <c r="NBH255" s="23"/>
      <c r="NBM255" s="26"/>
      <c r="NBQ255" s="23"/>
      <c r="NBV255" s="26"/>
      <c r="NBZ255" s="23"/>
      <c r="NCE255" s="26"/>
      <c r="NCI255" s="23"/>
      <c r="NCN255" s="26"/>
      <c r="NCR255" s="23"/>
      <c r="NCW255" s="26"/>
      <c r="NDA255" s="23"/>
      <c r="NDF255" s="26"/>
      <c r="NDJ255" s="23"/>
      <c r="NDO255" s="26"/>
      <c r="NDS255" s="23"/>
      <c r="NDX255" s="26"/>
      <c r="NEB255" s="23"/>
      <c r="NEG255" s="26"/>
      <c r="NEK255" s="23"/>
      <c r="NEP255" s="26"/>
      <c r="NET255" s="23"/>
      <c r="NEY255" s="26"/>
      <c r="NFC255" s="23"/>
      <c r="NFH255" s="26"/>
      <c r="NFL255" s="23"/>
      <c r="NFQ255" s="26"/>
      <c r="NFU255" s="23"/>
      <c r="NFZ255" s="26"/>
      <c r="NGD255" s="23"/>
      <c r="NGI255" s="26"/>
      <c r="NGM255" s="23"/>
      <c r="NGR255" s="26"/>
      <c r="NGV255" s="23"/>
      <c r="NHA255" s="26"/>
      <c r="NHE255" s="23"/>
      <c r="NHJ255" s="26"/>
      <c r="NHN255" s="23"/>
      <c r="NHS255" s="26"/>
      <c r="NHW255" s="23"/>
      <c r="NIB255" s="26"/>
      <c r="NIF255" s="23"/>
      <c r="NIK255" s="26"/>
      <c r="NIO255" s="23"/>
      <c r="NIT255" s="26"/>
      <c r="NIX255" s="23"/>
      <c r="NJC255" s="26"/>
      <c r="NJG255" s="23"/>
      <c r="NJL255" s="26"/>
      <c r="NJP255" s="23"/>
      <c r="NJU255" s="26"/>
      <c r="NJY255" s="23"/>
      <c r="NKD255" s="26"/>
      <c r="NKH255" s="23"/>
      <c r="NKM255" s="26"/>
      <c r="NKQ255" s="23"/>
      <c r="NKV255" s="26"/>
      <c r="NKZ255" s="23"/>
      <c r="NLE255" s="26"/>
      <c r="NLI255" s="23"/>
      <c r="NLN255" s="26"/>
      <c r="NLR255" s="23"/>
      <c r="NLW255" s="26"/>
      <c r="NMA255" s="23"/>
      <c r="NMF255" s="26"/>
      <c r="NMJ255" s="23"/>
      <c r="NMO255" s="26"/>
      <c r="NMS255" s="23"/>
      <c r="NMX255" s="26"/>
      <c r="NNB255" s="23"/>
      <c r="NNG255" s="26"/>
      <c r="NNK255" s="23"/>
      <c r="NNP255" s="26"/>
      <c r="NNT255" s="23"/>
      <c r="NNY255" s="26"/>
      <c r="NOC255" s="23"/>
      <c r="NOH255" s="26"/>
      <c r="NOL255" s="23"/>
      <c r="NOQ255" s="26"/>
      <c r="NOU255" s="23"/>
      <c r="NOZ255" s="26"/>
      <c r="NPD255" s="23"/>
      <c r="NPI255" s="26"/>
      <c r="NPM255" s="23"/>
      <c r="NPR255" s="26"/>
      <c r="NPV255" s="23"/>
      <c r="NQA255" s="26"/>
      <c r="NQE255" s="23"/>
      <c r="NQJ255" s="26"/>
      <c r="NQN255" s="23"/>
      <c r="NQS255" s="26"/>
      <c r="NQW255" s="23"/>
      <c r="NRB255" s="26"/>
      <c r="NRF255" s="23"/>
      <c r="NRK255" s="26"/>
      <c r="NRO255" s="23"/>
      <c r="NRT255" s="26"/>
      <c r="NRX255" s="23"/>
      <c r="NSC255" s="26"/>
      <c r="NSG255" s="23"/>
      <c r="NSL255" s="26"/>
      <c r="NSP255" s="23"/>
      <c r="NSU255" s="26"/>
      <c r="NSY255" s="23"/>
      <c r="NTD255" s="26"/>
      <c r="NTH255" s="23"/>
      <c r="NTM255" s="26"/>
      <c r="NTQ255" s="23"/>
      <c r="NTV255" s="26"/>
      <c r="NTZ255" s="23"/>
      <c r="NUE255" s="26"/>
      <c r="NUI255" s="23"/>
      <c r="NUN255" s="26"/>
      <c r="NUR255" s="23"/>
      <c r="NUW255" s="26"/>
      <c r="NVA255" s="23"/>
      <c r="NVF255" s="26"/>
      <c r="NVJ255" s="23"/>
      <c r="NVO255" s="26"/>
      <c r="NVS255" s="23"/>
      <c r="NVX255" s="26"/>
      <c r="NWB255" s="23"/>
      <c r="NWG255" s="26"/>
      <c r="NWK255" s="23"/>
      <c r="NWP255" s="26"/>
      <c r="NWT255" s="23"/>
      <c r="NWY255" s="26"/>
      <c r="NXC255" s="23"/>
      <c r="NXH255" s="26"/>
      <c r="NXL255" s="23"/>
      <c r="NXQ255" s="26"/>
      <c r="NXU255" s="23"/>
      <c r="NXZ255" s="26"/>
      <c r="NYD255" s="23"/>
      <c r="NYI255" s="26"/>
      <c r="NYM255" s="23"/>
      <c r="NYR255" s="26"/>
      <c r="NYV255" s="23"/>
      <c r="NZA255" s="26"/>
      <c r="NZE255" s="23"/>
      <c r="NZJ255" s="26"/>
      <c r="NZN255" s="23"/>
      <c r="NZS255" s="26"/>
      <c r="NZW255" s="23"/>
      <c r="OAB255" s="26"/>
      <c r="OAF255" s="23"/>
      <c r="OAK255" s="26"/>
      <c r="OAO255" s="23"/>
      <c r="OAT255" s="26"/>
      <c r="OAX255" s="23"/>
      <c r="OBC255" s="26"/>
      <c r="OBG255" s="23"/>
      <c r="OBL255" s="26"/>
      <c r="OBP255" s="23"/>
      <c r="OBU255" s="26"/>
      <c r="OBY255" s="23"/>
      <c r="OCD255" s="26"/>
      <c r="OCH255" s="23"/>
      <c r="OCM255" s="26"/>
      <c r="OCQ255" s="23"/>
      <c r="OCV255" s="26"/>
      <c r="OCZ255" s="23"/>
      <c r="ODE255" s="26"/>
      <c r="ODI255" s="23"/>
      <c r="ODN255" s="26"/>
      <c r="ODR255" s="23"/>
      <c r="ODW255" s="26"/>
      <c r="OEA255" s="23"/>
      <c r="OEF255" s="26"/>
      <c r="OEJ255" s="23"/>
      <c r="OEO255" s="26"/>
      <c r="OES255" s="23"/>
      <c r="OEX255" s="26"/>
      <c r="OFB255" s="23"/>
      <c r="OFG255" s="26"/>
      <c r="OFK255" s="23"/>
      <c r="OFP255" s="26"/>
      <c r="OFT255" s="23"/>
      <c r="OFY255" s="26"/>
      <c r="OGC255" s="23"/>
      <c r="OGH255" s="26"/>
      <c r="OGL255" s="23"/>
      <c r="OGQ255" s="26"/>
      <c r="OGU255" s="23"/>
      <c r="OGZ255" s="26"/>
      <c r="OHD255" s="23"/>
      <c r="OHI255" s="26"/>
      <c r="OHM255" s="23"/>
      <c r="OHR255" s="26"/>
      <c r="OHV255" s="23"/>
      <c r="OIA255" s="26"/>
      <c r="OIE255" s="23"/>
      <c r="OIJ255" s="26"/>
      <c r="OIN255" s="23"/>
      <c r="OIS255" s="26"/>
      <c r="OIW255" s="23"/>
      <c r="OJB255" s="26"/>
      <c r="OJF255" s="23"/>
      <c r="OJK255" s="26"/>
      <c r="OJO255" s="23"/>
      <c r="OJT255" s="26"/>
      <c r="OJX255" s="23"/>
      <c r="OKC255" s="26"/>
      <c r="OKG255" s="23"/>
      <c r="OKL255" s="26"/>
      <c r="OKP255" s="23"/>
      <c r="OKU255" s="26"/>
      <c r="OKY255" s="23"/>
      <c r="OLD255" s="26"/>
      <c r="OLH255" s="23"/>
      <c r="OLM255" s="26"/>
      <c r="OLQ255" s="23"/>
      <c r="OLV255" s="26"/>
      <c r="OLZ255" s="23"/>
      <c r="OME255" s="26"/>
      <c r="OMI255" s="23"/>
      <c r="OMN255" s="26"/>
      <c r="OMR255" s="23"/>
      <c r="OMW255" s="26"/>
      <c r="ONA255" s="23"/>
      <c r="ONF255" s="26"/>
      <c r="ONJ255" s="23"/>
      <c r="ONO255" s="26"/>
      <c r="ONS255" s="23"/>
      <c r="ONX255" s="26"/>
      <c r="OOB255" s="23"/>
      <c r="OOG255" s="26"/>
      <c r="OOK255" s="23"/>
      <c r="OOP255" s="26"/>
      <c r="OOT255" s="23"/>
      <c r="OOY255" s="26"/>
      <c r="OPC255" s="23"/>
      <c r="OPH255" s="26"/>
      <c r="OPL255" s="23"/>
      <c r="OPQ255" s="26"/>
      <c r="OPU255" s="23"/>
      <c r="OPZ255" s="26"/>
      <c r="OQD255" s="23"/>
      <c r="OQI255" s="26"/>
      <c r="OQM255" s="23"/>
      <c r="OQR255" s="26"/>
      <c r="OQV255" s="23"/>
      <c r="ORA255" s="26"/>
      <c r="ORE255" s="23"/>
      <c r="ORJ255" s="26"/>
      <c r="ORN255" s="23"/>
      <c r="ORS255" s="26"/>
      <c r="ORW255" s="23"/>
      <c r="OSB255" s="26"/>
      <c r="OSF255" s="23"/>
      <c r="OSK255" s="26"/>
      <c r="OSO255" s="23"/>
      <c r="OST255" s="26"/>
      <c r="OSX255" s="23"/>
      <c r="OTC255" s="26"/>
      <c r="OTG255" s="23"/>
      <c r="OTL255" s="26"/>
      <c r="OTP255" s="23"/>
      <c r="OTU255" s="26"/>
      <c r="OTY255" s="23"/>
      <c r="OUD255" s="26"/>
      <c r="OUH255" s="23"/>
      <c r="OUM255" s="26"/>
      <c r="OUQ255" s="23"/>
      <c r="OUV255" s="26"/>
      <c r="OUZ255" s="23"/>
      <c r="OVE255" s="26"/>
      <c r="OVI255" s="23"/>
      <c r="OVN255" s="26"/>
      <c r="OVR255" s="23"/>
      <c r="OVW255" s="26"/>
      <c r="OWA255" s="23"/>
      <c r="OWF255" s="26"/>
      <c r="OWJ255" s="23"/>
      <c r="OWO255" s="26"/>
      <c r="OWS255" s="23"/>
      <c r="OWX255" s="26"/>
      <c r="OXB255" s="23"/>
      <c r="OXG255" s="26"/>
      <c r="OXK255" s="23"/>
      <c r="OXP255" s="26"/>
      <c r="OXT255" s="23"/>
      <c r="OXY255" s="26"/>
      <c r="OYC255" s="23"/>
      <c r="OYH255" s="26"/>
      <c r="OYL255" s="23"/>
      <c r="OYQ255" s="26"/>
      <c r="OYU255" s="23"/>
      <c r="OYZ255" s="26"/>
      <c r="OZD255" s="23"/>
      <c r="OZI255" s="26"/>
      <c r="OZM255" s="23"/>
      <c r="OZR255" s="26"/>
      <c r="OZV255" s="23"/>
      <c r="PAA255" s="26"/>
      <c r="PAE255" s="23"/>
      <c r="PAJ255" s="26"/>
      <c r="PAN255" s="23"/>
      <c r="PAS255" s="26"/>
      <c r="PAW255" s="23"/>
      <c r="PBB255" s="26"/>
      <c r="PBF255" s="23"/>
      <c r="PBK255" s="26"/>
      <c r="PBO255" s="23"/>
      <c r="PBT255" s="26"/>
      <c r="PBX255" s="23"/>
      <c r="PCC255" s="26"/>
      <c r="PCG255" s="23"/>
      <c r="PCL255" s="26"/>
      <c r="PCP255" s="23"/>
      <c r="PCU255" s="26"/>
      <c r="PCY255" s="23"/>
      <c r="PDD255" s="26"/>
      <c r="PDH255" s="23"/>
      <c r="PDM255" s="26"/>
      <c r="PDQ255" s="23"/>
      <c r="PDV255" s="26"/>
      <c r="PDZ255" s="23"/>
      <c r="PEE255" s="26"/>
      <c r="PEI255" s="23"/>
      <c r="PEN255" s="26"/>
      <c r="PER255" s="23"/>
      <c r="PEW255" s="26"/>
      <c r="PFA255" s="23"/>
      <c r="PFF255" s="26"/>
      <c r="PFJ255" s="23"/>
      <c r="PFO255" s="26"/>
      <c r="PFS255" s="23"/>
      <c r="PFX255" s="26"/>
      <c r="PGB255" s="23"/>
      <c r="PGG255" s="26"/>
      <c r="PGK255" s="23"/>
      <c r="PGP255" s="26"/>
      <c r="PGT255" s="23"/>
      <c r="PGY255" s="26"/>
      <c r="PHC255" s="23"/>
      <c r="PHH255" s="26"/>
      <c r="PHL255" s="23"/>
      <c r="PHQ255" s="26"/>
      <c r="PHU255" s="23"/>
      <c r="PHZ255" s="26"/>
      <c r="PID255" s="23"/>
      <c r="PII255" s="26"/>
      <c r="PIM255" s="23"/>
      <c r="PIR255" s="26"/>
      <c r="PIV255" s="23"/>
      <c r="PJA255" s="26"/>
      <c r="PJE255" s="23"/>
      <c r="PJJ255" s="26"/>
      <c r="PJN255" s="23"/>
      <c r="PJS255" s="26"/>
      <c r="PJW255" s="23"/>
      <c r="PKB255" s="26"/>
      <c r="PKF255" s="23"/>
      <c r="PKK255" s="26"/>
      <c r="PKO255" s="23"/>
      <c r="PKT255" s="26"/>
      <c r="PKX255" s="23"/>
      <c r="PLC255" s="26"/>
      <c r="PLG255" s="23"/>
      <c r="PLL255" s="26"/>
      <c r="PLP255" s="23"/>
      <c r="PLU255" s="26"/>
      <c r="PLY255" s="23"/>
      <c r="PMD255" s="26"/>
      <c r="PMH255" s="23"/>
      <c r="PMM255" s="26"/>
      <c r="PMQ255" s="23"/>
      <c r="PMV255" s="26"/>
      <c r="PMZ255" s="23"/>
      <c r="PNE255" s="26"/>
      <c r="PNI255" s="23"/>
      <c r="PNN255" s="26"/>
      <c r="PNR255" s="23"/>
      <c r="PNW255" s="26"/>
      <c r="POA255" s="23"/>
      <c r="POF255" s="26"/>
      <c r="POJ255" s="23"/>
      <c r="POO255" s="26"/>
      <c r="POS255" s="23"/>
      <c r="POX255" s="26"/>
      <c r="PPB255" s="23"/>
      <c r="PPG255" s="26"/>
      <c r="PPK255" s="23"/>
      <c r="PPP255" s="26"/>
      <c r="PPT255" s="23"/>
      <c r="PPY255" s="26"/>
      <c r="PQC255" s="23"/>
      <c r="PQH255" s="26"/>
      <c r="PQL255" s="23"/>
      <c r="PQQ255" s="26"/>
      <c r="PQU255" s="23"/>
      <c r="PQZ255" s="26"/>
      <c r="PRD255" s="23"/>
      <c r="PRI255" s="26"/>
      <c r="PRM255" s="23"/>
      <c r="PRR255" s="26"/>
      <c r="PRV255" s="23"/>
      <c r="PSA255" s="26"/>
      <c r="PSE255" s="23"/>
      <c r="PSJ255" s="26"/>
      <c r="PSN255" s="23"/>
      <c r="PSS255" s="26"/>
      <c r="PSW255" s="23"/>
      <c r="PTB255" s="26"/>
      <c r="PTF255" s="23"/>
      <c r="PTK255" s="26"/>
      <c r="PTO255" s="23"/>
      <c r="PTT255" s="26"/>
      <c r="PTX255" s="23"/>
      <c r="PUC255" s="26"/>
      <c r="PUG255" s="23"/>
      <c r="PUL255" s="26"/>
      <c r="PUP255" s="23"/>
      <c r="PUU255" s="26"/>
      <c r="PUY255" s="23"/>
      <c r="PVD255" s="26"/>
      <c r="PVH255" s="23"/>
      <c r="PVM255" s="26"/>
      <c r="PVQ255" s="23"/>
      <c r="PVV255" s="26"/>
      <c r="PVZ255" s="23"/>
      <c r="PWE255" s="26"/>
      <c r="PWI255" s="23"/>
      <c r="PWN255" s="26"/>
      <c r="PWR255" s="23"/>
      <c r="PWW255" s="26"/>
      <c r="PXA255" s="23"/>
      <c r="PXF255" s="26"/>
      <c r="PXJ255" s="23"/>
      <c r="PXO255" s="26"/>
      <c r="PXS255" s="23"/>
      <c r="PXX255" s="26"/>
      <c r="PYB255" s="23"/>
      <c r="PYG255" s="26"/>
      <c r="PYK255" s="23"/>
      <c r="PYP255" s="26"/>
      <c r="PYT255" s="23"/>
      <c r="PYY255" s="26"/>
      <c r="PZC255" s="23"/>
      <c r="PZH255" s="26"/>
      <c r="PZL255" s="23"/>
      <c r="PZQ255" s="26"/>
      <c r="PZU255" s="23"/>
      <c r="PZZ255" s="26"/>
      <c r="QAD255" s="23"/>
      <c r="QAI255" s="26"/>
      <c r="QAM255" s="23"/>
      <c r="QAR255" s="26"/>
      <c r="QAV255" s="23"/>
      <c r="QBA255" s="26"/>
      <c r="QBE255" s="23"/>
      <c r="QBJ255" s="26"/>
      <c r="QBN255" s="23"/>
      <c r="QBS255" s="26"/>
      <c r="QBW255" s="23"/>
      <c r="QCB255" s="26"/>
      <c r="QCF255" s="23"/>
      <c r="QCK255" s="26"/>
      <c r="QCO255" s="23"/>
      <c r="QCT255" s="26"/>
      <c r="QCX255" s="23"/>
      <c r="QDC255" s="26"/>
      <c r="QDG255" s="23"/>
      <c r="QDL255" s="26"/>
      <c r="QDP255" s="23"/>
      <c r="QDU255" s="26"/>
      <c r="QDY255" s="23"/>
      <c r="QED255" s="26"/>
      <c r="QEH255" s="23"/>
      <c r="QEM255" s="26"/>
      <c r="QEQ255" s="23"/>
      <c r="QEV255" s="26"/>
      <c r="QEZ255" s="23"/>
      <c r="QFE255" s="26"/>
      <c r="QFI255" s="23"/>
      <c r="QFN255" s="26"/>
      <c r="QFR255" s="23"/>
      <c r="QFW255" s="26"/>
      <c r="QGA255" s="23"/>
      <c r="QGF255" s="26"/>
      <c r="QGJ255" s="23"/>
      <c r="QGO255" s="26"/>
      <c r="QGS255" s="23"/>
      <c r="QGX255" s="26"/>
      <c r="QHB255" s="23"/>
      <c r="QHG255" s="26"/>
      <c r="QHK255" s="23"/>
      <c r="QHP255" s="26"/>
      <c r="QHT255" s="23"/>
      <c r="QHY255" s="26"/>
      <c r="QIC255" s="23"/>
      <c r="QIH255" s="26"/>
      <c r="QIL255" s="23"/>
      <c r="QIQ255" s="26"/>
      <c r="QIU255" s="23"/>
      <c r="QIZ255" s="26"/>
      <c r="QJD255" s="23"/>
      <c r="QJI255" s="26"/>
      <c r="QJM255" s="23"/>
      <c r="QJR255" s="26"/>
      <c r="QJV255" s="23"/>
      <c r="QKA255" s="26"/>
      <c r="QKE255" s="23"/>
      <c r="QKJ255" s="26"/>
      <c r="QKN255" s="23"/>
      <c r="QKS255" s="26"/>
      <c r="QKW255" s="23"/>
      <c r="QLB255" s="26"/>
      <c r="QLF255" s="23"/>
      <c r="QLK255" s="26"/>
      <c r="QLO255" s="23"/>
      <c r="QLT255" s="26"/>
      <c r="QLX255" s="23"/>
      <c r="QMC255" s="26"/>
      <c r="QMG255" s="23"/>
      <c r="QML255" s="26"/>
      <c r="QMP255" s="23"/>
      <c r="QMU255" s="26"/>
      <c r="QMY255" s="23"/>
      <c r="QND255" s="26"/>
      <c r="QNH255" s="23"/>
      <c r="QNM255" s="26"/>
      <c r="QNQ255" s="23"/>
      <c r="QNV255" s="26"/>
      <c r="QNZ255" s="23"/>
      <c r="QOE255" s="26"/>
      <c r="QOI255" s="23"/>
      <c r="QON255" s="26"/>
      <c r="QOR255" s="23"/>
      <c r="QOW255" s="26"/>
      <c r="QPA255" s="23"/>
      <c r="QPF255" s="26"/>
      <c r="QPJ255" s="23"/>
      <c r="QPO255" s="26"/>
      <c r="QPS255" s="23"/>
      <c r="QPX255" s="26"/>
      <c r="QQB255" s="23"/>
      <c r="QQG255" s="26"/>
      <c r="QQK255" s="23"/>
      <c r="QQP255" s="26"/>
      <c r="QQT255" s="23"/>
      <c r="QQY255" s="26"/>
      <c r="QRC255" s="23"/>
      <c r="QRH255" s="26"/>
      <c r="QRL255" s="23"/>
      <c r="QRQ255" s="26"/>
      <c r="QRU255" s="23"/>
      <c r="QRZ255" s="26"/>
      <c r="QSD255" s="23"/>
      <c r="QSI255" s="26"/>
      <c r="QSM255" s="23"/>
      <c r="QSR255" s="26"/>
      <c r="QSV255" s="23"/>
      <c r="QTA255" s="26"/>
      <c r="QTE255" s="23"/>
      <c r="QTJ255" s="26"/>
      <c r="QTN255" s="23"/>
      <c r="QTS255" s="26"/>
      <c r="QTW255" s="23"/>
      <c r="QUB255" s="26"/>
      <c r="QUF255" s="23"/>
      <c r="QUK255" s="26"/>
      <c r="QUO255" s="23"/>
      <c r="QUT255" s="26"/>
      <c r="QUX255" s="23"/>
      <c r="QVC255" s="26"/>
      <c r="QVG255" s="23"/>
      <c r="QVL255" s="26"/>
      <c r="QVP255" s="23"/>
      <c r="QVU255" s="26"/>
      <c r="QVY255" s="23"/>
      <c r="QWD255" s="26"/>
      <c r="QWH255" s="23"/>
      <c r="QWM255" s="26"/>
      <c r="QWQ255" s="23"/>
      <c r="QWV255" s="26"/>
      <c r="QWZ255" s="23"/>
      <c r="QXE255" s="26"/>
      <c r="QXI255" s="23"/>
      <c r="QXN255" s="26"/>
      <c r="QXR255" s="23"/>
      <c r="QXW255" s="26"/>
      <c r="QYA255" s="23"/>
      <c r="QYF255" s="26"/>
      <c r="QYJ255" s="23"/>
      <c r="QYO255" s="26"/>
      <c r="QYS255" s="23"/>
      <c r="QYX255" s="26"/>
      <c r="QZB255" s="23"/>
      <c r="QZG255" s="26"/>
      <c r="QZK255" s="23"/>
      <c r="QZP255" s="26"/>
      <c r="QZT255" s="23"/>
      <c r="QZY255" s="26"/>
      <c r="RAC255" s="23"/>
      <c r="RAH255" s="26"/>
      <c r="RAL255" s="23"/>
      <c r="RAQ255" s="26"/>
      <c r="RAU255" s="23"/>
      <c r="RAZ255" s="26"/>
      <c r="RBD255" s="23"/>
      <c r="RBI255" s="26"/>
      <c r="RBM255" s="23"/>
      <c r="RBR255" s="26"/>
      <c r="RBV255" s="23"/>
      <c r="RCA255" s="26"/>
      <c r="RCE255" s="23"/>
      <c r="RCJ255" s="26"/>
      <c r="RCN255" s="23"/>
      <c r="RCS255" s="26"/>
      <c r="RCW255" s="23"/>
      <c r="RDB255" s="26"/>
      <c r="RDF255" s="23"/>
      <c r="RDK255" s="26"/>
      <c r="RDO255" s="23"/>
      <c r="RDT255" s="26"/>
      <c r="RDX255" s="23"/>
      <c r="REC255" s="26"/>
      <c r="REG255" s="23"/>
      <c r="REL255" s="26"/>
      <c r="REP255" s="23"/>
      <c r="REU255" s="26"/>
      <c r="REY255" s="23"/>
      <c r="RFD255" s="26"/>
      <c r="RFH255" s="23"/>
      <c r="RFM255" s="26"/>
      <c r="RFQ255" s="23"/>
      <c r="RFV255" s="26"/>
      <c r="RFZ255" s="23"/>
      <c r="RGE255" s="26"/>
      <c r="RGI255" s="23"/>
      <c r="RGN255" s="26"/>
      <c r="RGR255" s="23"/>
      <c r="RGW255" s="26"/>
      <c r="RHA255" s="23"/>
      <c r="RHF255" s="26"/>
      <c r="RHJ255" s="23"/>
      <c r="RHO255" s="26"/>
      <c r="RHS255" s="23"/>
      <c r="RHX255" s="26"/>
      <c r="RIB255" s="23"/>
      <c r="RIG255" s="26"/>
      <c r="RIK255" s="23"/>
      <c r="RIP255" s="26"/>
      <c r="RIT255" s="23"/>
      <c r="RIY255" s="26"/>
      <c r="RJC255" s="23"/>
      <c r="RJH255" s="26"/>
      <c r="RJL255" s="23"/>
      <c r="RJQ255" s="26"/>
      <c r="RJU255" s="23"/>
      <c r="RJZ255" s="26"/>
      <c r="RKD255" s="23"/>
      <c r="RKI255" s="26"/>
      <c r="RKM255" s="23"/>
      <c r="RKR255" s="26"/>
      <c r="RKV255" s="23"/>
      <c r="RLA255" s="26"/>
      <c r="RLE255" s="23"/>
      <c r="RLJ255" s="26"/>
      <c r="RLN255" s="23"/>
      <c r="RLS255" s="26"/>
      <c r="RLW255" s="23"/>
      <c r="RMB255" s="26"/>
      <c r="RMF255" s="23"/>
      <c r="RMK255" s="26"/>
      <c r="RMO255" s="23"/>
      <c r="RMT255" s="26"/>
      <c r="RMX255" s="23"/>
      <c r="RNC255" s="26"/>
      <c r="RNG255" s="23"/>
      <c r="RNL255" s="26"/>
      <c r="RNP255" s="23"/>
      <c r="RNU255" s="26"/>
      <c r="RNY255" s="23"/>
      <c r="ROD255" s="26"/>
      <c r="ROH255" s="23"/>
      <c r="ROM255" s="26"/>
      <c r="ROQ255" s="23"/>
      <c r="ROV255" s="26"/>
      <c r="ROZ255" s="23"/>
      <c r="RPE255" s="26"/>
      <c r="RPI255" s="23"/>
      <c r="RPN255" s="26"/>
      <c r="RPR255" s="23"/>
      <c r="RPW255" s="26"/>
      <c r="RQA255" s="23"/>
      <c r="RQF255" s="26"/>
      <c r="RQJ255" s="23"/>
      <c r="RQO255" s="26"/>
      <c r="RQS255" s="23"/>
      <c r="RQX255" s="26"/>
      <c r="RRB255" s="23"/>
      <c r="RRG255" s="26"/>
      <c r="RRK255" s="23"/>
      <c r="RRP255" s="26"/>
      <c r="RRT255" s="23"/>
      <c r="RRY255" s="26"/>
      <c r="RSC255" s="23"/>
      <c r="RSH255" s="26"/>
      <c r="RSL255" s="23"/>
      <c r="RSQ255" s="26"/>
      <c r="RSU255" s="23"/>
      <c r="RSZ255" s="26"/>
      <c r="RTD255" s="23"/>
      <c r="RTI255" s="26"/>
      <c r="RTM255" s="23"/>
      <c r="RTR255" s="26"/>
      <c r="RTV255" s="23"/>
      <c r="RUA255" s="26"/>
      <c r="RUE255" s="23"/>
      <c r="RUJ255" s="26"/>
      <c r="RUN255" s="23"/>
      <c r="RUS255" s="26"/>
      <c r="RUW255" s="23"/>
      <c r="RVB255" s="26"/>
      <c r="RVF255" s="23"/>
      <c r="RVK255" s="26"/>
      <c r="RVO255" s="23"/>
      <c r="RVT255" s="26"/>
      <c r="RVX255" s="23"/>
      <c r="RWC255" s="26"/>
      <c r="RWG255" s="23"/>
      <c r="RWL255" s="26"/>
      <c r="RWP255" s="23"/>
      <c r="RWU255" s="26"/>
      <c r="RWY255" s="23"/>
      <c r="RXD255" s="26"/>
      <c r="RXH255" s="23"/>
      <c r="RXM255" s="26"/>
      <c r="RXQ255" s="23"/>
      <c r="RXV255" s="26"/>
      <c r="RXZ255" s="23"/>
      <c r="RYE255" s="26"/>
      <c r="RYI255" s="23"/>
      <c r="RYN255" s="26"/>
      <c r="RYR255" s="23"/>
      <c r="RYW255" s="26"/>
      <c r="RZA255" s="23"/>
      <c r="RZF255" s="26"/>
      <c r="RZJ255" s="23"/>
      <c r="RZO255" s="26"/>
      <c r="RZS255" s="23"/>
      <c r="RZX255" s="26"/>
      <c r="SAB255" s="23"/>
      <c r="SAG255" s="26"/>
      <c r="SAK255" s="23"/>
      <c r="SAP255" s="26"/>
      <c r="SAT255" s="23"/>
      <c r="SAY255" s="26"/>
      <c r="SBC255" s="23"/>
      <c r="SBH255" s="26"/>
      <c r="SBL255" s="23"/>
      <c r="SBQ255" s="26"/>
      <c r="SBU255" s="23"/>
      <c r="SBZ255" s="26"/>
      <c r="SCD255" s="23"/>
      <c r="SCI255" s="26"/>
      <c r="SCM255" s="23"/>
      <c r="SCR255" s="26"/>
      <c r="SCV255" s="23"/>
      <c r="SDA255" s="26"/>
      <c r="SDE255" s="23"/>
      <c r="SDJ255" s="26"/>
      <c r="SDN255" s="23"/>
      <c r="SDS255" s="26"/>
      <c r="SDW255" s="23"/>
      <c r="SEB255" s="26"/>
      <c r="SEF255" s="23"/>
      <c r="SEK255" s="26"/>
      <c r="SEO255" s="23"/>
      <c r="SET255" s="26"/>
      <c r="SEX255" s="23"/>
      <c r="SFC255" s="26"/>
      <c r="SFG255" s="23"/>
      <c r="SFL255" s="26"/>
      <c r="SFP255" s="23"/>
      <c r="SFU255" s="26"/>
      <c r="SFY255" s="23"/>
      <c r="SGD255" s="26"/>
      <c r="SGH255" s="23"/>
      <c r="SGM255" s="26"/>
      <c r="SGQ255" s="23"/>
      <c r="SGV255" s="26"/>
      <c r="SGZ255" s="23"/>
      <c r="SHE255" s="26"/>
      <c r="SHI255" s="23"/>
      <c r="SHN255" s="26"/>
      <c r="SHR255" s="23"/>
      <c r="SHW255" s="26"/>
      <c r="SIA255" s="23"/>
      <c r="SIF255" s="26"/>
      <c r="SIJ255" s="23"/>
      <c r="SIO255" s="26"/>
      <c r="SIS255" s="23"/>
      <c r="SIX255" s="26"/>
      <c r="SJB255" s="23"/>
      <c r="SJG255" s="26"/>
      <c r="SJK255" s="23"/>
      <c r="SJP255" s="26"/>
      <c r="SJT255" s="23"/>
      <c r="SJY255" s="26"/>
      <c r="SKC255" s="23"/>
      <c r="SKH255" s="26"/>
      <c r="SKL255" s="23"/>
      <c r="SKQ255" s="26"/>
      <c r="SKU255" s="23"/>
      <c r="SKZ255" s="26"/>
      <c r="SLD255" s="23"/>
      <c r="SLI255" s="26"/>
      <c r="SLM255" s="23"/>
      <c r="SLR255" s="26"/>
      <c r="SLV255" s="23"/>
      <c r="SMA255" s="26"/>
      <c r="SME255" s="23"/>
      <c r="SMJ255" s="26"/>
      <c r="SMN255" s="23"/>
      <c r="SMS255" s="26"/>
      <c r="SMW255" s="23"/>
      <c r="SNB255" s="26"/>
      <c r="SNF255" s="23"/>
      <c r="SNK255" s="26"/>
      <c r="SNO255" s="23"/>
      <c r="SNT255" s="26"/>
      <c r="SNX255" s="23"/>
      <c r="SOC255" s="26"/>
      <c r="SOG255" s="23"/>
      <c r="SOL255" s="26"/>
      <c r="SOP255" s="23"/>
      <c r="SOU255" s="26"/>
      <c r="SOY255" s="23"/>
      <c r="SPD255" s="26"/>
      <c r="SPH255" s="23"/>
      <c r="SPM255" s="26"/>
      <c r="SPQ255" s="23"/>
      <c r="SPV255" s="26"/>
      <c r="SPZ255" s="23"/>
      <c r="SQE255" s="26"/>
      <c r="SQI255" s="23"/>
      <c r="SQN255" s="26"/>
      <c r="SQR255" s="23"/>
      <c r="SQW255" s="26"/>
      <c r="SRA255" s="23"/>
      <c r="SRF255" s="26"/>
      <c r="SRJ255" s="23"/>
      <c r="SRO255" s="26"/>
      <c r="SRS255" s="23"/>
      <c r="SRX255" s="26"/>
      <c r="SSB255" s="23"/>
      <c r="SSG255" s="26"/>
      <c r="SSK255" s="23"/>
      <c r="SSP255" s="26"/>
      <c r="SST255" s="23"/>
      <c r="SSY255" s="26"/>
      <c r="STC255" s="23"/>
      <c r="STH255" s="26"/>
      <c r="STL255" s="23"/>
      <c r="STQ255" s="26"/>
      <c r="STU255" s="23"/>
      <c r="STZ255" s="26"/>
      <c r="SUD255" s="23"/>
      <c r="SUI255" s="26"/>
      <c r="SUM255" s="23"/>
      <c r="SUR255" s="26"/>
      <c r="SUV255" s="23"/>
      <c r="SVA255" s="26"/>
      <c r="SVE255" s="23"/>
      <c r="SVJ255" s="26"/>
      <c r="SVN255" s="23"/>
      <c r="SVS255" s="26"/>
      <c r="SVW255" s="23"/>
      <c r="SWB255" s="26"/>
      <c r="SWF255" s="23"/>
      <c r="SWK255" s="26"/>
      <c r="SWO255" s="23"/>
      <c r="SWT255" s="26"/>
      <c r="SWX255" s="23"/>
      <c r="SXC255" s="26"/>
      <c r="SXG255" s="23"/>
      <c r="SXL255" s="26"/>
      <c r="SXP255" s="23"/>
      <c r="SXU255" s="26"/>
      <c r="SXY255" s="23"/>
      <c r="SYD255" s="26"/>
      <c r="SYH255" s="23"/>
      <c r="SYM255" s="26"/>
      <c r="SYQ255" s="23"/>
      <c r="SYV255" s="26"/>
      <c r="SYZ255" s="23"/>
      <c r="SZE255" s="26"/>
      <c r="SZI255" s="23"/>
      <c r="SZN255" s="26"/>
      <c r="SZR255" s="23"/>
      <c r="SZW255" s="26"/>
      <c r="TAA255" s="23"/>
      <c r="TAF255" s="26"/>
      <c r="TAJ255" s="23"/>
      <c r="TAO255" s="26"/>
      <c r="TAS255" s="23"/>
      <c r="TAX255" s="26"/>
      <c r="TBB255" s="23"/>
      <c r="TBG255" s="26"/>
      <c r="TBK255" s="23"/>
      <c r="TBP255" s="26"/>
      <c r="TBT255" s="23"/>
      <c r="TBY255" s="26"/>
      <c r="TCC255" s="23"/>
      <c r="TCH255" s="26"/>
      <c r="TCL255" s="23"/>
      <c r="TCQ255" s="26"/>
      <c r="TCU255" s="23"/>
      <c r="TCZ255" s="26"/>
      <c r="TDD255" s="23"/>
      <c r="TDI255" s="26"/>
      <c r="TDM255" s="23"/>
      <c r="TDR255" s="26"/>
      <c r="TDV255" s="23"/>
      <c r="TEA255" s="26"/>
      <c r="TEE255" s="23"/>
      <c r="TEJ255" s="26"/>
      <c r="TEN255" s="23"/>
      <c r="TES255" s="26"/>
      <c r="TEW255" s="23"/>
      <c r="TFB255" s="26"/>
      <c r="TFF255" s="23"/>
      <c r="TFK255" s="26"/>
      <c r="TFO255" s="23"/>
      <c r="TFT255" s="26"/>
      <c r="TFX255" s="23"/>
      <c r="TGC255" s="26"/>
      <c r="TGG255" s="23"/>
      <c r="TGL255" s="26"/>
      <c r="TGP255" s="23"/>
      <c r="TGU255" s="26"/>
      <c r="TGY255" s="23"/>
      <c r="THD255" s="26"/>
      <c r="THH255" s="23"/>
      <c r="THM255" s="26"/>
      <c r="THQ255" s="23"/>
      <c r="THV255" s="26"/>
      <c r="THZ255" s="23"/>
      <c r="TIE255" s="26"/>
      <c r="TII255" s="23"/>
      <c r="TIN255" s="26"/>
      <c r="TIR255" s="23"/>
      <c r="TIW255" s="26"/>
      <c r="TJA255" s="23"/>
      <c r="TJF255" s="26"/>
      <c r="TJJ255" s="23"/>
      <c r="TJO255" s="26"/>
      <c r="TJS255" s="23"/>
      <c r="TJX255" s="26"/>
      <c r="TKB255" s="23"/>
      <c r="TKG255" s="26"/>
      <c r="TKK255" s="23"/>
      <c r="TKP255" s="26"/>
      <c r="TKT255" s="23"/>
      <c r="TKY255" s="26"/>
      <c r="TLC255" s="23"/>
      <c r="TLH255" s="26"/>
      <c r="TLL255" s="23"/>
      <c r="TLQ255" s="26"/>
      <c r="TLU255" s="23"/>
      <c r="TLZ255" s="26"/>
      <c r="TMD255" s="23"/>
      <c r="TMI255" s="26"/>
      <c r="TMM255" s="23"/>
      <c r="TMR255" s="26"/>
      <c r="TMV255" s="23"/>
      <c r="TNA255" s="26"/>
      <c r="TNE255" s="23"/>
      <c r="TNJ255" s="26"/>
      <c r="TNN255" s="23"/>
      <c r="TNS255" s="26"/>
      <c r="TNW255" s="23"/>
      <c r="TOB255" s="26"/>
      <c r="TOF255" s="23"/>
      <c r="TOK255" s="26"/>
      <c r="TOO255" s="23"/>
      <c r="TOT255" s="26"/>
      <c r="TOX255" s="23"/>
      <c r="TPC255" s="26"/>
      <c r="TPG255" s="23"/>
      <c r="TPL255" s="26"/>
      <c r="TPP255" s="23"/>
      <c r="TPU255" s="26"/>
      <c r="TPY255" s="23"/>
      <c r="TQD255" s="26"/>
      <c r="TQH255" s="23"/>
      <c r="TQM255" s="26"/>
      <c r="TQQ255" s="23"/>
      <c r="TQV255" s="26"/>
      <c r="TQZ255" s="23"/>
      <c r="TRE255" s="26"/>
      <c r="TRI255" s="23"/>
      <c r="TRN255" s="26"/>
      <c r="TRR255" s="23"/>
      <c r="TRW255" s="26"/>
      <c r="TSA255" s="23"/>
      <c r="TSF255" s="26"/>
      <c r="TSJ255" s="23"/>
      <c r="TSO255" s="26"/>
      <c r="TSS255" s="23"/>
      <c r="TSX255" s="26"/>
      <c r="TTB255" s="23"/>
      <c r="TTG255" s="26"/>
      <c r="TTK255" s="23"/>
      <c r="TTP255" s="26"/>
      <c r="TTT255" s="23"/>
      <c r="TTY255" s="26"/>
      <c r="TUC255" s="23"/>
      <c r="TUH255" s="26"/>
      <c r="TUL255" s="23"/>
      <c r="TUQ255" s="26"/>
      <c r="TUU255" s="23"/>
      <c r="TUZ255" s="26"/>
      <c r="TVD255" s="23"/>
      <c r="TVI255" s="26"/>
      <c r="TVM255" s="23"/>
      <c r="TVR255" s="26"/>
      <c r="TVV255" s="23"/>
      <c r="TWA255" s="26"/>
      <c r="TWE255" s="23"/>
      <c r="TWJ255" s="26"/>
      <c r="TWN255" s="23"/>
      <c r="TWS255" s="26"/>
      <c r="TWW255" s="23"/>
      <c r="TXB255" s="26"/>
      <c r="TXF255" s="23"/>
      <c r="TXK255" s="26"/>
      <c r="TXO255" s="23"/>
      <c r="TXT255" s="26"/>
      <c r="TXX255" s="23"/>
      <c r="TYC255" s="26"/>
      <c r="TYG255" s="23"/>
      <c r="TYL255" s="26"/>
      <c r="TYP255" s="23"/>
      <c r="TYU255" s="26"/>
      <c r="TYY255" s="23"/>
      <c r="TZD255" s="26"/>
      <c r="TZH255" s="23"/>
      <c r="TZM255" s="26"/>
      <c r="TZQ255" s="23"/>
      <c r="TZV255" s="26"/>
      <c r="TZZ255" s="23"/>
      <c r="UAE255" s="26"/>
      <c r="UAI255" s="23"/>
      <c r="UAN255" s="26"/>
      <c r="UAR255" s="23"/>
      <c r="UAW255" s="26"/>
      <c r="UBA255" s="23"/>
      <c r="UBF255" s="26"/>
      <c r="UBJ255" s="23"/>
      <c r="UBO255" s="26"/>
      <c r="UBS255" s="23"/>
      <c r="UBX255" s="26"/>
      <c r="UCB255" s="23"/>
      <c r="UCG255" s="26"/>
      <c r="UCK255" s="23"/>
      <c r="UCP255" s="26"/>
      <c r="UCT255" s="23"/>
      <c r="UCY255" s="26"/>
      <c r="UDC255" s="23"/>
      <c r="UDH255" s="26"/>
      <c r="UDL255" s="23"/>
      <c r="UDQ255" s="26"/>
      <c r="UDU255" s="23"/>
      <c r="UDZ255" s="26"/>
      <c r="UED255" s="23"/>
      <c r="UEI255" s="26"/>
      <c r="UEM255" s="23"/>
      <c r="UER255" s="26"/>
      <c r="UEV255" s="23"/>
      <c r="UFA255" s="26"/>
      <c r="UFE255" s="23"/>
      <c r="UFJ255" s="26"/>
      <c r="UFN255" s="23"/>
      <c r="UFS255" s="26"/>
      <c r="UFW255" s="23"/>
      <c r="UGB255" s="26"/>
      <c r="UGF255" s="23"/>
      <c r="UGK255" s="26"/>
      <c r="UGO255" s="23"/>
      <c r="UGT255" s="26"/>
      <c r="UGX255" s="23"/>
      <c r="UHC255" s="26"/>
      <c r="UHG255" s="23"/>
      <c r="UHL255" s="26"/>
      <c r="UHP255" s="23"/>
      <c r="UHU255" s="26"/>
      <c r="UHY255" s="23"/>
      <c r="UID255" s="26"/>
      <c r="UIH255" s="23"/>
      <c r="UIM255" s="26"/>
      <c r="UIQ255" s="23"/>
      <c r="UIV255" s="26"/>
      <c r="UIZ255" s="23"/>
      <c r="UJE255" s="26"/>
      <c r="UJI255" s="23"/>
      <c r="UJN255" s="26"/>
      <c r="UJR255" s="23"/>
      <c r="UJW255" s="26"/>
      <c r="UKA255" s="23"/>
      <c r="UKF255" s="26"/>
      <c r="UKJ255" s="23"/>
      <c r="UKO255" s="26"/>
      <c r="UKS255" s="23"/>
      <c r="UKX255" s="26"/>
      <c r="ULB255" s="23"/>
      <c r="ULG255" s="26"/>
      <c r="ULK255" s="23"/>
      <c r="ULP255" s="26"/>
      <c r="ULT255" s="23"/>
      <c r="ULY255" s="26"/>
      <c r="UMC255" s="23"/>
      <c r="UMH255" s="26"/>
      <c r="UML255" s="23"/>
      <c r="UMQ255" s="26"/>
      <c r="UMU255" s="23"/>
      <c r="UMZ255" s="26"/>
      <c r="UND255" s="23"/>
      <c r="UNI255" s="26"/>
      <c r="UNM255" s="23"/>
      <c r="UNR255" s="26"/>
      <c r="UNV255" s="23"/>
      <c r="UOA255" s="26"/>
      <c r="UOE255" s="23"/>
      <c r="UOJ255" s="26"/>
      <c r="UON255" s="23"/>
      <c r="UOS255" s="26"/>
      <c r="UOW255" s="23"/>
      <c r="UPB255" s="26"/>
      <c r="UPF255" s="23"/>
      <c r="UPK255" s="26"/>
      <c r="UPO255" s="23"/>
      <c r="UPT255" s="26"/>
      <c r="UPX255" s="23"/>
      <c r="UQC255" s="26"/>
      <c r="UQG255" s="23"/>
      <c r="UQL255" s="26"/>
      <c r="UQP255" s="23"/>
      <c r="UQU255" s="26"/>
      <c r="UQY255" s="23"/>
      <c r="URD255" s="26"/>
      <c r="URH255" s="23"/>
      <c r="URM255" s="26"/>
      <c r="URQ255" s="23"/>
      <c r="URV255" s="26"/>
      <c r="URZ255" s="23"/>
      <c r="USE255" s="26"/>
      <c r="USI255" s="23"/>
      <c r="USN255" s="26"/>
      <c r="USR255" s="23"/>
      <c r="USW255" s="26"/>
      <c r="UTA255" s="23"/>
      <c r="UTF255" s="26"/>
      <c r="UTJ255" s="23"/>
      <c r="UTO255" s="26"/>
      <c r="UTS255" s="23"/>
      <c r="UTX255" s="26"/>
      <c r="UUB255" s="23"/>
      <c r="UUG255" s="26"/>
      <c r="UUK255" s="23"/>
      <c r="UUP255" s="26"/>
      <c r="UUT255" s="23"/>
      <c r="UUY255" s="26"/>
      <c r="UVC255" s="23"/>
      <c r="UVH255" s="26"/>
      <c r="UVL255" s="23"/>
      <c r="UVQ255" s="26"/>
      <c r="UVU255" s="23"/>
      <c r="UVZ255" s="26"/>
      <c r="UWD255" s="23"/>
      <c r="UWI255" s="26"/>
      <c r="UWM255" s="23"/>
      <c r="UWR255" s="26"/>
      <c r="UWV255" s="23"/>
      <c r="UXA255" s="26"/>
      <c r="UXE255" s="23"/>
      <c r="UXJ255" s="26"/>
      <c r="UXN255" s="23"/>
      <c r="UXS255" s="26"/>
      <c r="UXW255" s="23"/>
      <c r="UYB255" s="26"/>
      <c r="UYF255" s="23"/>
      <c r="UYK255" s="26"/>
      <c r="UYO255" s="23"/>
      <c r="UYT255" s="26"/>
      <c r="UYX255" s="23"/>
      <c r="UZC255" s="26"/>
      <c r="UZG255" s="23"/>
      <c r="UZL255" s="26"/>
      <c r="UZP255" s="23"/>
      <c r="UZU255" s="26"/>
      <c r="UZY255" s="23"/>
      <c r="VAD255" s="26"/>
      <c r="VAH255" s="23"/>
      <c r="VAM255" s="26"/>
      <c r="VAQ255" s="23"/>
      <c r="VAV255" s="26"/>
      <c r="VAZ255" s="23"/>
      <c r="VBE255" s="26"/>
      <c r="VBI255" s="23"/>
      <c r="VBN255" s="26"/>
      <c r="VBR255" s="23"/>
      <c r="VBW255" s="26"/>
      <c r="VCA255" s="23"/>
      <c r="VCF255" s="26"/>
      <c r="VCJ255" s="23"/>
      <c r="VCO255" s="26"/>
      <c r="VCS255" s="23"/>
      <c r="VCX255" s="26"/>
      <c r="VDB255" s="23"/>
      <c r="VDG255" s="26"/>
      <c r="VDK255" s="23"/>
      <c r="VDP255" s="26"/>
      <c r="VDT255" s="23"/>
      <c r="VDY255" s="26"/>
      <c r="VEC255" s="23"/>
      <c r="VEH255" s="26"/>
      <c r="VEL255" s="23"/>
      <c r="VEQ255" s="26"/>
      <c r="VEU255" s="23"/>
      <c r="VEZ255" s="26"/>
      <c r="VFD255" s="23"/>
      <c r="VFI255" s="26"/>
      <c r="VFM255" s="23"/>
      <c r="VFR255" s="26"/>
      <c r="VFV255" s="23"/>
      <c r="VGA255" s="26"/>
      <c r="VGE255" s="23"/>
      <c r="VGJ255" s="26"/>
      <c r="VGN255" s="23"/>
      <c r="VGS255" s="26"/>
      <c r="VGW255" s="23"/>
      <c r="VHB255" s="26"/>
      <c r="VHF255" s="23"/>
      <c r="VHK255" s="26"/>
      <c r="VHO255" s="23"/>
      <c r="VHT255" s="26"/>
      <c r="VHX255" s="23"/>
      <c r="VIC255" s="26"/>
      <c r="VIG255" s="23"/>
      <c r="VIL255" s="26"/>
      <c r="VIP255" s="23"/>
      <c r="VIU255" s="26"/>
      <c r="VIY255" s="23"/>
      <c r="VJD255" s="26"/>
      <c r="VJH255" s="23"/>
      <c r="VJM255" s="26"/>
      <c r="VJQ255" s="23"/>
      <c r="VJV255" s="26"/>
      <c r="VJZ255" s="23"/>
      <c r="VKE255" s="26"/>
      <c r="VKI255" s="23"/>
      <c r="VKN255" s="26"/>
      <c r="VKR255" s="23"/>
      <c r="VKW255" s="26"/>
      <c r="VLA255" s="23"/>
      <c r="VLF255" s="26"/>
      <c r="VLJ255" s="23"/>
      <c r="VLO255" s="26"/>
      <c r="VLS255" s="23"/>
      <c r="VLX255" s="26"/>
      <c r="VMB255" s="23"/>
      <c r="VMG255" s="26"/>
      <c r="VMK255" s="23"/>
      <c r="VMP255" s="26"/>
      <c r="VMT255" s="23"/>
      <c r="VMY255" s="26"/>
      <c r="VNC255" s="23"/>
      <c r="VNH255" s="26"/>
      <c r="VNL255" s="23"/>
      <c r="VNQ255" s="26"/>
      <c r="VNU255" s="23"/>
      <c r="VNZ255" s="26"/>
      <c r="VOD255" s="23"/>
      <c r="VOI255" s="26"/>
      <c r="VOM255" s="23"/>
      <c r="VOR255" s="26"/>
      <c r="VOV255" s="23"/>
      <c r="VPA255" s="26"/>
      <c r="VPE255" s="23"/>
      <c r="VPJ255" s="26"/>
      <c r="VPN255" s="23"/>
      <c r="VPS255" s="26"/>
      <c r="VPW255" s="23"/>
      <c r="VQB255" s="26"/>
      <c r="VQF255" s="23"/>
      <c r="VQK255" s="26"/>
      <c r="VQO255" s="23"/>
      <c r="VQT255" s="26"/>
      <c r="VQX255" s="23"/>
      <c r="VRC255" s="26"/>
      <c r="VRG255" s="23"/>
      <c r="VRL255" s="26"/>
      <c r="VRP255" s="23"/>
      <c r="VRU255" s="26"/>
      <c r="VRY255" s="23"/>
      <c r="VSD255" s="26"/>
      <c r="VSH255" s="23"/>
      <c r="VSM255" s="26"/>
      <c r="VSQ255" s="23"/>
      <c r="VSV255" s="26"/>
      <c r="VSZ255" s="23"/>
      <c r="VTE255" s="26"/>
      <c r="VTI255" s="23"/>
      <c r="VTN255" s="26"/>
      <c r="VTR255" s="23"/>
      <c r="VTW255" s="26"/>
      <c r="VUA255" s="23"/>
      <c r="VUF255" s="26"/>
      <c r="VUJ255" s="23"/>
      <c r="VUO255" s="26"/>
      <c r="VUS255" s="23"/>
      <c r="VUX255" s="26"/>
      <c r="VVB255" s="23"/>
      <c r="VVG255" s="26"/>
      <c r="VVK255" s="23"/>
      <c r="VVP255" s="26"/>
      <c r="VVT255" s="23"/>
      <c r="VVY255" s="26"/>
      <c r="VWC255" s="23"/>
      <c r="VWH255" s="26"/>
      <c r="VWL255" s="23"/>
      <c r="VWQ255" s="26"/>
      <c r="VWU255" s="23"/>
      <c r="VWZ255" s="26"/>
      <c r="VXD255" s="23"/>
      <c r="VXI255" s="26"/>
      <c r="VXM255" s="23"/>
      <c r="VXR255" s="26"/>
      <c r="VXV255" s="23"/>
      <c r="VYA255" s="26"/>
      <c r="VYE255" s="23"/>
      <c r="VYJ255" s="26"/>
      <c r="VYN255" s="23"/>
      <c r="VYS255" s="26"/>
      <c r="VYW255" s="23"/>
      <c r="VZB255" s="26"/>
      <c r="VZF255" s="23"/>
      <c r="VZK255" s="26"/>
      <c r="VZO255" s="23"/>
      <c r="VZT255" s="26"/>
      <c r="VZX255" s="23"/>
      <c r="WAC255" s="26"/>
      <c r="WAG255" s="23"/>
      <c r="WAL255" s="26"/>
      <c r="WAP255" s="23"/>
      <c r="WAU255" s="26"/>
      <c r="WAY255" s="23"/>
      <c r="WBD255" s="26"/>
      <c r="WBH255" s="23"/>
      <c r="WBM255" s="26"/>
      <c r="WBQ255" s="23"/>
      <c r="WBV255" s="26"/>
      <c r="WBZ255" s="23"/>
      <c r="WCE255" s="26"/>
      <c r="WCI255" s="23"/>
      <c r="WCN255" s="26"/>
      <c r="WCR255" s="23"/>
      <c r="WCW255" s="26"/>
      <c r="WDA255" s="23"/>
      <c r="WDF255" s="26"/>
      <c r="WDJ255" s="23"/>
      <c r="WDO255" s="26"/>
      <c r="WDS255" s="23"/>
      <c r="WDX255" s="26"/>
      <c r="WEB255" s="23"/>
      <c r="WEG255" s="26"/>
      <c r="WEK255" s="23"/>
      <c r="WEP255" s="26"/>
      <c r="WET255" s="23"/>
      <c r="WEY255" s="26"/>
      <c r="WFC255" s="23"/>
      <c r="WFH255" s="26"/>
      <c r="WFL255" s="23"/>
      <c r="WFQ255" s="26"/>
      <c r="WFU255" s="23"/>
      <c r="WFZ255" s="26"/>
      <c r="WGD255" s="23"/>
      <c r="WGI255" s="26"/>
      <c r="WGM255" s="23"/>
      <c r="WGR255" s="26"/>
      <c r="WGV255" s="23"/>
      <c r="WHA255" s="26"/>
      <c r="WHE255" s="23"/>
      <c r="WHJ255" s="26"/>
      <c r="WHN255" s="23"/>
      <c r="WHS255" s="26"/>
      <c r="WHW255" s="23"/>
      <c r="WIB255" s="26"/>
      <c r="WIF255" s="23"/>
      <c r="WIK255" s="26"/>
      <c r="WIO255" s="23"/>
      <c r="WIT255" s="26"/>
      <c r="WIX255" s="23"/>
      <c r="WJC255" s="26"/>
      <c r="WJG255" s="23"/>
      <c r="WJL255" s="26"/>
      <c r="WJP255" s="23"/>
      <c r="WJU255" s="26"/>
      <c r="WJY255" s="23"/>
      <c r="WKD255" s="26"/>
      <c r="WKH255" s="23"/>
      <c r="WKM255" s="26"/>
      <c r="WKQ255" s="23"/>
      <c r="WKV255" s="26"/>
      <c r="WKZ255" s="23"/>
      <c r="WLE255" s="26"/>
      <c r="WLI255" s="23"/>
      <c r="WLN255" s="26"/>
      <c r="WLR255" s="23"/>
      <c r="WLW255" s="26"/>
      <c r="WMA255" s="23"/>
      <c r="WMF255" s="26"/>
      <c r="WMJ255" s="23"/>
      <c r="WMO255" s="26"/>
      <c r="WMS255" s="23"/>
      <c r="WMX255" s="26"/>
      <c r="WNB255" s="23"/>
      <c r="WNG255" s="26"/>
      <c r="WNK255" s="23"/>
      <c r="WNP255" s="26"/>
      <c r="WNT255" s="23"/>
      <c r="WNY255" s="26"/>
      <c r="WOC255" s="23"/>
      <c r="WOH255" s="26"/>
      <c r="WOL255" s="23"/>
      <c r="WOQ255" s="26"/>
      <c r="WOU255" s="23"/>
      <c r="WOZ255" s="26"/>
      <c r="WPD255" s="23"/>
      <c r="WPI255" s="26"/>
      <c r="WPM255" s="23"/>
      <c r="WPR255" s="26"/>
      <c r="WPV255" s="23"/>
      <c r="WQA255" s="26"/>
      <c r="WQE255" s="23"/>
      <c r="WQJ255" s="26"/>
      <c r="WQN255" s="23"/>
      <c r="WQS255" s="26"/>
      <c r="WQW255" s="23"/>
      <c r="WRB255" s="26"/>
      <c r="WRF255" s="23"/>
      <c r="WRK255" s="26"/>
      <c r="WRO255" s="23"/>
      <c r="WRT255" s="26"/>
      <c r="WRX255" s="23"/>
      <c r="WSC255" s="26"/>
      <c r="WSG255" s="23"/>
      <c r="WSL255" s="26"/>
      <c r="WSP255" s="23"/>
      <c r="WSU255" s="26"/>
      <c r="WSY255" s="23"/>
      <c r="WTD255" s="26"/>
      <c r="WTH255" s="23"/>
      <c r="WTM255" s="26"/>
      <c r="WTQ255" s="23"/>
      <c r="WTV255" s="26"/>
      <c r="WTZ255" s="23"/>
      <c r="WUE255" s="26"/>
      <c r="WUI255" s="23"/>
      <c r="WUN255" s="26"/>
      <c r="WUR255" s="23"/>
      <c r="WUW255" s="26"/>
      <c r="WVA255" s="23"/>
      <c r="WVF255" s="26"/>
      <c r="WVJ255" s="23"/>
      <c r="WVO255" s="26"/>
      <c r="WVS255" s="23"/>
      <c r="WVX255" s="26"/>
      <c r="WWB255" s="23"/>
      <c r="WWG255" s="26"/>
      <c r="WWK255" s="23"/>
      <c r="WWP255" s="26"/>
      <c r="WWT255" s="23"/>
      <c r="WWY255" s="26"/>
      <c r="WXC255" s="23"/>
      <c r="WXH255" s="26"/>
      <c r="WXL255" s="23"/>
      <c r="WXQ255" s="26"/>
      <c r="WXU255" s="23"/>
      <c r="WXZ255" s="26"/>
      <c r="WYD255" s="23"/>
      <c r="WYI255" s="26"/>
      <c r="WYM255" s="23"/>
      <c r="WYR255" s="26"/>
      <c r="WYV255" s="23"/>
      <c r="WZA255" s="26"/>
      <c r="WZE255" s="23"/>
      <c r="WZJ255" s="26"/>
      <c r="WZN255" s="23"/>
      <c r="WZS255" s="26"/>
      <c r="WZW255" s="23"/>
      <c r="XAB255" s="26"/>
      <c r="XAF255" s="23"/>
      <c r="XAK255" s="26"/>
      <c r="XAO255" s="23"/>
      <c r="XAT255" s="26"/>
      <c r="XAX255" s="23"/>
      <c r="XBC255" s="26"/>
      <c r="XBG255" s="23"/>
      <c r="XBL255" s="26"/>
      <c r="XBP255" s="23"/>
      <c r="XBU255" s="26"/>
      <c r="XBY255" s="23"/>
      <c r="XCD255" s="26"/>
      <c r="XCH255" s="23"/>
      <c r="XCM255" s="26"/>
      <c r="XCQ255" s="23"/>
      <c r="XCV255" s="26"/>
      <c r="XCZ255" s="23"/>
      <c r="XDE255" s="26"/>
      <c r="XDI255" s="23"/>
      <c r="XDN255" s="26"/>
      <c r="XDR255" s="23"/>
      <c r="XDW255" s="26"/>
      <c r="XEA255" s="23"/>
      <c r="XEF255" s="26"/>
      <c r="XEJ255" s="23"/>
      <c r="XEO255" s="26"/>
      <c r="XES255" s="23"/>
      <c r="XEX255" s="26"/>
      <c r="XFB255" s="23"/>
    </row>
    <row r="256" spans="2:1024 1028:2045 2050:3071 3076:4093 4097:5119 5123:6140 6145:7166 7171:8192 8197:9214 9218:10240 10244:11261 11266:12287 12292:13309 13313:14335 14339:15356 15361:16382" x14ac:dyDescent="0.3">
      <c r="B256" s="23"/>
      <c r="K256" s="23"/>
      <c r="P256" s="26"/>
      <c r="T256" s="23"/>
      <c r="Y256" s="26"/>
      <c r="AC256" s="23"/>
      <c r="AH256" s="26"/>
      <c r="AL256" s="23"/>
      <c r="AQ256" s="26"/>
      <c r="AU256" s="23"/>
      <c r="AZ256" s="26"/>
      <c r="BD256" s="23"/>
      <c r="BI256" s="26"/>
      <c r="BM256" s="23"/>
      <c r="BR256" s="26"/>
      <c r="BV256" s="23"/>
      <c r="CA256" s="26"/>
      <c r="CE256" s="23"/>
      <c r="CJ256" s="26"/>
      <c r="CN256" s="23"/>
      <c r="CS256" s="26"/>
      <c r="CW256" s="23"/>
      <c r="DB256" s="26"/>
      <c r="DF256" s="23"/>
      <c r="DK256" s="26"/>
      <c r="DO256" s="23"/>
      <c r="DT256" s="26"/>
      <c r="DX256" s="23"/>
      <c r="EC256" s="26"/>
      <c r="EG256" s="23"/>
      <c r="EL256" s="26"/>
      <c r="EP256" s="23"/>
      <c r="EU256" s="26"/>
      <c r="EY256" s="23"/>
      <c r="FD256" s="26"/>
      <c r="FH256" s="23"/>
      <c r="FM256" s="26"/>
      <c r="FQ256" s="23"/>
      <c r="FV256" s="26"/>
      <c r="FZ256" s="23"/>
      <c r="GE256" s="26"/>
      <c r="GI256" s="23"/>
      <c r="GN256" s="26"/>
      <c r="GR256" s="23"/>
      <c r="GW256" s="26"/>
      <c r="HA256" s="23"/>
      <c r="HF256" s="26"/>
      <c r="HJ256" s="23"/>
      <c r="HO256" s="26"/>
      <c r="HS256" s="23"/>
      <c r="HX256" s="26"/>
      <c r="IB256" s="23"/>
      <c r="IG256" s="26"/>
      <c r="IK256" s="23"/>
      <c r="IP256" s="26"/>
      <c r="IT256" s="23"/>
      <c r="IY256" s="26"/>
      <c r="JC256" s="23"/>
      <c r="JH256" s="26"/>
      <c r="JL256" s="23"/>
      <c r="JQ256" s="26"/>
      <c r="JU256" s="23"/>
      <c r="JZ256" s="26"/>
      <c r="KD256" s="23"/>
      <c r="KI256" s="26"/>
      <c r="KM256" s="23"/>
      <c r="KR256" s="26"/>
      <c r="KV256" s="23"/>
      <c r="LA256" s="26"/>
      <c r="LE256" s="23"/>
      <c r="LJ256" s="26"/>
      <c r="LN256" s="23"/>
      <c r="LS256" s="26"/>
      <c r="LW256" s="23"/>
      <c r="MB256" s="26"/>
      <c r="MF256" s="23"/>
      <c r="MK256" s="26"/>
      <c r="MO256" s="23"/>
      <c r="MT256" s="26"/>
      <c r="MX256" s="23"/>
      <c r="NC256" s="26"/>
      <c r="NG256" s="23"/>
      <c r="NL256" s="26"/>
      <c r="NP256" s="23"/>
      <c r="NU256" s="26"/>
      <c r="NY256" s="23"/>
      <c r="OD256" s="26"/>
      <c r="OH256" s="23"/>
      <c r="OM256" s="26"/>
      <c r="OQ256" s="23"/>
      <c r="OV256" s="26"/>
      <c r="OZ256" s="23"/>
      <c r="PE256" s="26"/>
      <c r="PI256" s="23"/>
      <c r="PN256" s="26"/>
      <c r="PR256" s="23"/>
      <c r="PW256" s="26"/>
      <c r="QA256" s="23"/>
      <c r="QF256" s="26"/>
      <c r="QJ256" s="23"/>
      <c r="QO256" s="26"/>
      <c r="QS256" s="23"/>
      <c r="QX256" s="26"/>
      <c r="RB256" s="23"/>
      <c r="RG256" s="26"/>
      <c r="RK256" s="23"/>
      <c r="RP256" s="26"/>
      <c r="RT256" s="23"/>
      <c r="RY256" s="26"/>
      <c r="SC256" s="23"/>
      <c r="SH256" s="26"/>
      <c r="SL256" s="23"/>
      <c r="SQ256" s="26"/>
      <c r="SU256" s="23"/>
      <c r="SZ256" s="26"/>
      <c r="TD256" s="23"/>
      <c r="TI256" s="26"/>
      <c r="TM256" s="23"/>
      <c r="TR256" s="26"/>
      <c r="TV256" s="23"/>
      <c r="UA256" s="26"/>
      <c r="UE256" s="23"/>
      <c r="UJ256" s="26"/>
      <c r="UN256" s="23"/>
      <c r="US256" s="26"/>
      <c r="UW256" s="23"/>
      <c r="VB256" s="26"/>
      <c r="VF256" s="23"/>
      <c r="VK256" s="26"/>
      <c r="VO256" s="23"/>
      <c r="VT256" s="26"/>
      <c r="VX256" s="23"/>
      <c r="WC256" s="26"/>
      <c r="WG256" s="23"/>
      <c r="WL256" s="26"/>
      <c r="WP256" s="23"/>
      <c r="WU256" s="26"/>
      <c r="WY256" s="23"/>
      <c r="XD256" s="26"/>
      <c r="XH256" s="23"/>
      <c r="XM256" s="26"/>
      <c r="XQ256" s="23"/>
      <c r="XV256" s="26"/>
      <c r="XZ256" s="23"/>
      <c r="YE256" s="26"/>
      <c r="YI256" s="23"/>
      <c r="YN256" s="26"/>
      <c r="YR256" s="23"/>
      <c r="YW256" s="26"/>
      <c r="ZA256" s="23"/>
      <c r="ZF256" s="26"/>
      <c r="ZJ256" s="23"/>
      <c r="ZO256" s="26"/>
      <c r="ZS256" s="23"/>
      <c r="ZX256" s="26"/>
      <c r="AAB256" s="23"/>
      <c r="AAG256" s="26"/>
      <c r="AAK256" s="23"/>
      <c r="AAP256" s="26"/>
      <c r="AAT256" s="23"/>
      <c r="AAY256" s="26"/>
      <c r="ABC256" s="23"/>
      <c r="ABH256" s="26"/>
      <c r="ABL256" s="23"/>
      <c r="ABQ256" s="26"/>
      <c r="ABU256" s="23"/>
      <c r="ABZ256" s="26"/>
      <c r="ACD256" s="23"/>
      <c r="ACI256" s="26"/>
      <c r="ACM256" s="23"/>
      <c r="ACR256" s="26"/>
      <c r="ACV256" s="23"/>
      <c r="ADA256" s="26"/>
      <c r="ADE256" s="23"/>
      <c r="ADJ256" s="26"/>
      <c r="ADN256" s="23"/>
      <c r="ADS256" s="26"/>
      <c r="ADW256" s="23"/>
      <c r="AEB256" s="26"/>
      <c r="AEF256" s="23"/>
      <c r="AEK256" s="26"/>
      <c r="AEO256" s="23"/>
      <c r="AET256" s="26"/>
      <c r="AEX256" s="23"/>
      <c r="AFC256" s="26"/>
      <c r="AFG256" s="23"/>
      <c r="AFL256" s="26"/>
      <c r="AFP256" s="23"/>
      <c r="AFU256" s="26"/>
      <c r="AFY256" s="23"/>
      <c r="AGD256" s="26"/>
      <c r="AGH256" s="23"/>
      <c r="AGM256" s="26"/>
      <c r="AGQ256" s="23"/>
      <c r="AGV256" s="26"/>
      <c r="AGZ256" s="23"/>
      <c r="AHE256" s="26"/>
      <c r="AHI256" s="23"/>
      <c r="AHN256" s="26"/>
      <c r="AHR256" s="23"/>
      <c r="AHW256" s="26"/>
      <c r="AIA256" s="23"/>
      <c r="AIF256" s="26"/>
      <c r="AIJ256" s="23"/>
      <c r="AIO256" s="26"/>
      <c r="AIS256" s="23"/>
      <c r="AIX256" s="26"/>
      <c r="AJB256" s="23"/>
      <c r="AJG256" s="26"/>
      <c r="AJK256" s="23"/>
      <c r="AJP256" s="26"/>
      <c r="AJT256" s="23"/>
      <c r="AJY256" s="26"/>
      <c r="AKC256" s="23"/>
      <c r="AKH256" s="26"/>
      <c r="AKL256" s="23"/>
      <c r="AKQ256" s="26"/>
      <c r="AKU256" s="23"/>
      <c r="AKZ256" s="26"/>
      <c r="ALD256" s="23"/>
      <c r="ALI256" s="26"/>
      <c r="ALM256" s="23"/>
      <c r="ALR256" s="26"/>
      <c r="ALV256" s="23"/>
      <c r="AMA256" s="26"/>
      <c r="AME256" s="23"/>
      <c r="AMJ256" s="26"/>
      <c r="AMN256" s="23"/>
      <c r="AMS256" s="26"/>
      <c r="AMW256" s="23"/>
      <c r="ANB256" s="26"/>
      <c r="ANF256" s="23"/>
      <c r="ANK256" s="26"/>
      <c r="ANO256" s="23"/>
      <c r="ANT256" s="26"/>
      <c r="ANX256" s="23"/>
      <c r="AOC256" s="26"/>
      <c r="AOG256" s="23"/>
      <c r="AOL256" s="26"/>
      <c r="AOP256" s="23"/>
      <c r="AOU256" s="26"/>
      <c r="AOY256" s="23"/>
      <c r="APD256" s="26"/>
      <c r="APH256" s="23"/>
      <c r="APM256" s="26"/>
      <c r="APQ256" s="23"/>
      <c r="APV256" s="26"/>
      <c r="APZ256" s="23"/>
      <c r="AQE256" s="26"/>
      <c r="AQI256" s="23"/>
      <c r="AQN256" s="26"/>
      <c r="AQR256" s="23"/>
      <c r="AQW256" s="26"/>
      <c r="ARA256" s="23"/>
      <c r="ARF256" s="26"/>
      <c r="ARJ256" s="23"/>
      <c r="ARO256" s="26"/>
      <c r="ARS256" s="23"/>
      <c r="ARX256" s="26"/>
      <c r="ASB256" s="23"/>
      <c r="ASG256" s="26"/>
      <c r="ASK256" s="23"/>
      <c r="ASP256" s="26"/>
      <c r="AST256" s="23"/>
      <c r="ASY256" s="26"/>
      <c r="ATC256" s="23"/>
      <c r="ATH256" s="26"/>
      <c r="ATL256" s="23"/>
      <c r="ATQ256" s="26"/>
      <c r="ATU256" s="23"/>
      <c r="ATZ256" s="26"/>
      <c r="AUD256" s="23"/>
      <c r="AUI256" s="26"/>
      <c r="AUM256" s="23"/>
      <c r="AUR256" s="26"/>
      <c r="AUV256" s="23"/>
      <c r="AVA256" s="26"/>
      <c r="AVE256" s="23"/>
      <c r="AVJ256" s="26"/>
      <c r="AVN256" s="23"/>
      <c r="AVS256" s="26"/>
      <c r="AVW256" s="23"/>
      <c r="AWB256" s="26"/>
      <c r="AWF256" s="23"/>
      <c r="AWK256" s="26"/>
      <c r="AWO256" s="23"/>
      <c r="AWT256" s="26"/>
      <c r="AWX256" s="23"/>
      <c r="AXC256" s="26"/>
      <c r="AXG256" s="23"/>
      <c r="AXL256" s="26"/>
      <c r="AXP256" s="23"/>
      <c r="AXU256" s="26"/>
      <c r="AXY256" s="23"/>
      <c r="AYD256" s="26"/>
      <c r="AYH256" s="23"/>
      <c r="AYM256" s="26"/>
      <c r="AYQ256" s="23"/>
      <c r="AYV256" s="26"/>
      <c r="AYZ256" s="23"/>
      <c r="AZE256" s="26"/>
      <c r="AZI256" s="23"/>
      <c r="AZN256" s="26"/>
      <c r="AZR256" s="23"/>
      <c r="AZW256" s="26"/>
      <c r="BAA256" s="23"/>
      <c r="BAF256" s="26"/>
      <c r="BAJ256" s="23"/>
      <c r="BAO256" s="26"/>
      <c r="BAS256" s="23"/>
      <c r="BAX256" s="26"/>
      <c r="BBB256" s="23"/>
      <c r="BBG256" s="26"/>
      <c r="BBK256" s="23"/>
      <c r="BBP256" s="26"/>
      <c r="BBT256" s="23"/>
      <c r="BBY256" s="26"/>
      <c r="BCC256" s="23"/>
      <c r="BCH256" s="26"/>
      <c r="BCL256" s="23"/>
      <c r="BCQ256" s="26"/>
      <c r="BCU256" s="23"/>
      <c r="BCZ256" s="26"/>
      <c r="BDD256" s="23"/>
      <c r="BDI256" s="26"/>
      <c r="BDM256" s="23"/>
      <c r="BDR256" s="26"/>
      <c r="BDV256" s="23"/>
      <c r="BEA256" s="26"/>
      <c r="BEE256" s="23"/>
      <c r="BEJ256" s="26"/>
      <c r="BEN256" s="23"/>
      <c r="BES256" s="26"/>
      <c r="BEW256" s="23"/>
      <c r="BFB256" s="26"/>
      <c r="BFF256" s="23"/>
      <c r="BFK256" s="26"/>
      <c r="BFO256" s="23"/>
      <c r="BFT256" s="26"/>
      <c r="BFX256" s="23"/>
      <c r="BGC256" s="26"/>
      <c r="BGG256" s="23"/>
      <c r="BGL256" s="26"/>
      <c r="BGP256" s="23"/>
      <c r="BGU256" s="26"/>
      <c r="BGY256" s="23"/>
      <c r="BHD256" s="26"/>
      <c r="BHH256" s="23"/>
      <c r="BHM256" s="26"/>
      <c r="BHQ256" s="23"/>
      <c r="BHV256" s="26"/>
      <c r="BHZ256" s="23"/>
      <c r="BIE256" s="26"/>
      <c r="BII256" s="23"/>
      <c r="BIN256" s="26"/>
      <c r="BIR256" s="23"/>
      <c r="BIW256" s="26"/>
      <c r="BJA256" s="23"/>
      <c r="BJF256" s="26"/>
      <c r="BJJ256" s="23"/>
      <c r="BJO256" s="26"/>
      <c r="BJS256" s="23"/>
      <c r="BJX256" s="26"/>
      <c r="BKB256" s="23"/>
      <c r="BKG256" s="26"/>
      <c r="BKK256" s="23"/>
      <c r="BKP256" s="26"/>
      <c r="BKT256" s="23"/>
      <c r="BKY256" s="26"/>
      <c r="BLC256" s="23"/>
      <c r="BLH256" s="26"/>
      <c r="BLL256" s="23"/>
      <c r="BLQ256" s="26"/>
      <c r="BLU256" s="23"/>
      <c r="BLZ256" s="26"/>
      <c r="BMD256" s="23"/>
      <c r="BMI256" s="26"/>
      <c r="BMM256" s="23"/>
      <c r="BMR256" s="26"/>
      <c r="BMV256" s="23"/>
      <c r="BNA256" s="26"/>
      <c r="BNE256" s="23"/>
      <c r="BNJ256" s="26"/>
      <c r="BNN256" s="23"/>
      <c r="BNS256" s="26"/>
      <c r="BNW256" s="23"/>
      <c r="BOB256" s="26"/>
      <c r="BOF256" s="23"/>
      <c r="BOK256" s="26"/>
      <c r="BOO256" s="23"/>
      <c r="BOT256" s="26"/>
      <c r="BOX256" s="23"/>
      <c r="BPC256" s="26"/>
      <c r="BPG256" s="23"/>
      <c r="BPL256" s="26"/>
      <c r="BPP256" s="23"/>
      <c r="BPU256" s="26"/>
      <c r="BPY256" s="23"/>
      <c r="BQD256" s="26"/>
      <c r="BQH256" s="23"/>
      <c r="BQM256" s="26"/>
      <c r="BQQ256" s="23"/>
      <c r="BQV256" s="26"/>
      <c r="BQZ256" s="23"/>
      <c r="BRE256" s="26"/>
      <c r="BRI256" s="23"/>
      <c r="BRN256" s="26"/>
      <c r="BRR256" s="23"/>
      <c r="BRW256" s="26"/>
      <c r="BSA256" s="23"/>
      <c r="BSF256" s="26"/>
      <c r="BSJ256" s="23"/>
      <c r="BSO256" s="26"/>
      <c r="BSS256" s="23"/>
      <c r="BSX256" s="26"/>
      <c r="BTB256" s="23"/>
      <c r="BTG256" s="26"/>
      <c r="BTK256" s="23"/>
      <c r="BTP256" s="26"/>
      <c r="BTT256" s="23"/>
      <c r="BTY256" s="26"/>
      <c r="BUC256" s="23"/>
      <c r="BUH256" s="26"/>
      <c r="BUL256" s="23"/>
      <c r="BUQ256" s="26"/>
      <c r="BUU256" s="23"/>
      <c r="BUZ256" s="26"/>
      <c r="BVD256" s="23"/>
      <c r="BVI256" s="26"/>
      <c r="BVM256" s="23"/>
      <c r="BVR256" s="26"/>
      <c r="BVV256" s="23"/>
      <c r="BWA256" s="26"/>
      <c r="BWE256" s="23"/>
      <c r="BWJ256" s="26"/>
      <c r="BWN256" s="23"/>
      <c r="BWS256" s="26"/>
      <c r="BWW256" s="23"/>
      <c r="BXB256" s="26"/>
      <c r="BXF256" s="23"/>
      <c r="BXK256" s="26"/>
      <c r="BXO256" s="23"/>
      <c r="BXT256" s="26"/>
      <c r="BXX256" s="23"/>
      <c r="BYC256" s="26"/>
      <c r="BYG256" s="23"/>
      <c r="BYL256" s="26"/>
      <c r="BYP256" s="23"/>
      <c r="BYU256" s="26"/>
      <c r="BYY256" s="23"/>
      <c r="BZD256" s="26"/>
      <c r="BZH256" s="23"/>
      <c r="BZM256" s="26"/>
      <c r="BZQ256" s="23"/>
      <c r="BZV256" s="26"/>
      <c r="BZZ256" s="23"/>
      <c r="CAE256" s="26"/>
      <c r="CAI256" s="23"/>
      <c r="CAN256" s="26"/>
      <c r="CAR256" s="23"/>
      <c r="CAW256" s="26"/>
      <c r="CBA256" s="23"/>
      <c r="CBF256" s="26"/>
      <c r="CBJ256" s="23"/>
      <c r="CBO256" s="26"/>
      <c r="CBS256" s="23"/>
      <c r="CBX256" s="26"/>
      <c r="CCB256" s="23"/>
      <c r="CCG256" s="26"/>
      <c r="CCK256" s="23"/>
      <c r="CCP256" s="26"/>
      <c r="CCT256" s="23"/>
      <c r="CCY256" s="26"/>
      <c r="CDC256" s="23"/>
      <c r="CDH256" s="26"/>
      <c r="CDL256" s="23"/>
      <c r="CDQ256" s="26"/>
      <c r="CDU256" s="23"/>
      <c r="CDZ256" s="26"/>
      <c r="CED256" s="23"/>
      <c r="CEI256" s="26"/>
      <c r="CEM256" s="23"/>
      <c r="CER256" s="26"/>
      <c r="CEV256" s="23"/>
      <c r="CFA256" s="26"/>
      <c r="CFE256" s="23"/>
      <c r="CFJ256" s="26"/>
      <c r="CFN256" s="23"/>
      <c r="CFS256" s="26"/>
      <c r="CFW256" s="23"/>
      <c r="CGB256" s="26"/>
      <c r="CGF256" s="23"/>
      <c r="CGK256" s="26"/>
      <c r="CGO256" s="23"/>
      <c r="CGT256" s="26"/>
      <c r="CGX256" s="23"/>
      <c r="CHC256" s="26"/>
      <c r="CHG256" s="23"/>
      <c r="CHL256" s="26"/>
      <c r="CHP256" s="23"/>
      <c r="CHU256" s="26"/>
      <c r="CHY256" s="23"/>
      <c r="CID256" s="26"/>
      <c r="CIH256" s="23"/>
      <c r="CIM256" s="26"/>
      <c r="CIQ256" s="23"/>
      <c r="CIV256" s="26"/>
      <c r="CIZ256" s="23"/>
      <c r="CJE256" s="26"/>
      <c r="CJI256" s="23"/>
      <c r="CJN256" s="26"/>
      <c r="CJR256" s="23"/>
      <c r="CJW256" s="26"/>
      <c r="CKA256" s="23"/>
      <c r="CKF256" s="26"/>
      <c r="CKJ256" s="23"/>
      <c r="CKO256" s="26"/>
      <c r="CKS256" s="23"/>
      <c r="CKX256" s="26"/>
      <c r="CLB256" s="23"/>
      <c r="CLG256" s="26"/>
      <c r="CLK256" s="23"/>
      <c r="CLP256" s="26"/>
      <c r="CLT256" s="23"/>
      <c r="CLY256" s="26"/>
      <c r="CMC256" s="23"/>
      <c r="CMH256" s="26"/>
      <c r="CML256" s="23"/>
      <c r="CMQ256" s="26"/>
      <c r="CMU256" s="23"/>
      <c r="CMZ256" s="26"/>
      <c r="CND256" s="23"/>
      <c r="CNI256" s="26"/>
      <c r="CNM256" s="23"/>
      <c r="CNR256" s="26"/>
      <c r="CNV256" s="23"/>
      <c r="COA256" s="26"/>
      <c r="COE256" s="23"/>
      <c r="COJ256" s="26"/>
      <c r="CON256" s="23"/>
      <c r="COS256" s="26"/>
      <c r="COW256" s="23"/>
      <c r="CPB256" s="26"/>
      <c r="CPF256" s="23"/>
      <c r="CPK256" s="26"/>
      <c r="CPO256" s="23"/>
      <c r="CPT256" s="26"/>
      <c r="CPX256" s="23"/>
      <c r="CQC256" s="26"/>
      <c r="CQG256" s="23"/>
      <c r="CQL256" s="26"/>
      <c r="CQP256" s="23"/>
      <c r="CQU256" s="26"/>
      <c r="CQY256" s="23"/>
      <c r="CRD256" s="26"/>
      <c r="CRH256" s="23"/>
      <c r="CRM256" s="26"/>
      <c r="CRQ256" s="23"/>
      <c r="CRV256" s="26"/>
      <c r="CRZ256" s="23"/>
      <c r="CSE256" s="26"/>
      <c r="CSI256" s="23"/>
      <c r="CSN256" s="26"/>
      <c r="CSR256" s="23"/>
      <c r="CSW256" s="26"/>
      <c r="CTA256" s="23"/>
      <c r="CTF256" s="26"/>
      <c r="CTJ256" s="23"/>
      <c r="CTO256" s="26"/>
      <c r="CTS256" s="23"/>
      <c r="CTX256" s="26"/>
      <c r="CUB256" s="23"/>
      <c r="CUG256" s="26"/>
      <c r="CUK256" s="23"/>
      <c r="CUP256" s="26"/>
      <c r="CUT256" s="23"/>
      <c r="CUY256" s="26"/>
      <c r="CVC256" s="23"/>
      <c r="CVH256" s="26"/>
      <c r="CVL256" s="23"/>
      <c r="CVQ256" s="26"/>
      <c r="CVU256" s="23"/>
      <c r="CVZ256" s="26"/>
      <c r="CWD256" s="23"/>
      <c r="CWI256" s="26"/>
      <c r="CWM256" s="23"/>
      <c r="CWR256" s="26"/>
      <c r="CWV256" s="23"/>
      <c r="CXA256" s="26"/>
      <c r="CXE256" s="23"/>
      <c r="CXJ256" s="26"/>
      <c r="CXN256" s="23"/>
      <c r="CXS256" s="26"/>
      <c r="CXW256" s="23"/>
      <c r="CYB256" s="26"/>
      <c r="CYF256" s="23"/>
      <c r="CYK256" s="26"/>
      <c r="CYO256" s="23"/>
      <c r="CYT256" s="26"/>
      <c r="CYX256" s="23"/>
      <c r="CZC256" s="26"/>
      <c r="CZG256" s="23"/>
      <c r="CZL256" s="26"/>
      <c r="CZP256" s="23"/>
      <c r="CZU256" s="26"/>
      <c r="CZY256" s="23"/>
      <c r="DAD256" s="26"/>
      <c r="DAH256" s="23"/>
      <c r="DAM256" s="26"/>
      <c r="DAQ256" s="23"/>
      <c r="DAV256" s="26"/>
      <c r="DAZ256" s="23"/>
      <c r="DBE256" s="26"/>
      <c r="DBI256" s="23"/>
      <c r="DBN256" s="26"/>
      <c r="DBR256" s="23"/>
      <c r="DBW256" s="26"/>
      <c r="DCA256" s="23"/>
      <c r="DCF256" s="26"/>
      <c r="DCJ256" s="23"/>
      <c r="DCO256" s="26"/>
      <c r="DCS256" s="23"/>
      <c r="DCX256" s="26"/>
      <c r="DDB256" s="23"/>
      <c r="DDG256" s="26"/>
      <c r="DDK256" s="23"/>
      <c r="DDP256" s="26"/>
      <c r="DDT256" s="23"/>
      <c r="DDY256" s="26"/>
      <c r="DEC256" s="23"/>
      <c r="DEH256" s="26"/>
      <c r="DEL256" s="23"/>
      <c r="DEQ256" s="26"/>
      <c r="DEU256" s="23"/>
      <c r="DEZ256" s="26"/>
      <c r="DFD256" s="23"/>
      <c r="DFI256" s="26"/>
      <c r="DFM256" s="23"/>
      <c r="DFR256" s="26"/>
      <c r="DFV256" s="23"/>
      <c r="DGA256" s="26"/>
      <c r="DGE256" s="23"/>
      <c r="DGJ256" s="26"/>
      <c r="DGN256" s="23"/>
      <c r="DGS256" s="26"/>
      <c r="DGW256" s="23"/>
      <c r="DHB256" s="26"/>
      <c r="DHF256" s="23"/>
      <c r="DHK256" s="26"/>
      <c r="DHO256" s="23"/>
      <c r="DHT256" s="26"/>
      <c r="DHX256" s="23"/>
      <c r="DIC256" s="26"/>
      <c r="DIG256" s="23"/>
      <c r="DIL256" s="26"/>
      <c r="DIP256" s="23"/>
      <c r="DIU256" s="26"/>
      <c r="DIY256" s="23"/>
      <c r="DJD256" s="26"/>
      <c r="DJH256" s="23"/>
      <c r="DJM256" s="26"/>
      <c r="DJQ256" s="23"/>
      <c r="DJV256" s="26"/>
      <c r="DJZ256" s="23"/>
      <c r="DKE256" s="26"/>
      <c r="DKI256" s="23"/>
      <c r="DKN256" s="26"/>
      <c r="DKR256" s="23"/>
      <c r="DKW256" s="26"/>
      <c r="DLA256" s="23"/>
      <c r="DLF256" s="26"/>
      <c r="DLJ256" s="23"/>
      <c r="DLO256" s="26"/>
      <c r="DLS256" s="23"/>
      <c r="DLX256" s="26"/>
      <c r="DMB256" s="23"/>
      <c r="DMG256" s="26"/>
      <c r="DMK256" s="23"/>
      <c r="DMP256" s="26"/>
      <c r="DMT256" s="23"/>
      <c r="DMY256" s="26"/>
      <c r="DNC256" s="23"/>
      <c r="DNH256" s="26"/>
      <c r="DNL256" s="23"/>
      <c r="DNQ256" s="26"/>
      <c r="DNU256" s="23"/>
      <c r="DNZ256" s="26"/>
      <c r="DOD256" s="23"/>
      <c r="DOI256" s="26"/>
      <c r="DOM256" s="23"/>
      <c r="DOR256" s="26"/>
      <c r="DOV256" s="23"/>
      <c r="DPA256" s="26"/>
      <c r="DPE256" s="23"/>
      <c r="DPJ256" s="26"/>
      <c r="DPN256" s="23"/>
      <c r="DPS256" s="26"/>
      <c r="DPW256" s="23"/>
      <c r="DQB256" s="26"/>
      <c r="DQF256" s="23"/>
      <c r="DQK256" s="26"/>
      <c r="DQO256" s="23"/>
      <c r="DQT256" s="26"/>
      <c r="DQX256" s="23"/>
      <c r="DRC256" s="26"/>
      <c r="DRG256" s="23"/>
      <c r="DRL256" s="26"/>
      <c r="DRP256" s="23"/>
      <c r="DRU256" s="26"/>
      <c r="DRY256" s="23"/>
      <c r="DSD256" s="26"/>
      <c r="DSH256" s="23"/>
      <c r="DSM256" s="26"/>
      <c r="DSQ256" s="23"/>
      <c r="DSV256" s="26"/>
      <c r="DSZ256" s="23"/>
      <c r="DTE256" s="26"/>
      <c r="DTI256" s="23"/>
      <c r="DTN256" s="26"/>
      <c r="DTR256" s="23"/>
      <c r="DTW256" s="26"/>
      <c r="DUA256" s="23"/>
      <c r="DUF256" s="26"/>
      <c r="DUJ256" s="23"/>
      <c r="DUO256" s="26"/>
      <c r="DUS256" s="23"/>
      <c r="DUX256" s="26"/>
      <c r="DVB256" s="23"/>
      <c r="DVG256" s="26"/>
      <c r="DVK256" s="23"/>
      <c r="DVP256" s="26"/>
      <c r="DVT256" s="23"/>
      <c r="DVY256" s="26"/>
      <c r="DWC256" s="23"/>
      <c r="DWH256" s="26"/>
      <c r="DWL256" s="23"/>
      <c r="DWQ256" s="26"/>
      <c r="DWU256" s="23"/>
      <c r="DWZ256" s="26"/>
      <c r="DXD256" s="23"/>
      <c r="DXI256" s="26"/>
      <c r="DXM256" s="23"/>
      <c r="DXR256" s="26"/>
      <c r="DXV256" s="23"/>
      <c r="DYA256" s="26"/>
      <c r="DYE256" s="23"/>
      <c r="DYJ256" s="26"/>
      <c r="DYN256" s="23"/>
      <c r="DYS256" s="26"/>
      <c r="DYW256" s="23"/>
      <c r="DZB256" s="26"/>
      <c r="DZF256" s="23"/>
      <c r="DZK256" s="26"/>
      <c r="DZO256" s="23"/>
      <c r="DZT256" s="26"/>
      <c r="DZX256" s="23"/>
      <c r="EAC256" s="26"/>
      <c r="EAG256" s="23"/>
      <c r="EAL256" s="26"/>
      <c r="EAP256" s="23"/>
      <c r="EAU256" s="26"/>
      <c r="EAY256" s="23"/>
      <c r="EBD256" s="26"/>
      <c r="EBH256" s="23"/>
      <c r="EBM256" s="26"/>
      <c r="EBQ256" s="23"/>
      <c r="EBV256" s="26"/>
      <c r="EBZ256" s="23"/>
      <c r="ECE256" s="26"/>
      <c r="ECI256" s="23"/>
      <c r="ECN256" s="26"/>
      <c r="ECR256" s="23"/>
      <c r="ECW256" s="26"/>
      <c r="EDA256" s="23"/>
      <c r="EDF256" s="26"/>
      <c r="EDJ256" s="23"/>
      <c r="EDO256" s="26"/>
      <c r="EDS256" s="23"/>
      <c r="EDX256" s="26"/>
      <c r="EEB256" s="23"/>
      <c r="EEG256" s="26"/>
      <c r="EEK256" s="23"/>
      <c r="EEP256" s="26"/>
      <c r="EET256" s="23"/>
      <c r="EEY256" s="26"/>
      <c r="EFC256" s="23"/>
      <c r="EFH256" s="26"/>
      <c r="EFL256" s="23"/>
      <c r="EFQ256" s="26"/>
      <c r="EFU256" s="23"/>
      <c r="EFZ256" s="26"/>
      <c r="EGD256" s="23"/>
      <c r="EGI256" s="26"/>
      <c r="EGM256" s="23"/>
      <c r="EGR256" s="26"/>
      <c r="EGV256" s="23"/>
      <c r="EHA256" s="26"/>
      <c r="EHE256" s="23"/>
      <c r="EHJ256" s="26"/>
      <c r="EHN256" s="23"/>
      <c r="EHS256" s="26"/>
      <c r="EHW256" s="23"/>
      <c r="EIB256" s="26"/>
      <c r="EIF256" s="23"/>
      <c r="EIK256" s="26"/>
      <c r="EIO256" s="23"/>
      <c r="EIT256" s="26"/>
      <c r="EIX256" s="23"/>
      <c r="EJC256" s="26"/>
      <c r="EJG256" s="23"/>
      <c r="EJL256" s="26"/>
      <c r="EJP256" s="23"/>
      <c r="EJU256" s="26"/>
      <c r="EJY256" s="23"/>
      <c r="EKD256" s="26"/>
      <c r="EKH256" s="23"/>
      <c r="EKM256" s="26"/>
      <c r="EKQ256" s="23"/>
      <c r="EKV256" s="26"/>
      <c r="EKZ256" s="23"/>
      <c r="ELE256" s="26"/>
      <c r="ELI256" s="23"/>
      <c r="ELN256" s="26"/>
      <c r="ELR256" s="23"/>
      <c r="ELW256" s="26"/>
      <c r="EMA256" s="23"/>
      <c r="EMF256" s="26"/>
      <c r="EMJ256" s="23"/>
      <c r="EMO256" s="26"/>
      <c r="EMS256" s="23"/>
      <c r="EMX256" s="26"/>
      <c r="ENB256" s="23"/>
      <c r="ENG256" s="26"/>
      <c r="ENK256" s="23"/>
      <c r="ENP256" s="26"/>
      <c r="ENT256" s="23"/>
      <c r="ENY256" s="26"/>
      <c r="EOC256" s="23"/>
      <c r="EOH256" s="26"/>
      <c r="EOL256" s="23"/>
      <c r="EOQ256" s="26"/>
      <c r="EOU256" s="23"/>
      <c r="EOZ256" s="26"/>
      <c r="EPD256" s="23"/>
      <c r="EPI256" s="26"/>
      <c r="EPM256" s="23"/>
      <c r="EPR256" s="26"/>
      <c r="EPV256" s="23"/>
      <c r="EQA256" s="26"/>
      <c r="EQE256" s="23"/>
      <c r="EQJ256" s="26"/>
      <c r="EQN256" s="23"/>
      <c r="EQS256" s="26"/>
      <c r="EQW256" s="23"/>
      <c r="ERB256" s="26"/>
      <c r="ERF256" s="23"/>
      <c r="ERK256" s="26"/>
      <c r="ERO256" s="23"/>
      <c r="ERT256" s="26"/>
      <c r="ERX256" s="23"/>
      <c r="ESC256" s="26"/>
      <c r="ESG256" s="23"/>
      <c r="ESL256" s="26"/>
      <c r="ESP256" s="23"/>
      <c r="ESU256" s="26"/>
      <c r="ESY256" s="23"/>
      <c r="ETD256" s="26"/>
      <c r="ETH256" s="23"/>
      <c r="ETM256" s="26"/>
      <c r="ETQ256" s="23"/>
      <c r="ETV256" s="26"/>
      <c r="ETZ256" s="23"/>
      <c r="EUE256" s="26"/>
      <c r="EUI256" s="23"/>
      <c r="EUN256" s="26"/>
      <c r="EUR256" s="23"/>
      <c r="EUW256" s="26"/>
      <c r="EVA256" s="23"/>
      <c r="EVF256" s="26"/>
      <c r="EVJ256" s="23"/>
      <c r="EVO256" s="26"/>
      <c r="EVS256" s="23"/>
      <c r="EVX256" s="26"/>
      <c r="EWB256" s="23"/>
      <c r="EWG256" s="26"/>
      <c r="EWK256" s="23"/>
      <c r="EWP256" s="26"/>
      <c r="EWT256" s="23"/>
      <c r="EWY256" s="26"/>
      <c r="EXC256" s="23"/>
      <c r="EXH256" s="26"/>
      <c r="EXL256" s="23"/>
      <c r="EXQ256" s="26"/>
      <c r="EXU256" s="23"/>
      <c r="EXZ256" s="26"/>
      <c r="EYD256" s="23"/>
      <c r="EYI256" s="26"/>
      <c r="EYM256" s="23"/>
      <c r="EYR256" s="26"/>
      <c r="EYV256" s="23"/>
      <c r="EZA256" s="26"/>
      <c r="EZE256" s="23"/>
      <c r="EZJ256" s="26"/>
      <c r="EZN256" s="23"/>
      <c r="EZS256" s="26"/>
      <c r="EZW256" s="23"/>
      <c r="FAB256" s="26"/>
      <c r="FAF256" s="23"/>
      <c r="FAK256" s="26"/>
      <c r="FAO256" s="23"/>
      <c r="FAT256" s="26"/>
      <c r="FAX256" s="23"/>
      <c r="FBC256" s="26"/>
      <c r="FBG256" s="23"/>
      <c r="FBL256" s="26"/>
      <c r="FBP256" s="23"/>
      <c r="FBU256" s="26"/>
      <c r="FBY256" s="23"/>
      <c r="FCD256" s="26"/>
      <c r="FCH256" s="23"/>
      <c r="FCM256" s="26"/>
      <c r="FCQ256" s="23"/>
      <c r="FCV256" s="26"/>
      <c r="FCZ256" s="23"/>
      <c r="FDE256" s="26"/>
      <c r="FDI256" s="23"/>
      <c r="FDN256" s="26"/>
      <c r="FDR256" s="23"/>
      <c r="FDW256" s="26"/>
      <c r="FEA256" s="23"/>
      <c r="FEF256" s="26"/>
      <c r="FEJ256" s="23"/>
      <c r="FEO256" s="26"/>
      <c r="FES256" s="23"/>
      <c r="FEX256" s="26"/>
      <c r="FFB256" s="23"/>
      <c r="FFG256" s="26"/>
      <c r="FFK256" s="23"/>
      <c r="FFP256" s="26"/>
      <c r="FFT256" s="23"/>
      <c r="FFY256" s="26"/>
      <c r="FGC256" s="23"/>
      <c r="FGH256" s="26"/>
      <c r="FGL256" s="23"/>
      <c r="FGQ256" s="26"/>
      <c r="FGU256" s="23"/>
      <c r="FGZ256" s="26"/>
      <c r="FHD256" s="23"/>
      <c r="FHI256" s="26"/>
      <c r="FHM256" s="23"/>
      <c r="FHR256" s="26"/>
      <c r="FHV256" s="23"/>
      <c r="FIA256" s="26"/>
      <c r="FIE256" s="23"/>
      <c r="FIJ256" s="26"/>
      <c r="FIN256" s="23"/>
      <c r="FIS256" s="26"/>
      <c r="FIW256" s="23"/>
      <c r="FJB256" s="26"/>
      <c r="FJF256" s="23"/>
      <c r="FJK256" s="26"/>
      <c r="FJO256" s="23"/>
      <c r="FJT256" s="26"/>
      <c r="FJX256" s="23"/>
      <c r="FKC256" s="26"/>
      <c r="FKG256" s="23"/>
      <c r="FKL256" s="26"/>
      <c r="FKP256" s="23"/>
      <c r="FKU256" s="26"/>
      <c r="FKY256" s="23"/>
      <c r="FLD256" s="26"/>
      <c r="FLH256" s="23"/>
      <c r="FLM256" s="26"/>
      <c r="FLQ256" s="23"/>
      <c r="FLV256" s="26"/>
      <c r="FLZ256" s="23"/>
      <c r="FME256" s="26"/>
      <c r="FMI256" s="23"/>
      <c r="FMN256" s="26"/>
      <c r="FMR256" s="23"/>
      <c r="FMW256" s="26"/>
      <c r="FNA256" s="23"/>
      <c r="FNF256" s="26"/>
      <c r="FNJ256" s="23"/>
      <c r="FNO256" s="26"/>
      <c r="FNS256" s="23"/>
      <c r="FNX256" s="26"/>
      <c r="FOB256" s="23"/>
      <c r="FOG256" s="26"/>
      <c r="FOK256" s="23"/>
      <c r="FOP256" s="26"/>
      <c r="FOT256" s="23"/>
      <c r="FOY256" s="26"/>
      <c r="FPC256" s="23"/>
      <c r="FPH256" s="26"/>
      <c r="FPL256" s="23"/>
      <c r="FPQ256" s="26"/>
      <c r="FPU256" s="23"/>
      <c r="FPZ256" s="26"/>
      <c r="FQD256" s="23"/>
      <c r="FQI256" s="26"/>
      <c r="FQM256" s="23"/>
      <c r="FQR256" s="26"/>
      <c r="FQV256" s="23"/>
      <c r="FRA256" s="26"/>
      <c r="FRE256" s="23"/>
      <c r="FRJ256" s="26"/>
      <c r="FRN256" s="23"/>
      <c r="FRS256" s="26"/>
      <c r="FRW256" s="23"/>
      <c r="FSB256" s="26"/>
      <c r="FSF256" s="23"/>
      <c r="FSK256" s="26"/>
      <c r="FSO256" s="23"/>
      <c r="FST256" s="26"/>
      <c r="FSX256" s="23"/>
      <c r="FTC256" s="26"/>
      <c r="FTG256" s="23"/>
      <c r="FTL256" s="26"/>
      <c r="FTP256" s="23"/>
      <c r="FTU256" s="26"/>
      <c r="FTY256" s="23"/>
      <c r="FUD256" s="26"/>
      <c r="FUH256" s="23"/>
      <c r="FUM256" s="26"/>
      <c r="FUQ256" s="23"/>
      <c r="FUV256" s="26"/>
      <c r="FUZ256" s="23"/>
      <c r="FVE256" s="26"/>
      <c r="FVI256" s="23"/>
      <c r="FVN256" s="26"/>
      <c r="FVR256" s="23"/>
      <c r="FVW256" s="26"/>
      <c r="FWA256" s="23"/>
      <c r="FWF256" s="26"/>
      <c r="FWJ256" s="23"/>
      <c r="FWO256" s="26"/>
      <c r="FWS256" s="23"/>
      <c r="FWX256" s="26"/>
      <c r="FXB256" s="23"/>
      <c r="FXG256" s="26"/>
      <c r="FXK256" s="23"/>
      <c r="FXP256" s="26"/>
      <c r="FXT256" s="23"/>
      <c r="FXY256" s="26"/>
      <c r="FYC256" s="23"/>
      <c r="FYH256" s="26"/>
      <c r="FYL256" s="23"/>
      <c r="FYQ256" s="26"/>
      <c r="FYU256" s="23"/>
      <c r="FYZ256" s="26"/>
      <c r="FZD256" s="23"/>
      <c r="FZI256" s="26"/>
      <c r="FZM256" s="23"/>
      <c r="FZR256" s="26"/>
      <c r="FZV256" s="23"/>
      <c r="GAA256" s="26"/>
      <c r="GAE256" s="23"/>
      <c r="GAJ256" s="26"/>
      <c r="GAN256" s="23"/>
      <c r="GAS256" s="26"/>
      <c r="GAW256" s="23"/>
      <c r="GBB256" s="26"/>
      <c r="GBF256" s="23"/>
      <c r="GBK256" s="26"/>
      <c r="GBO256" s="23"/>
      <c r="GBT256" s="26"/>
      <c r="GBX256" s="23"/>
      <c r="GCC256" s="26"/>
      <c r="GCG256" s="23"/>
      <c r="GCL256" s="26"/>
      <c r="GCP256" s="23"/>
      <c r="GCU256" s="26"/>
      <c r="GCY256" s="23"/>
      <c r="GDD256" s="26"/>
      <c r="GDH256" s="23"/>
      <c r="GDM256" s="26"/>
      <c r="GDQ256" s="23"/>
      <c r="GDV256" s="26"/>
      <c r="GDZ256" s="23"/>
      <c r="GEE256" s="26"/>
      <c r="GEI256" s="23"/>
      <c r="GEN256" s="26"/>
      <c r="GER256" s="23"/>
      <c r="GEW256" s="26"/>
      <c r="GFA256" s="23"/>
      <c r="GFF256" s="26"/>
      <c r="GFJ256" s="23"/>
      <c r="GFO256" s="26"/>
      <c r="GFS256" s="23"/>
      <c r="GFX256" s="26"/>
      <c r="GGB256" s="23"/>
      <c r="GGG256" s="26"/>
      <c r="GGK256" s="23"/>
      <c r="GGP256" s="26"/>
      <c r="GGT256" s="23"/>
      <c r="GGY256" s="26"/>
      <c r="GHC256" s="23"/>
      <c r="GHH256" s="26"/>
      <c r="GHL256" s="23"/>
      <c r="GHQ256" s="26"/>
      <c r="GHU256" s="23"/>
      <c r="GHZ256" s="26"/>
      <c r="GID256" s="23"/>
      <c r="GII256" s="26"/>
      <c r="GIM256" s="23"/>
      <c r="GIR256" s="26"/>
      <c r="GIV256" s="23"/>
      <c r="GJA256" s="26"/>
      <c r="GJE256" s="23"/>
      <c r="GJJ256" s="26"/>
      <c r="GJN256" s="23"/>
      <c r="GJS256" s="26"/>
      <c r="GJW256" s="23"/>
      <c r="GKB256" s="26"/>
      <c r="GKF256" s="23"/>
      <c r="GKK256" s="26"/>
      <c r="GKO256" s="23"/>
      <c r="GKT256" s="26"/>
      <c r="GKX256" s="23"/>
      <c r="GLC256" s="26"/>
      <c r="GLG256" s="23"/>
      <c r="GLL256" s="26"/>
      <c r="GLP256" s="23"/>
      <c r="GLU256" s="26"/>
      <c r="GLY256" s="23"/>
      <c r="GMD256" s="26"/>
      <c r="GMH256" s="23"/>
      <c r="GMM256" s="26"/>
      <c r="GMQ256" s="23"/>
      <c r="GMV256" s="26"/>
      <c r="GMZ256" s="23"/>
      <c r="GNE256" s="26"/>
      <c r="GNI256" s="23"/>
      <c r="GNN256" s="26"/>
      <c r="GNR256" s="23"/>
      <c r="GNW256" s="26"/>
      <c r="GOA256" s="23"/>
      <c r="GOF256" s="26"/>
      <c r="GOJ256" s="23"/>
      <c r="GOO256" s="26"/>
      <c r="GOS256" s="23"/>
      <c r="GOX256" s="26"/>
      <c r="GPB256" s="23"/>
      <c r="GPG256" s="26"/>
      <c r="GPK256" s="23"/>
      <c r="GPP256" s="26"/>
      <c r="GPT256" s="23"/>
      <c r="GPY256" s="26"/>
      <c r="GQC256" s="23"/>
      <c r="GQH256" s="26"/>
      <c r="GQL256" s="23"/>
      <c r="GQQ256" s="26"/>
      <c r="GQU256" s="23"/>
      <c r="GQZ256" s="26"/>
      <c r="GRD256" s="23"/>
      <c r="GRI256" s="26"/>
      <c r="GRM256" s="23"/>
      <c r="GRR256" s="26"/>
      <c r="GRV256" s="23"/>
      <c r="GSA256" s="26"/>
      <c r="GSE256" s="23"/>
      <c r="GSJ256" s="26"/>
      <c r="GSN256" s="23"/>
      <c r="GSS256" s="26"/>
      <c r="GSW256" s="23"/>
      <c r="GTB256" s="26"/>
      <c r="GTF256" s="23"/>
      <c r="GTK256" s="26"/>
      <c r="GTO256" s="23"/>
      <c r="GTT256" s="26"/>
      <c r="GTX256" s="23"/>
      <c r="GUC256" s="26"/>
      <c r="GUG256" s="23"/>
      <c r="GUL256" s="26"/>
      <c r="GUP256" s="23"/>
      <c r="GUU256" s="26"/>
      <c r="GUY256" s="23"/>
      <c r="GVD256" s="26"/>
      <c r="GVH256" s="23"/>
      <c r="GVM256" s="26"/>
      <c r="GVQ256" s="23"/>
      <c r="GVV256" s="26"/>
      <c r="GVZ256" s="23"/>
      <c r="GWE256" s="26"/>
      <c r="GWI256" s="23"/>
      <c r="GWN256" s="26"/>
      <c r="GWR256" s="23"/>
      <c r="GWW256" s="26"/>
      <c r="GXA256" s="23"/>
      <c r="GXF256" s="26"/>
      <c r="GXJ256" s="23"/>
      <c r="GXO256" s="26"/>
      <c r="GXS256" s="23"/>
      <c r="GXX256" s="26"/>
      <c r="GYB256" s="23"/>
      <c r="GYG256" s="26"/>
      <c r="GYK256" s="23"/>
      <c r="GYP256" s="26"/>
      <c r="GYT256" s="23"/>
      <c r="GYY256" s="26"/>
      <c r="GZC256" s="23"/>
      <c r="GZH256" s="26"/>
      <c r="GZL256" s="23"/>
      <c r="GZQ256" s="26"/>
      <c r="GZU256" s="23"/>
      <c r="GZZ256" s="26"/>
      <c r="HAD256" s="23"/>
      <c r="HAI256" s="26"/>
      <c r="HAM256" s="23"/>
      <c r="HAR256" s="26"/>
      <c r="HAV256" s="23"/>
      <c r="HBA256" s="26"/>
      <c r="HBE256" s="23"/>
      <c r="HBJ256" s="26"/>
      <c r="HBN256" s="23"/>
      <c r="HBS256" s="26"/>
      <c r="HBW256" s="23"/>
      <c r="HCB256" s="26"/>
      <c r="HCF256" s="23"/>
      <c r="HCK256" s="26"/>
      <c r="HCO256" s="23"/>
      <c r="HCT256" s="26"/>
      <c r="HCX256" s="23"/>
      <c r="HDC256" s="26"/>
      <c r="HDG256" s="23"/>
      <c r="HDL256" s="26"/>
      <c r="HDP256" s="23"/>
      <c r="HDU256" s="26"/>
      <c r="HDY256" s="23"/>
      <c r="HED256" s="26"/>
      <c r="HEH256" s="23"/>
      <c r="HEM256" s="26"/>
      <c r="HEQ256" s="23"/>
      <c r="HEV256" s="26"/>
      <c r="HEZ256" s="23"/>
      <c r="HFE256" s="26"/>
      <c r="HFI256" s="23"/>
      <c r="HFN256" s="26"/>
      <c r="HFR256" s="23"/>
      <c r="HFW256" s="26"/>
      <c r="HGA256" s="23"/>
      <c r="HGF256" s="26"/>
      <c r="HGJ256" s="23"/>
      <c r="HGO256" s="26"/>
      <c r="HGS256" s="23"/>
      <c r="HGX256" s="26"/>
      <c r="HHB256" s="23"/>
      <c r="HHG256" s="26"/>
      <c r="HHK256" s="23"/>
      <c r="HHP256" s="26"/>
      <c r="HHT256" s="23"/>
      <c r="HHY256" s="26"/>
      <c r="HIC256" s="23"/>
      <c r="HIH256" s="26"/>
      <c r="HIL256" s="23"/>
      <c r="HIQ256" s="26"/>
      <c r="HIU256" s="23"/>
      <c r="HIZ256" s="26"/>
      <c r="HJD256" s="23"/>
      <c r="HJI256" s="26"/>
      <c r="HJM256" s="23"/>
      <c r="HJR256" s="26"/>
      <c r="HJV256" s="23"/>
      <c r="HKA256" s="26"/>
      <c r="HKE256" s="23"/>
      <c r="HKJ256" s="26"/>
      <c r="HKN256" s="23"/>
      <c r="HKS256" s="26"/>
      <c r="HKW256" s="23"/>
      <c r="HLB256" s="26"/>
      <c r="HLF256" s="23"/>
      <c r="HLK256" s="26"/>
      <c r="HLO256" s="23"/>
      <c r="HLT256" s="26"/>
      <c r="HLX256" s="23"/>
      <c r="HMC256" s="26"/>
      <c r="HMG256" s="23"/>
      <c r="HML256" s="26"/>
      <c r="HMP256" s="23"/>
      <c r="HMU256" s="26"/>
      <c r="HMY256" s="23"/>
      <c r="HND256" s="26"/>
      <c r="HNH256" s="23"/>
      <c r="HNM256" s="26"/>
      <c r="HNQ256" s="23"/>
      <c r="HNV256" s="26"/>
      <c r="HNZ256" s="23"/>
      <c r="HOE256" s="26"/>
      <c r="HOI256" s="23"/>
      <c r="HON256" s="26"/>
      <c r="HOR256" s="23"/>
      <c r="HOW256" s="26"/>
      <c r="HPA256" s="23"/>
      <c r="HPF256" s="26"/>
      <c r="HPJ256" s="23"/>
      <c r="HPO256" s="26"/>
      <c r="HPS256" s="23"/>
      <c r="HPX256" s="26"/>
      <c r="HQB256" s="23"/>
      <c r="HQG256" s="26"/>
      <c r="HQK256" s="23"/>
      <c r="HQP256" s="26"/>
      <c r="HQT256" s="23"/>
      <c r="HQY256" s="26"/>
      <c r="HRC256" s="23"/>
      <c r="HRH256" s="26"/>
      <c r="HRL256" s="23"/>
      <c r="HRQ256" s="26"/>
      <c r="HRU256" s="23"/>
      <c r="HRZ256" s="26"/>
      <c r="HSD256" s="23"/>
      <c r="HSI256" s="26"/>
      <c r="HSM256" s="23"/>
      <c r="HSR256" s="26"/>
      <c r="HSV256" s="23"/>
      <c r="HTA256" s="26"/>
      <c r="HTE256" s="23"/>
      <c r="HTJ256" s="26"/>
      <c r="HTN256" s="23"/>
      <c r="HTS256" s="26"/>
      <c r="HTW256" s="23"/>
      <c r="HUB256" s="26"/>
      <c r="HUF256" s="23"/>
      <c r="HUK256" s="26"/>
      <c r="HUO256" s="23"/>
      <c r="HUT256" s="26"/>
      <c r="HUX256" s="23"/>
      <c r="HVC256" s="26"/>
      <c r="HVG256" s="23"/>
      <c r="HVL256" s="26"/>
      <c r="HVP256" s="23"/>
      <c r="HVU256" s="26"/>
      <c r="HVY256" s="23"/>
      <c r="HWD256" s="26"/>
      <c r="HWH256" s="23"/>
      <c r="HWM256" s="26"/>
      <c r="HWQ256" s="23"/>
      <c r="HWV256" s="26"/>
      <c r="HWZ256" s="23"/>
      <c r="HXE256" s="26"/>
      <c r="HXI256" s="23"/>
      <c r="HXN256" s="26"/>
      <c r="HXR256" s="23"/>
      <c r="HXW256" s="26"/>
      <c r="HYA256" s="23"/>
      <c r="HYF256" s="26"/>
      <c r="HYJ256" s="23"/>
      <c r="HYO256" s="26"/>
      <c r="HYS256" s="23"/>
      <c r="HYX256" s="26"/>
      <c r="HZB256" s="23"/>
      <c r="HZG256" s="26"/>
      <c r="HZK256" s="23"/>
      <c r="HZP256" s="26"/>
      <c r="HZT256" s="23"/>
      <c r="HZY256" s="26"/>
      <c r="IAC256" s="23"/>
      <c r="IAH256" s="26"/>
      <c r="IAL256" s="23"/>
      <c r="IAQ256" s="26"/>
      <c r="IAU256" s="23"/>
      <c r="IAZ256" s="26"/>
      <c r="IBD256" s="23"/>
      <c r="IBI256" s="26"/>
      <c r="IBM256" s="23"/>
      <c r="IBR256" s="26"/>
      <c r="IBV256" s="23"/>
      <c r="ICA256" s="26"/>
      <c r="ICE256" s="23"/>
      <c r="ICJ256" s="26"/>
      <c r="ICN256" s="23"/>
      <c r="ICS256" s="26"/>
      <c r="ICW256" s="23"/>
      <c r="IDB256" s="26"/>
      <c r="IDF256" s="23"/>
      <c r="IDK256" s="26"/>
      <c r="IDO256" s="23"/>
      <c r="IDT256" s="26"/>
      <c r="IDX256" s="23"/>
      <c r="IEC256" s="26"/>
      <c r="IEG256" s="23"/>
      <c r="IEL256" s="26"/>
      <c r="IEP256" s="23"/>
      <c r="IEU256" s="26"/>
      <c r="IEY256" s="23"/>
      <c r="IFD256" s="26"/>
      <c r="IFH256" s="23"/>
      <c r="IFM256" s="26"/>
      <c r="IFQ256" s="23"/>
      <c r="IFV256" s="26"/>
      <c r="IFZ256" s="23"/>
      <c r="IGE256" s="26"/>
      <c r="IGI256" s="23"/>
      <c r="IGN256" s="26"/>
      <c r="IGR256" s="23"/>
      <c r="IGW256" s="26"/>
      <c r="IHA256" s="23"/>
      <c r="IHF256" s="26"/>
      <c r="IHJ256" s="23"/>
      <c r="IHO256" s="26"/>
      <c r="IHS256" s="23"/>
      <c r="IHX256" s="26"/>
      <c r="IIB256" s="23"/>
      <c r="IIG256" s="26"/>
      <c r="IIK256" s="23"/>
      <c r="IIP256" s="26"/>
      <c r="IIT256" s="23"/>
      <c r="IIY256" s="26"/>
      <c r="IJC256" s="23"/>
      <c r="IJH256" s="26"/>
      <c r="IJL256" s="23"/>
      <c r="IJQ256" s="26"/>
      <c r="IJU256" s="23"/>
      <c r="IJZ256" s="26"/>
      <c r="IKD256" s="23"/>
      <c r="IKI256" s="26"/>
      <c r="IKM256" s="23"/>
      <c r="IKR256" s="26"/>
      <c r="IKV256" s="23"/>
      <c r="ILA256" s="26"/>
      <c r="ILE256" s="23"/>
      <c r="ILJ256" s="26"/>
      <c r="ILN256" s="23"/>
      <c r="ILS256" s="26"/>
      <c r="ILW256" s="23"/>
      <c r="IMB256" s="26"/>
      <c r="IMF256" s="23"/>
      <c r="IMK256" s="26"/>
      <c r="IMO256" s="23"/>
      <c r="IMT256" s="26"/>
      <c r="IMX256" s="23"/>
      <c r="INC256" s="26"/>
      <c r="ING256" s="23"/>
      <c r="INL256" s="26"/>
      <c r="INP256" s="23"/>
      <c r="INU256" s="26"/>
      <c r="INY256" s="23"/>
      <c r="IOD256" s="26"/>
      <c r="IOH256" s="23"/>
      <c r="IOM256" s="26"/>
      <c r="IOQ256" s="23"/>
      <c r="IOV256" s="26"/>
      <c r="IOZ256" s="23"/>
      <c r="IPE256" s="26"/>
      <c r="IPI256" s="23"/>
      <c r="IPN256" s="26"/>
      <c r="IPR256" s="23"/>
      <c r="IPW256" s="26"/>
      <c r="IQA256" s="23"/>
      <c r="IQF256" s="26"/>
      <c r="IQJ256" s="23"/>
      <c r="IQO256" s="26"/>
      <c r="IQS256" s="23"/>
      <c r="IQX256" s="26"/>
      <c r="IRB256" s="23"/>
      <c r="IRG256" s="26"/>
      <c r="IRK256" s="23"/>
      <c r="IRP256" s="26"/>
      <c r="IRT256" s="23"/>
      <c r="IRY256" s="26"/>
      <c r="ISC256" s="23"/>
      <c r="ISH256" s="26"/>
      <c r="ISL256" s="23"/>
      <c r="ISQ256" s="26"/>
      <c r="ISU256" s="23"/>
      <c r="ISZ256" s="26"/>
      <c r="ITD256" s="23"/>
      <c r="ITI256" s="26"/>
      <c r="ITM256" s="23"/>
      <c r="ITR256" s="26"/>
      <c r="ITV256" s="23"/>
      <c r="IUA256" s="26"/>
      <c r="IUE256" s="23"/>
      <c r="IUJ256" s="26"/>
      <c r="IUN256" s="23"/>
      <c r="IUS256" s="26"/>
      <c r="IUW256" s="23"/>
      <c r="IVB256" s="26"/>
      <c r="IVF256" s="23"/>
      <c r="IVK256" s="26"/>
      <c r="IVO256" s="23"/>
      <c r="IVT256" s="26"/>
      <c r="IVX256" s="23"/>
      <c r="IWC256" s="26"/>
      <c r="IWG256" s="23"/>
      <c r="IWL256" s="26"/>
      <c r="IWP256" s="23"/>
      <c r="IWU256" s="26"/>
      <c r="IWY256" s="23"/>
      <c r="IXD256" s="26"/>
      <c r="IXH256" s="23"/>
      <c r="IXM256" s="26"/>
      <c r="IXQ256" s="23"/>
      <c r="IXV256" s="26"/>
      <c r="IXZ256" s="23"/>
      <c r="IYE256" s="26"/>
      <c r="IYI256" s="23"/>
      <c r="IYN256" s="26"/>
      <c r="IYR256" s="23"/>
      <c r="IYW256" s="26"/>
      <c r="IZA256" s="23"/>
      <c r="IZF256" s="26"/>
      <c r="IZJ256" s="23"/>
      <c r="IZO256" s="26"/>
      <c r="IZS256" s="23"/>
      <c r="IZX256" s="26"/>
      <c r="JAB256" s="23"/>
      <c r="JAG256" s="26"/>
      <c r="JAK256" s="23"/>
      <c r="JAP256" s="26"/>
      <c r="JAT256" s="23"/>
      <c r="JAY256" s="26"/>
      <c r="JBC256" s="23"/>
      <c r="JBH256" s="26"/>
      <c r="JBL256" s="23"/>
      <c r="JBQ256" s="26"/>
      <c r="JBU256" s="23"/>
      <c r="JBZ256" s="26"/>
      <c r="JCD256" s="23"/>
      <c r="JCI256" s="26"/>
      <c r="JCM256" s="23"/>
      <c r="JCR256" s="26"/>
      <c r="JCV256" s="23"/>
      <c r="JDA256" s="26"/>
      <c r="JDE256" s="23"/>
      <c r="JDJ256" s="26"/>
      <c r="JDN256" s="23"/>
      <c r="JDS256" s="26"/>
      <c r="JDW256" s="23"/>
      <c r="JEB256" s="26"/>
      <c r="JEF256" s="23"/>
      <c r="JEK256" s="26"/>
      <c r="JEO256" s="23"/>
      <c r="JET256" s="26"/>
      <c r="JEX256" s="23"/>
      <c r="JFC256" s="26"/>
      <c r="JFG256" s="23"/>
      <c r="JFL256" s="26"/>
      <c r="JFP256" s="23"/>
      <c r="JFU256" s="26"/>
      <c r="JFY256" s="23"/>
      <c r="JGD256" s="26"/>
      <c r="JGH256" s="23"/>
      <c r="JGM256" s="26"/>
      <c r="JGQ256" s="23"/>
      <c r="JGV256" s="26"/>
      <c r="JGZ256" s="23"/>
      <c r="JHE256" s="26"/>
      <c r="JHI256" s="23"/>
      <c r="JHN256" s="26"/>
      <c r="JHR256" s="23"/>
      <c r="JHW256" s="26"/>
      <c r="JIA256" s="23"/>
      <c r="JIF256" s="26"/>
      <c r="JIJ256" s="23"/>
      <c r="JIO256" s="26"/>
      <c r="JIS256" s="23"/>
      <c r="JIX256" s="26"/>
      <c r="JJB256" s="23"/>
      <c r="JJG256" s="26"/>
      <c r="JJK256" s="23"/>
      <c r="JJP256" s="26"/>
      <c r="JJT256" s="23"/>
      <c r="JJY256" s="26"/>
      <c r="JKC256" s="23"/>
      <c r="JKH256" s="26"/>
      <c r="JKL256" s="23"/>
      <c r="JKQ256" s="26"/>
      <c r="JKU256" s="23"/>
      <c r="JKZ256" s="26"/>
      <c r="JLD256" s="23"/>
      <c r="JLI256" s="26"/>
      <c r="JLM256" s="23"/>
      <c r="JLR256" s="26"/>
      <c r="JLV256" s="23"/>
      <c r="JMA256" s="26"/>
      <c r="JME256" s="23"/>
      <c r="JMJ256" s="26"/>
      <c r="JMN256" s="23"/>
      <c r="JMS256" s="26"/>
      <c r="JMW256" s="23"/>
      <c r="JNB256" s="26"/>
      <c r="JNF256" s="23"/>
      <c r="JNK256" s="26"/>
      <c r="JNO256" s="23"/>
      <c r="JNT256" s="26"/>
      <c r="JNX256" s="23"/>
      <c r="JOC256" s="26"/>
      <c r="JOG256" s="23"/>
      <c r="JOL256" s="26"/>
      <c r="JOP256" s="23"/>
      <c r="JOU256" s="26"/>
      <c r="JOY256" s="23"/>
      <c r="JPD256" s="26"/>
      <c r="JPH256" s="23"/>
      <c r="JPM256" s="26"/>
      <c r="JPQ256" s="23"/>
      <c r="JPV256" s="26"/>
      <c r="JPZ256" s="23"/>
      <c r="JQE256" s="26"/>
      <c r="JQI256" s="23"/>
      <c r="JQN256" s="26"/>
      <c r="JQR256" s="23"/>
      <c r="JQW256" s="26"/>
      <c r="JRA256" s="23"/>
      <c r="JRF256" s="26"/>
      <c r="JRJ256" s="23"/>
      <c r="JRO256" s="26"/>
      <c r="JRS256" s="23"/>
      <c r="JRX256" s="26"/>
      <c r="JSB256" s="23"/>
      <c r="JSG256" s="26"/>
      <c r="JSK256" s="23"/>
      <c r="JSP256" s="26"/>
      <c r="JST256" s="23"/>
      <c r="JSY256" s="26"/>
      <c r="JTC256" s="23"/>
      <c r="JTH256" s="26"/>
      <c r="JTL256" s="23"/>
      <c r="JTQ256" s="26"/>
      <c r="JTU256" s="23"/>
      <c r="JTZ256" s="26"/>
      <c r="JUD256" s="23"/>
      <c r="JUI256" s="26"/>
      <c r="JUM256" s="23"/>
      <c r="JUR256" s="26"/>
      <c r="JUV256" s="23"/>
      <c r="JVA256" s="26"/>
      <c r="JVE256" s="23"/>
      <c r="JVJ256" s="26"/>
      <c r="JVN256" s="23"/>
      <c r="JVS256" s="26"/>
      <c r="JVW256" s="23"/>
      <c r="JWB256" s="26"/>
      <c r="JWF256" s="23"/>
      <c r="JWK256" s="26"/>
      <c r="JWO256" s="23"/>
      <c r="JWT256" s="26"/>
      <c r="JWX256" s="23"/>
      <c r="JXC256" s="26"/>
      <c r="JXG256" s="23"/>
      <c r="JXL256" s="26"/>
      <c r="JXP256" s="23"/>
      <c r="JXU256" s="26"/>
      <c r="JXY256" s="23"/>
      <c r="JYD256" s="26"/>
      <c r="JYH256" s="23"/>
      <c r="JYM256" s="26"/>
      <c r="JYQ256" s="23"/>
      <c r="JYV256" s="26"/>
      <c r="JYZ256" s="23"/>
      <c r="JZE256" s="26"/>
      <c r="JZI256" s="23"/>
      <c r="JZN256" s="26"/>
      <c r="JZR256" s="23"/>
      <c r="JZW256" s="26"/>
      <c r="KAA256" s="23"/>
      <c r="KAF256" s="26"/>
      <c r="KAJ256" s="23"/>
      <c r="KAO256" s="26"/>
      <c r="KAS256" s="23"/>
      <c r="KAX256" s="26"/>
      <c r="KBB256" s="23"/>
      <c r="KBG256" s="26"/>
      <c r="KBK256" s="23"/>
      <c r="KBP256" s="26"/>
      <c r="KBT256" s="23"/>
      <c r="KBY256" s="26"/>
      <c r="KCC256" s="23"/>
      <c r="KCH256" s="26"/>
      <c r="KCL256" s="23"/>
      <c r="KCQ256" s="26"/>
      <c r="KCU256" s="23"/>
      <c r="KCZ256" s="26"/>
      <c r="KDD256" s="23"/>
      <c r="KDI256" s="26"/>
      <c r="KDM256" s="23"/>
      <c r="KDR256" s="26"/>
      <c r="KDV256" s="23"/>
      <c r="KEA256" s="26"/>
      <c r="KEE256" s="23"/>
      <c r="KEJ256" s="26"/>
      <c r="KEN256" s="23"/>
      <c r="KES256" s="26"/>
      <c r="KEW256" s="23"/>
      <c r="KFB256" s="26"/>
      <c r="KFF256" s="23"/>
      <c r="KFK256" s="26"/>
      <c r="KFO256" s="23"/>
      <c r="KFT256" s="26"/>
      <c r="KFX256" s="23"/>
      <c r="KGC256" s="26"/>
      <c r="KGG256" s="23"/>
      <c r="KGL256" s="26"/>
      <c r="KGP256" s="23"/>
      <c r="KGU256" s="26"/>
      <c r="KGY256" s="23"/>
      <c r="KHD256" s="26"/>
      <c r="KHH256" s="23"/>
      <c r="KHM256" s="26"/>
      <c r="KHQ256" s="23"/>
      <c r="KHV256" s="26"/>
      <c r="KHZ256" s="23"/>
      <c r="KIE256" s="26"/>
      <c r="KII256" s="23"/>
      <c r="KIN256" s="26"/>
      <c r="KIR256" s="23"/>
      <c r="KIW256" s="26"/>
      <c r="KJA256" s="23"/>
      <c r="KJF256" s="26"/>
      <c r="KJJ256" s="23"/>
      <c r="KJO256" s="26"/>
      <c r="KJS256" s="23"/>
      <c r="KJX256" s="26"/>
      <c r="KKB256" s="23"/>
      <c r="KKG256" s="26"/>
      <c r="KKK256" s="23"/>
      <c r="KKP256" s="26"/>
      <c r="KKT256" s="23"/>
      <c r="KKY256" s="26"/>
      <c r="KLC256" s="23"/>
      <c r="KLH256" s="26"/>
      <c r="KLL256" s="23"/>
      <c r="KLQ256" s="26"/>
      <c r="KLU256" s="23"/>
      <c r="KLZ256" s="26"/>
      <c r="KMD256" s="23"/>
      <c r="KMI256" s="26"/>
      <c r="KMM256" s="23"/>
      <c r="KMR256" s="26"/>
      <c r="KMV256" s="23"/>
      <c r="KNA256" s="26"/>
      <c r="KNE256" s="23"/>
      <c r="KNJ256" s="26"/>
      <c r="KNN256" s="23"/>
      <c r="KNS256" s="26"/>
      <c r="KNW256" s="23"/>
      <c r="KOB256" s="26"/>
      <c r="KOF256" s="23"/>
      <c r="KOK256" s="26"/>
      <c r="KOO256" s="23"/>
      <c r="KOT256" s="26"/>
      <c r="KOX256" s="23"/>
      <c r="KPC256" s="26"/>
      <c r="KPG256" s="23"/>
      <c r="KPL256" s="26"/>
      <c r="KPP256" s="23"/>
      <c r="KPU256" s="26"/>
      <c r="KPY256" s="23"/>
      <c r="KQD256" s="26"/>
      <c r="KQH256" s="23"/>
      <c r="KQM256" s="26"/>
      <c r="KQQ256" s="23"/>
      <c r="KQV256" s="26"/>
      <c r="KQZ256" s="23"/>
      <c r="KRE256" s="26"/>
      <c r="KRI256" s="23"/>
      <c r="KRN256" s="26"/>
      <c r="KRR256" s="23"/>
      <c r="KRW256" s="26"/>
      <c r="KSA256" s="23"/>
      <c r="KSF256" s="26"/>
      <c r="KSJ256" s="23"/>
      <c r="KSO256" s="26"/>
      <c r="KSS256" s="23"/>
      <c r="KSX256" s="26"/>
      <c r="KTB256" s="23"/>
      <c r="KTG256" s="26"/>
      <c r="KTK256" s="23"/>
      <c r="KTP256" s="26"/>
      <c r="KTT256" s="23"/>
      <c r="KTY256" s="26"/>
      <c r="KUC256" s="23"/>
      <c r="KUH256" s="26"/>
      <c r="KUL256" s="23"/>
      <c r="KUQ256" s="26"/>
      <c r="KUU256" s="23"/>
      <c r="KUZ256" s="26"/>
      <c r="KVD256" s="23"/>
      <c r="KVI256" s="26"/>
      <c r="KVM256" s="23"/>
      <c r="KVR256" s="26"/>
      <c r="KVV256" s="23"/>
      <c r="KWA256" s="26"/>
      <c r="KWE256" s="23"/>
      <c r="KWJ256" s="26"/>
      <c r="KWN256" s="23"/>
      <c r="KWS256" s="26"/>
      <c r="KWW256" s="23"/>
      <c r="KXB256" s="26"/>
      <c r="KXF256" s="23"/>
      <c r="KXK256" s="26"/>
      <c r="KXO256" s="23"/>
      <c r="KXT256" s="26"/>
      <c r="KXX256" s="23"/>
      <c r="KYC256" s="26"/>
      <c r="KYG256" s="23"/>
      <c r="KYL256" s="26"/>
      <c r="KYP256" s="23"/>
      <c r="KYU256" s="26"/>
      <c r="KYY256" s="23"/>
      <c r="KZD256" s="26"/>
      <c r="KZH256" s="23"/>
      <c r="KZM256" s="26"/>
      <c r="KZQ256" s="23"/>
      <c r="KZV256" s="26"/>
      <c r="KZZ256" s="23"/>
      <c r="LAE256" s="26"/>
      <c r="LAI256" s="23"/>
      <c r="LAN256" s="26"/>
      <c r="LAR256" s="23"/>
      <c r="LAW256" s="26"/>
      <c r="LBA256" s="23"/>
      <c r="LBF256" s="26"/>
      <c r="LBJ256" s="23"/>
      <c r="LBO256" s="26"/>
      <c r="LBS256" s="23"/>
      <c r="LBX256" s="26"/>
      <c r="LCB256" s="23"/>
      <c r="LCG256" s="26"/>
      <c r="LCK256" s="23"/>
      <c r="LCP256" s="26"/>
      <c r="LCT256" s="23"/>
      <c r="LCY256" s="26"/>
      <c r="LDC256" s="23"/>
      <c r="LDH256" s="26"/>
      <c r="LDL256" s="23"/>
      <c r="LDQ256" s="26"/>
      <c r="LDU256" s="23"/>
      <c r="LDZ256" s="26"/>
      <c r="LED256" s="23"/>
      <c r="LEI256" s="26"/>
      <c r="LEM256" s="23"/>
      <c r="LER256" s="26"/>
      <c r="LEV256" s="23"/>
      <c r="LFA256" s="26"/>
      <c r="LFE256" s="23"/>
      <c r="LFJ256" s="26"/>
      <c r="LFN256" s="23"/>
      <c r="LFS256" s="26"/>
      <c r="LFW256" s="23"/>
      <c r="LGB256" s="26"/>
      <c r="LGF256" s="23"/>
      <c r="LGK256" s="26"/>
      <c r="LGO256" s="23"/>
      <c r="LGT256" s="26"/>
      <c r="LGX256" s="23"/>
      <c r="LHC256" s="26"/>
      <c r="LHG256" s="23"/>
      <c r="LHL256" s="26"/>
      <c r="LHP256" s="23"/>
      <c r="LHU256" s="26"/>
      <c r="LHY256" s="23"/>
      <c r="LID256" s="26"/>
      <c r="LIH256" s="23"/>
      <c r="LIM256" s="26"/>
      <c r="LIQ256" s="23"/>
      <c r="LIV256" s="26"/>
      <c r="LIZ256" s="23"/>
      <c r="LJE256" s="26"/>
      <c r="LJI256" s="23"/>
      <c r="LJN256" s="26"/>
      <c r="LJR256" s="23"/>
      <c r="LJW256" s="26"/>
      <c r="LKA256" s="23"/>
      <c r="LKF256" s="26"/>
      <c r="LKJ256" s="23"/>
      <c r="LKO256" s="26"/>
      <c r="LKS256" s="23"/>
      <c r="LKX256" s="26"/>
      <c r="LLB256" s="23"/>
      <c r="LLG256" s="26"/>
      <c r="LLK256" s="23"/>
      <c r="LLP256" s="26"/>
      <c r="LLT256" s="23"/>
      <c r="LLY256" s="26"/>
      <c r="LMC256" s="23"/>
      <c r="LMH256" s="26"/>
      <c r="LML256" s="23"/>
      <c r="LMQ256" s="26"/>
      <c r="LMU256" s="23"/>
      <c r="LMZ256" s="26"/>
      <c r="LND256" s="23"/>
      <c r="LNI256" s="26"/>
      <c r="LNM256" s="23"/>
      <c r="LNR256" s="26"/>
      <c r="LNV256" s="23"/>
      <c r="LOA256" s="26"/>
      <c r="LOE256" s="23"/>
      <c r="LOJ256" s="26"/>
      <c r="LON256" s="23"/>
      <c r="LOS256" s="26"/>
      <c r="LOW256" s="23"/>
      <c r="LPB256" s="26"/>
      <c r="LPF256" s="23"/>
      <c r="LPK256" s="26"/>
      <c r="LPO256" s="23"/>
      <c r="LPT256" s="26"/>
      <c r="LPX256" s="23"/>
      <c r="LQC256" s="26"/>
      <c r="LQG256" s="23"/>
      <c r="LQL256" s="26"/>
      <c r="LQP256" s="23"/>
      <c r="LQU256" s="26"/>
      <c r="LQY256" s="23"/>
      <c r="LRD256" s="26"/>
      <c r="LRH256" s="23"/>
      <c r="LRM256" s="26"/>
      <c r="LRQ256" s="23"/>
      <c r="LRV256" s="26"/>
      <c r="LRZ256" s="23"/>
      <c r="LSE256" s="26"/>
      <c r="LSI256" s="23"/>
      <c r="LSN256" s="26"/>
      <c r="LSR256" s="23"/>
      <c r="LSW256" s="26"/>
      <c r="LTA256" s="23"/>
      <c r="LTF256" s="26"/>
      <c r="LTJ256" s="23"/>
      <c r="LTO256" s="26"/>
      <c r="LTS256" s="23"/>
      <c r="LTX256" s="26"/>
      <c r="LUB256" s="23"/>
      <c r="LUG256" s="26"/>
      <c r="LUK256" s="23"/>
      <c r="LUP256" s="26"/>
      <c r="LUT256" s="23"/>
      <c r="LUY256" s="26"/>
      <c r="LVC256" s="23"/>
      <c r="LVH256" s="26"/>
      <c r="LVL256" s="23"/>
      <c r="LVQ256" s="26"/>
      <c r="LVU256" s="23"/>
      <c r="LVZ256" s="26"/>
      <c r="LWD256" s="23"/>
      <c r="LWI256" s="26"/>
      <c r="LWM256" s="23"/>
      <c r="LWR256" s="26"/>
      <c r="LWV256" s="23"/>
      <c r="LXA256" s="26"/>
      <c r="LXE256" s="23"/>
      <c r="LXJ256" s="26"/>
      <c r="LXN256" s="23"/>
      <c r="LXS256" s="26"/>
      <c r="LXW256" s="23"/>
      <c r="LYB256" s="26"/>
      <c r="LYF256" s="23"/>
      <c r="LYK256" s="26"/>
      <c r="LYO256" s="23"/>
      <c r="LYT256" s="26"/>
      <c r="LYX256" s="23"/>
      <c r="LZC256" s="26"/>
      <c r="LZG256" s="23"/>
      <c r="LZL256" s="26"/>
      <c r="LZP256" s="23"/>
      <c r="LZU256" s="26"/>
      <c r="LZY256" s="23"/>
      <c r="MAD256" s="26"/>
      <c r="MAH256" s="23"/>
      <c r="MAM256" s="26"/>
      <c r="MAQ256" s="23"/>
      <c r="MAV256" s="26"/>
      <c r="MAZ256" s="23"/>
      <c r="MBE256" s="26"/>
      <c r="MBI256" s="23"/>
      <c r="MBN256" s="26"/>
      <c r="MBR256" s="23"/>
      <c r="MBW256" s="26"/>
      <c r="MCA256" s="23"/>
      <c r="MCF256" s="26"/>
      <c r="MCJ256" s="23"/>
      <c r="MCO256" s="26"/>
      <c r="MCS256" s="23"/>
      <c r="MCX256" s="26"/>
      <c r="MDB256" s="23"/>
      <c r="MDG256" s="26"/>
      <c r="MDK256" s="23"/>
      <c r="MDP256" s="26"/>
      <c r="MDT256" s="23"/>
      <c r="MDY256" s="26"/>
      <c r="MEC256" s="23"/>
      <c r="MEH256" s="26"/>
      <c r="MEL256" s="23"/>
      <c r="MEQ256" s="26"/>
      <c r="MEU256" s="23"/>
      <c r="MEZ256" s="26"/>
      <c r="MFD256" s="23"/>
      <c r="MFI256" s="26"/>
      <c r="MFM256" s="23"/>
      <c r="MFR256" s="26"/>
      <c r="MFV256" s="23"/>
      <c r="MGA256" s="26"/>
      <c r="MGE256" s="23"/>
      <c r="MGJ256" s="26"/>
      <c r="MGN256" s="23"/>
      <c r="MGS256" s="26"/>
      <c r="MGW256" s="23"/>
      <c r="MHB256" s="26"/>
      <c r="MHF256" s="23"/>
      <c r="MHK256" s="26"/>
      <c r="MHO256" s="23"/>
      <c r="MHT256" s="26"/>
      <c r="MHX256" s="23"/>
      <c r="MIC256" s="26"/>
      <c r="MIG256" s="23"/>
      <c r="MIL256" s="26"/>
      <c r="MIP256" s="23"/>
      <c r="MIU256" s="26"/>
      <c r="MIY256" s="23"/>
      <c r="MJD256" s="26"/>
      <c r="MJH256" s="23"/>
      <c r="MJM256" s="26"/>
      <c r="MJQ256" s="23"/>
      <c r="MJV256" s="26"/>
      <c r="MJZ256" s="23"/>
      <c r="MKE256" s="26"/>
      <c r="MKI256" s="23"/>
      <c r="MKN256" s="26"/>
      <c r="MKR256" s="23"/>
      <c r="MKW256" s="26"/>
      <c r="MLA256" s="23"/>
      <c r="MLF256" s="26"/>
      <c r="MLJ256" s="23"/>
      <c r="MLO256" s="26"/>
      <c r="MLS256" s="23"/>
      <c r="MLX256" s="26"/>
      <c r="MMB256" s="23"/>
      <c r="MMG256" s="26"/>
      <c r="MMK256" s="23"/>
      <c r="MMP256" s="26"/>
      <c r="MMT256" s="23"/>
      <c r="MMY256" s="26"/>
      <c r="MNC256" s="23"/>
      <c r="MNH256" s="26"/>
      <c r="MNL256" s="23"/>
      <c r="MNQ256" s="26"/>
      <c r="MNU256" s="23"/>
      <c r="MNZ256" s="26"/>
      <c r="MOD256" s="23"/>
      <c r="MOI256" s="26"/>
      <c r="MOM256" s="23"/>
      <c r="MOR256" s="26"/>
      <c r="MOV256" s="23"/>
      <c r="MPA256" s="26"/>
      <c r="MPE256" s="23"/>
      <c r="MPJ256" s="26"/>
      <c r="MPN256" s="23"/>
      <c r="MPS256" s="26"/>
      <c r="MPW256" s="23"/>
      <c r="MQB256" s="26"/>
      <c r="MQF256" s="23"/>
      <c r="MQK256" s="26"/>
      <c r="MQO256" s="23"/>
      <c r="MQT256" s="26"/>
      <c r="MQX256" s="23"/>
      <c r="MRC256" s="26"/>
      <c r="MRG256" s="23"/>
      <c r="MRL256" s="26"/>
      <c r="MRP256" s="23"/>
      <c r="MRU256" s="26"/>
      <c r="MRY256" s="23"/>
      <c r="MSD256" s="26"/>
      <c r="MSH256" s="23"/>
      <c r="MSM256" s="26"/>
      <c r="MSQ256" s="23"/>
      <c r="MSV256" s="26"/>
      <c r="MSZ256" s="23"/>
      <c r="MTE256" s="26"/>
      <c r="MTI256" s="23"/>
      <c r="MTN256" s="26"/>
      <c r="MTR256" s="23"/>
      <c r="MTW256" s="26"/>
      <c r="MUA256" s="23"/>
      <c r="MUF256" s="26"/>
      <c r="MUJ256" s="23"/>
      <c r="MUO256" s="26"/>
      <c r="MUS256" s="23"/>
      <c r="MUX256" s="26"/>
      <c r="MVB256" s="23"/>
      <c r="MVG256" s="26"/>
      <c r="MVK256" s="23"/>
      <c r="MVP256" s="26"/>
      <c r="MVT256" s="23"/>
      <c r="MVY256" s="26"/>
      <c r="MWC256" s="23"/>
      <c r="MWH256" s="26"/>
      <c r="MWL256" s="23"/>
      <c r="MWQ256" s="26"/>
      <c r="MWU256" s="23"/>
      <c r="MWZ256" s="26"/>
      <c r="MXD256" s="23"/>
      <c r="MXI256" s="26"/>
      <c r="MXM256" s="23"/>
      <c r="MXR256" s="26"/>
      <c r="MXV256" s="23"/>
      <c r="MYA256" s="26"/>
      <c r="MYE256" s="23"/>
      <c r="MYJ256" s="26"/>
      <c r="MYN256" s="23"/>
      <c r="MYS256" s="26"/>
      <c r="MYW256" s="23"/>
      <c r="MZB256" s="26"/>
      <c r="MZF256" s="23"/>
      <c r="MZK256" s="26"/>
      <c r="MZO256" s="23"/>
      <c r="MZT256" s="26"/>
      <c r="MZX256" s="23"/>
      <c r="NAC256" s="26"/>
      <c r="NAG256" s="23"/>
      <c r="NAL256" s="26"/>
      <c r="NAP256" s="23"/>
      <c r="NAU256" s="26"/>
      <c r="NAY256" s="23"/>
      <c r="NBD256" s="26"/>
      <c r="NBH256" s="23"/>
      <c r="NBM256" s="26"/>
      <c r="NBQ256" s="23"/>
      <c r="NBV256" s="26"/>
      <c r="NBZ256" s="23"/>
      <c r="NCE256" s="26"/>
      <c r="NCI256" s="23"/>
      <c r="NCN256" s="26"/>
      <c r="NCR256" s="23"/>
      <c r="NCW256" s="26"/>
      <c r="NDA256" s="23"/>
      <c r="NDF256" s="26"/>
      <c r="NDJ256" s="23"/>
      <c r="NDO256" s="26"/>
      <c r="NDS256" s="23"/>
      <c r="NDX256" s="26"/>
      <c r="NEB256" s="23"/>
      <c r="NEG256" s="26"/>
      <c r="NEK256" s="23"/>
      <c r="NEP256" s="26"/>
      <c r="NET256" s="23"/>
      <c r="NEY256" s="26"/>
      <c r="NFC256" s="23"/>
      <c r="NFH256" s="26"/>
      <c r="NFL256" s="23"/>
      <c r="NFQ256" s="26"/>
      <c r="NFU256" s="23"/>
      <c r="NFZ256" s="26"/>
      <c r="NGD256" s="23"/>
      <c r="NGI256" s="26"/>
      <c r="NGM256" s="23"/>
      <c r="NGR256" s="26"/>
      <c r="NGV256" s="23"/>
      <c r="NHA256" s="26"/>
      <c r="NHE256" s="23"/>
      <c r="NHJ256" s="26"/>
      <c r="NHN256" s="23"/>
      <c r="NHS256" s="26"/>
      <c r="NHW256" s="23"/>
      <c r="NIB256" s="26"/>
      <c r="NIF256" s="23"/>
      <c r="NIK256" s="26"/>
      <c r="NIO256" s="23"/>
      <c r="NIT256" s="26"/>
      <c r="NIX256" s="23"/>
      <c r="NJC256" s="26"/>
      <c r="NJG256" s="23"/>
      <c r="NJL256" s="26"/>
      <c r="NJP256" s="23"/>
      <c r="NJU256" s="26"/>
      <c r="NJY256" s="23"/>
      <c r="NKD256" s="26"/>
      <c r="NKH256" s="23"/>
      <c r="NKM256" s="26"/>
      <c r="NKQ256" s="23"/>
      <c r="NKV256" s="26"/>
      <c r="NKZ256" s="23"/>
      <c r="NLE256" s="26"/>
      <c r="NLI256" s="23"/>
      <c r="NLN256" s="26"/>
      <c r="NLR256" s="23"/>
      <c r="NLW256" s="26"/>
      <c r="NMA256" s="23"/>
      <c r="NMF256" s="26"/>
      <c r="NMJ256" s="23"/>
      <c r="NMO256" s="26"/>
      <c r="NMS256" s="23"/>
      <c r="NMX256" s="26"/>
      <c r="NNB256" s="23"/>
      <c r="NNG256" s="26"/>
      <c r="NNK256" s="23"/>
      <c r="NNP256" s="26"/>
      <c r="NNT256" s="23"/>
      <c r="NNY256" s="26"/>
      <c r="NOC256" s="23"/>
      <c r="NOH256" s="26"/>
      <c r="NOL256" s="23"/>
      <c r="NOQ256" s="26"/>
      <c r="NOU256" s="23"/>
      <c r="NOZ256" s="26"/>
      <c r="NPD256" s="23"/>
      <c r="NPI256" s="26"/>
      <c r="NPM256" s="23"/>
      <c r="NPR256" s="26"/>
      <c r="NPV256" s="23"/>
      <c r="NQA256" s="26"/>
      <c r="NQE256" s="23"/>
      <c r="NQJ256" s="26"/>
      <c r="NQN256" s="23"/>
      <c r="NQS256" s="26"/>
      <c r="NQW256" s="23"/>
      <c r="NRB256" s="26"/>
      <c r="NRF256" s="23"/>
      <c r="NRK256" s="26"/>
      <c r="NRO256" s="23"/>
      <c r="NRT256" s="26"/>
      <c r="NRX256" s="23"/>
      <c r="NSC256" s="26"/>
      <c r="NSG256" s="23"/>
      <c r="NSL256" s="26"/>
      <c r="NSP256" s="23"/>
      <c r="NSU256" s="26"/>
      <c r="NSY256" s="23"/>
      <c r="NTD256" s="26"/>
      <c r="NTH256" s="23"/>
      <c r="NTM256" s="26"/>
      <c r="NTQ256" s="23"/>
      <c r="NTV256" s="26"/>
      <c r="NTZ256" s="23"/>
      <c r="NUE256" s="26"/>
      <c r="NUI256" s="23"/>
      <c r="NUN256" s="26"/>
      <c r="NUR256" s="23"/>
      <c r="NUW256" s="26"/>
      <c r="NVA256" s="23"/>
      <c r="NVF256" s="26"/>
      <c r="NVJ256" s="23"/>
      <c r="NVO256" s="26"/>
      <c r="NVS256" s="23"/>
      <c r="NVX256" s="26"/>
      <c r="NWB256" s="23"/>
      <c r="NWG256" s="26"/>
      <c r="NWK256" s="23"/>
      <c r="NWP256" s="26"/>
      <c r="NWT256" s="23"/>
      <c r="NWY256" s="26"/>
      <c r="NXC256" s="23"/>
      <c r="NXH256" s="26"/>
      <c r="NXL256" s="23"/>
      <c r="NXQ256" s="26"/>
      <c r="NXU256" s="23"/>
      <c r="NXZ256" s="26"/>
      <c r="NYD256" s="23"/>
      <c r="NYI256" s="26"/>
      <c r="NYM256" s="23"/>
      <c r="NYR256" s="26"/>
      <c r="NYV256" s="23"/>
      <c r="NZA256" s="26"/>
      <c r="NZE256" s="23"/>
      <c r="NZJ256" s="26"/>
      <c r="NZN256" s="23"/>
      <c r="NZS256" s="26"/>
      <c r="NZW256" s="23"/>
      <c r="OAB256" s="26"/>
      <c r="OAF256" s="23"/>
      <c r="OAK256" s="26"/>
      <c r="OAO256" s="23"/>
      <c r="OAT256" s="26"/>
      <c r="OAX256" s="23"/>
      <c r="OBC256" s="26"/>
      <c r="OBG256" s="23"/>
      <c r="OBL256" s="26"/>
      <c r="OBP256" s="23"/>
      <c r="OBU256" s="26"/>
      <c r="OBY256" s="23"/>
      <c r="OCD256" s="26"/>
      <c r="OCH256" s="23"/>
      <c r="OCM256" s="26"/>
      <c r="OCQ256" s="23"/>
      <c r="OCV256" s="26"/>
      <c r="OCZ256" s="23"/>
      <c r="ODE256" s="26"/>
      <c r="ODI256" s="23"/>
      <c r="ODN256" s="26"/>
      <c r="ODR256" s="23"/>
      <c r="ODW256" s="26"/>
      <c r="OEA256" s="23"/>
      <c r="OEF256" s="26"/>
      <c r="OEJ256" s="23"/>
      <c r="OEO256" s="26"/>
      <c r="OES256" s="23"/>
      <c r="OEX256" s="26"/>
      <c r="OFB256" s="23"/>
      <c r="OFG256" s="26"/>
      <c r="OFK256" s="23"/>
      <c r="OFP256" s="26"/>
      <c r="OFT256" s="23"/>
      <c r="OFY256" s="26"/>
      <c r="OGC256" s="23"/>
      <c r="OGH256" s="26"/>
      <c r="OGL256" s="23"/>
      <c r="OGQ256" s="26"/>
      <c r="OGU256" s="23"/>
      <c r="OGZ256" s="26"/>
      <c r="OHD256" s="23"/>
      <c r="OHI256" s="26"/>
      <c r="OHM256" s="23"/>
      <c r="OHR256" s="26"/>
      <c r="OHV256" s="23"/>
      <c r="OIA256" s="26"/>
      <c r="OIE256" s="23"/>
      <c r="OIJ256" s="26"/>
      <c r="OIN256" s="23"/>
      <c r="OIS256" s="26"/>
      <c r="OIW256" s="23"/>
      <c r="OJB256" s="26"/>
      <c r="OJF256" s="23"/>
      <c r="OJK256" s="26"/>
      <c r="OJO256" s="23"/>
      <c r="OJT256" s="26"/>
      <c r="OJX256" s="23"/>
      <c r="OKC256" s="26"/>
      <c r="OKG256" s="23"/>
      <c r="OKL256" s="26"/>
      <c r="OKP256" s="23"/>
      <c r="OKU256" s="26"/>
      <c r="OKY256" s="23"/>
      <c r="OLD256" s="26"/>
      <c r="OLH256" s="23"/>
      <c r="OLM256" s="26"/>
      <c r="OLQ256" s="23"/>
      <c r="OLV256" s="26"/>
      <c r="OLZ256" s="23"/>
      <c r="OME256" s="26"/>
      <c r="OMI256" s="23"/>
      <c r="OMN256" s="26"/>
      <c r="OMR256" s="23"/>
      <c r="OMW256" s="26"/>
      <c r="ONA256" s="23"/>
      <c r="ONF256" s="26"/>
      <c r="ONJ256" s="23"/>
      <c r="ONO256" s="26"/>
      <c r="ONS256" s="23"/>
      <c r="ONX256" s="26"/>
      <c r="OOB256" s="23"/>
      <c r="OOG256" s="26"/>
      <c r="OOK256" s="23"/>
      <c r="OOP256" s="26"/>
      <c r="OOT256" s="23"/>
      <c r="OOY256" s="26"/>
      <c r="OPC256" s="23"/>
      <c r="OPH256" s="26"/>
      <c r="OPL256" s="23"/>
      <c r="OPQ256" s="26"/>
      <c r="OPU256" s="23"/>
      <c r="OPZ256" s="26"/>
      <c r="OQD256" s="23"/>
      <c r="OQI256" s="26"/>
      <c r="OQM256" s="23"/>
      <c r="OQR256" s="26"/>
      <c r="OQV256" s="23"/>
      <c r="ORA256" s="26"/>
      <c r="ORE256" s="23"/>
      <c r="ORJ256" s="26"/>
      <c r="ORN256" s="23"/>
      <c r="ORS256" s="26"/>
      <c r="ORW256" s="23"/>
      <c r="OSB256" s="26"/>
      <c r="OSF256" s="23"/>
      <c r="OSK256" s="26"/>
      <c r="OSO256" s="23"/>
      <c r="OST256" s="26"/>
      <c r="OSX256" s="23"/>
      <c r="OTC256" s="26"/>
      <c r="OTG256" s="23"/>
      <c r="OTL256" s="26"/>
      <c r="OTP256" s="23"/>
      <c r="OTU256" s="26"/>
      <c r="OTY256" s="23"/>
      <c r="OUD256" s="26"/>
      <c r="OUH256" s="23"/>
      <c r="OUM256" s="26"/>
      <c r="OUQ256" s="23"/>
      <c r="OUV256" s="26"/>
      <c r="OUZ256" s="23"/>
      <c r="OVE256" s="26"/>
      <c r="OVI256" s="23"/>
      <c r="OVN256" s="26"/>
      <c r="OVR256" s="23"/>
      <c r="OVW256" s="26"/>
      <c r="OWA256" s="23"/>
      <c r="OWF256" s="26"/>
      <c r="OWJ256" s="23"/>
      <c r="OWO256" s="26"/>
      <c r="OWS256" s="23"/>
      <c r="OWX256" s="26"/>
      <c r="OXB256" s="23"/>
      <c r="OXG256" s="26"/>
      <c r="OXK256" s="23"/>
      <c r="OXP256" s="26"/>
      <c r="OXT256" s="23"/>
      <c r="OXY256" s="26"/>
      <c r="OYC256" s="23"/>
      <c r="OYH256" s="26"/>
      <c r="OYL256" s="23"/>
      <c r="OYQ256" s="26"/>
      <c r="OYU256" s="23"/>
      <c r="OYZ256" s="26"/>
      <c r="OZD256" s="23"/>
      <c r="OZI256" s="26"/>
      <c r="OZM256" s="23"/>
      <c r="OZR256" s="26"/>
      <c r="OZV256" s="23"/>
      <c r="PAA256" s="26"/>
      <c r="PAE256" s="23"/>
      <c r="PAJ256" s="26"/>
      <c r="PAN256" s="23"/>
      <c r="PAS256" s="26"/>
      <c r="PAW256" s="23"/>
      <c r="PBB256" s="26"/>
      <c r="PBF256" s="23"/>
      <c r="PBK256" s="26"/>
      <c r="PBO256" s="23"/>
      <c r="PBT256" s="26"/>
      <c r="PBX256" s="23"/>
      <c r="PCC256" s="26"/>
      <c r="PCG256" s="23"/>
      <c r="PCL256" s="26"/>
      <c r="PCP256" s="23"/>
      <c r="PCU256" s="26"/>
      <c r="PCY256" s="23"/>
      <c r="PDD256" s="26"/>
      <c r="PDH256" s="23"/>
      <c r="PDM256" s="26"/>
      <c r="PDQ256" s="23"/>
      <c r="PDV256" s="26"/>
      <c r="PDZ256" s="23"/>
      <c r="PEE256" s="26"/>
      <c r="PEI256" s="23"/>
      <c r="PEN256" s="26"/>
      <c r="PER256" s="23"/>
      <c r="PEW256" s="26"/>
      <c r="PFA256" s="23"/>
      <c r="PFF256" s="26"/>
      <c r="PFJ256" s="23"/>
      <c r="PFO256" s="26"/>
      <c r="PFS256" s="23"/>
      <c r="PFX256" s="26"/>
      <c r="PGB256" s="23"/>
      <c r="PGG256" s="26"/>
      <c r="PGK256" s="23"/>
      <c r="PGP256" s="26"/>
      <c r="PGT256" s="23"/>
      <c r="PGY256" s="26"/>
      <c r="PHC256" s="23"/>
      <c r="PHH256" s="26"/>
      <c r="PHL256" s="23"/>
      <c r="PHQ256" s="26"/>
      <c r="PHU256" s="23"/>
      <c r="PHZ256" s="26"/>
      <c r="PID256" s="23"/>
      <c r="PII256" s="26"/>
      <c r="PIM256" s="23"/>
      <c r="PIR256" s="26"/>
      <c r="PIV256" s="23"/>
      <c r="PJA256" s="26"/>
      <c r="PJE256" s="23"/>
      <c r="PJJ256" s="26"/>
      <c r="PJN256" s="23"/>
      <c r="PJS256" s="26"/>
      <c r="PJW256" s="23"/>
      <c r="PKB256" s="26"/>
      <c r="PKF256" s="23"/>
      <c r="PKK256" s="26"/>
      <c r="PKO256" s="23"/>
      <c r="PKT256" s="26"/>
      <c r="PKX256" s="23"/>
      <c r="PLC256" s="26"/>
      <c r="PLG256" s="23"/>
      <c r="PLL256" s="26"/>
      <c r="PLP256" s="23"/>
      <c r="PLU256" s="26"/>
      <c r="PLY256" s="23"/>
      <c r="PMD256" s="26"/>
      <c r="PMH256" s="23"/>
      <c r="PMM256" s="26"/>
      <c r="PMQ256" s="23"/>
      <c r="PMV256" s="26"/>
      <c r="PMZ256" s="23"/>
      <c r="PNE256" s="26"/>
      <c r="PNI256" s="23"/>
      <c r="PNN256" s="26"/>
      <c r="PNR256" s="23"/>
      <c r="PNW256" s="26"/>
      <c r="POA256" s="23"/>
      <c r="POF256" s="26"/>
      <c r="POJ256" s="23"/>
      <c r="POO256" s="26"/>
      <c r="POS256" s="23"/>
      <c r="POX256" s="26"/>
      <c r="PPB256" s="23"/>
      <c r="PPG256" s="26"/>
      <c r="PPK256" s="23"/>
      <c r="PPP256" s="26"/>
      <c r="PPT256" s="23"/>
      <c r="PPY256" s="26"/>
      <c r="PQC256" s="23"/>
      <c r="PQH256" s="26"/>
      <c r="PQL256" s="23"/>
      <c r="PQQ256" s="26"/>
      <c r="PQU256" s="23"/>
      <c r="PQZ256" s="26"/>
      <c r="PRD256" s="23"/>
      <c r="PRI256" s="26"/>
      <c r="PRM256" s="23"/>
      <c r="PRR256" s="26"/>
      <c r="PRV256" s="23"/>
      <c r="PSA256" s="26"/>
      <c r="PSE256" s="23"/>
      <c r="PSJ256" s="26"/>
      <c r="PSN256" s="23"/>
      <c r="PSS256" s="26"/>
      <c r="PSW256" s="23"/>
      <c r="PTB256" s="26"/>
      <c r="PTF256" s="23"/>
      <c r="PTK256" s="26"/>
      <c r="PTO256" s="23"/>
      <c r="PTT256" s="26"/>
      <c r="PTX256" s="23"/>
      <c r="PUC256" s="26"/>
      <c r="PUG256" s="23"/>
      <c r="PUL256" s="26"/>
      <c r="PUP256" s="23"/>
      <c r="PUU256" s="26"/>
      <c r="PUY256" s="23"/>
      <c r="PVD256" s="26"/>
      <c r="PVH256" s="23"/>
      <c r="PVM256" s="26"/>
      <c r="PVQ256" s="23"/>
      <c r="PVV256" s="26"/>
      <c r="PVZ256" s="23"/>
      <c r="PWE256" s="26"/>
      <c r="PWI256" s="23"/>
      <c r="PWN256" s="26"/>
      <c r="PWR256" s="23"/>
      <c r="PWW256" s="26"/>
      <c r="PXA256" s="23"/>
      <c r="PXF256" s="26"/>
      <c r="PXJ256" s="23"/>
      <c r="PXO256" s="26"/>
      <c r="PXS256" s="23"/>
      <c r="PXX256" s="26"/>
      <c r="PYB256" s="23"/>
      <c r="PYG256" s="26"/>
      <c r="PYK256" s="23"/>
      <c r="PYP256" s="26"/>
      <c r="PYT256" s="23"/>
      <c r="PYY256" s="26"/>
      <c r="PZC256" s="23"/>
      <c r="PZH256" s="26"/>
      <c r="PZL256" s="23"/>
      <c r="PZQ256" s="26"/>
      <c r="PZU256" s="23"/>
      <c r="PZZ256" s="26"/>
      <c r="QAD256" s="23"/>
      <c r="QAI256" s="26"/>
      <c r="QAM256" s="23"/>
      <c r="QAR256" s="26"/>
      <c r="QAV256" s="23"/>
      <c r="QBA256" s="26"/>
      <c r="QBE256" s="23"/>
      <c r="QBJ256" s="26"/>
      <c r="QBN256" s="23"/>
      <c r="QBS256" s="26"/>
      <c r="QBW256" s="23"/>
      <c r="QCB256" s="26"/>
      <c r="QCF256" s="23"/>
      <c r="QCK256" s="26"/>
      <c r="QCO256" s="23"/>
      <c r="QCT256" s="26"/>
      <c r="QCX256" s="23"/>
      <c r="QDC256" s="26"/>
      <c r="QDG256" s="23"/>
      <c r="QDL256" s="26"/>
      <c r="QDP256" s="23"/>
      <c r="QDU256" s="26"/>
      <c r="QDY256" s="23"/>
      <c r="QED256" s="26"/>
      <c r="QEH256" s="23"/>
      <c r="QEM256" s="26"/>
      <c r="QEQ256" s="23"/>
      <c r="QEV256" s="26"/>
      <c r="QEZ256" s="23"/>
      <c r="QFE256" s="26"/>
      <c r="QFI256" s="23"/>
      <c r="QFN256" s="26"/>
      <c r="QFR256" s="23"/>
      <c r="QFW256" s="26"/>
      <c r="QGA256" s="23"/>
      <c r="QGF256" s="26"/>
      <c r="QGJ256" s="23"/>
      <c r="QGO256" s="26"/>
      <c r="QGS256" s="23"/>
      <c r="QGX256" s="26"/>
      <c r="QHB256" s="23"/>
      <c r="QHG256" s="26"/>
      <c r="QHK256" s="23"/>
      <c r="QHP256" s="26"/>
      <c r="QHT256" s="23"/>
      <c r="QHY256" s="26"/>
      <c r="QIC256" s="23"/>
      <c r="QIH256" s="26"/>
      <c r="QIL256" s="23"/>
      <c r="QIQ256" s="26"/>
      <c r="QIU256" s="23"/>
      <c r="QIZ256" s="26"/>
      <c r="QJD256" s="23"/>
      <c r="QJI256" s="26"/>
      <c r="QJM256" s="23"/>
      <c r="QJR256" s="26"/>
      <c r="QJV256" s="23"/>
      <c r="QKA256" s="26"/>
      <c r="QKE256" s="23"/>
      <c r="QKJ256" s="26"/>
      <c r="QKN256" s="23"/>
      <c r="QKS256" s="26"/>
      <c r="QKW256" s="23"/>
      <c r="QLB256" s="26"/>
      <c r="QLF256" s="23"/>
      <c r="QLK256" s="26"/>
      <c r="QLO256" s="23"/>
      <c r="QLT256" s="26"/>
      <c r="QLX256" s="23"/>
      <c r="QMC256" s="26"/>
      <c r="QMG256" s="23"/>
      <c r="QML256" s="26"/>
      <c r="QMP256" s="23"/>
      <c r="QMU256" s="26"/>
      <c r="QMY256" s="23"/>
      <c r="QND256" s="26"/>
      <c r="QNH256" s="23"/>
      <c r="QNM256" s="26"/>
      <c r="QNQ256" s="23"/>
      <c r="QNV256" s="26"/>
      <c r="QNZ256" s="23"/>
      <c r="QOE256" s="26"/>
      <c r="QOI256" s="23"/>
      <c r="QON256" s="26"/>
      <c r="QOR256" s="23"/>
      <c r="QOW256" s="26"/>
      <c r="QPA256" s="23"/>
      <c r="QPF256" s="26"/>
      <c r="QPJ256" s="23"/>
      <c r="QPO256" s="26"/>
      <c r="QPS256" s="23"/>
      <c r="QPX256" s="26"/>
      <c r="QQB256" s="23"/>
      <c r="QQG256" s="26"/>
      <c r="QQK256" s="23"/>
      <c r="QQP256" s="26"/>
      <c r="QQT256" s="23"/>
      <c r="QQY256" s="26"/>
      <c r="QRC256" s="23"/>
      <c r="QRH256" s="26"/>
      <c r="QRL256" s="23"/>
      <c r="QRQ256" s="26"/>
      <c r="QRU256" s="23"/>
      <c r="QRZ256" s="26"/>
      <c r="QSD256" s="23"/>
      <c r="QSI256" s="26"/>
      <c r="QSM256" s="23"/>
      <c r="QSR256" s="26"/>
      <c r="QSV256" s="23"/>
      <c r="QTA256" s="26"/>
      <c r="QTE256" s="23"/>
      <c r="QTJ256" s="26"/>
      <c r="QTN256" s="23"/>
      <c r="QTS256" s="26"/>
      <c r="QTW256" s="23"/>
      <c r="QUB256" s="26"/>
      <c r="QUF256" s="23"/>
      <c r="QUK256" s="26"/>
      <c r="QUO256" s="23"/>
      <c r="QUT256" s="26"/>
      <c r="QUX256" s="23"/>
      <c r="QVC256" s="26"/>
      <c r="QVG256" s="23"/>
      <c r="QVL256" s="26"/>
      <c r="QVP256" s="23"/>
      <c r="QVU256" s="26"/>
      <c r="QVY256" s="23"/>
      <c r="QWD256" s="26"/>
      <c r="QWH256" s="23"/>
      <c r="QWM256" s="26"/>
      <c r="QWQ256" s="23"/>
      <c r="QWV256" s="26"/>
      <c r="QWZ256" s="23"/>
      <c r="QXE256" s="26"/>
      <c r="QXI256" s="23"/>
      <c r="QXN256" s="26"/>
      <c r="QXR256" s="23"/>
      <c r="QXW256" s="26"/>
      <c r="QYA256" s="23"/>
      <c r="QYF256" s="26"/>
      <c r="QYJ256" s="23"/>
      <c r="QYO256" s="26"/>
      <c r="QYS256" s="23"/>
      <c r="QYX256" s="26"/>
      <c r="QZB256" s="23"/>
      <c r="QZG256" s="26"/>
      <c r="QZK256" s="23"/>
      <c r="QZP256" s="26"/>
      <c r="QZT256" s="23"/>
      <c r="QZY256" s="26"/>
      <c r="RAC256" s="23"/>
      <c r="RAH256" s="26"/>
      <c r="RAL256" s="23"/>
      <c r="RAQ256" s="26"/>
      <c r="RAU256" s="23"/>
      <c r="RAZ256" s="26"/>
      <c r="RBD256" s="23"/>
      <c r="RBI256" s="26"/>
      <c r="RBM256" s="23"/>
      <c r="RBR256" s="26"/>
      <c r="RBV256" s="23"/>
      <c r="RCA256" s="26"/>
      <c r="RCE256" s="23"/>
      <c r="RCJ256" s="26"/>
      <c r="RCN256" s="23"/>
      <c r="RCS256" s="26"/>
      <c r="RCW256" s="23"/>
      <c r="RDB256" s="26"/>
      <c r="RDF256" s="23"/>
      <c r="RDK256" s="26"/>
      <c r="RDO256" s="23"/>
      <c r="RDT256" s="26"/>
      <c r="RDX256" s="23"/>
      <c r="REC256" s="26"/>
      <c r="REG256" s="23"/>
      <c r="REL256" s="26"/>
      <c r="REP256" s="23"/>
      <c r="REU256" s="26"/>
      <c r="REY256" s="23"/>
      <c r="RFD256" s="26"/>
      <c r="RFH256" s="23"/>
      <c r="RFM256" s="26"/>
      <c r="RFQ256" s="23"/>
      <c r="RFV256" s="26"/>
      <c r="RFZ256" s="23"/>
      <c r="RGE256" s="26"/>
      <c r="RGI256" s="23"/>
      <c r="RGN256" s="26"/>
      <c r="RGR256" s="23"/>
      <c r="RGW256" s="26"/>
      <c r="RHA256" s="23"/>
      <c r="RHF256" s="26"/>
      <c r="RHJ256" s="23"/>
      <c r="RHO256" s="26"/>
      <c r="RHS256" s="23"/>
      <c r="RHX256" s="26"/>
      <c r="RIB256" s="23"/>
      <c r="RIG256" s="26"/>
      <c r="RIK256" s="23"/>
      <c r="RIP256" s="26"/>
      <c r="RIT256" s="23"/>
      <c r="RIY256" s="26"/>
      <c r="RJC256" s="23"/>
      <c r="RJH256" s="26"/>
      <c r="RJL256" s="23"/>
      <c r="RJQ256" s="26"/>
      <c r="RJU256" s="23"/>
      <c r="RJZ256" s="26"/>
      <c r="RKD256" s="23"/>
      <c r="RKI256" s="26"/>
      <c r="RKM256" s="23"/>
      <c r="RKR256" s="26"/>
      <c r="RKV256" s="23"/>
      <c r="RLA256" s="26"/>
      <c r="RLE256" s="23"/>
      <c r="RLJ256" s="26"/>
      <c r="RLN256" s="23"/>
      <c r="RLS256" s="26"/>
      <c r="RLW256" s="23"/>
      <c r="RMB256" s="26"/>
      <c r="RMF256" s="23"/>
      <c r="RMK256" s="26"/>
      <c r="RMO256" s="23"/>
      <c r="RMT256" s="26"/>
      <c r="RMX256" s="23"/>
      <c r="RNC256" s="26"/>
      <c r="RNG256" s="23"/>
      <c r="RNL256" s="26"/>
      <c r="RNP256" s="23"/>
      <c r="RNU256" s="26"/>
      <c r="RNY256" s="23"/>
      <c r="ROD256" s="26"/>
      <c r="ROH256" s="23"/>
      <c r="ROM256" s="26"/>
      <c r="ROQ256" s="23"/>
      <c r="ROV256" s="26"/>
      <c r="ROZ256" s="23"/>
      <c r="RPE256" s="26"/>
      <c r="RPI256" s="23"/>
      <c r="RPN256" s="26"/>
      <c r="RPR256" s="23"/>
      <c r="RPW256" s="26"/>
      <c r="RQA256" s="23"/>
      <c r="RQF256" s="26"/>
      <c r="RQJ256" s="23"/>
      <c r="RQO256" s="26"/>
      <c r="RQS256" s="23"/>
      <c r="RQX256" s="26"/>
      <c r="RRB256" s="23"/>
      <c r="RRG256" s="26"/>
      <c r="RRK256" s="23"/>
      <c r="RRP256" s="26"/>
      <c r="RRT256" s="23"/>
      <c r="RRY256" s="26"/>
      <c r="RSC256" s="23"/>
      <c r="RSH256" s="26"/>
      <c r="RSL256" s="23"/>
      <c r="RSQ256" s="26"/>
      <c r="RSU256" s="23"/>
      <c r="RSZ256" s="26"/>
      <c r="RTD256" s="23"/>
      <c r="RTI256" s="26"/>
      <c r="RTM256" s="23"/>
      <c r="RTR256" s="26"/>
      <c r="RTV256" s="23"/>
      <c r="RUA256" s="26"/>
      <c r="RUE256" s="23"/>
      <c r="RUJ256" s="26"/>
      <c r="RUN256" s="23"/>
      <c r="RUS256" s="26"/>
      <c r="RUW256" s="23"/>
      <c r="RVB256" s="26"/>
      <c r="RVF256" s="23"/>
      <c r="RVK256" s="26"/>
      <c r="RVO256" s="23"/>
      <c r="RVT256" s="26"/>
      <c r="RVX256" s="23"/>
      <c r="RWC256" s="26"/>
      <c r="RWG256" s="23"/>
      <c r="RWL256" s="26"/>
      <c r="RWP256" s="23"/>
      <c r="RWU256" s="26"/>
      <c r="RWY256" s="23"/>
      <c r="RXD256" s="26"/>
      <c r="RXH256" s="23"/>
      <c r="RXM256" s="26"/>
      <c r="RXQ256" s="23"/>
      <c r="RXV256" s="26"/>
      <c r="RXZ256" s="23"/>
      <c r="RYE256" s="26"/>
      <c r="RYI256" s="23"/>
      <c r="RYN256" s="26"/>
      <c r="RYR256" s="23"/>
      <c r="RYW256" s="26"/>
      <c r="RZA256" s="23"/>
      <c r="RZF256" s="26"/>
      <c r="RZJ256" s="23"/>
      <c r="RZO256" s="26"/>
      <c r="RZS256" s="23"/>
      <c r="RZX256" s="26"/>
      <c r="SAB256" s="23"/>
      <c r="SAG256" s="26"/>
      <c r="SAK256" s="23"/>
      <c r="SAP256" s="26"/>
      <c r="SAT256" s="23"/>
      <c r="SAY256" s="26"/>
      <c r="SBC256" s="23"/>
      <c r="SBH256" s="26"/>
      <c r="SBL256" s="23"/>
      <c r="SBQ256" s="26"/>
      <c r="SBU256" s="23"/>
      <c r="SBZ256" s="26"/>
      <c r="SCD256" s="23"/>
      <c r="SCI256" s="26"/>
      <c r="SCM256" s="23"/>
      <c r="SCR256" s="26"/>
      <c r="SCV256" s="23"/>
      <c r="SDA256" s="26"/>
      <c r="SDE256" s="23"/>
      <c r="SDJ256" s="26"/>
      <c r="SDN256" s="23"/>
      <c r="SDS256" s="26"/>
      <c r="SDW256" s="23"/>
      <c r="SEB256" s="26"/>
      <c r="SEF256" s="23"/>
      <c r="SEK256" s="26"/>
      <c r="SEO256" s="23"/>
      <c r="SET256" s="26"/>
      <c r="SEX256" s="23"/>
      <c r="SFC256" s="26"/>
      <c r="SFG256" s="23"/>
      <c r="SFL256" s="26"/>
      <c r="SFP256" s="23"/>
      <c r="SFU256" s="26"/>
      <c r="SFY256" s="23"/>
      <c r="SGD256" s="26"/>
      <c r="SGH256" s="23"/>
      <c r="SGM256" s="26"/>
      <c r="SGQ256" s="23"/>
      <c r="SGV256" s="26"/>
      <c r="SGZ256" s="23"/>
      <c r="SHE256" s="26"/>
      <c r="SHI256" s="23"/>
      <c r="SHN256" s="26"/>
      <c r="SHR256" s="23"/>
      <c r="SHW256" s="26"/>
      <c r="SIA256" s="23"/>
      <c r="SIF256" s="26"/>
      <c r="SIJ256" s="23"/>
      <c r="SIO256" s="26"/>
      <c r="SIS256" s="23"/>
      <c r="SIX256" s="26"/>
      <c r="SJB256" s="23"/>
      <c r="SJG256" s="26"/>
      <c r="SJK256" s="23"/>
      <c r="SJP256" s="26"/>
      <c r="SJT256" s="23"/>
      <c r="SJY256" s="26"/>
      <c r="SKC256" s="23"/>
      <c r="SKH256" s="26"/>
      <c r="SKL256" s="23"/>
      <c r="SKQ256" s="26"/>
      <c r="SKU256" s="23"/>
      <c r="SKZ256" s="26"/>
      <c r="SLD256" s="23"/>
      <c r="SLI256" s="26"/>
      <c r="SLM256" s="23"/>
      <c r="SLR256" s="26"/>
      <c r="SLV256" s="23"/>
      <c r="SMA256" s="26"/>
      <c r="SME256" s="23"/>
      <c r="SMJ256" s="26"/>
      <c r="SMN256" s="23"/>
      <c r="SMS256" s="26"/>
      <c r="SMW256" s="23"/>
      <c r="SNB256" s="26"/>
      <c r="SNF256" s="23"/>
      <c r="SNK256" s="26"/>
      <c r="SNO256" s="23"/>
      <c r="SNT256" s="26"/>
      <c r="SNX256" s="23"/>
      <c r="SOC256" s="26"/>
      <c r="SOG256" s="23"/>
      <c r="SOL256" s="26"/>
      <c r="SOP256" s="23"/>
      <c r="SOU256" s="26"/>
      <c r="SOY256" s="23"/>
      <c r="SPD256" s="26"/>
      <c r="SPH256" s="23"/>
      <c r="SPM256" s="26"/>
      <c r="SPQ256" s="23"/>
      <c r="SPV256" s="26"/>
      <c r="SPZ256" s="23"/>
      <c r="SQE256" s="26"/>
      <c r="SQI256" s="23"/>
      <c r="SQN256" s="26"/>
      <c r="SQR256" s="23"/>
      <c r="SQW256" s="26"/>
      <c r="SRA256" s="23"/>
      <c r="SRF256" s="26"/>
      <c r="SRJ256" s="23"/>
      <c r="SRO256" s="26"/>
      <c r="SRS256" s="23"/>
      <c r="SRX256" s="26"/>
      <c r="SSB256" s="23"/>
      <c r="SSG256" s="26"/>
      <c r="SSK256" s="23"/>
      <c r="SSP256" s="26"/>
      <c r="SST256" s="23"/>
      <c r="SSY256" s="26"/>
      <c r="STC256" s="23"/>
      <c r="STH256" s="26"/>
      <c r="STL256" s="23"/>
      <c r="STQ256" s="26"/>
      <c r="STU256" s="23"/>
      <c r="STZ256" s="26"/>
      <c r="SUD256" s="23"/>
      <c r="SUI256" s="26"/>
      <c r="SUM256" s="23"/>
      <c r="SUR256" s="26"/>
      <c r="SUV256" s="23"/>
      <c r="SVA256" s="26"/>
      <c r="SVE256" s="23"/>
      <c r="SVJ256" s="26"/>
      <c r="SVN256" s="23"/>
      <c r="SVS256" s="26"/>
      <c r="SVW256" s="23"/>
      <c r="SWB256" s="26"/>
      <c r="SWF256" s="23"/>
      <c r="SWK256" s="26"/>
      <c r="SWO256" s="23"/>
      <c r="SWT256" s="26"/>
      <c r="SWX256" s="23"/>
      <c r="SXC256" s="26"/>
      <c r="SXG256" s="23"/>
      <c r="SXL256" s="26"/>
      <c r="SXP256" s="23"/>
      <c r="SXU256" s="26"/>
      <c r="SXY256" s="23"/>
      <c r="SYD256" s="26"/>
      <c r="SYH256" s="23"/>
      <c r="SYM256" s="26"/>
      <c r="SYQ256" s="23"/>
      <c r="SYV256" s="26"/>
      <c r="SYZ256" s="23"/>
      <c r="SZE256" s="26"/>
      <c r="SZI256" s="23"/>
      <c r="SZN256" s="26"/>
      <c r="SZR256" s="23"/>
      <c r="SZW256" s="26"/>
      <c r="TAA256" s="23"/>
      <c r="TAF256" s="26"/>
      <c r="TAJ256" s="23"/>
      <c r="TAO256" s="26"/>
      <c r="TAS256" s="23"/>
      <c r="TAX256" s="26"/>
      <c r="TBB256" s="23"/>
      <c r="TBG256" s="26"/>
      <c r="TBK256" s="23"/>
      <c r="TBP256" s="26"/>
      <c r="TBT256" s="23"/>
      <c r="TBY256" s="26"/>
      <c r="TCC256" s="23"/>
      <c r="TCH256" s="26"/>
      <c r="TCL256" s="23"/>
      <c r="TCQ256" s="26"/>
      <c r="TCU256" s="23"/>
      <c r="TCZ256" s="26"/>
      <c r="TDD256" s="23"/>
      <c r="TDI256" s="26"/>
      <c r="TDM256" s="23"/>
      <c r="TDR256" s="26"/>
      <c r="TDV256" s="23"/>
      <c r="TEA256" s="26"/>
      <c r="TEE256" s="23"/>
      <c r="TEJ256" s="26"/>
      <c r="TEN256" s="23"/>
      <c r="TES256" s="26"/>
      <c r="TEW256" s="23"/>
      <c r="TFB256" s="26"/>
      <c r="TFF256" s="23"/>
      <c r="TFK256" s="26"/>
      <c r="TFO256" s="23"/>
      <c r="TFT256" s="26"/>
      <c r="TFX256" s="23"/>
      <c r="TGC256" s="26"/>
      <c r="TGG256" s="23"/>
      <c r="TGL256" s="26"/>
      <c r="TGP256" s="23"/>
      <c r="TGU256" s="26"/>
      <c r="TGY256" s="23"/>
      <c r="THD256" s="26"/>
      <c r="THH256" s="23"/>
      <c r="THM256" s="26"/>
      <c r="THQ256" s="23"/>
      <c r="THV256" s="26"/>
      <c r="THZ256" s="23"/>
      <c r="TIE256" s="26"/>
      <c r="TII256" s="23"/>
      <c r="TIN256" s="26"/>
      <c r="TIR256" s="23"/>
      <c r="TIW256" s="26"/>
      <c r="TJA256" s="23"/>
      <c r="TJF256" s="26"/>
      <c r="TJJ256" s="23"/>
      <c r="TJO256" s="26"/>
      <c r="TJS256" s="23"/>
      <c r="TJX256" s="26"/>
      <c r="TKB256" s="23"/>
      <c r="TKG256" s="26"/>
      <c r="TKK256" s="23"/>
      <c r="TKP256" s="26"/>
      <c r="TKT256" s="23"/>
      <c r="TKY256" s="26"/>
      <c r="TLC256" s="23"/>
      <c r="TLH256" s="26"/>
      <c r="TLL256" s="23"/>
      <c r="TLQ256" s="26"/>
      <c r="TLU256" s="23"/>
      <c r="TLZ256" s="26"/>
      <c r="TMD256" s="23"/>
      <c r="TMI256" s="26"/>
      <c r="TMM256" s="23"/>
      <c r="TMR256" s="26"/>
      <c r="TMV256" s="23"/>
      <c r="TNA256" s="26"/>
      <c r="TNE256" s="23"/>
      <c r="TNJ256" s="26"/>
      <c r="TNN256" s="23"/>
      <c r="TNS256" s="26"/>
      <c r="TNW256" s="23"/>
      <c r="TOB256" s="26"/>
      <c r="TOF256" s="23"/>
      <c r="TOK256" s="26"/>
      <c r="TOO256" s="23"/>
      <c r="TOT256" s="26"/>
      <c r="TOX256" s="23"/>
      <c r="TPC256" s="26"/>
      <c r="TPG256" s="23"/>
      <c r="TPL256" s="26"/>
      <c r="TPP256" s="23"/>
      <c r="TPU256" s="26"/>
      <c r="TPY256" s="23"/>
      <c r="TQD256" s="26"/>
      <c r="TQH256" s="23"/>
      <c r="TQM256" s="26"/>
      <c r="TQQ256" s="23"/>
      <c r="TQV256" s="26"/>
      <c r="TQZ256" s="23"/>
      <c r="TRE256" s="26"/>
      <c r="TRI256" s="23"/>
      <c r="TRN256" s="26"/>
      <c r="TRR256" s="23"/>
      <c r="TRW256" s="26"/>
      <c r="TSA256" s="23"/>
      <c r="TSF256" s="26"/>
      <c r="TSJ256" s="23"/>
      <c r="TSO256" s="26"/>
      <c r="TSS256" s="23"/>
      <c r="TSX256" s="26"/>
      <c r="TTB256" s="23"/>
      <c r="TTG256" s="26"/>
      <c r="TTK256" s="23"/>
      <c r="TTP256" s="26"/>
      <c r="TTT256" s="23"/>
      <c r="TTY256" s="26"/>
      <c r="TUC256" s="23"/>
      <c r="TUH256" s="26"/>
      <c r="TUL256" s="23"/>
      <c r="TUQ256" s="26"/>
      <c r="TUU256" s="23"/>
      <c r="TUZ256" s="26"/>
      <c r="TVD256" s="23"/>
      <c r="TVI256" s="26"/>
      <c r="TVM256" s="23"/>
      <c r="TVR256" s="26"/>
      <c r="TVV256" s="23"/>
      <c r="TWA256" s="26"/>
      <c r="TWE256" s="23"/>
      <c r="TWJ256" s="26"/>
      <c r="TWN256" s="23"/>
      <c r="TWS256" s="26"/>
      <c r="TWW256" s="23"/>
      <c r="TXB256" s="26"/>
      <c r="TXF256" s="23"/>
      <c r="TXK256" s="26"/>
      <c r="TXO256" s="23"/>
      <c r="TXT256" s="26"/>
      <c r="TXX256" s="23"/>
      <c r="TYC256" s="26"/>
      <c r="TYG256" s="23"/>
      <c r="TYL256" s="26"/>
      <c r="TYP256" s="23"/>
      <c r="TYU256" s="26"/>
      <c r="TYY256" s="23"/>
      <c r="TZD256" s="26"/>
      <c r="TZH256" s="23"/>
      <c r="TZM256" s="26"/>
      <c r="TZQ256" s="23"/>
      <c r="TZV256" s="26"/>
      <c r="TZZ256" s="23"/>
      <c r="UAE256" s="26"/>
      <c r="UAI256" s="23"/>
      <c r="UAN256" s="26"/>
      <c r="UAR256" s="23"/>
      <c r="UAW256" s="26"/>
      <c r="UBA256" s="23"/>
      <c r="UBF256" s="26"/>
      <c r="UBJ256" s="23"/>
      <c r="UBO256" s="26"/>
      <c r="UBS256" s="23"/>
      <c r="UBX256" s="26"/>
      <c r="UCB256" s="23"/>
      <c r="UCG256" s="26"/>
      <c r="UCK256" s="23"/>
      <c r="UCP256" s="26"/>
      <c r="UCT256" s="23"/>
      <c r="UCY256" s="26"/>
      <c r="UDC256" s="23"/>
      <c r="UDH256" s="26"/>
      <c r="UDL256" s="23"/>
      <c r="UDQ256" s="26"/>
      <c r="UDU256" s="23"/>
      <c r="UDZ256" s="26"/>
      <c r="UED256" s="23"/>
      <c r="UEI256" s="26"/>
      <c r="UEM256" s="23"/>
      <c r="UER256" s="26"/>
      <c r="UEV256" s="23"/>
      <c r="UFA256" s="26"/>
      <c r="UFE256" s="23"/>
      <c r="UFJ256" s="26"/>
      <c r="UFN256" s="23"/>
      <c r="UFS256" s="26"/>
      <c r="UFW256" s="23"/>
      <c r="UGB256" s="26"/>
      <c r="UGF256" s="23"/>
      <c r="UGK256" s="26"/>
      <c r="UGO256" s="23"/>
      <c r="UGT256" s="26"/>
      <c r="UGX256" s="23"/>
      <c r="UHC256" s="26"/>
      <c r="UHG256" s="23"/>
      <c r="UHL256" s="26"/>
      <c r="UHP256" s="23"/>
      <c r="UHU256" s="26"/>
      <c r="UHY256" s="23"/>
      <c r="UID256" s="26"/>
      <c r="UIH256" s="23"/>
      <c r="UIM256" s="26"/>
      <c r="UIQ256" s="23"/>
      <c r="UIV256" s="26"/>
      <c r="UIZ256" s="23"/>
      <c r="UJE256" s="26"/>
      <c r="UJI256" s="23"/>
      <c r="UJN256" s="26"/>
      <c r="UJR256" s="23"/>
      <c r="UJW256" s="26"/>
      <c r="UKA256" s="23"/>
      <c r="UKF256" s="26"/>
      <c r="UKJ256" s="23"/>
      <c r="UKO256" s="26"/>
      <c r="UKS256" s="23"/>
      <c r="UKX256" s="26"/>
      <c r="ULB256" s="23"/>
      <c r="ULG256" s="26"/>
      <c r="ULK256" s="23"/>
      <c r="ULP256" s="26"/>
      <c r="ULT256" s="23"/>
      <c r="ULY256" s="26"/>
      <c r="UMC256" s="23"/>
      <c r="UMH256" s="26"/>
      <c r="UML256" s="23"/>
      <c r="UMQ256" s="26"/>
      <c r="UMU256" s="23"/>
      <c r="UMZ256" s="26"/>
      <c r="UND256" s="23"/>
      <c r="UNI256" s="26"/>
      <c r="UNM256" s="23"/>
      <c r="UNR256" s="26"/>
      <c r="UNV256" s="23"/>
      <c r="UOA256" s="26"/>
      <c r="UOE256" s="23"/>
      <c r="UOJ256" s="26"/>
      <c r="UON256" s="23"/>
      <c r="UOS256" s="26"/>
      <c r="UOW256" s="23"/>
      <c r="UPB256" s="26"/>
      <c r="UPF256" s="23"/>
      <c r="UPK256" s="26"/>
      <c r="UPO256" s="23"/>
      <c r="UPT256" s="26"/>
      <c r="UPX256" s="23"/>
      <c r="UQC256" s="26"/>
      <c r="UQG256" s="23"/>
      <c r="UQL256" s="26"/>
      <c r="UQP256" s="23"/>
      <c r="UQU256" s="26"/>
      <c r="UQY256" s="23"/>
      <c r="URD256" s="26"/>
      <c r="URH256" s="23"/>
      <c r="URM256" s="26"/>
      <c r="URQ256" s="23"/>
      <c r="URV256" s="26"/>
      <c r="URZ256" s="23"/>
      <c r="USE256" s="26"/>
      <c r="USI256" s="23"/>
      <c r="USN256" s="26"/>
      <c r="USR256" s="23"/>
      <c r="USW256" s="26"/>
      <c r="UTA256" s="23"/>
      <c r="UTF256" s="26"/>
      <c r="UTJ256" s="23"/>
      <c r="UTO256" s="26"/>
      <c r="UTS256" s="23"/>
      <c r="UTX256" s="26"/>
      <c r="UUB256" s="23"/>
      <c r="UUG256" s="26"/>
      <c r="UUK256" s="23"/>
      <c r="UUP256" s="26"/>
      <c r="UUT256" s="23"/>
      <c r="UUY256" s="26"/>
      <c r="UVC256" s="23"/>
      <c r="UVH256" s="26"/>
      <c r="UVL256" s="23"/>
      <c r="UVQ256" s="26"/>
      <c r="UVU256" s="23"/>
      <c r="UVZ256" s="26"/>
      <c r="UWD256" s="23"/>
      <c r="UWI256" s="26"/>
      <c r="UWM256" s="23"/>
      <c r="UWR256" s="26"/>
      <c r="UWV256" s="23"/>
      <c r="UXA256" s="26"/>
      <c r="UXE256" s="23"/>
      <c r="UXJ256" s="26"/>
      <c r="UXN256" s="23"/>
      <c r="UXS256" s="26"/>
      <c r="UXW256" s="23"/>
      <c r="UYB256" s="26"/>
      <c r="UYF256" s="23"/>
      <c r="UYK256" s="26"/>
      <c r="UYO256" s="23"/>
      <c r="UYT256" s="26"/>
      <c r="UYX256" s="23"/>
      <c r="UZC256" s="26"/>
      <c r="UZG256" s="23"/>
      <c r="UZL256" s="26"/>
      <c r="UZP256" s="23"/>
      <c r="UZU256" s="26"/>
      <c r="UZY256" s="23"/>
      <c r="VAD256" s="26"/>
      <c r="VAH256" s="23"/>
      <c r="VAM256" s="26"/>
      <c r="VAQ256" s="23"/>
      <c r="VAV256" s="26"/>
      <c r="VAZ256" s="23"/>
      <c r="VBE256" s="26"/>
      <c r="VBI256" s="23"/>
      <c r="VBN256" s="26"/>
      <c r="VBR256" s="23"/>
      <c r="VBW256" s="26"/>
      <c r="VCA256" s="23"/>
      <c r="VCF256" s="26"/>
      <c r="VCJ256" s="23"/>
      <c r="VCO256" s="26"/>
      <c r="VCS256" s="23"/>
      <c r="VCX256" s="26"/>
      <c r="VDB256" s="23"/>
      <c r="VDG256" s="26"/>
      <c r="VDK256" s="23"/>
      <c r="VDP256" s="26"/>
      <c r="VDT256" s="23"/>
      <c r="VDY256" s="26"/>
      <c r="VEC256" s="23"/>
      <c r="VEH256" s="26"/>
      <c r="VEL256" s="23"/>
      <c r="VEQ256" s="26"/>
      <c r="VEU256" s="23"/>
      <c r="VEZ256" s="26"/>
      <c r="VFD256" s="23"/>
      <c r="VFI256" s="26"/>
      <c r="VFM256" s="23"/>
      <c r="VFR256" s="26"/>
      <c r="VFV256" s="23"/>
      <c r="VGA256" s="26"/>
      <c r="VGE256" s="23"/>
      <c r="VGJ256" s="26"/>
      <c r="VGN256" s="23"/>
      <c r="VGS256" s="26"/>
      <c r="VGW256" s="23"/>
      <c r="VHB256" s="26"/>
      <c r="VHF256" s="23"/>
      <c r="VHK256" s="26"/>
      <c r="VHO256" s="23"/>
      <c r="VHT256" s="26"/>
      <c r="VHX256" s="23"/>
      <c r="VIC256" s="26"/>
      <c r="VIG256" s="23"/>
      <c r="VIL256" s="26"/>
      <c r="VIP256" s="23"/>
      <c r="VIU256" s="26"/>
      <c r="VIY256" s="23"/>
      <c r="VJD256" s="26"/>
      <c r="VJH256" s="23"/>
      <c r="VJM256" s="26"/>
      <c r="VJQ256" s="23"/>
      <c r="VJV256" s="26"/>
      <c r="VJZ256" s="23"/>
      <c r="VKE256" s="26"/>
      <c r="VKI256" s="23"/>
      <c r="VKN256" s="26"/>
      <c r="VKR256" s="23"/>
      <c r="VKW256" s="26"/>
      <c r="VLA256" s="23"/>
      <c r="VLF256" s="26"/>
      <c r="VLJ256" s="23"/>
      <c r="VLO256" s="26"/>
      <c r="VLS256" s="23"/>
      <c r="VLX256" s="26"/>
      <c r="VMB256" s="23"/>
      <c r="VMG256" s="26"/>
      <c r="VMK256" s="23"/>
      <c r="VMP256" s="26"/>
      <c r="VMT256" s="23"/>
      <c r="VMY256" s="26"/>
      <c r="VNC256" s="23"/>
      <c r="VNH256" s="26"/>
      <c r="VNL256" s="23"/>
      <c r="VNQ256" s="26"/>
      <c r="VNU256" s="23"/>
      <c r="VNZ256" s="26"/>
      <c r="VOD256" s="23"/>
      <c r="VOI256" s="26"/>
      <c r="VOM256" s="23"/>
      <c r="VOR256" s="26"/>
      <c r="VOV256" s="23"/>
      <c r="VPA256" s="26"/>
      <c r="VPE256" s="23"/>
      <c r="VPJ256" s="26"/>
      <c r="VPN256" s="23"/>
      <c r="VPS256" s="26"/>
      <c r="VPW256" s="23"/>
      <c r="VQB256" s="26"/>
      <c r="VQF256" s="23"/>
      <c r="VQK256" s="26"/>
      <c r="VQO256" s="23"/>
      <c r="VQT256" s="26"/>
      <c r="VQX256" s="23"/>
      <c r="VRC256" s="26"/>
      <c r="VRG256" s="23"/>
      <c r="VRL256" s="26"/>
      <c r="VRP256" s="23"/>
      <c r="VRU256" s="26"/>
      <c r="VRY256" s="23"/>
      <c r="VSD256" s="26"/>
      <c r="VSH256" s="23"/>
      <c r="VSM256" s="26"/>
      <c r="VSQ256" s="23"/>
      <c r="VSV256" s="26"/>
      <c r="VSZ256" s="23"/>
      <c r="VTE256" s="26"/>
      <c r="VTI256" s="23"/>
      <c r="VTN256" s="26"/>
      <c r="VTR256" s="23"/>
      <c r="VTW256" s="26"/>
      <c r="VUA256" s="23"/>
      <c r="VUF256" s="26"/>
      <c r="VUJ256" s="23"/>
      <c r="VUO256" s="26"/>
      <c r="VUS256" s="23"/>
      <c r="VUX256" s="26"/>
      <c r="VVB256" s="23"/>
      <c r="VVG256" s="26"/>
      <c r="VVK256" s="23"/>
      <c r="VVP256" s="26"/>
      <c r="VVT256" s="23"/>
      <c r="VVY256" s="26"/>
      <c r="VWC256" s="23"/>
      <c r="VWH256" s="26"/>
      <c r="VWL256" s="23"/>
      <c r="VWQ256" s="26"/>
      <c r="VWU256" s="23"/>
      <c r="VWZ256" s="26"/>
      <c r="VXD256" s="23"/>
      <c r="VXI256" s="26"/>
      <c r="VXM256" s="23"/>
      <c r="VXR256" s="26"/>
      <c r="VXV256" s="23"/>
      <c r="VYA256" s="26"/>
      <c r="VYE256" s="23"/>
      <c r="VYJ256" s="26"/>
      <c r="VYN256" s="23"/>
      <c r="VYS256" s="26"/>
      <c r="VYW256" s="23"/>
      <c r="VZB256" s="26"/>
      <c r="VZF256" s="23"/>
      <c r="VZK256" s="26"/>
      <c r="VZO256" s="23"/>
      <c r="VZT256" s="26"/>
      <c r="VZX256" s="23"/>
      <c r="WAC256" s="26"/>
      <c r="WAG256" s="23"/>
      <c r="WAL256" s="26"/>
      <c r="WAP256" s="23"/>
      <c r="WAU256" s="26"/>
      <c r="WAY256" s="23"/>
      <c r="WBD256" s="26"/>
      <c r="WBH256" s="23"/>
      <c r="WBM256" s="26"/>
      <c r="WBQ256" s="23"/>
      <c r="WBV256" s="26"/>
      <c r="WBZ256" s="23"/>
      <c r="WCE256" s="26"/>
      <c r="WCI256" s="23"/>
      <c r="WCN256" s="26"/>
      <c r="WCR256" s="23"/>
      <c r="WCW256" s="26"/>
      <c r="WDA256" s="23"/>
      <c r="WDF256" s="26"/>
      <c r="WDJ256" s="23"/>
      <c r="WDO256" s="26"/>
      <c r="WDS256" s="23"/>
      <c r="WDX256" s="26"/>
      <c r="WEB256" s="23"/>
      <c r="WEG256" s="26"/>
      <c r="WEK256" s="23"/>
      <c r="WEP256" s="26"/>
      <c r="WET256" s="23"/>
      <c r="WEY256" s="26"/>
      <c r="WFC256" s="23"/>
      <c r="WFH256" s="26"/>
      <c r="WFL256" s="23"/>
      <c r="WFQ256" s="26"/>
      <c r="WFU256" s="23"/>
      <c r="WFZ256" s="26"/>
      <c r="WGD256" s="23"/>
      <c r="WGI256" s="26"/>
      <c r="WGM256" s="23"/>
      <c r="WGR256" s="26"/>
      <c r="WGV256" s="23"/>
      <c r="WHA256" s="26"/>
      <c r="WHE256" s="23"/>
      <c r="WHJ256" s="26"/>
      <c r="WHN256" s="23"/>
      <c r="WHS256" s="26"/>
      <c r="WHW256" s="23"/>
      <c r="WIB256" s="26"/>
      <c r="WIF256" s="23"/>
      <c r="WIK256" s="26"/>
      <c r="WIO256" s="23"/>
      <c r="WIT256" s="26"/>
      <c r="WIX256" s="23"/>
      <c r="WJC256" s="26"/>
      <c r="WJG256" s="23"/>
      <c r="WJL256" s="26"/>
      <c r="WJP256" s="23"/>
      <c r="WJU256" s="26"/>
      <c r="WJY256" s="23"/>
      <c r="WKD256" s="26"/>
      <c r="WKH256" s="23"/>
      <c r="WKM256" s="26"/>
      <c r="WKQ256" s="23"/>
      <c r="WKV256" s="26"/>
      <c r="WKZ256" s="23"/>
      <c r="WLE256" s="26"/>
      <c r="WLI256" s="23"/>
      <c r="WLN256" s="26"/>
      <c r="WLR256" s="23"/>
      <c r="WLW256" s="26"/>
      <c r="WMA256" s="23"/>
      <c r="WMF256" s="26"/>
      <c r="WMJ256" s="23"/>
      <c r="WMO256" s="26"/>
      <c r="WMS256" s="23"/>
      <c r="WMX256" s="26"/>
      <c r="WNB256" s="23"/>
      <c r="WNG256" s="26"/>
      <c r="WNK256" s="23"/>
      <c r="WNP256" s="26"/>
      <c r="WNT256" s="23"/>
      <c r="WNY256" s="26"/>
      <c r="WOC256" s="23"/>
      <c r="WOH256" s="26"/>
      <c r="WOL256" s="23"/>
      <c r="WOQ256" s="26"/>
      <c r="WOU256" s="23"/>
      <c r="WOZ256" s="26"/>
      <c r="WPD256" s="23"/>
      <c r="WPI256" s="26"/>
      <c r="WPM256" s="23"/>
      <c r="WPR256" s="26"/>
      <c r="WPV256" s="23"/>
      <c r="WQA256" s="26"/>
      <c r="WQE256" s="23"/>
      <c r="WQJ256" s="26"/>
      <c r="WQN256" s="23"/>
      <c r="WQS256" s="26"/>
      <c r="WQW256" s="23"/>
      <c r="WRB256" s="26"/>
      <c r="WRF256" s="23"/>
      <c r="WRK256" s="26"/>
      <c r="WRO256" s="23"/>
      <c r="WRT256" s="26"/>
      <c r="WRX256" s="23"/>
      <c r="WSC256" s="26"/>
      <c r="WSG256" s="23"/>
      <c r="WSL256" s="26"/>
      <c r="WSP256" s="23"/>
      <c r="WSU256" s="26"/>
      <c r="WSY256" s="23"/>
      <c r="WTD256" s="26"/>
      <c r="WTH256" s="23"/>
      <c r="WTM256" s="26"/>
      <c r="WTQ256" s="23"/>
      <c r="WTV256" s="26"/>
      <c r="WTZ256" s="23"/>
      <c r="WUE256" s="26"/>
      <c r="WUI256" s="23"/>
      <c r="WUN256" s="26"/>
      <c r="WUR256" s="23"/>
      <c r="WUW256" s="26"/>
      <c r="WVA256" s="23"/>
      <c r="WVF256" s="26"/>
      <c r="WVJ256" s="23"/>
      <c r="WVO256" s="26"/>
      <c r="WVS256" s="23"/>
      <c r="WVX256" s="26"/>
      <c r="WWB256" s="23"/>
      <c r="WWG256" s="26"/>
      <c r="WWK256" s="23"/>
      <c r="WWP256" s="26"/>
      <c r="WWT256" s="23"/>
      <c r="WWY256" s="26"/>
      <c r="WXC256" s="23"/>
      <c r="WXH256" s="26"/>
      <c r="WXL256" s="23"/>
      <c r="WXQ256" s="26"/>
      <c r="WXU256" s="23"/>
      <c r="WXZ256" s="26"/>
      <c r="WYD256" s="23"/>
      <c r="WYI256" s="26"/>
      <c r="WYM256" s="23"/>
      <c r="WYR256" s="26"/>
      <c r="WYV256" s="23"/>
      <c r="WZA256" s="26"/>
      <c r="WZE256" s="23"/>
      <c r="WZJ256" s="26"/>
      <c r="WZN256" s="23"/>
      <c r="WZS256" s="26"/>
      <c r="WZW256" s="23"/>
      <c r="XAB256" s="26"/>
      <c r="XAF256" s="23"/>
      <c r="XAK256" s="26"/>
      <c r="XAO256" s="23"/>
      <c r="XAT256" s="26"/>
      <c r="XAX256" s="23"/>
      <c r="XBC256" s="26"/>
      <c r="XBG256" s="23"/>
      <c r="XBL256" s="26"/>
      <c r="XBP256" s="23"/>
      <c r="XBU256" s="26"/>
      <c r="XBY256" s="23"/>
      <c r="XCD256" s="26"/>
      <c r="XCH256" s="23"/>
      <c r="XCM256" s="26"/>
      <c r="XCQ256" s="23"/>
      <c r="XCV256" s="26"/>
      <c r="XCZ256" s="23"/>
      <c r="XDE256" s="26"/>
      <c r="XDI256" s="23"/>
      <c r="XDN256" s="26"/>
      <c r="XDR256" s="23"/>
      <c r="XDW256" s="26"/>
      <c r="XEA256" s="23"/>
      <c r="XEF256" s="26"/>
      <c r="XEJ256" s="23"/>
      <c r="XEO256" s="26"/>
      <c r="XES256" s="23"/>
      <c r="XEX256" s="26"/>
      <c r="XFB256" s="23"/>
    </row>
    <row r="257" spans="2:1024 1028:2045 2050:3071 3076:4093 4097:5119 5123:6140 6145:7166 7171:8192 8197:9214 9218:10240 10244:11261 11266:12287 12292:13309 13313:14335 14339:15356 15361:16382" x14ac:dyDescent="0.3">
      <c r="B257" s="23"/>
      <c r="K257" s="23"/>
      <c r="P257" s="26"/>
      <c r="T257" s="23"/>
      <c r="Y257" s="26"/>
      <c r="AC257" s="23"/>
      <c r="AH257" s="26"/>
      <c r="AL257" s="23"/>
      <c r="AQ257" s="26"/>
      <c r="AU257" s="23"/>
      <c r="AZ257" s="26"/>
      <c r="BD257" s="23"/>
      <c r="BI257" s="26"/>
      <c r="BM257" s="23"/>
      <c r="BR257" s="26"/>
      <c r="BV257" s="23"/>
      <c r="CA257" s="26"/>
      <c r="CE257" s="23"/>
      <c r="CJ257" s="26"/>
      <c r="CN257" s="23"/>
      <c r="CS257" s="26"/>
      <c r="CW257" s="23"/>
      <c r="DB257" s="26"/>
      <c r="DF257" s="23"/>
      <c r="DK257" s="26"/>
      <c r="DO257" s="23"/>
      <c r="DT257" s="26"/>
      <c r="DX257" s="23"/>
      <c r="EC257" s="26"/>
      <c r="EG257" s="23"/>
      <c r="EL257" s="26"/>
      <c r="EP257" s="23"/>
      <c r="EU257" s="26"/>
      <c r="EY257" s="23"/>
      <c r="FD257" s="26"/>
      <c r="FH257" s="23"/>
      <c r="FM257" s="26"/>
      <c r="FQ257" s="23"/>
      <c r="FV257" s="26"/>
      <c r="FZ257" s="23"/>
      <c r="GE257" s="26"/>
      <c r="GI257" s="23"/>
      <c r="GN257" s="26"/>
      <c r="GR257" s="23"/>
      <c r="GW257" s="26"/>
      <c r="HA257" s="23"/>
      <c r="HF257" s="26"/>
      <c r="HJ257" s="23"/>
      <c r="HO257" s="26"/>
      <c r="HS257" s="23"/>
      <c r="HX257" s="26"/>
      <c r="IB257" s="23"/>
      <c r="IG257" s="26"/>
      <c r="IK257" s="23"/>
      <c r="IP257" s="26"/>
      <c r="IT257" s="23"/>
      <c r="IY257" s="26"/>
      <c r="JC257" s="23"/>
      <c r="JH257" s="26"/>
      <c r="JL257" s="23"/>
      <c r="JQ257" s="26"/>
      <c r="JU257" s="23"/>
      <c r="JZ257" s="26"/>
      <c r="KD257" s="23"/>
      <c r="KI257" s="26"/>
      <c r="KM257" s="23"/>
      <c r="KR257" s="26"/>
      <c r="KV257" s="23"/>
      <c r="LA257" s="26"/>
      <c r="LE257" s="23"/>
      <c r="LJ257" s="26"/>
      <c r="LN257" s="23"/>
      <c r="LS257" s="26"/>
      <c r="LW257" s="23"/>
      <c r="MB257" s="26"/>
      <c r="MF257" s="23"/>
      <c r="MK257" s="26"/>
      <c r="MO257" s="23"/>
      <c r="MT257" s="26"/>
      <c r="MX257" s="23"/>
      <c r="NC257" s="26"/>
      <c r="NG257" s="23"/>
      <c r="NL257" s="26"/>
      <c r="NP257" s="23"/>
      <c r="NU257" s="26"/>
      <c r="NY257" s="23"/>
      <c r="OD257" s="26"/>
      <c r="OH257" s="23"/>
      <c r="OM257" s="26"/>
      <c r="OQ257" s="23"/>
      <c r="OV257" s="26"/>
      <c r="OZ257" s="23"/>
      <c r="PE257" s="26"/>
      <c r="PI257" s="23"/>
      <c r="PN257" s="26"/>
      <c r="PR257" s="23"/>
      <c r="PW257" s="26"/>
      <c r="QA257" s="23"/>
      <c r="QF257" s="26"/>
      <c r="QJ257" s="23"/>
      <c r="QO257" s="26"/>
      <c r="QS257" s="23"/>
      <c r="QX257" s="26"/>
      <c r="RB257" s="23"/>
      <c r="RG257" s="26"/>
      <c r="RK257" s="23"/>
      <c r="RP257" s="26"/>
      <c r="RT257" s="23"/>
      <c r="RY257" s="26"/>
      <c r="SC257" s="23"/>
      <c r="SH257" s="26"/>
      <c r="SL257" s="23"/>
      <c r="SQ257" s="26"/>
      <c r="SU257" s="23"/>
      <c r="SZ257" s="26"/>
      <c r="TD257" s="23"/>
      <c r="TI257" s="26"/>
      <c r="TM257" s="23"/>
      <c r="TR257" s="26"/>
      <c r="TV257" s="23"/>
      <c r="UA257" s="26"/>
      <c r="UE257" s="23"/>
      <c r="UJ257" s="26"/>
      <c r="UN257" s="23"/>
      <c r="US257" s="26"/>
      <c r="UW257" s="23"/>
      <c r="VB257" s="26"/>
      <c r="VF257" s="23"/>
      <c r="VK257" s="26"/>
      <c r="VO257" s="23"/>
      <c r="VT257" s="26"/>
      <c r="VX257" s="23"/>
      <c r="WC257" s="26"/>
      <c r="WG257" s="23"/>
      <c r="WL257" s="26"/>
      <c r="WP257" s="23"/>
      <c r="WU257" s="26"/>
      <c r="WY257" s="23"/>
      <c r="XD257" s="26"/>
      <c r="XH257" s="23"/>
      <c r="XM257" s="26"/>
      <c r="XQ257" s="23"/>
      <c r="XV257" s="26"/>
      <c r="XZ257" s="23"/>
      <c r="YE257" s="26"/>
      <c r="YI257" s="23"/>
      <c r="YN257" s="26"/>
      <c r="YR257" s="23"/>
      <c r="YW257" s="26"/>
      <c r="ZA257" s="23"/>
      <c r="ZF257" s="26"/>
      <c r="ZJ257" s="23"/>
      <c r="ZO257" s="26"/>
      <c r="ZS257" s="23"/>
      <c r="ZX257" s="26"/>
      <c r="AAB257" s="23"/>
      <c r="AAG257" s="26"/>
      <c r="AAK257" s="23"/>
      <c r="AAP257" s="26"/>
      <c r="AAT257" s="23"/>
      <c r="AAY257" s="26"/>
      <c r="ABC257" s="23"/>
      <c r="ABH257" s="26"/>
      <c r="ABL257" s="23"/>
      <c r="ABQ257" s="26"/>
      <c r="ABU257" s="23"/>
      <c r="ABZ257" s="26"/>
      <c r="ACD257" s="23"/>
      <c r="ACI257" s="26"/>
      <c r="ACM257" s="23"/>
      <c r="ACR257" s="26"/>
      <c r="ACV257" s="23"/>
      <c r="ADA257" s="26"/>
      <c r="ADE257" s="23"/>
      <c r="ADJ257" s="26"/>
      <c r="ADN257" s="23"/>
      <c r="ADS257" s="26"/>
      <c r="ADW257" s="23"/>
      <c r="AEB257" s="26"/>
      <c r="AEF257" s="23"/>
      <c r="AEK257" s="26"/>
      <c r="AEO257" s="23"/>
      <c r="AET257" s="26"/>
      <c r="AEX257" s="23"/>
      <c r="AFC257" s="26"/>
      <c r="AFG257" s="23"/>
      <c r="AFL257" s="26"/>
      <c r="AFP257" s="23"/>
      <c r="AFU257" s="26"/>
      <c r="AFY257" s="23"/>
      <c r="AGD257" s="26"/>
      <c r="AGH257" s="23"/>
      <c r="AGM257" s="26"/>
      <c r="AGQ257" s="23"/>
      <c r="AGV257" s="26"/>
      <c r="AGZ257" s="23"/>
      <c r="AHE257" s="26"/>
      <c r="AHI257" s="23"/>
      <c r="AHN257" s="26"/>
      <c r="AHR257" s="23"/>
      <c r="AHW257" s="26"/>
      <c r="AIA257" s="23"/>
      <c r="AIF257" s="26"/>
      <c r="AIJ257" s="23"/>
      <c r="AIO257" s="26"/>
      <c r="AIS257" s="23"/>
      <c r="AIX257" s="26"/>
      <c r="AJB257" s="23"/>
      <c r="AJG257" s="26"/>
      <c r="AJK257" s="23"/>
      <c r="AJP257" s="26"/>
      <c r="AJT257" s="23"/>
      <c r="AJY257" s="26"/>
      <c r="AKC257" s="23"/>
      <c r="AKH257" s="26"/>
      <c r="AKL257" s="23"/>
      <c r="AKQ257" s="26"/>
      <c r="AKU257" s="23"/>
      <c r="AKZ257" s="26"/>
      <c r="ALD257" s="23"/>
      <c r="ALI257" s="26"/>
      <c r="ALM257" s="23"/>
      <c r="ALR257" s="26"/>
      <c r="ALV257" s="23"/>
      <c r="AMA257" s="26"/>
      <c r="AME257" s="23"/>
      <c r="AMJ257" s="26"/>
      <c r="AMN257" s="23"/>
      <c r="AMS257" s="26"/>
      <c r="AMW257" s="23"/>
      <c r="ANB257" s="26"/>
      <c r="ANF257" s="23"/>
      <c r="ANK257" s="26"/>
      <c r="ANO257" s="23"/>
      <c r="ANT257" s="26"/>
      <c r="ANX257" s="23"/>
      <c r="AOC257" s="26"/>
      <c r="AOG257" s="23"/>
      <c r="AOL257" s="26"/>
      <c r="AOP257" s="23"/>
      <c r="AOU257" s="26"/>
      <c r="AOY257" s="23"/>
      <c r="APD257" s="26"/>
      <c r="APH257" s="23"/>
      <c r="APM257" s="26"/>
      <c r="APQ257" s="23"/>
      <c r="APV257" s="26"/>
      <c r="APZ257" s="23"/>
      <c r="AQE257" s="26"/>
      <c r="AQI257" s="23"/>
      <c r="AQN257" s="26"/>
      <c r="AQR257" s="23"/>
      <c r="AQW257" s="26"/>
      <c r="ARA257" s="23"/>
      <c r="ARF257" s="26"/>
      <c r="ARJ257" s="23"/>
      <c r="ARO257" s="26"/>
      <c r="ARS257" s="23"/>
      <c r="ARX257" s="26"/>
      <c r="ASB257" s="23"/>
      <c r="ASG257" s="26"/>
      <c r="ASK257" s="23"/>
      <c r="ASP257" s="26"/>
      <c r="AST257" s="23"/>
      <c r="ASY257" s="26"/>
      <c r="ATC257" s="23"/>
      <c r="ATH257" s="26"/>
      <c r="ATL257" s="23"/>
      <c r="ATQ257" s="26"/>
      <c r="ATU257" s="23"/>
      <c r="ATZ257" s="26"/>
      <c r="AUD257" s="23"/>
      <c r="AUI257" s="26"/>
      <c r="AUM257" s="23"/>
      <c r="AUR257" s="26"/>
      <c r="AUV257" s="23"/>
      <c r="AVA257" s="26"/>
      <c r="AVE257" s="23"/>
      <c r="AVJ257" s="26"/>
      <c r="AVN257" s="23"/>
      <c r="AVS257" s="26"/>
      <c r="AVW257" s="23"/>
      <c r="AWB257" s="26"/>
      <c r="AWF257" s="23"/>
      <c r="AWK257" s="26"/>
      <c r="AWO257" s="23"/>
      <c r="AWT257" s="26"/>
      <c r="AWX257" s="23"/>
      <c r="AXC257" s="26"/>
      <c r="AXG257" s="23"/>
      <c r="AXL257" s="26"/>
      <c r="AXP257" s="23"/>
      <c r="AXU257" s="26"/>
      <c r="AXY257" s="23"/>
      <c r="AYD257" s="26"/>
      <c r="AYH257" s="23"/>
      <c r="AYM257" s="26"/>
      <c r="AYQ257" s="23"/>
      <c r="AYV257" s="26"/>
      <c r="AYZ257" s="23"/>
      <c r="AZE257" s="26"/>
      <c r="AZI257" s="23"/>
      <c r="AZN257" s="26"/>
      <c r="AZR257" s="23"/>
      <c r="AZW257" s="26"/>
      <c r="BAA257" s="23"/>
      <c r="BAF257" s="26"/>
      <c r="BAJ257" s="23"/>
      <c r="BAO257" s="26"/>
      <c r="BAS257" s="23"/>
      <c r="BAX257" s="26"/>
      <c r="BBB257" s="23"/>
      <c r="BBG257" s="26"/>
      <c r="BBK257" s="23"/>
      <c r="BBP257" s="26"/>
      <c r="BBT257" s="23"/>
      <c r="BBY257" s="26"/>
      <c r="BCC257" s="23"/>
      <c r="BCH257" s="26"/>
      <c r="BCL257" s="23"/>
      <c r="BCQ257" s="26"/>
      <c r="BCU257" s="23"/>
      <c r="BCZ257" s="26"/>
      <c r="BDD257" s="23"/>
      <c r="BDI257" s="26"/>
      <c r="BDM257" s="23"/>
      <c r="BDR257" s="26"/>
      <c r="BDV257" s="23"/>
      <c r="BEA257" s="26"/>
      <c r="BEE257" s="23"/>
      <c r="BEJ257" s="26"/>
      <c r="BEN257" s="23"/>
      <c r="BES257" s="26"/>
      <c r="BEW257" s="23"/>
      <c r="BFB257" s="26"/>
      <c r="BFF257" s="23"/>
      <c r="BFK257" s="26"/>
      <c r="BFO257" s="23"/>
      <c r="BFT257" s="26"/>
      <c r="BFX257" s="23"/>
      <c r="BGC257" s="26"/>
      <c r="BGG257" s="23"/>
      <c r="BGL257" s="26"/>
      <c r="BGP257" s="23"/>
      <c r="BGU257" s="26"/>
      <c r="BGY257" s="23"/>
      <c r="BHD257" s="26"/>
      <c r="BHH257" s="23"/>
      <c r="BHM257" s="26"/>
      <c r="BHQ257" s="23"/>
      <c r="BHV257" s="26"/>
      <c r="BHZ257" s="23"/>
      <c r="BIE257" s="26"/>
      <c r="BII257" s="23"/>
      <c r="BIN257" s="26"/>
      <c r="BIR257" s="23"/>
      <c r="BIW257" s="26"/>
      <c r="BJA257" s="23"/>
      <c r="BJF257" s="26"/>
      <c r="BJJ257" s="23"/>
      <c r="BJO257" s="26"/>
      <c r="BJS257" s="23"/>
      <c r="BJX257" s="26"/>
      <c r="BKB257" s="23"/>
      <c r="BKG257" s="26"/>
      <c r="BKK257" s="23"/>
      <c r="BKP257" s="26"/>
      <c r="BKT257" s="23"/>
      <c r="BKY257" s="26"/>
      <c r="BLC257" s="23"/>
      <c r="BLH257" s="26"/>
      <c r="BLL257" s="23"/>
      <c r="BLQ257" s="26"/>
      <c r="BLU257" s="23"/>
      <c r="BLZ257" s="26"/>
      <c r="BMD257" s="23"/>
      <c r="BMI257" s="26"/>
      <c r="BMM257" s="23"/>
      <c r="BMR257" s="26"/>
      <c r="BMV257" s="23"/>
      <c r="BNA257" s="26"/>
      <c r="BNE257" s="23"/>
      <c r="BNJ257" s="26"/>
      <c r="BNN257" s="23"/>
      <c r="BNS257" s="26"/>
      <c r="BNW257" s="23"/>
      <c r="BOB257" s="26"/>
      <c r="BOF257" s="23"/>
      <c r="BOK257" s="26"/>
      <c r="BOO257" s="23"/>
      <c r="BOT257" s="26"/>
      <c r="BOX257" s="23"/>
      <c r="BPC257" s="26"/>
      <c r="BPG257" s="23"/>
      <c r="BPL257" s="26"/>
      <c r="BPP257" s="23"/>
      <c r="BPU257" s="26"/>
      <c r="BPY257" s="23"/>
      <c r="BQD257" s="26"/>
      <c r="BQH257" s="23"/>
      <c r="BQM257" s="26"/>
      <c r="BQQ257" s="23"/>
      <c r="BQV257" s="26"/>
      <c r="BQZ257" s="23"/>
      <c r="BRE257" s="26"/>
      <c r="BRI257" s="23"/>
      <c r="BRN257" s="26"/>
      <c r="BRR257" s="23"/>
      <c r="BRW257" s="26"/>
      <c r="BSA257" s="23"/>
      <c r="BSF257" s="26"/>
      <c r="BSJ257" s="23"/>
      <c r="BSO257" s="26"/>
      <c r="BSS257" s="23"/>
      <c r="BSX257" s="26"/>
      <c r="BTB257" s="23"/>
      <c r="BTG257" s="26"/>
      <c r="BTK257" s="23"/>
      <c r="BTP257" s="26"/>
      <c r="BTT257" s="23"/>
      <c r="BTY257" s="26"/>
      <c r="BUC257" s="23"/>
      <c r="BUH257" s="26"/>
      <c r="BUL257" s="23"/>
      <c r="BUQ257" s="26"/>
      <c r="BUU257" s="23"/>
      <c r="BUZ257" s="26"/>
      <c r="BVD257" s="23"/>
      <c r="BVI257" s="26"/>
      <c r="BVM257" s="23"/>
      <c r="BVR257" s="26"/>
      <c r="BVV257" s="23"/>
      <c r="BWA257" s="26"/>
      <c r="BWE257" s="23"/>
      <c r="BWJ257" s="26"/>
      <c r="BWN257" s="23"/>
      <c r="BWS257" s="26"/>
      <c r="BWW257" s="23"/>
      <c r="BXB257" s="26"/>
      <c r="BXF257" s="23"/>
      <c r="BXK257" s="26"/>
      <c r="BXO257" s="23"/>
      <c r="BXT257" s="26"/>
      <c r="BXX257" s="23"/>
      <c r="BYC257" s="26"/>
      <c r="BYG257" s="23"/>
      <c r="BYL257" s="26"/>
      <c r="BYP257" s="23"/>
      <c r="BYU257" s="26"/>
      <c r="BYY257" s="23"/>
      <c r="BZD257" s="26"/>
      <c r="BZH257" s="23"/>
      <c r="BZM257" s="26"/>
      <c r="BZQ257" s="23"/>
      <c r="BZV257" s="26"/>
      <c r="BZZ257" s="23"/>
      <c r="CAE257" s="26"/>
      <c r="CAI257" s="23"/>
      <c r="CAN257" s="26"/>
      <c r="CAR257" s="23"/>
      <c r="CAW257" s="26"/>
      <c r="CBA257" s="23"/>
      <c r="CBF257" s="26"/>
      <c r="CBJ257" s="23"/>
      <c r="CBO257" s="26"/>
      <c r="CBS257" s="23"/>
      <c r="CBX257" s="26"/>
      <c r="CCB257" s="23"/>
      <c r="CCG257" s="26"/>
      <c r="CCK257" s="23"/>
      <c r="CCP257" s="26"/>
      <c r="CCT257" s="23"/>
      <c r="CCY257" s="26"/>
      <c r="CDC257" s="23"/>
      <c r="CDH257" s="26"/>
      <c r="CDL257" s="23"/>
      <c r="CDQ257" s="26"/>
      <c r="CDU257" s="23"/>
      <c r="CDZ257" s="26"/>
      <c r="CED257" s="23"/>
      <c r="CEI257" s="26"/>
      <c r="CEM257" s="23"/>
      <c r="CER257" s="26"/>
      <c r="CEV257" s="23"/>
      <c r="CFA257" s="26"/>
      <c r="CFE257" s="23"/>
      <c r="CFJ257" s="26"/>
      <c r="CFN257" s="23"/>
      <c r="CFS257" s="26"/>
      <c r="CFW257" s="23"/>
      <c r="CGB257" s="26"/>
      <c r="CGF257" s="23"/>
      <c r="CGK257" s="26"/>
      <c r="CGO257" s="23"/>
      <c r="CGT257" s="26"/>
      <c r="CGX257" s="23"/>
      <c r="CHC257" s="26"/>
      <c r="CHG257" s="23"/>
      <c r="CHL257" s="26"/>
      <c r="CHP257" s="23"/>
      <c r="CHU257" s="26"/>
      <c r="CHY257" s="23"/>
      <c r="CID257" s="26"/>
      <c r="CIH257" s="23"/>
      <c r="CIM257" s="26"/>
      <c r="CIQ257" s="23"/>
      <c r="CIV257" s="26"/>
      <c r="CIZ257" s="23"/>
      <c r="CJE257" s="26"/>
      <c r="CJI257" s="23"/>
      <c r="CJN257" s="26"/>
      <c r="CJR257" s="23"/>
      <c r="CJW257" s="26"/>
      <c r="CKA257" s="23"/>
      <c r="CKF257" s="26"/>
      <c r="CKJ257" s="23"/>
      <c r="CKO257" s="26"/>
      <c r="CKS257" s="23"/>
      <c r="CKX257" s="26"/>
      <c r="CLB257" s="23"/>
      <c r="CLG257" s="26"/>
      <c r="CLK257" s="23"/>
      <c r="CLP257" s="26"/>
      <c r="CLT257" s="23"/>
      <c r="CLY257" s="26"/>
      <c r="CMC257" s="23"/>
      <c r="CMH257" s="26"/>
      <c r="CML257" s="23"/>
      <c r="CMQ257" s="26"/>
      <c r="CMU257" s="23"/>
      <c r="CMZ257" s="26"/>
      <c r="CND257" s="23"/>
      <c r="CNI257" s="26"/>
      <c r="CNM257" s="23"/>
      <c r="CNR257" s="26"/>
      <c r="CNV257" s="23"/>
      <c r="COA257" s="26"/>
      <c r="COE257" s="23"/>
      <c r="COJ257" s="26"/>
      <c r="CON257" s="23"/>
      <c r="COS257" s="26"/>
      <c r="COW257" s="23"/>
      <c r="CPB257" s="26"/>
      <c r="CPF257" s="23"/>
      <c r="CPK257" s="26"/>
      <c r="CPO257" s="23"/>
      <c r="CPT257" s="26"/>
      <c r="CPX257" s="23"/>
      <c r="CQC257" s="26"/>
      <c r="CQG257" s="23"/>
      <c r="CQL257" s="26"/>
      <c r="CQP257" s="23"/>
      <c r="CQU257" s="26"/>
      <c r="CQY257" s="23"/>
      <c r="CRD257" s="26"/>
      <c r="CRH257" s="23"/>
      <c r="CRM257" s="26"/>
      <c r="CRQ257" s="23"/>
      <c r="CRV257" s="26"/>
      <c r="CRZ257" s="23"/>
      <c r="CSE257" s="26"/>
      <c r="CSI257" s="23"/>
      <c r="CSN257" s="26"/>
      <c r="CSR257" s="23"/>
      <c r="CSW257" s="26"/>
      <c r="CTA257" s="23"/>
      <c r="CTF257" s="26"/>
      <c r="CTJ257" s="23"/>
      <c r="CTO257" s="26"/>
      <c r="CTS257" s="23"/>
      <c r="CTX257" s="26"/>
      <c r="CUB257" s="23"/>
      <c r="CUG257" s="26"/>
      <c r="CUK257" s="23"/>
      <c r="CUP257" s="26"/>
      <c r="CUT257" s="23"/>
      <c r="CUY257" s="26"/>
      <c r="CVC257" s="23"/>
      <c r="CVH257" s="26"/>
      <c r="CVL257" s="23"/>
      <c r="CVQ257" s="26"/>
      <c r="CVU257" s="23"/>
      <c r="CVZ257" s="26"/>
      <c r="CWD257" s="23"/>
      <c r="CWI257" s="26"/>
      <c r="CWM257" s="23"/>
      <c r="CWR257" s="26"/>
      <c r="CWV257" s="23"/>
      <c r="CXA257" s="26"/>
      <c r="CXE257" s="23"/>
      <c r="CXJ257" s="26"/>
      <c r="CXN257" s="23"/>
      <c r="CXS257" s="26"/>
      <c r="CXW257" s="23"/>
      <c r="CYB257" s="26"/>
      <c r="CYF257" s="23"/>
      <c r="CYK257" s="26"/>
      <c r="CYO257" s="23"/>
      <c r="CYT257" s="26"/>
      <c r="CYX257" s="23"/>
      <c r="CZC257" s="26"/>
      <c r="CZG257" s="23"/>
      <c r="CZL257" s="26"/>
      <c r="CZP257" s="23"/>
      <c r="CZU257" s="26"/>
      <c r="CZY257" s="23"/>
      <c r="DAD257" s="26"/>
      <c r="DAH257" s="23"/>
      <c r="DAM257" s="26"/>
      <c r="DAQ257" s="23"/>
      <c r="DAV257" s="26"/>
      <c r="DAZ257" s="23"/>
      <c r="DBE257" s="26"/>
      <c r="DBI257" s="23"/>
      <c r="DBN257" s="26"/>
      <c r="DBR257" s="23"/>
      <c r="DBW257" s="26"/>
      <c r="DCA257" s="23"/>
      <c r="DCF257" s="26"/>
      <c r="DCJ257" s="23"/>
      <c r="DCO257" s="26"/>
      <c r="DCS257" s="23"/>
      <c r="DCX257" s="26"/>
      <c r="DDB257" s="23"/>
      <c r="DDG257" s="26"/>
      <c r="DDK257" s="23"/>
      <c r="DDP257" s="26"/>
      <c r="DDT257" s="23"/>
      <c r="DDY257" s="26"/>
      <c r="DEC257" s="23"/>
      <c r="DEH257" s="26"/>
      <c r="DEL257" s="23"/>
      <c r="DEQ257" s="26"/>
      <c r="DEU257" s="23"/>
      <c r="DEZ257" s="26"/>
      <c r="DFD257" s="23"/>
      <c r="DFI257" s="26"/>
      <c r="DFM257" s="23"/>
      <c r="DFR257" s="26"/>
      <c r="DFV257" s="23"/>
      <c r="DGA257" s="26"/>
      <c r="DGE257" s="23"/>
      <c r="DGJ257" s="26"/>
      <c r="DGN257" s="23"/>
      <c r="DGS257" s="26"/>
      <c r="DGW257" s="23"/>
      <c r="DHB257" s="26"/>
      <c r="DHF257" s="23"/>
      <c r="DHK257" s="26"/>
      <c r="DHO257" s="23"/>
      <c r="DHT257" s="26"/>
      <c r="DHX257" s="23"/>
      <c r="DIC257" s="26"/>
      <c r="DIG257" s="23"/>
      <c r="DIL257" s="26"/>
      <c r="DIP257" s="23"/>
      <c r="DIU257" s="26"/>
      <c r="DIY257" s="23"/>
      <c r="DJD257" s="26"/>
      <c r="DJH257" s="23"/>
      <c r="DJM257" s="26"/>
      <c r="DJQ257" s="23"/>
      <c r="DJV257" s="26"/>
      <c r="DJZ257" s="23"/>
      <c r="DKE257" s="26"/>
      <c r="DKI257" s="23"/>
      <c r="DKN257" s="26"/>
      <c r="DKR257" s="23"/>
      <c r="DKW257" s="26"/>
      <c r="DLA257" s="23"/>
      <c r="DLF257" s="26"/>
      <c r="DLJ257" s="23"/>
      <c r="DLO257" s="26"/>
      <c r="DLS257" s="23"/>
      <c r="DLX257" s="26"/>
      <c r="DMB257" s="23"/>
      <c r="DMG257" s="26"/>
      <c r="DMK257" s="23"/>
      <c r="DMP257" s="26"/>
      <c r="DMT257" s="23"/>
      <c r="DMY257" s="26"/>
      <c r="DNC257" s="23"/>
      <c r="DNH257" s="26"/>
      <c r="DNL257" s="23"/>
      <c r="DNQ257" s="26"/>
      <c r="DNU257" s="23"/>
      <c r="DNZ257" s="26"/>
      <c r="DOD257" s="23"/>
      <c r="DOI257" s="26"/>
      <c r="DOM257" s="23"/>
      <c r="DOR257" s="26"/>
      <c r="DOV257" s="23"/>
      <c r="DPA257" s="26"/>
      <c r="DPE257" s="23"/>
      <c r="DPJ257" s="26"/>
      <c r="DPN257" s="23"/>
      <c r="DPS257" s="26"/>
      <c r="DPW257" s="23"/>
      <c r="DQB257" s="26"/>
      <c r="DQF257" s="23"/>
      <c r="DQK257" s="26"/>
      <c r="DQO257" s="23"/>
      <c r="DQT257" s="26"/>
      <c r="DQX257" s="23"/>
      <c r="DRC257" s="26"/>
      <c r="DRG257" s="23"/>
      <c r="DRL257" s="26"/>
      <c r="DRP257" s="23"/>
      <c r="DRU257" s="26"/>
      <c r="DRY257" s="23"/>
      <c r="DSD257" s="26"/>
      <c r="DSH257" s="23"/>
      <c r="DSM257" s="26"/>
      <c r="DSQ257" s="23"/>
      <c r="DSV257" s="26"/>
      <c r="DSZ257" s="23"/>
      <c r="DTE257" s="26"/>
      <c r="DTI257" s="23"/>
      <c r="DTN257" s="26"/>
      <c r="DTR257" s="23"/>
      <c r="DTW257" s="26"/>
      <c r="DUA257" s="23"/>
      <c r="DUF257" s="26"/>
      <c r="DUJ257" s="23"/>
      <c r="DUO257" s="26"/>
      <c r="DUS257" s="23"/>
      <c r="DUX257" s="26"/>
      <c r="DVB257" s="23"/>
      <c r="DVG257" s="26"/>
      <c r="DVK257" s="23"/>
      <c r="DVP257" s="26"/>
      <c r="DVT257" s="23"/>
      <c r="DVY257" s="26"/>
      <c r="DWC257" s="23"/>
      <c r="DWH257" s="26"/>
      <c r="DWL257" s="23"/>
      <c r="DWQ257" s="26"/>
      <c r="DWU257" s="23"/>
      <c r="DWZ257" s="26"/>
      <c r="DXD257" s="23"/>
      <c r="DXI257" s="26"/>
      <c r="DXM257" s="23"/>
      <c r="DXR257" s="26"/>
      <c r="DXV257" s="23"/>
      <c r="DYA257" s="26"/>
      <c r="DYE257" s="23"/>
      <c r="DYJ257" s="26"/>
      <c r="DYN257" s="23"/>
      <c r="DYS257" s="26"/>
      <c r="DYW257" s="23"/>
      <c r="DZB257" s="26"/>
      <c r="DZF257" s="23"/>
      <c r="DZK257" s="26"/>
      <c r="DZO257" s="23"/>
      <c r="DZT257" s="26"/>
      <c r="DZX257" s="23"/>
      <c r="EAC257" s="26"/>
      <c r="EAG257" s="23"/>
      <c r="EAL257" s="26"/>
      <c r="EAP257" s="23"/>
      <c r="EAU257" s="26"/>
      <c r="EAY257" s="23"/>
      <c r="EBD257" s="26"/>
      <c r="EBH257" s="23"/>
      <c r="EBM257" s="26"/>
      <c r="EBQ257" s="23"/>
      <c r="EBV257" s="26"/>
      <c r="EBZ257" s="23"/>
      <c r="ECE257" s="26"/>
      <c r="ECI257" s="23"/>
      <c r="ECN257" s="26"/>
      <c r="ECR257" s="23"/>
      <c r="ECW257" s="26"/>
      <c r="EDA257" s="23"/>
      <c r="EDF257" s="26"/>
      <c r="EDJ257" s="23"/>
      <c r="EDO257" s="26"/>
      <c r="EDS257" s="23"/>
      <c r="EDX257" s="26"/>
      <c r="EEB257" s="23"/>
      <c r="EEG257" s="26"/>
      <c r="EEK257" s="23"/>
      <c r="EEP257" s="26"/>
      <c r="EET257" s="23"/>
      <c r="EEY257" s="26"/>
      <c r="EFC257" s="23"/>
      <c r="EFH257" s="26"/>
      <c r="EFL257" s="23"/>
      <c r="EFQ257" s="26"/>
      <c r="EFU257" s="23"/>
      <c r="EFZ257" s="26"/>
      <c r="EGD257" s="23"/>
      <c r="EGI257" s="26"/>
      <c r="EGM257" s="23"/>
      <c r="EGR257" s="26"/>
      <c r="EGV257" s="23"/>
      <c r="EHA257" s="26"/>
      <c r="EHE257" s="23"/>
      <c r="EHJ257" s="26"/>
      <c r="EHN257" s="23"/>
      <c r="EHS257" s="26"/>
      <c r="EHW257" s="23"/>
      <c r="EIB257" s="26"/>
      <c r="EIF257" s="23"/>
      <c r="EIK257" s="26"/>
      <c r="EIO257" s="23"/>
      <c r="EIT257" s="26"/>
      <c r="EIX257" s="23"/>
      <c r="EJC257" s="26"/>
      <c r="EJG257" s="23"/>
      <c r="EJL257" s="26"/>
      <c r="EJP257" s="23"/>
      <c r="EJU257" s="26"/>
      <c r="EJY257" s="23"/>
      <c r="EKD257" s="26"/>
      <c r="EKH257" s="23"/>
      <c r="EKM257" s="26"/>
      <c r="EKQ257" s="23"/>
      <c r="EKV257" s="26"/>
      <c r="EKZ257" s="23"/>
      <c r="ELE257" s="26"/>
      <c r="ELI257" s="23"/>
      <c r="ELN257" s="26"/>
      <c r="ELR257" s="23"/>
      <c r="ELW257" s="26"/>
      <c r="EMA257" s="23"/>
      <c r="EMF257" s="26"/>
      <c r="EMJ257" s="23"/>
      <c r="EMO257" s="26"/>
      <c r="EMS257" s="23"/>
      <c r="EMX257" s="26"/>
      <c r="ENB257" s="23"/>
      <c r="ENG257" s="26"/>
      <c r="ENK257" s="23"/>
      <c r="ENP257" s="26"/>
      <c r="ENT257" s="23"/>
      <c r="ENY257" s="26"/>
      <c r="EOC257" s="23"/>
      <c r="EOH257" s="26"/>
      <c r="EOL257" s="23"/>
      <c r="EOQ257" s="26"/>
      <c r="EOU257" s="23"/>
      <c r="EOZ257" s="26"/>
      <c r="EPD257" s="23"/>
      <c r="EPI257" s="26"/>
      <c r="EPM257" s="23"/>
      <c r="EPR257" s="26"/>
      <c r="EPV257" s="23"/>
      <c r="EQA257" s="26"/>
      <c r="EQE257" s="23"/>
      <c r="EQJ257" s="26"/>
      <c r="EQN257" s="23"/>
      <c r="EQS257" s="26"/>
      <c r="EQW257" s="23"/>
      <c r="ERB257" s="26"/>
      <c r="ERF257" s="23"/>
      <c r="ERK257" s="26"/>
      <c r="ERO257" s="23"/>
      <c r="ERT257" s="26"/>
      <c r="ERX257" s="23"/>
      <c r="ESC257" s="26"/>
      <c r="ESG257" s="23"/>
      <c r="ESL257" s="26"/>
      <c r="ESP257" s="23"/>
      <c r="ESU257" s="26"/>
      <c r="ESY257" s="23"/>
      <c r="ETD257" s="26"/>
      <c r="ETH257" s="23"/>
      <c r="ETM257" s="26"/>
      <c r="ETQ257" s="23"/>
      <c r="ETV257" s="26"/>
      <c r="ETZ257" s="23"/>
      <c r="EUE257" s="26"/>
      <c r="EUI257" s="23"/>
      <c r="EUN257" s="26"/>
      <c r="EUR257" s="23"/>
      <c r="EUW257" s="26"/>
      <c r="EVA257" s="23"/>
      <c r="EVF257" s="26"/>
      <c r="EVJ257" s="23"/>
      <c r="EVO257" s="26"/>
      <c r="EVS257" s="23"/>
      <c r="EVX257" s="26"/>
      <c r="EWB257" s="23"/>
      <c r="EWG257" s="26"/>
      <c r="EWK257" s="23"/>
      <c r="EWP257" s="26"/>
      <c r="EWT257" s="23"/>
      <c r="EWY257" s="26"/>
      <c r="EXC257" s="23"/>
      <c r="EXH257" s="26"/>
      <c r="EXL257" s="23"/>
      <c r="EXQ257" s="26"/>
      <c r="EXU257" s="23"/>
      <c r="EXZ257" s="26"/>
      <c r="EYD257" s="23"/>
      <c r="EYI257" s="26"/>
      <c r="EYM257" s="23"/>
      <c r="EYR257" s="26"/>
      <c r="EYV257" s="23"/>
      <c r="EZA257" s="26"/>
      <c r="EZE257" s="23"/>
      <c r="EZJ257" s="26"/>
      <c r="EZN257" s="23"/>
      <c r="EZS257" s="26"/>
      <c r="EZW257" s="23"/>
      <c r="FAB257" s="26"/>
      <c r="FAF257" s="23"/>
      <c r="FAK257" s="26"/>
      <c r="FAO257" s="23"/>
      <c r="FAT257" s="26"/>
      <c r="FAX257" s="23"/>
      <c r="FBC257" s="26"/>
      <c r="FBG257" s="23"/>
      <c r="FBL257" s="26"/>
      <c r="FBP257" s="23"/>
      <c r="FBU257" s="26"/>
      <c r="FBY257" s="23"/>
      <c r="FCD257" s="26"/>
      <c r="FCH257" s="23"/>
      <c r="FCM257" s="26"/>
      <c r="FCQ257" s="23"/>
      <c r="FCV257" s="26"/>
      <c r="FCZ257" s="23"/>
      <c r="FDE257" s="26"/>
      <c r="FDI257" s="23"/>
      <c r="FDN257" s="26"/>
      <c r="FDR257" s="23"/>
      <c r="FDW257" s="26"/>
      <c r="FEA257" s="23"/>
      <c r="FEF257" s="26"/>
      <c r="FEJ257" s="23"/>
      <c r="FEO257" s="26"/>
      <c r="FES257" s="23"/>
      <c r="FEX257" s="26"/>
      <c r="FFB257" s="23"/>
      <c r="FFG257" s="26"/>
      <c r="FFK257" s="23"/>
      <c r="FFP257" s="26"/>
      <c r="FFT257" s="23"/>
      <c r="FFY257" s="26"/>
      <c r="FGC257" s="23"/>
      <c r="FGH257" s="26"/>
      <c r="FGL257" s="23"/>
      <c r="FGQ257" s="26"/>
      <c r="FGU257" s="23"/>
      <c r="FGZ257" s="26"/>
      <c r="FHD257" s="23"/>
      <c r="FHI257" s="26"/>
      <c r="FHM257" s="23"/>
      <c r="FHR257" s="26"/>
      <c r="FHV257" s="23"/>
      <c r="FIA257" s="26"/>
      <c r="FIE257" s="23"/>
      <c r="FIJ257" s="26"/>
      <c r="FIN257" s="23"/>
      <c r="FIS257" s="26"/>
      <c r="FIW257" s="23"/>
      <c r="FJB257" s="26"/>
      <c r="FJF257" s="23"/>
      <c r="FJK257" s="26"/>
      <c r="FJO257" s="23"/>
      <c r="FJT257" s="26"/>
      <c r="FJX257" s="23"/>
      <c r="FKC257" s="26"/>
      <c r="FKG257" s="23"/>
      <c r="FKL257" s="26"/>
      <c r="FKP257" s="23"/>
      <c r="FKU257" s="26"/>
      <c r="FKY257" s="23"/>
      <c r="FLD257" s="26"/>
      <c r="FLH257" s="23"/>
      <c r="FLM257" s="26"/>
      <c r="FLQ257" s="23"/>
      <c r="FLV257" s="26"/>
      <c r="FLZ257" s="23"/>
      <c r="FME257" s="26"/>
      <c r="FMI257" s="23"/>
      <c r="FMN257" s="26"/>
      <c r="FMR257" s="23"/>
      <c r="FMW257" s="26"/>
      <c r="FNA257" s="23"/>
      <c r="FNF257" s="26"/>
      <c r="FNJ257" s="23"/>
      <c r="FNO257" s="26"/>
      <c r="FNS257" s="23"/>
      <c r="FNX257" s="26"/>
      <c r="FOB257" s="23"/>
      <c r="FOG257" s="26"/>
      <c r="FOK257" s="23"/>
      <c r="FOP257" s="26"/>
      <c r="FOT257" s="23"/>
      <c r="FOY257" s="26"/>
      <c r="FPC257" s="23"/>
      <c r="FPH257" s="26"/>
      <c r="FPL257" s="23"/>
      <c r="FPQ257" s="26"/>
      <c r="FPU257" s="23"/>
      <c r="FPZ257" s="26"/>
      <c r="FQD257" s="23"/>
      <c r="FQI257" s="26"/>
      <c r="FQM257" s="23"/>
      <c r="FQR257" s="26"/>
      <c r="FQV257" s="23"/>
      <c r="FRA257" s="26"/>
      <c r="FRE257" s="23"/>
      <c r="FRJ257" s="26"/>
      <c r="FRN257" s="23"/>
      <c r="FRS257" s="26"/>
      <c r="FRW257" s="23"/>
      <c r="FSB257" s="26"/>
      <c r="FSF257" s="23"/>
      <c r="FSK257" s="26"/>
      <c r="FSO257" s="23"/>
      <c r="FST257" s="26"/>
      <c r="FSX257" s="23"/>
      <c r="FTC257" s="26"/>
      <c r="FTG257" s="23"/>
      <c r="FTL257" s="26"/>
      <c r="FTP257" s="23"/>
      <c r="FTU257" s="26"/>
      <c r="FTY257" s="23"/>
      <c r="FUD257" s="26"/>
      <c r="FUH257" s="23"/>
      <c r="FUM257" s="26"/>
      <c r="FUQ257" s="23"/>
      <c r="FUV257" s="26"/>
      <c r="FUZ257" s="23"/>
      <c r="FVE257" s="26"/>
      <c r="FVI257" s="23"/>
      <c r="FVN257" s="26"/>
      <c r="FVR257" s="23"/>
      <c r="FVW257" s="26"/>
      <c r="FWA257" s="23"/>
      <c r="FWF257" s="26"/>
      <c r="FWJ257" s="23"/>
      <c r="FWO257" s="26"/>
      <c r="FWS257" s="23"/>
      <c r="FWX257" s="26"/>
      <c r="FXB257" s="23"/>
      <c r="FXG257" s="26"/>
      <c r="FXK257" s="23"/>
      <c r="FXP257" s="26"/>
      <c r="FXT257" s="23"/>
      <c r="FXY257" s="26"/>
      <c r="FYC257" s="23"/>
      <c r="FYH257" s="26"/>
      <c r="FYL257" s="23"/>
      <c r="FYQ257" s="26"/>
      <c r="FYU257" s="23"/>
      <c r="FYZ257" s="26"/>
      <c r="FZD257" s="23"/>
      <c r="FZI257" s="26"/>
      <c r="FZM257" s="23"/>
      <c r="FZR257" s="26"/>
      <c r="FZV257" s="23"/>
      <c r="GAA257" s="26"/>
      <c r="GAE257" s="23"/>
      <c r="GAJ257" s="26"/>
      <c r="GAN257" s="23"/>
      <c r="GAS257" s="26"/>
      <c r="GAW257" s="23"/>
      <c r="GBB257" s="26"/>
      <c r="GBF257" s="23"/>
      <c r="GBK257" s="26"/>
      <c r="GBO257" s="23"/>
      <c r="GBT257" s="26"/>
      <c r="GBX257" s="23"/>
      <c r="GCC257" s="26"/>
      <c r="GCG257" s="23"/>
      <c r="GCL257" s="26"/>
      <c r="GCP257" s="23"/>
      <c r="GCU257" s="26"/>
      <c r="GCY257" s="23"/>
      <c r="GDD257" s="26"/>
      <c r="GDH257" s="23"/>
      <c r="GDM257" s="26"/>
      <c r="GDQ257" s="23"/>
      <c r="GDV257" s="26"/>
      <c r="GDZ257" s="23"/>
      <c r="GEE257" s="26"/>
      <c r="GEI257" s="23"/>
      <c r="GEN257" s="26"/>
      <c r="GER257" s="23"/>
      <c r="GEW257" s="26"/>
      <c r="GFA257" s="23"/>
      <c r="GFF257" s="26"/>
      <c r="GFJ257" s="23"/>
      <c r="GFO257" s="26"/>
      <c r="GFS257" s="23"/>
      <c r="GFX257" s="26"/>
      <c r="GGB257" s="23"/>
      <c r="GGG257" s="26"/>
      <c r="GGK257" s="23"/>
      <c r="GGP257" s="26"/>
      <c r="GGT257" s="23"/>
      <c r="GGY257" s="26"/>
      <c r="GHC257" s="23"/>
      <c r="GHH257" s="26"/>
      <c r="GHL257" s="23"/>
      <c r="GHQ257" s="26"/>
      <c r="GHU257" s="23"/>
      <c r="GHZ257" s="26"/>
      <c r="GID257" s="23"/>
      <c r="GII257" s="26"/>
      <c r="GIM257" s="23"/>
      <c r="GIR257" s="26"/>
      <c r="GIV257" s="23"/>
      <c r="GJA257" s="26"/>
      <c r="GJE257" s="23"/>
      <c r="GJJ257" s="26"/>
      <c r="GJN257" s="23"/>
      <c r="GJS257" s="26"/>
      <c r="GJW257" s="23"/>
      <c r="GKB257" s="26"/>
      <c r="GKF257" s="23"/>
      <c r="GKK257" s="26"/>
      <c r="GKO257" s="23"/>
      <c r="GKT257" s="26"/>
      <c r="GKX257" s="23"/>
      <c r="GLC257" s="26"/>
      <c r="GLG257" s="23"/>
      <c r="GLL257" s="26"/>
      <c r="GLP257" s="23"/>
      <c r="GLU257" s="26"/>
      <c r="GLY257" s="23"/>
      <c r="GMD257" s="26"/>
      <c r="GMH257" s="23"/>
      <c r="GMM257" s="26"/>
      <c r="GMQ257" s="23"/>
      <c r="GMV257" s="26"/>
      <c r="GMZ257" s="23"/>
      <c r="GNE257" s="26"/>
      <c r="GNI257" s="23"/>
      <c r="GNN257" s="26"/>
      <c r="GNR257" s="23"/>
      <c r="GNW257" s="26"/>
      <c r="GOA257" s="23"/>
      <c r="GOF257" s="26"/>
      <c r="GOJ257" s="23"/>
      <c r="GOO257" s="26"/>
      <c r="GOS257" s="23"/>
      <c r="GOX257" s="26"/>
      <c r="GPB257" s="23"/>
      <c r="GPG257" s="26"/>
      <c r="GPK257" s="23"/>
      <c r="GPP257" s="26"/>
      <c r="GPT257" s="23"/>
      <c r="GPY257" s="26"/>
      <c r="GQC257" s="23"/>
      <c r="GQH257" s="26"/>
      <c r="GQL257" s="23"/>
      <c r="GQQ257" s="26"/>
      <c r="GQU257" s="23"/>
      <c r="GQZ257" s="26"/>
      <c r="GRD257" s="23"/>
      <c r="GRI257" s="26"/>
      <c r="GRM257" s="23"/>
      <c r="GRR257" s="26"/>
      <c r="GRV257" s="23"/>
      <c r="GSA257" s="26"/>
      <c r="GSE257" s="23"/>
      <c r="GSJ257" s="26"/>
      <c r="GSN257" s="23"/>
      <c r="GSS257" s="26"/>
      <c r="GSW257" s="23"/>
      <c r="GTB257" s="26"/>
      <c r="GTF257" s="23"/>
      <c r="GTK257" s="26"/>
      <c r="GTO257" s="23"/>
      <c r="GTT257" s="26"/>
      <c r="GTX257" s="23"/>
      <c r="GUC257" s="26"/>
      <c r="GUG257" s="23"/>
      <c r="GUL257" s="26"/>
      <c r="GUP257" s="23"/>
      <c r="GUU257" s="26"/>
      <c r="GUY257" s="23"/>
      <c r="GVD257" s="26"/>
      <c r="GVH257" s="23"/>
      <c r="GVM257" s="26"/>
      <c r="GVQ257" s="23"/>
      <c r="GVV257" s="26"/>
      <c r="GVZ257" s="23"/>
      <c r="GWE257" s="26"/>
      <c r="GWI257" s="23"/>
      <c r="GWN257" s="26"/>
      <c r="GWR257" s="23"/>
      <c r="GWW257" s="26"/>
      <c r="GXA257" s="23"/>
      <c r="GXF257" s="26"/>
      <c r="GXJ257" s="23"/>
      <c r="GXO257" s="26"/>
      <c r="GXS257" s="23"/>
      <c r="GXX257" s="26"/>
      <c r="GYB257" s="23"/>
      <c r="GYG257" s="26"/>
      <c r="GYK257" s="23"/>
      <c r="GYP257" s="26"/>
      <c r="GYT257" s="23"/>
      <c r="GYY257" s="26"/>
      <c r="GZC257" s="23"/>
      <c r="GZH257" s="26"/>
      <c r="GZL257" s="23"/>
      <c r="GZQ257" s="26"/>
      <c r="GZU257" s="23"/>
      <c r="GZZ257" s="26"/>
      <c r="HAD257" s="23"/>
      <c r="HAI257" s="26"/>
      <c r="HAM257" s="23"/>
      <c r="HAR257" s="26"/>
      <c r="HAV257" s="23"/>
      <c r="HBA257" s="26"/>
      <c r="HBE257" s="23"/>
      <c r="HBJ257" s="26"/>
      <c r="HBN257" s="23"/>
      <c r="HBS257" s="26"/>
      <c r="HBW257" s="23"/>
      <c r="HCB257" s="26"/>
      <c r="HCF257" s="23"/>
      <c r="HCK257" s="26"/>
      <c r="HCO257" s="23"/>
      <c r="HCT257" s="26"/>
      <c r="HCX257" s="23"/>
      <c r="HDC257" s="26"/>
      <c r="HDG257" s="23"/>
      <c r="HDL257" s="26"/>
      <c r="HDP257" s="23"/>
      <c r="HDU257" s="26"/>
      <c r="HDY257" s="23"/>
      <c r="HED257" s="26"/>
      <c r="HEH257" s="23"/>
      <c r="HEM257" s="26"/>
      <c r="HEQ257" s="23"/>
      <c r="HEV257" s="26"/>
      <c r="HEZ257" s="23"/>
      <c r="HFE257" s="26"/>
      <c r="HFI257" s="23"/>
      <c r="HFN257" s="26"/>
      <c r="HFR257" s="23"/>
      <c r="HFW257" s="26"/>
      <c r="HGA257" s="23"/>
      <c r="HGF257" s="26"/>
      <c r="HGJ257" s="23"/>
      <c r="HGO257" s="26"/>
      <c r="HGS257" s="23"/>
      <c r="HGX257" s="26"/>
      <c r="HHB257" s="23"/>
      <c r="HHG257" s="26"/>
      <c r="HHK257" s="23"/>
      <c r="HHP257" s="26"/>
      <c r="HHT257" s="23"/>
      <c r="HHY257" s="26"/>
      <c r="HIC257" s="23"/>
      <c r="HIH257" s="26"/>
      <c r="HIL257" s="23"/>
      <c r="HIQ257" s="26"/>
      <c r="HIU257" s="23"/>
      <c r="HIZ257" s="26"/>
      <c r="HJD257" s="23"/>
      <c r="HJI257" s="26"/>
      <c r="HJM257" s="23"/>
      <c r="HJR257" s="26"/>
      <c r="HJV257" s="23"/>
      <c r="HKA257" s="26"/>
      <c r="HKE257" s="23"/>
      <c r="HKJ257" s="26"/>
      <c r="HKN257" s="23"/>
      <c r="HKS257" s="26"/>
      <c r="HKW257" s="23"/>
      <c r="HLB257" s="26"/>
      <c r="HLF257" s="23"/>
      <c r="HLK257" s="26"/>
      <c r="HLO257" s="23"/>
      <c r="HLT257" s="26"/>
      <c r="HLX257" s="23"/>
      <c r="HMC257" s="26"/>
      <c r="HMG257" s="23"/>
      <c r="HML257" s="26"/>
      <c r="HMP257" s="23"/>
      <c r="HMU257" s="26"/>
      <c r="HMY257" s="23"/>
      <c r="HND257" s="26"/>
      <c r="HNH257" s="23"/>
      <c r="HNM257" s="26"/>
      <c r="HNQ257" s="23"/>
      <c r="HNV257" s="26"/>
      <c r="HNZ257" s="23"/>
      <c r="HOE257" s="26"/>
      <c r="HOI257" s="23"/>
      <c r="HON257" s="26"/>
      <c r="HOR257" s="23"/>
      <c r="HOW257" s="26"/>
      <c r="HPA257" s="23"/>
      <c r="HPF257" s="26"/>
      <c r="HPJ257" s="23"/>
      <c r="HPO257" s="26"/>
      <c r="HPS257" s="23"/>
      <c r="HPX257" s="26"/>
      <c r="HQB257" s="23"/>
      <c r="HQG257" s="26"/>
      <c r="HQK257" s="23"/>
      <c r="HQP257" s="26"/>
      <c r="HQT257" s="23"/>
      <c r="HQY257" s="26"/>
      <c r="HRC257" s="23"/>
      <c r="HRH257" s="26"/>
      <c r="HRL257" s="23"/>
      <c r="HRQ257" s="26"/>
      <c r="HRU257" s="23"/>
      <c r="HRZ257" s="26"/>
      <c r="HSD257" s="23"/>
      <c r="HSI257" s="26"/>
      <c r="HSM257" s="23"/>
      <c r="HSR257" s="26"/>
      <c r="HSV257" s="23"/>
      <c r="HTA257" s="26"/>
      <c r="HTE257" s="23"/>
      <c r="HTJ257" s="26"/>
      <c r="HTN257" s="23"/>
      <c r="HTS257" s="26"/>
      <c r="HTW257" s="23"/>
      <c r="HUB257" s="26"/>
      <c r="HUF257" s="23"/>
      <c r="HUK257" s="26"/>
      <c r="HUO257" s="23"/>
      <c r="HUT257" s="26"/>
      <c r="HUX257" s="23"/>
      <c r="HVC257" s="26"/>
      <c r="HVG257" s="23"/>
      <c r="HVL257" s="26"/>
      <c r="HVP257" s="23"/>
      <c r="HVU257" s="26"/>
      <c r="HVY257" s="23"/>
      <c r="HWD257" s="26"/>
      <c r="HWH257" s="23"/>
      <c r="HWM257" s="26"/>
      <c r="HWQ257" s="23"/>
      <c r="HWV257" s="26"/>
      <c r="HWZ257" s="23"/>
      <c r="HXE257" s="26"/>
      <c r="HXI257" s="23"/>
      <c r="HXN257" s="26"/>
      <c r="HXR257" s="23"/>
      <c r="HXW257" s="26"/>
      <c r="HYA257" s="23"/>
      <c r="HYF257" s="26"/>
      <c r="HYJ257" s="23"/>
      <c r="HYO257" s="26"/>
      <c r="HYS257" s="23"/>
      <c r="HYX257" s="26"/>
      <c r="HZB257" s="23"/>
      <c r="HZG257" s="26"/>
      <c r="HZK257" s="23"/>
      <c r="HZP257" s="26"/>
      <c r="HZT257" s="23"/>
      <c r="HZY257" s="26"/>
      <c r="IAC257" s="23"/>
      <c r="IAH257" s="26"/>
      <c r="IAL257" s="23"/>
      <c r="IAQ257" s="26"/>
      <c r="IAU257" s="23"/>
      <c r="IAZ257" s="26"/>
      <c r="IBD257" s="23"/>
      <c r="IBI257" s="26"/>
      <c r="IBM257" s="23"/>
      <c r="IBR257" s="26"/>
      <c r="IBV257" s="23"/>
      <c r="ICA257" s="26"/>
      <c r="ICE257" s="23"/>
      <c r="ICJ257" s="26"/>
      <c r="ICN257" s="23"/>
      <c r="ICS257" s="26"/>
      <c r="ICW257" s="23"/>
      <c r="IDB257" s="26"/>
      <c r="IDF257" s="23"/>
      <c r="IDK257" s="26"/>
      <c r="IDO257" s="23"/>
      <c r="IDT257" s="26"/>
      <c r="IDX257" s="23"/>
      <c r="IEC257" s="26"/>
      <c r="IEG257" s="23"/>
      <c r="IEL257" s="26"/>
      <c r="IEP257" s="23"/>
      <c r="IEU257" s="26"/>
      <c r="IEY257" s="23"/>
      <c r="IFD257" s="26"/>
      <c r="IFH257" s="23"/>
      <c r="IFM257" s="26"/>
      <c r="IFQ257" s="23"/>
      <c r="IFV257" s="26"/>
      <c r="IFZ257" s="23"/>
      <c r="IGE257" s="26"/>
      <c r="IGI257" s="23"/>
      <c r="IGN257" s="26"/>
      <c r="IGR257" s="23"/>
      <c r="IGW257" s="26"/>
      <c r="IHA257" s="23"/>
      <c r="IHF257" s="26"/>
      <c r="IHJ257" s="23"/>
      <c r="IHO257" s="26"/>
      <c r="IHS257" s="23"/>
      <c r="IHX257" s="26"/>
      <c r="IIB257" s="23"/>
      <c r="IIG257" s="26"/>
      <c r="IIK257" s="23"/>
      <c r="IIP257" s="26"/>
      <c r="IIT257" s="23"/>
      <c r="IIY257" s="26"/>
      <c r="IJC257" s="23"/>
      <c r="IJH257" s="26"/>
      <c r="IJL257" s="23"/>
      <c r="IJQ257" s="26"/>
      <c r="IJU257" s="23"/>
      <c r="IJZ257" s="26"/>
      <c r="IKD257" s="23"/>
      <c r="IKI257" s="26"/>
      <c r="IKM257" s="23"/>
      <c r="IKR257" s="26"/>
      <c r="IKV257" s="23"/>
      <c r="ILA257" s="26"/>
      <c r="ILE257" s="23"/>
      <c r="ILJ257" s="26"/>
      <c r="ILN257" s="23"/>
      <c r="ILS257" s="26"/>
      <c r="ILW257" s="23"/>
      <c r="IMB257" s="26"/>
      <c r="IMF257" s="23"/>
      <c r="IMK257" s="26"/>
      <c r="IMO257" s="23"/>
      <c r="IMT257" s="26"/>
      <c r="IMX257" s="23"/>
      <c r="INC257" s="26"/>
      <c r="ING257" s="23"/>
      <c r="INL257" s="26"/>
      <c r="INP257" s="23"/>
      <c r="INU257" s="26"/>
      <c r="INY257" s="23"/>
      <c r="IOD257" s="26"/>
      <c r="IOH257" s="23"/>
      <c r="IOM257" s="26"/>
      <c r="IOQ257" s="23"/>
      <c r="IOV257" s="26"/>
      <c r="IOZ257" s="23"/>
      <c r="IPE257" s="26"/>
      <c r="IPI257" s="23"/>
      <c r="IPN257" s="26"/>
      <c r="IPR257" s="23"/>
      <c r="IPW257" s="26"/>
      <c r="IQA257" s="23"/>
      <c r="IQF257" s="26"/>
      <c r="IQJ257" s="23"/>
      <c r="IQO257" s="26"/>
      <c r="IQS257" s="23"/>
      <c r="IQX257" s="26"/>
      <c r="IRB257" s="23"/>
      <c r="IRG257" s="26"/>
      <c r="IRK257" s="23"/>
      <c r="IRP257" s="26"/>
      <c r="IRT257" s="23"/>
      <c r="IRY257" s="26"/>
      <c r="ISC257" s="23"/>
      <c r="ISH257" s="26"/>
      <c r="ISL257" s="23"/>
      <c r="ISQ257" s="26"/>
      <c r="ISU257" s="23"/>
      <c r="ISZ257" s="26"/>
      <c r="ITD257" s="23"/>
      <c r="ITI257" s="26"/>
      <c r="ITM257" s="23"/>
      <c r="ITR257" s="26"/>
      <c r="ITV257" s="23"/>
      <c r="IUA257" s="26"/>
      <c r="IUE257" s="23"/>
      <c r="IUJ257" s="26"/>
      <c r="IUN257" s="23"/>
      <c r="IUS257" s="26"/>
      <c r="IUW257" s="23"/>
      <c r="IVB257" s="26"/>
      <c r="IVF257" s="23"/>
      <c r="IVK257" s="26"/>
      <c r="IVO257" s="23"/>
      <c r="IVT257" s="26"/>
      <c r="IVX257" s="23"/>
      <c r="IWC257" s="26"/>
      <c r="IWG257" s="23"/>
      <c r="IWL257" s="26"/>
      <c r="IWP257" s="23"/>
      <c r="IWU257" s="26"/>
      <c r="IWY257" s="23"/>
      <c r="IXD257" s="26"/>
      <c r="IXH257" s="23"/>
      <c r="IXM257" s="26"/>
      <c r="IXQ257" s="23"/>
      <c r="IXV257" s="26"/>
      <c r="IXZ257" s="23"/>
      <c r="IYE257" s="26"/>
      <c r="IYI257" s="23"/>
      <c r="IYN257" s="26"/>
      <c r="IYR257" s="23"/>
      <c r="IYW257" s="26"/>
      <c r="IZA257" s="23"/>
      <c r="IZF257" s="26"/>
      <c r="IZJ257" s="23"/>
      <c r="IZO257" s="26"/>
      <c r="IZS257" s="23"/>
      <c r="IZX257" s="26"/>
      <c r="JAB257" s="23"/>
      <c r="JAG257" s="26"/>
      <c r="JAK257" s="23"/>
      <c r="JAP257" s="26"/>
      <c r="JAT257" s="23"/>
      <c r="JAY257" s="26"/>
      <c r="JBC257" s="23"/>
      <c r="JBH257" s="26"/>
      <c r="JBL257" s="23"/>
      <c r="JBQ257" s="26"/>
      <c r="JBU257" s="23"/>
      <c r="JBZ257" s="26"/>
      <c r="JCD257" s="23"/>
      <c r="JCI257" s="26"/>
      <c r="JCM257" s="23"/>
      <c r="JCR257" s="26"/>
      <c r="JCV257" s="23"/>
      <c r="JDA257" s="26"/>
      <c r="JDE257" s="23"/>
      <c r="JDJ257" s="26"/>
      <c r="JDN257" s="23"/>
      <c r="JDS257" s="26"/>
      <c r="JDW257" s="23"/>
      <c r="JEB257" s="26"/>
      <c r="JEF257" s="23"/>
      <c r="JEK257" s="26"/>
      <c r="JEO257" s="23"/>
      <c r="JET257" s="26"/>
      <c r="JEX257" s="23"/>
      <c r="JFC257" s="26"/>
      <c r="JFG257" s="23"/>
      <c r="JFL257" s="26"/>
      <c r="JFP257" s="23"/>
      <c r="JFU257" s="26"/>
      <c r="JFY257" s="23"/>
      <c r="JGD257" s="26"/>
      <c r="JGH257" s="23"/>
      <c r="JGM257" s="26"/>
      <c r="JGQ257" s="23"/>
      <c r="JGV257" s="26"/>
      <c r="JGZ257" s="23"/>
      <c r="JHE257" s="26"/>
      <c r="JHI257" s="23"/>
      <c r="JHN257" s="26"/>
      <c r="JHR257" s="23"/>
      <c r="JHW257" s="26"/>
      <c r="JIA257" s="23"/>
      <c r="JIF257" s="26"/>
      <c r="JIJ257" s="23"/>
      <c r="JIO257" s="26"/>
      <c r="JIS257" s="23"/>
      <c r="JIX257" s="26"/>
      <c r="JJB257" s="23"/>
      <c r="JJG257" s="26"/>
      <c r="JJK257" s="23"/>
      <c r="JJP257" s="26"/>
      <c r="JJT257" s="23"/>
      <c r="JJY257" s="26"/>
      <c r="JKC257" s="23"/>
      <c r="JKH257" s="26"/>
      <c r="JKL257" s="23"/>
      <c r="JKQ257" s="26"/>
      <c r="JKU257" s="23"/>
      <c r="JKZ257" s="26"/>
      <c r="JLD257" s="23"/>
      <c r="JLI257" s="26"/>
      <c r="JLM257" s="23"/>
      <c r="JLR257" s="26"/>
      <c r="JLV257" s="23"/>
      <c r="JMA257" s="26"/>
      <c r="JME257" s="23"/>
      <c r="JMJ257" s="26"/>
      <c r="JMN257" s="23"/>
      <c r="JMS257" s="26"/>
      <c r="JMW257" s="23"/>
      <c r="JNB257" s="26"/>
      <c r="JNF257" s="23"/>
      <c r="JNK257" s="26"/>
      <c r="JNO257" s="23"/>
      <c r="JNT257" s="26"/>
      <c r="JNX257" s="23"/>
      <c r="JOC257" s="26"/>
      <c r="JOG257" s="23"/>
      <c r="JOL257" s="26"/>
      <c r="JOP257" s="23"/>
      <c r="JOU257" s="26"/>
      <c r="JOY257" s="23"/>
      <c r="JPD257" s="26"/>
      <c r="JPH257" s="23"/>
      <c r="JPM257" s="26"/>
      <c r="JPQ257" s="23"/>
      <c r="JPV257" s="26"/>
      <c r="JPZ257" s="23"/>
      <c r="JQE257" s="26"/>
      <c r="JQI257" s="23"/>
      <c r="JQN257" s="26"/>
      <c r="JQR257" s="23"/>
      <c r="JQW257" s="26"/>
      <c r="JRA257" s="23"/>
      <c r="JRF257" s="26"/>
      <c r="JRJ257" s="23"/>
      <c r="JRO257" s="26"/>
      <c r="JRS257" s="23"/>
      <c r="JRX257" s="26"/>
      <c r="JSB257" s="23"/>
      <c r="JSG257" s="26"/>
      <c r="JSK257" s="23"/>
      <c r="JSP257" s="26"/>
      <c r="JST257" s="23"/>
      <c r="JSY257" s="26"/>
      <c r="JTC257" s="23"/>
      <c r="JTH257" s="26"/>
      <c r="JTL257" s="23"/>
      <c r="JTQ257" s="26"/>
      <c r="JTU257" s="23"/>
      <c r="JTZ257" s="26"/>
      <c r="JUD257" s="23"/>
      <c r="JUI257" s="26"/>
      <c r="JUM257" s="23"/>
      <c r="JUR257" s="26"/>
      <c r="JUV257" s="23"/>
      <c r="JVA257" s="26"/>
      <c r="JVE257" s="23"/>
      <c r="JVJ257" s="26"/>
      <c r="JVN257" s="23"/>
      <c r="JVS257" s="26"/>
      <c r="JVW257" s="23"/>
      <c r="JWB257" s="26"/>
      <c r="JWF257" s="23"/>
      <c r="JWK257" s="26"/>
      <c r="JWO257" s="23"/>
      <c r="JWT257" s="26"/>
      <c r="JWX257" s="23"/>
      <c r="JXC257" s="26"/>
      <c r="JXG257" s="23"/>
      <c r="JXL257" s="26"/>
      <c r="JXP257" s="23"/>
      <c r="JXU257" s="26"/>
      <c r="JXY257" s="23"/>
      <c r="JYD257" s="26"/>
      <c r="JYH257" s="23"/>
      <c r="JYM257" s="26"/>
      <c r="JYQ257" s="23"/>
      <c r="JYV257" s="26"/>
      <c r="JYZ257" s="23"/>
      <c r="JZE257" s="26"/>
      <c r="JZI257" s="23"/>
      <c r="JZN257" s="26"/>
      <c r="JZR257" s="23"/>
      <c r="JZW257" s="26"/>
      <c r="KAA257" s="23"/>
      <c r="KAF257" s="26"/>
      <c r="KAJ257" s="23"/>
      <c r="KAO257" s="26"/>
      <c r="KAS257" s="23"/>
      <c r="KAX257" s="26"/>
      <c r="KBB257" s="23"/>
      <c r="KBG257" s="26"/>
      <c r="KBK257" s="23"/>
      <c r="KBP257" s="26"/>
      <c r="KBT257" s="23"/>
      <c r="KBY257" s="26"/>
      <c r="KCC257" s="23"/>
      <c r="KCH257" s="26"/>
      <c r="KCL257" s="23"/>
      <c r="KCQ257" s="26"/>
      <c r="KCU257" s="23"/>
      <c r="KCZ257" s="26"/>
      <c r="KDD257" s="23"/>
      <c r="KDI257" s="26"/>
      <c r="KDM257" s="23"/>
      <c r="KDR257" s="26"/>
      <c r="KDV257" s="23"/>
      <c r="KEA257" s="26"/>
      <c r="KEE257" s="23"/>
      <c r="KEJ257" s="26"/>
      <c r="KEN257" s="23"/>
      <c r="KES257" s="26"/>
      <c r="KEW257" s="23"/>
      <c r="KFB257" s="26"/>
      <c r="KFF257" s="23"/>
      <c r="KFK257" s="26"/>
      <c r="KFO257" s="23"/>
      <c r="KFT257" s="26"/>
      <c r="KFX257" s="23"/>
      <c r="KGC257" s="26"/>
      <c r="KGG257" s="23"/>
      <c r="KGL257" s="26"/>
      <c r="KGP257" s="23"/>
      <c r="KGU257" s="26"/>
      <c r="KGY257" s="23"/>
      <c r="KHD257" s="26"/>
      <c r="KHH257" s="23"/>
      <c r="KHM257" s="26"/>
      <c r="KHQ257" s="23"/>
      <c r="KHV257" s="26"/>
      <c r="KHZ257" s="23"/>
      <c r="KIE257" s="26"/>
      <c r="KII257" s="23"/>
      <c r="KIN257" s="26"/>
      <c r="KIR257" s="23"/>
      <c r="KIW257" s="26"/>
      <c r="KJA257" s="23"/>
      <c r="KJF257" s="26"/>
      <c r="KJJ257" s="23"/>
      <c r="KJO257" s="26"/>
      <c r="KJS257" s="23"/>
      <c r="KJX257" s="26"/>
      <c r="KKB257" s="23"/>
      <c r="KKG257" s="26"/>
      <c r="KKK257" s="23"/>
      <c r="KKP257" s="26"/>
      <c r="KKT257" s="23"/>
      <c r="KKY257" s="26"/>
      <c r="KLC257" s="23"/>
      <c r="KLH257" s="26"/>
      <c r="KLL257" s="23"/>
      <c r="KLQ257" s="26"/>
      <c r="KLU257" s="23"/>
      <c r="KLZ257" s="26"/>
      <c r="KMD257" s="23"/>
      <c r="KMI257" s="26"/>
      <c r="KMM257" s="23"/>
      <c r="KMR257" s="26"/>
      <c r="KMV257" s="23"/>
      <c r="KNA257" s="26"/>
      <c r="KNE257" s="23"/>
      <c r="KNJ257" s="26"/>
      <c r="KNN257" s="23"/>
      <c r="KNS257" s="26"/>
      <c r="KNW257" s="23"/>
      <c r="KOB257" s="26"/>
      <c r="KOF257" s="23"/>
      <c r="KOK257" s="26"/>
      <c r="KOO257" s="23"/>
      <c r="KOT257" s="26"/>
      <c r="KOX257" s="23"/>
      <c r="KPC257" s="26"/>
      <c r="KPG257" s="23"/>
      <c r="KPL257" s="26"/>
      <c r="KPP257" s="23"/>
      <c r="KPU257" s="26"/>
      <c r="KPY257" s="23"/>
      <c r="KQD257" s="26"/>
      <c r="KQH257" s="23"/>
      <c r="KQM257" s="26"/>
      <c r="KQQ257" s="23"/>
      <c r="KQV257" s="26"/>
      <c r="KQZ257" s="23"/>
      <c r="KRE257" s="26"/>
      <c r="KRI257" s="23"/>
      <c r="KRN257" s="26"/>
      <c r="KRR257" s="23"/>
      <c r="KRW257" s="26"/>
      <c r="KSA257" s="23"/>
      <c r="KSF257" s="26"/>
      <c r="KSJ257" s="23"/>
      <c r="KSO257" s="26"/>
      <c r="KSS257" s="23"/>
      <c r="KSX257" s="26"/>
      <c r="KTB257" s="23"/>
      <c r="KTG257" s="26"/>
      <c r="KTK257" s="23"/>
      <c r="KTP257" s="26"/>
      <c r="KTT257" s="23"/>
      <c r="KTY257" s="26"/>
      <c r="KUC257" s="23"/>
      <c r="KUH257" s="26"/>
      <c r="KUL257" s="23"/>
      <c r="KUQ257" s="26"/>
      <c r="KUU257" s="23"/>
      <c r="KUZ257" s="26"/>
      <c r="KVD257" s="23"/>
      <c r="KVI257" s="26"/>
      <c r="KVM257" s="23"/>
      <c r="KVR257" s="26"/>
      <c r="KVV257" s="23"/>
      <c r="KWA257" s="26"/>
      <c r="KWE257" s="23"/>
      <c r="KWJ257" s="26"/>
      <c r="KWN257" s="23"/>
      <c r="KWS257" s="26"/>
      <c r="KWW257" s="23"/>
      <c r="KXB257" s="26"/>
      <c r="KXF257" s="23"/>
      <c r="KXK257" s="26"/>
      <c r="KXO257" s="23"/>
      <c r="KXT257" s="26"/>
      <c r="KXX257" s="23"/>
      <c r="KYC257" s="26"/>
      <c r="KYG257" s="23"/>
      <c r="KYL257" s="26"/>
      <c r="KYP257" s="23"/>
      <c r="KYU257" s="26"/>
      <c r="KYY257" s="23"/>
      <c r="KZD257" s="26"/>
      <c r="KZH257" s="23"/>
      <c r="KZM257" s="26"/>
      <c r="KZQ257" s="23"/>
      <c r="KZV257" s="26"/>
      <c r="KZZ257" s="23"/>
      <c r="LAE257" s="26"/>
      <c r="LAI257" s="23"/>
      <c r="LAN257" s="26"/>
      <c r="LAR257" s="23"/>
      <c r="LAW257" s="26"/>
      <c r="LBA257" s="23"/>
      <c r="LBF257" s="26"/>
      <c r="LBJ257" s="23"/>
      <c r="LBO257" s="26"/>
      <c r="LBS257" s="23"/>
      <c r="LBX257" s="26"/>
      <c r="LCB257" s="23"/>
      <c r="LCG257" s="26"/>
      <c r="LCK257" s="23"/>
      <c r="LCP257" s="26"/>
      <c r="LCT257" s="23"/>
      <c r="LCY257" s="26"/>
      <c r="LDC257" s="23"/>
      <c r="LDH257" s="26"/>
      <c r="LDL257" s="23"/>
      <c r="LDQ257" s="26"/>
      <c r="LDU257" s="23"/>
      <c r="LDZ257" s="26"/>
      <c r="LED257" s="23"/>
      <c r="LEI257" s="26"/>
      <c r="LEM257" s="23"/>
      <c r="LER257" s="26"/>
      <c r="LEV257" s="23"/>
      <c r="LFA257" s="26"/>
      <c r="LFE257" s="23"/>
      <c r="LFJ257" s="26"/>
      <c r="LFN257" s="23"/>
      <c r="LFS257" s="26"/>
      <c r="LFW257" s="23"/>
      <c r="LGB257" s="26"/>
      <c r="LGF257" s="23"/>
      <c r="LGK257" s="26"/>
      <c r="LGO257" s="23"/>
      <c r="LGT257" s="26"/>
      <c r="LGX257" s="23"/>
      <c r="LHC257" s="26"/>
      <c r="LHG257" s="23"/>
      <c r="LHL257" s="26"/>
      <c r="LHP257" s="23"/>
      <c r="LHU257" s="26"/>
      <c r="LHY257" s="23"/>
      <c r="LID257" s="26"/>
      <c r="LIH257" s="23"/>
      <c r="LIM257" s="26"/>
      <c r="LIQ257" s="23"/>
      <c r="LIV257" s="26"/>
      <c r="LIZ257" s="23"/>
      <c r="LJE257" s="26"/>
      <c r="LJI257" s="23"/>
      <c r="LJN257" s="26"/>
      <c r="LJR257" s="23"/>
      <c r="LJW257" s="26"/>
      <c r="LKA257" s="23"/>
      <c r="LKF257" s="26"/>
      <c r="LKJ257" s="23"/>
      <c r="LKO257" s="26"/>
      <c r="LKS257" s="23"/>
      <c r="LKX257" s="26"/>
      <c r="LLB257" s="23"/>
      <c r="LLG257" s="26"/>
      <c r="LLK257" s="23"/>
      <c r="LLP257" s="26"/>
      <c r="LLT257" s="23"/>
      <c r="LLY257" s="26"/>
      <c r="LMC257" s="23"/>
      <c r="LMH257" s="26"/>
      <c r="LML257" s="23"/>
      <c r="LMQ257" s="26"/>
      <c r="LMU257" s="23"/>
      <c r="LMZ257" s="26"/>
      <c r="LND257" s="23"/>
      <c r="LNI257" s="26"/>
      <c r="LNM257" s="23"/>
      <c r="LNR257" s="26"/>
      <c r="LNV257" s="23"/>
      <c r="LOA257" s="26"/>
      <c r="LOE257" s="23"/>
      <c r="LOJ257" s="26"/>
      <c r="LON257" s="23"/>
      <c r="LOS257" s="26"/>
      <c r="LOW257" s="23"/>
      <c r="LPB257" s="26"/>
      <c r="LPF257" s="23"/>
      <c r="LPK257" s="26"/>
      <c r="LPO257" s="23"/>
      <c r="LPT257" s="26"/>
      <c r="LPX257" s="23"/>
      <c r="LQC257" s="26"/>
      <c r="LQG257" s="23"/>
      <c r="LQL257" s="26"/>
      <c r="LQP257" s="23"/>
      <c r="LQU257" s="26"/>
      <c r="LQY257" s="23"/>
      <c r="LRD257" s="26"/>
      <c r="LRH257" s="23"/>
      <c r="LRM257" s="26"/>
      <c r="LRQ257" s="23"/>
      <c r="LRV257" s="26"/>
      <c r="LRZ257" s="23"/>
      <c r="LSE257" s="26"/>
      <c r="LSI257" s="23"/>
      <c r="LSN257" s="26"/>
      <c r="LSR257" s="23"/>
      <c r="LSW257" s="26"/>
      <c r="LTA257" s="23"/>
      <c r="LTF257" s="26"/>
      <c r="LTJ257" s="23"/>
      <c r="LTO257" s="26"/>
      <c r="LTS257" s="23"/>
      <c r="LTX257" s="26"/>
      <c r="LUB257" s="23"/>
      <c r="LUG257" s="26"/>
      <c r="LUK257" s="23"/>
      <c r="LUP257" s="26"/>
      <c r="LUT257" s="23"/>
      <c r="LUY257" s="26"/>
      <c r="LVC257" s="23"/>
      <c r="LVH257" s="26"/>
      <c r="LVL257" s="23"/>
      <c r="LVQ257" s="26"/>
      <c r="LVU257" s="23"/>
      <c r="LVZ257" s="26"/>
      <c r="LWD257" s="23"/>
      <c r="LWI257" s="26"/>
      <c r="LWM257" s="23"/>
      <c r="LWR257" s="26"/>
      <c r="LWV257" s="23"/>
      <c r="LXA257" s="26"/>
      <c r="LXE257" s="23"/>
      <c r="LXJ257" s="26"/>
      <c r="LXN257" s="23"/>
      <c r="LXS257" s="26"/>
      <c r="LXW257" s="23"/>
      <c r="LYB257" s="26"/>
      <c r="LYF257" s="23"/>
      <c r="LYK257" s="26"/>
      <c r="LYO257" s="23"/>
      <c r="LYT257" s="26"/>
      <c r="LYX257" s="23"/>
      <c r="LZC257" s="26"/>
      <c r="LZG257" s="23"/>
      <c r="LZL257" s="26"/>
      <c r="LZP257" s="23"/>
      <c r="LZU257" s="26"/>
      <c r="LZY257" s="23"/>
      <c r="MAD257" s="26"/>
      <c r="MAH257" s="23"/>
      <c r="MAM257" s="26"/>
      <c r="MAQ257" s="23"/>
      <c r="MAV257" s="26"/>
      <c r="MAZ257" s="23"/>
      <c r="MBE257" s="26"/>
      <c r="MBI257" s="23"/>
      <c r="MBN257" s="26"/>
      <c r="MBR257" s="23"/>
      <c r="MBW257" s="26"/>
      <c r="MCA257" s="23"/>
      <c r="MCF257" s="26"/>
      <c r="MCJ257" s="23"/>
      <c r="MCO257" s="26"/>
      <c r="MCS257" s="23"/>
      <c r="MCX257" s="26"/>
      <c r="MDB257" s="23"/>
      <c r="MDG257" s="26"/>
      <c r="MDK257" s="23"/>
      <c r="MDP257" s="26"/>
      <c r="MDT257" s="23"/>
      <c r="MDY257" s="26"/>
      <c r="MEC257" s="23"/>
      <c r="MEH257" s="26"/>
      <c r="MEL257" s="23"/>
      <c r="MEQ257" s="26"/>
      <c r="MEU257" s="23"/>
      <c r="MEZ257" s="26"/>
      <c r="MFD257" s="23"/>
      <c r="MFI257" s="26"/>
      <c r="MFM257" s="23"/>
      <c r="MFR257" s="26"/>
      <c r="MFV257" s="23"/>
      <c r="MGA257" s="26"/>
      <c r="MGE257" s="23"/>
      <c r="MGJ257" s="26"/>
      <c r="MGN257" s="23"/>
      <c r="MGS257" s="26"/>
      <c r="MGW257" s="23"/>
      <c r="MHB257" s="26"/>
      <c r="MHF257" s="23"/>
      <c r="MHK257" s="26"/>
      <c r="MHO257" s="23"/>
      <c r="MHT257" s="26"/>
      <c r="MHX257" s="23"/>
      <c r="MIC257" s="26"/>
      <c r="MIG257" s="23"/>
      <c r="MIL257" s="26"/>
      <c r="MIP257" s="23"/>
      <c r="MIU257" s="26"/>
      <c r="MIY257" s="23"/>
      <c r="MJD257" s="26"/>
      <c r="MJH257" s="23"/>
      <c r="MJM257" s="26"/>
      <c r="MJQ257" s="23"/>
      <c r="MJV257" s="26"/>
      <c r="MJZ257" s="23"/>
      <c r="MKE257" s="26"/>
      <c r="MKI257" s="23"/>
      <c r="MKN257" s="26"/>
      <c r="MKR257" s="23"/>
      <c r="MKW257" s="26"/>
      <c r="MLA257" s="23"/>
      <c r="MLF257" s="26"/>
      <c r="MLJ257" s="23"/>
      <c r="MLO257" s="26"/>
      <c r="MLS257" s="23"/>
      <c r="MLX257" s="26"/>
      <c r="MMB257" s="23"/>
      <c r="MMG257" s="26"/>
      <c r="MMK257" s="23"/>
      <c r="MMP257" s="26"/>
      <c r="MMT257" s="23"/>
      <c r="MMY257" s="26"/>
      <c r="MNC257" s="23"/>
      <c r="MNH257" s="26"/>
      <c r="MNL257" s="23"/>
      <c r="MNQ257" s="26"/>
      <c r="MNU257" s="23"/>
      <c r="MNZ257" s="26"/>
      <c r="MOD257" s="23"/>
      <c r="MOI257" s="26"/>
      <c r="MOM257" s="23"/>
      <c r="MOR257" s="26"/>
      <c r="MOV257" s="23"/>
      <c r="MPA257" s="26"/>
      <c r="MPE257" s="23"/>
      <c r="MPJ257" s="26"/>
      <c r="MPN257" s="23"/>
      <c r="MPS257" s="26"/>
      <c r="MPW257" s="23"/>
      <c r="MQB257" s="26"/>
      <c r="MQF257" s="23"/>
      <c r="MQK257" s="26"/>
      <c r="MQO257" s="23"/>
      <c r="MQT257" s="26"/>
      <c r="MQX257" s="23"/>
      <c r="MRC257" s="26"/>
      <c r="MRG257" s="23"/>
      <c r="MRL257" s="26"/>
      <c r="MRP257" s="23"/>
      <c r="MRU257" s="26"/>
      <c r="MRY257" s="23"/>
      <c r="MSD257" s="26"/>
      <c r="MSH257" s="23"/>
      <c r="MSM257" s="26"/>
      <c r="MSQ257" s="23"/>
      <c r="MSV257" s="26"/>
      <c r="MSZ257" s="23"/>
      <c r="MTE257" s="26"/>
      <c r="MTI257" s="23"/>
      <c r="MTN257" s="26"/>
      <c r="MTR257" s="23"/>
      <c r="MTW257" s="26"/>
      <c r="MUA257" s="23"/>
      <c r="MUF257" s="26"/>
      <c r="MUJ257" s="23"/>
      <c r="MUO257" s="26"/>
      <c r="MUS257" s="23"/>
      <c r="MUX257" s="26"/>
      <c r="MVB257" s="23"/>
      <c r="MVG257" s="26"/>
      <c r="MVK257" s="23"/>
      <c r="MVP257" s="26"/>
      <c r="MVT257" s="23"/>
      <c r="MVY257" s="26"/>
      <c r="MWC257" s="23"/>
      <c r="MWH257" s="26"/>
      <c r="MWL257" s="23"/>
      <c r="MWQ257" s="26"/>
      <c r="MWU257" s="23"/>
      <c r="MWZ257" s="26"/>
      <c r="MXD257" s="23"/>
      <c r="MXI257" s="26"/>
      <c r="MXM257" s="23"/>
      <c r="MXR257" s="26"/>
      <c r="MXV257" s="23"/>
      <c r="MYA257" s="26"/>
      <c r="MYE257" s="23"/>
      <c r="MYJ257" s="26"/>
      <c r="MYN257" s="23"/>
      <c r="MYS257" s="26"/>
      <c r="MYW257" s="23"/>
      <c r="MZB257" s="26"/>
      <c r="MZF257" s="23"/>
      <c r="MZK257" s="26"/>
      <c r="MZO257" s="23"/>
      <c r="MZT257" s="26"/>
      <c r="MZX257" s="23"/>
      <c r="NAC257" s="26"/>
      <c r="NAG257" s="23"/>
      <c r="NAL257" s="26"/>
      <c r="NAP257" s="23"/>
      <c r="NAU257" s="26"/>
      <c r="NAY257" s="23"/>
      <c r="NBD257" s="26"/>
      <c r="NBH257" s="23"/>
      <c r="NBM257" s="26"/>
      <c r="NBQ257" s="23"/>
      <c r="NBV257" s="26"/>
      <c r="NBZ257" s="23"/>
      <c r="NCE257" s="26"/>
      <c r="NCI257" s="23"/>
      <c r="NCN257" s="26"/>
      <c r="NCR257" s="23"/>
      <c r="NCW257" s="26"/>
      <c r="NDA257" s="23"/>
      <c r="NDF257" s="26"/>
      <c r="NDJ257" s="23"/>
      <c r="NDO257" s="26"/>
      <c r="NDS257" s="23"/>
      <c r="NDX257" s="26"/>
      <c r="NEB257" s="23"/>
      <c r="NEG257" s="26"/>
      <c r="NEK257" s="23"/>
      <c r="NEP257" s="26"/>
      <c r="NET257" s="23"/>
      <c r="NEY257" s="26"/>
      <c r="NFC257" s="23"/>
      <c r="NFH257" s="26"/>
      <c r="NFL257" s="23"/>
      <c r="NFQ257" s="26"/>
      <c r="NFU257" s="23"/>
      <c r="NFZ257" s="26"/>
      <c r="NGD257" s="23"/>
      <c r="NGI257" s="26"/>
      <c r="NGM257" s="23"/>
      <c r="NGR257" s="26"/>
      <c r="NGV257" s="23"/>
      <c r="NHA257" s="26"/>
      <c r="NHE257" s="23"/>
      <c r="NHJ257" s="26"/>
      <c r="NHN257" s="23"/>
      <c r="NHS257" s="26"/>
      <c r="NHW257" s="23"/>
      <c r="NIB257" s="26"/>
      <c r="NIF257" s="23"/>
      <c r="NIK257" s="26"/>
      <c r="NIO257" s="23"/>
      <c r="NIT257" s="26"/>
      <c r="NIX257" s="23"/>
      <c r="NJC257" s="26"/>
      <c r="NJG257" s="23"/>
      <c r="NJL257" s="26"/>
      <c r="NJP257" s="23"/>
      <c r="NJU257" s="26"/>
      <c r="NJY257" s="23"/>
      <c r="NKD257" s="26"/>
      <c r="NKH257" s="23"/>
      <c r="NKM257" s="26"/>
      <c r="NKQ257" s="23"/>
      <c r="NKV257" s="26"/>
      <c r="NKZ257" s="23"/>
      <c r="NLE257" s="26"/>
      <c r="NLI257" s="23"/>
      <c r="NLN257" s="26"/>
      <c r="NLR257" s="23"/>
      <c r="NLW257" s="26"/>
      <c r="NMA257" s="23"/>
      <c r="NMF257" s="26"/>
      <c r="NMJ257" s="23"/>
      <c r="NMO257" s="26"/>
      <c r="NMS257" s="23"/>
      <c r="NMX257" s="26"/>
      <c r="NNB257" s="23"/>
      <c r="NNG257" s="26"/>
      <c r="NNK257" s="23"/>
      <c r="NNP257" s="26"/>
      <c r="NNT257" s="23"/>
      <c r="NNY257" s="26"/>
      <c r="NOC257" s="23"/>
      <c r="NOH257" s="26"/>
      <c r="NOL257" s="23"/>
      <c r="NOQ257" s="26"/>
      <c r="NOU257" s="23"/>
      <c r="NOZ257" s="26"/>
      <c r="NPD257" s="23"/>
      <c r="NPI257" s="26"/>
      <c r="NPM257" s="23"/>
      <c r="NPR257" s="26"/>
      <c r="NPV257" s="23"/>
      <c r="NQA257" s="26"/>
      <c r="NQE257" s="23"/>
      <c r="NQJ257" s="26"/>
      <c r="NQN257" s="23"/>
      <c r="NQS257" s="26"/>
      <c r="NQW257" s="23"/>
      <c r="NRB257" s="26"/>
      <c r="NRF257" s="23"/>
      <c r="NRK257" s="26"/>
      <c r="NRO257" s="23"/>
      <c r="NRT257" s="26"/>
      <c r="NRX257" s="23"/>
      <c r="NSC257" s="26"/>
      <c r="NSG257" s="23"/>
      <c r="NSL257" s="26"/>
      <c r="NSP257" s="23"/>
      <c r="NSU257" s="26"/>
      <c r="NSY257" s="23"/>
      <c r="NTD257" s="26"/>
      <c r="NTH257" s="23"/>
      <c r="NTM257" s="26"/>
      <c r="NTQ257" s="23"/>
      <c r="NTV257" s="26"/>
      <c r="NTZ257" s="23"/>
      <c r="NUE257" s="26"/>
      <c r="NUI257" s="23"/>
      <c r="NUN257" s="26"/>
      <c r="NUR257" s="23"/>
      <c r="NUW257" s="26"/>
      <c r="NVA257" s="23"/>
      <c r="NVF257" s="26"/>
      <c r="NVJ257" s="23"/>
      <c r="NVO257" s="26"/>
      <c r="NVS257" s="23"/>
      <c r="NVX257" s="26"/>
      <c r="NWB257" s="23"/>
      <c r="NWG257" s="26"/>
      <c r="NWK257" s="23"/>
      <c r="NWP257" s="26"/>
      <c r="NWT257" s="23"/>
      <c r="NWY257" s="26"/>
      <c r="NXC257" s="23"/>
      <c r="NXH257" s="26"/>
      <c r="NXL257" s="23"/>
      <c r="NXQ257" s="26"/>
      <c r="NXU257" s="23"/>
      <c r="NXZ257" s="26"/>
      <c r="NYD257" s="23"/>
      <c r="NYI257" s="26"/>
      <c r="NYM257" s="23"/>
      <c r="NYR257" s="26"/>
      <c r="NYV257" s="23"/>
      <c r="NZA257" s="26"/>
      <c r="NZE257" s="23"/>
      <c r="NZJ257" s="26"/>
      <c r="NZN257" s="23"/>
      <c r="NZS257" s="26"/>
      <c r="NZW257" s="23"/>
      <c r="OAB257" s="26"/>
      <c r="OAF257" s="23"/>
      <c r="OAK257" s="26"/>
      <c r="OAO257" s="23"/>
      <c r="OAT257" s="26"/>
      <c r="OAX257" s="23"/>
      <c r="OBC257" s="26"/>
      <c r="OBG257" s="23"/>
      <c r="OBL257" s="26"/>
      <c r="OBP257" s="23"/>
      <c r="OBU257" s="26"/>
      <c r="OBY257" s="23"/>
      <c r="OCD257" s="26"/>
      <c r="OCH257" s="23"/>
      <c r="OCM257" s="26"/>
      <c r="OCQ257" s="23"/>
      <c r="OCV257" s="26"/>
      <c r="OCZ257" s="23"/>
      <c r="ODE257" s="26"/>
      <c r="ODI257" s="23"/>
      <c r="ODN257" s="26"/>
      <c r="ODR257" s="23"/>
      <c r="ODW257" s="26"/>
      <c r="OEA257" s="23"/>
      <c r="OEF257" s="26"/>
      <c r="OEJ257" s="23"/>
      <c r="OEO257" s="26"/>
      <c r="OES257" s="23"/>
      <c r="OEX257" s="26"/>
      <c r="OFB257" s="23"/>
      <c r="OFG257" s="26"/>
      <c r="OFK257" s="23"/>
      <c r="OFP257" s="26"/>
      <c r="OFT257" s="23"/>
      <c r="OFY257" s="26"/>
      <c r="OGC257" s="23"/>
      <c r="OGH257" s="26"/>
      <c r="OGL257" s="23"/>
      <c r="OGQ257" s="26"/>
      <c r="OGU257" s="23"/>
      <c r="OGZ257" s="26"/>
      <c r="OHD257" s="23"/>
      <c r="OHI257" s="26"/>
      <c r="OHM257" s="23"/>
      <c r="OHR257" s="26"/>
      <c r="OHV257" s="23"/>
      <c r="OIA257" s="26"/>
      <c r="OIE257" s="23"/>
      <c r="OIJ257" s="26"/>
      <c r="OIN257" s="23"/>
      <c r="OIS257" s="26"/>
      <c r="OIW257" s="23"/>
      <c r="OJB257" s="26"/>
      <c r="OJF257" s="23"/>
      <c r="OJK257" s="26"/>
      <c r="OJO257" s="23"/>
      <c r="OJT257" s="26"/>
      <c r="OJX257" s="23"/>
      <c r="OKC257" s="26"/>
      <c r="OKG257" s="23"/>
      <c r="OKL257" s="26"/>
      <c r="OKP257" s="23"/>
      <c r="OKU257" s="26"/>
      <c r="OKY257" s="23"/>
      <c r="OLD257" s="26"/>
      <c r="OLH257" s="23"/>
      <c r="OLM257" s="26"/>
      <c r="OLQ257" s="23"/>
      <c r="OLV257" s="26"/>
      <c r="OLZ257" s="23"/>
      <c r="OME257" s="26"/>
      <c r="OMI257" s="23"/>
      <c r="OMN257" s="26"/>
      <c r="OMR257" s="23"/>
      <c r="OMW257" s="26"/>
      <c r="ONA257" s="23"/>
      <c r="ONF257" s="26"/>
      <c r="ONJ257" s="23"/>
      <c r="ONO257" s="26"/>
      <c r="ONS257" s="23"/>
      <c r="ONX257" s="26"/>
      <c r="OOB257" s="23"/>
      <c r="OOG257" s="26"/>
      <c r="OOK257" s="23"/>
      <c r="OOP257" s="26"/>
      <c r="OOT257" s="23"/>
      <c r="OOY257" s="26"/>
      <c r="OPC257" s="23"/>
      <c r="OPH257" s="26"/>
      <c r="OPL257" s="23"/>
      <c r="OPQ257" s="26"/>
      <c r="OPU257" s="23"/>
      <c r="OPZ257" s="26"/>
      <c r="OQD257" s="23"/>
      <c r="OQI257" s="26"/>
      <c r="OQM257" s="23"/>
      <c r="OQR257" s="26"/>
      <c r="OQV257" s="23"/>
      <c r="ORA257" s="26"/>
      <c r="ORE257" s="23"/>
      <c r="ORJ257" s="26"/>
      <c r="ORN257" s="23"/>
      <c r="ORS257" s="26"/>
      <c r="ORW257" s="23"/>
      <c r="OSB257" s="26"/>
      <c r="OSF257" s="23"/>
      <c r="OSK257" s="26"/>
      <c r="OSO257" s="23"/>
      <c r="OST257" s="26"/>
      <c r="OSX257" s="23"/>
      <c r="OTC257" s="26"/>
      <c r="OTG257" s="23"/>
      <c r="OTL257" s="26"/>
      <c r="OTP257" s="23"/>
      <c r="OTU257" s="26"/>
      <c r="OTY257" s="23"/>
      <c r="OUD257" s="26"/>
      <c r="OUH257" s="23"/>
      <c r="OUM257" s="26"/>
      <c r="OUQ257" s="23"/>
      <c r="OUV257" s="26"/>
      <c r="OUZ257" s="23"/>
      <c r="OVE257" s="26"/>
      <c r="OVI257" s="23"/>
      <c r="OVN257" s="26"/>
      <c r="OVR257" s="23"/>
      <c r="OVW257" s="26"/>
      <c r="OWA257" s="23"/>
      <c r="OWF257" s="26"/>
      <c r="OWJ257" s="23"/>
      <c r="OWO257" s="26"/>
      <c r="OWS257" s="23"/>
      <c r="OWX257" s="26"/>
      <c r="OXB257" s="23"/>
      <c r="OXG257" s="26"/>
      <c r="OXK257" s="23"/>
      <c r="OXP257" s="26"/>
      <c r="OXT257" s="23"/>
      <c r="OXY257" s="26"/>
      <c r="OYC257" s="23"/>
      <c r="OYH257" s="26"/>
      <c r="OYL257" s="23"/>
      <c r="OYQ257" s="26"/>
      <c r="OYU257" s="23"/>
      <c r="OYZ257" s="26"/>
      <c r="OZD257" s="23"/>
      <c r="OZI257" s="26"/>
      <c r="OZM257" s="23"/>
      <c r="OZR257" s="26"/>
      <c r="OZV257" s="23"/>
      <c r="PAA257" s="26"/>
      <c r="PAE257" s="23"/>
      <c r="PAJ257" s="26"/>
      <c r="PAN257" s="23"/>
      <c r="PAS257" s="26"/>
      <c r="PAW257" s="23"/>
      <c r="PBB257" s="26"/>
      <c r="PBF257" s="23"/>
      <c r="PBK257" s="26"/>
      <c r="PBO257" s="23"/>
      <c r="PBT257" s="26"/>
      <c r="PBX257" s="23"/>
      <c r="PCC257" s="26"/>
      <c r="PCG257" s="23"/>
      <c r="PCL257" s="26"/>
      <c r="PCP257" s="23"/>
      <c r="PCU257" s="26"/>
      <c r="PCY257" s="23"/>
      <c r="PDD257" s="26"/>
      <c r="PDH257" s="23"/>
      <c r="PDM257" s="26"/>
      <c r="PDQ257" s="23"/>
      <c r="PDV257" s="26"/>
      <c r="PDZ257" s="23"/>
      <c r="PEE257" s="26"/>
      <c r="PEI257" s="23"/>
      <c r="PEN257" s="26"/>
      <c r="PER257" s="23"/>
      <c r="PEW257" s="26"/>
      <c r="PFA257" s="23"/>
      <c r="PFF257" s="26"/>
      <c r="PFJ257" s="23"/>
      <c r="PFO257" s="26"/>
      <c r="PFS257" s="23"/>
      <c r="PFX257" s="26"/>
      <c r="PGB257" s="23"/>
      <c r="PGG257" s="26"/>
      <c r="PGK257" s="23"/>
      <c r="PGP257" s="26"/>
      <c r="PGT257" s="23"/>
      <c r="PGY257" s="26"/>
      <c r="PHC257" s="23"/>
      <c r="PHH257" s="26"/>
      <c r="PHL257" s="23"/>
      <c r="PHQ257" s="26"/>
      <c r="PHU257" s="23"/>
      <c r="PHZ257" s="26"/>
      <c r="PID257" s="23"/>
      <c r="PII257" s="26"/>
      <c r="PIM257" s="23"/>
      <c r="PIR257" s="26"/>
      <c r="PIV257" s="23"/>
      <c r="PJA257" s="26"/>
      <c r="PJE257" s="23"/>
      <c r="PJJ257" s="26"/>
      <c r="PJN257" s="23"/>
      <c r="PJS257" s="26"/>
      <c r="PJW257" s="23"/>
      <c r="PKB257" s="26"/>
      <c r="PKF257" s="23"/>
      <c r="PKK257" s="26"/>
      <c r="PKO257" s="23"/>
      <c r="PKT257" s="26"/>
      <c r="PKX257" s="23"/>
      <c r="PLC257" s="26"/>
      <c r="PLG257" s="23"/>
      <c r="PLL257" s="26"/>
      <c r="PLP257" s="23"/>
      <c r="PLU257" s="26"/>
      <c r="PLY257" s="23"/>
      <c r="PMD257" s="26"/>
      <c r="PMH257" s="23"/>
      <c r="PMM257" s="26"/>
      <c r="PMQ257" s="23"/>
      <c r="PMV257" s="26"/>
      <c r="PMZ257" s="23"/>
      <c r="PNE257" s="26"/>
      <c r="PNI257" s="23"/>
      <c r="PNN257" s="26"/>
      <c r="PNR257" s="23"/>
      <c r="PNW257" s="26"/>
      <c r="POA257" s="23"/>
      <c r="POF257" s="26"/>
      <c r="POJ257" s="23"/>
      <c r="POO257" s="26"/>
      <c r="POS257" s="23"/>
      <c r="POX257" s="26"/>
      <c r="PPB257" s="23"/>
      <c r="PPG257" s="26"/>
      <c r="PPK257" s="23"/>
      <c r="PPP257" s="26"/>
      <c r="PPT257" s="23"/>
      <c r="PPY257" s="26"/>
      <c r="PQC257" s="23"/>
      <c r="PQH257" s="26"/>
      <c r="PQL257" s="23"/>
      <c r="PQQ257" s="26"/>
      <c r="PQU257" s="23"/>
      <c r="PQZ257" s="26"/>
      <c r="PRD257" s="23"/>
      <c r="PRI257" s="26"/>
      <c r="PRM257" s="23"/>
      <c r="PRR257" s="26"/>
      <c r="PRV257" s="23"/>
      <c r="PSA257" s="26"/>
      <c r="PSE257" s="23"/>
      <c r="PSJ257" s="26"/>
      <c r="PSN257" s="23"/>
      <c r="PSS257" s="26"/>
      <c r="PSW257" s="23"/>
      <c r="PTB257" s="26"/>
      <c r="PTF257" s="23"/>
      <c r="PTK257" s="26"/>
      <c r="PTO257" s="23"/>
      <c r="PTT257" s="26"/>
      <c r="PTX257" s="23"/>
      <c r="PUC257" s="26"/>
      <c r="PUG257" s="23"/>
      <c r="PUL257" s="26"/>
      <c r="PUP257" s="23"/>
      <c r="PUU257" s="26"/>
      <c r="PUY257" s="23"/>
      <c r="PVD257" s="26"/>
      <c r="PVH257" s="23"/>
      <c r="PVM257" s="26"/>
      <c r="PVQ257" s="23"/>
      <c r="PVV257" s="26"/>
      <c r="PVZ257" s="23"/>
      <c r="PWE257" s="26"/>
      <c r="PWI257" s="23"/>
      <c r="PWN257" s="26"/>
      <c r="PWR257" s="23"/>
      <c r="PWW257" s="26"/>
      <c r="PXA257" s="23"/>
      <c r="PXF257" s="26"/>
      <c r="PXJ257" s="23"/>
      <c r="PXO257" s="26"/>
      <c r="PXS257" s="23"/>
      <c r="PXX257" s="26"/>
      <c r="PYB257" s="23"/>
      <c r="PYG257" s="26"/>
      <c r="PYK257" s="23"/>
      <c r="PYP257" s="26"/>
      <c r="PYT257" s="23"/>
      <c r="PYY257" s="26"/>
      <c r="PZC257" s="23"/>
      <c r="PZH257" s="26"/>
      <c r="PZL257" s="23"/>
      <c r="PZQ257" s="26"/>
      <c r="PZU257" s="23"/>
      <c r="PZZ257" s="26"/>
      <c r="QAD257" s="23"/>
      <c r="QAI257" s="26"/>
      <c r="QAM257" s="23"/>
      <c r="QAR257" s="26"/>
      <c r="QAV257" s="23"/>
      <c r="QBA257" s="26"/>
      <c r="QBE257" s="23"/>
      <c r="QBJ257" s="26"/>
      <c r="QBN257" s="23"/>
      <c r="QBS257" s="26"/>
      <c r="QBW257" s="23"/>
      <c r="QCB257" s="26"/>
      <c r="QCF257" s="23"/>
      <c r="QCK257" s="26"/>
      <c r="QCO257" s="23"/>
      <c r="QCT257" s="26"/>
      <c r="QCX257" s="23"/>
      <c r="QDC257" s="26"/>
      <c r="QDG257" s="23"/>
      <c r="QDL257" s="26"/>
      <c r="QDP257" s="23"/>
      <c r="QDU257" s="26"/>
      <c r="QDY257" s="23"/>
      <c r="QED257" s="26"/>
      <c r="QEH257" s="23"/>
      <c r="QEM257" s="26"/>
      <c r="QEQ257" s="23"/>
      <c r="QEV257" s="26"/>
      <c r="QEZ257" s="23"/>
      <c r="QFE257" s="26"/>
      <c r="QFI257" s="23"/>
      <c r="QFN257" s="26"/>
      <c r="QFR257" s="23"/>
      <c r="QFW257" s="26"/>
      <c r="QGA257" s="23"/>
      <c r="QGF257" s="26"/>
      <c r="QGJ257" s="23"/>
      <c r="QGO257" s="26"/>
      <c r="QGS257" s="23"/>
      <c r="QGX257" s="26"/>
      <c r="QHB257" s="23"/>
      <c r="QHG257" s="26"/>
      <c r="QHK257" s="23"/>
      <c r="QHP257" s="26"/>
      <c r="QHT257" s="23"/>
      <c r="QHY257" s="26"/>
      <c r="QIC257" s="23"/>
      <c r="QIH257" s="26"/>
      <c r="QIL257" s="23"/>
      <c r="QIQ257" s="26"/>
      <c r="QIU257" s="23"/>
      <c r="QIZ257" s="26"/>
      <c r="QJD257" s="23"/>
      <c r="QJI257" s="26"/>
      <c r="QJM257" s="23"/>
      <c r="QJR257" s="26"/>
      <c r="QJV257" s="23"/>
      <c r="QKA257" s="26"/>
      <c r="QKE257" s="23"/>
      <c r="QKJ257" s="26"/>
      <c r="QKN257" s="23"/>
      <c r="QKS257" s="26"/>
      <c r="QKW257" s="23"/>
      <c r="QLB257" s="26"/>
      <c r="QLF257" s="23"/>
      <c r="QLK257" s="26"/>
      <c r="QLO257" s="23"/>
      <c r="QLT257" s="26"/>
      <c r="QLX257" s="23"/>
      <c r="QMC257" s="26"/>
      <c r="QMG257" s="23"/>
      <c r="QML257" s="26"/>
      <c r="QMP257" s="23"/>
      <c r="QMU257" s="26"/>
      <c r="QMY257" s="23"/>
      <c r="QND257" s="26"/>
      <c r="QNH257" s="23"/>
      <c r="QNM257" s="26"/>
      <c r="QNQ257" s="23"/>
      <c r="QNV257" s="26"/>
      <c r="QNZ257" s="23"/>
      <c r="QOE257" s="26"/>
      <c r="QOI257" s="23"/>
      <c r="QON257" s="26"/>
      <c r="QOR257" s="23"/>
      <c r="QOW257" s="26"/>
      <c r="QPA257" s="23"/>
      <c r="QPF257" s="26"/>
      <c r="QPJ257" s="23"/>
      <c r="QPO257" s="26"/>
      <c r="QPS257" s="23"/>
      <c r="QPX257" s="26"/>
      <c r="QQB257" s="23"/>
      <c r="QQG257" s="26"/>
      <c r="QQK257" s="23"/>
      <c r="QQP257" s="26"/>
      <c r="QQT257" s="23"/>
      <c r="QQY257" s="26"/>
      <c r="QRC257" s="23"/>
      <c r="QRH257" s="26"/>
      <c r="QRL257" s="23"/>
      <c r="QRQ257" s="26"/>
      <c r="QRU257" s="23"/>
      <c r="QRZ257" s="26"/>
      <c r="QSD257" s="23"/>
      <c r="QSI257" s="26"/>
      <c r="QSM257" s="23"/>
      <c r="QSR257" s="26"/>
      <c r="QSV257" s="23"/>
      <c r="QTA257" s="26"/>
      <c r="QTE257" s="23"/>
      <c r="QTJ257" s="26"/>
      <c r="QTN257" s="23"/>
      <c r="QTS257" s="26"/>
      <c r="QTW257" s="23"/>
      <c r="QUB257" s="26"/>
      <c r="QUF257" s="23"/>
      <c r="QUK257" s="26"/>
      <c r="QUO257" s="23"/>
      <c r="QUT257" s="26"/>
      <c r="QUX257" s="23"/>
      <c r="QVC257" s="26"/>
      <c r="QVG257" s="23"/>
      <c r="QVL257" s="26"/>
      <c r="QVP257" s="23"/>
      <c r="QVU257" s="26"/>
      <c r="QVY257" s="23"/>
      <c r="QWD257" s="26"/>
      <c r="QWH257" s="23"/>
      <c r="QWM257" s="26"/>
      <c r="QWQ257" s="23"/>
      <c r="QWV257" s="26"/>
      <c r="QWZ257" s="23"/>
      <c r="QXE257" s="26"/>
      <c r="QXI257" s="23"/>
      <c r="QXN257" s="26"/>
      <c r="QXR257" s="23"/>
      <c r="QXW257" s="26"/>
      <c r="QYA257" s="23"/>
      <c r="QYF257" s="26"/>
      <c r="QYJ257" s="23"/>
      <c r="QYO257" s="26"/>
      <c r="QYS257" s="23"/>
      <c r="QYX257" s="26"/>
      <c r="QZB257" s="23"/>
      <c r="QZG257" s="26"/>
      <c r="QZK257" s="23"/>
      <c r="QZP257" s="26"/>
      <c r="QZT257" s="23"/>
      <c r="QZY257" s="26"/>
      <c r="RAC257" s="23"/>
      <c r="RAH257" s="26"/>
      <c r="RAL257" s="23"/>
      <c r="RAQ257" s="26"/>
      <c r="RAU257" s="23"/>
      <c r="RAZ257" s="26"/>
      <c r="RBD257" s="23"/>
      <c r="RBI257" s="26"/>
      <c r="RBM257" s="23"/>
      <c r="RBR257" s="26"/>
      <c r="RBV257" s="23"/>
      <c r="RCA257" s="26"/>
      <c r="RCE257" s="23"/>
      <c r="RCJ257" s="26"/>
      <c r="RCN257" s="23"/>
      <c r="RCS257" s="26"/>
      <c r="RCW257" s="23"/>
      <c r="RDB257" s="26"/>
      <c r="RDF257" s="23"/>
      <c r="RDK257" s="26"/>
      <c r="RDO257" s="23"/>
      <c r="RDT257" s="26"/>
      <c r="RDX257" s="23"/>
      <c r="REC257" s="26"/>
      <c r="REG257" s="23"/>
      <c r="REL257" s="26"/>
      <c r="REP257" s="23"/>
      <c r="REU257" s="26"/>
      <c r="REY257" s="23"/>
      <c r="RFD257" s="26"/>
      <c r="RFH257" s="23"/>
      <c r="RFM257" s="26"/>
      <c r="RFQ257" s="23"/>
      <c r="RFV257" s="26"/>
      <c r="RFZ257" s="23"/>
      <c r="RGE257" s="26"/>
      <c r="RGI257" s="23"/>
      <c r="RGN257" s="26"/>
      <c r="RGR257" s="23"/>
      <c r="RGW257" s="26"/>
      <c r="RHA257" s="23"/>
      <c r="RHF257" s="26"/>
      <c r="RHJ257" s="23"/>
      <c r="RHO257" s="26"/>
      <c r="RHS257" s="23"/>
      <c r="RHX257" s="26"/>
      <c r="RIB257" s="23"/>
      <c r="RIG257" s="26"/>
      <c r="RIK257" s="23"/>
      <c r="RIP257" s="26"/>
      <c r="RIT257" s="23"/>
      <c r="RIY257" s="26"/>
      <c r="RJC257" s="23"/>
      <c r="RJH257" s="26"/>
      <c r="RJL257" s="23"/>
      <c r="RJQ257" s="26"/>
      <c r="RJU257" s="23"/>
      <c r="RJZ257" s="26"/>
      <c r="RKD257" s="23"/>
      <c r="RKI257" s="26"/>
      <c r="RKM257" s="23"/>
      <c r="RKR257" s="26"/>
      <c r="RKV257" s="23"/>
      <c r="RLA257" s="26"/>
      <c r="RLE257" s="23"/>
      <c r="RLJ257" s="26"/>
      <c r="RLN257" s="23"/>
      <c r="RLS257" s="26"/>
      <c r="RLW257" s="23"/>
      <c r="RMB257" s="26"/>
      <c r="RMF257" s="23"/>
      <c r="RMK257" s="26"/>
      <c r="RMO257" s="23"/>
      <c r="RMT257" s="26"/>
      <c r="RMX257" s="23"/>
      <c r="RNC257" s="26"/>
      <c r="RNG257" s="23"/>
      <c r="RNL257" s="26"/>
      <c r="RNP257" s="23"/>
      <c r="RNU257" s="26"/>
      <c r="RNY257" s="23"/>
      <c r="ROD257" s="26"/>
      <c r="ROH257" s="23"/>
      <c r="ROM257" s="26"/>
      <c r="ROQ257" s="23"/>
      <c r="ROV257" s="26"/>
      <c r="ROZ257" s="23"/>
      <c r="RPE257" s="26"/>
      <c r="RPI257" s="23"/>
      <c r="RPN257" s="26"/>
      <c r="RPR257" s="23"/>
      <c r="RPW257" s="26"/>
      <c r="RQA257" s="23"/>
      <c r="RQF257" s="26"/>
      <c r="RQJ257" s="23"/>
      <c r="RQO257" s="26"/>
      <c r="RQS257" s="23"/>
      <c r="RQX257" s="26"/>
      <c r="RRB257" s="23"/>
      <c r="RRG257" s="26"/>
      <c r="RRK257" s="23"/>
      <c r="RRP257" s="26"/>
      <c r="RRT257" s="23"/>
      <c r="RRY257" s="26"/>
      <c r="RSC257" s="23"/>
      <c r="RSH257" s="26"/>
      <c r="RSL257" s="23"/>
      <c r="RSQ257" s="26"/>
      <c r="RSU257" s="23"/>
      <c r="RSZ257" s="26"/>
      <c r="RTD257" s="23"/>
      <c r="RTI257" s="26"/>
      <c r="RTM257" s="23"/>
      <c r="RTR257" s="26"/>
      <c r="RTV257" s="23"/>
      <c r="RUA257" s="26"/>
      <c r="RUE257" s="23"/>
      <c r="RUJ257" s="26"/>
      <c r="RUN257" s="23"/>
      <c r="RUS257" s="26"/>
      <c r="RUW257" s="23"/>
      <c r="RVB257" s="26"/>
      <c r="RVF257" s="23"/>
      <c r="RVK257" s="26"/>
      <c r="RVO257" s="23"/>
      <c r="RVT257" s="26"/>
      <c r="RVX257" s="23"/>
      <c r="RWC257" s="26"/>
      <c r="RWG257" s="23"/>
      <c r="RWL257" s="26"/>
      <c r="RWP257" s="23"/>
      <c r="RWU257" s="26"/>
      <c r="RWY257" s="23"/>
      <c r="RXD257" s="26"/>
      <c r="RXH257" s="23"/>
      <c r="RXM257" s="26"/>
      <c r="RXQ257" s="23"/>
      <c r="RXV257" s="26"/>
      <c r="RXZ257" s="23"/>
      <c r="RYE257" s="26"/>
      <c r="RYI257" s="23"/>
      <c r="RYN257" s="26"/>
      <c r="RYR257" s="23"/>
      <c r="RYW257" s="26"/>
      <c r="RZA257" s="23"/>
      <c r="RZF257" s="26"/>
      <c r="RZJ257" s="23"/>
      <c r="RZO257" s="26"/>
      <c r="RZS257" s="23"/>
      <c r="RZX257" s="26"/>
      <c r="SAB257" s="23"/>
      <c r="SAG257" s="26"/>
      <c r="SAK257" s="23"/>
      <c r="SAP257" s="26"/>
      <c r="SAT257" s="23"/>
      <c r="SAY257" s="26"/>
      <c r="SBC257" s="23"/>
      <c r="SBH257" s="26"/>
      <c r="SBL257" s="23"/>
      <c r="SBQ257" s="26"/>
      <c r="SBU257" s="23"/>
      <c r="SBZ257" s="26"/>
      <c r="SCD257" s="23"/>
      <c r="SCI257" s="26"/>
      <c r="SCM257" s="23"/>
      <c r="SCR257" s="26"/>
      <c r="SCV257" s="23"/>
      <c r="SDA257" s="26"/>
      <c r="SDE257" s="23"/>
      <c r="SDJ257" s="26"/>
      <c r="SDN257" s="23"/>
      <c r="SDS257" s="26"/>
      <c r="SDW257" s="23"/>
      <c r="SEB257" s="26"/>
      <c r="SEF257" s="23"/>
      <c r="SEK257" s="26"/>
      <c r="SEO257" s="23"/>
      <c r="SET257" s="26"/>
      <c r="SEX257" s="23"/>
      <c r="SFC257" s="26"/>
      <c r="SFG257" s="23"/>
      <c r="SFL257" s="26"/>
      <c r="SFP257" s="23"/>
      <c r="SFU257" s="26"/>
      <c r="SFY257" s="23"/>
      <c r="SGD257" s="26"/>
      <c r="SGH257" s="23"/>
      <c r="SGM257" s="26"/>
      <c r="SGQ257" s="23"/>
      <c r="SGV257" s="26"/>
      <c r="SGZ257" s="23"/>
      <c r="SHE257" s="26"/>
      <c r="SHI257" s="23"/>
      <c r="SHN257" s="26"/>
      <c r="SHR257" s="23"/>
      <c r="SHW257" s="26"/>
      <c r="SIA257" s="23"/>
      <c r="SIF257" s="26"/>
      <c r="SIJ257" s="23"/>
      <c r="SIO257" s="26"/>
      <c r="SIS257" s="23"/>
      <c r="SIX257" s="26"/>
      <c r="SJB257" s="23"/>
      <c r="SJG257" s="26"/>
      <c r="SJK257" s="23"/>
      <c r="SJP257" s="26"/>
      <c r="SJT257" s="23"/>
      <c r="SJY257" s="26"/>
      <c r="SKC257" s="23"/>
      <c r="SKH257" s="26"/>
      <c r="SKL257" s="23"/>
      <c r="SKQ257" s="26"/>
      <c r="SKU257" s="23"/>
      <c r="SKZ257" s="26"/>
      <c r="SLD257" s="23"/>
      <c r="SLI257" s="26"/>
      <c r="SLM257" s="23"/>
      <c r="SLR257" s="26"/>
      <c r="SLV257" s="23"/>
      <c r="SMA257" s="26"/>
      <c r="SME257" s="23"/>
      <c r="SMJ257" s="26"/>
      <c r="SMN257" s="23"/>
      <c r="SMS257" s="26"/>
      <c r="SMW257" s="23"/>
      <c r="SNB257" s="26"/>
      <c r="SNF257" s="23"/>
      <c r="SNK257" s="26"/>
      <c r="SNO257" s="23"/>
      <c r="SNT257" s="26"/>
      <c r="SNX257" s="23"/>
      <c r="SOC257" s="26"/>
      <c r="SOG257" s="23"/>
      <c r="SOL257" s="26"/>
      <c r="SOP257" s="23"/>
      <c r="SOU257" s="26"/>
      <c r="SOY257" s="23"/>
      <c r="SPD257" s="26"/>
      <c r="SPH257" s="23"/>
      <c r="SPM257" s="26"/>
      <c r="SPQ257" s="23"/>
      <c r="SPV257" s="26"/>
      <c r="SPZ257" s="23"/>
      <c r="SQE257" s="26"/>
      <c r="SQI257" s="23"/>
      <c r="SQN257" s="26"/>
      <c r="SQR257" s="23"/>
      <c r="SQW257" s="26"/>
      <c r="SRA257" s="23"/>
      <c r="SRF257" s="26"/>
      <c r="SRJ257" s="23"/>
      <c r="SRO257" s="26"/>
      <c r="SRS257" s="23"/>
      <c r="SRX257" s="26"/>
      <c r="SSB257" s="23"/>
      <c r="SSG257" s="26"/>
      <c r="SSK257" s="23"/>
      <c r="SSP257" s="26"/>
      <c r="SST257" s="23"/>
      <c r="SSY257" s="26"/>
      <c r="STC257" s="23"/>
      <c r="STH257" s="26"/>
      <c r="STL257" s="23"/>
      <c r="STQ257" s="26"/>
      <c r="STU257" s="23"/>
      <c r="STZ257" s="26"/>
      <c r="SUD257" s="23"/>
      <c r="SUI257" s="26"/>
      <c r="SUM257" s="23"/>
      <c r="SUR257" s="26"/>
      <c r="SUV257" s="23"/>
      <c r="SVA257" s="26"/>
      <c r="SVE257" s="23"/>
      <c r="SVJ257" s="26"/>
      <c r="SVN257" s="23"/>
      <c r="SVS257" s="26"/>
      <c r="SVW257" s="23"/>
      <c r="SWB257" s="26"/>
      <c r="SWF257" s="23"/>
      <c r="SWK257" s="26"/>
      <c r="SWO257" s="23"/>
      <c r="SWT257" s="26"/>
      <c r="SWX257" s="23"/>
      <c r="SXC257" s="26"/>
      <c r="SXG257" s="23"/>
      <c r="SXL257" s="26"/>
      <c r="SXP257" s="23"/>
      <c r="SXU257" s="26"/>
      <c r="SXY257" s="23"/>
      <c r="SYD257" s="26"/>
      <c r="SYH257" s="23"/>
      <c r="SYM257" s="26"/>
      <c r="SYQ257" s="23"/>
      <c r="SYV257" s="26"/>
      <c r="SYZ257" s="23"/>
      <c r="SZE257" s="26"/>
      <c r="SZI257" s="23"/>
      <c r="SZN257" s="26"/>
      <c r="SZR257" s="23"/>
      <c r="SZW257" s="26"/>
      <c r="TAA257" s="23"/>
      <c r="TAF257" s="26"/>
      <c r="TAJ257" s="23"/>
      <c r="TAO257" s="26"/>
      <c r="TAS257" s="23"/>
      <c r="TAX257" s="26"/>
      <c r="TBB257" s="23"/>
      <c r="TBG257" s="26"/>
      <c r="TBK257" s="23"/>
      <c r="TBP257" s="26"/>
      <c r="TBT257" s="23"/>
      <c r="TBY257" s="26"/>
      <c r="TCC257" s="23"/>
      <c r="TCH257" s="26"/>
      <c r="TCL257" s="23"/>
      <c r="TCQ257" s="26"/>
      <c r="TCU257" s="23"/>
      <c r="TCZ257" s="26"/>
      <c r="TDD257" s="23"/>
      <c r="TDI257" s="26"/>
      <c r="TDM257" s="23"/>
      <c r="TDR257" s="26"/>
      <c r="TDV257" s="23"/>
      <c r="TEA257" s="26"/>
      <c r="TEE257" s="23"/>
      <c r="TEJ257" s="26"/>
      <c r="TEN257" s="23"/>
      <c r="TES257" s="26"/>
      <c r="TEW257" s="23"/>
      <c r="TFB257" s="26"/>
      <c r="TFF257" s="23"/>
      <c r="TFK257" s="26"/>
      <c r="TFO257" s="23"/>
      <c r="TFT257" s="26"/>
      <c r="TFX257" s="23"/>
      <c r="TGC257" s="26"/>
      <c r="TGG257" s="23"/>
      <c r="TGL257" s="26"/>
      <c r="TGP257" s="23"/>
      <c r="TGU257" s="26"/>
      <c r="TGY257" s="23"/>
      <c r="THD257" s="26"/>
      <c r="THH257" s="23"/>
      <c r="THM257" s="26"/>
      <c r="THQ257" s="23"/>
      <c r="THV257" s="26"/>
      <c r="THZ257" s="23"/>
      <c r="TIE257" s="26"/>
      <c r="TII257" s="23"/>
      <c r="TIN257" s="26"/>
      <c r="TIR257" s="23"/>
      <c r="TIW257" s="26"/>
      <c r="TJA257" s="23"/>
      <c r="TJF257" s="26"/>
      <c r="TJJ257" s="23"/>
      <c r="TJO257" s="26"/>
      <c r="TJS257" s="23"/>
      <c r="TJX257" s="26"/>
      <c r="TKB257" s="23"/>
      <c r="TKG257" s="26"/>
      <c r="TKK257" s="23"/>
      <c r="TKP257" s="26"/>
      <c r="TKT257" s="23"/>
      <c r="TKY257" s="26"/>
      <c r="TLC257" s="23"/>
      <c r="TLH257" s="26"/>
      <c r="TLL257" s="23"/>
      <c r="TLQ257" s="26"/>
      <c r="TLU257" s="23"/>
      <c r="TLZ257" s="26"/>
      <c r="TMD257" s="23"/>
      <c r="TMI257" s="26"/>
      <c r="TMM257" s="23"/>
      <c r="TMR257" s="26"/>
      <c r="TMV257" s="23"/>
      <c r="TNA257" s="26"/>
      <c r="TNE257" s="23"/>
      <c r="TNJ257" s="26"/>
      <c r="TNN257" s="23"/>
      <c r="TNS257" s="26"/>
      <c r="TNW257" s="23"/>
      <c r="TOB257" s="26"/>
      <c r="TOF257" s="23"/>
      <c r="TOK257" s="26"/>
      <c r="TOO257" s="23"/>
      <c r="TOT257" s="26"/>
      <c r="TOX257" s="23"/>
      <c r="TPC257" s="26"/>
      <c r="TPG257" s="23"/>
      <c r="TPL257" s="26"/>
      <c r="TPP257" s="23"/>
      <c r="TPU257" s="26"/>
      <c r="TPY257" s="23"/>
      <c r="TQD257" s="26"/>
      <c r="TQH257" s="23"/>
      <c r="TQM257" s="26"/>
      <c r="TQQ257" s="23"/>
      <c r="TQV257" s="26"/>
      <c r="TQZ257" s="23"/>
      <c r="TRE257" s="26"/>
      <c r="TRI257" s="23"/>
      <c r="TRN257" s="26"/>
      <c r="TRR257" s="23"/>
      <c r="TRW257" s="26"/>
      <c r="TSA257" s="23"/>
      <c r="TSF257" s="26"/>
      <c r="TSJ257" s="23"/>
      <c r="TSO257" s="26"/>
      <c r="TSS257" s="23"/>
      <c r="TSX257" s="26"/>
      <c r="TTB257" s="23"/>
      <c r="TTG257" s="26"/>
      <c r="TTK257" s="23"/>
      <c r="TTP257" s="26"/>
      <c r="TTT257" s="23"/>
      <c r="TTY257" s="26"/>
      <c r="TUC257" s="23"/>
      <c r="TUH257" s="26"/>
      <c r="TUL257" s="23"/>
      <c r="TUQ257" s="26"/>
      <c r="TUU257" s="23"/>
      <c r="TUZ257" s="26"/>
      <c r="TVD257" s="23"/>
      <c r="TVI257" s="26"/>
      <c r="TVM257" s="23"/>
      <c r="TVR257" s="26"/>
      <c r="TVV257" s="23"/>
      <c r="TWA257" s="26"/>
      <c r="TWE257" s="23"/>
      <c r="TWJ257" s="26"/>
      <c r="TWN257" s="23"/>
      <c r="TWS257" s="26"/>
      <c r="TWW257" s="23"/>
      <c r="TXB257" s="26"/>
      <c r="TXF257" s="23"/>
      <c r="TXK257" s="26"/>
      <c r="TXO257" s="23"/>
      <c r="TXT257" s="26"/>
      <c r="TXX257" s="23"/>
      <c r="TYC257" s="26"/>
      <c r="TYG257" s="23"/>
      <c r="TYL257" s="26"/>
      <c r="TYP257" s="23"/>
      <c r="TYU257" s="26"/>
      <c r="TYY257" s="23"/>
      <c r="TZD257" s="26"/>
      <c r="TZH257" s="23"/>
      <c r="TZM257" s="26"/>
      <c r="TZQ257" s="23"/>
      <c r="TZV257" s="26"/>
      <c r="TZZ257" s="23"/>
      <c r="UAE257" s="26"/>
      <c r="UAI257" s="23"/>
      <c r="UAN257" s="26"/>
      <c r="UAR257" s="23"/>
      <c r="UAW257" s="26"/>
      <c r="UBA257" s="23"/>
      <c r="UBF257" s="26"/>
      <c r="UBJ257" s="23"/>
      <c r="UBO257" s="26"/>
      <c r="UBS257" s="23"/>
      <c r="UBX257" s="26"/>
      <c r="UCB257" s="23"/>
      <c r="UCG257" s="26"/>
      <c r="UCK257" s="23"/>
      <c r="UCP257" s="26"/>
      <c r="UCT257" s="23"/>
      <c r="UCY257" s="26"/>
      <c r="UDC257" s="23"/>
      <c r="UDH257" s="26"/>
      <c r="UDL257" s="23"/>
      <c r="UDQ257" s="26"/>
      <c r="UDU257" s="23"/>
      <c r="UDZ257" s="26"/>
      <c r="UED257" s="23"/>
      <c r="UEI257" s="26"/>
      <c r="UEM257" s="23"/>
      <c r="UER257" s="26"/>
      <c r="UEV257" s="23"/>
      <c r="UFA257" s="26"/>
      <c r="UFE257" s="23"/>
      <c r="UFJ257" s="26"/>
      <c r="UFN257" s="23"/>
      <c r="UFS257" s="26"/>
      <c r="UFW257" s="23"/>
      <c r="UGB257" s="26"/>
      <c r="UGF257" s="23"/>
      <c r="UGK257" s="26"/>
      <c r="UGO257" s="23"/>
      <c r="UGT257" s="26"/>
      <c r="UGX257" s="23"/>
      <c r="UHC257" s="26"/>
      <c r="UHG257" s="23"/>
      <c r="UHL257" s="26"/>
      <c r="UHP257" s="23"/>
      <c r="UHU257" s="26"/>
      <c r="UHY257" s="23"/>
      <c r="UID257" s="26"/>
      <c r="UIH257" s="23"/>
      <c r="UIM257" s="26"/>
      <c r="UIQ257" s="23"/>
      <c r="UIV257" s="26"/>
      <c r="UIZ257" s="23"/>
      <c r="UJE257" s="26"/>
      <c r="UJI257" s="23"/>
      <c r="UJN257" s="26"/>
      <c r="UJR257" s="23"/>
      <c r="UJW257" s="26"/>
      <c r="UKA257" s="23"/>
      <c r="UKF257" s="26"/>
      <c r="UKJ257" s="23"/>
      <c r="UKO257" s="26"/>
      <c r="UKS257" s="23"/>
      <c r="UKX257" s="26"/>
      <c r="ULB257" s="23"/>
      <c r="ULG257" s="26"/>
      <c r="ULK257" s="23"/>
      <c r="ULP257" s="26"/>
      <c r="ULT257" s="23"/>
      <c r="ULY257" s="26"/>
      <c r="UMC257" s="23"/>
      <c r="UMH257" s="26"/>
      <c r="UML257" s="23"/>
      <c r="UMQ257" s="26"/>
      <c r="UMU257" s="23"/>
      <c r="UMZ257" s="26"/>
      <c r="UND257" s="23"/>
      <c r="UNI257" s="26"/>
      <c r="UNM257" s="23"/>
      <c r="UNR257" s="26"/>
      <c r="UNV257" s="23"/>
      <c r="UOA257" s="26"/>
      <c r="UOE257" s="23"/>
      <c r="UOJ257" s="26"/>
      <c r="UON257" s="23"/>
      <c r="UOS257" s="26"/>
      <c r="UOW257" s="23"/>
      <c r="UPB257" s="26"/>
      <c r="UPF257" s="23"/>
      <c r="UPK257" s="26"/>
      <c r="UPO257" s="23"/>
      <c r="UPT257" s="26"/>
      <c r="UPX257" s="23"/>
      <c r="UQC257" s="26"/>
      <c r="UQG257" s="23"/>
      <c r="UQL257" s="26"/>
      <c r="UQP257" s="23"/>
      <c r="UQU257" s="26"/>
      <c r="UQY257" s="23"/>
      <c r="URD257" s="26"/>
      <c r="URH257" s="23"/>
      <c r="URM257" s="26"/>
      <c r="URQ257" s="23"/>
      <c r="URV257" s="26"/>
      <c r="URZ257" s="23"/>
      <c r="USE257" s="26"/>
      <c r="USI257" s="23"/>
      <c r="USN257" s="26"/>
      <c r="USR257" s="23"/>
      <c r="USW257" s="26"/>
      <c r="UTA257" s="23"/>
      <c r="UTF257" s="26"/>
      <c r="UTJ257" s="23"/>
      <c r="UTO257" s="26"/>
      <c r="UTS257" s="23"/>
      <c r="UTX257" s="26"/>
      <c r="UUB257" s="23"/>
      <c r="UUG257" s="26"/>
      <c r="UUK257" s="23"/>
      <c r="UUP257" s="26"/>
      <c r="UUT257" s="23"/>
      <c r="UUY257" s="26"/>
      <c r="UVC257" s="23"/>
      <c r="UVH257" s="26"/>
      <c r="UVL257" s="23"/>
      <c r="UVQ257" s="26"/>
      <c r="UVU257" s="23"/>
      <c r="UVZ257" s="26"/>
      <c r="UWD257" s="23"/>
      <c r="UWI257" s="26"/>
      <c r="UWM257" s="23"/>
      <c r="UWR257" s="26"/>
      <c r="UWV257" s="23"/>
      <c r="UXA257" s="26"/>
      <c r="UXE257" s="23"/>
      <c r="UXJ257" s="26"/>
      <c r="UXN257" s="23"/>
      <c r="UXS257" s="26"/>
      <c r="UXW257" s="23"/>
      <c r="UYB257" s="26"/>
      <c r="UYF257" s="23"/>
      <c r="UYK257" s="26"/>
      <c r="UYO257" s="23"/>
      <c r="UYT257" s="26"/>
      <c r="UYX257" s="23"/>
      <c r="UZC257" s="26"/>
      <c r="UZG257" s="23"/>
      <c r="UZL257" s="26"/>
      <c r="UZP257" s="23"/>
      <c r="UZU257" s="26"/>
      <c r="UZY257" s="23"/>
      <c r="VAD257" s="26"/>
      <c r="VAH257" s="23"/>
      <c r="VAM257" s="26"/>
      <c r="VAQ257" s="23"/>
      <c r="VAV257" s="26"/>
      <c r="VAZ257" s="23"/>
      <c r="VBE257" s="26"/>
      <c r="VBI257" s="23"/>
      <c r="VBN257" s="26"/>
      <c r="VBR257" s="23"/>
      <c r="VBW257" s="26"/>
      <c r="VCA257" s="23"/>
      <c r="VCF257" s="26"/>
      <c r="VCJ257" s="23"/>
      <c r="VCO257" s="26"/>
      <c r="VCS257" s="23"/>
      <c r="VCX257" s="26"/>
      <c r="VDB257" s="23"/>
      <c r="VDG257" s="26"/>
      <c r="VDK257" s="23"/>
      <c r="VDP257" s="26"/>
      <c r="VDT257" s="23"/>
      <c r="VDY257" s="26"/>
      <c r="VEC257" s="23"/>
      <c r="VEH257" s="26"/>
      <c r="VEL257" s="23"/>
      <c r="VEQ257" s="26"/>
      <c r="VEU257" s="23"/>
      <c r="VEZ257" s="26"/>
      <c r="VFD257" s="23"/>
      <c r="VFI257" s="26"/>
      <c r="VFM257" s="23"/>
      <c r="VFR257" s="26"/>
      <c r="VFV257" s="23"/>
      <c r="VGA257" s="26"/>
      <c r="VGE257" s="23"/>
      <c r="VGJ257" s="26"/>
      <c r="VGN257" s="23"/>
      <c r="VGS257" s="26"/>
      <c r="VGW257" s="23"/>
      <c r="VHB257" s="26"/>
      <c r="VHF257" s="23"/>
      <c r="VHK257" s="26"/>
      <c r="VHO257" s="23"/>
      <c r="VHT257" s="26"/>
      <c r="VHX257" s="23"/>
      <c r="VIC257" s="26"/>
      <c r="VIG257" s="23"/>
      <c r="VIL257" s="26"/>
      <c r="VIP257" s="23"/>
      <c r="VIU257" s="26"/>
      <c r="VIY257" s="23"/>
      <c r="VJD257" s="26"/>
      <c r="VJH257" s="23"/>
      <c r="VJM257" s="26"/>
      <c r="VJQ257" s="23"/>
      <c r="VJV257" s="26"/>
      <c r="VJZ257" s="23"/>
      <c r="VKE257" s="26"/>
      <c r="VKI257" s="23"/>
      <c r="VKN257" s="26"/>
      <c r="VKR257" s="23"/>
      <c r="VKW257" s="26"/>
      <c r="VLA257" s="23"/>
      <c r="VLF257" s="26"/>
      <c r="VLJ257" s="23"/>
      <c r="VLO257" s="26"/>
      <c r="VLS257" s="23"/>
      <c r="VLX257" s="26"/>
      <c r="VMB257" s="23"/>
      <c r="VMG257" s="26"/>
      <c r="VMK257" s="23"/>
      <c r="VMP257" s="26"/>
      <c r="VMT257" s="23"/>
      <c r="VMY257" s="26"/>
      <c r="VNC257" s="23"/>
      <c r="VNH257" s="26"/>
      <c r="VNL257" s="23"/>
      <c r="VNQ257" s="26"/>
      <c r="VNU257" s="23"/>
      <c r="VNZ257" s="26"/>
      <c r="VOD257" s="23"/>
      <c r="VOI257" s="26"/>
      <c r="VOM257" s="23"/>
      <c r="VOR257" s="26"/>
      <c r="VOV257" s="23"/>
      <c r="VPA257" s="26"/>
      <c r="VPE257" s="23"/>
      <c r="VPJ257" s="26"/>
      <c r="VPN257" s="23"/>
      <c r="VPS257" s="26"/>
      <c r="VPW257" s="23"/>
      <c r="VQB257" s="26"/>
      <c r="VQF257" s="23"/>
      <c r="VQK257" s="26"/>
      <c r="VQO257" s="23"/>
      <c r="VQT257" s="26"/>
      <c r="VQX257" s="23"/>
      <c r="VRC257" s="26"/>
      <c r="VRG257" s="23"/>
      <c r="VRL257" s="26"/>
      <c r="VRP257" s="23"/>
      <c r="VRU257" s="26"/>
      <c r="VRY257" s="23"/>
      <c r="VSD257" s="26"/>
      <c r="VSH257" s="23"/>
      <c r="VSM257" s="26"/>
      <c r="VSQ257" s="23"/>
      <c r="VSV257" s="26"/>
      <c r="VSZ257" s="23"/>
      <c r="VTE257" s="26"/>
      <c r="VTI257" s="23"/>
      <c r="VTN257" s="26"/>
      <c r="VTR257" s="23"/>
      <c r="VTW257" s="26"/>
      <c r="VUA257" s="23"/>
      <c r="VUF257" s="26"/>
      <c r="VUJ257" s="23"/>
      <c r="VUO257" s="26"/>
      <c r="VUS257" s="23"/>
      <c r="VUX257" s="26"/>
      <c r="VVB257" s="23"/>
      <c r="VVG257" s="26"/>
      <c r="VVK257" s="23"/>
      <c r="VVP257" s="26"/>
      <c r="VVT257" s="23"/>
      <c r="VVY257" s="26"/>
      <c r="VWC257" s="23"/>
      <c r="VWH257" s="26"/>
      <c r="VWL257" s="23"/>
      <c r="VWQ257" s="26"/>
      <c r="VWU257" s="23"/>
      <c r="VWZ257" s="26"/>
      <c r="VXD257" s="23"/>
      <c r="VXI257" s="26"/>
      <c r="VXM257" s="23"/>
      <c r="VXR257" s="26"/>
      <c r="VXV257" s="23"/>
      <c r="VYA257" s="26"/>
      <c r="VYE257" s="23"/>
      <c r="VYJ257" s="26"/>
      <c r="VYN257" s="23"/>
      <c r="VYS257" s="26"/>
      <c r="VYW257" s="23"/>
      <c r="VZB257" s="26"/>
      <c r="VZF257" s="23"/>
      <c r="VZK257" s="26"/>
      <c r="VZO257" s="23"/>
      <c r="VZT257" s="26"/>
      <c r="VZX257" s="23"/>
      <c r="WAC257" s="26"/>
      <c r="WAG257" s="23"/>
      <c r="WAL257" s="26"/>
      <c r="WAP257" s="23"/>
      <c r="WAU257" s="26"/>
      <c r="WAY257" s="23"/>
      <c r="WBD257" s="26"/>
      <c r="WBH257" s="23"/>
      <c r="WBM257" s="26"/>
      <c r="WBQ257" s="23"/>
      <c r="WBV257" s="26"/>
      <c r="WBZ257" s="23"/>
      <c r="WCE257" s="26"/>
      <c r="WCI257" s="23"/>
      <c r="WCN257" s="26"/>
      <c r="WCR257" s="23"/>
      <c r="WCW257" s="26"/>
      <c r="WDA257" s="23"/>
      <c r="WDF257" s="26"/>
      <c r="WDJ257" s="23"/>
      <c r="WDO257" s="26"/>
      <c r="WDS257" s="23"/>
      <c r="WDX257" s="26"/>
      <c r="WEB257" s="23"/>
      <c r="WEG257" s="26"/>
      <c r="WEK257" s="23"/>
      <c r="WEP257" s="26"/>
      <c r="WET257" s="23"/>
      <c r="WEY257" s="26"/>
      <c r="WFC257" s="23"/>
      <c r="WFH257" s="26"/>
      <c r="WFL257" s="23"/>
      <c r="WFQ257" s="26"/>
      <c r="WFU257" s="23"/>
      <c r="WFZ257" s="26"/>
      <c r="WGD257" s="23"/>
      <c r="WGI257" s="26"/>
      <c r="WGM257" s="23"/>
      <c r="WGR257" s="26"/>
      <c r="WGV257" s="23"/>
      <c r="WHA257" s="26"/>
      <c r="WHE257" s="23"/>
      <c r="WHJ257" s="26"/>
      <c r="WHN257" s="23"/>
      <c r="WHS257" s="26"/>
      <c r="WHW257" s="23"/>
      <c r="WIB257" s="26"/>
      <c r="WIF257" s="23"/>
      <c r="WIK257" s="26"/>
      <c r="WIO257" s="23"/>
      <c r="WIT257" s="26"/>
      <c r="WIX257" s="23"/>
      <c r="WJC257" s="26"/>
      <c r="WJG257" s="23"/>
      <c r="WJL257" s="26"/>
      <c r="WJP257" s="23"/>
      <c r="WJU257" s="26"/>
      <c r="WJY257" s="23"/>
      <c r="WKD257" s="26"/>
      <c r="WKH257" s="23"/>
      <c r="WKM257" s="26"/>
      <c r="WKQ257" s="23"/>
      <c r="WKV257" s="26"/>
      <c r="WKZ257" s="23"/>
      <c r="WLE257" s="26"/>
      <c r="WLI257" s="23"/>
      <c r="WLN257" s="26"/>
      <c r="WLR257" s="23"/>
      <c r="WLW257" s="26"/>
      <c r="WMA257" s="23"/>
      <c r="WMF257" s="26"/>
      <c r="WMJ257" s="23"/>
      <c r="WMO257" s="26"/>
      <c r="WMS257" s="23"/>
      <c r="WMX257" s="26"/>
      <c r="WNB257" s="23"/>
      <c r="WNG257" s="26"/>
      <c r="WNK257" s="23"/>
      <c r="WNP257" s="26"/>
      <c r="WNT257" s="23"/>
      <c r="WNY257" s="26"/>
      <c r="WOC257" s="23"/>
      <c r="WOH257" s="26"/>
      <c r="WOL257" s="23"/>
      <c r="WOQ257" s="26"/>
      <c r="WOU257" s="23"/>
      <c r="WOZ257" s="26"/>
      <c r="WPD257" s="23"/>
      <c r="WPI257" s="26"/>
      <c r="WPM257" s="23"/>
      <c r="WPR257" s="26"/>
      <c r="WPV257" s="23"/>
      <c r="WQA257" s="26"/>
      <c r="WQE257" s="23"/>
      <c r="WQJ257" s="26"/>
      <c r="WQN257" s="23"/>
      <c r="WQS257" s="26"/>
      <c r="WQW257" s="23"/>
      <c r="WRB257" s="26"/>
      <c r="WRF257" s="23"/>
      <c r="WRK257" s="26"/>
      <c r="WRO257" s="23"/>
      <c r="WRT257" s="26"/>
      <c r="WRX257" s="23"/>
      <c r="WSC257" s="26"/>
      <c r="WSG257" s="23"/>
      <c r="WSL257" s="26"/>
      <c r="WSP257" s="23"/>
      <c r="WSU257" s="26"/>
      <c r="WSY257" s="23"/>
      <c r="WTD257" s="26"/>
      <c r="WTH257" s="23"/>
      <c r="WTM257" s="26"/>
      <c r="WTQ257" s="23"/>
      <c r="WTV257" s="26"/>
      <c r="WTZ257" s="23"/>
      <c r="WUE257" s="26"/>
      <c r="WUI257" s="23"/>
      <c r="WUN257" s="26"/>
      <c r="WUR257" s="23"/>
      <c r="WUW257" s="26"/>
      <c r="WVA257" s="23"/>
      <c r="WVF257" s="26"/>
      <c r="WVJ257" s="23"/>
      <c r="WVO257" s="26"/>
      <c r="WVS257" s="23"/>
      <c r="WVX257" s="26"/>
      <c r="WWB257" s="23"/>
      <c r="WWG257" s="26"/>
      <c r="WWK257" s="23"/>
      <c r="WWP257" s="26"/>
      <c r="WWT257" s="23"/>
      <c r="WWY257" s="26"/>
      <c r="WXC257" s="23"/>
      <c r="WXH257" s="26"/>
      <c r="WXL257" s="23"/>
      <c r="WXQ257" s="26"/>
      <c r="WXU257" s="23"/>
      <c r="WXZ257" s="26"/>
      <c r="WYD257" s="23"/>
      <c r="WYI257" s="26"/>
      <c r="WYM257" s="23"/>
      <c r="WYR257" s="26"/>
      <c r="WYV257" s="23"/>
      <c r="WZA257" s="26"/>
      <c r="WZE257" s="23"/>
      <c r="WZJ257" s="26"/>
      <c r="WZN257" s="23"/>
      <c r="WZS257" s="26"/>
      <c r="WZW257" s="23"/>
      <c r="XAB257" s="26"/>
      <c r="XAF257" s="23"/>
      <c r="XAK257" s="26"/>
      <c r="XAO257" s="23"/>
      <c r="XAT257" s="26"/>
      <c r="XAX257" s="23"/>
      <c r="XBC257" s="26"/>
      <c r="XBG257" s="23"/>
      <c r="XBL257" s="26"/>
      <c r="XBP257" s="23"/>
      <c r="XBU257" s="26"/>
      <c r="XBY257" s="23"/>
      <c r="XCD257" s="26"/>
      <c r="XCH257" s="23"/>
      <c r="XCM257" s="26"/>
      <c r="XCQ257" s="23"/>
      <c r="XCV257" s="26"/>
      <c r="XCZ257" s="23"/>
      <c r="XDE257" s="26"/>
      <c r="XDI257" s="23"/>
      <c r="XDN257" s="26"/>
      <c r="XDR257" s="23"/>
      <c r="XDW257" s="26"/>
      <c r="XEA257" s="23"/>
      <c r="XEF257" s="26"/>
      <c r="XEJ257" s="23"/>
      <c r="XEO257" s="26"/>
      <c r="XES257" s="23"/>
      <c r="XEX257" s="26"/>
      <c r="XFB257" s="23"/>
    </row>
    <row r="258" spans="2:1024 1028:2045 2050:3071 3076:4093 4097:5119 5123:6140 6145:7166 7171:8192 8197:9214 9218:10240 10244:11261 11266:12287 12292:13309 13313:14335 14339:15356 15361:16382" x14ac:dyDescent="0.3">
      <c r="B258" s="23"/>
      <c r="K258" s="23"/>
      <c r="P258" s="26"/>
      <c r="T258" s="23"/>
      <c r="Y258" s="26"/>
      <c r="AC258" s="23"/>
      <c r="AH258" s="26"/>
      <c r="AL258" s="23"/>
      <c r="AQ258" s="26"/>
      <c r="AU258" s="23"/>
      <c r="AZ258" s="26"/>
      <c r="BD258" s="23"/>
      <c r="BI258" s="26"/>
      <c r="BM258" s="23"/>
      <c r="BR258" s="26"/>
      <c r="BV258" s="23"/>
      <c r="CA258" s="26"/>
      <c r="CE258" s="23"/>
      <c r="CJ258" s="26"/>
      <c r="CN258" s="23"/>
      <c r="CS258" s="26"/>
      <c r="CW258" s="23"/>
      <c r="DB258" s="26"/>
      <c r="DF258" s="23"/>
      <c r="DK258" s="26"/>
      <c r="DO258" s="23"/>
      <c r="DT258" s="26"/>
      <c r="DX258" s="23"/>
      <c r="EC258" s="26"/>
      <c r="EG258" s="23"/>
      <c r="EL258" s="26"/>
      <c r="EP258" s="23"/>
      <c r="EU258" s="26"/>
      <c r="EY258" s="23"/>
      <c r="FD258" s="26"/>
      <c r="FH258" s="23"/>
      <c r="FM258" s="26"/>
      <c r="FQ258" s="23"/>
      <c r="FV258" s="26"/>
      <c r="FZ258" s="23"/>
      <c r="GE258" s="26"/>
      <c r="GI258" s="23"/>
      <c r="GN258" s="26"/>
      <c r="GR258" s="23"/>
      <c r="GW258" s="26"/>
      <c r="HA258" s="23"/>
      <c r="HF258" s="26"/>
      <c r="HJ258" s="23"/>
      <c r="HO258" s="26"/>
      <c r="HS258" s="23"/>
      <c r="HX258" s="26"/>
      <c r="IB258" s="23"/>
      <c r="IG258" s="26"/>
      <c r="IK258" s="23"/>
      <c r="IP258" s="26"/>
      <c r="IT258" s="23"/>
      <c r="IY258" s="26"/>
      <c r="JC258" s="23"/>
      <c r="JH258" s="26"/>
      <c r="JL258" s="23"/>
      <c r="JQ258" s="26"/>
      <c r="JU258" s="23"/>
      <c r="JZ258" s="26"/>
      <c r="KD258" s="23"/>
      <c r="KI258" s="26"/>
      <c r="KM258" s="23"/>
      <c r="KR258" s="26"/>
      <c r="KV258" s="23"/>
      <c r="LA258" s="26"/>
      <c r="LE258" s="23"/>
      <c r="LJ258" s="26"/>
      <c r="LN258" s="23"/>
      <c r="LS258" s="26"/>
      <c r="LW258" s="23"/>
      <c r="MB258" s="26"/>
      <c r="MF258" s="23"/>
      <c r="MK258" s="26"/>
      <c r="MO258" s="23"/>
      <c r="MT258" s="26"/>
      <c r="MX258" s="23"/>
      <c r="NC258" s="26"/>
      <c r="NG258" s="23"/>
      <c r="NL258" s="26"/>
      <c r="NP258" s="23"/>
      <c r="NU258" s="26"/>
      <c r="NY258" s="23"/>
      <c r="OD258" s="26"/>
      <c r="OH258" s="23"/>
      <c r="OM258" s="26"/>
      <c r="OQ258" s="23"/>
      <c r="OV258" s="26"/>
      <c r="OZ258" s="23"/>
      <c r="PE258" s="26"/>
      <c r="PI258" s="23"/>
      <c r="PN258" s="26"/>
      <c r="PR258" s="23"/>
      <c r="PW258" s="26"/>
      <c r="QA258" s="23"/>
      <c r="QF258" s="26"/>
      <c r="QJ258" s="23"/>
      <c r="QO258" s="26"/>
      <c r="QS258" s="23"/>
      <c r="QX258" s="26"/>
      <c r="RB258" s="23"/>
      <c r="RG258" s="26"/>
      <c r="RK258" s="23"/>
      <c r="RP258" s="26"/>
      <c r="RT258" s="23"/>
      <c r="RY258" s="26"/>
      <c r="SC258" s="23"/>
      <c r="SH258" s="26"/>
      <c r="SL258" s="23"/>
      <c r="SQ258" s="26"/>
      <c r="SU258" s="23"/>
      <c r="SZ258" s="26"/>
      <c r="TD258" s="23"/>
      <c r="TI258" s="26"/>
      <c r="TM258" s="23"/>
      <c r="TR258" s="26"/>
      <c r="TV258" s="23"/>
      <c r="UA258" s="26"/>
      <c r="UE258" s="23"/>
      <c r="UJ258" s="26"/>
      <c r="UN258" s="23"/>
      <c r="US258" s="26"/>
      <c r="UW258" s="23"/>
      <c r="VB258" s="26"/>
      <c r="VF258" s="23"/>
      <c r="VK258" s="26"/>
      <c r="VO258" s="23"/>
      <c r="VT258" s="26"/>
      <c r="VX258" s="23"/>
      <c r="WC258" s="26"/>
      <c r="WG258" s="23"/>
      <c r="WL258" s="26"/>
      <c r="WP258" s="23"/>
      <c r="WU258" s="26"/>
      <c r="WY258" s="23"/>
      <c r="XD258" s="26"/>
      <c r="XH258" s="23"/>
      <c r="XM258" s="26"/>
      <c r="XQ258" s="23"/>
      <c r="XV258" s="26"/>
      <c r="XZ258" s="23"/>
      <c r="YE258" s="26"/>
      <c r="YI258" s="23"/>
      <c r="YN258" s="26"/>
      <c r="YR258" s="23"/>
      <c r="YW258" s="26"/>
      <c r="ZA258" s="23"/>
      <c r="ZF258" s="26"/>
      <c r="ZJ258" s="23"/>
      <c r="ZO258" s="26"/>
      <c r="ZS258" s="23"/>
      <c r="ZX258" s="26"/>
      <c r="AAB258" s="23"/>
      <c r="AAG258" s="26"/>
      <c r="AAK258" s="23"/>
      <c r="AAP258" s="26"/>
      <c r="AAT258" s="23"/>
      <c r="AAY258" s="26"/>
      <c r="ABC258" s="23"/>
      <c r="ABH258" s="26"/>
      <c r="ABL258" s="23"/>
      <c r="ABQ258" s="26"/>
      <c r="ABU258" s="23"/>
      <c r="ABZ258" s="26"/>
      <c r="ACD258" s="23"/>
      <c r="ACI258" s="26"/>
      <c r="ACM258" s="23"/>
      <c r="ACR258" s="26"/>
      <c r="ACV258" s="23"/>
      <c r="ADA258" s="26"/>
      <c r="ADE258" s="23"/>
      <c r="ADJ258" s="26"/>
      <c r="ADN258" s="23"/>
      <c r="ADS258" s="26"/>
      <c r="ADW258" s="23"/>
      <c r="AEB258" s="26"/>
      <c r="AEF258" s="23"/>
      <c r="AEK258" s="26"/>
      <c r="AEO258" s="23"/>
      <c r="AET258" s="26"/>
      <c r="AEX258" s="23"/>
      <c r="AFC258" s="26"/>
      <c r="AFG258" s="23"/>
      <c r="AFL258" s="26"/>
      <c r="AFP258" s="23"/>
      <c r="AFU258" s="26"/>
      <c r="AFY258" s="23"/>
      <c r="AGD258" s="26"/>
      <c r="AGH258" s="23"/>
      <c r="AGM258" s="26"/>
      <c r="AGQ258" s="23"/>
      <c r="AGV258" s="26"/>
      <c r="AGZ258" s="23"/>
      <c r="AHE258" s="26"/>
      <c r="AHI258" s="23"/>
      <c r="AHN258" s="26"/>
      <c r="AHR258" s="23"/>
      <c r="AHW258" s="26"/>
      <c r="AIA258" s="23"/>
      <c r="AIF258" s="26"/>
      <c r="AIJ258" s="23"/>
      <c r="AIO258" s="26"/>
      <c r="AIS258" s="23"/>
      <c r="AIX258" s="26"/>
      <c r="AJB258" s="23"/>
      <c r="AJG258" s="26"/>
      <c r="AJK258" s="23"/>
      <c r="AJP258" s="26"/>
      <c r="AJT258" s="23"/>
      <c r="AJY258" s="26"/>
      <c r="AKC258" s="23"/>
      <c r="AKH258" s="26"/>
      <c r="AKL258" s="23"/>
      <c r="AKQ258" s="26"/>
      <c r="AKU258" s="23"/>
      <c r="AKZ258" s="26"/>
      <c r="ALD258" s="23"/>
      <c r="ALI258" s="26"/>
      <c r="ALM258" s="23"/>
      <c r="ALR258" s="26"/>
      <c r="ALV258" s="23"/>
      <c r="AMA258" s="26"/>
      <c r="AME258" s="23"/>
      <c r="AMJ258" s="26"/>
      <c r="AMN258" s="23"/>
      <c r="AMS258" s="26"/>
      <c r="AMW258" s="23"/>
      <c r="ANB258" s="26"/>
      <c r="ANF258" s="23"/>
      <c r="ANK258" s="26"/>
      <c r="ANO258" s="23"/>
      <c r="ANT258" s="26"/>
      <c r="ANX258" s="23"/>
      <c r="AOC258" s="26"/>
      <c r="AOG258" s="23"/>
      <c r="AOL258" s="26"/>
      <c r="AOP258" s="23"/>
      <c r="AOU258" s="26"/>
      <c r="AOY258" s="23"/>
      <c r="APD258" s="26"/>
      <c r="APH258" s="23"/>
      <c r="APM258" s="26"/>
      <c r="APQ258" s="23"/>
      <c r="APV258" s="26"/>
      <c r="APZ258" s="23"/>
      <c r="AQE258" s="26"/>
      <c r="AQI258" s="23"/>
      <c r="AQN258" s="26"/>
      <c r="AQR258" s="23"/>
      <c r="AQW258" s="26"/>
      <c r="ARA258" s="23"/>
      <c r="ARF258" s="26"/>
      <c r="ARJ258" s="23"/>
      <c r="ARO258" s="26"/>
      <c r="ARS258" s="23"/>
      <c r="ARX258" s="26"/>
      <c r="ASB258" s="23"/>
      <c r="ASG258" s="26"/>
      <c r="ASK258" s="23"/>
      <c r="ASP258" s="26"/>
      <c r="AST258" s="23"/>
      <c r="ASY258" s="26"/>
      <c r="ATC258" s="23"/>
      <c r="ATH258" s="26"/>
      <c r="ATL258" s="23"/>
      <c r="ATQ258" s="26"/>
      <c r="ATU258" s="23"/>
      <c r="ATZ258" s="26"/>
      <c r="AUD258" s="23"/>
      <c r="AUI258" s="26"/>
      <c r="AUM258" s="23"/>
      <c r="AUR258" s="26"/>
      <c r="AUV258" s="23"/>
      <c r="AVA258" s="26"/>
      <c r="AVE258" s="23"/>
      <c r="AVJ258" s="26"/>
      <c r="AVN258" s="23"/>
      <c r="AVS258" s="26"/>
      <c r="AVW258" s="23"/>
      <c r="AWB258" s="26"/>
      <c r="AWF258" s="23"/>
      <c r="AWK258" s="26"/>
      <c r="AWO258" s="23"/>
      <c r="AWT258" s="26"/>
      <c r="AWX258" s="23"/>
      <c r="AXC258" s="26"/>
      <c r="AXG258" s="23"/>
      <c r="AXL258" s="26"/>
      <c r="AXP258" s="23"/>
      <c r="AXU258" s="26"/>
      <c r="AXY258" s="23"/>
      <c r="AYD258" s="26"/>
      <c r="AYH258" s="23"/>
      <c r="AYM258" s="26"/>
      <c r="AYQ258" s="23"/>
      <c r="AYV258" s="26"/>
      <c r="AYZ258" s="23"/>
      <c r="AZE258" s="26"/>
      <c r="AZI258" s="23"/>
      <c r="AZN258" s="26"/>
      <c r="AZR258" s="23"/>
      <c r="AZW258" s="26"/>
      <c r="BAA258" s="23"/>
      <c r="BAF258" s="26"/>
      <c r="BAJ258" s="23"/>
      <c r="BAO258" s="26"/>
      <c r="BAS258" s="23"/>
      <c r="BAX258" s="26"/>
      <c r="BBB258" s="23"/>
      <c r="BBG258" s="26"/>
      <c r="BBK258" s="23"/>
      <c r="BBP258" s="26"/>
      <c r="BBT258" s="23"/>
      <c r="BBY258" s="26"/>
      <c r="BCC258" s="23"/>
      <c r="BCH258" s="26"/>
      <c r="BCL258" s="23"/>
      <c r="BCQ258" s="26"/>
      <c r="BCU258" s="23"/>
      <c r="BCZ258" s="26"/>
      <c r="BDD258" s="23"/>
      <c r="BDI258" s="26"/>
      <c r="BDM258" s="23"/>
      <c r="BDR258" s="26"/>
      <c r="BDV258" s="23"/>
      <c r="BEA258" s="26"/>
      <c r="BEE258" s="23"/>
      <c r="BEJ258" s="26"/>
      <c r="BEN258" s="23"/>
      <c r="BES258" s="26"/>
      <c r="BEW258" s="23"/>
      <c r="BFB258" s="26"/>
      <c r="BFF258" s="23"/>
      <c r="BFK258" s="26"/>
      <c r="BFO258" s="23"/>
      <c r="BFT258" s="26"/>
      <c r="BFX258" s="23"/>
      <c r="BGC258" s="26"/>
      <c r="BGG258" s="23"/>
      <c r="BGL258" s="26"/>
      <c r="BGP258" s="23"/>
      <c r="BGU258" s="26"/>
      <c r="BGY258" s="23"/>
      <c r="BHD258" s="26"/>
      <c r="BHH258" s="23"/>
      <c r="BHM258" s="26"/>
      <c r="BHQ258" s="23"/>
      <c r="BHV258" s="26"/>
      <c r="BHZ258" s="23"/>
      <c r="BIE258" s="26"/>
      <c r="BII258" s="23"/>
      <c r="BIN258" s="26"/>
      <c r="BIR258" s="23"/>
      <c r="BIW258" s="26"/>
      <c r="BJA258" s="23"/>
      <c r="BJF258" s="26"/>
      <c r="BJJ258" s="23"/>
      <c r="BJO258" s="26"/>
      <c r="BJS258" s="23"/>
      <c r="BJX258" s="26"/>
      <c r="BKB258" s="23"/>
      <c r="BKG258" s="26"/>
      <c r="BKK258" s="23"/>
      <c r="BKP258" s="26"/>
      <c r="BKT258" s="23"/>
      <c r="BKY258" s="26"/>
      <c r="BLC258" s="23"/>
      <c r="BLH258" s="26"/>
      <c r="BLL258" s="23"/>
      <c r="BLQ258" s="26"/>
      <c r="BLU258" s="23"/>
      <c r="BLZ258" s="26"/>
      <c r="BMD258" s="23"/>
      <c r="BMI258" s="26"/>
      <c r="BMM258" s="23"/>
      <c r="BMR258" s="26"/>
      <c r="BMV258" s="23"/>
      <c r="BNA258" s="26"/>
      <c r="BNE258" s="23"/>
      <c r="BNJ258" s="26"/>
      <c r="BNN258" s="23"/>
      <c r="BNS258" s="26"/>
      <c r="BNW258" s="23"/>
      <c r="BOB258" s="26"/>
      <c r="BOF258" s="23"/>
      <c r="BOK258" s="26"/>
      <c r="BOO258" s="23"/>
      <c r="BOT258" s="26"/>
      <c r="BOX258" s="23"/>
      <c r="BPC258" s="26"/>
      <c r="BPG258" s="23"/>
      <c r="BPL258" s="26"/>
      <c r="BPP258" s="23"/>
      <c r="BPU258" s="26"/>
      <c r="BPY258" s="23"/>
      <c r="BQD258" s="26"/>
      <c r="BQH258" s="23"/>
      <c r="BQM258" s="26"/>
      <c r="BQQ258" s="23"/>
      <c r="BQV258" s="26"/>
      <c r="BQZ258" s="23"/>
      <c r="BRE258" s="26"/>
      <c r="BRI258" s="23"/>
      <c r="BRN258" s="26"/>
      <c r="BRR258" s="23"/>
      <c r="BRW258" s="26"/>
      <c r="BSA258" s="23"/>
      <c r="BSF258" s="26"/>
      <c r="BSJ258" s="23"/>
      <c r="BSO258" s="26"/>
      <c r="BSS258" s="23"/>
      <c r="BSX258" s="26"/>
      <c r="BTB258" s="23"/>
      <c r="BTG258" s="26"/>
      <c r="BTK258" s="23"/>
      <c r="BTP258" s="26"/>
      <c r="BTT258" s="23"/>
      <c r="BTY258" s="26"/>
      <c r="BUC258" s="23"/>
      <c r="BUH258" s="26"/>
      <c r="BUL258" s="23"/>
      <c r="BUQ258" s="26"/>
      <c r="BUU258" s="23"/>
      <c r="BUZ258" s="26"/>
      <c r="BVD258" s="23"/>
      <c r="BVI258" s="26"/>
      <c r="BVM258" s="23"/>
      <c r="BVR258" s="26"/>
      <c r="BVV258" s="23"/>
      <c r="BWA258" s="26"/>
      <c r="BWE258" s="23"/>
      <c r="BWJ258" s="26"/>
      <c r="BWN258" s="23"/>
      <c r="BWS258" s="26"/>
      <c r="BWW258" s="23"/>
      <c r="BXB258" s="26"/>
      <c r="BXF258" s="23"/>
      <c r="BXK258" s="26"/>
      <c r="BXO258" s="23"/>
      <c r="BXT258" s="26"/>
      <c r="BXX258" s="23"/>
      <c r="BYC258" s="26"/>
      <c r="BYG258" s="23"/>
      <c r="BYL258" s="26"/>
      <c r="BYP258" s="23"/>
      <c r="BYU258" s="26"/>
      <c r="BYY258" s="23"/>
      <c r="BZD258" s="26"/>
      <c r="BZH258" s="23"/>
      <c r="BZM258" s="26"/>
      <c r="BZQ258" s="23"/>
      <c r="BZV258" s="26"/>
      <c r="BZZ258" s="23"/>
      <c r="CAE258" s="26"/>
      <c r="CAI258" s="23"/>
      <c r="CAN258" s="26"/>
      <c r="CAR258" s="23"/>
      <c r="CAW258" s="26"/>
      <c r="CBA258" s="23"/>
      <c r="CBF258" s="26"/>
      <c r="CBJ258" s="23"/>
      <c r="CBO258" s="26"/>
      <c r="CBS258" s="23"/>
      <c r="CBX258" s="26"/>
      <c r="CCB258" s="23"/>
      <c r="CCG258" s="26"/>
      <c r="CCK258" s="23"/>
      <c r="CCP258" s="26"/>
      <c r="CCT258" s="23"/>
      <c r="CCY258" s="26"/>
      <c r="CDC258" s="23"/>
      <c r="CDH258" s="26"/>
      <c r="CDL258" s="23"/>
      <c r="CDQ258" s="26"/>
      <c r="CDU258" s="23"/>
      <c r="CDZ258" s="26"/>
      <c r="CED258" s="23"/>
      <c r="CEI258" s="26"/>
      <c r="CEM258" s="23"/>
      <c r="CER258" s="26"/>
      <c r="CEV258" s="23"/>
      <c r="CFA258" s="26"/>
      <c r="CFE258" s="23"/>
      <c r="CFJ258" s="26"/>
      <c r="CFN258" s="23"/>
      <c r="CFS258" s="26"/>
      <c r="CFW258" s="23"/>
      <c r="CGB258" s="26"/>
      <c r="CGF258" s="23"/>
      <c r="CGK258" s="26"/>
      <c r="CGO258" s="23"/>
      <c r="CGT258" s="26"/>
      <c r="CGX258" s="23"/>
      <c r="CHC258" s="26"/>
      <c r="CHG258" s="23"/>
      <c r="CHL258" s="26"/>
      <c r="CHP258" s="23"/>
      <c r="CHU258" s="26"/>
      <c r="CHY258" s="23"/>
      <c r="CID258" s="26"/>
      <c r="CIH258" s="23"/>
      <c r="CIM258" s="26"/>
      <c r="CIQ258" s="23"/>
      <c r="CIV258" s="26"/>
      <c r="CIZ258" s="23"/>
      <c r="CJE258" s="26"/>
      <c r="CJI258" s="23"/>
      <c r="CJN258" s="26"/>
      <c r="CJR258" s="23"/>
      <c r="CJW258" s="26"/>
      <c r="CKA258" s="23"/>
      <c r="CKF258" s="26"/>
      <c r="CKJ258" s="23"/>
      <c r="CKO258" s="26"/>
      <c r="CKS258" s="23"/>
      <c r="CKX258" s="26"/>
      <c r="CLB258" s="23"/>
      <c r="CLG258" s="26"/>
      <c r="CLK258" s="23"/>
      <c r="CLP258" s="26"/>
      <c r="CLT258" s="23"/>
      <c r="CLY258" s="26"/>
      <c r="CMC258" s="23"/>
      <c r="CMH258" s="26"/>
      <c r="CML258" s="23"/>
      <c r="CMQ258" s="26"/>
      <c r="CMU258" s="23"/>
      <c r="CMZ258" s="26"/>
      <c r="CND258" s="23"/>
      <c r="CNI258" s="26"/>
      <c r="CNM258" s="23"/>
      <c r="CNR258" s="26"/>
      <c r="CNV258" s="23"/>
      <c r="COA258" s="26"/>
      <c r="COE258" s="23"/>
      <c r="COJ258" s="26"/>
      <c r="CON258" s="23"/>
      <c r="COS258" s="26"/>
      <c r="COW258" s="23"/>
      <c r="CPB258" s="26"/>
      <c r="CPF258" s="23"/>
      <c r="CPK258" s="26"/>
      <c r="CPO258" s="23"/>
      <c r="CPT258" s="26"/>
      <c r="CPX258" s="23"/>
      <c r="CQC258" s="26"/>
      <c r="CQG258" s="23"/>
      <c r="CQL258" s="26"/>
      <c r="CQP258" s="23"/>
      <c r="CQU258" s="26"/>
      <c r="CQY258" s="23"/>
      <c r="CRD258" s="26"/>
      <c r="CRH258" s="23"/>
      <c r="CRM258" s="26"/>
      <c r="CRQ258" s="23"/>
      <c r="CRV258" s="26"/>
      <c r="CRZ258" s="23"/>
      <c r="CSE258" s="26"/>
      <c r="CSI258" s="23"/>
      <c r="CSN258" s="26"/>
      <c r="CSR258" s="23"/>
      <c r="CSW258" s="26"/>
      <c r="CTA258" s="23"/>
      <c r="CTF258" s="26"/>
      <c r="CTJ258" s="23"/>
      <c r="CTO258" s="26"/>
      <c r="CTS258" s="23"/>
      <c r="CTX258" s="26"/>
      <c r="CUB258" s="23"/>
      <c r="CUG258" s="26"/>
      <c r="CUK258" s="23"/>
      <c r="CUP258" s="26"/>
      <c r="CUT258" s="23"/>
      <c r="CUY258" s="26"/>
      <c r="CVC258" s="23"/>
      <c r="CVH258" s="26"/>
      <c r="CVL258" s="23"/>
      <c r="CVQ258" s="26"/>
      <c r="CVU258" s="23"/>
      <c r="CVZ258" s="26"/>
      <c r="CWD258" s="23"/>
      <c r="CWI258" s="26"/>
      <c r="CWM258" s="23"/>
      <c r="CWR258" s="26"/>
      <c r="CWV258" s="23"/>
      <c r="CXA258" s="26"/>
      <c r="CXE258" s="23"/>
      <c r="CXJ258" s="26"/>
      <c r="CXN258" s="23"/>
      <c r="CXS258" s="26"/>
      <c r="CXW258" s="23"/>
      <c r="CYB258" s="26"/>
      <c r="CYF258" s="23"/>
      <c r="CYK258" s="26"/>
      <c r="CYO258" s="23"/>
      <c r="CYT258" s="26"/>
      <c r="CYX258" s="23"/>
      <c r="CZC258" s="26"/>
      <c r="CZG258" s="23"/>
      <c r="CZL258" s="26"/>
      <c r="CZP258" s="23"/>
      <c r="CZU258" s="26"/>
      <c r="CZY258" s="23"/>
      <c r="DAD258" s="26"/>
      <c r="DAH258" s="23"/>
      <c r="DAM258" s="26"/>
      <c r="DAQ258" s="23"/>
      <c r="DAV258" s="26"/>
      <c r="DAZ258" s="23"/>
      <c r="DBE258" s="26"/>
      <c r="DBI258" s="23"/>
      <c r="DBN258" s="26"/>
      <c r="DBR258" s="23"/>
      <c r="DBW258" s="26"/>
      <c r="DCA258" s="23"/>
      <c r="DCF258" s="26"/>
      <c r="DCJ258" s="23"/>
      <c r="DCO258" s="26"/>
      <c r="DCS258" s="23"/>
      <c r="DCX258" s="26"/>
      <c r="DDB258" s="23"/>
      <c r="DDG258" s="26"/>
      <c r="DDK258" s="23"/>
      <c r="DDP258" s="26"/>
      <c r="DDT258" s="23"/>
      <c r="DDY258" s="26"/>
      <c r="DEC258" s="23"/>
      <c r="DEH258" s="26"/>
      <c r="DEL258" s="23"/>
      <c r="DEQ258" s="26"/>
      <c r="DEU258" s="23"/>
      <c r="DEZ258" s="26"/>
      <c r="DFD258" s="23"/>
      <c r="DFI258" s="26"/>
      <c r="DFM258" s="23"/>
      <c r="DFR258" s="26"/>
      <c r="DFV258" s="23"/>
      <c r="DGA258" s="26"/>
      <c r="DGE258" s="23"/>
      <c r="DGJ258" s="26"/>
      <c r="DGN258" s="23"/>
      <c r="DGS258" s="26"/>
      <c r="DGW258" s="23"/>
      <c r="DHB258" s="26"/>
      <c r="DHF258" s="23"/>
      <c r="DHK258" s="26"/>
      <c r="DHO258" s="23"/>
      <c r="DHT258" s="26"/>
      <c r="DHX258" s="23"/>
      <c r="DIC258" s="26"/>
      <c r="DIG258" s="23"/>
      <c r="DIL258" s="26"/>
      <c r="DIP258" s="23"/>
      <c r="DIU258" s="26"/>
      <c r="DIY258" s="23"/>
      <c r="DJD258" s="26"/>
      <c r="DJH258" s="23"/>
      <c r="DJM258" s="26"/>
      <c r="DJQ258" s="23"/>
      <c r="DJV258" s="26"/>
      <c r="DJZ258" s="23"/>
      <c r="DKE258" s="26"/>
      <c r="DKI258" s="23"/>
      <c r="DKN258" s="26"/>
      <c r="DKR258" s="23"/>
      <c r="DKW258" s="26"/>
      <c r="DLA258" s="23"/>
      <c r="DLF258" s="26"/>
      <c r="DLJ258" s="23"/>
      <c r="DLO258" s="26"/>
      <c r="DLS258" s="23"/>
      <c r="DLX258" s="26"/>
      <c r="DMB258" s="23"/>
      <c r="DMG258" s="26"/>
      <c r="DMK258" s="23"/>
      <c r="DMP258" s="26"/>
      <c r="DMT258" s="23"/>
      <c r="DMY258" s="26"/>
      <c r="DNC258" s="23"/>
      <c r="DNH258" s="26"/>
      <c r="DNL258" s="23"/>
      <c r="DNQ258" s="26"/>
      <c r="DNU258" s="23"/>
      <c r="DNZ258" s="26"/>
      <c r="DOD258" s="23"/>
      <c r="DOI258" s="26"/>
      <c r="DOM258" s="23"/>
      <c r="DOR258" s="26"/>
      <c r="DOV258" s="23"/>
      <c r="DPA258" s="26"/>
      <c r="DPE258" s="23"/>
      <c r="DPJ258" s="26"/>
      <c r="DPN258" s="23"/>
      <c r="DPS258" s="26"/>
      <c r="DPW258" s="23"/>
      <c r="DQB258" s="26"/>
      <c r="DQF258" s="23"/>
      <c r="DQK258" s="26"/>
      <c r="DQO258" s="23"/>
      <c r="DQT258" s="26"/>
      <c r="DQX258" s="23"/>
      <c r="DRC258" s="26"/>
      <c r="DRG258" s="23"/>
      <c r="DRL258" s="26"/>
      <c r="DRP258" s="23"/>
      <c r="DRU258" s="26"/>
      <c r="DRY258" s="23"/>
      <c r="DSD258" s="26"/>
      <c r="DSH258" s="23"/>
      <c r="DSM258" s="26"/>
      <c r="DSQ258" s="23"/>
      <c r="DSV258" s="26"/>
      <c r="DSZ258" s="23"/>
      <c r="DTE258" s="26"/>
      <c r="DTI258" s="23"/>
      <c r="DTN258" s="26"/>
      <c r="DTR258" s="23"/>
      <c r="DTW258" s="26"/>
      <c r="DUA258" s="23"/>
      <c r="DUF258" s="26"/>
      <c r="DUJ258" s="23"/>
      <c r="DUO258" s="26"/>
      <c r="DUS258" s="23"/>
      <c r="DUX258" s="26"/>
      <c r="DVB258" s="23"/>
      <c r="DVG258" s="26"/>
      <c r="DVK258" s="23"/>
      <c r="DVP258" s="26"/>
      <c r="DVT258" s="23"/>
      <c r="DVY258" s="26"/>
      <c r="DWC258" s="23"/>
      <c r="DWH258" s="26"/>
      <c r="DWL258" s="23"/>
      <c r="DWQ258" s="26"/>
      <c r="DWU258" s="23"/>
      <c r="DWZ258" s="26"/>
      <c r="DXD258" s="23"/>
      <c r="DXI258" s="26"/>
      <c r="DXM258" s="23"/>
      <c r="DXR258" s="26"/>
      <c r="DXV258" s="23"/>
      <c r="DYA258" s="26"/>
      <c r="DYE258" s="23"/>
      <c r="DYJ258" s="26"/>
      <c r="DYN258" s="23"/>
      <c r="DYS258" s="26"/>
      <c r="DYW258" s="23"/>
      <c r="DZB258" s="26"/>
      <c r="DZF258" s="23"/>
      <c r="DZK258" s="26"/>
      <c r="DZO258" s="23"/>
      <c r="DZT258" s="26"/>
      <c r="DZX258" s="23"/>
      <c r="EAC258" s="26"/>
      <c r="EAG258" s="23"/>
      <c r="EAL258" s="26"/>
      <c r="EAP258" s="23"/>
      <c r="EAU258" s="26"/>
      <c r="EAY258" s="23"/>
      <c r="EBD258" s="26"/>
      <c r="EBH258" s="23"/>
      <c r="EBM258" s="26"/>
      <c r="EBQ258" s="23"/>
      <c r="EBV258" s="26"/>
      <c r="EBZ258" s="23"/>
      <c r="ECE258" s="26"/>
      <c r="ECI258" s="23"/>
      <c r="ECN258" s="26"/>
      <c r="ECR258" s="23"/>
      <c r="ECW258" s="26"/>
      <c r="EDA258" s="23"/>
      <c r="EDF258" s="26"/>
      <c r="EDJ258" s="23"/>
      <c r="EDO258" s="26"/>
      <c r="EDS258" s="23"/>
      <c r="EDX258" s="26"/>
      <c r="EEB258" s="23"/>
      <c r="EEG258" s="26"/>
      <c r="EEK258" s="23"/>
      <c r="EEP258" s="26"/>
      <c r="EET258" s="23"/>
      <c r="EEY258" s="26"/>
      <c r="EFC258" s="23"/>
      <c r="EFH258" s="26"/>
      <c r="EFL258" s="23"/>
      <c r="EFQ258" s="26"/>
      <c r="EFU258" s="23"/>
      <c r="EFZ258" s="26"/>
      <c r="EGD258" s="23"/>
      <c r="EGI258" s="26"/>
      <c r="EGM258" s="23"/>
      <c r="EGR258" s="26"/>
      <c r="EGV258" s="23"/>
      <c r="EHA258" s="26"/>
      <c r="EHE258" s="23"/>
      <c r="EHJ258" s="26"/>
      <c r="EHN258" s="23"/>
      <c r="EHS258" s="26"/>
      <c r="EHW258" s="23"/>
      <c r="EIB258" s="26"/>
      <c r="EIF258" s="23"/>
      <c r="EIK258" s="26"/>
      <c r="EIO258" s="23"/>
      <c r="EIT258" s="26"/>
      <c r="EIX258" s="23"/>
      <c r="EJC258" s="26"/>
      <c r="EJG258" s="23"/>
      <c r="EJL258" s="26"/>
      <c r="EJP258" s="23"/>
      <c r="EJU258" s="26"/>
      <c r="EJY258" s="23"/>
      <c r="EKD258" s="26"/>
      <c r="EKH258" s="23"/>
      <c r="EKM258" s="26"/>
      <c r="EKQ258" s="23"/>
      <c r="EKV258" s="26"/>
      <c r="EKZ258" s="23"/>
      <c r="ELE258" s="26"/>
      <c r="ELI258" s="23"/>
      <c r="ELN258" s="26"/>
      <c r="ELR258" s="23"/>
      <c r="ELW258" s="26"/>
      <c r="EMA258" s="23"/>
      <c r="EMF258" s="26"/>
      <c r="EMJ258" s="23"/>
      <c r="EMO258" s="26"/>
      <c r="EMS258" s="23"/>
      <c r="EMX258" s="26"/>
      <c r="ENB258" s="23"/>
      <c r="ENG258" s="26"/>
      <c r="ENK258" s="23"/>
      <c r="ENP258" s="26"/>
      <c r="ENT258" s="23"/>
      <c r="ENY258" s="26"/>
      <c r="EOC258" s="23"/>
      <c r="EOH258" s="26"/>
      <c r="EOL258" s="23"/>
      <c r="EOQ258" s="26"/>
      <c r="EOU258" s="23"/>
      <c r="EOZ258" s="26"/>
      <c r="EPD258" s="23"/>
      <c r="EPI258" s="26"/>
      <c r="EPM258" s="23"/>
      <c r="EPR258" s="26"/>
      <c r="EPV258" s="23"/>
      <c r="EQA258" s="26"/>
      <c r="EQE258" s="23"/>
      <c r="EQJ258" s="26"/>
      <c r="EQN258" s="23"/>
      <c r="EQS258" s="26"/>
      <c r="EQW258" s="23"/>
      <c r="ERB258" s="26"/>
      <c r="ERF258" s="23"/>
      <c r="ERK258" s="26"/>
      <c r="ERO258" s="23"/>
      <c r="ERT258" s="26"/>
      <c r="ERX258" s="23"/>
      <c r="ESC258" s="26"/>
      <c r="ESG258" s="23"/>
      <c r="ESL258" s="26"/>
      <c r="ESP258" s="23"/>
      <c r="ESU258" s="26"/>
      <c r="ESY258" s="23"/>
      <c r="ETD258" s="26"/>
      <c r="ETH258" s="23"/>
      <c r="ETM258" s="26"/>
      <c r="ETQ258" s="23"/>
      <c r="ETV258" s="26"/>
      <c r="ETZ258" s="23"/>
      <c r="EUE258" s="26"/>
      <c r="EUI258" s="23"/>
      <c r="EUN258" s="26"/>
      <c r="EUR258" s="23"/>
      <c r="EUW258" s="26"/>
      <c r="EVA258" s="23"/>
      <c r="EVF258" s="26"/>
      <c r="EVJ258" s="23"/>
      <c r="EVO258" s="26"/>
      <c r="EVS258" s="23"/>
      <c r="EVX258" s="26"/>
      <c r="EWB258" s="23"/>
      <c r="EWG258" s="26"/>
      <c r="EWK258" s="23"/>
      <c r="EWP258" s="26"/>
      <c r="EWT258" s="23"/>
      <c r="EWY258" s="26"/>
      <c r="EXC258" s="23"/>
      <c r="EXH258" s="26"/>
      <c r="EXL258" s="23"/>
      <c r="EXQ258" s="26"/>
      <c r="EXU258" s="23"/>
      <c r="EXZ258" s="26"/>
      <c r="EYD258" s="23"/>
      <c r="EYI258" s="26"/>
      <c r="EYM258" s="23"/>
      <c r="EYR258" s="26"/>
      <c r="EYV258" s="23"/>
      <c r="EZA258" s="26"/>
      <c r="EZE258" s="23"/>
      <c r="EZJ258" s="26"/>
      <c r="EZN258" s="23"/>
      <c r="EZS258" s="26"/>
      <c r="EZW258" s="23"/>
      <c r="FAB258" s="26"/>
      <c r="FAF258" s="23"/>
      <c r="FAK258" s="26"/>
      <c r="FAO258" s="23"/>
      <c r="FAT258" s="26"/>
      <c r="FAX258" s="23"/>
      <c r="FBC258" s="26"/>
      <c r="FBG258" s="23"/>
      <c r="FBL258" s="26"/>
      <c r="FBP258" s="23"/>
      <c r="FBU258" s="26"/>
      <c r="FBY258" s="23"/>
      <c r="FCD258" s="26"/>
      <c r="FCH258" s="23"/>
      <c r="FCM258" s="26"/>
      <c r="FCQ258" s="23"/>
      <c r="FCV258" s="26"/>
      <c r="FCZ258" s="23"/>
      <c r="FDE258" s="26"/>
      <c r="FDI258" s="23"/>
      <c r="FDN258" s="26"/>
      <c r="FDR258" s="23"/>
      <c r="FDW258" s="26"/>
      <c r="FEA258" s="23"/>
      <c r="FEF258" s="26"/>
      <c r="FEJ258" s="23"/>
      <c r="FEO258" s="26"/>
      <c r="FES258" s="23"/>
      <c r="FEX258" s="26"/>
      <c r="FFB258" s="23"/>
      <c r="FFG258" s="26"/>
      <c r="FFK258" s="23"/>
      <c r="FFP258" s="26"/>
      <c r="FFT258" s="23"/>
      <c r="FFY258" s="26"/>
      <c r="FGC258" s="23"/>
      <c r="FGH258" s="26"/>
      <c r="FGL258" s="23"/>
      <c r="FGQ258" s="26"/>
      <c r="FGU258" s="23"/>
      <c r="FGZ258" s="26"/>
      <c r="FHD258" s="23"/>
      <c r="FHI258" s="26"/>
      <c r="FHM258" s="23"/>
      <c r="FHR258" s="26"/>
      <c r="FHV258" s="23"/>
      <c r="FIA258" s="26"/>
      <c r="FIE258" s="23"/>
      <c r="FIJ258" s="26"/>
      <c r="FIN258" s="23"/>
      <c r="FIS258" s="26"/>
      <c r="FIW258" s="23"/>
      <c r="FJB258" s="26"/>
      <c r="FJF258" s="23"/>
      <c r="FJK258" s="26"/>
      <c r="FJO258" s="23"/>
      <c r="FJT258" s="26"/>
      <c r="FJX258" s="23"/>
      <c r="FKC258" s="26"/>
      <c r="FKG258" s="23"/>
      <c r="FKL258" s="26"/>
      <c r="FKP258" s="23"/>
      <c r="FKU258" s="26"/>
      <c r="FKY258" s="23"/>
      <c r="FLD258" s="26"/>
      <c r="FLH258" s="23"/>
      <c r="FLM258" s="26"/>
      <c r="FLQ258" s="23"/>
      <c r="FLV258" s="26"/>
      <c r="FLZ258" s="23"/>
      <c r="FME258" s="26"/>
      <c r="FMI258" s="23"/>
      <c r="FMN258" s="26"/>
      <c r="FMR258" s="23"/>
      <c r="FMW258" s="26"/>
      <c r="FNA258" s="23"/>
      <c r="FNF258" s="26"/>
      <c r="FNJ258" s="23"/>
      <c r="FNO258" s="26"/>
      <c r="FNS258" s="23"/>
      <c r="FNX258" s="26"/>
      <c r="FOB258" s="23"/>
      <c r="FOG258" s="26"/>
      <c r="FOK258" s="23"/>
      <c r="FOP258" s="26"/>
      <c r="FOT258" s="23"/>
      <c r="FOY258" s="26"/>
      <c r="FPC258" s="23"/>
      <c r="FPH258" s="26"/>
      <c r="FPL258" s="23"/>
      <c r="FPQ258" s="26"/>
      <c r="FPU258" s="23"/>
      <c r="FPZ258" s="26"/>
      <c r="FQD258" s="23"/>
      <c r="FQI258" s="26"/>
      <c r="FQM258" s="23"/>
      <c r="FQR258" s="26"/>
      <c r="FQV258" s="23"/>
      <c r="FRA258" s="26"/>
      <c r="FRE258" s="23"/>
      <c r="FRJ258" s="26"/>
      <c r="FRN258" s="23"/>
      <c r="FRS258" s="26"/>
      <c r="FRW258" s="23"/>
      <c r="FSB258" s="26"/>
      <c r="FSF258" s="23"/>
      <c r="FSK258" s="26"/>
      <c r="FSO258" s="23"/>
      <c r="FST258" s="26"/>
      <c r="FSX258" s="23"/>
      <c r="FTC258" s="26"/>
      <c r="FTG258" s="23"/>
      <c r="FTL258" s="26"/>
      <c r="FTP258" s="23"/>
      <c r="FTU258" s="26"/>
      <c r="FTY258" s="23"/>
      <c r="FUD258" s="26"/>
      <c r="FUH258" s="23"/>
      <c r="FUM258" s="26"/>
      <c r="FUQ258" s="23"/>
      <c r="FUV258" s="26"/>
      <c r="FUZ258" s="23"/>
      <c r="FVE258" s="26"/>
      <c r="FVI258" s="23"/>
      <c r="FVN258" s="26"/>
      <c r="FVR258" s="23"/>
      <c r="FVW258" s="26"/>
      <c r="FWA258" s="23"/>
      <c r="FWF258" s="26"/>
      <c r="FWJ258" s="23"/>
      <c r="FWO258" s="26"/>
      <c r="FWS258" s="23"/>
      <c r="FWX258" s="26"/>
      <c r="FXB258" s="23"/>
      <c r="FXG258" s="26"/>
      <c r="FXK258" s="23"/>
      <c r="FXP258" s="26"/>
      <c r="FXT258" s="23"/>
      <c r="FXY258" s="26"/>
      <c r="FYC258" s="23"/>
      <c r="FYH258" s="26"/>
      <c r="FYL258" s="23"/>
      <c r="FYQ258" s="26"/>
      <c r="FYU258" s="23"/>
      <c r="FYZ258" s="26"/>
      <c r="FZD258" s="23"/>
      <c r="FZI258" s="26"/>
      <c r="FZM258" s="23"/>
      <c r="FZR258" s="26"/>
      <c r="FZV258" s="23"/>
      <c r="GAA258" s="26"/>
      <c r="GAE258" s="23"/>
      <c r="GAJ258" s="26"/>
      <c r="GAN258" s="23"/>
      <c r="GAS258" s="26"/>
      <c r="GAW258" s="23"/>
      <c r="GBB258" s="26"/>
      <c r="GBF258" s="23"/>
      <c r="GBK258" s="26"/>
      <c r="GBO258" s="23"/>
      <c r="GBT258" s="26"/>
      <c r="GBX258" s="23"/>
      <c r="GCC258" s="26"/>
      <c r="GCG258" s="23"/>
      <c r="GCL258" s="26"/>
      <c r="GCP258" s="23"/>
      <c r="GCU258" s="26"/>
      <c r="GCY258" s="23"/>
      <c r="GDD258" s="26"/>
      <c r="GDH258" s="23"/>
      <c r="GDM258" s="26"/>
      <c r="GDQ258" s="23"/>
      <c r="GDV258" s="26"/>
      <c r="GDZ258" s="23"/>
      <c r="GEE258" s="26"/>
      <c r="GEI258" s="23"/>
      <c r="GEN258" s="26"/>
      <c r="GER258" s="23"/>
      <c r="GEW258" s="26"/>
      <c r="GFA258" s="23"/>
      <c r="GFF258" s="26"/>
      <c r="GFJ258" s="23"/>
      <c r="GFO258" s="26"/>
      <c r="GFS258" s="23"/>
      <c r="GFX258" s="26"/>
      <c r="GGB258" s="23"/>
      <c r="GGG258" s="26"/>
      <c r="GGK258" s="23"/>
      <c r="GGP258" s="26"/>
      <c r="GGT258" s="23"/>
      <c r="GGY258" s="26"/>
      <c r="GHC258" s="23"/>
      <c r="GHH258" s="26"/>
      <c r="GHL258" s="23"/>
      <c r="GHQ258" s="26"/>
      <c r="GHU258" s="23"/>
      <c r="GHZ258" s="26"/>
      <c r="GID258" s="23"/>
      <c r="GII258" s="26"/>
      <c r="GIM258" s="23"/>
      <c r="GIR258" s="26"/>
      <c r="GIV258" s="23"/>
      <c r="GJA258" s="26"/>
      <c r="GJE258" s="23"/>
      <c r="GJJ258" s="26"/>
      <c r="GJN258" s="23"/>
      <c r="GJS258" s="26"/>
      <c r="GJW258" s="23"/>
      <c r="GKB258" s="26"/>
      <c r="GKF258" s="23"/>
      <c r="GKK258" s="26"/>
      <c r="GKO258" s="23"/>
      <c r="GKT258" s="26"/>
      <c r="GKX258" s="23"/>
      <c r="GLC258" s="26"/>
      <c r="GLG258" s="23"/>
      <c r="GLL258" s="26"/>
      <c r="GLP258" s="23"/>
      <c r="GLU258" s="26"/>
      <c r="GLY258" s="23"/>
      <c r="GMD258" s="26"/>
      <c r="GMH258" s="23"/>
      <c r="GMM258" s="26"/>
      <c r="GMQ258" s="23"/>
      <c r="GMV258" s="26"/>
      <c r="GMZ258" s="23"/>
      <c r="GNE258" s="26"/>
      <c r="GNI258" s="23"/>
      <c r="GNN258" s="26"/>
      <c r="GNR258" s="23"/>
      <c r="GNW258" s="26"/>
      <c r="GOA258" s="23"/>
      <c r="GOF258" s="26"/>
      <c r="GOJ258" s="23"/>
      <c r="GOO258" s="26"/>
      <c r="GOS258" s="23"/>
      <c r="GOX258" s="26"/>
      <c r="GPB258" s="23"/>
      <c r="GPG258" s="26"/>
      <c r="GPK258" s="23"/>
      <c r="GPP258" s="26"/>
      <c r="GPT258" s="23"/>
      <c r="GPY258" s="26"/>
      <c r="GQC258" s="23"/>
      <c r="GQH258" s="26"/>
      <c r="GQL258" s="23"/>
      <c r="GQQ258" s="26"/>
      <c r="GQU258" s="23"/>
      <c r="GQZ258" s="26"/>
      <c r="GRD258" s="23"/>
      <c r="GRI258" s="26"/>
      <c r="GRM258" s="23"/>
      <c r="GRR258" s="26"/>
      <c r="GRV258" s="23"/>
      <c r="GSA258" s="26"/>
      <c r="GSE258" s="23"/>
      <c r="GSJ258" s="26"/>
      <c r="GSN258" s="23"/>
      <c r="GSS258" s="26"/>
      <c r="GSW258" s="23"/>
      <c r="GTB258" s="26"/>
      <c r="GTF258" s="23"/>
      <c r="GTK258" s="26"/>
      <c r="GTO258" s="23"/>
      <c r="GTT258" s="26"/>
      <c r="GTX258" s="23"/>
      <c r="GUC258" s="26"/>
      <c r="GUG258" s="23"/>
      <c r="GUL258" s="26"/>
      <c r="GUP258" s="23"/>
      <c r="GUU258" s="26"/>
      <c r="GUY258" s="23"/>
      <c r="GVD258" s="26"/>
      <c r="GVH258" s="23"/>
      <c r="GVM258" s="26"/>
      <c r="GVQ258" s="23"/>
      <c r="GVV258" s="26"/>
      <c r="GVZ258" s="23"/>
      <c r="GWE258" s="26"/>
      <c r="GWI258" s="23"/>
      <c r="GWN258" s="26"/>
      <c r="GWR258" s="23"/>
      <c r="GWW258" s="26"/>
      <c r="GXA258" s="23"/>
      <c r="GXF258" s="26"/>
      <c r="GXJ258" s="23"/>
      <c r="GXO258" s="26"/>
      <c r="GXS258" s="23"/>
      <c r="GXX258" s="26"/>
      <c r="GYB258" s="23"/>
      <c r="GYG258" s="26"/>
      <c r="GYK258" s="23"/>
      <c r="GYP258" s="26"/>
      <c r="GYT258" s="23"/>
      <c r="GYY258" s="26"/>
      <c r="GZC258" s="23"/>
      <c r="GZH258" s="26"/>
      <c r="GZL258" s="23"/>
      <c r="GZQ258" s="26"/>
      <c r="GZU258" s="23"/>
      <c r="GZZ258" s="26"/>
      <c r="HAD258" s="23"/>
      <c r="HAI258" s="26"/>
      <c r="HAM258" s="23"/>
      <c r="HAR258" s="26"/>
      <c r="HAV258" s="23"/>
      <c r="HBA258" s="26"/>
      <c r="HBE258" s="23"/>
      <c r="HBJ258" s="26"/>
      <c r="HBN258" s="23"/>
      <c r="HBS258" s="26"/>
      <c r="HBW258" s="23"/>
      <c r="HCB258" s="26"/>
      <c r="HCF258" s="23"/>
      <c r="HCK258" s="26"/>
      <c r="HCO258" s="23"/>
      <c r="HCT258" s="26"/>
      <c r="HCX258" s="23"/>
      <c r="HDC258" s="26"/>
      <c r="HDG258" s="23"/>
      <c r="HDL258" s="26"/>
      <c r="HDP258" s="23"/>
      <c r="HDU258" s="26"/>
      <c r="HDY258" s="23"/>
      <c r="HED258" s="26"/>
      <c r="HEH258" s="23"/>
      <c r="HEM258" s="26"/>
      <c r="HEQ258" s="23"/>
      <c r="HEV258" s="26"/>
      <c r="HEZ258" s="23"/>
      <c r="HFE258" s="26"/>
      <c r="HFI258" s="23"/>
      <c r="HFN258" s="26"/>
      <c r="HFR258" s="23"/>
      <c r="HFW258" s="26"/>
      <c r="HGA258" s="23"/>
      <c r="HGF258" s="26"/>
      <c r="HGJ258" s="23"/>
      <c r="HGO258" s="26"/>
      <c r="HGS258" s="23"/>
      <c r="HGX258" s="26"/>
      <c r="HHB258" s="23"/>
      <c r="HHG258" s="26"/>
      <c r="HHK258" s="23"/>
      <c r="HHP258" s="26"/>
      <c r="HHT258" s="23"/>
      <c r="HHY258" s="26"/>
      <c r="HIC258" s="23"/>
      <c r="HIH258" s="26"/>
      <c r="HIL258" s="23"/>
      <c r="HIQ258" s="26"/>
      <c r="HIU258" s="23"/>
      <c r="HIZ258" s="26"/>
      <c r="HJD258" s="23"/>
      <c r="HJI258" s="26"/>
      <c r="HJM258" s="23"/>
      <c r="HJR258" s="26"/>
      <c r="HJV258" s="23"/>
      <c r="HKA258" s="26"/>
      <c r="HKE258" s="23"/>
      <c r="HKJ258" s="26"/>
      <c r="HKN258" s="23"/>
      <c r="HKS258" s="26"/>
      <c r="HKW258" s="23"/>
      <c r="HLB258" s="26"/>
      <c r="HLF258" s="23"/>
      <c r="HLK258" s="26"/>
      <c r="HLO258" s="23"/>
      <c r="HLT258" s="26"/>
      <c r="HLX258" s="23"/>
      <c r="HMC258" s="26"/>
      <c r="HMG258" s="23"/>
      <c r="HML258" s="26"/>
      <c r="HMP258" s="23"/>
      <c r="HMU258" s="26"/>
      <c r="HMY258" s="23"/>
      <c r="HND258" s="26"/>
      <c r="HNH258" s="23"/>
      <c r="HNM258" s="26"/>
      <c r="HNQ258" s="23"/>
      <c r="HNV258" s="26"/>
      <c r="HNZ258" s="23"/>
      <c r="HOE258" s="26"/>
      <c r="HOI258" s="23"/>
      <c r="HON258" s="26"/>
      <c r="HOR258" s="23"/>
      <c r="HOW258" s="26"/>
      <c r="HPA258" s="23"/>
      <c r="HPF258" s="26"/>
      <c r="HPJ258" s="23"/>
      <c r="HPO258" s="26"/>
      <c r="HPS258" s="23"/>
      <c r="HPX258" s="26"/>
      <c r="HQB258" s="23"/>
      <c r="HQG258" s="26"/>
      <c r="HQK258" s="23"/>
      <c r="HQP258" s="26"/>
      <c r="HQT258" s="23"/>
      <c r="HQY258" s="26"/>
      <c r="HRC258" s="23"/>
      <c r="HRH258" s="26"/>
      <c r="HRL258" s="23"/>
      <c r="HRQ258" s="26"/>
      <c r="HRU258" s="23"/>
      <c r="HRZ258" s="26"/>
      <c r="HSD258" s="23"/>
      <c r="HSI258" s="26"/>
      <c r="HSM258" s="23"/>
      <c r="HSR258" s="26"/>
      <c r="HSV258" s="23"/>
      <c r="HTA258" s="26"/>
      <c r="HTE258" s="23"/>
      <c r="HTJ258" s="26"/>
      <c r="HTN258" s="23"/>
      <c r="HTS258" s="26"/>
      <c r="HTW258" s="23"/>
      <c r="HUB258" s="26"/>
      <c r="HUF258" s="23"/>
      <c r="HUK258" s="26"/>
      <c r="HUO258" s="23"/>
      <c r="HUT258" s="26"/>
      <c r="HUX258" s="23"/>
      <c r="HVC258" s="26"/>
      <c r="HVG258" s="23"/>
      <c r="HVL258" s="26"/>
      <c r="HVP258" s="23"/>
      <c r="HVU258" s="26"/>
      <c r="HVY258" s="23"/>
      <c r="HWD258" s="26"/>
      <c r="HWH258" s="23"/>
      <c r="HWM258" s="26"/>
      <c r="HWQ258" s="23"/>
      <c r="HWV258" s="26"/>
      <c r="HWZ258" s="23"/>
      <c r="HXE258" s="26"/>
      <c r="HXI258" s="23"/>
      <c r="HXN258" s="26"/>
      <c r="HXR258" s="23"/>
      <c r="HXW258" s="26"/>
      <c r="HYA258" s="23"/>
      <c r="HYF258" s="26"/>
      <c r="HYJ258" s="23"/>
      <c r="HYO258" s="26"/>
      <c r="HYS258" s="23"/>
      <c r="HYX258" s="26"/>
      <c r="HZB258" s="23"/>
      <c r="HZG258" s="26"/>
      <c r="HZK258" s="23"/>
      <c r="HZP258" s="26"/>
      <c r="HZT258" s="23"/>
      <c r="HZY258" s="26"/>
      <c r="IAC258" s="23"/>
      <c r="IAH258" s="26"/>
      <c r="IAL258" s="23"/>
      <c r="IAQ258" s="26"/>
      <c r="IAU258" s="23"/>
      <c r="IAZ258" s="26"/>
      <c r="IBD258" s="23"/>
      <c r="IBI258" s="26"/>
      <c r="IBM258" s="23"/>
      <c r="IBR258" s="26"/>
      <c r="IBV258" s="23"/>
      <c r="ICA258" s="26"/>
      <c r="ICE258" s="23"/>
      <c r="ICJ258" s="26"/>
      <c r="ICN258" s="23"/>
      <c r="ICS258" s="26"/>
      <c r="ICW258" s="23"/>
      <c r="IDB258" s="26"/>
      <c r="IDF258" s="23"/>
      <c r="IDK258" s="26"/>
      <c r="IDO258" s="23"/>
      <c r="IDT258" s="26"/>
      <c r="IDX258" s="23"/>
      <c r="IEC258" s="26"/>
      <c r="IEG258" s="23"/>
      <c r="IEL258" s="26"/>
      <c r="IEP258" s="23"/>
      <c r="IEU258" s="26"/>
      <c r="IEY258" s="23"/>
      <c r="IFD258" s="26"/>
      <c r="IFH258" s="23"/>
      <c r="IFM258" s="26"/>
      <c r="IFQ258" s="23"/>
      <c r="IFV258" s="26"/>
      <c r="IFZ258" s="23"/>
      <c r="IGE258" s="26"/>
      <c r="IGI258" s="23"/>
      <c r="IGN258" s="26"/>
      <c r="IGR258" s="23"/>
      <c r="IGW258" s="26"/>
      <c r="IHA258" s="23"/>
      <c r="IHF258" s="26"/>
      <c r="IHJ258" s="23"/>
      <c r="IHO258" s="26"/>
      <c r="IHS258" s="23"/>
      <c r="IHX258" s="26"/>
      <c r="IIB258" s="23"/>
      <c r="IIG258" s="26"/>
      <c r="IIK258" s="23"/>
      <c r="IIP258" s="26"/>
      <c r="IIT258" s="23"/>
      <c r="IIY258" s="26"/>
      <c r="IJC258" s="23"/>
      <c r="IJH258" s="26"/>
      <c r="IJL258" s="23"/>
      <c r="IJQ258" s="26"/>
      <c r="IJU258" s="23"/>
      <c r="IJZ258" s="26"/>
      <c r="IKD258" s="23"/>
      <c r="IKI258" s="26"/>
      <c r="IKM258" s="23"/>
      <c r="IKR258" s="26"/>
      <c r="IKV258" s="23"/>
      <c r="ILA258" s="26"/>
      <c r="ILE258" s="23"/>
      <c r="ILJ258" s="26"/>
      <c r="ILN258" s="23"/>
      <c r="ILS258" s="26"/>
      <c r="ILW258" s="23"/>
      <c r="IMB258" s="26"/>
      <c r="IMF258" s="23"/>
      <c r="IMK258" s="26"/>
      <c r="IMO258" s="23"/>
      <c r="IMT258" s="26"/>
      <c r="IMX258" s="23"/>
      <c r="INC258" s="26"/>
      <c r="ING258" s="23"/>
      <c r="INL258" s="26"/>
      <c r="INP258" s="23"/>
      <c r="INU258" s="26"/>
      <c r="INY258" s="23"/>
      <c r="IOD258" s="26"/>
      <c r="IOH258" s="23"/>
      <c r="IOM258" s="26"/>
      <c r="IOQ258" s="23"/>
      <c r="IOV258" s="26"/>
      <c r="IOZ258" s="23"/>
      <c r="IPE258" s="26"/>
      <c r="IPI258" s="23"/>
      <c r="IPN258" s="26"/>
      <c r="IPR258" s="23"/>
      <c r="IPW258" s="26"/>
      <c r="IQA258" s="23"/>
      <c r="IQF258" s="26"/>
      <c r="IQJ258" s="23"/>
      <c r="IQO258" s="26"/>
      <c r="IQS258" s="23"/>
      <c r="IQX258" s="26"/>
      <c r="IRB258" s="23"/>
      <c r="IRG258" s="26"/>
      <c r="IRK258" s="23"/>
      <c r="IRP258" s="26"/>
      <c r="IRT258" s="23"/>
      <c r="IRY258" s="26"/>
      <c r="ISC258" s="23"/>
      <c r="ISH258" s="26"/>
      <c r="ISL258" s="23"/>
      <c r="ISQ258" s="26"/>
      <c r="ISU258" s="23"/>
      <c r="ISZ258" s="26"/>
      <c r="ITD258" s="23"/>
      <c r="ITI258" s="26"/>
      <c r="ITM258" s="23"/>
      <c r="ITR258" s="26"/>
      <c r="ITV258" s="23"/>
      <c r="IUA258" s="26"/>
      <c r="IUE258" s="23"/>
      <c r="IUJ258" s="26"/>
      <c r="IUN258" s="23"/>
      <c r="IUS258" s="26"/>
      <c r="IUW258" s="23"/>
      <c r="IVB258" s="26"/>
      <c r="IVF258" s="23"/>
      <c r="IVK258" s="26"/>
      <c r="IVO258" s="23"/>
      <c r="IVT258" s="26"/>
      <c r="IVX258" s="23"/>
      <c r="IWC258" s="26"/>
      <c r="IWG258" s="23"/>
      <c r="IWL258" s="26"/>
      <c r="IWP258" s="23"/>
      <c r="IWU258" s="26"/>
      <c r="IWY258" s="23"/>
      <c r="IXD258" s="26"/>
      <c r="IXH258" s="23"/>
      <c r="IXM258" s="26"/>
      <c r="IXQ258" s="23"/>
      <c r="IXV258" s="26"/>
      <c r="IXZ258" s="23"/>
      <c r="IYE258" s="26"/>
      <c r="IYI258" s="23"/>
      <c r="IYN258" s="26"/>
      <c r="IYR258" s="23"/>
      <c r="IYW258" s="26"/>
      <c r="IZA258" s="23"/>
      <c r="IZF258" s="26"/>
      <c r="IZJ258" s="23"/>
      <c r="IZO258" s="26"/>
      <c r="IZS258" s="23"/>
      <c r="IZX258" s="26"/>
      <c r="JAB258" s="23"/>
      <c r="JAG258" s="26"/>
      <c r="JAK258" s="23"/>
      <c r="JAP258" s="26"/>
      <c r="JAT258" s="23"/>
      <c r="JAY258" s="26"/>
      <c r="JBC258" s="23"/>
      <c r="JBH258" s="26"/>
      <c r="JBL258" s="23"/>
      <c r="JBQ258" s="26"/>
      <c r="JBU258" s="23"/>
      <c r="JBZ258" s="26"/>
      <c r="JCD258" s="23"/>
      <c r="JCI258" s="26"/>
      <c r="JCM258" s="23"/>
      <c r="JCR258" s="26"/>
      <c r="JCV258" s="23"/>
      <c r="JDA258" s="26"/>
      <c r="JDE258" s="23"/>
      <c r="JDJ258" s="26"/>
      <c r="JDN258" s="23"/>
      <c r="JDS258" s="26"/>
      <c r="JDW258" s="23"/>
      <c r="JEB258" s="26"/>
      <c r="JEF258" s="23"/>
      <c r="JEK258" s="26"/>
      <c r="JEO258" s="23"/>
      <c r="JET258" s="26"/>
      <c r="JEX258" s="23"/>
      <c r="JFC258" s="26"/>
      <c r="JFG258" s="23"/>
      <c r="JFL258" s="26"/>
      <c r="JFP258" s="23"/>
      <c r="JFU258" s="26"/>
      <c r="JFY258" s="23"/>
      <c r="JGD258" s="26"/>
      <c r="JGH258" s="23"/>
      <c r="JGM258" s="26"/>
      <c r="JGQ258" s="23"/>
      <c r="JGV258" s="26"/>
      <c r="JGZ258" s="23"/>
      <c r="JHE258" s="26"/>
      <c r="JHI258" s="23"/>
      <c r="JHN258" s="26"/>
      <c r="JHR258" s="23"/>
      <c r="JHW258" s="26"/>
      <c r="JIA258" s="23"/>
      <c r="JIF258" s="26"/>
      <c r="JIJ258" s="23"/>
      <c r="JIO258" s="26"/>
      <c r="JIS258" s="23"/>
      <c r="JIX258" s="26"/>
      <c r="JJB258" s="23"/>
      <c r="JJG258" s="26"/>
      <c r="JJK258" s="23"/>
      <c r="JJP258" s="26"/>
      <c r="JJT258" s="23"/>
      <c r="JJY258" s="26"/>
      <c r="JKC258" s="23"/>
      <c r="JKH258" s="26"/>
      <c r="JKL258" s="23"/>
      <c r="JKQ258" s="26"/>
      <c r="JKU258" s="23"/>
      <c r="JKZ258" s="26"/>
      <c r="JLD258" s="23"/>
      <c r="JLI258" s="26"/>
      <c r="JLM258" s="23"/>
      <c r="JLR258" s="26"/>
      <c r="JLV258" s="23"/>
      <c r="JMA258" s="26"/>
      <c r="JME258" s="23"/>
      <c r="JMJ258" s="26"/>
      <c r="JMN258" s="23"/>
      <c r="JMS258" s="26"/>
      <c r="JMW258" s="23"/>
      <c r="JNB258" s="26"/>
      <c r="JNF258" s="23"/>
      <c r="JNK258" s="26"/>
      <c r="JNO258" s="23"/>
      <c r="JNT258" s="26"/>
      <c r="JNX258" s="23"/>
      <c r="JOC258" s="26"/>
      <c r="JOG258" s="23"/>
      <c r="JOL258" s="26"/>
      <c r="JOP258" s="23"/>
      <c r="JOU258" s="26"/>
      <c r="JOY258" s="23"/>
      <c r="JPD258" s="26"/>
      <c r="JPH258" s="23"/>
      <c r="JPM258" s="26"/>
      <c r="JPQ258" s="23"/>
      <c r="JPV258" s="26"/>
      <c r="JPZ258" s="23"/>
      <c r="JQE258" s="26"/>
      <c r="JQI258" s="23"/>
      <c r="JQN258" s="26"/>
      <c r="JQR258" s="23"/>
      <c r="JQW258" s="26"/>
      <c r="JRA258" s="23"/>
      <c r="JRF258" s="26"/>
      <c r="JRJ258" s="23"/>
      <c r="JRO258" s="26"/>
      <c r="JRS258" s="23"/>
      <c r="JRX258" s="26"/>
      <c r="JSB258" s="23"/>
      <c r="JSG258" s="26"/>
      <c r="JSK258" s="23"/>
      <c r="JSP258" s="26"/>
      <c r="JST258" s="23"/>
      <c r="JSY258" s="26"/>
      <c r="JTC258" s="23"/>
      <c r="JTH258" s="26"/>
      <c r="JTL258" s="23"/>
      <c r="JTQ258" s="26"/>
      <c r="JTU258" s="23"/>
      <c r="JTZ258" s="26"/>
      <c r="JUD258" s="23"/>
      <c r="JUI258" s="26"/>
      <c r="JUM258" s="23"/>
      <c r="JUR258" s="26"/>
      <c r="JUV258" s="23"/>
      <c r="JVA258" s="26"/>
      <c r="JVE258" s="23"/>
      <c r="JVJ258" s="26"/>
      <c r="JVN258" s="23"/>
      <c r="JVS258" s="26"/>
      <c r="JVW258" s="23"/>
      <c r="JWB258" s="26"/>
      <c r="JWF258" s="23"/>
      <c r="JWK258" s="26"/>
      <c r="JWO258" s="23"/>
      <c r="JWT258" s="26"/>
      <c r="JWX258" s="23"/>
      <c r="JXC258" s="26"/>
      <c r="JXG258" s="23"/>
      <c r="JXL258" s="26"/>
      <c r="JXP258" s="23"/>
      <c r="JXU258" s="26"/>
      <c r="JXY258" s="23"/>
      <c r="JYD258" s="26"/>
      <c r="JYH258" s="23"/>
      <c r="JYM258" s="26"/>
      <c r="JYQ258" s="23"/>
      <c r="JYV258" s="26"/>
      <c r="JYZ258" s="23"/>
      <c r="JZE258" s="26"/>
      <c r="JZI258" s="23"/>
      <c r="JZN258" s="26"/>
      <c r="JZR258" s="23"/>
      <c r="JZW258" s="26"/>
      <c r="KAA258" s="23"/>
      <c r="KAF258" s="26"/>
      <c r="KAJ258" s="23"/>
      <c r="KAO258" s="26"/>
      <c r="KAS258" s="23"/>
      <c r="KAX258" s="26"/>
      <c r="KBB258" s="23"/>
      <c r="KBG258" s="26"/>
      <c r="KBK258" s="23"/>
      <c r="KBP258" s="26"/>
      <c r="KBT258" s="23"/>
      <c r="KBY258" s="26"/>
      <c r="KCC258" s="23"/>
      <c r="KCH258" s="26"/>
      <c r="KCL258" s="23"/>
      <c r="KCQ258" s="26"/>
      <c r="KCU258" s="23"/>
      <c r="KCZ258" s="26"/>
      <c r="KDD258" s="23"/>
      <c r="KDI258" s="26"/>
      <c r="KDM258" s="23"/>
      <c r="KDR258" s="26"/>
      <c r="KDV258" s="23"/>
      <c r="KEA258" s="26"/>
      <c r="KEE258" s="23"/>
      <c r="KEJ258" s="26"/>
      <c r="KEN258" s="23"/>
      <c r="KES258" s="26"/>
      <c r="KEW258" s="23"/>
      <c r="KFB258" s="26"/>
      <c r="KFF258" s="23"/>
      <c r="KFK258" s="26"/>
      <c r="KFO258" s="23"/>
      <c r="KFT258" s="26"/>
      <c r="KFX258" s="23"/>
      <c r="KGC258" s="26"/>
      <c r="KGG258" s="23"/>
      <c r="KGL258" s="26"/>
      <c r="KGP258" s="23"/>
      <c r="KGU258" s="26"/>
      <c r="KGY258" s="23"/>
      <c r="KHD258" s="26"/>
      <c r="KHH258" s="23"/>
      <c r="KHM258" s="26"/>
      <c r="KHQ258" s="23"/>
      <c r="KHV258" s="26"/>
      <c r="KHZ258" s="23"/>
      <c r="KIE258" s="26"/>
      <c r="KII258" s="23"/>
      <c r="KIN258" s="26"/>
      <c r="KIR258" s="23"/>
      <c r="KIW258" s="26"/>
      <c r="KJA258" s="23"/>
      <c r="KJF258" s="26"/>
      <c r="KJJ258" s="23"/>
      <c r="KJO258" s="26"/>
      <c r="KJS258" s="23"/>
      <c r="KJX258" s="26"/>
      <c r="KKB258" s="23"/>
      <c r="KKG258" s="26"/>
      <c r="KKK258" s="23"/>
      <c r="KKP258" s="26"/>
      <c r="KKT258" s="23"/>
      <c r="KKY258" s="26"/>
      <c r="KLC258" s="23"/>
      <c r="KLH258" s="26"/>
      <c r="KLL258" s="23"/>
      <c r="KLQ258" s="26"/>
      <c r="KLU258" s="23"/>
      <c r="KLZ258" s="26"/>
      <c r="KMD258" s="23"/>
      <c r="KMI258" s="26"/>
      <c r="KMM258" s="23"/>
      <c r="KMR258" s="26"/>
      <c r="KMV258" s="23"/>
      <c r="KNA258" s="26"/>
      <c r="KNE258" s="23"/>
      <c r="KNJ258" s="26"/>
      <c r="KNN258" s="23"/>
      <c r="KNS258" s="26"/>
      <c r="KNW258" s="23"/>
      <c r="KOB258" s="26"/>
      <c r="KOF258" s="23"/>
      <c r="KOK258" s="26"/>
      <c r="KOO258" s="23"/>
      <c r="KOT258" s="26"/>
      <c r="KOX258" s="23"/>
      <c r="KPC258" s="26"/>
      <c r="KPG258" s="23"/>
      <c r="KPL258" s="26"/>
      <c r="KPP258" s="23"/>
      <c r="KPU258" s="26"/>
      <c r="KPY258" s="23"/>
      <c r="KQD258" s="26"/>
      <c r="KQH258" s="23"/>
      <c r="KQM258" s="26"/>
      <c r="KQQ258" s="23"/>
      <c r="KQV258" s="26"/>
      <c r="KQZ258" s="23"/>
      <c r="KRE258" s="26"/>
      <c r="KRI258" s="23"/>
      <c r="KRN258" s="26"/>
      <c r="KRR258" s="23"/>
      <c r="KRW258" s="26"/>
      <c r="KSA258" s="23"/>
      <c r="KSF258" s="26"/>
      <c r="KSJ258" s="23"/>
      <c r="KSO258" s="26"/>
      <c r="KSS258" s="23"/>
      <c r="KSX258" s="26"/>
      <c r="KTB258" s="23"/>
      <c r="KTG258" s="26"/>
      <c r="KTK258" s="23"/>
      <c r="KTP258" s="26"/>
      <c r="KTT258" s="23"/>
      <c r="KTY258" s="26"/>
      <c r="KUC258" s="23"/>
      <c r="KUH258" s="26"/>
      <c r="KUL258" s="23"/>
      <c r="KUQ258" s="26"/>
      <c r="KUU258" s="23"/>
      <c r="KUZ258" s="26"/>
      <c r="KVD258" s="23"/>
      <c r="KVI258" s="26"/>
      <c r="KVM258" s="23"/>
      <c r="KVR258" s="26"/>
      <c r="KVV258" s="23"/>
      <c r="KWA258" s="26"/>
      <c r="KWE258" s="23"/>
      <c r="KWJ258" s="26"/>
      <c r="KWN258" s="23"/>
      <c r="KWS258" s="26"/>
      <c r="KWW258" s="23"/>
      <c r="KXB258" s="26"/>
      <c r="KXF258" s="23"/>
      <c r="KXK258" s="26"/>
      <c r="KXO258" s="23"/>
      <c r="KXT258" s="26"/>
      <c r="KXX258" s="23"/>
      <c r="KYC258" s="26"/>
      <c r="KYG258" s="23"/>
      <c r="KYL258" s="26"/>
      <c r="KYP258" s="23"/>
      <c r="KYU258" s="26"/>
      <c r="KYY258" s="23"/>
      <c r="KZD258" s="26"/>
      <c r="KZH258" s="23"/>
      <c r="KZM258" s="26"/>
      <c r="KZQ258" s="23"/>
      <c r="KZV258" s="26"/>
      <c r="KZZ258" s="23"/>
      <c r="LAE258" s="26"/>
      <c r="LAI258" s="23"/>
      <c r="LAN258" s="26"/>
      <c r="LAR258" s="23"/>
      <c r="LAW258" s="26"/>
      <c r="LBA258" s="23"/>
      <c r="LBF258" s="26"/>
      <c r="LBJ258" s="23"/>
      <c r="LBO258" s="26"/>
      <c r="LBS258" s="23"/>
      <c r="LBX258" s="26"/>
      <c r="LCB258" s="23"/>
      <c r="LCG258" s="26"/>
      <c r="LCK258" s="23"/>
      <c r="LCP258" s="26"/>
      <c r="LCT258" s="23"/>
      <c r="LCY258" s="26"/>
      <c r="LDC258" s="23"/>
      <c r="LDH258" s="26"/>
      <c r="LDL258" s="23"/>
      <c r="LDQ258" s="26"/>
      <c r="LDU258" s="23"/>
      <c r="LDZ258" s="26"/>
      <c r="LED258" s="23"/>
      <c r="LEI258" s="26"/>
      <c r="LEM258" s="23"/>
      <c r="LER258" s="26"/>
      <c r="LEV258" s="23"/>
      <c r="LFA258" s="26"/>
      <c r="LFE258" s="23"/>
      <c r="LFJ258" s="26"/>
      <c r="LFN258" s="23"/>
      <c r="LFS258" s="26"/>
      <c r="LFW258" s="23"/>
      <c r="LGB258" s="26"/>
      <c r="LGF258" s="23"/>
      <c r="LGK258" s="26"/>
      <c r="LGO258" s="23"/>
      <c r="LGT258" s="26"/>
      <c r="LGX258" s="23"/>
      <c r="LHC258" s="26"/>
      <c r="LHG258" s="23"/>
      <c r="LHL258" s="26"/>
      <c r="LHP258" s="23"/>
      <c r="LHU258" s="26"/>
      <c r="LHY258" s="23"/>
      <c r="LID258" s="26"/>
      <c r="LIH258" s="23"/>
      <c r="LIM258" s="26"/>
      <c r="LIQ258" s="23"/>
      <c r="LIV258" s="26"/>
      <c r="LIZ258" s="23"/>
      <c r="LJE258" s="26"/>
      <c r="LJI258" s="23"/>
      <c r="LJN258" s="26"/>
      <c r="LJR258" s="23"/>
      <c r="LJW258" s="26"/>
      <c r="LKA258" s="23"/>
      <c r="LKF258" s="26"/>
      <c r="LKJ258" s="23"/>
      <c r="LKO258" s="26"/>
      <c r="LKS258" s="23"/>
      <c r="LKX258" s="26"/>
      <c r="LLB258" s="23"/>
      <c r="LLG258" s="26"/>
      <c r="LLK258" s="23"/>
      <c r="LLP258" s="26"/>
      <c r="LLT258" s="23"/>
      <c r="LLY258" s="26"/>
      <c r="LMC258" s="23"/>
      <c r="LMH258" s="26"/>
      <c r="LML258" s="23"/>
      <c r="LMQ258" s="26"/>
      <c r="LMU258" s="23"/>
      <c r="LMZ258" s="26"/>
      <c r="LND258" s="23"/>
      <c r="LNI258" s="26"/>
      <c r="LNM258" s="23"/>
      <c r="LNR258" s="26"/>
      <c r="LNV258" s="23"/>
      <c r="LOA258" s="26"/>
      <c r="LOE258" s="23"/>
      <c r="LOJ258" s="26"/>
      <c r="LON258" s="23"/>
      <c r="LOS258" s="26"/>
      <c r="LOW258" s="23"/>
      <c r="LPB258" s="26"/>
      <c r="LPF258" s="23"/>
      <c r="LPK258" s="26"/>
      <c r="LPO258" s="23"/>
      <c r="LPT258" s="26"/>
      <c r="LPX258" s="23"/>
      <c r="LQC258" s="26"/>
      <c r="LQG258" s="23"/>
      <c r="LQL258" s="26"/>
      <c r="LQP258" s="23"/>
      <c r="LQU258" s="26"/>
      <c r="LQY258" s="23"/>
      <c r="LRD258" s="26"/>
      <c r="LRH258" s="23"/>
      <c r="LRM258" s="26"/>
      <c r="LRQ258" s="23"/>
      <c r="LRV258" s="26"/>
      <c r="LRZ258" s="23"/>
      <c r="LSE258" s="26"/>
      <c r="LSI258" s="23"/>
      <c r="LSN258" s="26"/>
      <c r="LSR258" s="23"/>
      <c r="LSW258" s="26"/>
      <c r="LTA258" s="23"/>
      <c r="LTF258" s="26"/>
      <c r="LTJ258" s="23"/>
      <c r="LTO258" s="26"/>
      <c r="LTS258" s="23"/>
      <c r="LTX258" s="26"/>
      <c r="LUB258" s="23"/>
      <c r="LUG258" s="26"/>
      <c r="LUK258" s="23"/>
      <c r="LUP258" s="26"/>
      <c r="LUT258" s="23"/>
      <c r="LUY258" s="26"/>
      <c r="LVC258" s="23"/>
      <c r="LVH258" s="26"/>
      <c r="LVL258" s="23"/>
      <c r="LVQ258" s="26"/>
      <c r="LVU258" s="23"/>
      <c r="LVZ258" s="26"/>
      <c r="LWD258" s="23"/>
      <c r="LWI258" s="26"/>
      <c r="LWM258" s="23"/>
      <c r="LWR258" s="26"/>
      <c r="LWV258" s="23"/>
      <c r="LXA258" s="26"/>
      <c r="LXE258" s="23"/>
      <c r="LXJ258" s="26"/>
      <c r="LXN258" s="23"/>
      <c r="LXS258" s="26"/>
      <c r="LXW258" s="23"/>
      <c r="LYB258" s="26"/>
      <c r="LYF258" s="23"/>
      <c r="LYK258" s="26"/>
      <c r="LYO258" s="23"/>
      <c r="LYT258" s="26"/>
      <c r="LYX258" s="23"/>
      <c r="LZC258" s="26"/>
      <c r="LZG258" s="23"/>
      <c r="LZL258" s="26"/>
      <c r="LZP258" s="23"/>
      <c r="LZU258" s="26"/>
      <c r="LZY258" s="23"/>
      <c r="MAD258" s="26"/>
      <c r="MAH258" s="23"/>
      <c r="MAM258" s="26"/>
      <c r="MAQ258" s="23"/>
      <c r="MAV258" s="26"/>
      <c r="MAZ258" s="23"/>
      <c r="MBE258" s="26"/>
      <c r="MBI258" s="23"/>
      <c r="MBN258" s="26"/>
      <c r="MBR258" s="23"/>
      <c r="MBW258" s="26"/>
      <c r="MCA258" s="23"/>
      <c r="MCF258" s="26"/>
      <c r="MCJ258" s="23"/>
      <c r="MCO258" s="26"/>
      <c r="MCS258" s="23"/>
      <c r="MCX258" s="26"/>
      <c r="MDB258" s="23"/>
      <c r="MDG258" s="26"/>
      <c r="MDK258" s="23"/>
      <c r="MDP258" s="26"/>
      <c r="MDT258" s="23"/>
      <c r="MDY258" s="26"/>
      <c r="MEC258" s="23"/>
      <c r="MEH258" s="26"/>
      <c r="MEL258" s="23"/>
      <c r="MEQ258" s="26"/>
      <c r="MEU258" s="23"/>
      <c r="MEZ258" s="26"/>
      <c r="MFD258" s="23"/>
      <c r="MFI258" s="26"/>
      <c r="MFM258" s="23"/>
      <c r="MFR258" s="26"/>
      <c r="MFV258" s="23"/>
      <c r="MGA258" s="26"/>
      <c r="MGE258" s="23"/>
      <c r="MGJ258" s="26"/>
      <c r="MGN258" s="23"/>
      <c r="MGS258" s="26"/>
      <c r="MGW258" s="23"/>
      <c r="MHB258" s="26"/>
      <c r="MHF258" s="23"/>
      <c r="MHK258" s="26"/>
      <c r="MHO258" s="23"/>
      <c r="MHT258" s="26"/>
      <c r="MHX258" s="23"/>
      <c r="MIC258" s="26"/>
      <c r="MIG258" s="23"/>
      <c r="MIL258" s="26"/>
      <c r="MIP258" s="23"/>
      <c r="MIU258" s="26"/>
      <c r="MIY258" s="23"/>
      <c r="MJD258" s="26"/>
      <c r="MJH258" s="23"/>
      <c r="MJM258" s="26"/>
      <c r="MJQ258" s="23"/>
      <c r="MJV258" s="26"/>
      <c r="MJZ258" s="23"/>
      <c r="MKE258" s="26"/>
      <c r="MKI258" s="23"/>
      <c r="MKN258" s="26"/>
      <c r="MKR258" s="23"/>
      <c r="MKW258" s="26"/>
      <c r="MLA258" s="23"/>
      <c r="MLF258" s="26"/>
      <c r="MLJ258" s="23"/>
      <c r="MLO258" s="26"/>
      <c r="MLS258" s="23"/>
      <c r="MLX258" s="26"/>
      <c r="MMB258" s="23"/>
      <c r="MMG258" s="26"/>
      <c r="MMK258" s="23"/>
      <c r="MMP258" s="26"/>
      <c r="MMT258" s="23"/>
      <c r="MMY258" s="26"/>
      <c r="MNC258" s="23"/>
      <c r="MNH258" s="26"/>
      <c r="MNL258" s="23"/>
      <c r="MNQ258" s="26"/>
      <c r="MNU258" s="23"/>
      <c r="MNZ258" s="26"/>
      <c r="MOD258" s="23"/>
      <c r="MOI258" s="26"/>
      <c r="MOM258" s="23"/>
      <c r="MOR258" s="26"/>
      <c r="MOV258" s="23"/>
      <c r="MPA258" s="26"/>
      <c r="MPE258" s="23"/>
      <c r="MPJ258" s="26"/>
      <c r="MPN258" s="23"/>
      <c r="MPS258" s="26"/>
      <c r="MPW258" s="23"/>
      <c r="MQB258" s="26"/>
      <c r="MQF258" s="23"/>
      <c r="MQK258" s="26"/>
      <c r="MQO258" s="23"/>
      <c r="MQT258" s="26"/>
      <c r="MQX258" s="23"/>
      <c r="MRC258" s="26"/>
      <c r="MRG258" s="23"/>
      <c r="MRL258" s="26"/>
      <c r="MRP258" s="23"/>
      <c r="MRU258" s="26"/>
      <c r="MRY258" s="23"/>
      <c r="MSD258" s="26"/>
      <c r="MSH258" s="23"/>
      <c r="MSM258" s="26"/>
      <c r="MSQ258" s="23"/>
      <c r="MSV258" s="26"/>
      <c r="MSZ258" s="23"/>
      <c r="MTE258" s="26"/>
      <c r="MTI258" s="23"/>
      <c r="MTN258" s="26"/>
      <c r="MTR258" s="23"/>
      <c r="MTW258" s="26"/>
      <c r="MUA258" s="23"/>
      <c r="MUF258" s="26"/>
      <c r="MUJ258" s="23"/>
      <c r="MUO258" s="26"/>
      <c r="MUS258" s="23"/>
      <c r="MUX258" s="26"/>
      <c r="MVB258" s="23"/>
      <c r="MVG258" s="26"/>
      <c r="MVK258" s="23"/>
      <c r="MVP258" s="26"/>
      <c r="MVT258" s="23"/>
      <c r="MVY258" s="26"/>
      <c r="MWC258" s="23"/>
      <c r="MWH258" s="26"/>
      <c r="MWL258" s="23"/>
      <c r="MWQ258" s="26"/>
      <c r="MWU258" s="23"/>
      <c r="MWZ258" s="26"/>
      <c r="MXD258" s="23"/>
      <c r="MXI258" s="26"/>
      <c r="MXM258" s="23"/>
      <c r="MXR258" s="26"/>
      <c r="MXV258" s="23"/>
      <c r="MYA258" s="26"/>
      <c r="MYE258" s="23"/>
      <c r="MYJ258" s="26"/>
      <c r="MYN258" s="23"/>
      <c r="MYS258" s="26"/>
      <c r="MYW258" s="23"/>
      <c r="MZB258" s="26"/>
      <c r="MZF258" s="23"/>
      <c r="MZK258" s="26"/>
      <c r="MZO258" s="23"/>
      <c r="MZT258" s="26"/>
      <c r="MZX258" s="23"/>
      <c r="NAC258" s="26"/>
      <c r="NAG258" s="23"/>
      <c r="NAL258" s="26"/>
      <c r="NAP258" s="23"/>
      <c r="NAU258" s="26"/>
      <c r="NAY258" s="23"/>
      <c r="NBD258" s="26"/>
      <c r="NBH258" s="23"/>
      <c r="NBM258" s="26"/>
      <c r="NBQ258" s="23"/>
      <c r="NBV258" s="26"/>
      <c r="NBZ258" s="23"/>
      <c r="NCE258" s="26"/>
      <c r="NCI258" s="23"/>
      <c r="NCN258" s="26"/>
      <c r="NCR258" s="23"/>
      <c r="NCW258" s="26"/>
      <c r="NDA258" s="23"/>
      <c r="NDF258" s="26"/>
      <c r="NDJ258" s="23"/>
      <c r="NDO258" s="26"/>
      <c r="NDS258" s="23"/>
      <c r="NDX258" s="26"/>
      <c r="NEB258" s="23"/>
      <c r="NEG258" s="26"/>
      <c r="NEK258" s="23"/>
      <c r="NEP258" s="26"/>
      <c r="NET258" s="23"/>
      <c r="NEY258" s="26"/>
      <c r="NFC258" s="23"/>
      <c r="NFH258" s="26"/>
      <c r="NFL258" s="23"/>
      <c r="NFQ258" s="26"/>
      <c r="NFU258" s="23"/>
      <c r="NFZ258" s="26"/>
      <c r="NGD258" s="23"/>
      <c r="NGI258" s="26"/>
      <c r="NGM258" s="23"/>
      <c r="NGR258" s="26"/>
      <c r="NGV258" s="23"/>
      <c r="NHA258" s="26"/>
      <c r="NHE258" s="23"/>
      <c r="NHJ258" s="26"/>
      <c r="NHN258" s="23"/>
      <c r="NHS258" s="26"/>
      <c r="NHW258" s="23"/>
      <c r="NIB258" s="26"/>
      <c r="NIF258" s="23"/>
      <c r="NIK258" s="26"/>
      <c r="NIO258" s="23"/>
      <c r="NIT258" s="26"/>
      <c r="NIX258" s="23"/>
      <c r="NJC258" s="26"/>
      <c r="NJG258" s="23"/>
      <c r="NJL258" s="26"/>
      <c r="NJP258" s="23"/>
      <c r="NJU258" s="26"/>
      <c r="NJY258" s="23"/>
      <c r="NKD258" s="26"/>
      <c r="NKH258" s="23"/>
      <c r="NKM258" s="26"/>
      <c r="NKQ258" s="23"/>
      <c r="NKV258" s="26"/>
      <c r="NKZ258" s="23"/>
      <c r="NLE258" s="26"/>
      <c r="NLI258" s="23"/>
      <c r="NLN258" s="26"/>
      <c r="NLR258" s="23"/>
      <c r="NLW258" s="26"/>
      <c r="NMA258" s="23"/>
      <c r="NMF258" s="26"/>
      <c r="NMJ258" s="23"/>
      <c r="NMO258" s="26"/>
      <c r="NMS258" s="23"/>
      <c r="NMX258" s="26"/>
      <c r="NNB258" s="23"/>
      <c r="NNG258" s="26"/>
      <c r="NNK258" s="23"/>
      <c r="NNP258" s="26"/>
      <c r="NNT258" s="23"/>
      <c r="NNY258" s="26"/>
      <c r="NOC258" s="23"/>
      <c r="NOH258" s="26"/>
      <c r="NOL258" s="23"/>
      <c r="NOQ258" s="26"/>
      <c r="NOU258" s="23"/>
      <c r="NOZ258" s="26"/>
      <c r="NPD258" s="23"/>
      <c r="NPI258" s="26"/>
      <c r="NPM258" s="23"/>
      <c r="NPR258" s="26"/>
      <c r="NPV258" s="23"/>
      <c r="NQA258" s="26"/>
      <c r="NQE258" s="23"/>
      <c r="NQJ258" s="26"/>
      <c r="NQN258" s="23"/>
      <c r="NQS258" s="26"/>
      <c r="NQW258" s="23"/>
      <c r="NRB258" s="26"/>
      <c r="NRF258" s="23"/>
      <c r="NRK258" s="26"/>
      <c r="NRO258" s="23"/>
      <c r="NRT258" s="26"/>
      <c r="NRX258" s="23"/>
      <c r="NSC258" s="26"/>
      <c r="NSG258" s="23"/>
      <c r="NSL258" s="26"/>
      <c r="NSP258" s="23"/>
      <c r="NSU258" s="26"/>
      <c r="NSY258" s="23"/>
      <c r="NTD258" s="26"/>
      <c r="NTH258" s="23"/>
      <c r="NTM258" s="26"/>
      <c r="NTQ258" s="23"/>
      <c r="NTV258" s="26"/>
      <c r="NTZ258" s="23"/>
      <c r="NUE258" s="26"/>
      <c r="NUI258" s="23"/>
      <c r="NUN258" s="26"/>
      <c r="NUR258" s="23"/>
      <c r="NUW258" s="26"/>
      <c r="NVA258" s="23"/>
      <c r="NVF258" s="26"/>
      <c r="NVJ258" s="23"/>
      <c r="NVO258" s="26"/>
      <c r="NVS258" s="23"/>
      <c r="NVX258" s="26"/>
      <c r="NWB258" s="23"/>
      <c r="NWG258" s="26"/>
      <c r="NWK258" s="23"/>
      <c r="NWP258" s="26"/>
      <c r="NWT258" s="23"/>
      <c r="NWY258" s="26"/>
      <c r="NXC258" s="23"/>
      <c r="NXH258" s="26"/>
      <c r="NXL258" s="23"/>
      <c r="NXQ258" s="26"/>
      <c r="NXU258" s="23"/>
      <c r="NXZ258" s="26"/>
      <c r="NYD258" s="23"/>
      <c r="NYI258" s="26"/>
      <c r="NYM258" s="23"/>
      <c r="NYR258" s="26"/>
      <c r="NYV258" s="23"/>
      <c r="NZA258" s="26"/>
      <c r="NZE258" s="23"/>
      <c r="NZJ258" s="26"/>
      <c r="NZN258" s="23"/>
      <c r="NZS258" s="26"/>
      <c r="NZW258" s="23"/>
      <c r="OAB258" s="26"/>
      <c r="OAF258" s="23"/>
      <c r="OAK258" s="26"/>
      <c r="OAO258" s="23"/>
      <c r="OAT258" s="26"/>
      <c r="OAX258" s="23"/>
      <c r="OBC258" s="26"/>
      <c r="OBG258" s="23"/>
      <c r="OBL258" s="26"/>
      <c r="OBP258" s="23"/>
      <c r="OBU258" s="26"/>
      <c r="OBY258" s="23"/>
      <c r="OCD258" s="26"/>
      <c r="OCH258" s="23"/>
      <c r="OCM258" s="26"/>
      <c r="OCQ258" s="23"/>
      <c r="OCV258" s="26"/>
      <c r="OCZ258" s="23"/>
      <c r="ODE258" s="26"/>
      <c r="ODI258" s="23"/>
      <c r="ODN258" s="26"/>
      <c r="ODR258" s="23"/>
      <c r="ODW258" s="26"/>
      <c r="OEA258" s="23"/>
      <c r="OEF258" s="26"/>
      <c r="OEJ258" s="23"/>
      <c r="OEO258" s="26"/>
      <c r="OES258" s="23"/>
      <c r="OEX258" s="26"/>
      <c r="OFB258" s="23"/>
      <c r="OFG258" s="26"/>
      <c r="OFK258" s="23"/>
      <c r="OFP258" s="26"/>
      <c r="OFT258" s="23"/>
      <c r="OFY258" s="26"/>
      <c r="OGC258" s="23"/>
      <c r="OGH258" s="26"/>
      <c r="OGL258" s="23"/>
      <c r="OGQ258" s="26"/>
      <c r="OGU258" s="23"/>
      <c r="OGZ258" s="26"/>
      <c r="OHD258" s="23"/>
      <c r="OHI258" s="26"/>
      <c r="OHM258" s="23"/>
      <c r="OHR258" s="26"/>
      <c r="OHV258" s="23"/>
      <c r="OIA258" s="26"/>
      <c r="OIE258" s="23"/>
      <c r="OIJ258" s="26"/>
      <c r="OIN258" s="23"/>
      <c r="OIS258" s="26"/>
      <c r="OIW258" s="23"/>
      <c r="OJB258" s="26"/>
      <c r="OJF258" s="23"/>
      <c r="OJK258" s="26"/>
      <c r="OJO258" s="23"/>
      <c r="OJT258" s="26"/>
      <c r="OJX258" s="23"/>
      <c r="OKC258" s="26"/>
      <c r="OKG258" s="23"/>
      <c r="OKL258" s="26"/>
      <c r="OKP258" s="23"/>
      <c r="OKU258" s="26"/>
      <c r="OKY258" s="23"/>
      <c r="OLD258" s="26"/>
      <c r="OLH258" s="23"/>
      <c r="OLM258" s="26"/>
      <c r="OLQ258" s="23"/>
      <c r="OLV258" s="26"/>
      <c r="OLZ258" s="23"/>
      <c r="OME258" s="26"/>
      <c r="OMI258" s="23"/>
      <c r="OMN258" s="26"/>
      <c r="OMR258" s="23"/>
      <c r="OMW258" s="26"/>
      <c r="ONA258" s="23"/>
      <c r="ONF258" s="26"/>
      <c r="ONJ258" s="23"/>
      <c r="ONO258" s="26"/>
      <c r="ONS258" s="23"/>
      <c r="ONX258" s="26"/>
      <c r="OOB258" s="23"/>
      <c r="OOG258" s="26"/>
      <c r="OOK258" s="23"/>
      <c r="OOP258" s="26"/>
      <c r="OOT258" s="23"/>
      <c r="OOY258" s="26"/>
      <c r="OPC258" s="23"/>
      <c r="OPH258" s="26"/>
      <c r="OPL258" s="23"/>
      <c r="OPQ258" s="26"/>
      <c r="OPU258" s="23"/>
      <c r="OPZ258" s="26"/>
      <c r="OQD258" s="23"/>
      <c r="OQI258" s="26"/>
      <c r="OQM258" s="23"/>
      <c r="OQR258" s="26"/>
      <c r="OQV258" s="23"/>
      <c r="ORA258" s="26"/>
      <c r="ORE258" s="23"/>
      <c r="ORJ258" s="26"/>
      <c r="ORN258" s="23"/>
      <c r="ORS258" s="26"/>
      <c r="ORW258" s="23"/>
      <c r="OSB258" s="26"/>
      <c r="OSF258" s="23"/>
      <c r="OSK258" s="26"/>
      <c r="OSO258" s="23"/>
      <c r="OST258" s="26"/>
      <c r="OSX258" s="23"/>
      <c r="OTC258" s="26"/>
      <c r="OTG258" s="23"/>
      <c r="OTL258" s="26"/>
      <c r="OTP258" s="23"/>
      <c r="OTU258" s="26"/>
      <c r="OTY258" s="23"/>
      <c r="OUD258" s="26"/>
      <c r="OUH258" s="23"/>
      <c r="OUM258" s="26"/>
      <c r="OUQ258" s="23"/>
      <c r="OUV258" s="26"/>
      <c r="OUZ258" s="23"/>
      <c r="OVE258" s="26"/>
      <c r="OVI258" s="23"/>
      <c r="OVN258" s="26"/>
      <c r="OVR258" s="23"/>
      <c r="OVW258" s="26"/>
      <c r="OWA258" s="23"/>
      <c r="OWF258" s="26"/>
      <c r="OWJ258" s="23"/>
      <c r="OWO258" s="26"/>
      <c r="OWS258" s="23"/>
      <c r="OWX258" s="26"/>
      <c r="OXB258" s="23"/>
      <c r="OXG258" s="26"/>
      <c r="OXK258" s="23"/>
      <c r="OXP258" s="26"/>
      <c r="OXT258" s="23"/>
      <c r="OXY258" s="26"/>
      <c r="OYC258" s="23"/>
      <c r="OYH258" s="26"/>
      <c r="OYL258" s="23"/>
      <c r="OYQ258" s="26"/>
      <c r="OYU258" s="23"/>
      <c r="OYZ258" s="26"/>
      <c r="OZD258" s="23"/>
      <c r="OZI258" s="26"/>
      <c r="OZM258" s="23"/>
      <c r="OZR258" s="26"/>
      <c r="OZV258" s="23"/>
      <c r="PAA258" s="26"/>
      <c r="PAE258" s="23"/>
      <c r="PAJ258" s="26"/>
      <c r="PAN258" s="23"/>
      <c r="PAS258" s="26"/>
      <c r="PAW258" s="23"/>
      <c r="PBB258" s="26"/>
      <c r="PBF258" s="23"/>
      <c r="PBK258" s="26"/>
      <c r="PBO258" s="23"/>
      <c r="PBT258" s="26"/>
      <c r="PBX258" s="23"/>
      <c r="PCC258" s="26"/>
      <c r="PCG258" s="23"/>
      <c r="PCL258" s="26"/>
      <c r="PCP258" s="23"/>
      <c r="PCU258" s="26"/>
      <c r="PCY258" s="23"/>
      <c r="PDD258" s="26"/>
      <c r="PDH258" s="23"/>
      <c r="PDM258" s="26"/>
      <c r="PDQ258" s="23"/>
      <c r="PDV258" s="26"/>
      <c r="PDZ258" s="23"/>
      <c r="PEE258" s="26"/>
      <c r="PEI258" s="23"/>
      <c r="PEN258" s="26"/>
      <c r="PER258" s="23"/>
      <c r="PEW258" s="26"/>
      <c r="PFA258" s="23"/>
      <c r="PFF258" s="26"/>
      <c r="PFJ258" s="23"/>
      <c r="PFO258" s="26"/>
      <c r="PFS258" s="23"/>
      <c r="PFX258" s="26"/>
      <c r="PGB258" s="23"/>
      <c r="PGG258" s="26"/>
      <c r="PGK258" s="23"/>
      <c r="PGP258" s="26"/>
      <c r="PGT258" s="23"/>
      <c r="PGY258" s="26"/>
      <c r="PHC258" s="23"/>
      <c r="PHH258" s="26"/>
      <c r="PHL258" s="23"/>
      <c r="PHQ258" s="26"/>
      <c r="PHU258" s="23"/>
      <c r="PHZ258" s="26"/>
      <c r="PID258" s="23"/>
      <c r="PII258" s="26"/>
      <c r="PIM258" s="23"/>
      <c r="PIR258" s="26"/>
      <c r="PIV258" s="23"/>
      <c r="PJA258" s="26"/>
      <c r="PJE258" s="23"/>
      <c r="PJJ258" s="26"/>
      <c r="PJN258" s="23"/>
      <c r="PJS258" s="26"/>
      <c r="PJW258" s="23"/>
      <c r="PKB258" s="26"/>
      <c r="PKF258" s="23"/>
      <c r="PKK258" s="26"/>
      <c r="PKO258" s="23"/>
      <c r="PKT258" s="26"/>
      <c r="PKX258" s="23"/>
      <c r="PLC258" s="26"/>
      <c r="PLG258" s="23"/>
      <c r="PLL258" s="26"/>
      <c r="PLP258" s="23"/>
      <c r="PLU258" s="26"/>
      <c r="PLY258" s="23"/>
      <c r="PMD258" s="26"/>
      <c r="PMH258" s="23"/>
      <c r="PMM258" s="26"/>
      <c r="PMQ258" s="23"/>
      <c r="PMV258" s="26"/>
      <c r="PMZ258" s="23"/>
      <c r="PNE258" s="26"/>
      <c r="PNI258" s="23"/>
      <c r="PNN258" s="26"/>
      <c r="PNR258" s="23"/>
      <c r="PNW258" s="26"/>
      <c r="POA258" s="23"/>
      <c r="POF258" s="26"/>
      <c r="POJ258" s="23"/>
      <c r="POO258" s="26"/>
      <c r="POS258" s="23"/>
      <c r="POX258" s="26"/>
      <c r="PPB258" s="23"/>
      <c r="PPG258" s="26"/>
      <c r="PPK258" s="23"/>
      <c r="PPP258" s="26"/>
      <c r="PPT258" s="23"/>
      <c r="PPY258" s="26"/>
      <c r="PQC258" s="23"/>
      <c r="PQH258" s="26"/>
      <c r="PQL258" s="23"/>
      <c r="PQQ258" s="26"/>
      <c r="PQU258" s="23"/>
      <c r="PQZ258" s="26"/>
      <c r="PRD258" s="23"/>
      <c r="PRI258" s="26"/>
      <c r="PRM258" s="23"/>
      <c r="PRR258" s="26"/>
      <c r="PRV258" s="23"/>
      <c r="PSA258" s="26"/>
      <c r="PSE258" s="23"/>
      <c r="PSJ258" s="26"/>
      <c r="PSN258" s="23"/>
      <c r="PSS258" s="26"/>
      <c r="PSW258" s="23"/>
      <c r="PTB258" s="26"/>
      <c r="PTF258" s="23"/>
      <c r="PTK258" s="26"/>
      <c r="PTO258" s="23"/>
      <c r="PTT258" s="26"/>
      <c r="PTX258" s="23"/>
      <c r="PUC258" s="26"/>
      <c r="PUG258" s="23"/>
      <c r="PUL258" s="26"/>
      <c r="PUP258" s="23"/>
      <c r="PUU258" s="26"/>
      <c r="PUY258" s="23"/>
      <c r="PVD258" s="26"/>
      <c r="PVH258" s="23"/>
      <c r="PVM258" s="26"/>
      <c r="PVQ258" s="23"/>
      <c r="PVV258" s="26"/>
      <c r="PVZ258" s="23"/>
      <c r="PWE258" s="26"/>
      <c r="PWI258" s="23"/>
      <c r="PWN258" s="26"/>
      <c r="PWR258" s="23"/>
      <c r="PWW258" s="26"/>
      <c r="PXA258" s="23"/>
      <c r="PXF258" s="26"/>
      <c r="PXJ258" s="23"/>
      <c r="PXO258" s="26"/>
      <c r="PXS258" s="23"/>
      <c r="PXX258" s="26"/>
      <c r="PYB258" s="23"/>
      <c r="PYG258" s="26"/>
      <c r="PYK258" s="23"/>
      <c r="PYP258" s="26"/>
      <c r="PYT258" s="23"/>
      <c r="PYY258" s="26"/>
      <c r="PZC258" s="23"/>
      <c r="PZH258" s="26"/>
      <c r="PZL258" s="23"/>
      <c r="PZQ258" s="26"/>
      <c r="PZU258" s="23"/>
      <c r="PZZ258" s="26"/>
      <c r="QAD258" s="23"/>
      <c r="QAI258" s="26"/>
      <c r="QAM258" s="23"/>
      <c r="QAR258" s="26"/>
      <c r="QAV258" s="23"/>
      <c r="QBA258" s="26"/>
      <c r="QBE258" s="23"/>
      <c r="QBJ258" s="26"/>
      <c r="QBN258" s="23"/>
      <c r="QBS258" s="26"/>
      <c r="QBW258" s="23"/>
      <c r="QCB258" s="26"/>
      <c r="QCF258" s="23"/>
      <c r="QCK258" s="26"/>
      <c r="QCO258" s="23"/>
      <c r="QCT258" s="26"/>
      <c r="QCX258" s="23"/>
      <c r="QDC258" s="26"/>
      <c r="QDG258" s="23"/>
      <c r="QDL258" s="26"/>
      <c r="QDP258" s="23"/>
      <c r="QDU258" s="26"/>
      <c r="QDY258" s="23"/>
      <c r="QED258" s="26"/>
      <c r="QEH258" s="23"/>
      <c r="QEM258" s="26"/>
      <c r="QEQ258" s="23"/>
      <c r="QEV258" s="26"/>
      <c r="QEZ258" s="23"/>
      <c r="QFE258" s="26"/>
      <c r="QFI258" s="23"/>
      <c r="QFN258" s="26"/>
      <c r="QFR258" s="23"/>
      <c r="QFW258" s="26"/>
      <c r="QGA258" s="23"/>
      <c r="QGF258" s="26"/>
      <c r="QGJ258" s="23"/>
      <c r="QGO258" s="26"/>
      <c r="QGS258" s="23"/>
      <c r="QGX258" s="26"/>
      <c r="QHB258" s="23"/>
      <c r="QHG258" s="26"/>
      <c r="QHK258" s="23"/>
      <c r="QHP258" s="26"/>
      <c r="QHT258" s="23"/>
      <c r="QHY258" s="26"/>
      <c r="QIC258" s="23"/>
      <c r="QIH258" s="26"/>
      <c r="QIL258" s="23"/>
      <c r="QIQ258" s="26"/>
      <c r="QIU258" s="23"/>
      <c r="QIZ258" s="26"/>
      <c r="QJD258" s="23"/>
      <c r="QJI258" s="26"/>
      <c r="QJM258" s="23"/>
      <c r="QJR258" s="26"/>
      <c r="QJV258" s="23"/>
      <c r="QKA258" s="26"/>
      <c r="QKE258" s="23"/>
      <c r="QKJ258" s="26"/>
      <c r="QKN258" s="23"/>
      <c r="QKS258" s="26"/>
      <c r="QKW258" s="23"/>
      <c r="QLB258" s="26"/>
      <c r="QLF258" s="23"/>
      <c r="QLK258" s="26"/>
      <c r="QLO258" s="23"/>
      <c r="QLT258" s="26"/>
      <c r="QLX258" s="23"/>
      <c r="QMC258" s="26"/>
      <c r="QMG258" s="23"/>
      <c r="QML258" s="26"/>
      <c r="QMP258" s="23"/>
      <c r="QMU258" s="26"/>
      <c r="QMY258" s="23"/>
      <c r="QND258" s="26"/>
      <c r="QNH258" s="23"/>
      <c r="QNM258" s="26"/>
      <c r="QNQ258" s="23"/>
      <c r="QNV258" s="26"/>
      <c r="QNZ258" s="23"/>
      <c r="QOE258" s="26"/>
      <c r="QOI258" s="23"/>
      <c r="QON258" s="26"/>
      <c r="QOR258" s="23"/>
      <c r="QOW258" s="26"/>
      <c r="QPA258" s="23"/>
      <c r="QPF258" s="26"/>
      <c r="QPJ258" s="23"/>
      <c r="QPO258" s="26"/>
      <c r="QPS258" s="23"/>
      <c r="QPX258" s="26"/>
      <c r="QQB258" s="23"/>
      <c r="QQG258" s="26"/>
      <c r="QQK258" s="23"/>
      <c r="QQP258" s="26"/>
      <c r="QQT258" s="23"/>
      <c r="QQY258" s="26"/>
      <c r="QRC258" s="23"/>
      <c r="QRH258" s="26"/>
      <c r="QRL258" s="23"/>
      <c r="QRQ258" s="26"/>
      <c r="QRU258" s="23"/>
      <c r="QRZ258" s="26"/>
      <c r="QSD258" s="23"/>
      <c r="QSI258" s="26"/>
      <c r="QSM258" s="23"/>
      <c r="QSR258" s="26"/>
      <c r="QSV258" s="23"/>
      <c r="QTA258" s="26"/>
      <c r="QTE258" s="23"/>
      <c r="QTJ258" s="26"/>
      <c r="QTN258" s="23"/>
      <c r="QTS258" s="26"/>
      <c r="QTW258" s="23"/>
      <c r="QUB258" s="26"/>
      <c r="QUF258" s="23"/>
      <c r="QUK258" s="26"/>
      <c r="QUO258" s="23"/>
      <c r="QUT258" s="26"/>
      <c r="QUX258" s="23"/>
      <c r="QVC258" s="26"/>
      <c r="QVG258" s="23"/>
      <c r="QVL258" s="26"/>
      <c r="QVP258" s="23"/>
      <c r="QVU258" s="26"/>
      <c r="QVY258" s="23"/>
      <c r="QWD258" s="26"/>
      <c r="QWH258" s="23"/>
      <c r="QWM258" s="26"/>
      <c r="QWQ258" s="23"/>
      <c r="QWV258" s="26"/>
      <c r="QWZ258" s="23"/>
      <c r="QXE258" s="26"/>
      <c r="QXI258" s="23"/>
      <c r="QXN258" s="26"/>
      <c r="QXR258" s="23"/>
      <c r="QXW258" s="26"/>
      <c r="QYA258" s="23"/>
      <c r="QYF258" s="26"/>
      <c r="QYJ258" s="23"/>
      <c r="QYO258" s="26"/>
      <c r="QYS258" s="23"/>
      <c r="QYX258" s="26"/>
      <c r="QZB258" s="23"/>
      <c r="QZG258" s="26"/>
      <c r="QZK258" s="23"/>
      <c r="QZP258" s="26"/>
      <c r="QZT258" s="23"/>
      <c r="QZY258" s="26"/>
      <c r="RAC258" s="23"/>
      <c r="RAH258" s="26"/>
      <c r="RAL258" s="23"/>
      <c r="RAQ258" s="26"/>
      <c r="RAU258" s="23"/>
      <c r="RAZ258" s="26"/>
      <c r="RBD258" s="23"/>
      <c r="RBI258" s="26"/>
      <c r="RBM258" s="23"/>
      <c r="RBR258" s="26"/>
      <c r="RBV258" s="23"/>
      <c r="RCA258" s="26"/>
      <c r="RCE258" s="23"/>
      <c r="RCJ258" s="26"/>
      <c r="RCN258" s="23"/>
      <c r="RCS258" s="26"/>
      <c r="RCW258" s="23"/>
      <c r="RDB258" s="26"/>
      <c r="RDF258" s="23"/>
      <c r="RDK258" s="26"/>
      <c r="RDO258" s="23"/>
      <c r="RDT258" s="26"/>
      <c r="RDX258" s="23"/>
      <c r="REC258" s="26"/>
      <c r="REG258" s="23"/>
      <c r="REL258" s="26"/>
      <c r="REP258" s="23"/>
      <c r="REU258" s="26"/>
      <c r="REY258" s="23"/>
      <c r="RFD258" s="26"/>
      <c r="RFH258" s="23"/>
      <c r="RFM258" s="26"/>
      <c r="RFQ258" s="23"/>
      <c r="RFV258" s="26"/>
      <c r="RFZ258" s="23"/>
      <c r="RGE258" s="26"/>
      <c r="RGI258" s="23"/>
      <c r="RGN258" s="26"/>
      <c r="RGR258" s="23"/>
      <c r="RGW258" s="26"/>
      <c r="RHA258" s="23"/>
      <c r="RHF258" s="26"/>
      <c r="RHJ258" s="23"/>
      <c r="RHO258" s="26"/>
      <c r="RHS258" s="23"/>
      <c r="RHX258" s="26"/>
      <c r="RIB258" s="23"/>
      <c r="RIG258" s="26"/>
      <c r="RIK258" s="23"/>
      <c r="RIP258" s="26"/>
      <c r="RIT258" s="23"/>
      <c r="RIY258" s="26"/>
      <c r="RJC258" s="23"/>
      <c r="RJH258" s="26"/>
      <c r="RJL258" s="23"/>
      <c r="RJQ258" s="26"/>
      <c r="RJU258" s="23"/>
      <c r="RJZ258" s="26"/>
      <c r="RKD258" s="23"/>
      <c r="RKI258" s="26"/>
      <c r="RKM258" s="23"/>
      <c r="RKR258" s="26"/>
      <c r="RKV258" s="23"/>
      <c r="RLA258" s="26"/>
      <c r="RLE258" s="23"/>
      <c r="RLJ258" s="26"/>
      <c r="RLN258" s="23"/>
      <c r="RLS258" s="26"/>
      <c r="RLW258" s="23"/>
      <c r="RMB258" s="26"/>
      <c r="RMF258" s="23"/>
      <c r="RMK258" s="26"/>
      <c r="RMO258" s="23"/>
      <c r="RMT258" s="26"/>
      <c r="RMX258" s="23"/>
      <c r="RNC258" s="26"/>
      <c r="RNG258" s="23"/>
      <c r="RNL258" s="26"/>
      <c r="RNP258" s="23"/>
      <c r="RNU258" s="26"/>
      <c r="RNY258" s="23"/>
      <c r="ROD258" s="26"/>
      <c r="ROH258" s="23"/>
      <c r="ROM258" s="26"/>
      <c r="ROQ258" s="23"/>
      <c r="ROV258" s="26"/>
      <c r="ROZ258" s="23"/>
      <c r="RPE258" s="26"/>
      <c r="RPI258" s="23"/>
      <c r="RPN258" s="26"/>
      <c r="RPR258" s="23"/>
      <c r="RPW258" s="26"/>
      <c r="RQA258" s="23"/>
      <c r="RQF258" s="26"/>
      <c r="RQJ258" s="23"/>
      <c r="RQO258" s="26"/>
      <c r="RQS258" s="23"/>
      <c r="RQX258" s="26"/>
      <c r="RRB258" s="23"/>
      <c r="RRG258" s="26"/>
      <c r="RRK258" s="23"/>
      <c r="RRP258" s="26"/>
      <c r="RRT258" s="23"/>
      <c r="RRY258" s="26"/>
      <c r="RSC258" s="23"/>
      <c r="RSH258" s="26"/>
      <c r="RSL258" s="23"/>
      <c r="RSQ258" s="26"/>
      <c r="RSU258" s="23"/>
      <c r="RSZ258" s="26"/>
      <c r="RTD258" s="23"/>
      <c r="RTI258" s="26"/>
      <c r="RTM258" s="23"/>
      <c r="RTR258" s="26"/>
      <c r="RTV258" s="23"/>
      <c r="RUA258" s="26"/>
      <c r="RUE258" s="23"/>
      <c r="RUJ258" s="26"/>
      <c r="RUN258" s="23"/>
      <c r="RUS258" s="26"/>
      <c r="RUW258" s="23"/>
      <c r="RVB258" s="26"/>
      <c r="RVF258" s="23"/>
      <c r="RVK258" s="26"/>
      <c r="RVO258" s="23"/>
      <c r="RVT258" s="26"/>
      <c r="RVX258" s="23"/>
      <c r="RWC258" s="26"/>
      <c r="RWG258" s="23"/>
      <c r="RWL258" s="26"/>
      <c r="RWP258" s="23"/>
      <c r="RWU258" s="26"/>
      <c r="RWY258" s="23"/>
      <c r="RXD258" s="26"/>
      <c r="RXH258" s="23"/>
      <c r="RXM258" s="26"/>
      <c r="RXQ258" s="23"/>
      <c r="RXV258" s="26"/>
      <c r="RXZ258" s="23"/>
      <c r="RYE258" s="26"/>
      <c r="RYI258" s="23"/>
      <c r="RYN258" s="26"/>
      <c r="RYR258" s="23"/>
      <c r="RYW258" s="26"/>
      <c r="RZA258" s="23"/>
      <c r="RZF258" s="26"/>
      <c r="RZJ258" s="23"/>
      <c r="RZO258" s="26"/>
      <c r="RZS258" s="23"/>
      <c r="RZX258" s="26"/>
      <c r="SAB258" s="23"/>
      <c r="SAG258" s="26"/>
      <c r="SAK258" s="23"/>
      <c r="SAP258" s="26"/>
      <c r="SAT258" s="23"/>
      <c r="SAY258" s="26"/>
      <c r="SBC258" s="23"/>
      <c r="SBH258" s="26"/>
      <c r="SBL258" s="23"/>
      <c r="SBQ258" s="26"/>
      <c r="SBU258" s="23"/>
      <c r="SBZ258" s="26"/>
      <c r="SCD258" s="23"/>
      <c r="SCI258" s="26"/>
      <c r="SCM258" s="23"/>
      <c r="SCR258" s="26"/>
      <c r="SCV258" s="23"/>
      <c r="SDA258" s="26"/>
      <c r="SDE258" s="23"/>
      <c r="SDJ258" s="26"/>
      <c r="SDN258" s="23"/>
      <c r="SDS258" s="26"/>
      <c r="SDW258" s="23"/>
      <c r="SEB258" s="26"/>
      <c r="SEF258" s="23"/>
      <c r="SEK258" s="26"/>
      <c r="SEO258" s="23"/>
      <c r="SET258" s="26"/>
      <c r="SEX258" s="23"/>
      <c r="SFC258" s="26"/>
      <c r="SFG258" s="23"/>
      <c r="SFL258" s="26"/>
      <c r="SFP258" s="23"/>
      <c r="SFU258" s="26"/>
      <c r="SFY258" s="23"/>
      <c r="SGD258" s="26"/>
      <c r="SGH258" s="23"/>
      <c r="SGM258" s="26"/>
      <c r="SGQ258" s="23"/>
      <c r="SGV258" s="26"/>
      <c r="SGZ258" s="23"/>
      <c r="SHE258" s="26"/>
      <c r="SHI258" s="23"/>
      <c r="SHN258" s="26"/>
      <c r="SHR258" s="23"/>
      <c r="SHW258" s="26"/>
      <c r="SIA258" s="23"/>
      <c r="SIF258" s="26"/>
      <c r="SIJ258" s="23"/>
      <c r="SIO258" s="26"/>
      <c r="SIS258" s="23"/>
      <c r="SIX258" s="26"/>
      <c r="SJB258" s="23"/>
      <c r="SJG258" s="26"/>
      <c r="SJK258" s="23"/>
      <c r="SJP258" s="26"/>
      <c r="SJT258" s="23"/>
      <c r="SJY258" s="26"/>
      <c r="SKC258" s="23"/>
      <c r="SKH258" s="26"/>
      <c r="SKL258" s="23"/>
      <c r="SKQ258" s="26"/>
      <c r="SKU258" s="23"/>
      <c r="SKZ258" s="26"/>
      <c r="SLD258" s="23"/>
      <c r="SLI258" s="26"/>
      <c r="SLM258" s="23"/>
      <c r="SLR258" s="26"/>
      <c r="SLV258" s="23"/>
      <c r="SMA258" s="26"/>
      <c r="SME258" s="23"/>
      <c r="SMJ258" s="26"/>
      <c r="SMN258" s="23"/>
      <c r="SMS258" s="26"/>
      <c r="SMW258" s="23"/>
      <c r="SNB258" s="26"/>
      <c r="SNF258" s="23"/>
      <c r="SNK258" s="26"/>
      <c r="SNO258" s="23"/>
      <c r="SNT258" s="26"/>
      <c r="SNX258" s="23"/>
      <c r="SOC258" s="26"/>
      <c r="SOG258" s="23"/>
      <c r="SOL258" s="26"/>
      <c r="SOP258" s="23"/>
      <c r="SOU258" s="26"/>
      <c r="SOY258" s="23"/>
      <c r="SPD258" s="26"/>
      <c r="SPH258" s="23"/>
      <c r="SPM258" s="26"/>
      <c r="SPQ258" s="23"/>
      <c r="SPV258" s="26"/>
      <c r="SPZ258" s="23"/>
      <c r="SQE258" s="26"/>
      <c r="SQI258" s="23"/>
      <c r="SQN258" s="26"/>
      <c r="SQR258" s="23"/>
      <c r="SQW258" s="26"/>
      <c r="SRA258" s="23"/>
      <c r="SRF258" s="26"/>
      <c r="SRJ258" s="23"/>
      <c r="SRO258" s="26"/>
      <c r="SRS258" s="23"/>
      <c r="SRX258" s="26"/>
      <c r="SSB258" s="23"/>
      <c r="SSG258" s="26"/>
      <c r="SSK258" s="23"/>
      <c r="SSP258" s="26"/>
      <c r="SST258" s="23"/>
      <c r="SSY258" s="26"/>
      <c r="STC258" s="23"/>
      <c r="STH258" s="26"/>
      <c r="STL258" s="23"/>
      <c r="STQ258" s="26"/>
      <c r="STU258" s="23"/>
      <c r="STZ258" s="26"/>
      <c r="SUD258" s="23"/>
      <c r="SUI258" s="26"/>
      <c r="SUM258" s="23"/>
      <c r="SUR258" s="26"/>
      <c r="SUV258" s="23"/>
      <c r="SVA258" s="26"/>
      <c r="SVE258" s="23"/>
      <c r="SVJ258" s="26"/>
      <c r="SVN258" s="23"/>
      <c r="SVS258" s="26"/>
      <c r="SVW258" s="23"/>
      <c r="SWB258" s="26"/>
      <c r="SWF258" s="23"/>
      <c r="SWK258" s="26"/>
      <c r="SWO258" s="23"/>
      <c r="SWT258" s="26"/>
      <c r="SWX258" s="23"/>
      <c r="SXC258" s="26"/>
      <c r="SXG258" s="23"/>
      <c r="SXL258" s="26"/>
      <c r="SXP258" s="23"/>
      <c r="SXU258" s="26"/>
      <c r="SXY258" s="23"/>
      <c r="SYD258" s="26"/>
      <c r="SYH258" s="23"/>
      <c r="SYM258" s="26"/>
      <c r="SYQ258" s="23"/>
      <c r="SYV258" s="26"/>
      <c r="SYZ258" s="23"/>
      <c r="SZE258" s="26"/>
      <c r="SZI258" s="23"/>
      <c r="SZN258" s="26"/>
      <c r="SZR258" s="23"/>
      <c r="SZW258" s="26"/>
      <c r="TAA258" s="23"/>
      <c r="TAF258" s="26"/>
      <c r="TAJ258" s="23"/>
      <c r="TAO258" s="26"/>
      <c r="TAS258" s="23"/>
      <c r="TAX258" s="26"/>
      <c r="TBB258" s="23"/>
      <c r="TBG258" s="26"/>
      <c r="TBK258" s="23"/>
      <c r="TBP258" s="26"/>
      <c r="TBT258" s="23"/>
      <c r="TBY258" s="26"/>
      <c r="TCC258" s="23"/>
      <c r="TCH258" s="26"/>
      <c r="TCL258" s="23"/>
      <c r="TCQ258" s="26"/>
      <c r="TCU258" s="23"/>
      <c r="TCZ258" s="26"/>
      <c r="TDD258" s="23"/>
      <c r="TDI258" s="26"/>
      <c r="TDM258" s="23"/>
      <c r="TDR258" s="26"/>
      <c r="TDV258" s="23"/>
      <c r="TEA258" s="26"/>
      <c r="TEE258" s="23"/>
      <c r="TEJ258" s="26"/>
      <c r="TEN258" s="23"/>
      <c r="TES258" s="26"/>
      <c r="TEW258" s="23"/>
      <c r="TFB258" s="26"/>
      <c r="TFF258" s="23"/>
      <c r="TFK258" s="26"/>
      <c r="TFO258" s="23"/>
      <c r="TFT258" s="26"/>
      <c r="TFX258" s="23"/>
      <c r="TGC258" s="26"/>
      <c r="TGG258" s="23"/>
      <c r="TGL258" s="26"/>
      <c r="TGP258" s="23"/>
      <c r="TGU258" s="26"/>
      <c r="TGY258" s="23"/>
      <c r="THD258" s="26"/>
      <c r="THH258" s="23"/>
      <c r="THM258" s="26"/>
      <c r="THQ258" s="23"/>
      <c r="THV258" s="26"/>
      <c r="THZ258" s="23"/>
      <c r="TIE258" s="26"/>
      <c r="TII258" s="23"/>
      <c r="TIN258" s="26"/>
      <c r="TIR258" s="23"/>
      <c r="TIW258" s="26"/>
      <c r="TJA258" s="23"/>
      <c r="TJF258" s="26"/>
      <c r="TJJ258" s="23"/>
      <c r="TJO258" s="26"/>
      <c r="TJS258" s="23"/>
      <c r="TJX258" s="26"/>
      <c r="TKB258" s="23"/>
      <c r="TKG258" s="26"/>
      <c r="TKK258" s="23"/>
      <c r="TKP258" s="26"/>
      <c r="TKT258" s="23"/>
      <c r="TKY258" s="26"/>
      <c r="TLC258" s="23"/>
      <c r="TLH258" s="26"/>
      <c r="TLL258" s="23"/>
      <c r="TLQ258" s="26"/>
      <c r="TLU258" s="23"/>
      <c r="TLZ258" s="26"/>
      <c r="TMD258" s="23"/>
      <c r="TMI258" s="26"/>
      <c r="TMM258" s="23"/>
      <c r="TMR258" s="26"/>
      <c r="TMV258" s="23"/>
      <c r="TNA258" s="26"/>
      <c r="TNE258" s="23"/>
      <c r="TNJ258" s="26"/>
      <c r="TNN258" s="23"/>
      <c r="TNS258" s="26"/>
      <c r="TNW258" s="23"/>
      <c r="TOB258" s="26"/>
      <c r="TOF258" s="23"/>
      <c r="TOK258" s="26"/>
      <c r="TOO258" s="23"/>
      <c r="TOT258" s="26"/>
      <c r="TOX258" s="23"/>
      <c r="TPC258" s="26"/>
      <c r="TPG258" s="23"/>
      <c r="TPL258" s="26"/>
      <c r="TPP258" s="23"/>
      <c r="TPU258" s="26"/>
      <c r="TPY258" s="23"/>
      <c r="TQD258" s="26"/>
      <c r="TQH258" s="23"/>
      <c r="TQM258" s="26"/>
      <c r="TQQ258" s="23"/>
      <c r="TQV258" s="26"/>
      <c r="TQZ258" s="23"/>
      <c r="TRE258" s="26"/>
      <c r="TRI258" s="23"/>
      <c r="TRN258" s="26"/>
      <c r="TRR258" s="23"/>
      <c r="TRW258" s="26"/>
      <c r="TSA258" s="23"/>
      <c r="TSF258" s="26"/>
      <c r="TSJ258" s="23"/>
      <c r="TSO258" s="26"/>
      <c r="TSS258" s="23"/>
      <c r="TSX258" s="26"/>
      <c r="TTB258" s="23"/>
      <c r="TTG258" s="26"/>
      <c r="TTK258" s="23"/>
      <c r="TTP258" s="26"/>
      <c r="TTT258" s="23"/>
      <c r="TTY258" s="26"/>
      <c r="TUC258" s="23"/>
      <c r="TUH258" s="26"/>
      <c r="TUL258" s="23"/>
      <c r="TUQ258" s="26"/>
      <c r="TUU258" s="23"/>
      <c r="TUZ258" s="26"/>
      <c r="TVD258" s="23"/>
      <c r="TVI258" s="26"/>
      <c r="TVM258" s="23"/>
      <c r="TVR258" s="26"/>
      <c r="TVV258" s="23"/>
      <c r="TWA258" s="26"/>
      <c r="TWE258" s="23"/>
      <c r="TWJ258" s="26"/>
      <c r="TWN258" s="23"/>
      <c r="TWS258" s="26"/>
      <c r="TWW258" s="23"/>
      <c r="TXB258" s="26"/>
      <c r="TXF258" s="23"/>
      <c r="TXK258" s="26"/>
      <c r="TXO258" s="23"/>
      <c r="TXT258" s="26"/>
      <c r="TXX258" s="23"/>
      <c r="TYC258" s="26"/>
      <c r="TYG258" s="23"/>
      <c r="TYL258" s="26"/>
      <c r="TYP258" s="23"/>
      <c r="TYU258" s="26"/>
      <c r="TYY258" s="23"/>
      <c r="TZD258" s="26"/>
      <c r="TZH258" s="23"/>
      <c r="TZM258" s="26"/>
      <c r="TZQ258" s="23"/>
      <c r="TZV258" s="26"/>
      <c r="TZZ258" s="23"/>
      <c r="UAE258" s="26"/>
      <c r="UAI258" s="23"/>
      <c r="UAN258" s="26"/>
      <c r="UAR258" s="23"/>
      <c r="UAW258" s="26"/>
      <c r="UBA258" s="23"/>
      <c r="UBF258" s="26"/>
      <c r="UBJ258" s="23"/>
      <c r="UBO258" s="26"/>
      <c r="UBS258" s="23"/>
      <c r="UBX258" s="26"/>
      <c r="UCB258" s="23"/>
      <c r="UCG258" s="26"/>
      <c r="UCK258" s="23"/>
      <c r="UCP258" s="26"/>
      <c r="UCT258" s="23"/>
      <c r="UCY258" s="26"/>
      <c r="UDC258" s="23"/>
      <c r="UDH258" s="26"/>
      <c r="UDL258" s="23"/>
      <c r="UDQ258" s="26"/>
      <c r="UDU258" s="23"/>
      <c r="UDZ258" s="26"/>
      <c r="UED258" s="23"/>
      <c r="UEI258" s="26"/>
      <c r="UEM258" s="23"/>
      <c r="UER258" s="26"/>
      <c r="UEV258" s="23"/>
      <c r="UFA258" s="26"/>
      <c r="UFE258" s="23"/>
      <c r="UFJ258" s="26"/>
      <c r="UFN258" s="23"/>
      <c r="UFS258" s="26"/>
      <c r="UFW258" s="23"/>
      <c r="UGB258" s="26"/>
      <c r="UGF258" s="23"/>
      <c r="UGK258" s="26"/>
      <c r="UGO258" s="23"/>
      <c r="UGT258" s="26"/>
      <c r="UGX258" s="23"/>
      <c r="UHC258" s="26"/>
      <c r="UHG258" s="23"/>
      <c r="UHL258" s="26"/>
      <c r="UHP258" s="23"/>
      <c r="UHU258" s="26"/>
      <c r="UHY258" s="23"/>
      <c r="UID258" s="26"/>
      <c r="UIH258" s="23"/>
      <c r="UIM258" s="26"/>
      <c r="UIQ258" s="23"/>
      <c r="UIV258" s="26"/>
      <c r="UIZ258" s="23"/>
      <c r="UJE258" s="26"/>
      <c r="UJI258" s="23"/>
      <c r="UJN258" s="26"/>
      <c r="UJR258" s="23"/>
      <c r="UJW258" s="26"/>
      <c r="UKA258" s="23"/>
      <c r="UKF258" s="26"/>
      <c r="UKJ258" s="23"/>
      <c r="UKO258" s="26"/>
      <c r="UKS258" s="23"/>
      <c r="UKX258" s="26"/>
      <c r="ULB258" s="23"/>
      <c r="ULG258" s="26"/>
      <c r="ULK258" s="23"/>
      <c r="ULP258" s="26"/>
      <c r="ULT258" s="23"/>
      <c r="ULY258" s="26"/>
      <c r="UMC258" s="23"/>
      <c r="UMH258" s="26"/>
      <c r="UML258" s="23"/>
      <c r="UMQ258" s="26"/>
      <c r="UMU258" s="23"/>
      <c r="UMZ258" s="26"/>
      <c r="UND258" s="23"/>
      <c r="UNI258" s="26"/>
      <c r="UNM258" s="23"/>
      <c r="UNR258" s="26"/>
      <c r="UNV258" s="23"/>
      <c r="UOA258" s="26"/>
      <c r="UOE258" s="23"/>
      <c r="UOJ258" s="26"/>
      <c r="UON258" s="23"/>
      <c r="UOS258" s="26"/>
      <c r="UOW258" s="23"/>
      <c r="UPB258" s="26"/>
      <c r="UPF258" s="23"/>
      <c r="UPK258" s="26"/>
      <c r="UPO258" s="23"/>
      <c r="UPT258" s="26"/>
      <c r="UPX258" s="23"/>
      <c r="UQC258" s="26"/>
      <c r="UQG258" s="23"/>
      <c r="UQL258" s="26"/>
      <c r="UQP258" s="23"/>
      <c r="UQU258" s="26"/>
      <c r="UQY258" s="23"/>
      <c r="URD258" s="26"/>
      <c r="URH258" s="23"/>
      <c r="URM258" s="26"/>
      <c r="URQ258" s="23"/>
      <c r="URV258" s="26"/>
      <c r="URZ258" s="23"/>
      <c r="USE258" s="26"/>
      <c r="USI258" s="23"/>
      <c r="USN258" s="26"/>
      <c r="USR258" s="23"/>
      <c r="USW258" s="26"/>
      <c r="UTA258" s="23"/>
      <c r="UTF258" s="26"/>
      <c r="UTJ258" s="23"/>
      <c r="UTO258" s="26"/>
      <c r="UTS258" s="23"/>
      <c r="UTX258" s="26"/>
      <c r="UUB258" s="23"/>
      <c r="UUG258" s="26"/>
      <c r="UUK258" s="23"/>
      <c r="UUP258" s="26"/>
      <c r="UUT258" s="23"/>
      <c r="UUY258" s="26"/>
      <c r="UVC258" s="23"/>
      <c r="UVH258" s="26"/>
      <c r="UVL258" s="23"/>
      <c r="UVQ258" s="26"/>
      <c r="UVU258" s="23"/>
      <c r="UVZ258" s="26"/>
      <c r="UWD258" s="23"/>
      <c r="UWI258" s="26"/>
      <c r="UWM258" s="23"/>
      <c r="UWR258" s="26"/>
      <c r="UWV258" s="23"/>
      <c r="UXA258" s="26"/>
      <c r="UXE258" s="23"/>
      <c r="UXJ258" s="26"/>
      <c r="UXN258" s="23"/>
      <c r="UXS258" s="26"/>
      <c r="UXW258" s="23"/>
      <c r="UYB258" s="26"/>
      <c r="UYF258" s="23"/>
      <c r="UYK258" s="26"/>
      <c r="UYO258" s="23"/>
      <c r="UYT258" s="26"/>
      <c r="UYX258" s="23"/>
      <c r="UZC258" s="26"/>
      <c r="UZG258" s="23"/>
      <c r="UZL258" s="26"/>
      <c r="UZP258" s="23"/>
      <c r="UZU258" s="26"/>
      <c r="UZY258" s="23"/>
      <c r="VAD258" s="26"/>
      <c r="VAH258" s="23"/>
      <c r="VAM258" s="26"/>
      <c r="VAQ258" s="23"/>
      <c r="VAV258" s="26"/>
      <c r="VAZ258" s="23"/>
      <c r="VBE258" s="26"/>
      <c r="VBI258" s="23"/>
      <c r="VBN258" s="26"/>
      <c r="VBR258" s="23"/>
      <c r="VBW258" s="26"/>
      <c r="VCA258" s="23"/>
      <c r="VCF258" s="26"/>
      <c r="VCJ258" s="23"/>
      <c r="VCO258" s="26"/>
      <c r="VCS258" s="23"/>
      <c r="VCX258" s="26"/>
      <c r="VDB258" s="23"/>
      <c r="VDG258" s="26"/>
      <c r="VDK258" s="23"/>
      <c r="VDP258" s="26"/>
      <c r="VDT258" s="23"/>
      <c r="VDY258" s="26"/>
      <c r="VEC258" s="23"/>
      <c r="VEH258" s="26"/>
      <c r="VEL258" s="23"/>
      <c r="VEQ258" s="26"/>
      <c r="VEU258" s="23"/>
      <c r="VEZ258" s="26"/>
      <c r="VFD258" s="23"/>
      <c r="VFI258" s="26"/>
      <c r="VFM258" s="23"/>
      <c r="VFR258" s="26"/>
      <c r="VFV258" s="23"/>
      <c r="VGA258" s="26"/>
      <c r="VGE258" s="23"/>
      <c r="VGJ258" s="26"/>
      <c r="VGN258" s="23"/>
      <c r="VGS258" s="26"/>
      <c r="VGW258" s="23"/>
      <c r="VHB258" s="26"/>
      <c r="VHF258" s="23"/>
      <c r="VHK258" s="26"/>
      <c r="VHO258" s="23"/>
      <c r="VHT258" s="26"/>
      <c r="VHX258" s="23"/>
      <c r="VIC258" s="26"/>
      <c r="VIG258" s="23"/>
      <c r="VIL258" s="26"/>
      <c r="VIP258" s="23"/>
      <c r="VIU258" s="26"/>
      <c r="VIY258" s="23"/>
      <c r="VJD258" s="26"/>
      <c r="VJH258" s="23"/>
      <c r="VJM258" s="26"/>
      <c r="VJQ258" s="23"/>
      <c r="VJV258" s="26"/>
      <c r="VJZ258" s="23"/>
      <c r="VKE258" s="26"/>
      <c r="VKI258" s="23"/>
      <c r="VKN258" s="26"/>
      <c r="VKR258" s="23"/>
      <c r="VKW258" s="26"/>
      <c r="VLA258" s="23"/>
      <c r="VLF258" s="26"/>
      <c r="VLJ258" s="23"/>
      <c r="VLO258" s="26"/>
      <c r="VLS258" s="23"/>
      <c r="VLX258" s="26"/>
      <c r="VMB258" s="23"/>
      <c r="VMG258" s="26"/>
      <c r="VMK258" s="23"/>
      <c r="VMP258" s="26"/>
      <c r="VMT258" s="23"/>
      <c r="VMY258" s="26"/>
      <c r="VNC258" s="23"/>
      <c r="VNH258" s="26"/>
      <c r="VNL258" s="23"/>
      <c r="VNQ258" s="26"/>
      <c r="VNU258" s="23"/>
      <c r="VNZ258" s="26"/>
      <c r="VOD258" s="23"/>
      <c r="VOI258" s="26"/>
      <c r="VOM258" s="23"/>
      <c r="VOR258" s="26"/>
      <c r="VOV258" s="23"/>
      <c r="VPA258" s="26"/>
      <c r="VPE258" s="23"/>
      <c r="VPJ258" s="26"/>
      <c r="VPN258" s="23"/>
      <c r="VPS258" s="26"/>
      <c r="VPW258" s="23"/>
      <c r="VQB258" s="26"/>
      <c r="VQF258" s="23"/>
      <c r="VQK258" s="26"/>
      <c r="VQO258" s="23"/>
      <c r="VQT258" s="26"/>
      <c r="VQX258" s="23"/>
      <c r="VRC258" s="26"/>
      <c r="VRG258" s="23"/>
      <c r="VRL258" s="26"/>
      <c r="VRP258" s="23"/>
      <c r="VRU258" s="26"/>
      <c r="VRY258" s="23"/>
      <c r="VSD258" s="26"/>
      <c r="VSH258" s="23"/>
      <c r="VSM258" s="26"/>
      <c r="VSQ258" s="23"/>
      <c r="VSV258" s="26"/>
      <c r="VSZ258" s="23"/>
      <c r="VTE258" s="26"/>
      <c r="VTI258" s="23"/>
      <c r="VTN258" s="26"/>
      <c r="VTR258" s="23"/>
      <c r="VTW258" s="26"/>
      <c r="VUA258" s="23"/>
      <c r="VUF258" s="26"/>
      <c r="VUJ258" s="23"/>
      <c r="VUO258" s="26"/>
      <c r="VUS258" s="23"/>
      <c r="VUX258" s="26"/>
      <c r="VVB258" s="23"/>
      <c r="VVG258" s="26"/>
      <c r="VVK258" s="23"/>
      <c r="VVP258" s="26"/>
      <c r="VVT258" s="23"/>
      <c r="VVY258" s="26"/>
      <c r="VWC258" s="23"/>
      <c r="VWH258" s="26"/>
      <c r="VWL258" s="23"/>
      <c r="VWQ258" s="26"/>
      <c r="VWU258" s="23"/>
      <c r="VWZ258" s="26"/>
      <c r="VXD258" s="23"/>
      <c r="VXI258" s="26"/>
      <c r="VXM258" s="23"/>
      <c r="VXR258" s="26"/>
      <c r="VXV258" s="23"/>
      <c r="VYA258" s="26"/>
      <c r="VYE258" s="23"/>
      <c r="VYJ258" s="26"/>
      <c r="VYN258" s="23"/>
      <c r="VYS258" s="26"/>
      <c r="VYW258" s="23"/>
      <c r="VZB258" s="26"/>
      <c r="VZF258" s="23"/>
      <c r="VZK258" s="26"/>
      <c r="VZO258" s="23"/>
      <c r="VZT258" s="26"/>
      <c r="VZX258" s="23"/>
      <c r="WAC258" s="26"/>
      <c r="WAG258" s="23"/>
      <c r="WAL258" s="26"/>
      <c r="WAP258" s="23"/>
      <c r="WAU258" s="26"/>
      <c r="WAY258" s="23"/>
      <c r="WBD258" s="26"/>
      <c r="WBH258" s="23"/>
      <c r="WBM258" s="26"/>
      <c r="WBQ258" s="23"/>
      <c r="WBV258" s="26"/>
      <c r="WBZ258" s="23"/>
      <c r="WCE258" s="26"/>
      <c r="WCI258" s="23"/>
      <c r="WCN258" s="26"/>
      <c r="WCR258" s="23"/>
      <c r="WCW258" s="26"/>
      <c r="WDA258" s="23"/>
      <c r="WDF258" s="26"/>
      <c r="WDJ258" s="23"/>
      <c r="WDO258" s="26"/>
      <c r="WDS258" s="23"/>
      <c r="WDX258" s="26"/>
      <c r="WEB258" s="23"/>
      <c r="WEG258" s="26"/>
      <c r="WEK258" s="23"/>
      <c r="WEP258" s="26"/>
      <c r="WET258" s="23"/>
      <c r="WEY258" s="26"/>
      <c r="WFC258" s="23"/>
      <c r="WFH258" s="26"/>
      <c r="WFL258" s="23"/>
      <c r="WFQ258" s="26"/>
      <c r="WFU258" s="23"/>
      <c r="WFZ258" s="26"/>
      <c r="WGD258" s="23"/>
      <c r="WGI258" s="26"/>
      <c r="WGM258" s="23"/>
      <c r="WGR258" s="26"/>
      <c r="WGV258" s="23"/>
      <c r="WHA258" s="26"/>
      <c r="WHE258" s="23"/>
      <c r="WHJ258" s="26"/>
      <c r="WHN258" s="23"/>
      <c r="WHS258" s="26"/>
      <c r="WHW258" s="23"/>
      <c r="WIB258" s="26"/>
      <c r="WIF258" s="23"/>
      <c r="WIK258" s="26"/>
      <c r="WIO258" s="23"/>
      <c r="WIT258" s="26"/>
      <c r="WIX258" s="23"/>
      <c r="WJC258" s="26"/>
      <c r="WJG258" s="23"/>
      <c r="WJL258" s="26"/>
      <c r="WJP258" s="23"/>
      <c r="WJU258" s="26"/>
      <c r="WJY258" s="23"/>
      <c r="WKD258" s="26"/>
      <c r="WKH258" s="23"/>
      <c r="WKM258" s="26"/>
      <c r="WKQ258" s="23"/>
      <c r="WKV258" s="26"/>
      <c r="WKZ258" s="23"/>
      <c r="WLE258" s="26"/>
      <c r="WLI258" s="23"/>
      <c r="WLN258" s="26"/>
      <c r="WLR258" s="23"/>
      <c r="WLW258" s="26"/>
      <c r="WMA258" s="23"/>
      <c r="WMF258" s="26"/>
      <c r="WMJ258" s="23"/>
      <c r="WMO258" s="26"/>
      <c r="WMS258" s="23"/>
      <c r="WMX258" s="26"/>
      <c r="WNB258" s="23"/>
      <c r="WNG258" s="26"/>
      <c r="WNK258" s="23"/>
      <c r="WNP258" s="26"/>
      <c r="WNT258" s="23"/>
      <c r="WNY258" s="26"/>
      <c r="WOC258" s="23"/>
      <c r="WOH258" s="26"/>
      <c r="WOL258" s="23"/>
      <c r="WOQ258" s="26"/>
      <c r="WOU258" s="23"/>
      <c r="WOZ258" s="26"/>
      <c r="WPD258" s="23"/>
      <c r="WPI258" s="26"/>
      <c r="WPM258" s="23"/>
      <c r="WPR258" s="26"/>
      <c r="WPV258" s="23"/>
      <c r="WQA258" s="26"/>
      <c r="WQE258" s="23"/>
      <c r="WQJ258" s="26"/>
      <c r="WQN258" s="23"/>
      <c r="WQS258" s="26"/>
      <c r="WQW258" s="23"/>
      <c r="WRB258" s="26"/>
      <c r="WRF258" s="23"/>
      <c r="WRK258" s="26"/>
      <c r="WRO258" s="23"/>
      <c r="WRT258" s="26"/>
      <c r="WRX258" s="23"/>
      <c r="WSC258" s="26"/>
      <c r="WSG258" s="23"/>
      <c r="WSL258" s="26"/>
      <c r="WSP258" s="23"/>
      <c r="WSU258" s="26"/>
      <c r="WSY258" s="23"/>
      <c r="WTD258" s="26"/>
      <c r="WTH258" s="23"/>
      <c r="WTM258" s="26"/>
      <c r="WTQ258" s="23"/>
      <c r="WTV258" s="26"/>
      <c r="WTZ258" s="23"/>
      <c r="WUE258" s="26"/>
      <c r="WUI258" s="23"/>
      <c r="WUN258" s="26"/>
      <c r="WUR258" s="23"/>
      <c r="WUW258" s="26"/>
      <c r="WVA258" s="23"/>
      <c r="WVF258" s="26"/>
      <c r="WVJ258" s="23"/>
      <c r="WVO258" s="26"/>
      <c r="WVS258" s="23"/>
      <c r="WVX258" s="26"/>
      <c r="WWB258" s="23"/>
      <c r="WWG258" s="26"/>
      <c r="WWK258" s="23"/>
      <c r="WWP258" s="26"/>
      <c r="WWT258" s="23"/>
      <c r="WWY258" s="26"/>
      <c r="WXC258" s="23"/>
      <c r="WXH258" s="26"/>
      <c r="WXL258" s="23"/>
      <c r="WXQ258" s="26"/>
      <c r="WXU258" s="23"/>
      <c r="WXZ258" s="26"/>
      <c r="WYD258" s="23"/>
      <c r="WYI258" s="26"/>
      <c r="WYM258" s="23"/>
      <c r="WYR258" s="26"/>
      <c r="WYV258" s="23"/>
      <c r="WZA258" s="26"/>
      <c r="WZE258" s="23"/>
      <c r="WZJ258" s="26"/>
      <c r="WZN258" s="23"/>
      <c r="WZS258" s="26"/>
      <c r="WZW258" s="23"/>
      <c r="XAB258" s="26"/>
      <c r="XAF258" s="23"/>
      <c r="XAK258" s="26"/>
      <c r="XAO258" s="23"/>
      <c r="XAT258" s="26"/>
      <c r="XAX258" s="23"/>
      <c r="XBC258" s="26"/>
      <c r="XBG258" s="23"/>
      <c r="XBL258" s="26"/>
      <c r="XBP258" s="23"/>
      <c r="XBU258" s="26"/>
      <c r="XBY258" s="23"/>
      <c r="XCD258" s="26"/>
      <c r="XCH258" s="23"/>
      <c r="XCM258" s="26"/>
      <c r="XCQ258" s="23"/>
      <c r="XCV258" s="26"/>
      <c r="XCZ258" s="23"/>
      <c r="XDE258" s="26"/>
      <c r="XDI258" s="23"/>
      <c r="XDN258" s="26"/>
      <c r="XDR258" s="23"/>
      <c r="XDW258" s="26"/>
      <c r="XEA258" s="23"/>
      <c r="XEF258" s="26"/>
      <c r="XEJ258" s="23"/>
      <c r="XEO258" s="26"/>
      <c r="XES258" s="23"/>
      <c r="XEX258" s="26"/>
      <c r="XFB258" s="23"/>
    </row>
    <row r="259" spans="2:1024 1028:2045 2050:3071 3076:4093 4097:5119 5123:6140 6145:7166 7171:8192 8197:9214 9218:10240 10244:11261 11266:12287 12292:13309 13313:14335 14339:15356 15361:16382" x14ac:dyDescent="0.3">
      <c r="B259" s="23"/>
      <c r="K259" s="23"/>
      <c r="P259" s="26"/>
      <c r="T259" s="23"/>
      <c r="Y259" s="26"/>
      <c r="AC259" s="23"/>
      <c r="AH259" s="26"/>
      <c r="AL259" s="23"/>
      <c r="AQ259" s="26"/>
      <c r="AU259" s="23"/>
      <c r="AZ259" s="26"/>
      <c r="BD259" s="23"/>
      <c r="BI259" s="26"/>
      <c r="BM259" s="23"/>
      <c r="BR259" s="26"/>
      <c r="BV259" s="23"/>
      <c r="CA259" s="26"/>
      <c r="CE259" s="23"/>
      <c r="CJ259" s="26"/>
      <c r="CN259" s="23"/>
      <c r="CS259" s="26"/>
      <c r="CW259" s="23"/>
      <c r="DB259" s="26"/>
      <c r="DF259" s="23"/>
      <c r="DK259" s="26"/>
      <c r="DO259" s="23"/>
      <c r="DT259" s="26"/>
      <c r="DX259" s="23"/>
      <c r="EC259" s="26"/>
      <c r="EG259" s="23"/>
      <c r="EL259" s="26"/>
      <c r="EP259" s="23"/>
      <c r="EU259" s="26"/>
      <c r="EY259" s="23"/>
      <c r="FD259" s="26"/>
      <c r="FH259" s="23"/>
      <c r="FM259" s="26"/>
      <c r="FQ259" s="23"/>
      <c r="FV259" s="26"/>
      <c r="FZ259" s="23"/>
      <c r="GE259" s="26"/>
      <c r="GI259" s="23"/>
      <c r="GN259" s="26"/>
      <c r="GR259" s="23"/>
      <c r="GW259" s="26"/>
      <c r="HA259" s="23"/>
      <c r="HF259" s="26"/>
      <c r="HJ259" s="23"/>
      <c r="HO259" s="26"/>
      <c r="HS259" s="23"/>
      <c r="HX259" s="26"/>
      <c r="IB259" s="23"/>
      <c r="IG259" s="26"/>
      <c r="IK259" s="23"/>
      <c r="IP259" s="26"/>
      <c r="IT259" s="23"/>
      <c r="IY259" s="26"/>
      <c r="JC259" s="23"/>
      <c r="JH259" s="26"/>
      <c r="JL259" s="23"/>
      <c r="JQ259" s="26"/>
      <c r="JU259" s="23"/>
      <c r="JZ259" s="26"/>
      <c r="KD259" s="23"/>
      <c r="KI259" s="26"/>
      <c r="KM259" s="23"/>
      <c r="KR259" s="26"/>
      <c r="KV259" s="23"/>
      <c r="LA259" s="26"/>
      <c r="LE259" s="23"/>
      <c r="LJ259" s="26"/>
      <c r="LN259" s="23"/>
      <c r="LS259" s="26"/>
      <c r="LW259" s="23"/>
      <c r="MB259" s="26"/>
      <c r="MF259" s="23"/>
      <c r="MK259" s="26"/>
      <c r="MO259" s="23"/>
      <c r="MT259" s="26"/>
      <c r="MX259" s="23"/>
      <c r="NC259" s="26"/>
      <c r="NG259" s="23"/>
      <c r="NL259" s="26"/>
      <c r="NP259" s="23"/>
      <c r="NU259" s="26"/>
      <c r="NY259" s="23"/>
      <c r="OD259" s="26"/>
      <c r="OH259" s="23"/>
      <c r="OM259" s="26"/>
      <c r="OQ259" s="23"/>
      <c r="OV259" s="26"/>
      <c r="OZ259" s="23"/>
      <c r="PE259" s="26"/>
      <c r="PI259" s="23"/>
      <c r="PN259" s="26"/>
      <c r="PR259" s="23"/>
      <c r="PW259" s="26"/>
      <c r="QA259" s="23"/>
      <c r="QF259" s="26"/>
      <c r="QJ259" s="23"/>
      <c r="QO259" s="26"/>
      <c r="QS259" s="23"/>
      <c r="QX259" s="26"/>
      <c r="RB259" s="23"/>
      <c r="RG259" s="26"/>
      <c r="RK259" s="23"/>
      <c r="RP259" s="26"/>
      <c r="RT259" s="23"/>
      <c r="RY259" s="26"/>
      <c r="SC259" s="23"/>
      <c r="SH259" s="26"/>
      <c r="SL259" s="23"/>
      <c r="SQ259" s="26"/>
      <c r="SU259" s="23"/>
      <c r="SZ259" s="26"/>
      <c r="TD259" s="23"/>
      <c r="TI259" s="26"/>
      <c r="TM259" s="23"/>
      <c r="TR259" s="26"/>
      <c r="TV259" s="23"/>
      <c r="UA259" s="26"/>
      <c r="UE259" s="23"/>
      <c r="UJ259" s="26"/>
      <c r="UN259" s="23"/>
      <c r="US259" s="26"/>
      <c r="UW259" s="23"/>
      <c r="VB259" s="26"/>
      <c r="VF259" s="23"/>
      <c r="VK259" s="26"/>
      <c r="VO259" s="23"/>
      <c r="VT259" s="26"/>
      <c r="VX259" s="23"/>
      <c r="WC259" s="26"/>
      <c r="WG259" s="23"/>
      <c r="WL259" s="26"/>
      <c r="WP259" s="23"/>
      <c r="WU259" s="26"/>
      <c r="WY259" s="23"/>
      <c r="XD259" s="26"/>
      <c r="XH259" s="23"/>
      <c r="XM259" s="26"/>
      <c r="XQ259" s="23"/>
      <c r="XV259" s="26"/>
      <c r="XZ259" s="23"/>
      <c r="YE259" s="26"/>
      <c r="YI259" s="23"/>
      <c r="YN259" s="26"/>
      <c r="YR259" s="23"/>
      <c r="YW259" s="26"/>
      <c r="ZA259" s="23"/>
      <c r="ZF259" s="26"/>
      <c r="ZJ259" s="23"/>
      <c r="ZO259" s="26"/>
      <c r="ZS259" s="23"/>
      <c r="ZX259" s="26"/>
      <c r="AAB259" s="23"/>
      <c r="AAG259" s="26"/>
      <c r="AAK259" s="23"/>
      <c r="AAP259" s="26"/>
      <c r="AAT259" s="23"/>
      <c r="AAY259" s="26"/>
      <c r="ABC259" s="23"/>
      <c r="ABH259" s="26"/>
      <c r="ABL259" s="23"/>
      <c r="ABQ259" s="26"/>
      <c r="ABU259" s="23"/>
      <c r="ABZ259" s="26"/>
      <c r="ACD259" s="23"/>
      <c r="ACI259" s="26"/>
      <c r="ACM259" s="23"/>
      <c r="ACR259" s="26"/>
      <c r="ACV259" s="23"/>
      <c r="ADA259" s="26"/>
      <c r="ADE259" s="23"/>
      <c r="ADJ259" s="26"/>
      <c r="ADN259" s="23"/>
      <c r="ADS259" s="26"/>
      <c r="ADW259" s="23"/>
      <c r="AEB259" s="26"/>
      <c r="AEF259" s="23"/>
      <c r="AEK259" s="26"/>
      <c r="AEO259" s="23"/>
      <c r="AET259" s="26"/>
      <c r="AEX259" s="23"/>
      <c r="AFC259" s="26"/>
      <c r="AFG259" s="23"/>
      <c r="AFL259" s="26"/>
      <c r="AFP259" s="23"/>
      <c r="AFU259" s="26"/>
      <c r="AFY259" s="23"/>
      <c r="AGD259" s="26"/>
      <c r="AGH259" s="23"/>
      <c r="AGM259" s="26"/>
      <c r="AGQ259" s="23"/>
      <c r="AGV259" s="26"/>
      <c r="AGZ259" s="23"/>
      <c r="AHE259" s="26"/>
      <c r="AHI259" s="23"/>
      <c r="AHN259" s="26"/>
      <c r="AHR259" s="23"/>
      <c r="AHW259" s="26"/>
      <c r="AIA259" s="23"/>
      <c r="AIF259" s="26"/>
      <c r="AIJ259" s="23"/>
      <c r="AIO259" s="26"/>
      <c r="AIS259" s="23"/>
      <c r="AIX259" s="26"/>
      <c r="AJB259" s="23"/>
      <c r="AJG259" s="26"/>
      <c r="AJK259" s="23"/>
      <c r="AJP259" s="26"/>
      <c r="AJT259" s="23"/>
      <c r="AJY259" s="26"/>
      <c r="AKC259" s="23"/>
      <c r="AKH259" s="26"/>
      <c r="AKL259" s="23"/>
      <c r="AKQ259" s="26"/>
      <c r="AKU259" s="23"/>
      <c r="AKZ259" s="26"/>
      <c r="ALD259" s="23"/>
      <c r="ALI259" s="26"/>
      <c r="ALM259" s="23"/>
      <c r="ALR259" s="26"/>
      <c r="ALV259" s="23"/>
      <c r="AMA259" s="26"/>
      <c r="AME259" s="23"/>
      <c r="AMJ259" s="26"/>
      <c r="AMN259" s="23"/>
      <c r="AMS259" s="26"/>
      <c r="AMW259" s="23"/>
      <c r="ANB259" s="26"/>
      <c r="ANF259" s="23"/>
      <c r="ANK259" s="26"/>
      <c r="ANO259" s="23"/>
      <c r="ANT259" s="26"/>
      <c r="ANX259" s="23"/>
      <c r="AOC259" s="26"/>
      <c r="AOG259" s="23"/>
      <c r="AOL259" s="26"/>
      <c r="AOP259" s="23"/>
      <c r="AOU259" s="26"/>
      <c r="AOY259" s="23"/>
      <c r="APD259" s="26"/>
      <c r="APH259" s="23"/>
      <c r="APM259" s="26"/>
      <c r="APQ259" s="23"/>
      <c r="APV259" s="26"/>
      <c r="APZ259" s="23"/>
      <c r="AQE259" s="26"/>
      <c r="AQI259" s="23"/>
      <c r="AQN259" s="26"/>
      <c r="AQR259" s="23"/>
      <c r="AQW259" s="26"/>
      <c r="ARA259" s="23"/>
      <c r="ARF259" s="26"/>
      <c r="ARJ259" s="23"/>
      <c r="ARO259" s="26"/>
      <c r="ARS259" s="23"/>
      <c r="ARX259" s="26"/>
      <c r="ASB259" s="23"/>
      <c r="ASG259" s="26"/>
      <c r="ASK259" s="23"/>
      <c r="ASP259" s="26"/>
      <c r="AST259" s="23"/>
      <c r="ASY259" s="26"/>
      <c r="ATC259" s="23"/>
      <c r="ATH259" s="26"/>
      <c r="ATL259" s="23"/>
      <c r="ATQ259" s="26"/>
      <c r="ATU259" s="23"/>
      <c r="ATZ259" s="26"/>
      <c r="AUD259" s="23"/>
      <c r="AUI259" s="26"/>
      <c r="AUM259" s="23"/>
      <c r="AUR259" s="26"/>
      <c r="AUV259" s="23"/>
      <c r="AVA259" s="26"/>
      <c r="AVE259" s="23"/>
      <c r="AVJ259" s="26"/>
      <c r="AVN259" s="23"/>
      <c r="AVS259" s="26"/>
      <c r="AVW259" s="23"/>
      <c r="AWB259" s="26"/>
      <c r="AWF259" s="23"/>
      <c r="AWK259" s="26"/>
      <c r="AWO259" s="23"/>
      <c r="AWT259" s="26"/>
      <c r="AWX259" s="23"/>
      <c r="AXC259" s="26"/>
      <c r="AXG259" s="23"/>
      <c r="AXL259" s="26"/>
      <c r="AXP259" s="23"/>
      <c r="AXU259" s="26"/>
      <c r="AXY259" s="23"/>
      <c r="AYD259" s="26"/>
      <c r="AYH259" s="23"/>
      <c r="AYM259" s="26"/>
      <c r="AYQ259" s="23"/>
      <c r="AYV259" s="26"/>
      <c r="AYZ259" s="23"/>
      <c r="AZE259" s="26"/>
      <c r="AZI259" s="23"/>
      <c r="AZN259" s="26"/>
      <c r="AZR259" s="23"/>
      <c r="AZW259" s="26"/>
      <c r="BAA259" s="23"/>
      <c r="BAF259" s="26"/>
      <c r="BAJ259" s="23"/>
      <c r="BAO259" s="26"/>
      <c r="BAS259" s="23"/>
      <c r="BAX259" s="26"/>
      <c r="BBB259" s="23"/>
      <c r="BBG259" s="26"/>
      <c r="BBK259" s="23"/>
      <c r="BBP259" s="26"/>
      <c r="BBT259" s="23"/>
      <c r="BBY259" s="26"/>
      <c r="BCC259" s="23"/>
      <c r="BCH259" s="26"/>
      <c r="BCL259" s="23"/>
      <c r="BCQ259" s="26"/>
      <c r="BCU259" s="23"/>
      <c r="BCZ259" s="26"/>
      <c r="BDD259" s="23"/>
      <c r="BDI259" s="26"/>
      <c r="BDM259" s="23"/>
      <c r="BDR259" s="26"/>
      <c r="BDV259" s="23"/>
      <c r="BEA259" s="26"/>
      <c r="BEE259" s="23"/>
      <c r="BEJ259" s="26"/>
      <c r="BEN259" s="23"/>
      <c r="BES259" s="26"/>
      <c r="BEW259" s="23"/>
      <c r="BFB259" s="26"/>
      <c r="BFF259" s="23"/>
      <c r="BFK259" s="26"/>
      <c r="BFO259" s="23"/>
      <c r="BFT259" s="26"/>
      <c r="BFX259" s="23"/>
      <c r="BGC259" s="26"/>
      <c r="BGG259" s="23"/>
      <c r="BGL259" s="26"/>
      <c r="BGP259" s="23"/>
      <c r="BGU259" s="26"/>
      <c r="BGY259" s="23"/>
      <c r="BHD259" s="26"/>
      <c r="BHH259" s="23"/>
      <c r="BHM259" s="26"/>
      <c r="BHQ259" s="23"/>
      <c r="BHV259" s="26"/>
      <c r="BHZ259" s="23"/>
      <c r="BIE259" s="26"/>
      <c r="BII259" s="23"/>
      <c r="BIN259" s="26"/>
      <c r="BIR259" s="23"/>
      <c r="BIW259" s="26"/>
      <c r="BJA259" s="23"/>
      <c r="BJF259" s="26"/>
      <c r="BJJ259" s="23"/>
      <c r="BJO259" s="26"/>
      <c r="BJS259" s="23"/>
      <c r="BJX259" s="26"/>
      <c r="BKB259" s="23"/>
      <c r="BKG259" s="26"/>
      <c r="BKK259" s="23"/>
      <c r="BKP259" s="26"/>
      <c r="BKT259" s="23"/>
      <c r="BKY259" s="26"/>
      <c r="BLC259" s="23"/>
      <c r="BLH259" s="26"/>
      <c r="BLL259" s="23"/>
      <c r="BLQ259" s="26"/>
      <c r="BLU259" s="23"/>
      <c r="BLZ259" s="26"/>
      <c r="BMD259" s="23"/>
      <c r="BMI259" s="26"/>
      <c r="BMM259" s="23"/>
      <c r="BMR259" s="26"/>
      <c r="BMV259" s="23"/>
      <c r="BNA259" s="26"/>
      <c r="BNE259" s="23"/>
      <c r="BNJ259" s="26"/>
      <c r="BNN259" s="23"/>
      <c r="BNS259" s="26"/>
      <c r="BNW259" s="23"/>
      <c r="BOB259" s="26"/>
      <c r="BOF259" s="23"/>
      <c r="BOK259" s="26"/>
      <c r="BOO259" s="23"/>
      <c r="BOT259" s="26"/>
      <c r="BOX259" s="23"/>
      <c r="BPC259" s="26"/>
      <c r="BPG259" s="23"/>
      <c r="BPL259" s="26"/>
      <c r="BPP259" s="23"/>
      <c r="BPU259" s="26"/>
      <c r="BPY259" s="23"/>
      <c r="BQD259" s="26"/>
      <c r="BQH259" s="23"/>
      <c r="BQM259" s="26"/>
      <c r="BQQ259" s="23"/>
      <c r="BQV259" s="26"/>
      <c r="BQZ259" s="23"/>
      <c r="BRE259" s="26"/>
      <c r="BRI259" s="23"/>
      <c r="BRN259" s="26"/>
      <c r="BRR259" s="23"/>
      <c r="BRW259" s="26"/>
      <c r="BSA259" s="23"/>
      <c r="BSF259" s="26"/>
      <c r="BSJ259" s="23"/>
      <c r="BSO259" s="26"/>
      <c r="BSS259" s="23"/>
      <c r="BSX259" s="26"/>
      <c r="BTB259" s="23"/>
      <c r="BTG259" s="26"/>
      <c r="BTK259" s="23"/>
      <c r="BTP259" s="26"/>
      <c r="BTT259" s="23"/>
      <c r="BTY259" s="26"/>
      <c r="BUC259" s="23"/>
      <c r="BUH259" s="26"/>
      <c r="BUL259" s="23"/>
      <c r="BUQ259" s="26"/>
      <c r="BUU259" s="23"/>
      <c r="BUZ259" s="26"/>
      <c r="BVD259" s="23"/>
      <c r="BVI259" s="26"/>
      <c r="BVM259" s="23"/>
      <c r="BVR259" s="26"/>
      <c r="BVV259" s="23"/>
      <c r="BWA259" s="26"/>
      <c r="BWE259" s="23"/>
      <c r="BWJ259" s="26"/>
      <c r="BWN259" s="23"/>
      <c r="BWS259" s="26"/>
      <c r="BWW259" s="23"/>
      <c r="BXB259" s="26"/>
      <c r="BXF259" s="23"/>
      <c r="BXK259" s="26"/>
      <c r="BXO259" s="23"/>
      <c r="BXT259" s="26"/>
      <c r="BXX259" s="23"/>
      <c r="BYC259" s="26"/>
      <c r="BYG259" s="23"/>
      <c r="BYL259" s="26"/>
      <c r="BYP259" s="23"/>
      <c r="BYU259" s="26"/>
      <c r="BYY259" s="23"/>
      <c r="BZD259" s="26"/>
      <c r="BZH259" s="23"/>
      <c r="BZM259" s="26"/>
      <c r="BZQ259" s="23"/>
      <c r="BZV259" s="26"/>
      <c r="BZZ259" s="23"/>
      <c r="CAE259" s="26"/>
      <c r="CAI259" s="23"/>
      <c r="CAN259" s="26"/>
      <c r="CAR259" s="23"/>
      <c r="CAW259" s="26"/>
      <c r="CBA259" s="23"/>
      <c r="CBF259" s="26"/>
      <c r="CBJ259" s="23"/>
      <c r="CBO259" s="26"/>
      <c r="CBS259" s="23"/>
      <c r="CBX259" s="26"/>
      <c r="CCB259" s="23"/>
      <c r="CCG259" s="26"/>
      <c r="CCK259" s="23"/>
      <c r="CCP259" s="26"/>
      <c r="CCT259" s="23"/>
      <c r="CCY259" s="26"/>
      <c r="CDC259" s="23"/>
      <c r="CDH259" s="26"/>
      <c r="CDL259" s="23"/>
      <c r="CDQ259" s="26"/>
      <c r="CDU259" s="23"/>
      <c r="CDZ259" s="26"/>
      <c r="CED259" s="23"/>
      <c r="CEI259" s="26"/>
      <c r="CEM259" s="23"/>
      <c r="CER259" s="26"/>
      <c r="CEV259" s="23"/>
      <c r="CFA259" s="26"/>
      <c r="CFE259" s="23"/>
      <c r="CFJ259" s="26"/>
      <c r="CFN259" s="23"/>
      <c r="CFS259" s="26"/>
      <c r="CFW259" s="23"/>
      <c r="CGB259" s="26"/>
      <c r="CGF259" s="23"/>
      <c r="CGK259" s="26"/>
      <c r="CGO259" s="23"/>
      <c r="CGT259" s="26"/>
      <c r="CGX259" s="23"/>
      <c r="CHC259" s="26"/>
      <c r="CHG259" s="23"/>
      <c r="CHL259" s="26"/>
      <c r="CHP259" s="23"/>
      <c r="CHU259" s="26"/>
      <c r="CHY259" s="23"/>
      <c r="CID259" s="26"/>
      <c r="CIH259" s="23"/>
      <c r="CIM259" s="26"/>
      <c r="CIQ259" s="23"/>
      <c r="CIV259" s="26"/>
      <c r="CIZ259" s="23"/>
      <c r="CJE259" s="26"/>
      <c r="CJI259" s="23"/>
      <c r="CJN259" s="26"/>
      <c r="CJR259" s="23"/>
      <c r="CJW259" s="26"/>
      <c r="CKA259" s="23"/>
      <c r="CKF259" s="26"/>
      <c r="CKJ259" s="23"/>
      <c r="CKO259" s="26"/>
      <c r="CKS259" s="23"/>
      <c r="CKX259" s="26"/>
      <c r="CLB259" s="23"/>
      <c r="CLG259" s="26"/>
      <c r="CLK259" s="23"/>
      <c r="CLP259" s="26"/>
      <c r="CLT259" s="23"/>
      <c r="CLY259" s="26"/>
      <c r="CMC259" s="23"/>
      <c r="CMH259" s="26"/>
      <c r="CML259" s="23"/>
      <c r="CMQ259" s="26"/>
      <c r="CMU259" s="23"/>
      <c r="CMZ259" s="26"/>
      <c r="CND259" s="23"/>
      <c r="CNI259" s="26"/>
      <c r="CNM259" s="23"/>
      <c r="CNR259" s="26"/>
      <c r="CNV259" s="23"/>
      <c r="COA259" s="26"/>
      <c r="COE259" s="23"/>
      <c r="COJ259" s="26"/>
      <c r="CON259" s="23"/>
      <c r="COS259" s="26"/>
      <c r="COW259" s="23"/>
      <c r="CPB259" s="26"/>
      <c r="CPF259" s="23"/>
      <c r="CPK259" s="26"/>
      <c r="CPO259" s="23"/>
      <c r="CPT259" s="26"/>
      <c r="CPX259" s="23"/>
      <c r="CQC259" s="26"/>
      <c r="CQG259" s="23"/>
      <c r="CQL259" s="26"/>
      <c r="CQP259" s="23"/>
      <c r="CQU259" s="26"/>
      <c r="CQY259" s="23"/>
      <c r="CRD259" s="26"/>
      <c r="CRH259" s="23"/>
      <c r="CRM259" s="26"/>
      <c r="CRQ259" s="23"/>
      <c r="CRV259" s="26"/>
      <c r="CRZ259" s="23"/>
      <c r="CSE259" s="26"/>
      <c r="CSI259" s="23"/>
      <c r="CSN259" s="26"/>
      <c r="CSR259" s="23"/>
      <c r="CSW259" s="26"/>
      <c r="CTA259" s="23"/>
      <c r="CTF259" s="26"/>
      <c r="CTJ259" s="23"/>
      <c r="CTO259" s="26"/>
      <c r="CTS259" s="23"/>
      <c r="CTX259" s="26"/>
      <c r="CUB259" s="23"/>
      <c r="CUG259" s="26"/>
      <c r="CUK259" s="23"/>
      <c r="CUP259" s="26"/>
      <c r="CUT259" s="23"/>
      <c r="CUY259" s="26"/>
      <c r="CVC259" s="23"/>
      <c r="CVH259" s="26"/>
      <c r="CVL259" s="23"/>
      <c r="CVQ259" s="26"/>
      <c r="CVU259" s="23"/>
      <c r="CVZ259" s="26"/>
      <c r="CWD259" s="23"/>
      <c r="CWI259" s="26"/>
      <c r="CWM259" s="23"/>
      <c r="CWR259" s="26"/>
      <c r="CWV259" s="23"/>
      <c r="CXA259" s="26"/>
      <c r="CXE259" s="23"/>
      <c r="CXJ259" s="26"/>
      <c r="CXN259" s="23"/>
      <c r="CXS259" s="26"/>
      <c r="CXW259" s="23"/>
      <c r="CYB259" s="26"/>
      <c r="CYF259" s="23"/>
      <c r="CYK259" s="26"/>
      <c r="CYO259" s="23"/>
      <c r="CYT259" s="26"/>
      <c r="CYX259" s="23"/>
      <c r="CZC259" s="26"/>
      <c r="CZG259" s="23"/>
      <c r="CZL259" s="26"/>
      <c r="CZP259" s="23"/>
      <c r="CZU259" s="26"/>
      <c r="CZY259" s="23"/>
      <c r="DAD259" s="26"/>
      <c r="DAH259" s="23"/>
      <c r="DAM259" s="26"/>
      <c r="DAQ259" s="23"/>
      <c r="DAV259" s="26"/>
      <c r="DAZ259" s="23"/>
      <c r="DBE259" s="26"/>
      <c r="DBI259" s="23"/>
      <c r="DBN259" s="26"/>
      <c r="DBR259" s="23"/>
      <c r="DBW259" s="26"/>
      <c r="DCA259" s="23"/>
      <c r="DCF259" s="26"/>
      <c r="DCJ259" s="23"/>
      <c r="DCO259" s="26"/>
      <c r="DCS259" s="23"/>
      <c r="DCX259" s="26"/>
      <c r="DDB259" s="23"/>
      <c r="DDG259" s="26"/>
      <c r="DDK259" s="23"/>
      <c r="DDP259" s="26"/>
      <c r="DDT259" s="23"/>
      <c r="DDY259" s="26"/>
      <c r="DEC259" s="23"/>
      <c r="DEH259" s="26"/>
      <c r="DEL259" s="23"/>
      <c r="DEQ259" s="26"/>
      <c r="DEU259" s="23"/>
      <c r="DEZ259" s="26"/>
      <c r="DFD259" s="23"/>
      <c r="DFI259" s="26"/>
      <c r="DFM259" s="23"/>
      <c r="DFR259" s="26"/>
      <c r="DFV259" s="23"/>
      <c r="DGA259" s="26"/>
      <c r="DGE259" s="23"/>
      <c r="DGJ259" s="26"/>
      <c r="DGN259" s="23"/>
      <c r="DGS259" s="26"/>
      <c r="DGW259" s="23"/>
      <c r="DHB259" s="26"/>
      <c r="DHF259" s="23"/>
      <c r="DHK259" s="26"/>
      <c r="DHO259" s="23"/>
      <c r="DHT259" s="26"/>
      <c r="DHX259" s="23"/>
      <c r="DIC259" s="26"/>
      <c r="DIG259" s="23"/>
      <c r="DIL259" s="26"/>
      <c r="DIP259" s="23"/>
      <c r="DIU259" s="26"/>
      <c r="DIY259" s="23"/>
      <c r="DJD259" s="26"/>
      <c r="DJH259" s="23"/>
      <c r="DJM259" s="26"/>
      <c r="DJQ259" s="23"/>
      <c r="DJV259" s="26"/>
      <c r="DJZ259" s="23"/>
      <c r="DKE259" s="26"/>
      <c r="DKI259" s="23"/>
      <c r="DKN259" s="26"/>
      <c r="DKR259" s="23"/>
      <c r="DKW259" s="26"/>
      <c r="DLA259" s="23"/>
      <c r="DLF259" s="26"/>
      <c r="DLJ259" s="23"/>
      <c r="DLO259" s="26"/>
      <c r="DLS259" s="23"/>
      <c r="DLX259" s="26"/>
      <c r="DMB259" s="23"/>
      <c r="DMG259" s="26"/>
      <c r="DMK259" s="23"/>
      <c r="DMP259" s="26"/>
      <c r="DMT259" s="23"/>
      <c r="DMY259" s="26"/>
      <c r="DNC259" s="23"/>
      <c r="DNH259" s="26"/>
      <c r="DNL259" s="23"/>
      <c r="DNQ259" s="26"/>
      <c r="DNU259" s="23"/>
      <c r="DNZ259" s="26"/>
      <c r="DOD259" s="23"/>
      <c r="DOI259" s="26"/>
      <c r="DOM259" s="23"/>
      <c r="DOR259" s="26"/>
      <c r="DOV259" s="23"/>
      <c r="DPA259" s="26"/>
      <c r="DPE259" s="23"/>
      <c r="DPJ259" s="26"/>
      <c r="DPN259" s="23"/>
      <c r="DPS259" s="26"/>
      <c r="DPW259" s="23"/>
      <c r="DQB259" s="26"/>
      <c r="DQF259" s="23"/>
      <c r="DQK259" s="26"/>
      <c r="DQO259" s="23"/>
      <c r="DQT259" s="26"/>
      <c r="DQX259" s="23"/>
      <c r="DRC259" s="26"/>
      <c r="DRG259" s="23"/>
      <c r="DRL259" s="26"/>
      <c r="DRP259" s="23"/>
      <c r="DRU259" s="26"/>
      <c r="DRY259" s="23"/>
      <c r="DSD259" s="26"/>
      <c r="DSH259" s="23"/>
      <c r="DSM259" s="26"/>
      <c r="DSQ259" s="23"/>
      <c r="DSV259" s="26"/>
      <c r="DSZ259" s="23"/>
      <c r="DTE259" s="26"/>
      <c r="DTI259" s="23"/>
      <c r="DTN259" s="26"/>
      <c r="DTR259" s="23"/>
      <c r="DTW259" s="26"/>
      <c r="DUA259" s="23"/>
      <c r="DUF259" s="26"/>
      <c r="DUJ259" s="23"/>
      <c r="DUO259" s="26"/>
      <c r="DUS259" s="23"/>
      <c r="DUX259" s="26"/>
      <c r="DVB259" s="23"/>
      <c r="DVG259" s="26"/>
      <c r="DVK259" s="23"/>
      <c r="DVP259" s="26"/>
      <c r="DVT259" s="23"/>
      <c r="DVY259" s="26"/>
      <c r="DWC259" s="23"/>
      <c r="DWH259" s="26"/>
      <c r="DWL259" s="23"/>
      <c r="DWQ259" s="26"/>
      <c r="DWU259" s="23"/>
      <c r="DWZ259" s="26"/>
      <c r="DXD259" s="23"/>
      <c r="DXI259" s="26"/>
      <c r="DXM259" s="23"/>
      <c r="DXR259" s="26"/>
      <c r="DXV259" s="23"/>
      <c r="DYA259" s="26"/>
      <c r="DYE259" s="23"/>
      <c r="DYJ259" s="26"/>
      <c r="DYN259" s="23"/>
      <c r="DYS259" s="26"/>
      <c r="DYW259" s="23"/>
      <c r="DZB259" s="26"/>
      <c r="DZF259" s="23"/>
      <c r="DZK259" s="26"/>
      <c r="DZO259" s="23"/>
      <c r="DZT259" s="26"/>
      <c r="DZX259" s="23"/>
      <c r="EAC259" s="26"/>
      <c r="EAG259" s="23"/>
      <c r="EAL259" s="26"/>
      <c r="EAP259" s="23"/>
      <c r="EAU259" s="26"/>
      <c r="EAY259" s="23"/>
      <c r="EBD259" s="26"/>
      <c r="EBH259" s="23"/>
      <c r="EBM259" s="26"/>
      <c r="EBQ259" s="23"/>
      <c r="EBV259" s="26"/>
      <c r="EBZ259" s="23"/>
      <c r="ECE259" s="26"/>
      <c r="ECI259" s="23"/>
      <c r="ECN259" s="26"/>
      <c r="ECR259" s="23"/>
      <c r="ECW259" s="26"/>
      <c r="EDA259" s="23"/>
      <c r="EDF259" s="26"/>
      <c r="EDJ259" s="23"/>
      <c r="EDO259" s="26"/>
      <c r="EDS259" s="23"/>
      <c r="EDX259" s="26"/>
      <c r="EEB259" s="23"/>
      <c r="EEG259" s="26"/>
      <c r="EEK259" s="23"/>
      <c r="EEP259" s="26"/>
      <c r="EET259" s="23"/>
      <c r="EEY259" s="26"/>
      <c r="EFC259" s="23"/>
      <c r="EFH259" s="26"/>
      <c r="EFL259" s="23"/>
      <c r="EFQ259" s="26"/>
      <c r="EFU259" s="23"/>
      <c r="EFZ259" s="26"/>
      <c r="EGD259" s="23"/>
      <c r="EGI259" s="26"/>
      <c r="EGM259" s="23"/>
      <c r="EGR259" s="26"/>
      <c r="EGV259" s="23"/>
      <c r="EHA259" s="26"/>
      <c r="EHE259" s="23"/>
      <c r="EHJ259" s="26"/>
      <c r="EHN259" s="23"/>
      <c r="EHS259" s="26"/>
      <c r="EHW259" s="23"/>
      <c r="EIB259" s="26"/>
      <c r="EIF259" s="23"/>
      <c r="EIK259" s="26"/>
      <c r="EIO259" s="23"/>
      <c r="EIT259" s="26"/>
      <c r="EIX259" s="23"/>
      <c r="EJC259" s="26"/>
      <c r="EJG259" s="23"/>
      <c r="EJL259" s="26"/>
      <c r="EJP259" s="23"/>
      <c r="EJU259" s="26"/>
      <c r="EJY259" s="23"/>
      <c r="EKD259" s="26"/>
      <c r="EKH259" s="23"/>
      <c r="EKM259" s="26"/>
      <c r="EKQ259" s="23"/>
      <c r="EKV259" s="26"/>
      <c r="EKZ259" s="23"/>
      <c r="ELE259" s="26"/>
      <c r="ELI259" s="23"/>
      <c r="ELN259" s="26"/>
      <c r="ELR259" s="23"/>
      <c r="ELW259" s="26"/>
      <c r="EMA259" s="23"/>
      <c r="EMF259" s="26"/>
      <c r="EMJ259" s="23"/>
      <c r="EMO259" s="26"/>
      <c r="EMS259" s="23"/>
      <c r="EMX259" s="26"/>
      <c r="ENB259" s="23"/>
      <c r="ENG259" s="26"/>
      <c r="ENK259" s="23"/>
      <c r="ENP259" s="26"/>
      <c r="ENT259" s="23"/>
      <c r="ENY259" s="26"/>
      <c r="EOC259" s="23"/>
      <c r="EOH259" s="26"/>
      <c r="EOL259" s="23"/>
      <c r="EOQ259" s="26"/>
      <c r="EOU259" s="23"/>
      <c r="EOZ259" s="26"/>
      <c r="EPD259" s="23"/>
      <c r="EPI259" s="26"/>
      <c r="EPM259" s="23"/>
      <c r="EPR259" s="26"/>
      <c r="EPV259" s="23"/>
      <c r="EQA259" s="26"/>
      <c r="EQE259" s="23"/>
      <c r="EQJ259" s="26"/>
      <c r="EQN259" s="23"/>
      <c r="EQS259" s="26"/>
      <c r="EQW259" s="23"/>
      <c r="ERB259" s="26"/>
      <c r="ERF259" s="23"/>
      <c r="ERK259" s="26"/>
      <c r="ERO259" s="23"/>
      <c r="ERT259" s="26"/>
      <c r="ERX259" s="23"/>
      <c r="ESC259" s="26"/>
      <c r="ESG259" s="23"/>
      <c r="ESL259" s="26"/>
      <c r="ESP259" s="23"/>
      <c r="ESU259" s="26"/>
      <c r="ESY259" s="23"/>
      <c r="ETD259" s="26"/>
      <c r="ETH259" s="23"/>
      <c r="ETM259" s="26"/>
      <c r="ETQ259" s="23"/>
      <c r="ETV259" s="26"/>
      <c r="ETZ259" s="23"/>
      <c r="EUE259" s="26"/>
      <c r="EUI259" s="23"/>
      <c r="EUN259" s="26"/>
      <c r="EUR259" s="23"/>
      <c r="EUW259" s="26"/>
      <c r="EVA259" s="23"/>
      <c r="EVF259" s="26"/>
      <c r="EVJ259" s="23"/>
      <c r="EVO259" s="26"/>
      <c r="EVS259" s="23"/>
      <c r="EVX259" s="26"/>
      <c r="EWB259" s="23"/>
      <c r="EWG259" s="26"/>
      <c r="EWK259" s="23"/>
      <c r="EWP259" s="26"/>
      <c r="EWT259" s="23"/>
      <c r="EWY259" s="26"/>
      <c r="EXC259" s="23"/>
      <c r="EXH259" s="26"/>
      <c r="EXL259" s="23"/>
      <c r="EXQ259" s="26"/>
      <c r="EXU259" s="23"/>
      <c r="EXZ259" s="26"/>
      <c r="EYD259" s="23"/>
      <c r="EYI259" s="26"/>
      <c r="EYM259" s="23"/>
      <c r="EYR259" s="26"/>
      <c r="EYV259" s="23"/>
      <c r="EZA259" s="26"/>
      <c r="EZE259" s="23"/>
      <c r="EZJ259" s="26"/>
      <c r="EZN259" s="23"/>
      <c r="EZS259" s="26"/>
      <c r="EZW259" s="23"/>
      <c r="FAB259" s="26"/>
      <c r="FAF259" s="23"/>
      <c r="FAK259" s="26"/>
      <c r="FAO259" s="23"/>
      <c r="FAT259" s="26"/>
      <c r="FAX259" s="23"/>
      <c r="FBC259" s="26"/>
      <c r="FBG259" s="23"/>
      <c r="FBL259" s="26"/>
      <c r="FBP259" s="23"/>
      <c r="FBU259" s="26"/>
      <c r="FBY259" s="23"/>
      <c r="FCD259" s="26"/>
      <c r="FCH259" s="23"/>
      <c r="FCM259" s="26"/>
      <c r="FCQ259" s="23"/>
      <c r="FCV259" s="26"/>
      <c r="FCZ259" s="23"/>
      <c r="FDE259" s="26"/>
      <c r="FDI259" s="23"/>
      <c r="FDN259" s="26"/>
      <c r="FDR259" s="23"/>
      <c r="FDW259" s="26"/>
      <c r="FEA259" s="23"/>
      <c r="FEF259" s="26"/>
      <c r="FEJ259" s="23"/>
      <c r="FEO259" s="26"/>
      <c r="FES259" s="23"/>
      <c r="FEX259" s="26"/>
      <c r="FFB259" s="23"/>
      <c r="FFG259" s="26"/>
      <c r="FFK259" s="23"/>
      <c r="FFP259" s="26"/>
      <c r="FFT259" s="23"/>
      <c r="FFY259" s="26"/>
      <c r="FGC259" s="23"/>
      <c r="FGH259" s="26"/>
      <c r="FGL259" s="23"/>
      <c r="FGQ259" s="26"/>
      <c r="FGU259" s="23"/>
      <c r="FGZ259" s="26"/>
      <c r="FHD259" s="23"/>
      <c r="FHI259" s="26"/>
      <c r="FHM259" s="23"/>
      <c r="FHR259" s="26"/>
      <c r="FHV259" s="23"/>
      <c r="FIA259" s="26"/>
      <c r="FIE259" s="23"/>
      <c r="FIJ259" s="26"/>
      <c r="FIN259" s="23"/>
      <c r="FIS259" s="26"/>
      <c r="FIW259" s="23"/>
      <c r="FJB259" s="26"/>
      <c r="FJF259" s="23"/>
      <c r="FJK259" s="26"/>
      <c r="FJO259" s="23"/>
      <c r="FJT259" s="26"/>
      <c r="FJX259" s="23"/>
      <c r="FKC259" s="26"/>
      <c r="FKG259" s="23"/>
      <c r="FKL259" s="26"/>
      <c r="FKP259" s="23"/>
      <c r="FKU259" s="26"/>
      <c r="FKY259" s="23"/>
      <c r="FLD259" s="26"/>
      <c r="FLH259" s="23"/>
      <c r="FLM259" s="26"/>
      <c r="FLQ259" s="23"/>
      <c r="FLV259" s="26"/>
      <c r="FLZ259" s="23"/>
      <c r="FME259" s="26"/>
      <c r="FMI259" s="23"/>
      <c r="FMN259" s="26"/>
      <c r="FMR259" s="23"/>
      <c r="FMW259" s="26"/>
      <c r="FNA259" s="23"/>
      <c r="FNF259" s="26"/>
      <c r="FNJ259" s="23"/>
      <c r="FNO259" s="26"/>
      <c r="FNS259" s="23"/>
      <c r="FNX259" s="26"/>
      <c r="FOB259" s="23"/>
      <c r="FOG259" s="26"/>
      <c r="FOK259" s="23"/>
      <c r="FOP259" s="26"/>
      <c r="FOT259" s="23"/>
      <c r="FOY259" s="26"/>
      <c r="FPC259" s="23"/>
      <c r="FPH259" s="26"/>
      <c r="FPL259" s="23"/>
      <c r="FPQ259" s="26"/>
      <c r="FPU259" s="23"/>
      <c r="FPZ259" s="26"/>
      <c r="FQD259" s="23"/>
      <c r="FQI259" s="26"/>
      <c r="FQM259" s="23"/>
      <c r="FQR259" s="26"/>
      <c r="FQV259" s="23"/>
      <c r="FRA259" s="26"/>
      <c r="FRE259" s="23"/>
      <c r="FRJ259" s="26"/>
      <c r="FRN259" s="23"/>
      <c r="FRS259" s="26"/>
      <c r="FRW259" s="23"/>
      <c r="FSB259" s="26"/>
      <c r="FSF259" s="23"/>
      <c r="FSK259" s="26"/>
      <c r="FSO259" s="23"/>
      <c r="FST259" s="26"/>
      <c r="FSX259" s="23"/>
      <c r="FTC259" s="26"/>
      <c r="FTG259" s="23"/>
      <c r="FTL259" s="26"/>
      <c r="FTP259" s="23"/>
      <c r="FTU259" s="26"/>
      <c r="FTY259" s="23"/>
      <c r="FUD259" s="26"/>
      <c r="FUH259" s="23"/>
      <c r="FUM259" s="26"/>
      <c r="FUQ259" s="23"/>
      <c r="FUV259" s="26"/>
      <c r="FUZ259" s="23"/>
      <c r="FVE259" s="26"/>
      <c r="FVI259" s="23"/>
      <c r="FVN259" s="26"/>
      <c r="FVR259" s="23"/>
      <c r="FVW259" s="26"/>
      <c r="FWA259" s="23"/>
      <c r="FWF259" s="26"/>
      <c r="FWJ259" s="23"/>
      <c r="FWO259" s="26"/>
      <c r="FWS259" s="23"/>
      <c r="FWX259" s="26"/>
      <c r="FXB259" s="23"/>
      <c r="FXG259" s="26"/>
      <c r="FXK259" s="23"/>
      <c r="FXP259" s="26"/>
      <c r="FXT259" s="23"/>
      <c r="FXY259" s="26"/>
      <c r="FYC259" s="23"/>
      <c r="FYH259" s="26"/>
      <c r="FYL259" s="23"/>
      <c r="FYQ259" s="26"/>
      <c r="FYU259" s="23"/>
      <c r="FYZ259" s="26"/>
      <c r="FZD259" s="23"/>
      <c r="FZI259" s="26"/>
      <c r="FZM259" s="23"/>
      <c r="FZR259" s="26"/>
      <c r="FZV259" s="23"/>
      <c r="GAA259" s="26"/>
      <c r="GAE259" s="23"/>
      <c r="GAJ259" s="26"/>
      <c r="GAN259" s="23"/>
      <c r="GAS259" s="26"/>
      <c r="GAW259" s="23"/>
      <c r="GBB259" s="26"/>
      <c r="GBF259" s="23"/>
      <c r="GBK259" s="26"/>
      <c r="GBO259" s="23"/>
      <c r="GBT259" s="26"/>
      <c r="GBX259" s="23"/>
      <c r="GCC259" s="26"/>
      <c r="GCG259" s="23"/>
      <c r="GCL259" s="26"/>
      <c r="GCP259" s="23"/>
      <c r="GCU259" s="26"/>
      <c r="GCY259" s="23"/>
      <c r="GDD259" s="26"/>
      <c r="GDH259" s="23"/>
      <c r="GDM259" s="26"/>
      <c r="GDQ259" s="23"/>
      <c r="GDV259" s="26"/>
      <c r="GDZ259" s="23"/>
      <c r="GEE259" s="26"/>
      <c r="GEI259" s="23"/>
      <c r="GEN259" s="26"/>
      <c r="GER259" s="23"/>
      <c r="GEW259" s="26"/>
      <c r="GFA259" s="23"/>
      <c r="GFF259" s="26"/>
      <c r="GFJ259" s="23"/>
      <c r="GFO259" s="26"/>
      <c r="GFS259" s="23"/>
      <c r="GFX259" s="26"/>
      <c r="GGB259" s="23"/>
      <c r="GGG259" s="26"/>
      <c r="GGK259" s="23"/>
      <c r="GGP259" s="26"/>
      <c r="GGT259" s="23"/>
      <c r="GGY259" s="26"/>
      <c r="GHC259" s="23"/>
      <c r="GHH259" s="26"/>
      <c r="GHL259" s="23"/>
      <c r="GHQ259" s="26"/>
      <c r="GHU259" s="23"/>
      <c r="GHZ259" s="26"/>
      <c r="GID259" s="23"/>
      <c r="GII259" s="26"/>
      <c r="GIM259" s="23"/>
      <c r="GIR259" s="26"/>
      <c r="GIV259" s="23"/>
      <c r="GJA259" s="26"/>
      <c r="GJE259" s="23"/>
      <c r="GJJ259" s="26"/>
      <c r="GJN259" s="23"/>
      <c r="GJS259" s="26"/>
      <c r="GJW259" s="23"/>
      <c r="GKB259" s="26"/>
      <c r="GKF259" s="23"/>
      <c r="GKK259" s="26"/>
      <c r="GKO259" s="23"/>
      <c r="GKT259" s="26"/>
      <c r="GKX259" s="23"/>
      <c r="GLC259" s="26"/>
      <c r="GLG259" s="23"/>
      <c r="GLL259" s="26"/>
      <c r="GLP259" s="23"/>
      <c r="GLU259" s="26"/>
      <c r="GLY259" s="23"/>
      <c r="GMD259" s="26"/>
      <c r="GMH259" s="23"/>
      <c r="GMM259" s="26"/>
      <c r="GMQ259" s="23"/>
      <c r="GMV259" s="26"/>
      <c r="GMZ259" s="23"/>
      <c r="GNE259" s="26"/>
      <c r="GNI259" s="23"/>
      <c r="GNN259" s="26"/>
      <c r="GNR259" s="23"/>
      <c r="GNW259" s="26"/>
      <c r="GOA259" s="23"/>
      <c r="GOF259" s="26"/>
      <c r="GOJ259" s="23"/>
      <c r="GOO259" s="26"/>
      <c r="GOS259" s="23"/>
      <c r="GOX259" s="26"/>
      <c r="GPB259" s="23"/>
      <c r="GPG259" s="26"/>
      <c r="GPK259" s="23"/>
      <c r="GPP259" s="26"/>
      <c r="GPT259" s="23"/>
      <c r="GPY259" s="26"/>
      <c r="GQC259" s="23"/>
      <c r="GQH259" s="26"/>
      <c r="GQL259" s="23"/>
      <c r="GQQ259" s="26"/>
      <c r="GQU259" s="23"/>
      <c r="GQZ259" s="26"/>
      <c r="GRD259" s="23"/>
      <c r="GRI259" s="26"/>
      <c r="GRM259" s="23"/>
      <c r="GRR259" s="26"/>
      <c r="GRV259" s="23"/>
      <c r="GSA259" s="26"/>
      <c r="GSE259" s="23"/>
      <c r="GSJ259" s="26"/>
      <c r="GSN259" s="23"/>
      <c r="GSS259" s="26"/>
      <c r="GSW259" s="23"/>
      <c r="GTB259" s="26"/>
      <c r="GTF259" s="23"/>
      <c r="GTK259" s="26"/>
      <c r="GTO259" s="23"/>
      <c r="GTT259" s="26"/>
      <c r="GTX259" s="23"/>
      <c r="GUC259" s="26"/>
      <c r="GUG259" s="23"/>
      <c r="GUL259" s="26"/>
      <c r="GUP259" s="23"/>
      <c r="GUU259" s="26"/>
      <c r="GUY259" s="23"/>
      <c r="GVD259" s="26"/>
      <c r="GVH259" s="23"/>
      <c r="GVM259" s="26"/>
      <c r="GVQ259" s="23"/>
      <c r="GVV259" s="26"/>
      <c r="GVZ259" s="23"/>
      <c r="GWE259" s="26"/>
      <c r="GWI259" s="23"/>
      <c r="GWN259" s="26"/>
      <c r="GWR259" s="23"/>
      <c r="GWW259" s="26"/>
      <c r="GXA259" s="23"/>
      <c r="GXF259" s="26"/>
      <c r="GXJ259" s="23"/>
      <c r="GXO259" s="26"/>
      <c r="GXS259" s="23"/>
      <c r="GXX259" s="26"/>
      <c r="GYB259" s="23"/>
      <c r="GYG259" s="26"/>
      <c r="GYK259" s="23"/>
      <c r="GYP259" s="26"/>
      <c r="GYT259" s="23"/>
      <c r="GYY259" s="26"/>
      <c r="GZC259" s="23"/>
      <c r="GZH259" s="26"/>
      <c r="GZL259" s="23"/>
      <c r="GZQ259" s="26"/>
      <c r="GZU259" s="23"/>
      <c r="GZZ259" s="26"/>
      <c r="HAD259" s="23"/>
      <c r="HAI259" s="26"/>
      <c r="HAM259" s="23"/>
      <c r="HAR259" s="26"/>
      <c r="HAV259" s="23"/>
      <c r="HBA259" s="26"/>
      <c r="HBE259" s="23"/>
      <c r="HBJ259" s="26"/>
      <c r="HBN259" s="23"/>
      <c r="HBS259" s="26"/>
      <c r="HBW259" s="23"/>
      <c r="HCB259" s="26"/>
      <c r="HCF259" s="23"/>
      <c r="HCK259" s="26"/>
      <c r="HCO259" s="23"/>
      <c r="HCT259" s="26"/>
      <c r="HCX259" s="23"/>
      <c r="HDC259" s="26"/>
      <c r="HDG259" s="23"/>
      <c r="HDL259" s="26"/>
      <c r="HDP259" s="23"/>
      <c r="HDU259" s="26"/>
      <c r="HDY259" s="23"/>
      <c r="HED259" s="26"/>
      <c r="HEH259" s="23"/>
      <c r="HEM259" s="26"/>
      <c r="HEQ259" s="23"/>
      <c r="HEV259" s="26"/>
      <c r="HEZ259" s="23"/>
      <c r="HFE259" s="26"/>
      <c r="HFI259" s="23"/>
      <c r="HFN259" s="26"/>
      <c r="HFR259" s="23"/>
      <c r="HFW259" s="26"/>
      <c r="HGA259" s="23"/>
      <c r="HGF259" s="26"/>
      <c r="HGJ259" s="23"/>
      <c r="HGO259" s="26"/>
      <c r="HGS259" s="23"/>
      <c r="HGX259" s="26"/>
      <c r="HHB259" s="23"/>
      <c r="HHG259" s="26"/>
      <c r="HHK259" s="23"/>
      <c r="HHP259" s="26"/>
      <c r="HHT259" s="23"/>
      <c r="HHY259" s="26"/>
      <c r="HIC259" s="23"/>
      <c r="HIH259" s="26"/>
      <c r="HIL259" s="23"/>
      <c r="HIQ259" s="26"/>
      <c r="HIU259" s="23"/>
      <c r="HIZ259" s="26"/>
      <c r="HJD259" s="23"/>
      <c r="HJI259" s="26"/>
      <c r="HJM259" s="23"/>
      <c r="HJR259" s="26"/>
      <c r="HJV259" s="23"/>
      <c r="HKA259" s="26"/>
      <c r="HKE259" s="23"/>
      <c r="HKJ259" s="26"/>
      <c r="HKN259" s="23"/>
      <c r="HKS259" s="26"/>
      <c r="HKW259" s="23"/>
      <c r="HLB259" s="26"/>
      <c r="HLF259" s="23"/>
      <c r="HLK259" s="26"/>
      <c r="HLO259" s="23"/>
      <c r="HLT259" s="26"/>
      <c r="HLX259" s="23"/>
      <c r="HMC259" s="26"/>
      <c r="HMG259" s="23"/>
      <c r="HML259" s="26"/>
      <c r="HMP259" s="23"/>
      <c r="HMU259" s="26"/>
      <c r="HMY259" s="23"/>
      <c r="HND259" s="26"/>
      <c r="HNH259" s="23"/>
      <c r="HNM259" s="26"/>
      <c r="HNQ259" s="23"/>
      <c r="HNV259" s="26"/>
      <c r="HNZ259" s="23"/>
      <c r="HOE259" s="26"/>
      <c r="HOI259" s="23"/>
      <c r="HON259" s="26"/>
      <c r="HOR259" s="23"/>
      <c r="HOW259" s="26"/>
      <c r="HPA259" s="23"/>
      <c r="HPF259" s="26"/>
      <c r="HPJ259" s="23"/>
      <c r="HPO259" s="26"/>
      <c r="HPS259" s="23"/>
      <c r="HPX259" s="26"/>
      <c r="HQB259" s="23"/>
      <c r="HQG259" s="26"/>
      <c r="HQK259" s="23"/>
      <c r="HQP259" s="26"/>
      <c r="HQT259" s="23"/>
      <c r="HQY259" s="26"/>
      <c r="HRC259" s="23"/>
      <c r="HRH259" s="26"/>
      <c r="HRL259" s="23"/>
      <c r="HRQ259" s="26"/>
      <c r="HRU259" s="23"/>
      <c r="HRZ259" s="26"/>
      <c r="HSD259" s="23"/>
      <c r="HSI259" s="26"/>
      <c r="HSM259" s="23"/>
      <c r="HSR259" s="26"/>
      <c r="HSV259" s="23"/>
      <c r="HTA259" s="26"/>
      <c r="HTE259" s="23"/>
      <c r="HTJ259" s="26"/>
      <c r="HTN259" s="23"/>
      <c r="HTS259" s="26"/>
      <c r="HTW259" s="23"/>
      <c r="HUB259" s="26"/>
      <c r="HUF259" s="23"/>
      <c r="HUK259" s="26"/>
      <c r="HUO259" s="23"/>
      <c r="HUT259" s="26"/>
      <c r="HUX259" s="23"/>
      <c r="HVC259" s="26"/>
      <c r="HVG259" s="23"/>
      <c r="HVL259" s="26"/>
      <c r="HVP259" s="23"/>
      <c r="HVU259" s="26"/>
      <c r="HVY259" s="23"/>
      <c r="HWD259" s="26"/>
      <c r="HWH259" s="23"/>
      <c r="HWM259" s="26"/>
      <c r="HWQ259" s="23"/>
      <c r="HWV259" s="26"/>
      <c r="HWZ259" s="23"/>
      <c r="HXE259" s="26"/>
      <c r="HXI259" s="23"/>
      <c r="HXN259" s="26"/>
      <c r="HXR259" s="23"/>
      <c r="HXW259" s="26"/>
      <c r="HYA259" s="23"/>
      <c r="HYF259" s="26"/>
      <c r="HYJ259" s="23"/>
      <c r="HYO259" s="26"/>
      <c r="HYS259" s="23"/>
      <c r="HYX259" s="26"/>
      <c r="HZB259" s="23"/>
      <c r="HZG259" s="26"/>
      <c r="HZK259" s="23"/>
      <c r="HZP259" s="26"/>
      <c r="HZT259" s="23"/>
      <c r="HZY259" s="26"/>
      <c r="IAC259" s="23"/>
      <c r="IAH259" s="26"/>
      <c r="IAL259" s="23"/>
      <c r="IAQ259" s="26"/>
      <c r="IAU259" s="23"/>
      <c r="IAZ259" s="26"/>
      <c r="IBD259" s="23"/>
      <c r="IBI259" s="26"/>
      <c r="IBM259" s="23"/>
      <c r="IBR259" s="26"/>
      <c r="IBV259" s="23"/>
      <c r="ICA259" s="26"/>
      <c r="ICE259" s="23"/>
      <c r="ICJ259" s="26"/>
      <c r="ICN259" s="23"/>
      <c r="ICS259" s="26"/>
      <c r="ICW259" s="23"/>
      <c r="IDB259" s="26"/>
      <c r="IDF259" s="23"/>
      <c r="IDK259" s="26"/>
      <c r="IDO259" s="23"/>
      <c r="IDT259" s="26"/>
      <c r="IDX259" s="23"/>
      <c r="IEC259" s="26"/>
      <c r="IEG259" s="23"/>
      <c r="IEL259" s="26"/>
      <c r="IEP259" s="23"/>
      <c r="IEU259" s="26"/>
      <c r="IEY259" s="23"/>
      <c r="IFD259" s="26"/>
      <c r="IFH259" s="23"/>
      <c r="IFM259" s="26"/>
      <c r="IFQ259" s="23"/>
      <c r="IFV259" s="26"/>
      <c r="IFZ259" s="23"/>
      <c r="IGE259" s="26"/>
      <c r="IGI259" s="23"/>
      <c r="IGN259" s="26"/>
      <c r="IGR259" s="23"/>
      <c r="IGW259" s="26"/>
      <c r="IHA259" s="23"/>
      <c r="IHF259" s="26"/>
      <c r="IHJ259" s="23"/>
      <c r="IHO259" s="26"/>
      <c r="IHS259" s="23"/>
      <c r="IHX259" s="26"/>
      <c r="IIB259" s="23"/>
      <c r="IIG259" s="26"/>
      <c r="IIK259" s="23"/>
      <c r="IIP259" s="26"/>
      <c r="IIT259" s="23"/>
      <c r="IIY259" s="26"/>
      <c r="IJC259" s="23"/>
      <c r="IJH259" s="26"/>
      <c r="IJL259" s="23"/>
      <c r="IJQ259" s="26"/>
      <c r="IJU259" s="23"/>
      <c r="IJZ259" s="26"/>
      <c r="IKD259" s="23"/>
      <c r="IKI259" s="26"/>
      <c r="IKM259" s="23"/>
      <c r="IKR259" s="26"/>
      <c r="IKV259" s="23"/>
      <c r="ILA259" s="26"/>
      <c r="ILE259" s="23"/>
      <c r="ILJ259" s="26"/>
      <c r="ILN259" s="23"/>
      <c r="ILS259" s="26"/>
      <c r="ILW259" s="23"/>
      <c r="IMB259" s="26"/>
      <c r="IMF259" s="23"/>
      <c r="IMK259" s="26"/>
      <c r="IMO259" s="23"/>
      <c r="IMT259" s="26"/>
      <c r="IMX259" s="23"/>
      <c r="INC259" s="26"/>
      <c r="ING259" s="23"/>
      <c r="INL259" s="26"/>
      <c r="INP259" s="23"/>
      <c r="INU259" s="26"/>
      <c r="INY259" s="23"/>
      <c r="IOD259" s="26"/>
      <c r="IOH259" s="23"/>
      <c r="IOM259" s="26"/>
      <c r="IOQ259" s="23"/>
      <c r="IOV259" s="26"/>
      <c r="IOZ259" s="23"/>
      <c r="IPE259" s="26"/>
      <c r="IPI259" s="23"/>
      <c r="IPN259" s="26"/>
      <c r="IPR259" s="23"/>
      <c r="IPW259" s="26"/>
      <c r="IQA259" s="23"/>
      <c r="IQF259" s="26"/>
      <c r="IQJ259" s="23"/>
      <c r="IQO259" s="26"/>
      <c r="IQS259" s="23"/>
      <c r="IQX259" s="26"/>
      <c r="IRB259" s="23"/>
      <c r="IRG259" s="26"/>
      <c r="IRK259" s="23"/>
      <c r="IRP259" s="26"/>
      <c r="IRT259" s="23"/>
      <c r="IRY259" s="26"/>
      <c r="ISC259" s="23"/>
      <c r="ISH259" s="26"/>
      <c r="ISL259" s="23"/>
      <c r="ISQ259" s="26"/>
      <c r="ISU259" s="23"/>
      <c r="ISZ259" s="26"/>
      <c r="ITD259" s="23"/>
      <c r="ITI259" s="26"/>
      <c r="ITM259" s="23"/>
      <c r="ITR259" s="26"/>
      <c r="ITV259" s="23"/>
      <c r="IUA259" s="26"/>
      <c r="IUE259" s="23"/>
      <c r="IUJ259" s="26"/>
      <c r="IUN259" s="23"/>
      <c r="IUS259" s="26"/>
      <c r="IUW259" s="23"/>
      <c r="IVB259" s="26"/>
      <c r="IVF259" s="23"/>
      <c r="IVK259" s="26"/>
      <c r="IVO259" s="23"/>
      <c r="IVT259" s="26"/>
      <c r="IVX259" s="23"/>
      <c r="IWC259" s="26"/>
      <c r="IWG259" s="23"/>
      <c r="IWL259" s="26"/>
      <c r="IWP259" s="23"/>
      <c r="IWU259" s="26"/>
      <c r="IWY259" s="23"/>
      <c r="IXD259" s="26"/>
      <c r="IXH259" s="23"/>
      <c r="IXM259" s="26"/>
      <c r="IXQ259" s="23"/>
      <c r="IXV259" s="26"/>
      <c r="IXZ259" s="23"/>
      <c r="IYE259" s="26"/>
      <c r="IYI259" s="23"/>
      <c r="IYN259" s="26"/>
      <c r="IYR259" s="23"/>
      <c r="IYW259" s="26"/>
      <c r="IZA259" s="23"/>
      <c r="IZF259" s="26"/>
      <c r="IZJ259" s="23"/>
      <c r="IZO259" s="26"/>
      <c r="IZS259" s="23"/>
      <c r="IZX259" s="26"/>
      <c r="JAB259" s="23"/>
      <c r="JAG259" s="26"/>
      <c r="JAK259" s="23"/>
      <c r="JAP259" s="26"/>
      <c r="JAT259" s="23"/>
      <c r="JAY259" s="26"/>
      <c r="JBC259" s="23"/>
      <c r="JBH259" s="26"/>
      <c r="JBL259" s="23"/>
      <c r="JBQ259" s="26"/>
      <c r="JBU259" s="23"/>
      <c r="JBZ259" s="26"/>
      <c r="JCD259" s="23"/>
      <c r="JCI259" s="26"/>
      <c r="JCM259" s="23"/>
      <c r="JCR259" s="26"/>
      <c r="JCV259" s="23"/>
      <c r="JDA259" s="26"/>
      <c r="JDE259" s="23"/>
      <c r="JDJ259" s="26"/>
      <c r="JDN259" s="23"/>
      <c r="JDS259" s="26"/>
      <c r="JDW259" s="23"/>
      <c r="JEB259" s="26"/>
      <c r="JEF259" s="23"/>
      <c r="JEK259" s="26"/>
      <c r="JEO259" s="23"/>
      <c r="JET259" s="26"/>
      <c r="JEX259" s="23"/>
      <c r="JFC259" s="26"/>
      <c r="JFG259" s="23"/>
      <c r="JFL259" s="26"/>
      <c r="JFP259" s="23"/>
      <c r="JFU259" s="26"/>
      <c r="JFY259" s="23"/>
      <c r="JGD259" s="26"/>
      <c r="JGH259" s="23"/>
      <c r="JGM259" s="26"/>
      <c r="JGQ259" s="23"/>
      <c r="JGV259" s="26"/>
      <c r="JGZ259" s="23"/>
      <c r="JHE259" s="26"/>
      <c r="JHI259" s="23"/>
      <c r="JHN259" s="26"/>
      <c r="JHR259" s="23"/>
      <c r="JHW259" s="26"/>
      <c r="JIA259" s="23"/>
      <c r="JIF259" s="26"/>
      <c r="JIJ259" s="23"/>
      <c r="JIO259" s="26"/>
      <c r="JIS259" s="23"/>
      <c r="JIX259" s="26"/>
      <c r="JJB259" s="23"/>
      <c r="JJG259" s="26"/>
      <c r="JJK259" s="23"/>
      <c r="JJP259" s="26"/>
      <c r="JJT259" s="23"/>
      <c r="JJY259" s="26"/>
      <c r="JKC259" s="23"/>
      <c r="JKH259" s="26"/>
      <c r="JKL259" s="23"/>
      <c r="JKQ259" s="26"/>
      <c r="JKU259" s="23"/>
      <c r="JKZ259" s="26"/>
      <c r="JLD259" s="23"/>
      <c r="JLI259" s="26"/>
      <c r="JLM259" s="23"/>
      <c r="JLR259" s="26"/>
      <c r="JLV259" s="23"/>
      <c r="JMA259" s="26"/>
      <c r="JME259" s="23"/>
      <c r="JMJ259" s="26"/>
      <c r="JMN259" s="23"/>
      <c r="JMS259" s="26"/>
      <c r="JMW259" s="23"/>
      <c r="JNB259" s="26"/>
      <c r="JNF259" s="23"/>
      <c r="JNK259" s="26"/>
      <c r="JNO259" s="23"/>
      <c r="JNT259" s="26"/>
      <c r="JNX259" s="23"/>
      <c r="JOC259" s="26"/>
      <c r="JOG259" s="23"/>
      <c r="JOL259" s="26"/>
      <c r="JOP259" s="23"/>
      <c r="JOU259" s="26"/>
      <c r="JOY259" s="23"/>
      <c r="JPD259" s="26"/>
      <c r="JPH259" s="23"/>
      <c r="JPM259" s="26"/>
      <c r="JPQ259" s="23"/>
      <c r="JPV259" s="26"/>
      <c r="JPZ259" s="23"/>
      <c r="JQE259" s="26"/>
      <c r="JQI259" s="23"/>
      <c r="JQN259" s="26"/>
      <c r="JQR259" s="23"/>
      <c r="JQW259" s="26"/>
      <c r="JRA259" s="23"/>
      <c r="JRF259" s="26"/>
      <c r="JRJ259" s="23"/>
      <c r="JRO259" s="26"/>
      <c r="JRS259" s="23"/>
      <c r="JRX259" s="26"/>
      <c r="JSB259" s="23"/>
      <c r="JSG259" s="26"/>
      <c r="JSK259" s="23"/>
      <c r="JSP259" s="26"/>
      <c r="JST259" s="23"/>
      <c r="JSY259" s="26"/>
      <c r="JTC259" s="23"/>
      <c r="JTH259" s="26"/>
      <c r="JTL259" s="23"/>
      <c r="JTQ259" s="26"/>
      <c r="JTU259" s="23"/>
      <c r="JTZ259" s="26"/>
      <c r="JUD259" s="23"/>
      <c r="JUI259" s="26"/>
      <c r="JUM259" s="23"/>
      <c r="JUR259" s="26"/>
      <c r="JUV259" s="23"/>
      <c r="JVA259" s="26"/>
      <c r="JVE259" s="23"/>
      <c r="JVJ259" s="26"/>
      <c r="JVN259" s="23"/>
      <c r="JVS259" s="26"/>
      <c r="JVW259" s="23"/>
      <c r="JWB259" s="26"/>
      <c r="JWF259" s="23"/>
      <c r="JWK259" s="26"/>
      <c r="JWO259" s="23"/>
      <c r="JWT259" s="26"/>
      <c r="JWX259" s="23"/>
      <c r="JXC259" s="26"/>
      <c r="JXG259" s="23"/>
      <c r="JXL259" s="26"/>
      <c r="JXP259" s="23"/>
      <c r="JXU259" s="26"/>
      <c r="JXY259" s="23"/>
      <c r="JYD259" s="26"/>
      <c r="JYH259" s="23"/>
      <c r="JYM259" s="26"/>
      <c r="JYQ259" s="23"/>
      <c r="JYV259" s="26"/>
      <c r="JYZ259" s="23"/>
      <c r="JZE259" s="26"/>
      <c r="JZI259" s="23"/>
      <c r="JZN259" s="26"/>
      <c r="JZR259" s="23"/>
      <c r="JZW259" s="26"/>
      <c r="KAA259" s="23"/>
      <c r="KAF259" s="26"/>
      <c r="KAJ259" s="23"/>
      <c r="KAO259" s="26"/>
      <c r="KAS259" s="23"/>
      <c r="KAX259" s="26"/>
      <c r="KBB259" s="23"/>
      <c r="KBG259" s="26"/>
      <c r="KBK259" s="23"/>
      <c r="KBP259" s="26"/>
      <c r="KBT259" s="23"/>
      <c r="KBY259" s="26"/>
      <c r="KCC259" s="23"/>
      <c r="KCH259" s="26"/>
      <c r="KCL259" s="23"/>
      <c r="KCQ259" s="26"/>
      <c r="KCU259" s="23"/>
      <c r="KCZ259" s="26"/>
      <c r="KDD259" s="23"/>
      <c r="KDI259" s="26"/>
      <c r="KDM259" s="23"/>
      <c r="KDR259" s="26"/>
      <c r="KDV259" s="23"/>
      <c r="KEA259" s="26"/>
      <c r="KEE259" s="23"/>
      <c r="KEJ259" s="26"/>
      <c r="KEN259" s="23"/>
      <c r="KES259" s="26"/>
      <c r="KEW259" s="23"/>
      <c r="KFB259" s="26"/>
      <c r="KFF259" s="23"/>
      <c r="KFK259" s="26"/>
      <c r="KFO259" s="23"/>
      <c r="KFT259" s="26"/>
      <c r="KFX259" s="23"/>
      <c r="KGC259" s="26"/>
      <c r="KGG259" s="23"/>
      <c r="KGL259" s="26"/>
      <c r="KGP259" s="23"/>
      <c r="KGU259" s="26"/>
      <c r="KGY259" s="23"/>
      <c r="KHD259" s="26"/>
      <c r="KHH259" s="23"/>
      <c r="KHM259" s="26"/>
      <c r="KHQ259" s="23"/>
      <c r="KHV259" s="26"/>
      <c r="KHZ259" s="23"/>
      <c r="KIE259" s="26"/>
      <c r="KII259" s="23"/>
      <c r="KIN259" s="26"/>
      <c r="KIR259" s="23"/>
      <c r="KIW259" s="26"/>
      <c r="KJA259" s="23"/>
      <c r="KJF259" s="26"/>
      <c r="KJJ259" s="23"/>
      <c r="KJO259" s="26"/>
      <c r="KJS259" s="23"/>
      <c r="KJX259" s="26"/>
      <c r="KKB259" s="23"/>
      <c r="KKG259" s="26"/>
      <c r="KKK259" s="23"/>
      <c r="KKP259" s="26"/>
      <c r="KKT259" s="23"/>
      <c r="KKY259" s="26"/>
      <c r="KLC259" s="23"/>
      <c r="KLH259" s="26"/>
      <c r="KLL259" s="23"/>
      <c r="KLQ259" s="26"/>
      <c r="KLU259" s="23"/>
      <c r="KLZ259" s="26"/>
      <c r="KMD259" s="23"/>
      <c r="KMI259" s="26"/>
      <c r="KMM259" s="23"/>
      <c r="KMR259" s="26"/>
      <c r="KMV259" s="23"/>
      <c r="KNA259" s="26"/>
      <c r="KNE259" s="23"/>
      <c r="KNJ259" s="26"/>
      <c r="KNN259" s="23"/>
      <c r="KNS259" s="26"/>
      <c r="KNW259" s="23"/>
      <c r="KOB259" s="26"/>
      <c r="KOF259" s="23"/>
      <c r="KOK259" s="26"/>
      <c r="KOO259" s="23"/>
      <c r="KOT259" s="26"/>
      <c r="KOX259" s="23"/>
      <c r="KPC259" s="26"/>
      <c r="KPG259" s="23"/>
      <c r="KPL259" s="26"/>
      <c r="KPP259" s="23"/>
      <c r="KPU259" s="26"/>
      <c r="KPY259" s="23"/>
      <c r="KQD259" s="26"/>
      <c r="KQH259" s="23"/>
      <c r="KQM259" s="26"/>
      <c r="KQQ259" s="23"/>
      <c r="KQV259" s="26"/>
      <c r="KQZ259" s="23"/>
      <c r="KRE259" s="26"/>
      <c r="KRI259" s="23"/>
      <c r="KRN259" s="26"/>
      <c r="KRR259" s="23"/>
      <c r="KRW259" s="26"/>
      <c r="KSA259" s="23"/>
      <c r="KSF259" s="26"/>
      <c r="KSJ259" s="23"/>
      <c r="KSO259" s="26"/>
      <c r="KSS259" s="23"/>
      <c r="KSX259" s="26"/>
      <c r="KTB259" s="23"/>
      <c r="KTG259" s="26"/>
      <c r="KTK259" s="23"/>
      <c r="KTP259" s="26"/>
      <c r="KTT259" s="23"/>
      <c r="KTY259" s="26"/>
      <c r="KUC259" s="23"/>
      <c r="KUH259" s="26"/>
      <c r="KUL259" s="23"/>
      <c r="KUQ259" s="26"/>
      <c r="KUU259" s="23"/>
      <c r="KUZ259" s="26"/>
      <c r="KVD259" s="23"/>
      <c r="KVI259" s="26"/>
      <c r="KVM259" s="23"/>
      <c r="KVR259" s="26"/>
      <c r="KVV259" s="23"/>
      <c r="KWA259" s="26"/>
      <c r="KWE259" s="23"/>
      <c r="KWJ259" s="26"/>
      <c r="KWN259" s="23"/>
      <c r="KWS259" s="26"/>
      <c r="KWW259" s="23"/>
      <c r="KXB259" s="26"/>
      <c r="KXF259" s="23"/>
      <c r="KXK259" s="26"/>
      <c r="KXO259" s="23"/>
      <c r="KXT259" s="26"/>
      <c r="KXX259" s="23"/>
      <c r="KYC259" s="26"/>
      <c r="KYG259" s="23"/>
      <c r="KYL259" s="26"/>
      <c r="KYP259" s="23"/>
      <c r="KYU259" s="26"/>
      <c r="KYY259" s="23"/>
      <c r="KZD259" s="26"/>
      <c r="KZH259" s="23"/>
      <c r="KZM259" s="26"/>
      <c r="KZQ259" s="23"/>
      <c r="KZV259" s="26"/>
      <c r="KZZ259" s="23"/>
      <c r="LAE259" s="26"/>
      <c r="LAI259" s="23"/>
      <c r="LAN259" s="26"/>
      <c r="LAR259" s="23"/>
      <c r="LAW259" s="26"/>
      <c r="LBA259" s="23"/>
      <c r="LBF259" s="26"/>
      <c r="LBJ259" s="23"/>
      <c r="LBO259" s="26"/>
      <c r="LBS259" s="23"/>
      <c r="LBX259" s="26"/>
      <c r="LCB259" s="23"/>
      <c r="LCG259" s="26"/>
      <c r="LCK259" s="23"/>
      <c r="LCP259" s="26"/>
      <c r="LCT259" s="23"/>
      <c r="LCY259" s="26"/>
      <c r="LDC259" s="23"/>
      <c r="LDH259" s="26"/>
      <c r="LDL259" s="23"/>
      <c r="LDQ259" s="26"/>
      <c r="LDU259" s="23"/>
      <c r="LDZ259" s="26"/>
      <c r="LED259" s="23"/>
      <c r="LEI259" s="26"/>
      <c r="LEM259" s="23"/>
      <c r="LER259" s="26"/>
      <c r="LEV259" s="23"/>
      <c r="LFA259" s="26"/>
      <c r="LFE259" s="23"/>
      <c r="LFJ259" s="26"/>
      <c r="LFN259" s="23"/>
      <c r="LFS259" s="26"/>
      <c r="LFW259" s="23"/>
      <c r="LGB259" s="26"/>
      <c r="LGF259" s="23"/>
      <c r="LGK259" s="26"/>
      <c r="LGO259" s="23"/>
      <c r="LGT259" s="26"/>
      <c r="LGX259" s="23"/>
      <c r="LHC259" s="26"/>
      <c r="LHG259" s="23"/>
      <c r="LHL259" s="26"/>
      <c r="LHP259" s="23"/>
      <c r="LHU259" s="26"/>
      <c r="LHY259" s="23"/>
      <c r="LID259" s="26"/>
      <c r="LIH259" s="23"/>
      <c r="LIM259" s="26"/>
      <c r="LIQ259" s="23"/>
      <c r="LIV259" s="26"/>
      <c r="LIZ259" s="23"/>
      <c r="LJE259" s="26"/>
      <c r="LJI259" s="23"/>
      <c r="LJN259" s="26"/>
      <c r="LJR259" s="23"/>
      <c r="LJW259" s="26"/>
      <c r="LKA259" s="23"/>
      <c r="LKF259" s="26"/>
      <c r="LKJ259" s="23"/>
      <c r="LKO259" s="26"/>
      <c r="LKS259" s="23"/>
      <c r="LKX259" s="26"/>
      <c r="LLB259" s="23"/>
      <c r="LLG259" s="26"/>
      <c r="LLK259" s="23"/>
      <c r="LLP259" s="26"/>
      <c r="LLT259" s="23"/>
      <c r="LLY259" s="26"/>
      <c r="LMC259" s="23"/>
      <c r="LMH259" s="26"/>
      <c r="LML259" s="23"/>
      <c r="LMQ259" s="26"/>
      <c r="LMU259" s="23"/>
      <c r="LMZ259" s="26"/>
      <c r="LND259" s="23"/>
      <c r="LNI259" s="26"/>
      <c r="LNM259" s="23"/>
      <c r="LNR259" s="26"/>
      <c r="LNV259" s="23"/>
      <c r="LOA259" s="26"/>
      <c r="LOE259" s="23"/>
      <c r="LOJ259" s="26"/>
      <c r="LON259" s="23"/>
      <c r="LOS259" s="26"/>
      <c r="LOW259" s="23"/>
      <c r="LPB259" s="26"/>
      <c r="LPF259" s="23"/>
      <c r="LPK259" s="26"/>
      <c r="LPO259" s="23"/>
      <c r="LPT259" s="26"/>
      <c r="LPX259" s="23"/>
      <c r="LQC259" s="26"/>
      <c r="LQG259" s="23"/>
      <c r="LQL259" s="26"/>
      <c r="LQP259" s="23"/>
      <c r="LQU259" s="26"/>
      <c r="LQY259" s="23"/>
      <c r="LRD259" s="26"/>
      <c r="LRH259" s="23"/>
      <c r="LRM259" s="26"/>
      <c r="LRQ259" s="23"/>
      <c r="LRV259" s="26"/>
      <c r="LRZ259" s="23"/>
      <c r="LSE259" s="26"/>
      <c r="LSI259" s="23"/>
      <c r="LSN259" s="26"/>
      <c r="LSR259" s="23"/>
      <c r="LSW259" s="26"/>
      <c r="LTA259" s="23"/>
      <c r="LTF259" s="26"/>
      <c r="LTJ259" s="23"/>
      <c r="LTO259" s="26"/>
      <c r="LTS259" s="23"/>
      <c r="LTX259" s="26"/>
      <c r="LUB259" s="23"/>
      <c r="LUG259" s="26"/>
      <c r="LUK259" s="23"/>
      <c r="LUP259" s="26"/>
      <c r="LUT259" s="23"/>
      <c r="LUY259" s="26"/>
      <c r="LVC259" s="23"/>
      <c r="LVH259" s="26"/>
      <c r="LVL259" s="23"/>
      <c r="LVQ259" s="26"/>
      <c r="LVU259" s="23"/>
      <c r="LVZ259" s="26"/>
      <c r="LWD259" s="23"/>
      <c r="LWI259" s="26"/>
      <c r="LWM259" s="23"/>
      <c r="LWR259" s="26"/>
      <c r="LWV259" s="23"/>
      <c r="LXA259" s="26"/>
      <c r="LXE259" s="23"/>
      <c r="LXJ259" s="26"/>
      <c r="LXN259" s="23"/>
      <c r="LXS259" s="26"/>
      <c r="LXW259" s="23"/>
      <c r="LYB259" s="26"/>
      <c r="LYF259" s="23"/>
      <c r="LYK259" s="26"/>
      <c r="LYO259" s="23"/>
      <c r="LYT259" s="26"/>
      <c r="LYX259" s="23"/>
      <c r="LZC259" s="26"/>
      <c r="LZG259" s="23"/>
      <c r="LZL259" s="26"/>
      <c r="LZP259" s="23"/>
      <c r="LZU259" s="26"/>
      <c r="LZY259" s="23"/>
      <c r="MAD259" s="26"/>
      <c r="MAH259" s="23"/>
      <c r="MAM259" s="26"/>
      <c r="MAQ259" s="23"/>
      <c r="MAV259" s="26"/>
      <c r="MAZ259" s="23"/>
      <c r="MBE259" s="26"/>
      <c r="MBI259" s="23"/>
      <c r="MBN259" s="26"/>
      <c r="MBR259" s="23"/>
      <c r="MBW259" s="26"/>
      <c r="MCA259" s="23"/>
      <c r="MCF259" s="26"/>
      <c r="MCJ259" s="23"/>
      <c r="MCO259" s="26"/>
      <c r="MCS259" s="23"/>
      <c r="MCX259" s="26"/>
      <c r="MDB259" s="23"/>
      <c r="MDG259" s="26"/>
      <c r="MDK259" s="23"/>
      <c r="MDP259" s="26"/>
      <c r="MDT259" s="23"/>
      <c r="MDY259" s="26"/>
      <c r="MEC259" s="23"/>
      <c r="MEH259" s="26"/>
      <c r="MEL259" s="23"/>
      <c r="MEQ259" s="26"/>
      <c r="MEU259" s="23"/>
      <c r="MEZ259" s="26"/>
      <c r="MFD259" s="23"/>
      <c r="MFI259" s="26"/>
      <c r="MFM259" s="23"/>
      <c r="MFR259" s="26"/>
      <c r="MFV259" s="23"/>
      <c r="MGA259" s="26"/>
      <c r="MGE259" s="23"/>
      <c r="MGJ259" s="26"/>
      <c r="MGN259" s="23"/>
      <c r="MGS259" s="26"/>
      <c r="MGW259" s="23"/>
      <c r="MHB259" s="26"/>
      <c r="MHF259" s="23"/>
      <c r="MHK259" s="26"/>
      <c r="MHO259" s="23"/>
      <c r="MHT259" s="26"/>
      <c r="MHX259" s="23"/>
      <c r="MIC259" s="26"/>
      <c r="MIG259" s="23"/>
      <c r="MIL259" s="26"/>
      <c r="MIP259" s="23"/>
      <c r="MIU259" s="26"/>
      <c r="MIY259" s="23"/>
      <c r="MJD259" s="26"/>
      <c r="MJH259" s="23"/>
      <c r="MJM259" s="26"/>
      <c r="MJQ259" s="23"/>
      <c r="MJV259" s="26"/>
      <c r="MJZ259" s="23"/>
      <c r="MKE259" s="26"/>
      <c r="MKI259" s="23"/>
      <c r="MKN259" s="26"/>
      <c r="MKR259" s="23"/>
      <c r="MKW259" s="26"/>
      <c r="MLA259" s="23"/>
      <c r="MLF259" s="26"/>
      <c r="MLJ259" s="23"/>
      <c r="MLO259" s="26"/>
      <c r="MLS259" s="23"/>
      <c r="MLX259" s="26"/>
      <c r="MMB259" s="23"/>
      <c r="MMG259" s="26"/>
      <c r="MMK259" s="23"/>
      <c r="MMP259" s="26"/>
      <c r="MMT259" s="23"/>
      <c r="MMY259" s="26"/>
      <c r="MNC259" s="23"/>
      <c r="MNH259" s="26"/>
      <c r="MNL259" s="23"/>
      <c r="MNQ259" s="26"/>
      <c r="MNU259" s="23"/>
      <c r="MNZ259" s="26"/>
      <c r="MOD259" s="23"/>
      <c r="MOI259" s="26"/>
      <c r="MOM259" s="23"/>
      <c r="MOR259" s="26"/>
      <c r="MOV259" s="23"/>
      <c r="MPA259" s="26"/>
      <c r="MPE259" s="23"/>
      <c r="MPJ259" s="26"/>
      <c r="MPN259" s="23"/>
      <c r="MPS259" s="26"/>
      <c r="MPW259" s="23"/>
      <c r="MQB259" s="26"/>
      <c r="MQF259" s="23"/>
      <c r="MQK259" s="26"/>
      <c r="MQO259" s="23"/>
      <c r="MQT259" s="26"/>
      <c r="MQX259" s="23"/>
      <c r="MRC259" s="26"/>
      <c r="MRG259" s="23"/>
      <c r="MRL259" s="26"/>
      <c r="MRP259" s="23"/>
      <c r="MRU259" s="26"/>
      <c r="MRY259" s="23"/>
      <c r="MSD259" s="26"/>
      <c r="MSH259" s="23"/>
      <c r="MSM259" s="26"/>
      <c r="MSQ259" s="23"/>
      <c r="MSV259" s="26"/>
      <c r="MSZ259" s="23"/>
      <c r="MTE259" s="26"/>
      <c r="MTI259" s="23"/>
      <c r="MTN259" s="26"/>
      <c r="MTR259" s="23"/>
      <c r="MTW259" s="26"/>
      <c r="MUA259" s="23"/>
      <c r="MUF259" s="26"/>
      <c r="MUJ259" s="23"/>
      <c r="MUO259" s="26"/>
      <c r="MUS259" s="23"/>
      <c r="MUX259" s="26"/>
      <c r="MVB259" s="23"/>
      <c r="MVG259" s="26"/>
      <c r="MVK259" s="23"/>
      <c r="MVP259" s="26"/>
      <c r="MVT259" s="23"/>
      <c r="MVY259" s="26"/>
      <c r="MWC259" s="23"/>
      <c r="MWH259" s="26"/>
      <c r="MWL259" s="23"/>
      <c r="MWQ259" s="26"/>
      <c r="MWU259" s="23"/>
      <c r="MWZ259" s="26"/>
      <c r="MXD259" s="23"/>
      <c r="MXI259" s="26"/>
      <c r="MXM259" s="23"/>
      <c r="MXR259" s="26"/>
      <c r="MXV259" s="23"/>
      <c r="MYA259" s="26"/>
      <c r="MYE259" s="23"/>
      <c r="MYJ259" s="26"/>
      <c r="MYN259" s="23"/>
      <c r="MYS259" s="26"/>
      <c r="MYW259" s="23"/>
      <c r="MZB259" s="26"/>
      <c r="MZF259" s="23"/>
      <c r="MZK259" s="26"/>
      <c r="MZO259" s="23"/>
      <c r="MZT259" s="26"/>
      <c r="MZX259" s="23"/>
      <c r="NAC259" s="26"/>
      <c r="NAG259" s="23"/>
      <c r="NAL259" s="26"/>
      <c r="NAP259" s="23"/>
      <c r="NAU259" s="26"/>
      <c r="NAY259" s="23"/>
      <c r="NBD259" s="26"/>
      <c r="NBH259" s="23"/>
      <c r="NBM259" s="26"/>
      <c r="NBQ259" s="23"/>
      <c r="NBV259" s="26"/>
      <c r="NBZ259" s="23"/>
      <c r="NCE259" s="26"/>
      <c r="NCI259" s="23"/>
      <c r="NCN259" s="26"/>
      <c r="NCR259" s="23"/>
      <c r="NCW259" s="26"/>
      <c r="NDA259" s="23"/>
      <c r="NDF259" s="26"/>
      <c r="NDJ259" s="23"/>
      <c r="NDO259" s="26"/>
      <c r="NDS259" s="23"/>
      <c r="NDX259" s="26"/>
      <c r="NEB259" s="23"/>
      <c r="NEG259" s="26"/>
      <c r="NEK259" s="23"/>
      <c r="NEP259" s="26"/>
      <c r="NET259" s="23"/>
      <c r="NEY259" s="26"/>
      <c r="NFC259" s="23"/>
      <c r="NFH259" s="26"/>
      <c r="NFL259" s="23"/>
      <c r="NFQ259" s="26"/>
      <c r="NFU259" s="23"/>
      <c r="NFZ259" s="26"/>
      <c r="NGD259" s="23"/>
      <c r="NGI259" s="26"/>
      <c r="NGM259" s="23"/>
      <c r="NGR259" s="26"/>
      <c r="NGV259" s="23"/>
      <c r="NHA259" s="26"/>
      <c r="NHE259" s="23"/>
      <c r="NHJ259" s="26"/>
      <c r="NHN259" s="23"/>
      <c r="NHS259" s="26"/>
      <c r="NHW259" s="23"/>
      <c r="NIB259" s="26"/>
      <c r="NIF259" s="23"/>
      <c r="NIK259" s="26"/>
      <c r="NIO259" s="23"/>
      <c r="NIT259" s="26"/>
      <c r="NIX259" s="23"/>
      <c r="NJC259" s="26"/>
      <c r="NJG259" s="23"/>
      <c r="NJL259" s="26"/>
      <c r="NJP259" s="23"/>
      <c r="NJU259" s="26"/>
      <c r="NJY259" s="23"/>
      <c r="NKD259" s="26"/>
      <c r="NKH259" s="23"/>
      <c r="NKM259" s="26"/>
      <c r="NKQ259" s="23"/>
      <c r="NKV259" s="26"/>
      <c r="NKZ259" s="23"/>
      <c r="NLE259" s="26"/>
      <c r="NLI259" s="23"/>
      <c r="NLN259" s="26"/>
      <c r="NLR259" s="23"/>
      <c r="NLW259" s="26"/>
      <c r="NMA259" s="23"/>
      <c r="NMF259" s="26"/>
      <c r="NMJ259" s="23"/>
      <c r="NMO259" s="26"/>
      <c r="NMS259" s="23"/>
      <c r="NMX259" s="26"/>
      <c r="NNB259" s="23"/>
      <c r="NNG259" s="26"/>
      <c r="NNK259" s="23"/>
      <c r="NNP259" s="26"/>
      <c r="NNT259" s="23"/>
      <c r="NNY259" s="26"/>
      <c r="NOC259" s="23"/>
      <c r="NOH259" s="26"/>
      <c r="NOL259" s="23"/>
      <c r="NOQ259" s="26"/>
      <c r="NOU259" s="23"/>
      <c r="NOZ259" s="26"/>
      <c r="NPD259" s="23"/>
      <c r="NPI259" s="26"/>
      <c r="NPM259" s="23"/>
      <c r="NPR259" s="26"/>
      <c r="NPV259" s="23"/>
      <c r="NQA259" s="26"/>
      <c r="NQE259" s="23"/>
      <c r="NQJ259" s="26"/>
      <c r="NQN259" s="23"/>
      <c r="NQS259" s="26"/>
      <c r="NQW259" s="23"/>
      <c r="NRB259" s="26"/>
      <c r="NRF259" s="23"/>
      <c r="NRK259" s="26"/>
      <c r="NRO259" s="23"/>
      <c r="NRT259" s="26"/>
      <c r="NRX259" s="23"/>
      <c r="NSC259" s="26"/>
      <c r="NSG259" s="23"/>
      <c r="NSL259" s="26"/>
      <c r="NSP259" s="23"/>
      <c r="NSU259" s="26"/>
      <c r="NSY259" s="23"/>
      <c r="NTD259" s="26"/>
      <c r="NTH259" s="23"/>
      <c r="NTM259" s="26"/>
      <c r="NTQ259" s="23"/>
      <c r="NTV259" s="26"/>
      <c r="NTZ259" s="23"/>
      <c r="NUE259" s="26"/>
      <c r="NUI259" s="23"/>
      <c r="NUN259" s="26"/>
      <c r="NUR259" s="23"/>
      <c r="NUW259" s="26"/>
      <c r="NVA259" s="23"/>
      <c r="NVF259" s="26"/>
      <c r="NVJ259" s="23"/>
      <c r="NVO259" s="26"/>
      <c r="NVS259" s="23"/>
      <c r="NVX259" s="26"/>
      <c r="NWB259" s="23"/>
      <c r="NWG259" s="26"/>
      <c r="NWK259" s="23"/>
      <c r="NWP259" s="26"/>
      <c r="NWT259" s="23"/>
      <c r="NWY259" s="26"/>
      <c r="NXC259" s="23"/>
      <c r="NXH259" s="26"/>
      <c r="NXL259" s="23"/>
      <c r="NXQ259" s="26"/>
      <c r="NXU259" s="23"/>
      <c r="NXZ259" s="26"/>
      <c r="NYD259" s="23"/>
      <c r="NYI259" s="26"/>
      <c r="NYM259" s="23"/>
      <c r="NYR259" s="26"/>
      <c r="NYV259" s="23"/>
      <c r="NZA259" s="26"/>
      <c r="NZE259" s="23"/>
      <c r="NZJ259" s="26"/>
      <c r="NZN259" s="23"/>
      <c r="NZS259" s="26"/>
      <c r="NZW259" s="23"/>
      <c r="OAB259" s="26"/>
      <c r="OAF259" s="23"/>
      <c r="OAK259" s="26"/>
      <c r="OAO259" s="23"/>
      <c r="OAT259" s="26"/>
      <c r="OAX259" s="23"/>
      <c r="OBC259" s="26"/>
      <c r="OBG259" s="23"/>
      <c r="OBL259" s="26"/>
      <c r="OBP259" s="23"/>
      <c r="OBU259" s="26"/>
      <c r="OBY259" s="23"/>
      <c r="OCD259" s="26"/>
      <c r="OCH259" s="23"/>
      <c r="OCM259" s="26"/>
      <c r="OCQ259" s="23"/>
      <c r="OCV259" s="26"/>
      <c r="OCZ259" s="23"/>
      <c r="ODE259" s="26"/>
      <c r="ODI259" s="23"/>
      <c r="ODN259" s="26"/>
      <c r="ODR259" s="23"/>
      <c r="ODW259" s="26"/>
      <c r="OEA259" s="23"/>
      <c r="OEF259" s="26"/>
      <c r="OEJ259" s="23"/>
      <c r="OEO259" s="26"/>
      <c r="OES259" s="23"/>
      <c r="OEX259" s="26"/>
      <c r="OFB259" s="23"/>
      <c r="OFG259" s="26"/>
      <c r="OFK259" s="23"/>
      <c r="OFP259" s="26"/>
      <c r="OFT259" s="23"/>
      <c r="OFY259" s="26"/>
      <c r="OGC259" s="23"/>
      <c r="OGH259" s="26"/>
      <c r="OGL259" s="23"/>
      <c r="OGQ259" s="26"/>
      <c r="OGU259" s="23"/>
      <c r="OGZ259" s="26"/>
      <c r="OHD259" s="23"/>
      <c r="OHI259" s="26"/>
      <c r="OHM259" s="23"/>
      <c r="OHR259" s="26"/>
      <c r="OHV259" s="23"/>
      <c r="OIA259" s="26"/>
      <c r="OIE259" s="23"/>
      <c r="OIJ259" s="26"/>
      <c r="OIN259" s="23"/>
      <c r="OIS259" s="26"/>
      <c r="OIW259" s="23"/>
      <c r="OJB259" s="26"/>
      <c r="OJF259" s="23"/>
      <c r="OJK259" s="26"/>
      <c r="OJO259" s="23"/>
      <c r="OJT259" s="26"/>
      <c r="OJX259" s="23"/>
      <c r="OKC259" s="26"/>
      <c r="OKG259" s="23"/>
      <c r="OKL259" s="26"/>
      <c r="OKP259" s="23"/>
      <c r="OKU259" s="26"/>
      <c r="OKY259" s="23"/>
      <c r="OLD259" s="26"/>
      <c r="OLH259" s="23"/>
      <c r="OLM259" s="26"/>
      <c r="OLQ259" s="23"/>
      <c r="OLV259" s="26"/>
      <c r="OLZ259" s="23"/>
      <c r="OME259" s="26"/>
      <c r="OMI259" s="23"/>
      <c r="OMN259" s="26"/>
      <c r="OMR259" s="23"/>
      <c r="OMW259" s="26"/>
      <c r="ONA259" s="23"/>
      <c r="ONF259" s="26"/>
      <c r="ONJ259" s="23"/>
      <c r="ONO259" s="26"/>
      <c r="ONS259" s="23"/>
      <c r="ONX259" s="26"/>
      <c r="OOB259" s="23"/>
      <c r="OOG259" s="26"/>
      <c r="OOK259" s="23"/>
      <c r="OOP259" s="26"/>
      <c r="OOT259" s="23"/>
      <c r="OOY259" s="26"/>
      <c r="OPC259" s="23"/>
      <c r="OPH259" s="26"/>
      <c r="OPL259" s="23"/>
      <c r="OPQ259" s="26"/>
      <c r="OPU259" s="23"/>
      <c r="OPZ259" s="26"/>
      <c r="OQD259" s="23"/>
      <c r="OQI259" s="26"/>
      <c r="OQM259" s="23"/>
      <c r="OQR259" s="26"/>
      <c r="OQV259" s="23"/>
      <c r="ORA259" s="26"/>
      <c r="ORE259" s="23"/>
      <c r="ORJ259" s="26"/>
      <c r="ORN259" s="23"/>
      <c r="ORS259" s="26"/>
      <c r="ORW259" s="23"/>
      <c r="OSB259" s="26"/>
      <c r="OSF259" s="23"/>
      <c r="OSK259" s="26"/>
      <c r="OSO259" s="23"/>
      <c r="OST259" s="26"/>
      <c r="OSX259" s="23"/>
      <c r="OTC259" s="26"/>
      <c r="OTG259" s="23"/>
      <c r="OTL259" s="26"/>
      <c r="OTP259" s="23"/>
      <c r="OTU259" s="26"/>
      <c r="OTY259" s="23"/>
      <c r="OUD259" s="26"/>
      <c r="OUH259" s="23"/>
      <c r="OUM259" s="26"/>
      <c r="OUQ259" s="23"/>
      <c r="OUV259" s="26"/>
      <c r="OUZ259" s="23"/>
      <c r="OVE259" s="26"/>
      <c r="OVI259" s="23"/>
      <c r="OVN259" s="26"/>
      <c r="OVR259" s="23"/>
      <c r="OVW259" s="26"/>
      <c r="OWA259" s="23"/>
      <c r="OWF259" s="26"/>
      <c r="OWJ259" s="23"/>
      <c r="OWO259" s="26"/>
      <c r="OWS259" s="23"/>
      <c r="OWX259" s="26"/>
      <c r="OXB259" s="23"/>
      <c r="OXG259" s="26"/>
      <c r="OXK259" s="23"/>
      <c r="OXP259" s="26"/>
      <c r="OXT259" s="23"/>
      <c r="OXY259" s="26"/>
      <c r="OYC259" s="23"/>
      <c r="OYH259" s="26"/>
      <c r="OYL259" s="23"/>
      <c r="OYQ259" s="26"/>
      <c r="OYU259" s="23"/>
      <c r="OYZ259" s="26"/>
      <c r="OZD259" s="23"/>
      <c r="OZI259" s="26"/>
      <c r="OZM259" s="23"/>
      <c r="OZR259" s="26"/>
      <c r="OZV259" s="23"/>
      <c r="PAA259" s="26"/>
      <c r="PAE259" s="23"/>
      <c r="PAJ259" s="26"/>
      <c r="PAN259" s="23"/>
      <c r="PAS259" s="26"/>
      <c r="PAW259" s="23"/>
      <c r="PBB259" s="26"/>
      <c r="PBF259" s="23"/>
      <c r="PBK259" s="26"/>
      <c r="PBO259" s="23"/>
      <c r="PBT259" s="26"/>
      <c r="PBX259" s="23"/>
      <c r="PCC259" s="26"/>
      <c r="PCG259" s="23"/>
      <c r="PCL259" s="26"/>
      <c r="PCP259" s="23"/>
      <c r="PCU259" s="26"/>
      <c r="PCY259" s="23"/>
      <c r="PDD259" s="26"/>
      <c r="PDH259" s="23"/>
      <c r="PDM259" s="26"/>
      <c r="PDQ259" s="23"/>
      <c r="PDV259" s="26"/>
      <c r="PDZ259" s="23"/>
      <c r="PEE259" s="26"/>
      <c r="PEI259" s="23"/>
      <c r="PEN259" s="26"/>
      <c r="PER259" s="23"/>
      <c r="PEW259" s="26"/>
      <c r="PFA259" s="23"/>
      <c r="PFF259" s="26"/>
      <c r="PFJ259" s="23"/>
      <c r="PFO259" s="26"/>
      <c r="PFS259" s="23"/>
      <c r="PFX259" s="26"/>
      <c r="PGB259" s="23"/>
      <c r="PGG259" s="26"/>
      <c r="PGK259" s="23"/>
      <c r="PGP259" s="26"/>
      <c r="PGT259" s="23"/>
      <c r="PGY259" s="26"/>
      <c r="PHC259" s="23"/>
      <c r="PHH259" s="26"/>
      <c r="PHL259" s="23"/>
      <c r="PHQ259" s="26"/>
      <c r="PHU259" s="23"/>
      <c r="PHZ259" s="26"/>
      <c r="PID259" s="23"/>
      <c r="PII259" s="26"/>
      <c r="PIM259" s="23"/>
      <c r="PIR259" s="26"/>
      <c r="PIV259" s="23"/>
      <c r="PJA259" s="26"/>
      <c r="PJE259" s="23"/>
      <c r="PJJ259" s="26"/>
      <c r="PJN259" s="23"/>
      <c r="PJS259" s="26"/>
      <c r="PJW259" s="23"/>
      <c r="PKB259" s="26"/>
      <c r="PKF259" s="23"/>
      <c r="PKK259" s="26"/>
      <c r="PKO259" s="23"/>
      <c r="PKT259" s="26"/>
      <c r="PKX259" s="23"/>
      <c r="PLC259" s="26"/>
      <c r="PLG259" s="23"/>
      <c r="PLL259" s="26"/>
      <c r="PLP259" s="23"/>
      <c r="PLU259" s="26"/>
      <c r="PLY259" s="23"/>
      <c r="PMD259" s="26"/>
      <c r="PMH259" s="23"/>
      <c r="PMM259" s="26"/>
      <c r="PMQ259" s="23"/>
      <c r="PMV259" s="26"/>
      <c r="PMZ259" s="23"/>
      <c r="PNE259" s="26"/>
      <c r="PNI259" s="23"/>
      <c r="PNN259" s="26"/>
      <c r="PNR259" s="23"/>
      <c r="PNW259" s="26"/>
      <c r="POA259" s="23"/>
      <c r="POF259" s="26"/>
      <c r="POJ259" s="23"/>
      <c r="POO259" s="26"/>
      <c r="POS259" s="23"/>
      <c r="POX259" s="26"/>
      <c r="PPB259" s="23"/>
      <c r="PPG259" s="26"/>
      <c r="PPK259" s="23"/>
      <c r="PPP259" s="26"/>
      <c r="PPT259" s="23"/>
      <c r="PPY259" s="26"/>
      <c r="PQC259" s="23"/>
      <c r="PQH259" s="26"/>
      <c r="PQL259" s="23"/>
      <c r="PQQ259" s="26"/>
      <c r="PQU259" s="23"/>
      <c r="PQZ259" s="26"/>
      <c r="PRD259" s="23"/>
      <c r="PRI259" s="26"/>
      <c r="PRM259" s="23"/>
      <c r="PRR259" s="26"/>
      <c r="PRV259" s="23"/>
      <c r="PSA259" s="26"/>
      <c r="PSE259" s="23"/>
      <c r="PSJ259" s="26"/>
      <c r="PSN259" s="23"/>
      <c r="PSS259" s="26"/>
      <c r="PSW259" s="23"/>
      <c r="PTB259" s="26"/>
      <c r="PTF259" s="23"/>
      <c r="PTK259" s="26"/>
      <c r="PTO259" s="23"/>
      <c r="PTT259" s="26"/>
      <c r="PTX259" s="23"/>
      <c r="PUC259" s="26"/>
      <c r="PUG259" s="23"/>
      <c r="PUL259" s="26"/>
      <c r="PUP259" s="23"/>
      <c r="PUU259" s="26"/>
      <c r="PUY259" s="23"/>
      <c r="PVD259" s="26"/>
      <c r="PVH259" s="23"/>
      <c r="PVM259" s="26"/>
      <c r="PVQ259" s="23"/>
      <c r="PVV259" s="26"/>
      <c r="PVZ259" s="23"/>
      <c r="PWE259" s="26"/>
      <c r="PWI259" s="23"/>
      <c r="PWN259" s="26"/>
      <c r="PWR259" s="23"/>
      <c r="PWW259" s="26"/>
      <c r="PXA259" s="23"/>
      <c r="PXF259" s="26"/>
      <c r="PXJ259" s="23"/>
      <c r="PXO259" s="26"/>
      <c r="PXS259" s="23"/>
      <c r="PXX259" s="26"/>
      <c r="PYB259" s="23"/>
      <c r="PYG259" s="26"/>
      <c r="PYK259" s="23"/>
      <c r="PYP259" s="26"/>
      <c r="PYT259" s="23"/>
      <c r="PYY259" s="26"/>
      <c r="PZC259" s="23"/>
      <c r="PZH259" s="26"/>
      <c r="PZL259" s="23"/>
      <c r="PZQ259" s="26"/>
      <c r="PZU259" s="23"/>
      <c r="PZZ259" s="26"/>
      <c r="QAD259" s="23"/>
      <c r="QAI259" s="26"/>
      <c r="QAM259" s="23"/>
      <c r="QAR259" s="26"/>
      <c r="QAV259" s="23"/>
      <c r="QBA259" s="26"/>
      <c r="QBE259" s="23"/>
      <c r="QBJ259" s="26"/>
      <c r="QBN259" s="23"/>
      <c r="QBS259" s="26"/>
      <c r="QBW259" s="23"/>
      <c r="QCB259" s="26"/>
      <c r="QCF259" s="23"/>
      <c r="QCK259" s="26"/>
      <c r="QCO259" s="23"/>
      <c r="QCT259" s="26"/>
      <c r="QCX259" s="23"/>
      <c r="QDC259" s="26"/>
      <c r="QDG259" s="23"/>
      <c r="QDL259" s="26"/>
      <c r="QDP259" s="23"/>
      <c r="QDU259" s="26"/>
      <c r="QDY259" s="23"/>
      <c r="QED259" s="26"/>
      <c r="QEH259" s="23"/>
      <c r="QEM259" s="26"/>
      <c r="QEQ259" s="23"/>
      <c r="QEV259" s="26"/>
      <c r="QEZ259" s="23"/>
      <c r="QFE259" s="26"/>
      <c r="QFI259" s="23"/>
      <c r="QFN259" s="26"/>
      <c r="QFR259" s="23"/>
      <c r="QFW259" s="26"/>
      <c r="QGA259" s="23"/>
      <c r="QGF259" s="26"/>
      <c r="QGJ259" s="23"/>
      <c r="QGO259" s="26"/>
      <c r="QGS259" s="23"/>
      <c r="QGX259" s="26"/>
      <c r="QHB259" s="23"/>
      <c r="QHG259" s="26"/>
      <c r="QHK259" s="23"/>
      <c r="QHP259" s="26"/>
      <c r="QHT259" s="23"/>
      <c r="QHY259" s="26"/>
      <c r="QIC259" s="23"/>
      <c r="QIH259" s="26"/>
      <c r="QIL259" s="23"/>
      <c r="QIQ259" s="26"/>
      <c r="QIU259" s="23"/>
      <c r="QIZ259" s="26"/>
      <c r="QJD259" s="23"/>
      <c r="QJI259" s="26"/>
      <c r="QJM259" s="23"/>
      <c r="QJR259" s="26"/>
      <c r="QJV259" s="23"/>
      <c r="QKA259" s="26"/>
      <c r="QKE259" s="23"/>
      <c r="QKJ259" s="26"/>
      <c r="QKN259" s="23"/>
      <c r="QKS259" s="26"/>
      <c r="QKW259" s="23"/>
      <c r="QLB259" s="26"/>
      <c r="QLF259" s="23"/>
      <c r="QLK259" s="26"/>
      <c r="QLO259" s="23"/>
      <c r="QLT259" s="26"/>
      <c r="QLX259" s="23"/>
      <c r="QMC259" s="26"/>
      <c r="QMG259" s="23"/>
      <c r="QML259" s="26"/>
      <c r="QMP259" s="23"/>
      <c r="QMU259" s="26"/>
      <c r="QMY259" s="23"/>
      <c r="QND259" s="26"/>
      <c r="QNH259" s="23"/>
      <c r="QNM259" s="26"/>
      <c r="QNQ259" s="23"/>
      <c r="QNV259" s="26"/>
      <c r="QNZ259" s="23"/>
      <c r="QOE259" s="26"/>
      <c r="QOI259" s="23"/>
      <c r="QON259" s="26"/>
      <c r="QOR259" s="23"/>
      <c r="QOW259" s="26"/>
      <c r="QPA259" s="23"/>
      <c r="QPF259" s="26"/>
      <c r="QPJ259" s="23"/>
      <c r="QPO259" s="26"/>
      <c r="QPS259" s="23"/>
      <c r="QPX259" s="26"/>
      <c r="QQB259" s="23"/>
      <c r="QQG259" s="26"/>
      <c r="QQK259" s="23"/>
      <c r="QQP259" s="26"/>
      <c r="QQT259" s="23"/>
      <c r="QQY259" s="26"/>
      <c r="QRC259" s="23"/>
      <c r="QRH259" s="26"/>
      <c r="QRL259" s="23"/>
      <c r="QRQ259" s="26"/>
      <c r="QRU259" s="23"/>
      <c r="QRZ259" s="26"/>
      <c r="QSD259" s="23"/>
      <c r="QSI259" s="26"/>
      <c r="QSM259" s="23"/>
      <c r="QSR259" s="26"/>
      <c r="QSV259" s="23"/>
      <c r="QTA259" s="26"/>
      <c r="QTE259" s="23"/>
      <c r="QTJ259" s="26"/>
      <c r="QTN259" s="23"/>
      <c r="QTS259" s="26"/>
      <c r="QTW259" s="23"/>
      <c r="QUB259" s="26"/>
      <c r="QUF259" s="23"/>
      <c r="QUK259" s="26"/>
      <c r="QUO259" s="23"/>
      <c r="QUT259" s="26"/>
      <c r="QUX259" s="23"/>
      <c r="QVC259" s="26"/>
      <c r="QVG259" s="23"/>
      <c r="QVL259" s="26"/>
      <c r="QVP259" s="23"/>
      <c r="QVU259" s="26"/>
      <c r="QVY259" s="23"/>
      <c r="QWD259" s="26"/>
      <c r="QWH259" s="23"/>
      <c r="QWM259" s="26"/>
      <c r="QWQ259" s="23"/>
      <c r="QWV259" s="26"/>
      <c r="QWZ259" s="23"/>
      <c r="QXE259" s="26"/>
      <c r="QXI259" s="23"/>
      <c r="QXN259" s="26"/>
      <c r="QXR259" s="23"/>
      <c r="QXW259" s="26"/>
      <c r="QYA259" s="23"/>
      <c r="QYF259" s="26"/>
      <c r="QYJ259" s="23"/>
      <c r="QYO259" s="26"/>
      <c r="QYS259" s="23"/>
      <c r="QYX259" s="26"/>
      <c r="QZB259" s="23"/>
      <c r="QZG259" s="26"/>
      <c r="QZK259" s="23"/>
      <c r="QZP259" s="26"/>
      <c r="QZT259" s="23"/>
      <c r="QZY259" s="26"/>
      <c r="RAC259" s="23"/>
      <c r="RAH259" s="26"/>
      <c r="RAL259" s="23"/>
      <c r="RAQ259" s="26"/>
      <c r="RAU259" s="23"/>
      <c r="RAZ259" s="26"/>
      <c r="RBD259" s="23"/>
      <c r="RBI259" s="26"/>
      <c r="RBM259" s="23"/>
      <c r="RBR259" s="26"/>
      <c r="RBV259" s="23"/>
      <c r="RCA259" s="26"/>
      <c r="RCE259" s="23"/>
      <c r="RCJ259" s="26"/>
      <c r="RCN259" s="23"/>
      <c r="RCS259" s="26"/>
      <c r="RCW259" s="23"/>
      <c r="RDB259" s="26"/>
      <c r="RDF259" s="23"/>
      <c r="RDK259" s="26"/>
      <c r="RDO259" s="23"/>
      <c r="RDT259" s="26"/>
      <c r="RDX259" s="23"/>
      <c r="REC259" s="26"/>
      <c r="REG259" s="23"/>
      <c r="REL259" s="26"/>
      <c r="REP259" s="23"/>
      <c r="REU259" s="26"/>
      <c r="REY259" s="23"/>
      <c r="RFD259" s="26"/>
      <c r="RFH259" s="23"/>
      <c r="RFM259" s="26"/>
      <c r="RFQ259" s="23"/>
      <c r="RFV259" s="26"/>
      <c r="RFZ259" s="23"/>
      <c r="RGE259" s="26"/>
      <c r="RGI259" s="23"/>
      <c r="RGN259" s="26"/>
      <c r="RGR259" s="23"/>
      <c r="RGW259" s="26"/>
      <c r="RHA259" s="23"/>
      <c r="RHF259" s="26"/>
      <c r="RHJ259" s="23"/>
      <c r="RHO259" s="26"/>
      <c r="RHS259" s="23"/>
      <c r="RHX259" s="26"/>
      <c r="RIB259" s="23"/>
      <c r="RIG259" s="26"/>
      <c r="RIK259" s="23"/>
      <c r="RIP259" s="26"/>
      <c r="RIT259" s="23"/>
      <c r="RIY259" s="26"/>
      <c r="RJC259" s="23"/>
      <c r="RJH259" s="26"/>
      <c r="RJL259" s="23"/>
      <c r="RJQ259" s="26"/>
      <c r="RJU259" s="23"/>
      <c r="RJZ259" s="26"/>
      <c r="RKD259" s="23"/>
      <c r="RKI259" s="26"/>
      <c r="RKM259" s="23"/>
      <c r="RKR259" s="26"/>
      <c r="RKV259" s="23"/>
      <c r="RLA259" s="26"/>
      <c r="RLE259" s="23"/>
      <c r="RLJ259" s="26"/>
      <c r="RLN259" s="23"/>
      <c r="RLS259" s="26"/>
      <c r="RLW259" s="23"/>
      <c r="RMB259" s="26"/>
      <c r="RMF259" s="23"/>
      <c r="RMK259" s="26"/>
      <c r="RMO259" s="23"/>
      <c r="RMT259" s="26"/>
      <c r="RMX259" s="23"/>
      <c r="RNC259" s="26"/>
      <c r="RNG259" s="23"/>
      <c r="RNL259" s="26"/>
      <c r="RNP259" s="23"/>
      <c r="RNU259" s="26"/>
      <c r="RNY259" s="23"/>
      <c r="ROD259" s="26"/>
      <c r="ROH259" s="23"/>
      <c r="ROM259" s="26"/>
      <c r="ROQ259" s="23"/>
      <c r="ROV259" s="26"/>
      <c r="ROZ259" s="23"/>
      <c r="RPE259" s="26"/>
      <c r="RPI259" s="23"/>
      <c r="RPN259" s="26"/>
      <c r="RPR259" s="23"/>
      <c r="RPW259" s="26"/>
      <c r="RQA259" s="23"/>
      <c r="RQF259" s="26"/>
      <c r="RQJ259" s="23"/>
      <c r="RQO259" s="26"/>
      <c r="RQS259" s="23"/>
      <c r="RQX259" s="26"/>
      <c r="RRB259" s="23"/>
      <c r="RRG259" s="26"/>
      <c r="RRK259" s="23"/>
      <c r="RRP259" s="26"/>
      <c r="RRT259" s="23"/>
      <c r="RRY259" s="26"/>
      <c r="RSC259" s="23"/>
      <c r="RSH259" s="26"/>
      <c r="RSL259" s="23"/>
      <c r="RSQ259" s="26"/>
      <c r="RSU259" s="23"/>
      <c r="RSZ259" s="26"/>
      <c r="RTD259" s="23"/>
      <c r="RTI259" s="26"/>
      <c r="RTM259" s="23"/>
      <c r="RTR259" s="26"/>
      <c r="RTV259" s="23"/>
      <c r="RUA259" s="26"/>
      <c r="RUE259" s="23"/>
      <c r="RUJ259" s="26"/>
      <c r="RUN259" s="23"/>
      <c r="RUS259" s="26"/>
      <c r="RUW259" s="23"/>
      <c r="RVB259" s="26"/>
      <c r="RVF259" s="23"/>
      <c r="RVK259" s="26"/>
      <c r="RVO259" s="23"/>
      <c r="RVT259" s="26"/>
      <c r="RVX259" s="23"/>
      <c r="RWC259" s="26"/>
      <c r="RWG259" s="23"/>
      <c r="RWL259" s="26"/>
      <c r="RWP259" s="23"/>
      <c r="RWU259" s="26"/>
      <c r="RWY259" s="23"/>
      <c r="RXD259" s="26"/>
      <c r="RXH259" s="23"/>
      <c r="RXM259" s="26"/>
      <c r="RXQ259" s="23"/>
      <c r="RXV259" s="26"/>
      <c r="RXZ259" s="23"/>
      <c r="RYE259" s="26"/>
      <c r="RYI259" s="23"/>
      <c r="RYN259" s="26"/>
      <c r="RYR259" s="23"/>
      <c r="RYW259" s="26"/>
      <c r="RZA259" s="23"/>
      <c r="RZF259" s="26"/>
      <c r="RZJ259" s="23"/>
      <c r="RZO259" s="26"/>
      <c r="RZS259" s="23"/>
      <c r="RZX259" s="26"/>
      <c r="SAB259" s="23"/>
      <c r="SAG259" s="26"/>
      <c r="SAK259" s="23"/>
      <c r="SAP259" s="26"/>
      <c r="SAT259" s="23"/>
      <c r="SAY259" s="26"/>
      <c r="SBC259" s="23"/>
      <c r="SBH259" s="26"/>
      <c r="SBL259" s="23"/>
      <c r="SBQ259" s="26"/>
      <c r="SBU259" s="23"/>
      <c r="SBZ259" s="26"/>
      <c r="SCD259" s="23"/>
      <c r="SCI259" s="26"/>
      <c r="SCM259" s="23"/>
      <c r="SCR259" s="26"/>
      <c r="SCV259" s="23"/>
      <c r="SDA259" s="26"/>
      <c r="SDE259" s="23"/>
      <c r="SDJ259" s="26"/>
      <c r="SDN259" s="23"/>
      <c r="SDS259" s="26"/>
      <c r="SDW259" s="23"/>
      <c r="SEB259" s="26"/>
      <c r="SEF259" s="23"/>
      <c r="SEK259" s="26"/>
      <c r="SEO259" s="23"/>
      <c r="SET259" s="26"/>
      <c r="SEX259" s="23"/>
      <c r="SFC259" s="26"/>
      <c r="SFG259" s="23"/>
      <c r="SFL259" s="26"/>
      <c r="SFP259" s="23"/>
      <c r="SFU259" s="26"/>
      <c r="SFY259" s="23"/>
      <c r="SGD259" s="26"/>
      <c r="SGH259" s="23"/>
      <c r="SGM259" s="26"/>
      <c r="SGQ259" s="23"/>
      <c r="SGV259" s="26"/>
      <c r="SGZ259" s="23"/>
      <c r="SHE259" s="26"/>
      <c r="SHI259" s="23"/>
      <c r="SHN259" s="26"/>
      <c r="SHR259" s="23"/>
      <c r="SHW259" s="26"/>
      <c r="SIA259" s="23"/>
      <c r="SIF259" s="26"/>
      <c r="SIJ259" s="23"/>
      <c r="SIO259" s="26"/>
      <c r="SIS259" s="23"/>
      <c r="SIX259" s="26"/>
      <c r="SJB259" s="23"/>
      <c r="SJG259" s="26"/>
      <c r="SJK259" s="23"/>
      <c r="SJP259" s="26"/>
      <c r="SJT259" s="23"/>
      <c r="SJY259" s="26"/>
      <c r="SKC259" s="23"/>
      <c r="SKH259" s="26"/>
      <c r="SKL259" s="23"/>
      <c r="SKQ259" s="26"/>
      <c r="SKU259" s="23"/>
      <c r="SKZ259" s="26"/>
      <c r="SLD259" s="23"/>
      <c r="SLI259" s="26"/>
      <c r="SLM259" s="23"/>
      <c r="SLR259" s="26"/>
      <c r="SLV259" s="23"/>
      <c r="SMA259" s="26"/>
      <c r="SME259" s="23"/>
      <c r="SMJ259" s="26"/>
      <c r="SMN259" s="23"/>
      <c r="SMS259" s="26"/>
      <c r="SMW259" s="23"/>
      <c r="SNB259" s="26"/>
      <c r="SNF259" s="23"/>
      <c r="SNK259" s="26"/>
      <c r="SNO259" s="23"/>
      <c r="SNT259" s="26"/>
      <c r="SNX259" s="23"/>
      <c r="SOC259" s="26"/>
      <c r="SOG259" s="23"/>
      <c r="SOL259" s="26"/>
      <c r="SOP259" s="23"/>
      <c r="SOU259" s="26"/>
      <c r="SOY259" s="23"/>
      <c r="SPD259" s="26"/>
      <c r="SPH259" s="23"/>
      <c r="SPM259" s="26"/>
      <c r="SPQ259" s="23"/>
      <c r="SPV259" s="26"/>
      <c r="SPZ259" s="23"/>
      <c r="SQE259" s="26"/>
      <c r="SQI259" s="23"/>
      <c r="SQN259" s="26"/>
      <c r="SQR259" s="23"/>
      <c r="SQW259" s="26"/>
      <c r="SRA259" s="23"/>
      <c r="SRF259" s="26"/>
      <c r="SRJ259" s="23"/>
      <c r="SRO259" s="26"/>
      <c r="SRS259" s="23"/>
      <c r="SRX259" s="26"/>
      <c r="SSB259" s="23"/>
      <c r="SSG259" s="26"/>
      <c r="SSK259" s="23"/>
      <c r="SSP259" s="26"/>
      <c r="SST259" s="23"/>
      <c r="SSY259" s="26"/>
      <c r="STC259" s="23"/>
      <c r="STH259" s="26"/>
      <c r="STL259" s="23"/>
      <c r="STQ259" s="26"/>
      <c r="STU259" s="23"/>
      <c r="STZ259" s="26"/>
      <c r="SUD259" s="23"/>
      <c r="SUI259" s="26"/>
      <c r="SUM259" s="23"/>
      <c r="SUR259" s="26"/>
      <c r="SUV259" s="23"/>
      <c r="SVA259" s="26"/>
      <c r="SVE259" s="23"/>
      <c r="SVJ259" s="26"/>
      <c r="SVN259" s="23"/>
      <c r="SVS259" s="26"/>
      <c r="SVW259" s="23"/>
      <c r="SWB259" s="26"/>
      <c r="SWF259" s="23"/>
      <c r="SWK259" s="26"/>
      <c r="SWO259" s="23"/>
      <c r="SWT259" s="26"/>
      <c r="SWX259" s="23"/>
      <c r="SXC259" s="26"/>
      <c r="SXG259" s="23"/>
      <c r="SXL259" s="26"/>
      <c r="SXP259" s="23"/>
      <c r="SXU259" s="26"/>
      <c r="SXY259" s="23"/>
      <c r="SYD259" s="26"/>
      <c r="SYH259" s="23"/>
      <c r="SYM259" s="26"/>
      <c r="SYQ259" s="23"/>
      <c r="SYV259" s="26"/>
      <c r="SYZ259" s="23"/>
      <c r="SZE259" s="26"/>
      <c r="SZI259" s="23"/>
      <c r="SZN259" s="26"/>
      <c r="SZR259" s="23"/>
      <c r="SZW259" s="26"/>
      <c r="TAA259" s="23"/>
      <c r="TAF259" s="26"/>
      <c r="TAJ259" s="23"/>
      <c r="TAO259" s="26"/>
      <c r="TAS259" s="23"/>
      <c r="TAX259" s="26"/>
      <c r="TBB259" s="23"/>
      <c r="TBG259" s="26"/>
      <c r="TBK259" s="23"/>
      <c r="TBP259" s="26"/>
      <c r="TBT259" s="23"/>
      <c r="TBY259" s="26"/>
      <c r="TCC259" s="23"/>
      <c r="TCH259" s="26"/>
      <c r="TCL259" s="23"/>
      <c r="TCQ259" s="26"/>
      <c r="TCU259" s="23"/>
      <c r="TCZ259" s="26"/>
      <c r="TDD259" s="23"/>
      <c r="TDI259" s="26"/>
      <c r="TDM259" s="23"/>
      <c r="TDR259" s="26"/>
      <c r="TDV259" s="23"/>
      <c r="TEA259" s="26"/>
      <c r="TEE259" s="23"/>
      <c r="TEJ259" s="26"/>
      <c r="TEN259" s="23"/>
      <c r="TES259" s="26"/>
      <c r="TEW259" s="23"/>
      <c r="TFB259" s="26"/>
      <c r="TFF259" s="23"/>
      <c r="TFK259" s="26"/>
      <c r="TFO259" s="23"/>
      <c r="TFT259" s="26"/>
      <c r="TFX259" s="23"/>
      <c r="TGC259" s="26"/>
      <c r="TGG259" s="23"/>
      <c r="TGL259" s="26"/>
      <c r="TGP259" s="23"/>
      <c r="TGU259" s="26"/>
      <c r="TGY259" s="23"/>
      <c r="THD259" s="26"/>
      <c r="THH259" s="23"/>
      <c r="THM259" s="26"/>
      <c r="THQ259" s="23"/>
      <c r="THV259" s="26"/>
      <c r="THZ259" s="23"/>
      <c r="TIE259" s="26"/>
      <c r="TII259" s="23"/>
      <c r="TIN259" s="26"/>
      <c r="TIR259" s="23"/>
      <c r="TIW259" s="26"/>
      <c r="TJA259" s="23"/>
      <c r="TJF259" s="26"/>
      <c r="TJJ259" s="23"/>
      <c r="TJO259" s="26"/>
      <c r="TJS259" s="23"/>
      <c r="TJX259" s="26"/>
      <c r="TKB259" s="23"/>
      <c r="TKG259" s="26"/>
      <c r="TKK259" s="23"/>
      <c r="TKP259" s="26"/>
      <c r="TKT259" s="23"/>
      <c r="TKY259" s="26"/>
      <c r="TLC259" s="23"/>
      <c r="TLH259" s="26"/>
      <c r="TLL259" s="23"/>
      <c r="TLQ259" s="26"/>
      <c r="TLU259" s="23"/>
      <c r="TLZ259" s="26"/>
      <c r="TMD259" s="23"/>
      <c r="TMI259" s="26"/>
      <c r="TMM259" s="23"/>
      <c r="TMR259" s="26"/>
      <c r="TMV259" s="23"/>
      <c r="TNA259" s="26"/>
      <c r="TNE259" s="23"/>
      <c r="TNJ259" s="26"/>
      <c r="TNN259" s="23"/>
      <c r="TNS259" s="26"/>
      <c r="TNW259" s="23"/>
      <c r="TOB259" s="26"/>
      <c r="TOF259" s="23"/>
      <c r="TOK259" s="26"/>
      <c r="TOO259" s="23"/>
      <c r="TOT259" s="26"/>
      <c r="TOX259" s="23"/>
      <c r="TPC259" s="26"/>
      <c r="TPG259" s="23"/>
      <c r="TPL259" s="26"/>
      <c r="TPP259" s="23"/>
      <c r="TPU259" s="26"/>
      <c r="TPY259" s="23"/>
      <c r="TQD259" s="26"/>
      <c r="TQH259" s="23"/>
      <c r="TQM259" s="26"/>
      <c r="TQQ259" s="23"/>
      <c r="TQV259" s="26"/>
      <c r="TQZ259" s="23"/>
      <c r="TRE259" s="26"/>
      <c r="TRI259" s="23"/>
      <c r="TRN259" s="26"/>
      <c r="TRR259" s="23"/>
      <c r="TRW259" s="26"/>
      <c r="TSA259" s="23"/>
      <c r="TSF259" s="26"/>
      <c r="TSJ259" s="23"/>
      <c r="TSO259" s="26"/>
      <c r="TSS259" s="23"/>
      <c r="TSX259" s="26"/>
      <c r="TTB259" s="23"/>
      <c r="TTG259" s="26"/>
      <c r="TTK259" s="23"/>
      <c r="TTP259" s="26"/>
      <c r="TTT259" s="23"/>
      <c r="TTY259" s="26"/>
      <c r="TUC259" s="23"/>
      <c r="TUH259" s="26"/>
      <c r="TUL259" s="23"/>
      <c r="TUQ259" s="26"/>
      <c r="TUU259" s="23"/>
      <c r="TUZ259" s="26"/>
      <c r="TVD259" s="23"/>
      <c r="TVI259" s="26"/>
      <c r="TVM259" s="23"/>
      <c r="TVR259" s="26"/>
      <c r="TVV259" s="23"/>
      <c r="TWA259" s="26"/>
      <c r="TWE259" s="23"/>
      <c r="TWJ259" s="26"/>
      <c r="TWN259" s="23"/>
      <c r="TWS259" s="26"/>
      <c r="TWW259" s="23"/>
      <c r="TXB259" s="26"/>
      <c r="TXF259" s="23"/>
      <c r="TXK259" s="26"/>
      <c r="TXO259" s="23"/>
      <c r="TXT259" s="26"/>
      <c r="TXX259" s="23"/>
      <c r="TYC259" s="26"/>
      <c r="TYG259" s="23"/>
      <c r="TYL259" s="26"/>
      <c r="TYP259" s="23"/>
      <c r="TYU259" s="26"/>
      <c r="TYY259" s="23"/>
      <c r="TZD259" s="26"/>
      <c r="TZH259" s="23"/>
      <c r="TZM259" s="26"/>
      <c r="TZQ259" s="23"/>
      <c r="TZV259" s="26"/>
      <c r="TZZ259" s="23"/>
      <c r="UAE259" s="26"/>
      <c r="UAI259" s="23"/>
      <c r="UAN259" s="26"/>
      <c r="UAR259" s="23"/>
      <c r="UAW259" s="26"/>
      <c r="UBA259" s="23"/>
      <c r="UBF259" s="26"/>
      <c r="UBJ259" s="23"/>
      <c r="UBO259" s="26"/>
      <c r="UBS259" s="23"/>
      <c r="UBX259" s="26"/>
      <c r="UCB259" s="23"/>
      <c r="UCG259" s="26"/>
      <c r="UCK259" s="23"/>
      <c r="UCP259" s="26"/>
      <c r="UCT259" s="23"/>
      <c r="UCY259" s="26"/>
      <c r="UDC259" s="23"/>
      <c r="UDH259" s="26"/>
      <c r="UDL259" s="23"/>
      <c r="UDQ259" s="26"/>
      <c r="UDU259" s="23"/>
      <c r="UDZ259" s="26"/>
      <c r="UED259" s="23"/>
      <c r="UEI259" s="26"/>
      <c r="UEM259" s="23"/>
      <c r="UER259" s="26"/>
      <c r="UEV259" s="23"/>
      <c r="UFA259" s="26"/>
      <c r="UFE259" s="23"/>
      <c r="UFJ259" s="26"/>
      <c r="UFN259" s="23"/>
      <c r="UFS259" s="26"/>
      <c r="UFW259" s="23"/>
      <c r="UGB259" s="26"/>
      <c r="UGF259" s="23"/>
      <c r="UGK259" s="26"/>
      <c r="UGO259" s="23"/>
      <c r="UGT259" s="26"/>
      <c r="UGX259" s="23"/>
      <c r="UHC259" s="26"/>
      <c r="UHG259" s="23"/>
      <c r="UHL259" s="26"/>
      <c r="UHP259" s="23"/>
      <c r="UHU259" s="26"/>
      <c r="UHY259" s="23"/>
      <c r="UID259" s="26"/>
      <c r="UIH259" s="23"/>
      <c r="UIM259" s="26"/>
      <c r="UIQ259" s="23"/>
      <c r="UIV259" s="26"/>
      <c r="UIZ259" s="23"/>
      <c r="UJE259" s="26"/>
      <c r="UJI259" s="23"/>
      <c r="UJN259" s="26"/>
      <c r="UJR259" s="23"/>
      <c r="UJW259" s="26"/>
      <c r="UKA259" s="23"/>
      <c r="UKF259" s="26"/>
      <c r="UKJ259" s="23"/>
      <c r="UKO259" s="26"/>
      <c r="UKS259" s="23"/>
      <c r="UKX259" s="26"/>
      <c r="ULB259" s="23"/>
      <c r="ULG259" s="26"/>
      <c r="ULK259" s="23"/>
      <c r="ULP259" s="26"/>
      <c r="ULT259" s="23"/>
      <c r="ULY259" s="26"/>
      <c r="UMC259" s="23"/>
      <c r="UMH259" s="26"/>
      <c r="UML259" s="23"/>
      <c r="UMQ259" s="26"/>
      <c r="UMU259" s="23"/>
      <c r="UMZ259" s="26"/>
      <c r="UND259" s="23"/>
      <c r="UNI259" s="26"/>
      <c r="UNM259" s="23"/>
      <c r="UNR259" s="26"/>
      <c r="UNV259" s="23"/>
      <c r="UOA259" s="26"/>
      <c r="UOE259" s="23"/>
      <c r="UOJ259" s="26"/>
      <c r="UON259" s="23"/>
      <c r="UOS259" s="26"/>
      <c r="UOW259" s="23"/>
      <c r="UPB259" s="26"/>
      <c r="UPF259" s="23"/>
      <c r="UPK259" s="26"/>
      <c r="UPO259" s="23"/>
      <c r="UPT259" s="26"/>
      <c r="UPX259" s="23"/>
      <c r="UQC259" s="26"/>
      <c r="UQG259" s="23"/>
      <c r="UQL259" s="26"/>
      <c r="UQP259" s="23"/>
      <c r="UQU259" s="26"/>
      <c r="UQY259" s="23"/>
      <c r="URD259" s="26"/>
      <c r="URH259" s="23"/>
      <c r="URM259" s="26"/>
      <c r="URQ259" s="23"/>
      <c r="URV259" s="26"/>
      <c r="URZ259" s="23"/>
      <c r="USE259" s="26"/>
      <c r="USI259" s="23"/>
      <c r="USN259" s="26"/>
      <c r="USR259" s="23"/>
      <c r="USW259" s="26"/>
      <c r="UTA259" s="23"/>
      <c r="UTF259" s="26"/>
      <c r="UTJ259" s="23"/>
      <c r="UTO259" s="26"/>
      <c r="UTS259" s="23"/>
      <c r="UTX259" s="26"/>
      <c r="UUB259" s="23"/>
      <c r="UUG259" s="26"/>
      <c r="UUK259" s="23"/>
      <c r="UUP259" s="26"/>
      <c r="UUT259" s="23"/>
      <c r="UUY259" s="26"/>
      <c r="UVC259" s="23"/>
      <c r="UVH259" s="26"/>
      <c r="UVL259" s="23"/>
      <c r="UVQ259" s="26"/>
      <c r="UVU259" s="23"/>
      <c r="UVZ259" s="26"/>
      <c r="UWD259" s="23"/>
      <c r="UWI259" s="26"/>
      <c r="UWM259" s="23"/>
      <c r="UWR259" s="26"/>
      <c r="UWV259" s="23"/>
      <c r="UXA259" s="26"/>
      <c r="UXE259" s="23"/>
      <c r="UXJ259" s="26"/>
      <c r="UXN259" s="23"/>
      <c r="UXS259" s="26"/>
      <c r="UXW259" s="23"/>
      <c r="UYB259" s="26"/>
      <c r="UYF259" s="23"/>
      <c r="UYK259" s="26"/>
      <c r="UYO259" s="23"/>
      <c r="UYT259" s="26"/>
      <c r="UYX259" s="23"/>
      <c r="UZC259" s="26"/>
      <c r="UZG259" s="23"/>
      <c r="UZL259" s="26"/>
      <c r="UZP259" s="23"/>
      <c r="UZU259" s="26"/>
      <c r="UZY259" s="23"/>
      <c r="VAD259" s="26"/>
      <c r="VAH259" s="23"/>
      <c r="VAM259" s="26"/>
      <c r="VAQ259" s="23"/>
      <c r="VAV259" s="26"/>
      <c r="VAZ259" s="23"/>
      <c r="VBE259" s="26"/>
      <c r="VBI259" s="23"/>
      <c r="VBN259" s="26"/>
      <c r="VBR259" s="23"/>
      <c r="VBW259" s="26"/>
      <c r="VCA259" s="23"/>
      <c r="VCF259" s="26"/>
      <c r="VCJ259" s="23"/>
      <c r="VCO259" s="26"/>
      <c r="VCS259" s="23"/>
      <c r="VCX259" s="26"/>
      <c r="VDB259" s="23"/>
      <c r="VDG259" s="26"/>
      <c r="VDK259" s="23"/>
      <c r="VDP259" s="26"/>
      <c r="VDT259" s="23"/>
      <c r="VDY259" s="26"/>
      <c r="VEC259" s="23"/>
      <c r="VEH259" s="26"/>
      <c r="VEL259" s="23"/>
      <c r="VEQ259" s="26"/>
      <c r="VEU259" s="23"/>
      <c r="VEZ259" s="26"/>
      <c r="VFD259" s="23"/>
      <c r="VFI259" s="26"/>
      <c r="VFM259" s="23"/>
      <c r="VFR259" s="26"/>
      <c r="VFV259" s="23"/>
      <c r="VGA259" s="26"/>
      <c r="VGE259" s="23"/>
      <c r="VGJ259" s="26"/>
      <c r="VGN259" s="23"/>
      <c r="VGS259" s="26"/>
      <c r="VGW259" s="23"/>
      <c r="VHB259" s="26"/>
      <c r="VHF259" s="23"/>
      <c r="VHK259" s="26"/>
      <c r="VHO259" s="23"/>
      <c r="VHT259" s="26"/>
      <c r="VHX259" s="23"/>
      <c r="VIC259" s="26"/>
      <c r="VIG259" s="23"/>
      <c r="VIL259" s="26"/>
      <c r="VIP259" s="23"/>
      <c r="VIU259" s="26"/>
      <c r="VIY259" s="23"/>
      <c r="VJD259" s="26"/>
      <c r="VJH259" s="23"/>
      <c r="VJM259" s="26"/>
      <c r="VJQ259" s="23"/>
      <c r="VJV259" s="26"/>
      <c r="VJZ259" s="23"/>
      <c r="VKE259" s="26"/>
      <c r="VKI259" s="23"/>
      <c r="VKN259" s="26"/>
      <c r="VKR259" s="23"/>
      <c r="VKW259" s="26"/>
      <c r="VLA259" s="23"/>
      <c r="VLF259" s="26"/>
      <c r="VLJ259" s="23"/>
      <c r="VLO259" s="26"/>
      <c r="VLS259" s="23"/>
      <c r="VLX259" s="26"/>
      <c r="VMB259" s="23"/>
      <c r="VMG259" s="26"/>
      <c r="VMK259" s="23"/>
      <c r="VMP259" s="26"/>
      <c r="VMT259" s="23"/>
      <c r="VMY259" s="26"/>
      <c r="VNC259" s="23"/>
      <c r="VNH259" s="26"/>
      <c r="VNL259" s="23"/>
      <c r="VNQ259" s="26"/>
      <c r="VNU259" s="23"/>
      <c r="VNZ259" s="26"/>
      <c r="VOD259" s="23"/>
      <c r="VOI259" s="26"/>
      <c r="VOM259" s="23"/>
      <c r="VOR259" s="26"/>
      <c r="VOV259" s="23"/>
      <c r="VPA259" s="26"/>
      <c r="VPE259" s="23"/>
      <c r="VPJ259" s="26"/>
      <c r="VPN259" s="23"/>
      <c r="VPS259" s="26"/>
      <c r="VPW259" s="23"/>
      <c r="VQB259" s="26"/>
      <c r="VQF259" s="23"/>
      <c r="VQK259" s="26"/>
      <c r="VQO259" s="23"/>
      <c r="VQT259" s="26"/>
      <c r="VQX259" s="23"/>
      <c r="VRC259" s="26"/>
      <c r="VRG259" s="23"/>
      <c r="VRL259" s="26"/>
      <c r="VRP259" s="23"/>
      <c r="VRU259" s="26"/>
      <c r="VRY259" s="23"/>
      <c r="VSD259" s="26"/>
      <c r="VSH259" s="23"/>
      <c r="VSM259" s="26"/>
      <c r="VSQ259" s="23"/>
      <c r="VSV259" s="26"/>
      <c r="VSZ259" s="23"/>
      <c r="VTE259" s="26"/>
      <c r="VTI259" s="23"/>
      <c r="VTN259" s="26"/>
      <c r="VTR259" s="23"/>
      <c r="VTW259" s="26"/>
      <c r="VUA259" s="23"/>
      <c r="VUF259" s="26"/>
      <c r="VUJ259" s="23"/>
      <c r="VUO259" s="26"/>
      <c r="VUS259" s="23"/>
      <c r="VUX259" s="26"/>
      <c r="VVB259" s="23"/>
      <c r="VVG259" s="26"/>
      <c r="VVK259" s="23"/>
      <c r="VVP259" s="26"/>
      <c r="VVT259" s="23"/>
      <c r="VVY259" s="26"/>
      <c r="VWC259" s="23"/>
      <c r="VWH259" s="26"/>
      <c r="VWL259" s="23"/>
      <c r="VWQ259" s="26"/>
      <c r="VWU259" s="23"/>
      <c r="VWZ259" s="26"/>
      <c r="VXD259" s="23"/>
      <c r="VXI259" s="26"/>
      <c r="VXM259" s="23"/>
      <c r="VXR259" s="26"/>
      <c r="VXV259" s="23"/>
      <c r="VYA259" s="26"/>
      <c r="VYE259" s="23"/>
      <c r="VYJ259" s="26"/>
      <c r="VYN259" s="23"/>
      <c r="VYS259" s="26"/>
      <c r="VYW259" s="23"/>
      <c r="VZB259" s="26"/>
      <c r="VZF259" s="23"/>
      <c r="VZK259" s="26"/>
      <c r="VZO259" s="23"/>
      <c r="VZT259" s="26"/>
      <c r="VZX259" s="23"/>
      <c r="WAC259" s="26"/>
      <c r="WAG259" s="23"/>
      <c r="WAL259" s="26"/>
      <c r="WAP259" s="23"/>
      <c r="WAU259" s="26"/>
      <c r="WAY259" s="23"/>
      <c r="WBD259" s="26"/>
      <c r="WBH259" s="23"/>
      <c r="WBM259" s="26"/>
      <c r="WBQ259" s="23"/>
      <c r="WBV259" s="26"/>
      <c r="WBZ259" s="23"/>
      <c r="WCE259" s="26"/>
      <c r="WCI259" s="23"/>
      <c r="WCN259" s="26"/>
      <c r="WCR259" s="23"/>
      <c r="WCW259" s="26"/>
      <c r="WDA259" s="23"/>
      <c r="WDF259" s="26"/>
      <c r="WDJ259" s="23"/>
      <c r="WDO259" s="26"/>
      <c r="WDS259" s="23"/>
      <c r="WDX259" s="26"/>
      <c r="WEB259" s="23"/>
      <c r="WEG259" s="26"/>
      <c r="WEK259" s="23"/>
      <c r="WEP259" s="26"/>
      <c r="WET259" s="23"/>
      <c r="WEY259" s="26"/>
      <c r="WFC259" s="23"/>
      <c r="WFH259" s="26"/>
      <c r="WFL259" s="23"/>
      <c r="WFQ259" s="26"/>
      <c r="WFU259" s="23"/>
      <c r="WFZ259" s="26"/>
      <c r="WGD259" s="23"/>
      <c r="WGI259" s="26"/>
      <c r="WGM259" s="23"/>
      <c r="WGR259" s="26"/>
      <c r="WGV259" s="23"/>
      <c r="WHA259" s="26"/>
      <c r="WHE259" s="23"/>
      <c r="WHJ259" s="26"/>
      <c r="WHN259" s="23"/>
      <c r="WHS259" s="26"/>
      <c r="WHW259" s="23"/>
      <c r="WIB259" s="26"/>
      <c r="WIF259" s="23"/>
      <c r="WIK259" s="26"/>
      <c r="WIO259" s="23"/>
      <c r="WIT259" s="26"/>
      <c r="WIX259" s="23"/>
      <c r="WJC259" s="26"/>
      <c r="WJG259" s="23"/>
      <c r="WJL259" s="26"/>
      <c r="WJP259" s="23"/>
      <c r="WJU259" s="26"/>
      <c r="WJY259" s="23"/>
      <c r="WKD259" s="26"/>
      <c r="WKH259" s="23"/>
      <c r="WKM259" s="26"/>
      <c r="WKQ259" s="23"/>
      <c r="WKV259" s="26"/>
      <c r="WKZ259" s="23"/>
      <c r="WLE259" s="26"/>
      <c r="WLI259" s="23"/>
      <c r="WLN259" s="26"/>
      <c r="WLR259" s="23"/>
      <c r="WLW259" s="26"/>
      <c r="WMA259" s="23"/>
      <c r="WMF259" s="26"/>
      <c r="WMJ259" s="23"/>
      <c r="WMO259" s="26"/>
      <c r="WMS259" s="23"/>
      <c r="WMX259" s="26"/>
      <c r="WNB259" s="23"/>
      <c r="WNG259" s="26"/>
      <c r="WNK259" s="23"/>
      <c r="WNP259" s="26"/>
      <c r="WNT259" s="23"/>
      <c r="WNY259" s="26"/>
      <c r="WOC259" s="23"/>
      <c r="WOH259" s="26"/>
      <c r="WOL259" s="23"/>
      <c r="WOQ259" s="26"/>
      <c r="WOU259" s="23"/>
      <c r="WOZ259" s="26"/>
      <c r="WPD259" s="23"/>
      <c r="WPI259" s="26"/>
      <c r="WPM259" s="23"/>
      <c r="WPR259" s="26"/>
      <c r="WPV259" s="23"/>
      <c r="WQA259" s="26"/>
      <c r="WQE259" s="23"/>
      <c r="WQJ259" s="26"/>
      <c r="WQN259" s="23"/>
      <c r="WQS259" s="26"/>
      <c r="WQW259" s="23"/>
      <c r="WRB259" s="26"/>
      <c r="WRF259" s="23"/>
      <c r="WRK259" s="26"/>
      <c r="WRO259" s="23"/>
      <c r="WRT259" s="26"/>
      <c r="WRX259" s="23"/>
      <c r="WSC259" s="26"/>
      <c r="WSG259" s="23"/>
      <c r="WSL259" s="26"/>
      <c r="WSP259" s="23"/>
      <c r="WSU259" s="26"/>
      <c r="WSY259" s="23"/>
      <c r="WTD259" s="26"/>
      <c r="WTH259" s="23"/>
      <c r="WTM259" s="26"/>
      <c r="WTQ259" s="23"/>
      <c r="WTV259" s="26"/>
      <c r="WTZ259" s="23"/>
      <c r="WUE259" s="26"/>
      <c r="WUI259" s="23"/>
      <c r="WUN259" s="26"/>
      <c r="WUR259" s="23"/>
      <c r="WUW259" s="26"/>
      <c r="WVA259" s="23"/>
      <c r="WVF259" s="26"/>
      <c r="WVJ259" s="23"/>
      <c r="WVO259" s="26"/>
      <c r="WVS259" s="23"/>
      <c r="WVX259" s="26"/>
      <c r="WWB259" s="23"/>
      <c r="WWG259" s="26"/>
      <c r="WWK259" s="23"/>
      <c r="WWP259" s="26"/>
      <c r="WWT259" s="23"/>
      <c r="WWY259" s="26"/>
      <c r="WXC259" s="23"/>
      <c r="WXH259" s="26"/>
      <c r="WXL259" s="23"/>
      <c r="WXQ259" s="26"/>
      <c r="WXU259" s="23"/>
      <c r="WXZ259" s="26"/>
      <c r="WYD259" s="23"/>
      <c r="WYI259" s="26"/>
      <c r="WYM259" s="23"/>
      <c r="WYR259" s="26"/>
      <c r="WYV259" s="23"/>
      <c r="WZA259" s="26"/>
      <c r="WZE259" s="23"/>
      <c r="WZJ259" s="26"/>
      <c r="WZN259" s="23"/>
      <c r="WZS259" s="26"/>
      <c r="WZW259" s="23"/>
      <c r="XAB259" s="26"/>
      <c r="XAF259" s="23"/>
      <c r="XAK259" s="26"/>
      <c r="XAO259" s="23"/>
      <c r="XAT259" s="26"/>
      <c r="XAX259" s="23"/>
      <c r="XBC259" s="26"/>
      <c r="XBG259" s="23"/>
      <c r="XBL259" s="26"/>
      <c r="XBP259" s="23"/>
      <c r="XBU259" s="26"/>
      <c r="XBY259" s="23"/>
      <c r="XCD259" s="26"/>
      <c r="XCH259" s="23"/>
      <c r="XCM259" s="26"/>
      <c r="XCQ259" s="23"/>
      <c r="XCV259" s="26"/>
      <c r="XCZ259" s="23"/>
      <c r="XDE259" s="26"/>
      <c r="XDI259" s="23"/>
      <c r="XDN259" s="26"/>
      <c r="XDR259" s="23"/>
      <c r="XDW259" s="26"/>
      <c r="XEA259" s="23"/>
      <c r="XEF259" s="26"/>
      <c r="XEJ259" s="23"/>
      <c r="XEO259" s="26"/>
      <c r="XES259" s="23"/>
      <c r="XEX259" s="26"/>
      <c r="XFB259" s="23"/>
    </row>
    <row r="260" spans="2:1024 1028:2045 2050:3071 3076:4093 4097:5119 5123:6140 6145:7166 7171:8192 8197:9214 9218:10240 10244:11261 11266:12287 12292:13309 13313:14335 14339:15356 15361:16382" x14ac:dyDescent="0.3">
      <c r="G260" s="1"/>
      <c r="K260" s="1"/>
    </row>
    <row r="261" spans="2:1024 1028:2045 2050:3071 3076:4093 4097:5119 5123:6140 6145:7166 7171:8192 8197:9214 9218:10240 10244:11261 11266:12287 12292:13309 13313:14335 14339:15356 15361:16382" x14ac:dyDescent="0.3">
      <c r="G261" s="1"/>
      <c r="K261" s="1"/>
    </row>
    <row r="262" spans="2:1024 1028:2045 2050:3071 3076:4093 4097:5119 5123:6140 6145:7166 7171:8192 8197:9214 9218:10240 10244:11261 11266:12287 12292:13309 13313:14335 14339:15356 15361:16382" x14ac:dyDescent="0.3">
      <c r="G262" s="1"/>
      <c r="K262" s="1"/>
    </row>
    <row r="263" spans="2:1024 1028:2045 2050:3071 3076:4093 4097:5119 5123:6140 6145:7166 7171:8192 8197:9214 9218:10240 10244:11261 11266:12287 12292:13309 13313:14335 14339:15356 15361:16382" x14ac:dyDescent="0.3">
      <c r="G263" s="1"/>
      <c r="K263" s="1"/>
    </row>
    <row r="264" spans="2:1024 1028:2045 2050:3071 3076:4093 4097:5119 5123:6140 6145:7166 7171:8192 8197:9214 9218:10240 10244:11261 11266:12287 12292:13309 13313:14335 14339:15356 15361:16382" x14ac:dyDescent="0.3">
      <c r="G264" s="1"/>
      <c r="K264" s="1"/>
    </row>
    <row r="265" spans="2:1024 1028:2045 2050:3071 3076:4093 4097:5119 5123:6140 6145:7166 7171:8192 8197:9214 9218:10240 10244:11261 11266:12287 12292:13309 13313:14335 14339:15356 15361:16382" x14ac:dyDescent="0.3">
      <c r="G265" s="1"/>
      <c r="K265" s="1"/>
    </row>
    <row r="266" spans="2:1024 1028:2045 2050:3071 3076:4093 4097:5119 5123:6140 6145:7166 7171:8192 8197:9214 9218:10240 10244:11261 11266:12287 12292:13309 13313:14335 14339:15356 15361:16382" x14ac:dyDescent="0.3">
      <c r="G266" s="1"/>
      <c r="K266" s="1"/>
    </row>
    <row r="267" spans="2:1024 1028:2045 2050:3071 3076:4093 4097:5119 5123:6140 6145:7166 7171:8192 8197:9214 9218:10240 10244:11261 11266:12287 12292:13309 13313:14335 14339:15356 15361:16382" x14ac:dyDescent="0.3">
      <c r="G267" s="1"/>
      <c r="K267" s="1"/>
    </row>
    <row r="508" spans="8:8" x14ac:dyDescent="0.3">
      <c r="H508" s="1" t="str">
        <f>IF(Input!J212=1,"Аннуитетный платеж","")</f>
        <v/>
      </c>
    </row>
  </sheetData>
  <phoneticPr fontId="11" type="noConversion"/>
  <dataValidations count="1">
    <dataValidation type="list" allowBlank="1" showInputMessage="1" showErrorMessage="1" sqref="K85:AB85 K95:AB95" xr:uid="{00000000-0002-0000-0100-000000000000}">
      <formula1>$E$3:$E$5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42" r:id="rId4" name="Drop Down 122">
              <controlPr defaultSize="0" autoLine="0" autoPict="0">
                <anchor moveWithCells="1">
                  <from>
                    <xdr:col>7</xdr:col>
                    <xdr:colOff>0</xdr:colOff>
                    <xdr:row>211</xdr:row>
                    <xdr:rowOff>0</xdr:rowOff>
                  </from>
                  <to>
                    <xdr:col>9</xdr:col>
                    <xdr:colOff>0</xdr:colOff>
                    <xdr:row>212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3" r:id="rId5" name="Check Box 123">
              <controlPr defaultSize="0" autoFill="0" autoLine="0" autoPict="0">
                <anchor moveWithCells="1">
                  <from>
                    <xdr:col>7</xdr:col>
                    <xdr:colOff>0</xdr:colOff>
                    <xdr:row>211</xdr:row>
                    <xdr:rowOff>108065</xdr:rowOff>
                  </from>
                  <to>
                    <xdr:col>9</xdr:col>
                    <xdr:colOff>33251</xdr:colOff>
                    <xdr:row>213</xdr:row>
                    <xdr:rowOff>124691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4" r:id="rId6" name="Check Box 124">
              <controlPr defaultSize="0" autoFill="0" autoLine="0" autoPict="0">
                <anchor moveWithCells="1">
                  <from>
                    <xdr:col>6</xdr:col>
                    <xdr:colOff>1529542</xdr:colOff>
                    <xdr:row>15</xdr:row>
                    <xdr:rowOff>141316</xdr:rowOff>
                  </from>
                  <to>
                    <xdr:col>8</xdr:col>
                    <xdr:colOff>482138</xdr:colOff>
                    <xdr:row>17</xdr:row>
                    <xdr:rowOff>41564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Тех.лист!$E$3:$E$5</xm:f>
          </x14:formula1>
          <xm:sqref>K76:AB76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1"/>
  <dimension ref="A1:AS981"/>
  <sheetViews>
    <sheetView showGridLines="0" zoomScale="55" zoomScaleNormal="55" workbookViewId="0">
      <pane ySplit="5" topLeftCell="A6" activePane="bottomLeft" state="frozen"/>
      <selection activeCell="K1" sqref="K1:AO1048576"/>
      <selection pane="bottomLeft" activeCell="AB359" sqref="AB359"/>
    </sheetView>
  </sheetViews>
  <sheetFormatPr defaultColWidth="11.33203125" defaultRowHeight="15.05" outlineLevelRow="1" x14ac:dyDescent="0.3"/>
  <cols>
    <col min="1" max="1" width="2.109375" style="18" customWidth="1"/>
    <col min="2" max="2" width="4.109375" style="18" customWidth="1"/>
    <col min="3" max="3" width="3.44140625" style="1" customWidth="1"/>
    <col min="4" max="4" width="2.6640625" style="1" customWidth="1"/>
    <col min="5" max="5" width="3.109375" style="1" customWidth="1"/>
    <col min="6" max="6" width="43.109375" style="1" customWidth="1"/>
    <col min="7" max="7" width="15.109375" style="1" customWidth="1"/>
    <col min="8" max="8" width="12.88671875" style="1" customWidth="1"/>
    <col min="9" max="9" width="29.109375" style="1" customWidth="1"/>
    <col min="10" max="10" width="13.33203125" style="1" customWidth="1"/>
    <col min="11" max="11" width="15.33203125" style="1" customWidth="1"/>
    <col min="12" max="15" width="12.88671875" style="1" customWidth="1"/>
    <col min="16" max="16" width="15.109375" style="1" customWidth="1"/>
    <col min="17" max="23" width="12.88671875" style="1" customWidth="1"/>
    <col min="24" max="24" width="14.109375" style="1" customWidth="1"/>
    <col min="25" max="25" width="12" style="1" customWidth="1"/>
    <col min="26" max="42" width="12.88671875" style="1" customWidth="1"/>
    <col min="43" max="16384" width="11.33203125" style="1"/>
  </cols>
  <sheetData>
    <row r="1" spans="1:45" s="99" customFormat="1" ht="16.399999999999999" thickTop="1" x14ac:dyDescent="0.3">
      <c r="A1" s="166"/>
      <c r="B1" s="166" t="str">
        <f>Title!$C$16</f>
        <v>Строительство производства сухих строительных смесей</v>
      </c>
      <c r="C1" s="67"/>
      <c r="D1" s="56"/>
      <c r="E1" s="56"/>
      <c r="F1" s="56"/>
      <c r="G1" s="56"/>
      <c r="H1" s="57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</row>
    <row r="2" spans="1:45" ht="15.75" x14ac:dyDescent="0.3">
      <c r="A2" s="167"/>
      <c r="B2" s="167" t="str">
        <f>Title!$C$15</f>
        <v>Финансово-экономическая модель</v>
      </c>
      <c r="C2" s="68"/>
      <c r="D2" s="61"/>
      <c r="E2" s="61"/>
      <c r="F2" s="61"/>
      <c r="G2" s="61"/>
      <c r="H2" s="62"/>
      <c r="I2" s="61"/>
      <c r="J2" s="61"/>
      <c r="K2" s="61"/>
      <c r="L2" s="70" cm="1">
        <f t="array" ref="L2:L4">Input!L2:L4</f>
        <v>45292</v>
      </c>
      <c r="M2" s="70" cm="1">
        <f t="array" ref="M2:M4">Input!M2:M4</f>
        <v>45658</v>
      </c>
      <c r="N2" s="70" cm="1">
        <f t="array" ref="N2:N4">Input!N2:N4</f>
        <v>46023</v>
      </c>
      <c r="O2" s="70" cm="1">
        <f t="array" ref="O2:O4">Input!O2:O4</f>
        <v>46388</v>
      </c>
      <c r="P2" s="70" cm="1">
        <f t="array" ref="P2:P4">Input!P2:P4</f>
        <v>46753</v>
      </c>
      <c r="Q2" s="70" cm="1">
        <f t="array" ref="Q2:Q4">Input!Q2:Q4</f>
        <v>47119</v>
      </c>
      <c r="R2" s="70" cm="1">
        <f t="array" ref="R2:R4">Input!R2:R4</f>
        <v>47484</v>
      </c>
      <c r="S2" s="70" cm="1">
        <f t="array" ref="S2:S4">Input!S2:S4</f>
        <v>47849</v>
      </c>
      <c r="T2" s="70" cm="1">
        <f t="array" ref="T2:T4">Input!T2:T4</f>
        <v>48214</v>
      </c>
      <c r="U2" s="70" cm="1">
        <f t="array" ref="U2:U4">Input!U2:U4</f>
        <v>48580</v>
      </c>
      <c r="V2" s="70" cm="1">
        <f t="array" ref="V2:V4">Input!V2:V4</f>
        <v>48945</v>
      </c>
      <c r="W2" s="70" cm="1">
        <f t="array" ref="W2:W4">Input!W2:W4</f>
        <v>49310</v>
      </c>
      <c r="X2" s="70" cm="1">
        <f t="array" ref="X2:X4">Input!X2:X4</f>
        <v>49675</v>
      </c>
      <c r="Y2" s="70" cm="1">
        <f t="array" ref="Y2:Y4">Input!Y2:Y4</f>
        <v>50041</v>
      </c>
      <c r="Z2" s="70" cm="1">
        <f t="array" ref="Z2:Z4">Input!Z2:Z4</f>
        <v>50406</v>
      </c>
      <c r="AA2" s="70" cm="1">
        <f t="array" ref="AA2:AA4">Input!AA2:AA4</f>
        <v>50771</v>
      </c>
      <c r="AB2" s="70" cm="1">
        <f t="array" ref="AB2:AB4">Input!AB2:AB4</f>
        <v>51136</v>
      </c>
      <c r="AC2" s="70" cm="1">
        <f t="array" ref="AC2:AC4">Input!AC2:AC4</f>
        <v>51502</v>
      </c>
      <c r="AD2" s="70" t="str" cm="1">
        <f t="array" ref="AD2:AD4">Input!AD2:AD4</f>
        <v/>
      </c>
      <c r="AE2" s="70" t="str" cm="1">
        <f t="array" ref="AE2:AE4">Input!AE2:AE4</f>
        <v/>
      </c>
      <c r="AF2" s="70" t="str" cm="1">
        <f t="array" ref="AF2:AF4">Input!AF2:AF4</f>
        <v/>
      </c>
      <c r="AG2" s="70" t="str" cm="1">
        <f t="array" ref="AG2:AG4">Input!AG2:AG4</f>
        <v/>
      </c>
      <c r="AH2" s="70" t="str" cm="1">
        <f t="array" ref="AH2:AH4">Input!AH2:AH4</f>
        <v/>
      </c>
      <c r="AI2" s="70" t="str" cm="1">
        <f t="array" ref="AI2:AI4">Input!AI2:AI4</f>
        <v/>
      </c>
      <c r="AJ2" s="70" t="str" cm="1">
        <f t="array" ref="AJ2:AJ4">Input!AJ2:AJ4</f>
        <v/>
      </c>
      <c r="AK2" s="70" t="str" cm="1">
        <f t="array" ref="AK2:AK4">Input!AK2:AK4</f>
        <v/>
      </c>
      <c r="AL2" s="70" t="str" cm="1">
        <f t="array" ref="AL2:AL4">Input!AL2:AL4</f>
        <v/>
      </c>
      <c r="AM2" s="70" t="str" cm="1">
        <f t="array" ref="AM2:AM4">Input!AM2:AM4</f>
        <v/>
      </c>
      <c r="AN2" s="70" t="str" cm="1">
        <f t="array" ref="AN2:AN4">Input!AN2:AN4</f>
        <v/>
      </c>
      <c r="AO2" s="70"/>
      <c r="AP2" s="100"/>
      <c r="AQ2" s="100"/>
      <c r="AR2" s="101"/>
      <c r="AS2" s="102"/>
    </row>
    <row r="3" spans="1:45" ht="15.75" x14ac:dyDescent="0.3">
      <c r="A3" s="168"/>
      <c r="B3" s="168" t="s">
        <v>263</v>
      </c>
      <c r="C3" s="60"/>
      <c r="D3" s="61"/>
      <c r="E3" s="61"/>
      <c r="F3" s="61"/>
      <c r="G3" s="61"/>
      <c r="H3" s="62"/>
      <c r="I3" s="61"/>
      <c r="J3" s="61"/>
      <c r="K3" s="61"/>
      <c r="L3" s="70">
        <v>45657</v>
      </c>
      <c r="M3" s="70">
        <v>46022</v>
      </c>
      <c r="N3" s="70">
        <v>46387</v>
      </c>
      <c r="O3" s="70">
        <v>46752</v>
      </c>
      <c r="P3" s="70">
        <v>47118</v>
      </c>
      <c r="Q3" s="70">
        <v>47483</v>
      </c>
      <c r="R3" s="70">
        <v>47848</v>
      </c>
      <c r="S3" s="70">
        <v>48213</v>
      </c>
      <c r="T3" s="70">
        <v>48579</v>
      </c>
      <c r="U3" s="70">
        <v>48944</v>
      </c>
      <c r="V3" s="70">
        <v>49309</v>
      </c>
      <c r="W3" s="70">
        <v>49674</v>
      </c>
      <c r="X3" s="70">
        <v>50040</v>
      </c>
      <c r="Y3" s="70">
        <v>50405</v>
      </c>
      <c r="Z3" s="70">
        <v>50770</v>
      </c>
      <c r="AA3" s="70">
        <v>51135</v>
      </c>
      <c r="AB3" s="70">
        <v>51501</v>
      </c>
      <c r="AC3" s="70">
        <v>51866</v>
      </c>
      <c r="AD3" s="70" t="str">
        <v/>
      </c>
      <c r="AE3" s="70" t="str">
        <v/>
      </c>
      <c r="AF3" s="70" t="str">
        <v/>
      </c>
      <c r="AG3" s="70" t="str">
        <v/>
      </c>
      <c r="AH3" s="70" t="str">
        <v/>
      </c>
      <c r="AI3" s="70" t="str">
        <v/>
      </c>
      <c r="AJ3" s="70" t="str">
        <v/>
      </c>
      <c r="AK3" s="70" t="str">
        <v/>
      </c>
      <c r="AL3" s="70" t="str">
        <v/>
      </c>
      <c r="AM3" s="70" t="str">
        <v/>
      </c>
      <c r="AN3" s="70" t="str">
        <v/>
      </c>
      <c r="AO3" s="70"/>
      <c r="AP3" s="100"/>
      <c r="AQ3" s="100"/>
      <c r="AR3" s="101"/>
      <c r="AS3" s="102"/>
    </row>
    <row r="4" spans="1:45" ht="15.75" thickBot="1" x14ac:dyDescent="0.35">
      <c r="A4" s="169"/>
      <c r="B4" s="169"/>
      <c r="C4" s="61"/>
      <c r="D4" s="61"/>
      <c r="E4" s="61"/>
      <c r="F4" s="61"/>
      <c r="G4" s="61"/>
      <c r="H4" s="62"/>
      <c r="I4" s="61"/>
      <c r="J4" s="61"/>
      <c r="K4" s="61"/>
      <c r="L4" s="71" t="str">
        <v>Факт</v>
      </c>
      <c r="M4" s="71" t="str">
        <v>Прогноз</v>
      </c>
      <c r="N4" s="71" t="str">
        <v>Прогноз</v>
      </c>
      <c r="O4" s="71" t="str">
        <v>Прогноз</v>
      </c>
      <c r="P4" s="71" t="str">
        <v>Прогноз</v>
      </c>
      <c r="Q4" s="71" t="str">
        <v>Прогноз</v>
      </c>
      <c r="R4" s="71" t="str">
        <v>Прогноз</v>
      </c>
      <c r="S4" s="71" t="str">
        <v>Прогноз</v>
      </c>
      <c r="T4" s="71" t="str">
        <v>Прогноз</v>
      </c>
      <c r="U4" s="71" t="str">
        <v>Прогноз</v>
      </c>
      <c r="V4" s="71" t="str">
        <v>Прогноз</v>
      </c>
      <c r="W4" s="71" t="str">
        <v>Прогноз</v>
      </c>
      <c r="X4" s="71" t="str">
        <v>Прогноз</v>
      </c>
      <c r="Y4" s="71" t="str">
        <v>Прогноз</v>
      </c>
      <c r="Z4" s="71" t="str">
        <v>Прогноз</v>
      </c>
      <c r="AA4" s="71" t="str">
        <v>Прогноз</v>
      </c>
      <c r="AB4" s="71" t="str">
        <v>Прогноз</v>
      </c>
      <c r="AC4" s="71" t="str">
        <v>Прогноз</v>
      </c>
      <c r="AD4" s="71" t="str">
        <v/>
      </c>
      <c r="AE4" s="71" t="str">
        <v/>
      </c>
      <c r="AF4" s="71" t="str">
        <v/>
      </c>
      <c r="AG4" s="71" t="str">
        <v/>
      </c>
      <c r="AH4" s="71" t="str">
        <v/>
      </c>
      <c r="AI4" s="71" t="str">
        <v/>
      </c>
      <c r="AJ4" s="71" t="str">
        <v/>
      </c>
      <c r="AK4" s="71" t="str">
        <v/>
      </c>
      <c r="AL4" s="71" t="str">
        <v/>
      </c>
      <c r="AM4" s="71" t="str">
        <v/>
      </c>
      <c r="AN4" s="71" t="str">
        <v/>
      </c>
      <c r="AO4" s="71"/>
      <c r="AP4" s="103"/>
      <c r="AQ4" s="103"/>
      <c r="AR4" s="104"/>
      <c r="AS4" s="86"/>
    </row>
    <row r="5" spans="1:45" s="105" customFormat="1" ht="29.95" customHeight="1" thickTop="1" thickBot="1" x14ac:dyDescent="0.35">
      <c r="A5" s="78"/>
      <c r="B5" s="78"/>
      <c r="C5" s="76"/>
      <c r="D5" s="77"/>
      <c r="E5" s="77"/>
      <c r="F5" s="77"/>
      <c r="G5" s="54"/>
      <c r="H5" s="54" t="s">
        <v>1</v>
      </c>
      <c r="I5" s="54" t="s">
        <v>367</v>
      </c>
      <c r="J5" s="54"/>
      <c r="K5" s="54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</row>
    <row r="6" spans="1:45" ht="14.4" customHeight="1" thickTop="1" thickBot="1" x14ac:dyDescent="0.35">
      <c r="AO6" s="28"/>
    </row>
    <row r="7" spans="1:45" s="106" customFormat="1" ht="18" customHeight="1" thickTop="1" thickBot="1" x14ac:dyDescent="0.35">
      <c r="A7" s="53"/>
      <c r="B7" s="53"/>
      <c r="C7" s="50" t="s">
        <v>54</v>
      </c>
      <c r="D7" s="51"/>
      <c r="E7" s="51"/>
      <c r="F7" s="51"/>
      <c r="G7" s="51"/>
      <c r="H7" s="52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</row>
    <row r="8" spans="1:45" ht="14.4" customHeight="1" outlineLevel="1" thickTop="1" x14ac:dyDescent="0.3">
      <c r="AO8" s="28"/>
    </row>
    <row r="9" spans="1:45" ht="14.4" customHeight="1" outlineLevel="1" x14ac:dyDescent="0.3">
      <c r="C9" s="1" t="s">
        <v>154</v>
      </c>
      <c r="H9" s="26" t="s">
        <v>11</v>
      </c>
      <c r="L9" s="25">
        <f>IFERROR(YEAR(L3),"")</f>
        <v>2024</v>
      </c>
      <c r="M9" s="25">
        <f t="shared" ref="M9:AN9" si="0">IFERROR(YEAR(M3),"")</f>
        <v>2025</v>
      </c>
      <c r="N9" s="25">
        <f t="shared" si="0"/>
        <v>2026</v>
      </c>
      <c r="O9" s="25">
        <f t="shared" si="0"/>
        <v>2027</v>
      </c>
      <c r="P9" s="25">
        <f t="shared" si="0"/>
        <v>2028</v>
      </c>
      <c r="Q9" s="25">
        <f t="shared" si="0"/>
        <v>2029</v>
      </c>
      <c r="R9" s="25">
        <f t="shared" si="0"/>
        <v>2030</v>
      </c>
      <c r="S9" s="25">
        <f t="shared" si="0"/>
        <v>2031</v>
      </c>
      <c r="T9" s="25">
        <f t="shared" si="0"/>
        <v>2032</v>
      </c>
      <c r="U9" s="25">
        <f t="shared" si="0"/>
        <v>2033</v>
      </c>
      <c r="V9" s="25">
        <f t="shared" si="0"/>
        <v>2034</v>
      </c>
      <c r="W9" s="25">
        <f t="shared" si="0"/>
        <v>2035</v>
      </c>
      <c r="X9" s="25">
        <f t="shared" si="0"/>
        <v>2036</v>
      </c>
      <c r="Y9" s="25">
        <f t="shared" si="0"/>
        <v>2037</v>
      </c>
      <c r="Z9" s="25">
        <f t="shared" si="0"/>
        <v>2038</v>
      </c>
      <c r="AA9" s="25">
        <f t="shared" si="0"/>
        <v>2039</v>
      </c>
      <c r="AB9" s="25">
        <f t="shared" si="0"/>
        <v>2040</v>
      </c>
      <c r="AC9" s="25">
        <f t="shared" si="0"/>
        <v>2041</v>
      </c>
      <c r="AD9" s="25" t="str">
        <f t="shared" si="0"/>
        <v/>
      </c>
      <c r="AE9" s="25" t="str">
        <f t="shared" si="0"/>
        <v/>
      </c>
      <c r="AF9" s="25" t="str">
        <f t="shared" si="0"/>
        <v/>
      </c>
      <c r="AG9" s="25" t="str">
        <f t="shared" si="0"/>
        <v/>
      </c>
      <c r="AH9" s="25" t="str">
        <f t="shared" si="0"/>
        <v/>
      </c>
      <c r="AI9" s="25" t="str">
        <f t="shared" si="0"/>
        <v/>
      </c>
      <c r="AJ9" s="25" t="str">
        <f t="shared" si="0"/>
        <v/>
      </c>
      <c r="AK9" s="25" t="str">
        <f t="shared" si="0"/>
        <v/>
      </c>
      <c r="AL9" s="25" t="str">
        <f t="shared" si="0"/>
        <v/>
      </c>
      <c r="AM9" s="25" t="str">
        <f t="shared" si="0"/>
        <v/>
      </c>
      <c r="AN9" s="25" t="str">
        <f t="shared" si="0"/>
        <v/>
      </c>
      <c r="AO9" s="28"/>
    </row>
    <row r="10" spans="1:45" ht="14.4" customHeight="1" outlineLevel="1" x14ac:dyDescent="0.3">
      <c r="C10" s="1" t="s">
        <v>155</v>
      </c>
      <c r="H10" s="26" t="s">
        <v>11</v>
      </c>
      <c r="L10" s="22">
        <f>IF(L9=YEAR(Input!$H$12),YEARFRAC(Input!$H$12,Расчеты!L3),IF(Расчеты!L9=YEAR(Input!$H$14),YEARFRAC(Расчеты!L2,Input!$H$14),IF(AND(Расчеты!L9&gt;YEAR(Input!$H$12),Расчеты!L9&lt;YEAR(Input!$H$14)),1,0)))</f>
        <v>0</v>
      </c>
      <c r="M10" s="22">
        <f>IF(M9=YEAR(Input!$H$12),YEARFRAC(Input!$H$12,Расчеты!M3),IF(Расчеты!M9=YEAR(Input!$H$14),YEARFRAC(Расчеты!M2,Input!$H$14),IF(AND(Расчеты!M9&gt;YEAR(Input!$H$12),Расчеты!M9&lt;YEAR(Input!$H$14)),1,0)))</f>
        <v>0</v>
      </c>
      <c r="N10" s="22">
        <f>IF(N9=YEAR(Input!$H$12),YEARFRAC(Input!$H$12,Расчеты!N3),IF(Расчеты!N9=YEAR(Input!$H$14),YEARFRAC(Расчеты!N2,Input!$H$14),IF(AND(Расчеты!N9&gt;YEAR(Input!$H$12),Расчеты!N9&lt;YEAR(Input!$H$14)),1,0)))</f>
        <v>0.83333333333333337</v>
      </c>
      <c r="O10" s="22">
        <f>IF(O9=YEAR(Input!$H$12),YEARFRAC(Input!$H$12,Расчеты!O3),IF(Расчеты!O9=YEAR(Input!$H$14),YEARFRAC(Расчеты!O2,Input!$H$14),IF(AND(Расчеты!O9&gt;YEAR(Input!$H$12),Расчеты!O9&lt;YEAR(Input!$H$14)),1,0)))</f>
        <v>1</v>
      </c>
      <c r="P10" s="22">
        <f>IF(P9=YEAR(Input!$H$12),YEARFRAC(Input!$H$12,Расчеты!P3),IF(Расчеты!P9=YEAR(Input!$H$14),YEARFRAC(Расчеты!P2,Input!$H$14),IF(AND(Расчеты!P9&gt;YEAR(Input!$H$12),Расчеты!P9&lt;YEAR(Input!$H$14)),1,0)))</f>
        <v>1</v>
      </c>
      <c r="Q10" s="22">
        <f>IF(Q9=YEAR(Input!$H$12),YEARFRAC(Input!$H$12,Расчеты!Q3),IF(Расчеты!Q9=YEAR(Input!$H$14),YEARFRAC(Расчеты!Q2,Input!$H$14),IF(AND(Расчеты!Q9&gt;YEAR(Input!$H$12),Расчеты!Q9&lt;YEAR(Input!$H$14)),1,0)))</f>
        <v>1</v>
      </c>
      <c r="R10" s="22">
        <f>IF(R9=YEAR(Input!$H$12),YEARFRAC(Input!$H$12,Расчеты!R3),IF(Расчеты!R9=YEAR(Input!$H$14),YEARFRAC(Расчеты!R2,Input!$H$14),IF(AND(Расчеты!R9&gt;YEAR(Input!$H$12),Расчеты!R9&lt;YEAR(Input!$H$14)),1,0)))</f>
        <v>1</v>
      </c>
      <c r="S10" s="22">
        <f>IF(S9=YEAR(Input!$H$12),YEARFRAC(Input!$H$12,Расчеты!S3),IF(Расчеты!S9=YEAR(Input!$H$14),YEARFRAC(Расчеты!S2,Input!$H$14),IF(AND(Расчеты!S9&gt;YEAR(Input!$H$12),Расчеты!S9&lt;YEAR(Input!$H$14)),1,0)))</f>
        <v>1</v>
      </c>
      <c r="T10" s="22">
        <f>IF(T9=YEAR(Input!$H$12),YEARFRAC(Input!$H$12,Расчеты!T3),IF(Расчеты!T9=YEAR(Input!$H$14),YEARFRAC(Расчеты!T2,Input!$H$14),IF(AND(Расчеты!T9&gt;YEAR(Input!$H$12),Расчеты!T9&lt;YEAR(Input!$H$14)),1,0)))</f>
        <v>1</v>
      </c>
      <c r="U10" s="22">
        <f>IF(U9=YEAR(Input!$H$12),YEARFRAC(Input!$H$12,Расчеты!U3),IF(Расчеты!U9=YEAR(Input!$H$14),YEARFRAC(Расчеты!U2,Input!$H$14),IF(AND(Расчеты!U9&gt;YEAR(Input!$H$12),Расчеты!U9&lt;YEAR(Input!$H$14)),1,0)))</f>
        <v>1</v>
      </c>
      <c r="V10" s="22">
        <f>IF(V9=YEAR(Input!$H$12),YEARFRAC(Input!$H$12,Расчеты!V3),IF(Расчеты!V9=YEAR(Input!$H$14),YEARFRAC(Расчеты!V2,Input!$H$14),IF(AND(Расчеты!V9&gt;YEAR(Input!$H$12),Расчеты!V9&lt;YEAR(Input!$H$14)),1,0)))</f>
        <v>1</v>
      </c>
      <c r="W10" s="22">
        <f>IF(W9=YEAR(Input!$H$12),YEARFRAC(Input!$H$12,Расчеты!W3),IF(Расчеты!W9=YEAR(Input!$H$14),YEARFRAC(Расчеты!W2,Input!$H$14),IF(AND(Расчеты!W9&gt;YEAR(Input!$H$12),Расчеты!W9&lt;YEAR(Input!$H$14)),1,0)))</f>
        <v>1</v>
      </c>
      <c r="X10" s="22">
        <f>IF(X9=YEAR(Input!$H$12),YEARFRAC(Input!$H$12,Расчеты!X3),IF(Расчеты!X9=YEAR(Input!$H$14),YEARFRAC(Расчеты!X2,Input!$H$14),IF(AND(Расчеты!X9&gt;YEAR(Input!$H$12),Расчеты!X9&lt;YEAR(Input!$H$14)),1,0)))</f>
        <v>1</v>
      </c>
      <c r="Y10" s="22">
        <f>IF(Y9=YEAR(Input!$H$12),YEARFRAC(Input!$H$12,Расчеты!Y3),IF(Расчеты!Y9=YEAR(Input!$H$14),YEARFRAC(Расчеты!Y2,Input!$H$14),IF(AND(Расчеты!Y9&gt;YEAR(Input!$H$12),Расчеты!Y9&lt;YEAR(Input!$H$14)),1,0)))</f>
        <v>1</v>
      </c>
      <c r="Z10" s="22">
        <f>IF(Z9=YEAR(Input!$H$12),YEARFRAC(Input!$H$12,Расчеты!Z3),IF(Расчеты!Z9=YEAR(Input!$H$14),YEARFRAC(Расчеты!Z2,Input!$H$14),IF(AND(Расчеты!Z9&gt;YEAR(Input!$H$12),Расчеты!Z9&lt;YEAR(Input!$H$14)),1,0)))</f>
        <v>1</v>
      </c>
      <c r="AA10" s="22">
        <f>IF(AA9=YEAR(Input!$H$12),YEARFRAC(Input!$H$12,Расчеты!AA3),IF(Расчеты!AA9=YEAR(Input!$H$14),YEARFRAC(Расчеты!AA2,Input!$H$14),IF(AND(Расчеты!AA9&gt;YEAR(Input!$H$12),Расчеты!AA9&lt;YEAR(Input!$H$14)),1,0)))</f>
        <v>1</v>
      </c>
      <c r="AB10" s="22">
        <f>IF(AB9=YEAR(Input!$H$12),YEARFRAC(Input!$H$12,Расчеты!AB3),IF(Расчеты!AB9=YEAR(Input!$H$14),YEARFRAC(Расчеты!AB2,Input!$H$14),IF(AND(Расчеты!AB9&gt;YEAR(Input!$H$12),Расчеты!AB9&lt;YEAR(Input!$H$14)),1,0)))</f>
        <v>1</v>
      </c>
      <c r="AC10" s="22">
        <f>IF(AC9=YEAR(Input!$H$12),YEARFRAC(Input!$H$12,Расчеты!AC3),IF(Расчеты!AC9=YEAR(Input!$H$14),YEARFRAC(Расчеты!AC2,Input!$H$14),IF(AND(Расчеты!AC9&gt;YEAR(Input!$H$12),Расчеты!AC9&lt;YEAR(Input!$H$14)),1,0)))</f>
        <v>0.16666666666666666</v>
      </c>
      <c r="AD10" s="22">
        <f>IF(AD9=YEAR(Input!$H$12),YEARFRAC(Input!$H$12,Расчеты!AD3),IF(Расчеты!AD9=YEAR(Input!$H$14),YEARFRAC(Расчеты!AD2,Input!$H$14),IF(AND(Расчеты!AD9&gt;YEAR(Input!$H$12),Расчеты!AD9&lt;YEAR(Input!$H$14)),1,0)))</f>
        <v>0</v>
      </c>
      <c r="AE10" s="22">
        <f>IF(AE9=YEAR(Input!$H$12),YEARFRAC(Input!$H$12,Расчеты!AE3),IF(Расчеты!AE9=YEAR(Input!$H$14),YEARFRAC(Расчеты!AE2,Input!$H$14),IF(AND(Расчеты!AE9&gt;YEAR(Input!$H$12),Расчеты!AE9&lt;YEAR(Input!$H$14)),1,0)))</f>
        <v>0</v>
      </c>
      <c r="AF10" s="22">
        <f>IF(AF9=YEAR(Input!$H$12),YEARFRAC(Input!$H$12,Расчеты!AF3),IF(Расчеты!AF9=YEAR(Input!$H$14),YEARFRAC(Расчеты!AF2,Input!$H$14),IF(AND(Расчеты!AF9&gt;YEAR(Input!$H$12),Расчеты!AF9&lt;YEAR(Input!$H$14)),1,0)))</f>
        <v>0</v>
      </c>
      <c r="AG10" s="22">
        <f>IF(AG9=YEAR(Input!$H$12),YEARFRAC(Input!$H$12,Расчеты!AG3),IF(Расчеты!AG9=YEAR(Input!$H$14),YEARFRAC(Расчеты!AG2,Input!$H$14),IF(AND(Расчеты!AG9&gt;YEAR(Input!$H$12),Расчеты!AG9&lt;YEAR(Input!$H$14)),1,0)))</f>
        <v>0</v>
      </c>
      <c r="AH10" s="22">
        <f>IF(AH9=YEAR(Input!$H$12),YEARFRAC(Input!$H$12,Расчеты!AH3),IF(Расчеты!AH9=YEAR(Input!$H$14),YEARFRAC(Расчеты!AH2,Input!$H$14),IF(AND(Расчеты!AH9&gt;YEAR(Input!$H$12),Расчеты!AH9&lt;YEAR(Input!$H$14)),1,0)))</f>
        <v>0</v>
      </c>
      <c r="AI10" s="22">
        <f>IF(AI9=YEAR(Input!$H$12),YEARFRAC(Input!$H$12,Расчеты!AI3),IF(Расчеты!AI9=YEAR(Input!$H$14),YEARFRAC(Расчеты!AI2,Input!$H$14),IF(AND(Расчеты!AI9&gt;YEAR(Input!$H$12),Расчеты!AI9&lt;YEAR(Input!$H$14)),1,0)))</f>
        <v>0</v>
      </c>
      <c r="AJ10" s="22">
        <f>IF(AJ9=YEAR(Input!$H$12),YEARFRAC(Input!$H$12,Расчеты!AJ3),IF(Расчеты!AJ9=YEAR(Input!$H$14),YEARFRAC(Расчеты!AJ2,Input!$H$14),IF(AND(Расчеты!AJ9&gt;YEAR(Input!$H$12),Расчеты!AJ9&lt;YEAR(Input!$H$14)),1,0)))</f>
        <v>0</v>
      </c>
      <c r="AK10" s="22">
        <f>IF(AK9=YEAR(Input!$H$12),YEARFRAC(Input!$H$12,Расчеты!AK3),IF(Расчеты!AK9=YEAR(Input!$H$14),YEARFRAC(Расчеты!AK2,Input!$H$14),IF(AND(Расчеты!AK9&gt;YEAR(Input!$H$12),Расчеты!AK9&lt;YEAR(Input!$H$14)),1,0)))</f>
        <v>0</v>
      </c>
      <c r="AL10" s="22">
        <f>IF(AL9=YEAR(Input!$H$12),YEARFRAC(Input!$H$12,Расчеты!AL3),IF(Расчеты!AL9=YEAR(Input!$H$14),YEARFRAC(Расчеты!AL2,Input!$H$14),IF(AND(Расчеты!AL9&gt;YEAR(Input!$H$12),Расчеты!AL9&lt;YEAR(Input!$H$14)),1,0)))</f>
        <v>0</v>
      </c>
      <c r="AM10" s="22">
        <f>IF(AM9=YEAR(Input!$H$12),YEARFRAC(Input!$H$12,Расчеты!AM3),IF(Расчеты!AM9=YEAR(Input!$H$14),YEARFRAC(Расчеты!AM2,Input!$H$14),IF(AND(Расчеты!AM9&gt;YEAR(Input!$H$12),Расчеты!AM9&lt;YEAR(Input!$H$14)),1,0)))</f>
        <v>0</v>
      </c>
      <c r="AN10" s="22">
        <f>IF(AN9=YEAR(Input!$H$12),YEARFRAC(Input!$H$12,Расчеты!AN3),IF(Расчеты!AN9=YEAR(Input!$H$14),YEARFRAC(Расчеты!AN2,Input!$H$14),IF(AND(Расчеты!AN9&gt;YEAR(Input!$H$12),Расчеты!AN9&lt;YEAR(Input!$H$14)),1,0)))</f>
        <v>0</v>
      </c>
      <c r="AO10" s="28"/>
    </row>
    <row r="11" spans="1:45" ht="14.4" customHeight="1" outlineLevel="1" x14ac:dyDescent="0.3">
      <c r="C11" s="1" t="s">
        <v>319</v>
      </c>
      <c r="H11" s="26" t="s">
        <v>11</v>
      </c>
      <c r="L11" s="22">
        <f>L10*12</f>
        <v>0</v>
      </c>
      <c r="M11" s="22">
        <f t="shared" ref="M11:Q11" si="1">M10*12</f>
        <v>0</v>
      </c>
      <c r="N11" s="22">
        <f t="shared" si="1"/>
        <v>10</v>
      </c>
      <c r="O11" s="22">
        <f t="shared" si="1"/>
        <v>12</v>
      </c>
      <c r="P11" s="22">
        <f t="shared" si="1"/>
        <v>12</v>
      </c>
      <c r="Q11" s="22">
        <f t="shared" si="1"/>
        <v>12</v>
      </c>
      <c r="R11" s="22">
        <f t="shared" ref="R11" si="2">R10*12</f>
        <v>12</v>
      </c>
      <c r="S11" s="22">
        <f t="shared" ref="S11" si="3">S10*12</f>
        <v>12</v>
      </c>
      <c r="T11" s="22">
        <f t="shared" ref="T11" si="4">T10*12</f>
        <v>12</v>
      </c>
      <c r="U11" s="22">
        <f t="shared" ref="U11:V11" si="5">U10*12</f>
        <v>12</v>
      </c>
      <c r="V11" s="22">
        <f t="shared" si="5"/>
        <v>12</v>
      </c>
      <c r="W11" s="22">
        <f t="shared" ref="W11" si="6">W10*12</f>
        <v>12</v>
      </c>
      <c r="X11" s="22">
        <f t="shared" ref="X11" si="7">X10*12</f>
        <v>12</v>
      </c>
      <c r="Y11" s="22">
        <f t="shared" ref="Y11" si="8">Y10*12</f>
        <v>12</v>
      </c>
      <c r="Z11" s="22">
        <f t="shared" ref="Z11:AA11" si="9">Z10*12</f>
        <v>12</v>
      </c>
      <c r="AA11" s="22">
        <f t="shared" si="9"/>
        <v>12</v>
      </c>
      <c r="AB11" s="22">
        <f t="shared" ref="AB11" si="10">AB10*12</f>
        <v>12</v>
      </c>
      <c r="AC11" s="22">
        <f t="shared" ref="AC11" si="11">AC10*12</f>
        <v>2</v>
      </c>
      <c r="AD11" s="22">
        <f t="shared" ref="AD11" si="12">AD10*12</f>
        <v>0</v>
      </c>
      <c r="AE11" s="22">
        <f t="shared" ref="AE11:AF11" si="13">AE10*12</f>
        <v>0</v>
      </c>
      <c r="AF11" s="22">
        <f t="shared" si="13"/>
        <v>0</v>
      </c>
      <c r="AG11" s="22">
        <f t="shared" ref="AG11" si="14">AG10*12</f>
        <v>0</v>
      </c>
      <c r="AH11" s="22">
        <f t="shared" ref="AH11" si="15">AH10*12</f>
        <v>0</v>
      </c>
      <c r="AI11" s="22">
        <f t="shared" ref="AI11" si="16">AI10*12</f>
        <v>0</v>
      </c>
      <c r="AJ11" s="22">
        <f t="shared" ref="AJ11:AK11" si="17">AJ10*12</f>
        <v>0</v>
      </c>
      <c r="AK11" s="22">
        <f t="shared" si="17"/>
        <v>0</v>
      </c>
      <c r="AL11" s="22">
        <f t="shared" ref="AL11" si="18">AL10*12</f>
        <v>0</v>
      </c>
      <c r="AM11" s="22">
        <f t="shared" ref="AM11" si="19">AM10*12</f>
        <v>0</v>
      </c>
      <c r="AN11" s="22">
        <f t="shared" ref="AN11" si="20">AN10*12</f>
        <v>0</v>
      </c>
      <c r="AO11" s="28"/>
    </row>
    <row r="12" spans="1:45" ht="14.4" customHeight="1" outlineLevel="1" x14ac:dyDescent="0.3">
      <c r="C12" s="1" t="s">
        <v>291</v>
      </c>
      <c r="H12" s="26" t="s">
        <v>11</v>
      </c>
      <c r="L12" s="22">
        <f>IF(L9=YEAR(Input!$H$16),YEARFRAC(Input!$H$16,Расчеты!L3),IF(Расчеты!L9=YEAR(Input!$H$14),1,IF(AND(Расчеты!L9&gt;YEAR(Input!$H$16),Расчеты!L9&lt;YEAR(Input!$H$14)),1,0)))</f>
        <v>0</v>
      </c>
      <c r="M12" s="22">
        <f>IF(M9=YEAR(Input!$H$16),YEARFRAC(Input!$H$16,Расчеты!M3),IF(Расчеты!M9=YEAR(Input!$H$14),1,IF(AND(Расчеты!M9&gt;YEAR(Input!$H$16),Расчеты!M9&lt;YEAR(Input!$H$14)),1,0)))</f>
        <v>0</v>
      </c>
      <c r="N12" s="22">
        <f>IF(N9=YEAR(Input!$H$16),YEARFRAC(Input!$H$16,Расчеты!N3),IF(Расчеты!N9=YEAR(Input!$H$14),1,IF(AND(Расчеты!N9&gt;YEAR(Input!$H$16),Расчеты!N9&lt;YEAR(Input!$H$14)),1,0)))</f>
        <v>0</v>
      </c>
      <c r="O12" s="22">
        <f>IF(O9=YEAR(Input!$H$16),YEARFRAC(Input!$H$16,Расчеты!O3),IF(Расчеты!O9=YEAR(Input!$H$14),1,IF(AND(Расчеты!O9&gt;YEAR(Input!$H$16),Расчеты!O9&lt;YEAR(Input!$H$14)),1,0)))</f>
        <v>0</v>
      </c>
      <c r="P12" s="22">
        <f>IF(P9=YEAR(Input!$H$16),YEARFRAC(Input!$H$16,Расчеты!P3),IF(Расчеты!P9=YEAR(Input!$H$14),1,IF(AND(Расчеты!P9&gt;YEAR(Input!$H$16),Расчеты!P9&lt;YEAR(Input!$H$14)),1,0)))</f>
        <v>0</v>
      </c>
      <c r="Q12" s="22">
        <f>IF(Q9=YEAR(Input!$H$16),YEARFRAC(Input!$H$16,Расчеты!Q3),IF(Расчеты!Q9=YEAR(Input!$H$14),1,IF(AND(Расчеты!Q9&gt;YEAR(Input!$H$16),Расчеты!Q9&lt;YEAR(Input!$H$14)),1,0)))</f>
        <v>0</v>
      </c>
      <c r="R12" s="22">
        <f>IF(R9=YEAR(Input!$H$16),YEARFRAC(Input!$H$16,Расчеты!R3),IF(Расчеты!R9=YEAR(Input!$H$14),1,IF(AND(Расчеты!R9&gt;YEAR(Input!$H$16),Расчеты!R9&lt;YEAR(Input!$H$14)),1,0)))</f>
        <v>0</v>
      </c>
      <c r="S12" s="22">
        <f>IF(S9=YEAR(Input!$H$16),YEARFRAC(Input!$H$16,Расчеты!S3),IF(Расчеты!S9=YEAR(Input!$H$14),1,IF(AND(Расчеты!S9&gt;YEAR(Input!$H$16),Расчеты!S9&lt;YEAR(Input!$H$14)),1,0)))</f>
        <v>0</v>
      </c>
      <c r="T12" s="22">
        <f>IF(T9=YEAR(Input!$H$16),YEARFRAC(Input!$H$16,Расчеты!T3),IF(Расчеты!T9=YEAR(Input!$H$14),1,IF(AND(Расчеты!T9&gt;YEAR(Input!$H$16),Расчеты!T9&lt;YEAR(Input!$H$14)),1,0)))</f>
        <v>0</v>
      </c>
      <c r="U12" s="22">
        <f>IF(U9=YEAR(Input!$H$16),YEARFRAC(Input!$H$16,Расчеты!U3),IF(Расчеты!U9=YEAR(Input!$H$14),1,IF(AND(Расчеты!U9&gt;YEAR(Input!$H$16),Расчеты!U9&lt;YEAR(Input!$H$14)),1,0)))</f>
        <v>0</v>
      </c>
      <c r="V12" s="22">
        <f>IF(V9=YEAR(Input!$H$16),YEARFRAC(Input!$H$16,Расчеты!V3),IF(Расчеты!V9=YEAR(Input!$H$14),1,IF(AND(Расчеты!V9&gt;YEAR(Input!$H$16),Расчеты!V9&lt;YEAR(Input!$H$14)),1,0)))</f>
        <v>0.5</v>
      </c>
      <c r="W12" s="22">
        <f>IF(W9=YEAR(Input!$H$16),YEARFRAC(Input!$H$16,Расчеты!W3),IF(Расчеты!W9=YEAR(Input!$H$14),1,IF(AND(Расчеты!W9&gt;YEAR(Input!$H$16),Расчеты!W9&lt;YEAR(Input!$H$14)),1,0)))</f>
        <v>1</v>
      </c>
      <c r="X12" s="22">
        <f>IF(X9=YEAR(Input!$H$16),YEARFRAC(Input!$H$16,Расчеты!X3),IF(Расчеты!X9=YEAR(Input!$H$14),1,IF(AND(Расчеты!X9&gt;YEAR(Input!$H$16),Расчеты!X9&lt;YEAR(Input!$H$14)),1,0)))</f>
        <v>1</v>
      </c>
      <c r="Y12" s="22">
        <f>IF(Y9=YEAR(Input!$H$16),YEARFRAC(Input!$H$16,Расчеты!Y3),IF(Расчеты!Y9=YEAR(Input!$H$14),1,IF(AND(Расчеты!Y9&gt;YEAR(Input!$H$16),Расчеты!Y9&lt;YEAR(Input!$H$14)),1,0)))</f>
        <v>1</v>
      </c>
      <c r="Z12" s="22">
        <f>IF(Z9=YEAR(Input!$H$16),YEARFRAC(Input!$H$16,Расчеты!Z3),IF(Расчеты!Z9=YEAR(Input!$H$14),1,IF(AND(Расчеты!Z9&gt;YEAR(Input!$H$16),Расчеты!Z9&lt;YEAR(Input!$H$14)),1,0)))</f>
        <v>1</v>
      </c>
      <c r="AA12" s="22">
        <f>IF(AA9=YEAR(Input!$H$16),YEARFRAC(Input!$H$16,Расчеты!AA3),IF(Расчеты!AA9=YEAR(Input!$H$14),1,IF(AND(Расчеты!AA9&gt;YEAR(Input!$H$16),Расчеты!AA9&lt;YEAR(Input!$H$14)),1,0)))</f>
        <v>1</v>
      </c>
      <c r="AB12" s="22">
        <f>IF(AB9=YEAR(Input!$H$16),YEARFRAC(Input!$H$16,Расчеты!AB3),IF(Расчеты!AB9=YEAR(Input!$H$14),1,IF(AND(Расчеты!AB9&gt;YEAR(Input!$H$16),Расчеты!AB9&lt;YEAR(Input!$H$14)),1,0)))</f>
        <v>1</v>
      </c>
      <c r="AC12" s="22">
        <f>IF(AC9=YEAR(Input!$H$16),YEARFRAC(Input!$H$16,Расчеты!AC3),IF(Расчеты!AC9=YEAR(Input!$H$14),1,IF(AND(Расчеты!AC9&gt;YEAR(Input!$H$16),Расчеты!AC9&lt;YEAR(Input!$H$14)),1,0)))</f>
        <v>1</v>
      </c>
      <c r="AD12" s="22">
        <f>IF(AD9=YEAR(Input!$H$16),YEARFRAC(Input!$H$16,Расчеты!AD3),IF(Расчеты!AD9=YEAR(Input!$H$14),1,IF(AND(Расчеты!AD9&gt;YEAR(Input!$H$16),Расчеты!AD9&lt;YEAR(Input!$H$14)),1,0)))</f>
        <v>0</v>
      </c>
      <c r="AE12" s="22">
        <f>IF(AE9=YEAR(Input!$H$16),YEARFRAC(Input!$H$16,Расчеты!AE3),IF(Расчеты!AE9=YEAR(Input!$H$14),1,IF(AND(Расчеты!AE9&gt;YEAR(Input!$H$16),Расчеты!AE9&lt;YEAR(Input!$H$14)),1,0)))</f>
        <v>0</v>
      </c>
      <c r="AF12" s="22">
        <f>IF(AF9=YEAR(Input!$H$16),YEARFRAC(Input!$H$16,Расчеты!AF3),IF(Расчеты!AF9=YEAR(Input!$H$14),1,IF(AND(Расчеты!AF9&gt;YEAR(Input!$H$16),Расчеты!AF9&lt;YEAR(Input!$H$14)),1,0)))</f>
        <v>0</v>
      </c>
      <c r="AG12" s="22">
        <f>IF(AG9=YEAR(Input!$H$16),YEARFRAC(Input!$H$16,Расчеты!AG3),IF(Расчеты!AG9=YEAR(Input!$H$14),1,IF(AND(Расчеты!AG9&gt;YEAR(Input!$H$16),Расчеты!AG9&lt;YEAR(Input!$H$14)),1,0)))</f>
        <v>0</v>
      </c>
      <c r="AH12" s="22">
        <f>IF(AH9=YEAR(Input!$H$16),YEARFRAC(Input!$H$16,Расчеты!AH3),IF(Расчеты!AH9=YEAR(Input!$H$14),1,IF(AND(Расчеты!AH9&gt;YEAR(Input!$H$16),Расчеты!AH9&lt;YEAR(Input!$H$14)),1,0)))</f>
        <v>0</v>
      </c>
      <c r="AI12" s="22">
        <f>IF(AI9=YEAR(Input!$H$16),YEARFRAC(Input!$H$16,Расчеты!AI3),IF(Расчеты!AI9=YEAR(Input!$H$14),1,IF(AND(Расчеты!AI9&gt;YEAR(Input!$H$16),Расчеты!AI9&lt;YEAR(Input!$H$14)),1,0)))</f>
        <v>0</v>
      </c>
      <c r="AJ12" s="22">
        <f>IF(AJ9=YEAR(Input!$H$16),YEARFRAC(Input!$H$16,Расчеты!AJ3),IF(Расчеты!AJ9=YEAR(Input!$H$14),1,IF(AND(Расчеты!AJ9&gt;YEAR(Input!$H$16),Расчеты!AJ9&lt;YEAR(Input!$H$14)),1,0)))</f>
        <v>0</v>
      </c>
      <c r="AK12" s="22">
        <f>IF(AK9=YEAR(Input!$H$16),YEARFRAC(Input!$H$16,Расчеты!AK3),IF(Расчеты!AK9=YEAR(Input!$H$14),1,IF(AND(Расчеты!AK9&gt;YEAR(Input!$H$16),Расчеты!AK9&lt;YEAR(Input!$H$14)),1,0)))</f>
        <v>0</v>
      </c>
      <c r="AL12" s="22">
        <f>IF(AL9=YEAR(Input!$H$16),YEARFRAC(Input!$H$16,Расчеты!AL3),IF(Расчеты!AL9=YEAR(Input!$H$14),1,IF(AND(Расчеты!AL9&gt;YEAR(Input!$H$16),Расчеты!AL9&lt;YEAR(Input!$H$14)),1,0)))</f>
        <v>0</v>
      </c>
      <c r="AM12" s="22">
        <f>IF(AM9=YEAR(Input!$H$16),YEARFRAC(Input!$H$16,Расчеты!AM3),IF(Расчеты!AM9=YEAR(Input!$H$14),1,IF(AND(Расчеты!AM9&gt;YEAR(Input!$H$16),Расчеты!AM9&lt;YEAR(Input!$H$14)),1,0)))</f>
        <v>0</v>
      </c>
      <c r="AN12" s="22">
        <f>IF(AN9=YEAR(Input!$H$16),YEARFRAC(Input!$H$16,Расчеты!AN3),IF(Расчеты!AN9=YEAR(Input!$H$14),1,IF(AND(Расчеты!AN9&gt;YEAR(Input!$H$16),Расчеты!AN9&lt;YEAR(Input!$H$14)),1,0)))</f>
        <v>0</v>
      </c>
    </row>
    <row r="13" spans="1:45" ht="14.4" customHeight="1" outlineLevel="1" x14ac:dyDescent="0.3">
      <c r="C13" s="1" t="s">
        <v>292</v>
      </c>
      <c r="H13" s="26" t="s">
        <v>11</v>
      </c>
      <c r="L13" s="22">
        <f>IF(AND(L9&gt;=YEAR(Input!$H$12),L9&lt;YEAR(Input!$H$16)),1,IF(L9=YEAR(Input!$H$16),YEARFRAC(Расчеты!L2,Input!$H$16,3),0))</f>
        <v>0</v>
      </c>
      <c r="M13" s="22">
        <f>IF(AND(M9&gt;=YEAR(Input!$H$12),M9&lt;YEAR(Input!$H$16)),1,IF(M9=YEAR(Input!$H$16),YEARFRAC(Расчеты!M2,Input!$H$16,3),0))</f>
        <v>0</v>
      </c>
      <c r="N13" s="22">
        <f>IF(AND(N9&gt;=YEAR(Input!$H$12),N9&lt;YEAR(Input!$H$16)),1,IF(N9=YEAR(Input!$H$16),YEARFRAC(Расчеты!N2,Input!$H$16,3),0))</f>
        <v>1</v>
      </c>
      <c r="O13" s="22">
        <f>IF(AND(O9&gt;=YEAR(Input!$H$12),O9&lt;YEAR(Input!$H$16)),1,IF(O9=YEAR(Input!$H$16),YEARFRAC(Расчеты!O2,Input!$H$16,3),0))</f>
        <v>1</v>
      </c>
      <c r="P13" s="22">
        <f>IF(AND(P9&gt;=YEAR(Input!$H$12),P9&lt;YEAR(Input!$H$16)),1,IF(P9=YEAR(Input!$H$16),YEARFRAC(Расчеты!P2,Input!$H$16,3),0))</f>
        <v>1</v>
      </c>
      <c r="Q13" s="22">
        <f>IF(AND(Q9&gt;=YEAR(Input!$H$12),Q9&lt;YEAR(Input!$H$16)),1,IF(Q9=YEAR(Input!$H$16),YEARFRAC(Расчеты!Q2,Input!$H$16,3),0))</f>
        <v>1</v>
      </c>
      <c r="R13" s="22">
        <f>IF(AND(R9&gt;=YEAR(Input!$H$12),R9&lt;YEAR(Input!$H$16)),1,IF(R9=YEAR(Input!$H$16),YEARFRAC(Расчеты!R2,Input!$H$16,3),0))</f>
        <v>1</v>
      </c>
      <c r="S13" s="22">
        <f>IF(AND(S9&gt;=YEAR(Input!$H$12),S9&lt;YEAR(Input!$H$16)),1,IF(S9=YEAR(Input!$H$16),YEARFRAC(Расчеты!S2,Input!$H$16,3),0))</f>
        <v>1</v>
      </c>
      <c r="T13" s="22">
        <f>IF(AND(T9&gt;=YEAR(Input!$H$12),T9&lt;YEAR(Input!$H$16)),1,IF(T9=YEAR(Input!$H$16),YEARFRAC(Расчеты!T2,Input!$H$16,3),0))</f>
        <v>1</v>
      </c>
      <c r="U13" s="22">
        <f>IF(AND(U9&gt;=YEAR(Input!$H$12),U9&lt;YEAR(Input!$H$16)),1,IF(U9=YEAR(Input!$H$16),YEARFRAC(Расчеты!U2,Input!$H$16,3),0))</f>
        <v>1</v>
      </c>
      <c r="V13" s="22">
        <f>IF(AND(V9&gt;=YEAR(Input!$H$12),V9&lt;YEAR(Input!$H$16)),1,IF(V9=YEAR(Input!$H$16),YEARFRAC(Расчеты!V2,Input!$H$16,3),0))</f>
        <v>0.49589041095890413</v>
      </c>
      <c r="W13" s="22">
        <f>IF(AND(W9&gt;=YEAR(Input!$H$12),W9&lt;YEAR(Input!$H$16)),1,IF(W9=YEAR(Input!$H$16),YEARFRAC(Расчеты!W2,Input!$H$16,3),0))</f>
        <v>0</v>
      </c>
      <c r="X13" s="22">
        <f>IF(AND(X9&gt;=YEAR(Input!$H$12),X9&lt;YEAR(Input!$H$16)),1,IF(X9=YEAR(Input!$H$16),YEARFRAC(Расчеты!X2,Input!$H$16,3),0))</f>
        <v>0</v>
      </c>
      <c r="Y13" s="22">
        <f>IF(AND(Y9&gt;=YEAR(Input!$H$12),Y9&lt;YEAR(Input!$H$16)),1,IF(Y9=YEAR(Input!$H$16),YEARFRAC(Расчеты!Y2,Input!$H$16,3),0))</f>
        <v>0</v>
      </c>
      <c r="Z13" s="22">
        <f>IF(AND(Z9&gt;=YEAR(Input!$H$12),Z9&lt;YEAR(Input!$H$16)),1,IF(Z9=YEAR(Input!$H$16),YEARFRAC(Расчеты!Z2,Input!$H$16,3),0))</f>
        <v>0</v>
      </c>
      <c r="AA13" s="22">
        <f>IF(AND(AA9&gt;=YEAR(Input!$H$12),AA9&lt;YEAR(Input!$H$16)),1,IF(AA9=YEAR(Input!$H$16),YEARFRAC(Расчеты!AA2,Input!$H$16,3),0))</f>
        <v>0</v>
      </c>
      <c r="AB13" s="22">
        <f>IF(AND(AB9&gt;=YEAR(Input!$H$12),AB9&lt;YEAR(Input!$H$16)),1,IF(AB9=YEAR(Input!$H$16),YEARFRAC(Расчеты!AB2,Input!$H$16,3),0))</f>
        <v>0</v>
      </c>
      <c r="AC13" s="22">
        <f>IF(AND(AC9&gt;=YEAR(Input!$H$12),AC9&lt;YEAR(Input!$H$16)),1,IF(AC9=YEAR(Input!$H$16),YEARFRAC(Расчеты!AC2,Input!$H$16,3),0))</f>
        <v>0</v>
      </c>
      <c r="AD13" s="22">
        <f>IF(AND(AD9&gt;=YEAR(Input!$H$12),AD9&lt;YEAR(Input!$H$16)),1,IF(AD9=YEAR(Input!$H$16),YEARFRAC(Расчеты!AD2,Input!$H$16,3),0))</f>
        <v>0</v>
      </c>
      <c r="AE13" s="22">
        <f>IF(AND(AE9&gt;=YEAR(Input!$H$12),AE9&lt;YEAR(Input!$H$16)),1,IF(AE9=YEAR(Input!$H$16),YEARFRAC(Расчеты!AE2,Input!$H$16,3),0))</f>
        <v>0</v>
      </c>
      <c r="AF13" s="22">
        <f>IF(AND(AF9&gt;=YEAR(Input!$H$12),AF9&lt;YEAR(Input!$H$16)),1,IF(AF9=YEAR(Input!$H$16),YEARFRAC(Расчеты!AF2,Input!$H$16,3),0))</f>
        <v>0</v>
      </c>
      <c r="AG13" s="22">
        <f>IF(AND(AG9&gt;=YEAR(Input!$H$12),AG9&lt;YEAR(Input!$H$16)),1,IF(AG9=YEAR(Input!$H$16),YEARFRAC(Расчеты!AG2,Input!$H$16,3),0))</f>
        <v>0</v>
      </c>
      <c r="AH13" s="22">
        <f>IF(AND(AH9&gt;=YEAR(Input!$H$12),AH9&lt;YEAR(Input!$H$16)),1,IF(AH9=YEAR(Input!$H$16),YEARFRAC(Расчеты!AH2,Input!$H$16,3),0))</f>
        <v>0</v>
      </c>
      <c r="AI13" s="22">
        <f>IF(AND(AI9&gt;=YEAR(Input!$H$12),AI9&lt;YEAR(Input!$H$16)),1,IF(AI9=YEAR(Input!$H$16),YEARFRAC(Расчеты!AI2,Input!$H$16,3),0))</f>
        <v>0</v>
      </c>
      <c r="AJ13" s="22">
        <f>IF(AND(AJ9&gt;=YEAR(Input!$H$12),AJ9&lt;YEAR(Input!$H$16)),1,IF(AJ9=YEAR(Input!$H$16),YEARFRAC(Расчеты!AJ2,Input!$H$16,3),0))</f>
        <v>0</v>
      </c>
      <c r="AK13" s="22">
        <f>IF(AND(AK9&gt;=YEAR(Input!$H$12),AK9&lt;YEAR(Input!$H$16)),1,IF(AK9=YEAR(Input!$H$16),YEARFRAC(Расчеты!AK2,Input!$H$16,3),0))</f>
        <v>0</v>
      </c>
      <c r="AL13" s="22">
        <f>IF(AND(AL9&gt;=YEAR(Input!$H$12),AL9&lt;YEAR(Input!$H$16)),1,IF(AL9=YEAR(Input!$H$16),YEARFRAC(Расчеты!AL2,Input!$H$16,3),0))</f>
        <v>0</v>
      </c>
      <c r="AM13" s="22">
        <f>IF(AND(AM9&gt;=YEAR(Input!$H$12),AM9&lt;YEAR(Input!$H$16)),1,IF(AM9=YEAR(Input!$H$16),YEARFRAC(Расчеты!AM2,Input!$H$16,3),0))</f>
        <v>0</v>
      </c>
      <c r="AN13" s="22">
        <f>IF(AND(AN9&gt;=YEAR(Input!$H$12),AN9&lt;YEAR(Input!$H$16)),1,IF(AN9=YEAR(Input!$H$16),YEARFRAC(Расчеты!AN2,Input!$H$16,3),0))</f>
        <v>0</v>
      </c>
    </row>
    <row r="14" spans="1:45" ht="14.4" customHeight="1" outlineLevel="1" x14ac:dyDescent="0.3">
      <c r="C14" s="1" t="s">
        <v>133</v>
      </c>
      <c r="H14" s="26" t="s">
        <v>11</v>
      </c>
      <c r="L14" s="130">
        <f>IFERROR(L3-L2+1,"")</f>
        <v>366</v>
      </c>
      <c r="M14" s="130">
        <f t="shared" ref="M14:AN14" si="21">IFERROR(M3-M2+1,"")</f>
        <v>365</v>
      </c>
      <c r="N14" s="130">
        <f t="shared" si="21"/>
        <v>365</v>
      </c>
      <c r="O14" s="130">
        <f t="shared" si="21"/>
        <v>365</v>
      </c>
      <c r="P14" s="130">
        <f t="shared" si="21"/>
        <v>366</v>
      </c>
      <c r="Q14" s="130">
        <f t="shared" si="21"/>
        <v>365</v>
      </c>
      <c r="R14" s="130">
        <f t="shared" si="21"/>
        <v>365</v>
      </c>
      <c r="S14" s="130">
        <f t="shared" si="21"/>
        <v>365</v>
      </c>
      <c r="T14" s="130">
        <f t="shared" si="21"/>
        <v>366</v>
      </c>
      <c r="U14" s="130">
        <f t="shared" si="21"/>
        <v>365</v>
      </c>
      <c r="V14" s="130">
        <f t="shared" si="21"/>
        <v>365</v>
      </c>
      <c r="W14" s="130">
        <f t="shared" si="21"/>
        <v>365</v>
      </c>
      <c r="X14" s="130">
        <f t="shared" si="21"/>
        <v>366</v>
      </c>
      <c r="Y14" s="130">
        <f t="shared" si="21"/>
        <v>365</v>
      </c>
      <c r="Z14" s="130">
        <f t="shared" si="21"/>
        <v>365</v>
      </c>
      <c r="AA14" s="130">
        <f t="shared" si="21"/>
        <v>365</v>
      </c>
      <c r="AB14" s="130">
        <f t="shared" si="21"/>
        <v>366</v>
      </c>
      <c r="AC14" s="130">
        <f t="shared" si="21"/>
        <v>365</v>
      </c>
      <c r="AD14" s="130" t="str">
        <f t="shared" si="21"/>
        <v/>
      </c>
      <c r="AE14" s="130" t="str">
        <f t="shared" si="21"/>
        <v/>
      </c>
      <c r="AF14" s="130" t="str">
        <f t="shared" si="21"/>
        <v/>
      </c>
      <c r="AG14" s="130" t="str">
        <f t="shared" si="21"/>
        <v/>
      </c>
      <c r="AH14" s="130" t="str">
        <f t="shared" si="21"/>
        <v/>
      </c>
      <c r="AI14" s="130" t="str">
        <f t="shared" si="21"/>
        <v/>
      </c>
      <c r="AJ14" s="130" t="str">
        <f t="shared" si="21"/>
        <v/>
      </c>
      <c r="AK14" s="130" t="str">
        <f t="shared" si="21"/>
        <v/>
      </c>
      <c r="AL14" s="130" t="str">
        <f t="shared" si="21"/>
        <v/>
      </c>
      <c r="AM14" s="130" t="str">
        <f t="shared" si="21"/>
        <v/>
      </c>
      <c r="AN14" s="130" t="str">
        <f t="shared" si="21"/>
        <v/>
      </c>
      <c r="AO14" s="28"/>
    </row>
    <row r="15" spans="1:45" ht="14.4" customHeight="1" outlineLevel="1" x14ac:dyDescent="0.3">
      <c r="C15" s="1" t="s">
        <v>276</v>
      </c>
      <c r="H15" s="26" t="s">
        <v>11</v>
      </c>
      <c r="L15" s="130">
        <f>IFERROR(L14*24,"")</f>
        <v>8784</v>
      </c>
      <c r="M15" s="130">
        <f t="shared" ref="M15:AN15" si="22">IFERROR(M14*24,"")</f>
        <v>8760</v>
      </c>
      <c r="N15" s="130">
        <f t="shared" si="22"/>
        <v>8760</v>
      </c>
      <c r="O15" s="130">
        <f t="shared" si="22"/>
        <v>8760</v>
      </c>
      <c r="P15" s="130">
        <f t="shared" si="22"/>
        <v>8784</v>
      </c>
      <c r="Q15" s="130">
        <f t="shared" si="22"/>
        <v>8760</v>
      </c>
      <c r="R15" s="130">
        <f t="shared" si="22"/>
        <v>8760</v>
      </c>
      <c r="S15" s="130">
        <f t="shared" si="22"/>
        <v>8760</v>
      </c>
      <c r="T15" s="130">
        <f t="shared" si="22"/>
        <v>8784</v>
      </c>
      <c r="U15" s="130">
        <f t="shared" si="22"/>
        <v>8760</v>
      </c>
      <c r="V15" s="130">
        <f t="shared" si="22"/>
        <v>8760</v>
      </c>
      <c r="W15" s="130">
        <f t="shared" si="22"/>
        <v>8760</v>
      </c>
      <c r="X15" s="130">
        <f t="shared" si="22"/>
        <v>8784</v>
      </c>
      <c r="Y15" s="130">
        <f t="shared" si="22"/>
        <v>8760</v>
      </c>
      <c r="Z15" s="130">
        <f t="shared" si="22"/>
        <v>8760</v>
      </c>
      <c r="AA15" s="130">
        <f t="shared" si="22"/>
        <v>8760</v>
      </c>
      <c r="AB15" s="130">
        <f t="shared" si="22"/>
        <v>8784</v>
      </c>
      <c r="AC15" s="130">
        <f t="shared" si="22"/>
        <v>8760</v>
      </c>
      <c r="AD15" s="130" t="str">
        <f t="shared" si="22"/>
        <v/>
      </c>
      <c r="AE15" s="130" t="str">
        <f t="shared" si="22"/>
        <v/>
      </c>
      <c r="AF15" s="130" t="str">
        <f t="shared" si="22"/>
        <v/>
      </c>
      <c r="AG15" s="130" t="str">
        <f t="shared" si="22"/>
        <v/>
      </c>
      <c r="AH15" s="130" t="str">
        <f t="shared" si="22"/>
        <v/>
      </c>
      <c r="AI15" s="130" t="str">
        <f t="shared" si="22"/>
        <v/>
      </c>
      <c r="AJ15" s="130" t="str">
        <f t="shared" si="22"/>
        <v/>
      </c>
      <c r="AK15" s="130" t="str">
        <f t="shared" si="22"/>
        <v/>
      </c>
      <c r="AL15" s="130" t="str">
        <f t="shared" si="22"/>
        <v/>
      </c>
      <c r="AM15" s="130" t="str">
        <f t="shared" si="22"/>
        <v/>
      </c>
      <c r="AN15" s="130" t="str">
        <f t="shared" si="22"/>
        <v/>
      </c>
      <c r="AO15" s="28"/>
    </row>
    <row r="16" spans="1:45" ht="14.4" customHeight="1" outlineLevel="1" x14ac:dyDescent="0.3">
      <c r="C16" s="1" t="s">
        <v>156</v>
      </c>
      <c r="H16" s="26" t="s">
        <v>11</v>
      </c>
      <c r="K16" s="126"/>
      <c r="L16" s="130">
        <f>IF(L9=YEAR(Input!$H$12),1,IF(AND(Расчеты!L9&gt;YEAR(Input!$H$12),Расчеты!L9&lt;=YEAR(Input!$H$14)),Расчеты!K16+1,0))</f>
        <v>0</v>
      </c>
      <c r="M16" s="130">
        <f>IF(M9=YEAR(Input!$H$12),1,IF(AND(Расчеты!M9&gt;YEAR(Input!$H$12),Расчеты!M9&lt;=YEAR(Input!$H$14)),Расчеты!L16+1,0))</f>
        <v>0</v>
      </c>
      <c r="N16" s="130">
        <f>IF(N9=YEAR(Input!$H$12),1,IF(AND(Расчеты!N9&gt;YEAR(Input!$H$12),Расчеты!N9&lt;=YEAR(Input!$H$14)),Расчеты!M16+1,0))</f>
        <v>1</v>
      </c>
      <c r="O16" s="130">
        <f>IF(O9=YEAR(Input!$H$12),1,IF(AND(Расчеты!O9&gt;YEAR(Input!$H$12),Расчеты!O9&lt;=YEAR(Input!$H$14)),Расчеты!N16+1,0))</f>
        <v>2</v>
      </c>
      <c r="P16" s="130">
        <f>IF(P9=YEAR(Input!$H$12),1,IF(AND(Расчеты!P9&gt;YEAR(Input!$H$12),Расчеты!P9&lt;=YEAR(Input!$H$14)),Расчеты!O16+1,0))</f>
        <v>3</v>
      </c>
      <c r="Q16" s="130">
        <f>IF(Q9=YEAR(Input!$H$12),1,IF(AND(Расчеты!Q9&gt;YEAR(Input!$H$12),Расчеты!Q9&lt;=YEAR(Input!$H$14)),Расчеты!P16+1,0))</f>
        <v>4</v>
      </c>
      <c r="R16" s="130">
        <f>IF(R9=YEAR(Input!$H$12),1,IF(AND(Расчеты!R9&gt;YEAR(Input!$H$12),Расчеты!R9&lt;=YEAR(Input!$H$14)),Расчеты!Q16+1,0))</f>
        <v>5</v>
      </c>
      <c r="S16" s="130">
        <f>IF(S9=YEAR(Input!$H$12),1,IF(AND(Расчеты!S9&gt;YEAR(Input!$H$12),Расчеты!S9&lt;=YEAR(Input!$H$14)),Расчеты!R16+1,0))</f>
        <v>6</v>
      </c>
      <c r="T16" s="130">
        <f>IF(T9=YEAR(Input!$H$12),1,IF(AND(Расчеты!T9&gt;YEAR(Input!$H$12),Расчеты!T9&lt;=YEAR(Input!$H$14)),Расчеты!S16+1,0))</f>
        <v>7</v>
      </c>
      <c r="U16" s="130">
        <f>IF(U9=YEAR(Input!$H$12),1,IF(AND(Расчеты!U9&gt;YEAR(Input!$H$12),Расчеты!U9&lt;=YEAR(Input!$H$14)),Расчеты!T16+1,0))</f>
        <v>8</v>
      </c>
      <c r="V16" s="130">
        <f>IF(V9=YEAR(Input!$H$12),1,IF(AND(Расчеты!V9&gt;YEAR(Input!$H$12),Расчеты!V9&lt;=YEAR(Input!$H$14)),Расчеты!U16+1,0))</f>
        <v>9</v>
      </c>
      <c r="W16" s="130">
        <f>IF(W9=YEAR(Input!$H$12),1,IF(AND(Расчеты!W9&gt;YEAR(Input!$H$12),Расчеты!W9&lt;=YEAR(Input!$H$14)),Расчеты!V16+1,0))</f>
        <v>10</v>
      </c>
      <c r="X16" s="130">
        <f>IF(X9=YEAR(Input!$H$12),1,IF(AND(Расчеты!X9&gt;YEAR(Input!$H$12),Расчеты!X9&lt;=YEAR(Input!$H$14)),Расчеты!W16+1,0))</f>
        <v>11</v>
      </c>
      <c r="Y16" s="130">
        <f>IF(Y9=YEAR(Input!$H$12),1,IF(AND(Расчеты!Y9&gt;YEAR(Input!$H$12),Расчеты!Y9&lt;=YEAR(Input!$H$14)),Расчеты!X16+1,0))</f>
        <v>12</v>
      </c>
      <c r="Z16" s="130">
        <f>IF(Z9=YEAR(Input!$H$12),1,IF(AND(Расчеты!Z9&gt;YEAR(Input!$H$12),Расчеты!Z9&lt;=YEAR(Input!$H$14)),Расчеты!Y16+1,0))</f>
        <v>13</v>
      </c>
      <c r="AA16" s="130">
        <f>IF(AA9=YEAR(Input!$H$12),1,IF(AND(Расчеты!AA9&gt;YEAR(Input!$H$12),Расчеты!AA9&lt;=YEAR(Input!$H$14)),Расчеты!Z16+1,0))</f>
        <v>14</v>
      </c>
      <c r="AB16" s="130">
        <f>IF(AB9=YEAR(Input!$H$12),1,IF(AND(Расчеты!AB9&gt;YEAR(Input!$H$12),Расчеты!AB9&lt;=YEAR(Input!$H$14)),Расчеты!AA16+1,0))</f>
        <v>15</v>
      </c>
      <c r="AC16" s="130">
        <f>IF(AC9=YEAR(Input!$H$12),1,IF(AND(Расчеты!AC9&gt;YEAR(Input!$H$12),Расчеты!AC9&lt;=YEAR(Input!$H$14)),Расчеты!AB16+1,0))</f>
        <v>16</v>
      </c>
      <c r="AD16" s="130">
        <f>IF(AD9=YEAR(Input!$H$12),1,IF(AND(Расчеты!AD9&gt;YEAR(Input!$H$12),Расчеты!AD9&lt;=YEAR(Input!$H$14)),Расчеты!AC16+1,0))</f>
        <v>0</v>
      </c>
      <c r="AE16" s="130">
        <f>IF(AE9=YEAR(Input!$H$12),1,IF(AND(Расчеты!AE9&gt;YEAR(Input!$H$12),Расчеты!AE9&lt;=YEAR(Input!$H$14)),Расчеты!AD16+1,0))</f>
        <v>0</v>
      </c>
      <c r="AF16" s="130">
        <f>IF(AF9=YEAR(Input!$H$12),1,IF(AND(Расчеты!AF9&gt;YEAR(Input!$H$12),Расчеты!AF9&lt;=YEAR(Input!$H$14)),Расчеты!AE16+1,0))</f>
        <v>0</v>
      </c>
      <c r="AG16" s="130">
        <f>IF(AG9=YEAR(Input!$H$12),1,IF(AND(Расчеты!AG9&gt;YEAR(Input!$H$12),Расчеты!AG9&lt;=YEAR(Input!$H$14)),Расчеты!AF16+1,0))</f>
        <v>0</v>
      </c>
      <c r="AH16" s="130">
        <f>IF(AH9=YEAR(Input!$H$12),1,IF(AND(Расчеты!AH9&gt;YEAR(Input!$H$12),Расчеты!AH9&lt;=YEAR(Input!$H$14)),Расчеты!AG16+1,0))</f>
        <v>0</v>
      </c>
      <c r="AI16" s="130">
        <f>IF(AI9=YEAR(Input!$H$12),1,IF(AND(Расчеты!AI9&gt;YEAR(Input!$H$12),Расчеты!AI9&lt;=YEAR(Input!$H$14)),Расчеты!AH16+1,0))</f>
        <v>0</v>
      </c>
      <c r="AJ16" s="130">
        <f>IF(AJ9=YEAR(Input!$H$12),1,IF(AND(Расчеты!AJ9&gt;YEAR(Input!$H$12),Расчеты!AJ9&lt;=YEAR(Input!$H$14)),Расчеты!AI16+1,0))</f>
        <v>0</v>
      </c>
      <c r="AK16" s="130">
        <f>IF(AK9=YEAR(Input!$H$12),1,IF(AND(Расчеты!AK9&gt;YEAR(Input!$H$12),Расчеты!AK9&lt;=YEAR(Input!$H$14)),Расчеты!AJ16+1,0))</f>
        <v>0</v>
      </c>
      <c r="AL16" s="130">
        <f>IF(AL9=YEAR(Input!$H$12),1,IF(AND(Расчеты!AL9&gt;YEAR(Input!$H$12),Расчеты!AL9&lt;=YEAR(Input!$H$14)),Расчеты!AK16+1,0))</f>
        <v>0</v>
      </c>
      <c r="AM16" s="130">
        <f>IF(AM9=YEAR(Input!$H$12),1,IF(AND(Расчеты!AM9&gt;YEAR(Input!$H$12),Расчеты!AM9&lt;=YEAR(Input!$H$14)),Расчеты!AL16+1,0))</f>
        <v>0</v>
      </c>
      <c r="AN16" s="130">
        <f>IF(AN9=YEAR(Input!$H$12),1,IF(AND(Расчеты!AN9&gt;YEAR(Input!$H$12),Расчеты!AN9&lt;=YEAR(Input!$H$14)),Расчеты!AM16+1,0))</f>
        <v>0</v>
      </c>
      <c r="AO16" s="28"/>
    </row>
    <row r="17" spans="1:41" ht="14.4" customHeight="1" outlineLevel="1" x14ac:dyDescent="0.3">
      <c r="C17" s="1" t="s">
        <v>371</v>
      </c>
      <c r="H17" s="26" t="s">
        <v>11</v>
      </c>
      <c r="K17" s="126"/>
      <c r="L17" s="130">
        <f>IF(OR(L9&lt;YEAR(Input!$H$10),L9&gt;YEAR(Input!$H$14)),0,1)</f>
        <v>0</v>
      </c>
      <c r="M17" s="130">
        <f>IF(OR(M9&lt;YEAR(Input!$H$10),M9&gt;YEAR(Input!$H$14)),0,1)</f>
        <v>1</v>
      </c>
      <c r="N17" s="130">
        <f>IF(OR(N9&lt;YEAR(Input!$H$10),N9&gt;YEAR(Input!$H$14)),0,1)</f>
        <v>1</v>
      </c>
      <c r="O17" s="130">
        <f>IF(OR(O9&lt;YEAR(Input!$H$10),O9&gt;YEAR(Input!$H$14)),0,1)</f>
        <v>1</v>
      </c>
      <c r="P17" s="130">
        <f>IF(OR(P9&lt;YEAR(Input!$H$10),P9&gt;YEAR(Input!$H$14)),0,1)</f>
        <v>1</v>
      </c>
      <c r="Q17" s="130">
        <f>IF(OR(Q9&lt;YEAR(Input!$H$10),Q9&gt;YEAR(Input!$H$14)),0,1)</f>
        <v>1</v>
      </c>
      <c r="R17" s="130">
        <f>IF(OR(R9&lt;YEAR(Input!$H$10),R9&gt;YEAR(Input!$H$14)),0,1)</f>
        <v>1</v>
      </c>
      <c r="S17" s="130">
        <f>IF(OR(S9&lt;YEAR(Input!$H$10),S9&gt;YEAR(Input!$H$14)),0,1)</f>
        <v>1</v>
      </c>
      <c r="T17" s="130">
        <f>IF(OR(T9&lt;YEAR(Input!$H$10),T9&gt;YEAR(Input!$H$14)),0,1)</f>
        <v>1</v>
      </c>
      <c r="U17" s="130">
        <f>IF(OR(U9&lt;YEAR(Input!$H$10),U9&gt;YEAR(Input!$H$14)),0,1)</f>
        <v>1</v>
      </c>
      <c r="V17" s="130">
        <f>IF(OR(V9&lt;YEAR(Input!$H$10),V9&gt;YEAR(Input!$H$14)),0,1)</f>
        <v>1</v>
      </c>
      <c r="W17" s="130">
        <f>IF(OR(W9&lt;YEAR(Input!$H$10),W9&gt;YEAR(Input!$H$14)),0,1)</f>
        <v>1</v>
      </c>
      <c r="X17" s="130">
        <f>IF(OR(X9&lt;YEAR(Input!$H$10),X9&gt;YEAR(Input!$H$14)),0,1)</f>
        <v>1</v>
      </c>
      <c r="Y17" s="130">
        <f>IF(OR(Y9&lt;YEAR(Input!$H$10),Y9&gt;YEAR(Input!$H$14)),0,1)</f>
        <v>1</v>
      </c>
      <c r="Z17" s="130">
        <f>IF(OR(Z9&lt;YEAR(Input!$H$10),Z9&gt;YEAR(Input!$H$14)),0,1)</f>
        <v>1</v>
      </c>
      <c r="AA17" s="130">
        <f>IF(OR(AA9&lt;YEAR(Input!$H$10),AA9&gt;YEAR(Input!$H$14)),0,1)</f>
        <v>1</v>
      </c>
      <c r="AB17" s="130">
        <f>IF(OR(AB9&lt;YEAR(Input!$H$10),AB9&gt;YEAR(Input!$H$14)),0,1)</f>
        <v>1</v>
      </c>
      <c r="AC17" s="130">
        <f>IF(OR(AC9&lt;YEAR(Input!$H$10),AC9&gt;YEAR(Input!$H$14)),0,1)</f>
        <v>1</v>
      </c>
      <c r="AD17" s="130">
        <f>IF(OR(AD9&lt;YEAR(Input!$H$10),AD9&gt;YEAR(Input!$H$14)),0,1)</f>
        <v>0</v>
      </c>
      <c r="AE17" s="130">
        <f>IF(OR(AE9&lt;YEAR(Input!$H$10),AE9&gt;YEAR(Input!$H$14)),0,1)</f>
        <v>0</v>
      </c>
      <c r="AF17" s="130">
        <f>IF(OR(AF9&lt;YEAR(Input!$H$10),AF9&gt;YEAR(Input!$H$14)),0,1)</f>
        <v>0</v>
      </c>
      <c r="AG17" s="130">
        <f>IF(OR(AG9&lt;YEAR(Input!$H$10),AG9&gt;YEAR(Input!$H$14)),0,1)</f>
        <v>0</v>
      </c>
      <c r="AH17" s="130">
        <f>IF(OR(AH9&lt;YEAR(Input!$H$10),AH9&gt;YEAR(Input!$H$14)),0,1)</f>
        <v>0</v>
      </c>
      <c r="AI17" s="130">
        <f>IF(OR(AI9&lt;YEAR(Input!$H$10),AI9&gt;YEAR(Input!$H$14)),0,1)</f>
        <v>0</v>
      </c>
      <c r="AJ17" s="130">
        <f>IF(OR(AJ9&lt;YEAR(Input!$H$10),AJ9&gt;YEAR(Input!$H$14)),0,1)</f>
        <v>0</v>
      </c>
      <c r="AK17" s="130">
        <f>IF(OR(AK9&lt;YEAR(Input!$H$10),AK9&gt;YEAR(Input!$H$14)),0,1)</f>
        <v>0</v>
      </c>
      <c r="AL17" s="130">
        <f>IF(OR(AL9&lt;YEAR(Input!$H$10),AL9&gt;YEAR(Input!$H$14)),0,1)</f>
        <v>0</v>
      </c>
      <c r="AM17" s="130">
        <f>IF(OR(AM9&lt;YEAR(Input!$H$10),AM9&gt;YEAR(Input!$H$14)),0,1)</f>
        <v>0</v>
      </c>
      <c r="AN17" s="130">
        <f>IF(OR(AN9&lt;YEAR(Input!$H$10),AN9&gt;YEAR(Input!$H$14)),0,1)</f>
        <v>0</v>
      </c>
      <c r="AO17" s="28"/>
    </row>
    <row r="18" spans="1:41" ht="14.4" customHeight="1" outlineLevel="1" thickBot="1" x14ac:dyDescent="0.35"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28"/>
    </row>
    <row r="19" spans="1:41" s="106" customFormat="1" ht="18" customHeight="1" thickTop="1" thickBot="1" x14ac:dyDescent="0.35">
      <c r="A19" s="53"/>
      <c r="B19" s="53"/>
      <c r="C19" s="50" t="s">
        <v>265</v>
      </c>
      <c r="D19" s="51"/>
      <c r="E19" s="51"/>
      <c r="F19" s="51"/>
      <c r="G19" s="51"/>
      <c r="H19" s="52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spans="1:41" ht="14.4" customHeight="1" outlineLevel="1" thickTop="1" x14ac:dyDescent="0.3"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28"/>
    </row>
    <row r="21" spans="1:41" ht="14.4" customHeight="1" outlineLevel="1" x14ac:dyDescent="0.3">
      <c r="C21" s="1" t="s">
        <v>266</v>
      </c>
      <c r="H21" s="26" t="s">
        <v>11</v>
      </c>
      <c r="L21" s="130">
        <f t="shared" ref="L21:AN21" si="23">IFERROR(IF(AND((INDEX($L$119:$AC$119,MATCH(L$423,$L$118:$AC$118,1)))="ТР",K$423&lt;INDEX($L$118:$AC$118,MATCH(L$423,$L$118:$AC$118,1))),1,0),0)</f>
        <v>0</v>
      </c>
      <c r="M21" s="130">
        <f t="shared" si="23"/>
        <v>0</v>
      </c>
      <c r="N21" s="130">
        <f>IFERROR(IF(AND((INDEX($L$119:$AC$119,MATCH(N$423,$L$118:$AC$118,1)))="ТР",M$423&lt;INDEX($L$118:$AC$118,MATCH(N$423,$L$118:$AC$118,1))),1,0),0)</f>
        <v>0</v>
      </c>
      <c r="O21" s="130">
        <f t="shared" si="23"/>
        <v>1</v>
      </c>
      <c r="P21" s="130">
        <f t="shared" si="23"/>
        <v>1</v>
      </c>
      <c r="Q21" s="130">
        <f t="shared" si="23"/>
        <v>1</v>
      </c>
      <c r="R21" s="130">
        <f t="shared" si="23"/>
        <v>0</v>
      </c>
      <c r="S21" s="130">
        <f>IFERROR(IF(AND((INDEX($L$119:$AC$119,MATCH(S$423,$L$118:$AC$118,1)))="ТР",R$423&lt;INDEX($L$118:$AC$118,MATCH(S$423,$L$118:$AC$118,1))),1,0),0)</f>
        <v>1</v>
      </c>
      <c r="T21" s="130">
        <f t="shared" si="23"/>
        <v>1</v>
      </c>
      <c r="U21" s="130">
        <f t="shared" si="23"/>
        <v>1</v>
      </c>
      <c r="V21" s="130">
        <f t="shared" si="23"/>
        <v>1</v>
      </c>
      <c r="W21" s="130">
        <f t="shared" si="23"/>
        <v>0</v>
      </c>
      <c r="X21" s="130">
        <f t="shared" si="23"/>
        <v>1</v>
      </c>
      <c r="Y21" s="130">
        <f t="shared" si="23"/>
        <v>1</v>
      </c>
      <c r="Z21" s="130">
        <f t="shared" si="23"/>
        <v>0</v>
      </c>
      <c r="AA21" s="130">
        <f t="shared" si="23"/>
        <v>1</v>
      </c>
      <c r="AB21" s="130">
        <f t="shared" si="23"/>
        <v>1</v>
      </c>
      <c r="AC21" s="130">
        <f t="shared" si="23"/>
        <v>0</v>
      </c>
      <c r="AD21" s="130">
        <f t="shared" si="23"/>
        <v>0</v>
      </c>
      <c r="AE21" s="130">
        <f t="shared" si="23"/>
        <v>0</v>
      </c>
      <c r="AF21" s="130">
        <f t="shared" si="23"/>
        <v>0</v>
      </c>
      <c r="AG21" s="130">
        <f t="shared" si="23"/>
        <v>0</v>
      </c>
      <c r="AH21" s="130">
        <f t="shared" si="23"/>
        <v>0</v>
      </c>
      <c r="AI21" s="130">
        <f t="shared" si="23"/>
        <v>0</v>
      </c>
      <c r="AJ21" s="130">
        <f t="shared" si="23"/>
        <v>0</v>
      </c>
      <c r="AK21" s="130">
        <f t="shared" si="23"/>
        <v>0</v>
      </c>
      <c r="AL21" s="130">
        <f t="shared" si="23"/>
        <v>0</v>
      </c>
      <c r="AM21" s="130">
        <f t="shared" si="23"/>
        <v>0</v>
      </c>
      <c r="AN21" s="130">
        <f t="shared" si="23"/>
        <v>0</v>
      </c>
    </row>
    <row r="22" spans="1:41" ht="14.4" customHeight="1" outlineLevel="1" x14ac:dyDescent="0.3">
      <c r="C22" s="1" t="s">
        <v>267</v>
      </c>
      <c r="H22" s="26" t="s">
        <v>11</v>
      </c>
      <c r="L22" s="130">
        <f t="shared" ref="L22:AN22" si="24">IFERROR(IF(AND((INDEX($L$119:$AC$119,MATCH(L$423,$L$118:$AC$118,1)))="СР",K$423&lt;INDEX($L$118:$AC$118,MATCH(L$423,$L$118:$AC$118,1))),1,0),0)</f>
        <v>0</v>
      </c>
      <c r="M22" s="130">
        <f t="shared" si="24"/>
        <v>0</v>
      </c>
      <c r="N22" s="130">
        <f t="shared" si="24"/>
        <v>0</v>
      </c>
      <c r="O22" s="130">
        <f t="shared" si="24"/>
        <v>0</v>
      </c>
      <c r="P22" s="130">
        <f t="shared" si="24"/>
        <v>0</v>
      </c>
      <c r="Q22" s="130">
        <f t="shared" si="24"/>
        <v>0</v>
      </c>
      <c r="R22" s="130">
        <f t="shared" si="24"/>
        <v>1</v>
      </c>
      <c r="S22" s="130">
        <f t="shared" si="24"/>
        <v>0</v>
      </c>
      <c r="T22" s="130">
        <f t="shared" si="24"/>
        <v>0</v>
      </c>
      <c r="U22" s="130">
        <f t="shared" si="24"/>
        <v>0</v>
      </c>
      <c r="V22" s="130">
        <f t="shared" si="24"/>
        <v>0</v>
      </c>
      <c r="W22" s="130">
        <f t="shared" si="24"/>
        <v>1</v>
      </c>
      <c r="X22" s="130">
        <f t="shared" si="24"/>
        <v>0</v>
      </c>
      <c r="Y22" s="130">
        <f t="shared" si="24"/>
        <v>0</v>
      </c>
      <c r="Z22" s="130">
        <f t="shared" si="24"/>
        <v>0</v>
      </c>
      <c r="AA22" s="130">
        <f t="shared" si="24"/>
        <v>0</v>
      </c>
      <c r="AB22" s="130">
        <f t="shared" si="24"/>
        <v>0</v>
      </c>
      <c r="AC22" s="130">
        <f t="shared" si="24"/>
        <v>0</v>
      </c>
      <c r="AD22" s="130">
        <f t="shared" si="24"/>
        <v>0</v>
      </c>
      <c r="AE22" s="130">
        <f t="shared" si="24"/>
        <v>0</v>
      </c>
      <c r="AF22" s="130">
        <f t="shared" si="24"/>
        <v>0</v>
      </c>
      <c r="AG22" s="130">
        <f t="shared" si="24"/>
        <v>0</v>
      </c>
      <c r="AH22" s="130">
        <f t="shared" si="24"/>
        <v>0</v>
      </c>
      <c r="AI22" s="130">
        <f t="shared" si="24"/>
        <v>0</v>
      </c>
      <c r="AJ22" s="130">
        <f t="shared" si="24"/>
        <v>0</v>
      </c>
      <c r="AK22" s="130">
        <f t="shared" si="24"/>
        <v>0</v>
      </c>
      <c r="AL22" s="130">
        <f t="shared" si="24"/>
        <v>0</v>
      </c>
      <c r="AM22" s="130">
        <f t="shared" si="24"/>
        <v>0</v>
      </c>
      <c r="AN22" s="130">
        <f t="shared" si="24"/>
        <v>0</v>
      </c>
    </row>
    <row r="23" spans="1:41" ht="14.4" customHeight="1" outlineLevel="1" x14ac:dyDescent="0.3">
      <c r="C23" s="1" t="s">
        <v>268</v>
      </c>
      <c r="H23" s="26" t="s">
        <v>11</v>
      </c>
      <c r="L23" s="130">
        <f t="shared" ref="L23:AN23" si="25">IFERROR(IF(AND((INDEX($L$119:$AC$119,MATCH(L$423,$L$118:$AC$118,1)))="КР",K$423&lt;INDEX($L$118:$AC$118,MATCH(L$423,$L$118:$AC$118,1))),1,0),0)</f>
        <v>0</v>
      </c>
      <c r="M23" s="130">
        <f t="shared" si="25"/>
        <v>0</v>
      </c>
      <c r="N23" s="130">
        <f t="shared" si="25"/>
        <v>0</v>
      </c>
      <c r="O23" s="130">
        <f t="shared" si="25"/>
        <v>0</v>
      </c>
      <c r="P23" s="130">
        <f t="shared" si="25"/>
        <v>0</v>
      </c>
      <c r="Q23" s="130">
        <f t="shared" si="25"/>
        <v>0</v>
      </c>
      <c r="R23" s="130">
        <f t="shared" si="25"/>
        <v>0</v>
      </c>
      <c r="S23" s="130">
        <f t="shared" si="25"/>
        <v>0</v>
      </c>
      <c r="T23" s="130">
        <f t="shared" si="25"/>
        <v>0</v>
      </c>
      <c r="U23" s="130">
        <f t="shared" si="25"/>
        <v>0</v>
      </c>
      <c r="V23" s="130">
        <f t="shared" si="25"/>
        <v>0</v>
      </c>
      <c r="W23" s="130">
        <f t="shared" si="25"/>
        <v>0</v>
      </c>
      <c r="X23" s="130">
        <f t="shared" si="25"/>
        <v>0</v>
      </c>
      <c r="Y23" s="130">
        <f t="shared" si="25"/>
        <v>0</v>
      </c>
      <c r="Z23" s="130">
        <f t="shared" si="25"/>
        <v>1</v>
      </c>
      <c r="AA23" s="130">
        <f t="shared" si="25"/>
        <v>0</v>
      </c>
      <c r="AB23" s="130">
        <f t="shared" si="25"/>
        <v>0</v>
      </c>
      <c r="AC23" s="130">
        <f t="shared" si="25"/>
        <v>0</v>
      </c>
      <c r="AD23" s="130">
        <f t="shared" si="25"/>
        <v>0</v>
      </c>
      <c r="AE23" s="130">
        <f t="shared" si="25"/>
        <v>0</v>
      </c>
      <c r="AF23" s="130">
        <f t="shared" si="25"/>
        <v>0</v>
      </c>
      <c r="AG23" s="130">
        <f t="shared" si="25"/>
        <v>0</v>
      </c>
      <c r="AH23" s="130">
        <f t="shared" si="25"/>
        <v>0</v>
      </c>
      <c r="AI23" s="130">
        <f t="shared" si="25"/>
        <v>0</v>
      </c>
      <c r="AJ23" s="130">
        <f t="shared" si="25"/>
        <v>0</v>
      </c>
      <c r="AK23" s="130">
        <f t="shared" si="25"/>
        <v>0</v>
      </c>
      <c r="AL23" s="130">
        <f t="shared" si="25"/>
        <v>0</v>
      </c>
      <c r="AM23" s="130">
        <f t="shared" si="25"/>
        <v>0</v>
      </c>
      <c r="AN23" s="130">
        <f t="shared" si="25"/>
        <v>0</v>
      </c>
    </row>
    <row r="24" spans="1:41" ht="14.4" customHeight="1" outlineLevel="1" x14ac:dyDescent="0.3">
      <c r="C24" s="1" t="s">
        <v>269</v>
      </c>
      <c r="H24" s="26" t="s">
        <v>11</v>
      </c>
      <c r="L24" s="130">
        <f>IFERROR(IF(AND((INDEX($L$129:$AC$129,MATCH(L$131,$L$128:$AC$128,1)))="ТР",K$131&lt;INDEX($L$128:$AC$128,MATCH(L$131,$L$128:$AC$128,1))),1,0),0)</f>
        <v>0</v>
      </c>
      <c r="M24" s="130">
        <f t="shared" ref="M24:AN24" si="26">IFERROR(IF(AND((INDEX($L$129:$AC$129,MATCH(M$131,$L$128:$AC$128,1)))="ТР",L$131&lt;INDEX($L$128:$AC$128,MATCH(M$131,$L$128:$AC$128,1))),1,0),0)</f>
        <v>0</v>
      </c>
      <c r="N24" s="130">
        <f t="shared" si="26"/>
        <v>0</v>
      </c>
      <c r="O24" s="130">
        <f t="shared" si="26"/>
        <v>1</v>
      </c>
      <c r="P24" s="130">
        <f t="shared" si="26"/>
        <v>1</v>
      </c>
      <c r="Q24" s="130">
        <f t="shared" si="26"/>
        <v>1</v>
      </c>
      <c r="R24" s="130">
        <f t="shared" si="26"/>
        <v>1</v>
      </c>
      <c r="S24" s="130">
        <f t="shared" si="26"/>
        <v>1</v>
      </c>
      <c r="T24" s="130">
        <f t="shared" si="26"/>
        <v>0</v>
      </c>
      <c r="U24" s="130">
        <f t="shared" si="26"/>
        <v>1</v>
      </c>
      <c r="V24" s="130">
        <f t="shared" si="26"/>
        <v>0</v>
      </c>
      <c r="W24" s="130">
        <f t="shared" si="26"/>
        <v>1</v>
      </c>
      <c r="X24" s="130">
        <f t="shared" si="26"/>
        <v>0</v>
      </c>
      <c r="Y24" s="130">
        <f t="shared" si="26"/>
        <v>0</v>
      </c>
      <c r="Z24" s="130">
        <f t="shared" si="26"/>
        <v>1</v>
      </c>
      <c r="AA24" s="130">
        <f t="shared" si="26"/>
        <v>1</v>
      </c>
      <c r="AB24" s="130">
        <f t="shared" si="26"/>
        <v>1</v>
      </c>
      <c r="AC24" s="130">
        <f t="shared" si="26"/>
        <v>0</v>
      </c>
      <c r="AD24" s="130">
        <f t="shared" si="26"/>
        <v>0</v>
      </c>
      <c r="AE24" s="130">
        <f t="shared" si="26"/>
        <v>0</v>
      </c>
      <c r="AF24" s="130">
        <f t="shared" si="26"/>
        <v>0</v>
      </c>
      <c r="AG24" s="130">
        <f t="shared" si="26"/>
        <v>0</v>
      </c>
      <c r="AH24" s="130">
        <f t="shared" si="26"/>
        <v>0</v>
      </c>
      <c r="AI24" s="130">
        <f t="shared" si="26"/>
        <v>0</v>
      </c>
      <c r="AJ24" s="130">
        <f t="shared" si="26"/>
        <v>0</v>
      </c>
      <c r="AK24" s="130">
        <f t="shared" si="26"/>
        <v>0</v>
      </c>
      <c r="AL24" s="130">
        <f t="shared" si="26"/>
        <v>0</v>
      </c>
      <c r="AM24" s="130">
        <f t="shared" si="26"/>
        <v>0</v>
      </c>
      <c r="AN24" s="130">
        <f t="shared" si="26"/>
        <v>0</v>
      </c>
    </row>
    <row r="25" spans="1:41" ht="14.4" customHeight="1" outlineLevel="1" x14ac:dyDescent="0.3">
      <c r="C25" s="1" t="s">
        <v>270</v>
      </c>
      <c r="H25" s="26" t="s">
        <v>11</v>
      </c>
      <c r="L25" s="130">
        <f>IFERROR(IF(AND((INDEX($L$129:$AC$129,MATCH(L$131,$L$128:$AC$128,1)))="СР",K$131&lt;INDEX($L$128:$AC$128,MATCH(L$131,$L$128:$AC$128,1))),1,0),0)</f>
        <v>0</v>
      </c>
      <c r="M25" s="130">
        <f t="shared" ref="M25:AN25" si="27">IFERROR(IF(AND((INDEX($L$129:$AC$129,MATCH(M$131,$L$128:$AC$128,1)))="СР",L$131&lt;INDEX($L$128:$AC$128,MATCH(M$131,$L$128:$AC$128,1))),1,0),0)</f>
        <v>0</v>
      </c>
      <c r="N25" s="130">
        <f t="shared" si="27"/>
        <v>0</v>
      </c>
      <c r="O25" s="130">
        <f t="shared" si="27"/>
        <v>0</v>
      </c>
      <c r="P25" s="130">
        <f t="shared" si="27"/>
        <v>0</v>
      </c>
      <c r="Q25" s="130">
        <f t="shared" si="27"/>
        <v>0</v>
      </c>
      <c r="R25" s="130">
        <f t="shared" si="27"/>
        <v>0</v>
      </c>
      <c r="S25" s="130">
        <f t="shared" si="27"/>
        <v>0</v>
      </c>
      <c r="T25" s="130">
        <f t="shared" si="27"/>
        <v>1</v>
      </c>
      <c r="U25" s="130">
        <f t="shared" si="27"/>
        <v>0</v>
      </c>
      <c r="V25" s="130">
        <f t="shared" si="27"/>
        <v>0</v>
      </c>
      <c r="W25" s="130">
        <f t="shared" si="27"/>
        <v>0</v>
      </c>
      <c r="X25" s="130">
        <f t="shared" si="27"/>
        <v>0</v>
      </c>
      <c r="Y25" s="130">
        <f t="shared" si="27"/>
        <v>0</v>
      </c>
      <c r="Z25" s="130">
        <f t="shared" si="27"/>
        <v>0</v>
      </c>
      <c r="AA25" s="130">
        <f t="shared" si="27"/>
        <v>0</v>
      </c>
      <c r="AB25" s="130">
        <f t="shared" si="27"/>
        <v>0</v>
      </c>
      <c r="AC25" s="130">
        <f t="shared" si="27"/>
        <v>0</v>
      </c>
      <c r="AD25" s="130">
        <f t="shared" si="27"/>
        <v>0</v>
      </c>
      <c r="AE25" s="130">
        <f t="shared" si="27"/>
        <v>0</v>
      </c>
      <c r="AF25" s="130">
        <f t="shared" si="27"/>
        <v>0</v>
      </c>
      <c r="AG25" s="130">
        <f t="shared" si="27"/>
        <v>0</v>
      </c>
      <c r="AH25" s="130">
        <f t="shared" si="27"/>
        <v>0</v>
      </c>
      <c r="AI25" s="130">
        <f t="shared" si="27"/>
        <v>0</v>
      </c>
      <c r="AJ25" s="130">
        <f t="shared" si="27"/>
        <v>0</v>
      </c>
      <c r="AK25" s="130">
        <f t="shared" si="27"/>
        <v>0</v>
      </c>
      <c r="AL25" s="130">
        <f t="shared" si="27"/>
        <v>0</v>
      </c>
      <c r="AM25" s="130">
        <f t="shared" si="27"/>
        <v>0</v>
      </c>
      <c r="AN25" s="130">
        <f t="shared" si="27"/>
        <v>0</v>
      </c>
    </row>
    <row r="26" spans="1:41" ht="14.4" customHeight="1" outlineLevel="1" x14ac:dyDescent="0.3">
      <c r="C26" s="1" t="s">
        <v>271</v>
      </c>
      <c r="H26" s="26" t="s">
        <v>11</v>
      </c>
      <c r="L26" s="130">
        <f>IFERROR(IF(AND((INDEX($L$129:$AC$129,MATCH(L$131,$L$128:$AC$128,1)))="КР",K$131&lt;INDEX($L$128:$AC$128,MATCH(L$131,$L$128:$AC$128,1))),1,0),0)</f>
        <v>0</v>
      </c>
      <c r="M26" s="130">
        <f t="shared" ref="M26:AN26" si="28">IFERROR(IF(AND((INDEX($L$129:$AC$129,MATCH(M$131,$L$128:$AC$128,1)))="КР",L$131&lt;INDEX($L$128:$AC$128,MATCH(M$131,$L$128:$AC$128,1))),1,0),0)</f>
        <v>0</v>
      </c>
      <c r="N26" s="130">
        <f t="shared" si="28"/>
        <v>0</v>
      </c>
      <c r="O26" s="130">
        <f t="shared" si="28"/>
        <v>0</v>
      </c>
      <c r="P26" s="130">
        <f t="shared" si="28"/>
        <v>0</v>
      </c>
      <c r="Q26" s="130">
        <f t="shared" si="28"/>
        <v>0</v>
      </c>
      <c r="R26" s="130">
        <f t="shared" si="28"/>
        <v>0</v>
      </c>
      <c r="S26" s="130">
        <f t="shared" si="28"/>
        <v>0</v>
      </c>
      <c r="T26" s="130">
        <f t="shared" si="28"/>
        <v>0</v>
      </c>
      <c r="U26" s="130">
        <f t="shared" si="28"/>
        <v>0</v>
      </c>
      <c r="V26" s="130">
        <f>IFERROR(IF(AND((INDEX($L$129:$AC$129,MATCH(V$131,$L$128:$AC$128,1)))="КР",U$131&lt;INDEX($L$128:$AC$128,MATCH(V$131,$L$128:$AC$128,1))),1,0),0)</f>
        <v>1</v>
      </c>
      <c r="W26" s="130">
        <f t="shared" si="28"/>
        <v>0</v>
      </c>
      <c r="X26" s="130">
        <f>IFERROR(IF(AND((INDEX($L$129:$AC$129,MATCH(X$131,$L$128:$AC$128,1)))="КР",W$131&lt;INDEX($L$128:$AC$128,MATCH(X$131,$L$128:$AC$128,1))),1,0),0)</f>
        <v>1</v>
      </c>
      <c r="Y26" s="130">
        <f>IFERROR(IF(AND((INDEX($L$129:$AC$129,MATCH(Y$131,$L$128:$AC$128,1)))="КР",X$131&lt;INDEX($L$128:$AC$128,MATCH(Y$131,$L$128:$AC$128,1))),1,0),0)</f>
        <v>0</v>
      </c>
      <c r="Z26" s="130">
        <f>IFERROR(IF(AND((INDEX($L$129:$AC$129,MATCH(Z$131,$L$128:$AC$128,1)))="КР",Y$131&lt;INDEX($L$128:$AC$128,MATCH(Z$131,$L$128:$AC$128,1))),1,0),0)</f>
        <v>0</v>
      </c>
      <c r="AA26" s="130">
        <f t="shared" si="28"/>
        <v>0</v>
      </c>
      <c r="AB26" s="130">
        <f t="shared" si="28"/>
        <v>0</v>
      </c>
      <c r="AC26" s="130">
        <f t="shared" si="28"/>
        <v>0</v>
      </c>
      <c r="AD26" s="130">
        <f t="shared" si="28"/>
        <v>0</v>
      </c>
      <c r="AE26" s="130">
        <f t="shared" si="28"/>
        <v>0</v>
      </c>
      <c r="AF26" s="130">
        <f t="shared" si="28"/>
        <v>0</v>
      </c>
      <c r="AG26" s="130">
        <f t="shared" si="28"/>
        <v>0</v>
      </c>
      <c r="AH26" s="130">
        <f t="shared" si="28"/>
        <v>0</v>
      </c>
      <c r="AI26" s="130">
        <f t="shared" si="28"/>
        <v>0</v>
      </c>
      <c r="AJ26" s="130">
        <f t="shared" si="28"/>
        <v>0</v>
      </c>
      <c r="AK26" s="130">
        <f t="shared" si="28"/>
        <v>0</v>
      </c>
      <c r="AL26" s="130">
        <f t="shared" si="28"/>
        <v>0</v>
      </c>
      <c r="AM26" s="130">
        <f t="shared" si="28"/>
        <v>0</v>
      </c>
      <c r="AN26" s="130">
        <f t="shared" si="28"/>
        <v>0</v>
      </c>
    </row>
    <row r="27" spans="1:41" ht="14.4" customHeight="1" outlineLevel="1" x14ac:dyDescent="0.3">
      <c r="C27" s="1" t="s">
        <v>272</v>
      </c>
      <c r="H27" s="26" t="s">
        <v>11</v>
      </c>
      <c r="L27" s="130">
        <f t="shared" ref="L27:AN27" si="29">IFERROR(IF((INDEX($L$109:$AC$109,MATCH(L$16,$L$108:$AC$108,0)))="ТР",1,0),0)</f>
        <v>0</v>
      </c>
      <c r="M27" s="130">
        <f t="shared" si="29"/>
        <v>0</v>
      </c>
      <c r="N27" s="130">
        <f t="shared" si="29"/>
        <v>1</v>
      </c>
      <c r="O27" s="130">
        <f t="shared" si="29"/>
        <v>1</v>
      </c>
      <c r="P27" s="130">
        <f t="shared" si="29"/>
        <v>1</v>
      </c>
      <c r="Q27" s="130">
        <f t="shared" si="29"/>
        <v>1</v>
      </c>
      <c r="R27" s="130">
        <f t="shared" si="29"/>
        <v>0</v>
      </c>
      <c r="S27" s="130">
        <f t="shared" si="29"/>
        <v>0</v>
      </c>
      <c r="T27" s="130">
        <f t="shared" si="29"/>
        <v>1</v>
      </c>
      <c r="U27" s="130">
        <f t="shared" si="29"/>
        <v>1</v>
      </c>
      <c r="V27" s="130">
        <f t="shared" si="29"/>
        <v>1</v>
      </c>
      <c r="W27" s="130">
        <f t="shared" si="29"/>
        <v>0</v>
      </c>
      <c r="X27" s="130">
        <f t="shared" si="29"/>
        <v>1</v>
      </c>
      <c r="Y27" s="130">
        <f t="shared" si="29"/>
        <v>1</v>
      </c>
      <c r="Z27" s="130">
        <f t="shared" si="29"/>
        <v>1</v>
      </c>
      <c r="AA27" s="130">
        <f t="shared" si="29"/>
        <v>1</v>
      </c>
      <c r="AB27" s="130">
        <f t="shared" si="29"/>
        <v>1</v>
      </c>
      <c r="AC27" s="130">
        <f t="shared" si="29"/>
        <v>1</v>
      </c>
      <c r="AD27" s="130">
        <f t="shared" si="29"/>
        <v>0</v>
      </c>
      <c r="AE27" s="130">
        <f t="shared" si="29"/>
        <v>0</v>
      </c>
      <c r="AF27" s="130">
        <f t="shared" si="29"/>
        <v>0</v>
      </c>
      <c r="AG27" s="130">
        <f t="shared" si="29"/>
        <v>0</v>
      </c>
      <c r="AH27" s="130">
        <f t="shared" si="29"/>
        <v>0</v>
      </c>
      <c r="AI27" s="130">
        <f t="shared" si="29"/>
        <v>0</v>
      </c>
      <c r="AJ27" s="130">
        <f t="shared" si="29"/>
        <v>0</v>
      </c>
      <c r="AK27" s="130">
        <f t="shared" si="29"/>
        <v>0</v>
      </c>
      <c r="AL27" s="130">
        <f t="shared" si="29"/>
        <v>0</v>
      </c>
      <c r="AM27" s="130">
        <f t="shared" si="29"/>
        <v>0</v>
      </c>
      <c r="AN27" s="130">
        <f t="shared" si="29"/>
        <v>0</v>
      </c>
    </row>
    <row r="28" spans="1:41" ht="14.4" customHeight="1" outlineLevel="1" x14ac:dyDescent="0.3">
      <c r="C28" s="1" t="s">
        <v>273</v>
      </c>
      <c r="H28" s="26" t="s">
        <v>11</v>
      </c>
      <c r="L28" s="130">
        <f t="shared" ref="L28:AN28" si="30">IFERROR(IF((INDEX($L$109:$AC$109,MATCH(L$16,$L$108:$AC$108,0)))="СР",1,0),0)</f>
        <v>0</v>
      </c>
      <c r="M28" s="130">
        <f t="shared" si="30"/>
        <v>0</v>
      </c>
      <c r="N28" s="130">
        <f t="shared" si="30"/>
        <v>0</v>
      </c>
      <c r="O28" s="130">
        <f t="shared" si="30"/>
        <v>0</v>
      </c>
      <c r="P28" s="130">
        <f t="shared" si="30"/>
        <v>0</v>
      </c>
      <c r="Q28" s="130">
        <f t="shared" si="30"/>
        <v>0</v>
      </c>
      <c r="R28" s="130">
        <f t="shared" si="30"/>
        <v>1</v>
      </c>
      <c r="S28" s="130">
        <f t="shared" si="30"/>
        <v>0</v>
      </c>
      <c r="T28" s="130">
        <f t="shared" si="30"/>
        <v>0</v>
      </c>
      <c r="U28" s="130">
        <f t="shared" si="30"/>
        <v>0</v>
      </c>
      <c r="V28" s="130">
        <f t="shared" si="30"/>
        <v>0</v>
      </c>
      <c r="W28" s="130">
        <f t="shared" si="30"/>
        <v>0</v>
      </c>
      <c r="X28" s="130">
        <f t="shared" si="30"/>
        <v>0</v>
      </c>
      <c r="Y28" s="130">
        <f t="shared" si="30"/>
        <v>0</v>
      </c>
      <c r="Z28" s="130">
        <f t="shared" si="30"/>
        <v>0</v>
      </c>
      <c r="AA28" s="130">
        <f t="shared" si="30"/>
        <v>0</v>
      </c>
      <c r="AB28" s="130">
        <f t="shared" si="30"/>
        <v>0</v>
      </c>
      <c r="AC28" s="130">
        <f t="shared" si="30"/>
        <v>0</v>
      </c>
      <c r="AD28" s="130">
        <f t="shared" si="30"/>
        <v>0</v>
      </c>
      <c r="AE28" s="130">
        <f t="shared" si="30"/>
        <v>0</v>
      </c>
      <c r="AF28" s="130">
        <f t="shared" si="30"/>
        <v>0</v>
      </c>
      <c r="AG28" s="130">
        <f t="shared" si="30"/>
        <v>0</v>
      </c>
      <c r="AH28" s="130">
        <f t="shared" si="30"/>
        <v>0</v>
      </c>
      <c r="AI28" s="130">
        <f t="shared" si="30"/>
        <v>0</v>
      </c>
      <c r="AJ28" s="130">
        <f t="shared" si="30"/>
        <v>0</v>
      </c>
      <c r="AK28" s="130">
        <f t="shared" si="30"/>
        <v>0</v>
      </c>
      <c r="AL28" s="130">
        <f t="shared" si="30"/>
        <v>0</v>
      </c>
      <c r="AM28" s="130">
        <f t="shared" si="30"/>
        <v>0</v>
      </c>
      <c r="AN28" s="130">
        <f t="shared" si="30"/>
        <v>0</v>
      </c>
    </row>
    <row r="29" spans="1:41" ht="14.4" customHeight="1" outlineLevel="1" x14ac:dyDescent="0.3">
      <c r="C29" s="1" t="s">
        <v>274</v>
      </c>
      <c r="H29" s="26" t="s">
        <v>11</v>
      </c>
      <c r="L29" s="130">
        <f t="shared" ref="L29:AN29" si="31">IFERROR(IF((INDEX($L$109:$AC$109,MATCH(L$16,$L$108:$AC$108,0)))="КР",1,0),0)</f>
        <v>0</v>
      </c>
      <c r="M29" s="130">
        <f t="shared" si="31"/>
        <v>0</v>
      </c>
      <c r="N29" s="130">
        <f t="shared" si="31"/>
        <v>0</v>
      </c>
      <c r="O29" s="130">
        <f t="shared" si="31"/>
        <v>0</v>
      </c>
      <c r="P29" s="130">
        <f t="shared" si="31"/>
        <v>0</v>
      </c>
      <c r="Q29" s="130">
        <f t="shared" si="31"/>
        <v>0</v>
      </c>
      <c r="R29" s="130">
        <f t="shared" si="31"/>
        <v>0</v>
      </c>
      <c r="S29" s="130">
        <f t="shared" si="31"/>
        <v>1</v>
      </c>
      <c r="T29" s="130">
        <f t="shared" si="31"/>
        <v>0</v>
      </c>
      <c r="U29" s="130">
        <f t="shared" si="31"/>
        <v>0</v>
      </c>
      <c r="V29" s="130">
        <f t="shared" si="31"/>
        <v>0</v>
      </c>
      <c r="W29" s="130">
        <f t="shared" si="31"/>
        <v>1</v>
      </c>
      <c r="X29" s="130">
        <f t="shared" si="31"/>
        <v>0</v>
      </c>
      <c r="Y29" s="130">
        <f t="shared" si="31"/>
        <v>0</v>
      </c>
      <c r="Z29" s="130">
        <f t="shared" si="31"/>
        <v>0</v>
      </c>
      <c r="AA29" s="130">
        <f t="shared" si="31"/>
        <v>0</v>
      </c>
      <c r="AB29" s="130">
        <f t="shared" si="31"/>
        <v>0</v>
      </c>
      <c r="AC29" s="130">
        <f t="shared" si="31"/>
        <v>0</v>
      </c>
      <c r="AD29" s="130">
        <f t="shared" si="31"/>
        <v>0</v>
      </c>
      <c r="AE29" s="130">
        <f t="shared" si="31"/>
        <v>0</v>
      </c>
      <c r="AF29" s="130">
        <f t="shared" si="31"/>
        <v>0</v>
      </c>
      <c r="AG29" s="130">
        <f t="shared" si="31"/>
        <v>0</v>
      </c>
      <c r="AH29" s="130">
        <f t="shared" si="31"/>
        <v>0</v>
      </c>
      <c r="AI29" s="130">
        <f t="shared" si="31"/>
        <v>0</v>
      </c>
      <c r="AJ29" s="130">
        <f t="shared" si="31"/>
        <v>0</v>
      </c>
      <c r="AK29" s="130">
        <f t="shared" si="31"/>
        <v>0</v>
      </c>
      <c r="AL29" s="130">
        <f t="shared" si="31"/>
        <v>0</v>
      </c>
      <c r="AM29" s="130">
        <f t="shared" si="31"/>
        <v>0</v>
      </c>
      <c r="AN29" s="130">
        <f t="shared" si="31"/>
        <v>0</v>
      </c>
    </row>
    <row r="30" spans="1:41" ht="14.4" customHeight="1" outlineLevel="1" thickBot="1" x14ac:dyDescent="0.35">
      <c r="AO30" s="28"/>
    </row>
    <row r="31" spans="1:41" s="106" customFormat="1" ht="18" customHeight="1" thickTop="1" thickBot="1" x14ac:dyDescent="0.35">
      <c r="A31" s="53"/>
      <c r="B31" s="53"/>
      <c r="C31" s="50" t="s">
        <v>55</v>
      </c>
      <c r="D31" s="51"/>
      <c r="E31" s="51"/>
      <c r="F31" s="51"/>
      <c r="G31" s="51"/>
      <c r="H31" s="52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</row>
    <row r="32" spans="1:41" ht="14.4" customHeight="1" outlineLevel="1" thickTop="1" x14ac:dyDescent="0.3">
      <c r="AO32" s="28"/>
    </row>
    <row r="33" spans="1:41" ht="14.4" customHeight="1" outlineLevel="1" x14ac:dyDescent="0.3">
      <c r="C33" s="1" t="str">
        <f>Input!B31</f>
        <v>Доля прибыли к зачету против убытков</v>
      </c>
      <c r="H33" s="26" t="s">
        <v>9</v>
      </c>
      <c r="L33" s="79">
        <f>Input!L31</f>
        <v>0.5</v>
      </c>
      <c r="M33" s="79">
        <f>Input!M31</f>
        <v>0.5</v>
      </c>
      <c r="N33" s="79">
        <f>Input!N31</f>
        <v>0.5</v>
      </c>
      <c r="O33" s="79">
        <f>Input!O31</f>
        <v>0.5</v>
      </c>
      <c r="P33" s="79">
        <f>Input!P31</f>
        <v>0.5</v>
      </c>
      <c r="Q33" s="79">
        <f>Input!Q31</f>
        <v>0.5</v>
      </c>
      <c r="R33" s="79">
        <f>Input!R31</f>
        <v>0.5</v>
      </c>
      <c r="S33" s="79">
        <f>Input!S31</f>
        <v>0.5</v>
      </c>
      <c r="T33" s="79">
        <f>Input!T31</f>
        <v>0.5</v>
      </c>
      <c r="U33" s="79">
        <f>Input!U31</f>
        <v>0.5</v>
      </c>
      <c r="V33" s="79">
        <f>Input!V31</f>
        <v>0.5</v>
      </c>
      <c r="W33" s="79">
        <f>Input!W31</f>
        <v>0.5</v>
      </c>
      <c r="X33" s="79">
        <f>Input!X31</f>
        <v>0.5</v>
      </c>
      <c r="Y33" s="79">
        <f>Input!Y31</f>
        <v>0.5</v>
      </c>
      <c r="Z33" s="79">
        <f>Input!Z31</f>
        <v>0.5</v>
      </c>
      <c r="AA33" s="79">
        <f>Input!AA31</f>
        <v>0.5</v>
      </c>
      <c r="AB33" s="79">
        <f>Input!AB31</f>
        <v>0.5</v>
      </c>
      <c r="AC33" s="79">
        <f>Input!AC31</f>
        <v>0.5</v>
      </c>
      <c r="AD33" s="79">
        <f>Input!AD31</f>
        <v>0</v>
      </c>
      <c r="AE33" s="79">
        <f>Input!AE31</f>
        <v>0</v>
      </c>
      <c r="AF33" s="79">
        <f>Input!AF31</f>
        <v>0</v>
      </c>
      <c r="AG33" s="79">
        <f>Input!AG31</f>
        <v>0</v>
      </c>
      <c r="AH33" s="79">
        <f>Input!AH31</f>
        <v>0</v>
      </c>
      <c r="AI33" s="79">
        <f>Input!AI31</f>
        <v>0</v>
      </c>
      <c r="AJ33" s="79">
        <f>Input!AJ31</f>
        <v>0</v>
      </c>
      <c r="AK33" s="79">
        <f>Input!AK31</f>
        <v>0</v>
      </c>
      <c r="AL33" s="79">
        <f>Input!AL31</f>
        <v>0</v>
      </c>
      <c r="AM33" s="79">
        <f>Input!AM31</f>
        <v>0</v>
      </c>
      <c r="AN33" s="79">
        <f>Input!AN31</f>
        <v>0</v>
      </c>
      <c r="AO33" s="28"/>
    </row>
    <row r="34" spans="1:41" ht="14.4" customHeight="1" outlineLevel="1" x14ac:dyDescent="0.3">
      <c r="C34" s="1" t="str">
        <f>Input!B32</f>
        <v>НДС</v>
      </c>
      <c r="H34" s="26" t="s">
        <v>9</v>
      </c>
      <c r="L34" s="79">
        <f>Input!L32</f>
        <v>0.2</v>
      </c>
      <c r="M34" s="79">
        <f>Input!M32</f>
        <v>0.2</v>
      </c>
      <c r="N34" s="79">
        <f>Input!N32</f>
        <v>0.2</v>
      </c>
      <c r="O34" s="79">
        <f>Input!O32</f>
        <v>0.2</v>
      </c>
      <c r="P34" s="79">
        <f>Input!P32</f>
        <v>0.2</v>
      </c>
      <c r="Q34" s="79">
        <f>Input!Q32</f>
        <v>0.2</v>
      </c>
      <c r="R34" s="79">
        <f>Input!R32</f>
        <v>0.2</v>
      </c>
      <c r="S34" s="79">
        <f>Input!S32</f>
        <v>0.2</v>
      </c>
      <c r="T34" s="79">
        <f>Input!T32</f>
        <v>0.2</v>
      </c>
      <c r="U34" s="79">
        <f>Input!U32</f>
        <v>0.2</v>
      </c>
      <c r="V34" s="79">
        <f>Input!V32</f>
        <v>0.2</v>
      </c>
      <c r="W34" s="79">
        <f>Input!W32</f>
        <v>0.2</v>
      </c>
      <c r="X34" s="79">
        <f>Input!X32</f>
        <v>0.2</v>
      </c>
      <c r="Y34" s="79">
        <f>Input!Y32</f>
        <v>0.2</v>
      </c>
      <c r="Z34" s="79">
        <f>Input!Z32</f>
        <v>0.2</v>
      </c>
      <c r="AA34" s="79">
        <f>Input!AA32</f>
        <v>0.2</v>
      </c>
      <c r="AB34" s="79">
        <f>Input!AB32</f>
        <v>0.2</v>
      </c>
      <c r="AC34" s="79">
        <f>Input!AC32</f>
        <v>0.2</v>
      </c>
      <c r="AD34" s="79">
        <f>Input!AD32</f>
        <v>0</v>
      </c>
      <c r="AE34" s="79">
        <f>Input!AE32</f>
        <v>0</v>
      </c>
      <c r="AF34" s="79">
        <f>Input!AF32</f>
        <v>0</v>
      </c>
      <c r="AG34" s="79">
        <f>Input!AG32</f>
        <v>0</v>
      </c>
      <c r="AH34" s="79">
        <f>Input!AH32</f>
        <v>0</v>
      </c>
      <c r="AI34" s="79">
        <f>Input!AI32</f>
        <v>0</v>
      </c>
      <c r="AJ34" s="79">
        <f>Input!AJ32</f>
        <v>0</v>
      </c>
      <c r="AK34" s="79">
        <f>Input!AK32</f>
        <v>0</v>
      </c>
      <c r="AL34" s="79">
        <f>Input!AL32</f>
        <v>0</v>
      </c>
      <c r="AM34" s="79">
        <f>Input!AM32</f>
        <v>0</v>
      </c>
      <c r="AN34" s="79">
        <f>Input!AN32</f>
        <v>0</v>
      </c>
      <c r="AO34" s="28"/>
    </row>
    <row r="35" spans="1:41" ht="14.4" customHeight="1" outlineLevel="1" x14ac:dyDescent="0.3">
      <c r="C35" s="1" t="str">
        <f>Input!B33</f>
        <v>Ставка налога на прибыль</v>
      </c>
      <c r="H35" s="26" t="s">
        <v>9</v>
      </c>
      <c r="L35" s="79">
        <f>Input!L33</f>
        <v>0.2</v>
      </c>
      <c r="M35" s="79">
        <f>Input!M33</f>
        <v>0.25</v>
      </c>
      <c r="N35" s="79">
        <f>Input!N33</f>
        <v>0.25</v>
      </c>
      <c r="O35" s="79">
        <f>Input!O33</f>
        <v>0.25</v>
      </c>
      <c r="P35" s="79">
        <f>Input!P33</f>
        <v>0.25</v>
      </c>
      <c r="Q35" s="79">
        <f>Input!Q33</f>
        <v>0.25</v>
      </c>
      <c r="R35" s="79">
        <f>Input!R33</f>
        <v>0.25</v>
      </c>
      <c r="S35" s="79">
        <f>Input!S33</f>
        <v>0.25</v>
      </c>
      <c r="T35" s="79">
        <f>Input!T33</f>
        <v>0.25</v>
      </c>
      <c r="U35" s="79">
        <f>Input!U33</f>
        <v>0.25</v>
      </c>
      <c r="V35" s="79">
        <f>Input!V33</f>
        <v>0.25</v>
      </c>
      <c r="W35" s="79">
        <f>Input!W33</f>
        <v>0.25</v>
      </c>
      <c r="X35" s="79">
        <f>Input!X33</f>
        <v>0.25</v>
      </c>
      <c r="Y35" s="79">
        <f>Input!Y33</f>
        <v>0.25</v>
      </c>
      <c r="Z35" s="79">
        <f>Input!Z33</f>
        <v>0.25</v>
      </c>
      <c r="AA35" s="79">
        <f>Input!AA33</f>
        <v>0.25</v>
      </c>
      <c r="AB35" s="79">
        <f>Input!AB33</f>
        <v>0.25</v>
      </c>
      <c r="AC35" s="79">
        <f>Input!AC33</f>
        <v>0.25</v>
      </c>
      <c r="AD35" s="79">
        <f>Input!AD33</f>
        <v>0</v>
      </c>
      <c r="AE35" s="79">
        <f>Input!AE33</f>
        <v>0</v>
      </c>
      <c r="AF35" s="79">
        <f>Input!AF33</f>
        <v>0</v>
      </c>
      <c r="AG35" s="79">
        <f>Input!AG33</f>
        <v>0</v>
      </c>
      <c r="AH35" s="79">
        <f>Input!AH33</f>
        <v>0</v>
      </c>
      <c r="AI35" s="79">
        <f>Input!AI33</f>
        <v>0</v>
      </c>
      <c r="AJ35" s="79">
        <f>Input!AJ33</f>
        <v>0</v>
      </c>
      <c r="AK35" s="79">
        <f>Input!AK33</f>
        <v>0</v>
      </c>
      <c r="AL35" s="79">
        <f>Input!AL33</f>
        <v>0</v>
      </c>
      <c r="AM35" s="79">
        <f>Input!AM33</f>
        <v>0</v>
      </c>
      <c r="AN35" s="79">
        <f>Input!AN33</f>
        <v>0</v>
      </c>
      <c r="AO35" s="28"/>
    </row>
    <row r="36" spans="1:41" ht="14.4" customHeight="1" outlineLevel="1" x14ac:dyDescent="0.3">
      <c r="C36" s="1" t="str">
        <f>Input!B34</f>
        <v>Ставка налога на имущество</v>
      </c>
      <c r="H36" s="26" t="s">
        <v>9</v>
      </c>
      <c r="L36" s="79">
        <f>Input!L34</f>
        <v>2.1999999999999999E-2</v>
      </c>
      <c r="M36" s="79">
        <f>Input!M34</f>
        <v>2.1999999999999999E-2</v>
      </c>
      <c r="N36" s="79">
        <f>Input!N34</f>
        <v>2.1999999999999999E-2</v>
      </c>
      <c r="O36" s="79">
        <f>Input!O34</f>
        <v>2.1999999999999999E-2</v>
      </c>
      <c r="P36" s="79">
        <f>Input!P34</f>
        <v>2.1999999999999999E-2</v>
      </c>
      <c r="Q36" s="79">
        <f>Input!Q34</f>
        <v>2.1999999999999999E-2</v>
      </c>
      <c r="R36" s="79">
        <f>Input!R34</f>
        <v>2.1999999999999999E-2</v>
      </c>
      <c r="S36" s="79">
        <f>Input!S34</f>
        <v>2.1999999999999999E-2</v>
      </c>
      <c r="T36" s="79">
        <f>Input!T34</f>
        <v>2.1999999999999999E-2</v>
      </c>
      <c r="U36" s="79">
        <f>Input!U34</f>
        <v>2.1999999999999999E-2</v>
      </c>
      <c r="V36" s="79">
        <f>Input!V34</f>
        <v>2.1999999999999999E-2</v>
      </c>
      <c r="W36" s="79">
        <f>Input!W34</f>
        <v>2.1999999999999999E-2</v>
      </c>
      <c r="X36" s="79">
        <f>Input!X34</f>
        <v>2.1999999999999999E-2</v>
      </c>
      <c r="Y36" s="79">
        <f>Input!Y34</f>
        <v>2.1999999999999999E-2</v>
      </c>
      <c r="Z36" s="79">
        <f>Input!Z34</f>
        <v>2.1999999999999999E-2</v>
      </c>
      <c r="AA36" s="79">
        <f>Input!AA34</f>
        <v>2.1999999999999999E-2</v>
      </c>
      <c r="AB36" s="79">
        <f>Input!AB34</f>
        <v>2.1999999999999999E-2</v>
      </c>
      <c r="AC36" s="79">
        <f>Input!AC34</f>
        <v>2.1999999999999999E-2</v>
      </c>
      <c r="AD36" s="79">
        <f>Input!AD34</f>
        <v>0</v>
      </c>
      <c r="AE36" s="79">
        <f>Input!AE34</f>
        <v>0</v>
      </c>
      <c r="AF36" s="79">
        <f>Input!AF34</f>
        <v>0</v>
      </c>
      <c r="AG36" s="79">
        <f>Input!AG34</f>
        <v>0</v>
      </c>
      <c r="AH36" s="79">
        <f>Input!AH34</f>
        <v>0</v>
      </c>
      <c r="AI36" s="79">
        <f>Input!AI34</f>
        <v>0</v>
      </c>
      <c r="AJ36" s="79">
        <f>Input!AJ34</f>
        <v>0</v>
      </c>
      <c r="AK36" s="79">
        <f>Input!AK34</f>
        <v>0</v>
      </c>
      <c r="AL36" s="79">
        <f>Input!AL34</f>
        <v>0</v>
      </c>
      <c r="AM36" s="79">
        <f>Input!AM34</f>
        <v>0</v>
      </c>
      <c r="AN36" s="79">
        <f>Input!AN34</f>
        <v>0</v>
      </c>
      <c r="AO36" s="28"/>
    </row>
    <row r="37" spans="1:41" ht="14.4" customHeight="1" outlineLevel="1" x14ac:dyDescent="0.3">
      <c r="C37" s="1" t="str">
        <f>Input!B35</f>
        <v>Ставка налога на землю</v>
      </c>
      <c r="H37" s="26" t="s">
        <v>9</v>
      </c>
      <c r="L37" s="79">
        <f>Input!L35</f>
        <v>1.4999999999999999E-2</v>
      </c>
      <c r="M37" s="79">
        <f>Input!M35</f>
        <v>1.4999999999999999E-2</v>
      </c>
      <c r="N37" s="79">
        <f>Input!N35</f>
        <v>1.4999999999999999E-2</v>
      </c>
      <c r="O37" s="79">
        <f>Input!O35</f>
        <v>1.4999999999999999E-2</v>
      </c>
      <c r="P37" s="79">
        <f>Input!P35</f>
        <v>1.4999999999999999E-2</v>
      </c>
      <c r="Q37" s="79">
        <f>Input!Q35</f>
        <v>1.4999999999999999E-2</v>
      </c>
      <c r="R37" s="79">
        <f>Input!R35</f>
        <v>1.4999999999999999E-2</v>
      </c>
      <c r="S37" s="79">
        <f>Input!S35</f>
        <v>1.4999999999999999E-2</v>
      </c>
      <c r="T37" s="79">
        <f>Input!T35</f>
        <v>1.4999999999999999E-2</v>
      </c>
      <c r="U37" s="79">
        <f>Input!U35</f>
        <v>1.4999999999999999E-2</v>
      </c>
      <c r="V37" s="79">
        <f>Input!V35</f>
        <v>1.4999999999999999E-2</v>
      </c>
      <c r="W37" s="79">
        <f>Input!W35</f>
        <v>1.4999999999999999E-2</v>
      </c>
      <c r="X37" s="79">
        <f>Input!X35</f>
        <v>1.4999999999999999E-2</v>
      </c>
      <c r="Y37" s="79">
        <f>Input!Y35</f>
        <v>1.4999999999999999E-2</v>
      </c>
      <c r="Z37" s="79">
        <f>Input!Z35</f>
        <v>1.4999999999999999E-2</v>
      </c>
      <c r="AA37" s="79">
        <f>Input!AA35</f>
        <v>1.4999999999999999E-2</v>
      </c>
      <c r="AB37" s="79">
        <f>Input!AB35</f>
        <v>1.4999999999999999E-2</v>
      </c>
      <c r="AC37" s="79">
        <f>Input!AC35</f>
        <v>1.4999999999999999E-2</v>
      </c>
      <c r="AD37" s="79">
        <f>Input!AD35</f>
        <v>0</v>
      </c>
      <c r="AE37" s="79">
        <f>Input!AE35</f>
        <v>0</v>
      </c>
      <c r="AF37" s="79">
        <f>Input!AF35</f>
        <v>0</v>
      </c>
      <c r="AG37" s="79">
        <f>Input!AG35</f>
        <v>0</v>
      </c>
      <c r="AH37" s="79">
        <f>Input!AH35</f>
        <v>0</v>
      </c>
      <c r="AI37" s="79">
        <f>Input!AI35</f>
        <v>0</v>
      </c>
      <c r="AJ37" s="79">
        <f>Input!AJ35</f>
        <v>0</v>
      </c>
      <c r="AK37" s="79">
        <f>Input!AK35</f>
        <v>0</v>
      </c>
      <c r="AL37" s="79">
        <f>Input!AL35</f>
        <v>0</v>
      </c>
      <c r="AM37" s="79">
        <f>Input!AM35</f>
        <v>0</v>
      </c>
      <c r="AN37" s="79">
        <f>Input!AN35</f>
        <v>0</v>
      </c>
      <c r="AO37" s="28"/>
    </row>
    <row r="38" spans="1:41" ht="14.4" customHeight="1" outlineLevel="1" x14ac:dyDescent="0.3">
      <c r="C38" s="1" t="str">
        <f>Input!B36</f>
        <v>Ставка транспортного налога</v>
      </c>
      <c r="H38" s="26" t="s">
        <v>275</v>
      </c>
      <c r="L38" s="33">
        <f>Input!L36</f>
        <v>2.5</v>
      </c>
      <c r="M38" s="33">
        <f>Input!M36</f>
        <v>2.5</v>
      </c>
      <c r="N38" s="33">
        <f>Input!N36</f>
        <v>2.5</v>
      </c>
      <c r="O38" s="33">
        <f>Input!O36</f>
        <v>2.5</v>
      </c>
      <c r="P38" s="33">
        <f>Input!P36</f>
        <v>2.5</v>
      </c>
      <c r="Q38" s="33">
        <f>Input!Q36</f>
        <v>2.5</v>
      </c>
      <c r="R38" s="33">
        <f>Input!R36</f>
        <v>2.5</v>
      </c>
      <c r="S38" s="33">
        <f>Input!S36</f>
        <v>2.5</v>
      </c>
      <c r="T38" s="33">
        <f>Input!T36</f>
        <v>2.5</v>
      </c>
      <c r="U38" s="33">
        <f>Input!U36</f>
        <v>2.5</v>
      </c>
      <c r="V38" s="33">
        <f>Input!V36</f>
        <v>2.5</v>
      </c>
      <c r="W38" s="33">
        <f>Input!W36</f>
        <v>2.5</v>
      </c>
      <c r="X38" s="33">
        <f>Input!X36</f>
        <v>2.5</v>
      </c>
      <c r="Y38" s="33">
        <f>Input!Y36</f>
        <v>2.5</v>
      </c>
      <c r="Z38" s="33">
        <f>Input!Z36</f>
        <v>2.5</v>
      </c>
      <c r="AA38" s="33">
        <f>Input!AA36</f>
        <v>2.5</v>
      </c>
      <c r="AB38" s="33">
        <f>Input!AB36</f>
        <v>2.5</v>
      </c>
      <c r="AC38" s="33">
        <f>Input!AC36</f>
        <v>2.5</v>
      </c>
      <c r="AD38" s="33">
        <f>Input!AD36</f>
        <v>0</v>
      </c>
      <c r="AE38" s="33">
        <f>Input!AE36</f>
        <v>0</v>
      </c>
      <c r="AF38" s="33">
        <f>Input!AF36</f>
        <v>0</v>
      </c>
      <c r="AG38" s="33">
        <f>Input!AG36</f>
        <v>0</v>
      </c>
      <c r="AH38" s="33">
        <f>Input!AH36</f>
        <v>0</v>
      </c>
      <c r="AI38" s="33">
        <f>Input!AI36</f>
        <v>0</v>
      </c>
      <c r="AJ38" s="33">
        <f>Input!AJ36</f>
        <v>0</v>
      </c>
      <c r="AK38" s="33">
        <f>Input!AK36</f>
        <v>0</v>
      </c>
      <c r="AL38" s="33">
        <f>Input!AL36</f>
        <v>0</v>
      </c>
      <c r="AM38" s="33">
        <f>Input!AM36</f>
        <v>0</v>
      </c>
      <c r="AN38" s="33">
        <f>Input!AN36</f>
        <v>0</v>
      </c>
      <c r="AO38" s="28"/>
    </row>
    <row r="39" spans="1:41" ht="14.4" customHeight="1" outlineLevel="1" x14ac:dyDescent="0.3">
      <c r="C39" s="1" t="str">
        <f>Input!B37</f>
        <v>Социальные отчисления (ПФР, ФСС, ФОМС)</v>
      </c>
      <c r="H39" s="26" t="s">
        <v>9</v>
      </c>
      <c r="L39" s="79">
        <f>Input!L37</f>
        <v>0.30199999999999999</v>
      </c>
      <c r="M39" s="79">
        <f>Input!M37</f>
        <v>0.30199999999999999</v>
      </c>
      <c r="N39" s="79">
        <f>Input!N37</f>
        <v>0.30199999999999999</v>
      </c>
      <c r="O39" s="79">
        <f>Input!O37</f>
        <v>0.30199999999999999</v>
      </c>
      <c r="P39" s="79">
        <f>Input!P37</f>
        <v>0.30199999999999999</v>
      </c>
      <c r="Q39" s="79">
        <f>Input!Q37</f>
        <v>0.30199999999999999</v>
      </c>
      <c r="R39" s="79">
        <f>Input!R37</f>
        <v>0.30199999999999999</v>
      </c>
      <c r="S39" s="79">
        <f>Input!S37</f>
        <v>0.30199999999999999</v>
      </c>
      <c r="T39" s="79">
        <f>Input!T37</f>
        <v>0.30199999999999999</v>
      </c>
      <c r="U39" s="79">
        <f>Input!U37</f>
        <v>0.30199999999999999</v>
      </c>
      <c r="V39" s="79">
        <f>Input!V37</f>
        <v>0.30199999999999999</v>
      </c>
      <c r="W39" s="79">
        <f>Input!W37</f>
        <v>0.30199999999999999</v>
      </c>
      <c r="X39" s="79">
        <f>Input!X37</f>
        <v>0.30199999999999999</v>
      </c>
      <c r="Y39" s="79">
        <f>Input!Y37</f>
        <v>0.30199999999999999</v>
      </c>
      <c r="Z39" s="79">
        <f>Input!Z37</f>
        <v>0.30199999999999999</v>
      </c>
      <c r="AA39" s="79">
        <f>Input!AA37</f>
        <v>0.30199999999999999</v>
      </c>
      <c r="AB39" s="79">
        <f>Input!AB37</f>
        <v>0.30199999999999999</v>
      </c>
      <c r="AC39" s="79">
        <f>Input!AC37</f>
        <v>0.30199999999999999</v>
      </c>
      <c r="AD39" s="79">
        <f>Input!AD37</f>
        <v>0</v>
      </c>
      <c r="AE39" s="79">
        <f>Input!AE37</f>
        <v>0</v>
      </c>
      <c r="AF39" s="79">
        <f>Input!AF37</f>
        <v>0</v>
      </c>
      <c r="AG39" s="79">
        <f>Input!AG37</f>
        <v>0</v>
      </c>
      <c r="AH39" s="79">
        <f>Input!AH37</f>
        <v>0</v>
      </c>
      <c r="AI39" s="79">
        <f>Input!AI37</f>
        <v>0</v>
      </c>
      <c r="AJ39" s="79">
        <f>Input!AJ37</f>
        <v>0</v>
      </c>
      <c r="AK39" s="79">
        <f>Input!AK37</f>
        <v>0</v>
      </c>
      <c r="AL39" s="79">
        <f>Input!AL37</f>
        <v>0</v>
      </c>
      <c r="AM39" s="79">
        <f>Input!AM37</f>
        <v>0</v>
      </c>
      <c r="AN39" s="79">
        <f>Input!AN37</f>
        <v>0</v>
      </c>
      <c r="AO39" s="28"/>
    </row>
    <row r="40" spans="1:41" ht="14.4" customHeight="1" outlineLevel="1" x14ac:dyDescent="0.3">
      <c r="C40" s="1" t="str">
        <f>Input!B38</f>
        <v>Социальные отчисления от несчастных случаев и проф. заболеваний (рабочие)</v>
      </c>
      <c r="H40" s="26" t="s">
        <v>9</v>
      </c>
      <c r="L40" s="79">
        <f>Input!L38</f>
        <v>0.08</v>
      </c>
      <c r="M40" s="79">
        <f>Input!M38</f>
        <v>0.08</v>
      </c>
      <c r="N40" s="79">
        <f>Input!N38</f>
        <v>0.08</v>
      </c>
      <c r="O40" s="79">
        <f>Input!O38</f>
        <v>0.08</v>
      </c>
      <c r="P40" s="79">
        <f>Input!P38</f>
        <v>0.08</v>
      </c>
      <c r="Q40" s="79">
        <f>Input!Q38</f>
        <v>0.08</v>
      </c>
      <c r="R40" s="79">
        <f>Input!R38</f>
        <v>0.08</v>
      </c>
      <c r="S40" s="79">
        <f>Input!S38</f>
        <v>0.08</v>
      </c>
      <c r="T40" s="79">
        <f>Input!T38</f>
        <v>0.08</v>
      </c>
      <c r="U40" s="79">
        <f>Input!U38</f>
        <v>0.08</v>
      </c>
      <c r="V40" s="79">
        <f>Input!V38</f>
        <v>0.08</v>
      </c>
      <c r="W40" s="79">
        <f>Input!W38</f>
        <v>0.08</v>
      </c>
      <c r="X40" s="79">
        <f>Input!X38</f>
        <v>0.08</v>
      </c>
      <c r="Y40" s="79">
        <f>Input!Y38</f>
        <v>0.08</v>
      </c>
      <c r="Z40" s="79">
        <f>Input!Z38</f>
        <v>0.08</v>
      </c>
      <c r="AA40" s="79">
        <f>Input!AA38</f>
        <v>0.08</v>
      </c>
      <c r="AB40" s="79">
        <f>Input!AB38</f>
        <v>0.08</v>
      </c>
      <c r="AC40" s="79">
        <f>Input!AC38</f>
        <v>0.08</v>
      </c>
      <c r="AD40" s="79">
        <f>Input!AD38</f>
        <v>0</v>
      </c>
      <c r="AE40" s="79">
        <f>Input!AE38</f>
        <v>0</v>
      </c>
      <c r="AF40" s="79">
        <f>Input!AF38</f>
        <v>0</v>
      </c>
      <c r="AG40" s="79">
        <f>Input!AG38</f>
        <v>0</v>
      </c>
      <c r="AH40" s="79">
        <f>Input!AH38</f>
        <v>0</v>
      </c>
      <c r="AI40" s="79">
        <f>Input!AI38</f>
        <v>0</v>
      </c>
      <c r="AJ40" s="79">
        <f>Input!AJ38</f>
        <v>0</v>
      </c>
      <c r="AK40" s="79">
        <f>Input!AK38</f>
        <v>0</v>
      </c>
      <c r="AL40" s="79">
        <f>Input!AL38</f>
        <v>0</v>
      </c>
      <c r="AM40" s="79">
        <f>Input!AM38</f>
        <v>0</v>
      </c>
      <c r="AN40" s="79">
        <f>Input!AN38</f>
        <v>0</v>
      </c>
      <c r="AO40" s="28"/>
    </row>
    <row r="41" spans="1:41" ht="14.4" customHeight="1" outlineLevel="1" x14ac:dyDescent="0.3">
      <c r="C41" s="1" t="str">
        <f>Input!B39</f>
        <v>Социальные отчисления от несчастных случаев и проф. заболеваний (служащие)</v>
      </c>
      <c r="H41" s="26" t="s">
        <v>9</v>
      </c>
      <c r="L41" s="79">
        <f>Input!L39</f>
        <v>0.05</v>
      </c>
      <c r="M41" s="79">
        <f>Input!M39</f>
        <v>0.05</v>
      </c>
      <c r="N41" s="79">
        <f>Input!N39</f>
        <v>0.05</v>
      </c>
      <c r="O41" s="79">
        <f>Input!O39</f>
        <v>0.05</v>
      </c>
      <c r="P41" s="79">
        <f>Input!P39</f>
        <v>0.05</v>
      </c>
      <c r="Q41" s="79">
        <f>Input!Q39</f>
        <v>0.05</v>
      </c>
      <c r="R41" s="79">
        <f>Input!R39</f>
        <v>0.05</v>
      </c>
      <c r="S41" s="79">
        <f>Input!S39</f>
        <v>0.05</v>
      </c>
      <c r="T41" s="79">
        <f>Input!T39</f>
        <v>0.05</v>
      </c>
      <c r="U41" s="79">
        <f>Input!U39</f>
        <v>0.05</v>
      </c>
      <c r="V41" s="79">
        <f>Input!V39</f>
        <v>0.05</v>
      </c>
      <c r="W41" s="79">
        <f>Input!W39</f>
        <v>0.05</v>
      </c>
      <c r="X41" s="79">
        <f>Input!X39</f>
        <v>0.05</v>
      </c>
      <c r="Y41" s="79">
        <f>Input!Y39</f>
        <v>0.05</v>
      </c>
      <c r="Z41" s="79">
        <f>Input!Z39</f>
        <v>0.05</v>
      </c>
      <c r="AA41" s="79">
        <f>Input!AA39</f>
        <v>0.05</v>
      </c>
      <c r="AB41" s="79">
        <f>Input!AB39</f>
        <v>0.05</v>
      </c>
      <c r="AC41" s="79">
        <f>Input!AC39</f>
        <v>0.05</v>
      </c>
      <c r="AD41" s="79">
        <f>Input!AD39</f>
        <v>0</v>
      </c>
      <c r="AE41" s="79">
        <f>Input!AE39</f>
        <v>0</v>
      </c>
      <c r="AF41" s="79">
        <f>Input!AF39</f>
        <v>0</v>
      </c>
      <c r="AG41" s="79">
        <f>Input!AG39</f>
        <v>0</v>
      </c>
      <c r="AH41" s="79">
        <f>Input!AH39</f>
        <v>0</v>
      </c>
      <c r="AI41" s="79">
        <f>Input!AI39</f>
        <v>0</v>
      </c>
      <c r="AJ41" s="79">
        <f>Input!AJ39</f>
        <v>0</v>
      </c>
      <c r="AK41" s="79">
        <f>Input!AK39</f>
        <v>0</v>
      </c>
      <c r="AL41" s="79">
        <f>Input!AL39</f>
        <v>0</v>
      </c>
      <c r="AM41" s="79">
        <f>Input!AM39</f>
        <v>0</v>
      </c>
      <c r="AN41" s="79">
        <f>Input!AN39</f>
        <v>0</v>
      </c>
      <c r="AO41" s="28"/>
    </row>
    <row r="42" spans="1:41" ht="14.4" customHeight="1" outlineLevel="1" thickBot="1" x14ac:dyDescent="0.35">
      <c r="AO42" s="28"/>
    </row>
    <row r="43" spans="1:41" s="106" customFormat="1" ht="18" customHeight="1" thickTop="1" thickBot="1" x14ac:dyDescent="0.35">
      <c r="A43" s="53"/>
      <c r="B43" s="53"/>
      <c r="C43" s="50" t="s">
        <v>119</v>
      </c>
      <c r="D43" s="51"/>
      <c r="E43" s="51"/>
      <c r="F43" s="51"/>
      <c r="G43" s="51"/>
      <c r="H43" s="52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</row>
    <row r="44" spans="1:41" ht="14.4" customHeight="1" outlineLevel="1" thickTop="1" x14ac:dyDescent="0.3">
      <c r="AO44" s="28"/>
    </row>
    <row r="45" spans="1:41" ht="14.4" customHeight="1" outlineLevel="1" x14ac:dyDescent="0.3">
      <c r="C45" s="1" t="str">
        <f>Input!B21</f>
        <v>Обменный курс рубля к доллару</v>
      </c>
      <c r="H45" s="26" t="s">
        <v>125</v>
      </c>
      <c r="L45" s="33">
        <f>Input!L21</f>
        <v>59</v>
      </c>
      <c r="M45" s="33">
        <f>Input!M21</f>
        <v>60</v>
      </c>
      <c r="N45" s="33">
        <f>Input!N21</f>
        <v>61</v>
      </c>
      <c r="O45" s="33">
        <f>Input!O21</f>
        <v>62</v>
      </c>
      <c r="P45" s="33">
        <f>Input!P21</f>
        <v>63</v>
      </c>
      <c r="Q45" s="33">
        <f>Input!Q21</f>
        <v>59</v>
      </c>
      <c r="R45" s="33">
        <f>Input!R21</f>
        <v>59</v>
      </c>
      <c r="S45" s="33">
        <f>Input!S21</f>
        <v>59</v>
      </c>
      <c r="T45" s="33">
        <f>Input!T21</f>
        <v>59</v>
      </c>
      <c r="U45" s="33">
        <f>Input!U21</f>
        <v>59</v>
      </c>
      <c r="V45" s="33">
        <f>Input!V21</f>
        <v>59</v>
      </c>
      <c r="W45" s="33">
        <f>Input!W21</f>
        <v>59</v>
      </c>
      <c r="X45" s="33">
        <f>Input!X21</f>
        <v>59</v>
      </c>
      <c r="Y45" s="33">
        <f>Input!Y21</f>
        <v>59</v>
      </c>
      <c r="Z45" s="33">
        <f>Input!Z21</f>
        <v>59</v>
      </c>
      <c r="AA45" s="33">
        <f>Input!AA21</f>
        <v>59</v>
      </c>
      <c r="AB45" s="33">
        <f>Input!AB21</f>
        <v>59</v>
      </c>
      <c r="AC45" s="33">
        <f>Input!AC21</f>
        <v>59</v>
      </c>
      <c r="AD45" s="33">
        <f>Input!AD21</f>
        <v>0</v>
      </c>
      <c r="AE45" s="33">
        <f>Input!AE21</f>
        <v>0</v>
      </c>
      <c r="AF45" s="33">
        <f>Input!AF21</f>
        <v>0</v>
      </c>
      <c r="AG45" s="33">
        <f>Input!AG21</f>
        <v>0</v>
      </c>
      <c r="AH45" s="33">
        <f>Input!AH21</f>
        <v>0</v>
      </c>
      <c r="AI45" s="33">
        <f>Input!AI21</f>
        <v>0</v>
      </c>
      <c r="AJ45" s="33">
        <f>Input!AJ21</f>
        <v>0</v>
      </c>
      <c r="AK45" s="33">
        <f>Input!AK21</f>
        <v>0</v>
      </c>
      <c r="AL45" s="33">
        <f>Input!AL21</f>
        <v>0</v>
      </c>
      <c r="AM45" s="33">
        <f>Input!AM21</f>
        <v>0</v>
      </c>
      <c r="AN45" s="33">
        <f>Input!AN21</f>
        <v>0</v>
      </c>
      <c r="AO45" s="28"/>
    </row>
    <row r="46" spans="1:41" ht="14.4" customHeight="1" outlineLevel="1" x14ac:dyDescent="0.3">
      <c r="C46" s="1" t="s">
        <v>368</v>
      </c>
      <c r="H46" s="26" t="s">
        <v>9</v>
      </c>
      <c r="L46" s="37">
        <f>Input!L27</f>
        <v>0.21</v>
      </c>
      <c r="M46" s="37">
        <f>Input!M27</f>
        <v>0.2</v>
      </c>
      <c r="N46" s="37">
        <f>Input!N27</f>
        <v>0.15</v>
      </c>
      <c r="O46" s="37">
        <f>Input!O27</f>
        <v>0.11</v>
      </c>
      <c r="P46" s="37">
        <f>Input!P27</f>
        <v>0.1</v>
      </c>
      <c r="Q46" s="37">
        <f>Input!Q27</f>
        <v>0.08</v>
      </c>
      <c r="R46" s="37">
        <f>Input!R27</f>
        <v>7.0000000000000007E-2</v>
      </c>
      <c r="S46" s="37">
        <f>Input!S27</f>
        <v>7.0000000000000007E-2</v>
      </c>
      <c r="T46" s="37">
        <f>Input!T27</f>
        <v>7.0000000000000007E-2</v>
      </c>
      <c r="U46" s="37">
        <f>Input!U27</f>
        <v>7.0000000000000007E-2</v>
      </c>
      <c r="V46" s="37">
        <f>Input!V27</f>
        <v>7.0000000000000007E-2</v>
      </c>
      <c r="W46" s="37">
        <f>Input!W27</f>
        <v>7.0000000000000007E-2</v>
      </c>
      <c r="X46" s="37">
        <f>Input!X27</f>
        <v>7.0000000000000007E-2</v>
      </c>
      <c r="Y46" s="37">
        <f>Input!Y27</f>
        <v>7.0000000000000007E-2</v>
      </c>
      <c r="Z46" s="37">
        <f>Input!Z27</f>
        <v>7.0000000000000007E-2</v>
      </c>
      <c r="AA46" s="37">
        <f>Input!AA27</f>
        <v>7.0000000000000007E-2</v>
      </c>
      <c r="AB46" s="37">
        <f>Input!AB27</f>
        <v>7.0000000000000007E-2</v>
      </c>
      <c r="AC46" s="37">
        <f>Input!AC27</f>
        <v>7.0000000000000007E-2</v>
      </c>
      <c r="AD46" s="37">
        <f>Input!AD27</f>
        <v>0</v>
      </c>
      <c r="AE46" s="37">
        <f>Input!AE27</f>
        <v>0</v>
      </c>
      <c r="AF46" s="37">
        <f>Input!AF27</f>
        <v>0</v>
      </c>
      <c r="AG46" s="37">
        <f>Input!AG27</f>
        <v>0</v>
      </c>
      <c r="AH46" s="37">
        <f>Input!AH27</f>
        <v>0</v>
      </c>
      <c r="AI46" s="37">
        <f>Input!AI27</f>
        <v>0</v>
      </c>
      <c r="AJ46" s="37">
        <f>Input!AJ27</f>
        <v>0</v>
      </c>
      <c r="AK46" s="37">
        <f>Input!AK27</f>
        <v>0</v>
      </c>
      <c r="AL46" s="37">
        <f>Input!AL27</f>
        <v>0</v>
      </c>
      <c r="AM46" s="37">
        <f>Input!AM27</f>
        <v>0</v>
      </c>
      <c r="AN46" s="37">
        <f>Input!AN27</f>
        <v>0</v>
      </c>
      <c r="AO46" s="28"/>
    </row>
    <row r="47" spans="1:41" outlineLevel="1" x14ac:dyDescent="0.3"/>
    <row r="48" spans="1:41" outlineLevel="1" x14ac:dyDescent="0.3">
      <c r="C48" s="2" t="s">
        <v>243</v>
      </c>
    </row>
    <row r="49" spans="1:41" outlineLevel="1" x14ac:dyDescent="0.3">
      <c r="C49" s="2"/>
    </row>
    <row r="50" spans="1:41" ht="14.4" customHeight="1" outlineLevel="1" x14ac:dyDescent="0.3">
      <c r="C50" s="1" t="str">
        <f>Input!B22</f>
        <v>CPI, (RUB)</v>
      </c>
      <c r="H50" s="26" t="s">
        <v>11</v>
      </c>
      <c r="L50" s="47">
        <f>Input!L22</f>
        <v>1.04</v>
      </c>
      <c r="M50" s="47">
        <f>Input!M22</f>
        <v>1.04</v>
      </c>
      <c r="N50" s="47">
        <f>Input!N22</f>
        <v>1.04</v>
      </c>
      <c r="O50" s="47">
        <f>Input!O22</f>
        <v>1.04</v>
      </c>
      <c r="P50" s="47">
        <f>Input!P22</f>
        <v>1.04</v>
      </c>
      <c r="Q50" s="47">
        <f>Input!Q22</f>
        <v>1.04</v>
      </c>
      <c r="R50" s="47">
        <f>Input!R22</f>
        <v>1.04</v>
      </c>
      <c r="S50" s="47">
        <f>Input!S22</f>
        <v>1.04</v>
      </c>
      <c r="T50" s="47">
        <f>Input!T22</f>
        <v>1.04</v>
      </c>
      <c r="U50" s="47">
        <f>Input!U22</f>
        <v>1.04</v>
      </c>
      <c r="V50" s="47">
        <f>Input!V22</f>
        <v>1.04</v>
      </c>
      <c r="W50" s="47">
        <f>Input!W22</f>
        <v>1.04</v>
      </c>
      <c r="X50" s="47">
        <f>Input!X22</f>
        <v>1.04</v>
      </c>
      <c r="Y50" s="47">
        <f>Input!Y22</f>
        <v>1.04</v>
      </c>
      <c r="Z50" s="47">
        <f>Input!Z22</f>
        <v>1.04</v>
      </c>
      <c r="AA50" s="47">
        <f>Input!AA22</f>
        <v>1.04</v>
      </c>
      <c r="AB50" s="47">
        <f>Input!AB22</f>
        <v>1.04</v>
      </c>
      <c r="AC50" s="47">
        <f>Input!AC22</f>
        <v>1.04</v>
      </c>
      <c r="AD50" s="47">
        <f>Input!AD22</f>
        <v>0</v>
      </c>
      <c r="AE50" s="47">
        <f>Input!AE22</f>
        <v>0</v>
      </c>
      <c r="AF50" s="47">
        <f>Input!AF22</f>
        <v>0</v>
      </c>
      <c r="AG50" s="47">
        <f>Input!AG22</f>
        <v>0</v>
      </c>
      <c r="AH50" s="47">
        <f>Input!AH22</f>
        <v>0</v>
      </c>
      <c r="AI50" s="47">
        <f>Input!AI22</f>
        <v>0</v>
      </c>
      <c r="AJ50" s="47">
        <f>Input!AJ22</f>
        <v>0</v>
      </c>
      <c r="AK50" s="47">
        <f>Input!AK22</f>
        <v>0</v>
      </c>
      <c r="AL50" s="47">
        <f>Input!AL22</f>
        <v>0</v>
      </c>
      <c r="AM50" s="47">
        <f>Input!AM22</f>
        <v>0</v>
      </c>
      <c r="AN50" s="47">
        <f>Input!AN22</f>
        <v>0</v>
      </c>
      <c r="AO50" s="28"/>
    </row>
    <row r="51" spans="1:41" ht="14.4" customHeight="1" outlineLevel="1" x14ac:dyDescent="0.3">
      <c r="C51" s="1" t="str">
        <f>Input!B23</f>
        <v>PPI,  (RUB)</v>
      </c>
      <c r="H51" s="26" t="s">
        <v>11</v>
      </c>
      <c r="L51" s="47">
        <f>Input!L23</f>
        <v>1.04</v>
      </c>
      <c r="M51" s="47">
        <f>Input!M23</f>
        <v>1.04</v>
      </c>
      <c r="N51" s="47">
        <f>Input!N23</f>
        <v>1.04</v>
      </c>
      <c r="O51" s="47">
        <f>Input!O23</f>
        <v>1.04</v>
      </c>
      <c r="P51" s="47">
        <f>Input!P23</f>
        <v>1.04</v>
      </c>
      <c r="Q51" s="47">
        <f>Input!Q23</f>
        <v>1.04</v>
      </c>
      <c r="R51" s="47">
        <f>Input!R23</f>
        <v>1.04</v>
      </c>
      <c r="S51" s="47">
        <f>Input!S23</f>
        <v>1.04</v>
      </c>
      <c r="T51" s="47">
        <f>Input!T23</f>
        <v>1.04</v>
      </c>
      <c r="U51" s="47">
        <f>Input!U23</f>
        <v>1.04</v>
      </c>
      <c r="V51" s="47">
        <f>Input!V23</f>
        <v>1.04</v>
      </c>
      <c r="W51" s="47">
        <f>Input!W23</f>
        <v>1.04</v>
      </c>
      <c r="X51" s="47">
        <f>Input!X23</f>
        <v>1.04</v>
      </c>
      <c r="Y51" s="47">
        <f>Input!Y23</f>
        <v>1.04</v>
      </c>
      <c r="Z51" s="47">
        <f>Input!Z23</f>
        <v>1.04</v>
      </c>
      <c r="AA51" s="47">
        <f>Input!AA23</f>
        <v>1.04</v>
      </c>
      <c r="AB51" s="47">
        <f>Input!AB23</f>
        <v>1.04</v>
      </c>
      <c r="AC51" s="47">
        <f>Input!AC23</f>
        <v>1.04</v>
      </c>
      <c r="AD51" s="47">
        <f>Input!AD23</f>
        <v>0</v>
      </c>
      <c r="AE51" s="47">
        <f>Input!AE23</f>
        <v>0</v>
      </c>
      <c r="AF51" s="47">
        <f>Input!AF23</f>
        <v>0</v>
      </c>
      <c r="AG51" s="47">
        <f>Input!AG23</f>
        <v>0</v>
      </c>
      <c r="AH51" s="47">
        <f>Input!AH23</f>
        <v>0</v>
      </c>
      <c r="AI51" s="47">
        <f>Input!AI23</f>
        <v>0</v>
      </c>
      <c r="AJ51" s="47">
        <f>Input!AJ23</f>
        <v>0</v>
      </c>
      <c r="AK51" s="47">
        <f>Input!AK23</f>
        <v>0</v>
      </c>
      <c r="AL51" s="47">
        <f>Input!AL23</f>
        <v>0</v>
      </c>
      <c r="AM51" s="47">
        <f>Input!AM23</f>
        <v>0</v>
      </c>
      <c r="AN51" s="47">
        <f>Input!AN23</f>
        <v>0</v>
      </c>
      <c r="AO51" s="28"/>
    </row>
    <row r="52" spans="1:41" ht="14.4" customHeight="1" outlineLevel="1" x14ac:dyDescent="0.3">
      <c r="C52" s="1" t="str">
        <f>Input!B24</f>
        <v>PPI, (USD)</v>
      </c>
      <c r="H52" s="26" t="s">
        <v>11</v>
      </c>
      <c r="L52" s="47">
        <f>Input!L24</f>
        <v>1.03</v>
      </c>
      <c r="M52" s="47">
        <f>Input!M24</f>
        <v>1.03</v>
      </c>
      <c r="N52" s="47">
        <f>Input!N24</f>
        <v>1.03</v>
      </c>
      <c r="O52" s="47">
        <f>Input!O24</f>
        <v>1.03</v>
      </c>
      <c r="P52" s="47">
        <f>Input!P24</f>
        <v>1.03</v>
      </c>
      <c r="Q52" s="47">
        <f>Input!Q24</f>
        <v>1.03</v>
      </c>
      <c r="R52" s="47">
        <f>Input!R24</f>
        <v>1.03</v>
      </c>
      <c r="S52" s="47">
        <f>Input!S24</f>
        <v>1.03</v>
      </c>
      <c r="T52" s="47">
        <f>Input!T24</f>
        <v>1.03</v>
      </c>
      <c r="U52" s="47">
        <f>Input!U24</f>
        <v>1.03</v>
      </c>
      <c r="V52" s="47">
        <f>Input!V24</f>
        <v>1.03</v>
      </c>
      <c r="W52" s="47">
        <f>Input!W24</f>
        <v>1.03</v>
      </c>
      <c r="X52" s="47">
        <f>Input!X24</f>
        <v>1.03</v>
      </c>
      <c r="Y52" s="47">
        <f>Input!Y24</f>
        <v>1.03</v>
      </c>
      <c r="Z52" s="47">
        <f>Input!Z24</f>
        <v>1.03</v>
      </c>
      <c r="AA52" s="47">
        <f>Input!AA24</f>
        <v>1.03</v>
      </c>
      <c r="AB52" s="47">
        <f>Input!AB24</f>
        <v>1.03</v>
      </c>
      <c r="AC52" s="47">
        <f>Input!AC24</f>
        <v>1.03</v>
      </c>
      <c r="AD52" s="47">
        <f>Input!AD24</f>
        <v>0</v>
      </c>
      <c r="AE52" s="47">
        <f>Input!AE24</f>
        <v>0</v>
      </c>
      <c r="AF52" s="47">
        <f>Input!AF24</f>
        <v>0</v>
      </c>
      <c r="AG52" s="47">
        <f>Input!AG24</f>
        <v>0</v>
      </c>
      <c r="AH52" s="47">
        <f>Input!AH24</f>
        <v>0</v>
      </c>
      <c r="AI52" s="47">
        <f>Input!AI24</f>
        <v>0</v>
      </c>
      <c r="AJ52" s="47">
        <f>Input!AJ24</f>
        <v>0</v>
      </c>
      <c r="AK52" s="47">
        <f>Input!AK24</f>
        <v>0</v>
      </c>
      <c r="AL52" s="47">
        <f>Input!AL24</f>
        <v>0</v>
      </c>
      <c r="AM52" s="47">
        <f>Input!AM24</f>
        <v>0</v>
      </c>
      <c r="AN52" s="47">
        <f>Input!AN24</f>
        <v>0</v>
      </c>
      <c r="AO52" s="28"/>
    </row>
    <row r="53" spans="1:41" ht="14.4" customHeight="1" outlineLevel="1" x14ac:dyDescent="0.3">
      <c r="C53" s="1" t="str">
        <f>Input!B25</f>
        <v>Индекс роста заработной платы (RUB)</v>
      </c>
      <c r="H53" s="26" t="s">
        <v>11</v>
      </c>
      <c r="L53" s="47">
        <f>Input!L25</f>
        <v>1.04</v>
      </c>
      <c r="M53" s="47">
        <f>Input!M25</f>
        <v>1.04</v>
      </c>
      <c r="N53" s="47">
        <f>Input!N25</f>
        <v>1.04</v>
      </c>
      <c r="O53" s="47">
        <f>Input!O25</f>
        <v>1.04</v>
      </c>
      <c r="P53" s="47">
        <f>Input!P25</f>
        <v>1.04</v>
      </c>
      <c r="Q53" s="47">
        <f>Input!Q25</f>
        <v>1.04</v>
      </c>
      <c r="R53" s="47">
        <f>Input!R25</f>
        <v>1.04</v>
      </c>
      <c r="S53" s="47">
        <f>Input!S25</f>
        <v>1.04</v>
      </c>
      <c r="T53" s="47">
        <f>Input!T25</f>
        <v>1.04</v>
      </c>
      <c r="U53" s="47">
        <f>Input!U25</f>
        <v>1.04</v>
      </c>
      <c r="V53" s="47">
        <f>Input!V25</f>
        <v>1.04</v>
      </c>
      <c r="W53" s="47">
        <f>Input!W25</f>
        <v>1.04</v>
      </c>
      <c r="X53" s="47">
        <f>Input!X25</f>
        <v>1.04</v>
      </c>
      <c r="Y53" s="47">
        <f>Input!Y25</f>
        <v>1.04</v>
      </c>
      <c r="Z53" s="47">
        <f>Input!Z25</f>
        <v>1.04</v>
      </c>
      <c r="AA53" s="47">
        <f>Input!AA25</f>
        <v>1.04</v>
      </c>
      <c r="AB53" s="47">
        <f>Input!AB25</f>
        <v>1.04</v>
      </c>
      <c r="AC53" s="47">
        <f>Input!AC25</f>
        <v>1.04</v>
      </c>
      <c r="AD53" s="47">
        <f>Input!AD25</f>
        <v>0</v>
      </c>
      <c r="AE53" s="47">
        <f>Input!AE25</f>
        <v>0</v>
      </c>
      <c r="AF53" s="47">
        <f>Input!AF25</f>
        <v>0</v>
      </c>
      <c r="AG53" s="47">
        <f>Input!AG25</f>
        <v>0</v>
      </c>
      <c r="AH53" s="47">
        <f>Input!AH25</f>
        <v>0</v>
      </c>
      <c r="AI53" s="47">
        <f>Input!AI25</f>
        <v>0</v>
      </c>
      <c r="AJ53" s="47">
        <f>Input!AJ25</f>
        <v>0</v>
      </c>
      <c r="AK53" s="47">
        <f>Input!AK25</f>
        <v>0</v>
      </c>
      <c r="AL53" s="47">
        <f>Input!AL25</f>
        <v>0</v>
      </c>
      <c r="AM53" s="47">
        <f>Input!AM25</f>
        <v>0</v>
      </c>
      <c r="AN53" s="47">
        <f>Input!AN25</f>
        <v>0</v>
      </c>
      <c r="AO53" s="28"/>
    </row>
    <row r="54" spans="1:41" ht="14.4" customHeight="1" outlineLevel="1" x14ac:dyDescent="0.3">
      <c r="C54" s="1" t="str">
        <f>Input!B26</f>
        <v>Индекс роста цен на естественные монополии (электроэнергия)</v>
      </c>
      <c r="H54" s="26" t="s">
        <v>11</v>
      </c>
      <c r="L54" s="47">
        <f>Input!L26</f>
        <v>1.05</v>
      </c>
      <c r="M54" s="47">
        <f>Input!M26</f>
        <v>1.05</v>
      </c>
      <c r="N54" s="47">
        <f>Input!N26</f>
        <v>1.05</v>
      </c>
      <c r="O54" s="47">
        <f>Input!O26</f>
        <v>1.05</v>
      </c>
      <c r="P54" s="47">
        <f>Input!P26</f>
        <v>1.05</v>
      </c>
      <c r="Q54" s="47">
        <f>Input!Q26</f>
        <v>1.05</v>
      </c>
      <c r="R54" s="47">
        <f>Input!R26</f>
        <v>1.05</v>
      </c>
      <c r="S54" s="47">
        <f>Input!S26</f>
        <v>1.05</v>
      </c>
      <c r="T54" s="47">
        <f>Input!T26</f>
        <v>1.05</v>
      </c>
      <c r="U54" s="47">
        <f>Input!U26</f>
        <v>1.05</v>
      </c>
      <c r="V54" s="47">
        <f>Input!V26</f>
        <v>1.05</v>
      </c>
      <c r="W54" s="47">
        <f>Input!W26</f>
        <v>1.05</v>
      </c>
      <c r="X54" s="47">
        <f>Input!X26</f>
        <v>1.05</v>
      </c>
      <c r="Y54" s="47">
        <f>Input!Y26</f>
        <v>1.05</v>
      </c>
      <c r="Z54" s="47">
        <f>Input!Z26</f>
        <v>1.05</v>
      </c>
      <c r="AA54" s="47">
        <f>Input!AA26</f>
        <v>1.05</v>
      </c>
      <c r="AB54" s="47">
        <f>Input!AB26</f>
        <v>1.05</v>
      </c>
      <c r="AC54" s="47">
        <f>Input!AC26</f>
        <v>1.05</v>
      </c>
      <c r="AD54" s="47">
        <f>Input!AD26</f>
        <v>0</v>
      </c>
      <c r="AE54" s="47">
        <f>Input!AE26</f>
        <v>0</v>
      </c>
      <c r="AF54" s="47">
        <f>Input!AF26</f>
        <v>0</v>
      </c>
      <c r="AG54" s="47">
        <f>Input!AG26</f>
        <v>0</v>
      </c>
      <c r="AH54" s="47">
        <f>Input!AH26</f>
        <v>0</v>
      </c>
      <c r="AI54" s="47">
        <f>Input!AI26</f>
        <v>0</v>
      </c>
      <c r="AJ54" s="47">
        <f>Input!AJ26</f>
        <v>0</v>
      </c>
      <c r="AK54" s="47">
        <f>Input!AK26</f>
        <v>0</v>
      </c>
      <c r="AL54" s="47">
        <f>Input!AL26</f>
        <v>0</v>
      </c>
      <c r="AM54" s="47">
        <f>Input!AM26</f>
        <v>0</v>
      </c>
      <c r="AN54" s="47">
        <f>Input!AN26</f>
        <v>0</v>
      </c>
      <c r="AO54" s="28"/>
    </row>
    <row r="55" spans="1:41" ht="14.4" customHeight="1" outlineLevel="1" x14ac:dyDescent="0.3"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28"/>
    </row>
    <row r="56" spans="1:41" ht="14.4" customHeight="1" outlineLevel="1" x14ac:dyDescent="0.3">
      <c r="C56" s="2" t="s">
        <v>244</v>
      </c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28"/>
    </row>
    <row r="57" spans="1:41" ht="14.4" customHeight="1" outlineLevel="1" x14ac:dyDescent="0.3"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28"/>
    </row>
    <row r="58" spans="1:41" ht="14.4" customHeight="1" outlineLevel="1" x14ac:dyDescent="0.3">
      <c r="C58" s="1" t="str">
        <f>Input!B22</f>
        <v>CPI, (RUB)</v>
      </c>
      <c r="H58" s="26" t="s">
        <v>11</v>
      </c>
      <c r="K58" s="126"/>
      <c r="L58" s="20">
        <f>IF(L$9=Input!$H$9,1,Расчеты!L50*Расчеты!K58)</f>
        <v>1</v>
      </c>
      <c r="M58" s="20">
        <f>IF(M$9=Input!$H$9,1,Расчеты!M50*Расчеты!L58)</f>
        <v>1.04</v>
      </c>
      <c r="N58" s="20">
        <f>IF(N$9=Input!$H$9,1,Расчеты!N50*Расчеты!M58)</f>
        <v>1.0816000000000001</v>
      </c>
      <c r="O58" s="20">
        <f>IF(O$9=Input!$H$9,1,Расчеты!O50*Расчеты!N58)</f>
        <v>1.1248640000000001</v>
      </c>
      <c r="P58" s="20">
        <f>IF(P$9=Input!$H$9,1,Расчеты!P50*Расчеты!O58)</f>
        <v>1.1698585600000002</v>
      </c>
      <c r="Q58" s="20">
        <f>IF(Q$9=Input!$H$9,1,Расчеты!Q50*Расчеты!P58)</f>
        <v>1.2166529024000003</v>
      </c>
      <c r="R58" s="20">
        <f>IF(R$9=Input!$H$9,1,Расчеты!R50*Расчеты!Q58)</f>
        <v>1.2653190184960004</v>
      </c>
      <c r="S58" s="20">
        <f>IF(S$9=Input!$H$9,1,Расчеты!S50*Расчеты!R58)</f>
        <v>1.3159317792358405</v>
      </c>
      <c r="T58" s="20">
        <f>IF(T$9=Input!$H$9,1,Расчеты!T50*Расчеты!S58)</f>
        <v>1.3685690504052741</v>
      </c>
      <c r="U58" s="20">
        <f>IF(U$9=Input!$H$9,1,Расчеты!U50*Расчеты!T58)</f>
        <v>1.4233118124214852</v>
      </c>
      <c r="V58" s="20">
        <f>IF(V$9=Input!$H$9,1,Расчеты!V50*Расчеты!U58)</f>
        <v>1.4802442849183446</v>
      </c>
      <c r="W58" s="20">
        <f>IF(W$9=Input!$H$9,1,Расчеты!W50*Расчеты!V58)</f>
        <v>1.5394540563150785</v>
      </c>
      <c r="X58" s="20">
        <f>IF(X$9=Input!$H$9,1,Расчеты!X50*Расчеты!W58)</f>
        <v>1.6010322185676817</v>
      </c>
      <c r="Y58" s="20">
        <f>IF(Y$9=Input!$H$9,1,Расчеты!Y50*Расчеты!X58)</f>
        <v>1.6650735073103891</v>
      </c>
      <c r="Z58" s="20">
        <f>IF(Z$9=Input!$H$9,1,Расчеты!Z50*Расчеты!Y58)</f>
        <v>1.7316764476028046</v>
      </c>
      <c r="AA58" s="20">
        <f>IF(AA$9=Input!$H$9,1,Расчеты!AA50*Расчеты!Z58)</f>
        <v>1.8009435055069167</v>
      </c>
      <c r="AB58" s="20">
        <f>IF(AB$9=Input!$H$9,1,Расчеты!AB50*Расчеты!AA58)</f>
        <v>1.8729812457271935</v>
      </c>
      <c r="AC58" s="20">
        <f>IF(AC$9=Input!$H$9,1,Расчеты!AC50*Расчеты!AB58)</f>
        <v>1.9479004955562813</v>
      </c>
      <c r="AD58" s="20">
        <f>IF(AD$9=Input!$H$9,1,Расчеты!AD50*Расчеты!AC58)</f>
        <v>0</v>
      </c>
      <c r="AE58" s="20">
        <f>IF(AE$9=Input!$H$9,1,Расчеты!AE50*Расчеты!AD58)</f>
        <v>0</v>
      </c>
      <c r="AF58" s="20">
        <f>IF(AF$9=Input!$H$9,1,Расчеты!AF50*Расчеты!AE58)</f>
        <v>0</v>
      </c>
      <c r="AG58" s="20">
        <f>IF(AG$9=Input!$H$9,1,Расчеты!AG50*Расчеты!AF58)</f>
        <v>0</v>
      </c>
      <c r="AH58" s="20">
        <f>IF(AH$9=Input!$H$9,1,Расчеты!AH50*Расчеты!AG58)</f>
        <v>0</v>
      </c>
      <c r="AI58" s="20">
        <f>IF(AI$9=Input!$H$9,1,Расчеты!AI50*Расчеты!AH58)</f>
        <v>0</v>
      </c>
      <c r="AJ58" s="20">
        <f>IF(AJ$9=Input!$H$9,1,Расчеты!AJ50*Расчеты!AI58)</f>
        <v>0</v>
      </c>
      <c r="AK58" s="20">
        <f>IF(AK$9=Input!$H$9,1,Расчеты!AK50*Расчеты!AJ58)</f>
        <v>0</v>
      </c>
      <c r="AL58" s="20">
        <f>IF(AL$9=Input!$H$9,1,Расчеты!AL50*Расчеты!AK58)</f>
        <v>0</v>
      </c>
      <c r="AM58" s="20">
        <f>IF(AM$9=Input!$H$9,1,Расчеты!AM50*Расчеты!AL58)</f>
        <v>0</v>
      </c>
      <c r="AN58" s="20">
        <f>IF(AN$9=Input!$H$9,1,Расчеты!AN50*Расчеты!AM58)</f>
        <v>0</v>
      </c>
      <c r="AO58" s="28"/>
    </row>
    <row r="59" spans="1:41" ht="14.4" customHeight="1" outlineLevel="1" x14ac:dyDescent="0.3">
      <c r="C59" s="1" t="str">
        <f>Input!B23</f>
        <v>PPI,  (RUB)</v>
      </c>
      <c r="H59" s="26" t="s">
        <v>11</v>
      </c>
      <c r="K59" s="126"/>
      <c r="L59" s="20">
        <f>IF(L$9=Input!$H$9,1,Расчеты!L51*Расчеты!K59)</f>
        <v>1</v>
      </c>
      <c r="M59" s="20">
        <f>IF(M$9=Input!$H$9,1,Расчеты!M51*Расчеты!L59)</f>
        <v>1.04</v>
      </c>
      <c r="N59" s="20">
        <f>IF(N$9=Input!$H$9,1,Расчеты!N51*Расчеты!M59)</f>
        <v>1.0816000000000001</v>
      </c>
      <c r="O59" s="20">
        <f>IF(O$9=Input!$H$9,1,Расчеты!O51*Расчеты!N59)</f>
        <v>1.1248640000000001</v>
      </c>
      <c r="P59" s="20">
        <f>IF(P$9=Input!$H$9,1,Расчеты!P51*Расчеты!O59)</f>
        <v>1.1698585600000002</v>
      </c>
      <c r="Q59" s="20">
        <f>IF(Q$9=Input!$H$9,1,Расчеты!Q51*Расчеты!P59)</f>
        <v>1.2166529024000003</v>
      </c>
      <c r="R59" s="20">
        <f>IF(R$9=Input!$H$9,1,Расчеты!R51*Расчеты!Q59)</f>
        <v>1.2653190184960004</v>
      </c>
      <c r="S59" s="20">
        <f>IF(S$9=Input!$H$9,1,Расчеты!S51*Расчеты!R59)</f>
        <v>1.3159317792358405</v>
      </c>
      <c r="T59" s="20">
        <f>IF(T$9=Input!$H$9,1,Расчеты!T51*Расчеты!S59)</f>
        <v>1.3685690504052741</v>
      </c>
      <c r="U59" s="20">
        <f>IF(U$9=Input!$H$9,1,Расчеты!U51*Расчеты!T59)</f>
        <v>1.4233118124214852</v>
      </c>
      <c r="V59" s="20">
        <f>IF(V$9=Input!$H$9,1,Расчеты!V51*Расчеты!U59)</f>
        <v>1.4802442849183446</v>
      </c>
      <c r="W59" s="20">
        <f>IF(W$9=Input!$H$9,1,Расчеты!W51*Расчеты!V59)</f>
        <v>1.5394540563150785</v>
      </c>
      <c r="X59" s="20">
        <f>IF(X$9=Input!$H$9,1,Расчеты!X51*Расчеты!W59)</f>
        <v>1.6010322185676817</v>
      </c>
      <c r="Y59" s="20">
        <f>IF(Y$9=Input!$H$9,1,Расчеты!Y51*Расчеты!X59)</f>
        <v>1.6650735073103891</v>
      </c>
      <c r="Z59" s="20">
        <f>IF(Z$9=Input!$H$9,1,Расчеты!Z51*Расчеты!Y59)</f>
        <v>1.7316764476028046</v>
      </c>
      <c r="AA59" s="20">
        <f>IF(AA$9=Input!$H$9,1,Расчеты!AA51*Расчеты!Z59)</f>
        <v>1.8009435055069167</v>
      </c>
      <c r="AB59" s="20">
        <f>IF(AB$9=Input!$H$9,1,Расчеты!AB51*Расчеты!AA59)</f>
        <v>1.8729812457271935</v>
      </c>
      <c r="AC59" s="20">
        <f>IF(AC$9=Input!$H$9,1,Расчеты!AC51*Расчеты!AB59)</f>
        <v>1.9479004955562813</v>
      </c>
      <c r="AD59" s="20">
        <f>IF(AD$9=Input!$H$9,1,Расчеты!AD51*Расчеты!AC59)</f>
        <v>0</v>
      </c>
      <c r="AE59" s="20">
        <f>IF(AE$9=Input!$H$9,1,Расчеты!AE51*Расчеты!AD59)</f>
        <v>0</v>
      </c>
      <c r="AF59" s="20">
        <f>IF(AF$9=Input!$H$9,1,Расчеты!AF51*Расчеты!AE59)</f>
        <v>0</v>
      </c>
      <c r="AG59" s="20">
        <f>IF(AG$9=Input!$H$9,1,Расчеты!AG51*Расчеты!AF59)</f>
        <v>0</v>
      </c>
      <c r="AH59" s="20">
        <f>IF(AH$9=Input!$H$9,1,Расчеты!AH51*Расчеты!AG59)</f>
        <v>0</v>
      </c>
      <c r="AI59" s="20">
        <f>IF(AI$9=Input!$H$9,1,Расчеты!AI51*Расчеты!AH59)</f>
        <v>0</v>
      </c>
      <c r="AJ59" s="20">
        <f>IF(AJ$9=Input!$H$9,1,Расчеты!AJ51*Расчеты!AI59)</f>
        <v>0</v>
      </c>
      <c r="AK59" s="20">
        <f>IF(AK$9=Input!$H$9,1,Расчеты!AK51*Расчеты!AJ59)</f>
        <v>0</v>
      </c>
      <c r="AL59" s="20">
        <f>IF(AL$9=Input!$H$9,1,Расчеты!AL51*Расчеты!AK59)</f>
        <v>0</v>
      </c>
      <c r="AM59" s="20">
        <f>IF(AM$9=Input!$H$9,1,Расчеты!AM51*Расчеты!AL59)</f>
        <v>0</v>
      </c>
      <c r="AN59" s="20">
        <f>IF(AN$9=Input!$H$9,1,Расчеты!AN51*Расчеты!AM59)</f>
        <v>0</v>
      </c>
      <c r="AO59" s="28"/>
    </row>
    <row r="60" spans="1:41" ht="14.4" customHeight="1" outlineLevel="1" x14ac:dyDescent="0.3">
      <c r="C60" s="1" t="str">
        <f>Input!B24</f>
        <v>PPI, (USD)</v>
      </c>
      <c r="H60" s="26" t="s">
        <v>11</v>
      </c>
      <c r="K60" s="126"/>
      <c r="L60" s="20">
        <f>IF(L$9=Input!$H$9,1,Расчеты!L52*Расчеты!K60)</f>
        <v>1</v>
      </c>
      <c r="M60" s="20">
        <f>IF(M$9=Input!$H$9,1,Расчеты!M52*Расчеты!L60)</f>
        <v>1.03</v>
      </c>
      <c r="N60" s="20">
        <f>IF(N$9=Input!$H$9,1,Расчеты!N52*Расчеты!M60)</f>
        <v>1.0609</v>
      </c>
      <c r="O60" s="20">
        <f>IF(O$9=Input!$H$9,1,Расчеты!O52*Расчеты!N60)</f>
        <v>1.092727</v>
      </c>
      <c r="P60" s="20">
        <f>IF(P$9=Input!$H$9,1,Расчеты!P52*Расчеты!O60)</f>
        <v>1.1255088100000001</v>
      </c>
      <c r="Q60" s="20">
        <f>IF(Q$9=Input!$H$9,1,Расчеты!Q52*Расчеты!P60)</f>
        <v>1.1592740743000001</v>
      </c>
      <c r="R60" s="20">
        <f>IF(R$9=Input!$H$9,1,Расчеты!R52*Расчеты!Q60)</f>
        <v>1.1940522965290001</v>
      </c>
      <c r="S60" s="20">
        <f>IF(S$9=Input!$H$9,1,Расчеты!S52*Расчеты!R60)</f>
        <v>1.2298738654248702</v>
      </c>
      <c r="T60" s="20">
        <f>IF(T$9=Input!$H$9,1,Расчеты!T52*Расчеты!S60)</f>
        <v>1.2667700813876164</v>
      </c>
      <c r="U60" s="20">
        <f>IF(U$9=Input!$H$9,1,Расчеты!U52*Расчеты!T60)</f>
        <v>1.3047731838292449</v>
      </c>
      <c r="V60" s="20">
        <f>IF(V$9=Input!$H$9,1,Расчеты!V52*Расчеты!U60)</f>
        <v>1.3439163793441222</v>
      </c>
      <c r="W60" s="20">
        <f>IF(W$9=Input!$H$9,1,Расчеты!W52*Расчеты!V60)</f>
        <v>1.3842338707244459</v>
      </c>
      <c r="X60" s="20">
        <f>IF(X$9=Input!$H$9,1,Расчеты!X52*Расчеты!W60)</f>
        <v>1.4257608868461793</v>
      </c>
      <c r="Y60" s="20">
        <f>IF(Y$9=Input!$H$9,1,Расчеты!Y52*Расчеты!X60)</f>
        <v>1.4685337134515648</v>
      </c>
      <c r="Z60" s="20">
        <f>IF(Z$9=Input!$H$9,1,Расчеты!Z52*Расчеты!Y60)</f>
        <v>1.5125897248551119</v>
      </c>
      <c r="AA60" s="20">
        <f>IF(AA$9=Input!$H$9,1,Расчеты!AA52*Расчеты!Z60)</f>
        <v>1.5579674166007653</v>
      </c>
      <c r="AB60" s="20">
        <f>IF(AB$9=Input!$H$9,1,Расчеты!AB52*Расчеты!AA60)</f>
        <v>1.6047064390987884</v>
      </c>
      <c r="AC60" s="20">
        <f>IF(AC$9=Input!$H$9,1,Расчеты!AC52*Расчеты!AB60)</f>
        <v>1.652847632271752</v>
      </c>
      <c r="AD60" s="20">
        <f>IF(AD$9=Input!$H$9,1,Расчеты!AD52*Расчеты!AC60)</f>
        <v>0</v>
      </c>
      <c r="AE60" s="20">
        <f>IF(AE$9=Input!$H$9,1,Расчеты!AE52*Расчеты!AD60)</f>
        <v>0</v>
      </c>
      <c r="AF60" s="20">
        <f>IF(AF$9=Input!$H$9,1,Расчеты!AF52*Расчеты!AE60)</f>
        <v>0</v>
      </c>
      <c r="AG60" s="20">
        <f>IF(AG$9=Input!$H$9,1,Расчеты!AG52*Расчеты!AF60)</f>
        <v>0</v>
      </c>
      <c r="AH60" s="20">
        <f>IF(AH$9=Input!$H$9,1,Расчеты!AH52*Расчеты!AG60)</f>
        <v>0</v>
      </c>
      <c r="AI60" s="20">
        <f>IF(AI$9=Input!$H$9,1,Расчеты!AI52*Расчеты!AH60)</f>
        <v>0</v>
      </c>
      <c r="AJ60" s="20">
        <f>IF(AJ$9=Input!$H$9,1,Расчеты!AJ52*Расчеты!AI60)</f>
        <v>0</v>
      </c>
      <c r="AK60" s="20">
        <f>IF(AK$9=Input!$H$9,1,Расчеты!AK52*Расчеты!AJ60)</f>
        <v>0</v>
      </c>
      <c r="AL60" s="20">
        <f>IF(AL$9=Input!$H$9,1,Расчеты!AL52*Расчеты!AK60)</f>
        <v>0</v>
      </c>
      <c r="AM60" s="20">
        <f>IF(AM$9=Input!$H$9,1,Расчеты!AM52*Расчеты!AL60)</f>
        <v>0</v>
      </c>
      <c r="AN60" s="20">
        <f>IF(AN$9=Input!$H$9,1,Расчеты!AN52*Расчеты!AM60)</f>
        <v>0</v>
      </c>
      <c r="AO60" s="28"/>
    </row>
    <row r="61" spans="1:41" ht="14.4" customHeight="1" outlineLevel="1" x14ac:dyDescent="0.3">
      <c r="C61" s="1" t="str">
        <f>Input!B25</f>
        <v>Индекс роста заработной платы (RUB)</v>
      </c>
      <c r="H61" s="26" t="s">
        <v>11</v>
      </c>
      <c r="K61" s="126"/>
      <c r="L61" s="20">
        <f>IF(L$9=Input!$H$9,1,Расчеты!L53*Расчеты!K61)</f>
        <v>1</v>
      </c>
      <c r="M61" s="20">
        <f>IF(M$9=Input!$H$9,1,Расчеты!M53*Расчеты!L61)</f>
        <v>1.04</v>
      </c>
      <c r="N61" s="20">
        <f>IF(N$9=Input!$H$9,1,Расчеты!N53*Расчеты!M61)</f>
        <v>1.0816000000000001</v>
      </c>
      <c r="O61" s="20">
        <f>IF(O$9=Input!$H$9,1,Расчеты!O53*Расчеты!N61)</f>
        <v>1.1248640000000001</v>
      </c>
      <c r="P61" s="20">
        <f>IF(P$9=Input!$H$9,1,Расчеты!P53*Расчеты!O61)</f>
        <v>1.1698585600000002</v>
      </c>
      <c r="Q61" s="20">
        <f>IF(Q$9=Input!$H$9,1,Расчеты!Q53*Расчеты!P61)</f>
        <v>1.2166529024000003</v>
      </c>
      <c r="R61" s="20">
        <f>IF(R$9=Input!$H$9,1,Расчеты!R53*Расчеты!Q61)</f>
        <v>1.2653190184960004</v>
      </c>
      <c r="S61" s="20">
        <f>IF(S$9=Input!$H$9,1,Расчеты!S53*Расчеты!R61)</f>
        <v>1.3159317792358405</v>
      </c>
      <c r="T61" s="20">
        <f>IF(T$9=Input!$H$9,1,Расчеты!T53*Расчеты!S61)</f>
        <v>1.3685690504052741</v>
      </c>
      <c r="U61" s="20">
        <f>IF(U$9=Input!$H$9,1,Расчеты!U53*Расчеты!T61)</f>
        <v>1.4233118124214852</v>
      </c>
      <c r="V61" s="20">
        <f>IF(V$9=Input!$H$9,1,Расчеты!V53*Расчеты!U61)</f>
        <v>1.4802442849183446</v>
      </c>
      <c r="W61" s="20">
        <f>IF(W$9=Input!$H$9,1,Расчеты!W53*Расчеты!V61)</f>
        <v>1.5394540563150785</v>
      </c>
      <c r="X61" s="20">
        <f>IF(X$9=Input!$H$9,1,Расчеты!X53*Расчеты!W61)</f>
        <v>1.6010322185676817</v>
      </c>
      <c r="Y61" s="20">
        <f>IF(Y$9=Input!$H$9,1,Расчеты!Y53*Расчеты!X61)</f>
        <v>1.6650735073103891</v>
      </c>
      <c r="Z61" s="20">
        <f>IF(Z$9=Input!$H$9,1,Расчеты!Z53*Расчеты!Y61)</f>
        <v>1.7316764476028046</v>
      </c>
      <c r="AA61" s="20">
        <f>IF(AA$9=Input!$H$9,1,Расчеты!AA53*Расчеты!Z61)</f>
        <v>1.8009435055069167</v>
      </c>
      <c r="AB61" s="20">
        <f>IF(AB$9=Input!$H$9,1,Расчеты!AB53*Расчеты!AA61)</f>
        <v>1.8729812457271935</v>
      </c>
      <c r="AC61" s="20">
        <f>IF(AC$9=Input!$H$9,1,Расчеты!AC53*Расчеты!AB61)</f>
        <v>1.9479004955562813</v>
      </c>
      <c r="AD61" s="20">
        <f>IF(AD$9=Input!$H$9,1,Расчеты!AD53*Расчеты!AC61)</f>
        <v>0</v>
      </c>
      <c r="AE61" s="20">
        <f>IF(AE$9=Input!$H$9,1,Расчеты!AE53*Расчеты!AD61)</f>
        <v>0</v>
      </c>
      <c r="AF61" s="20">
        <f>IF(AF$9=Input!$H$9,1,Расчеты!AF53*Расчеты!AE61)</f>
        <v>0</v>
      </c>
      <c r="AG61" s="20">
        <f>IF(AG$9=Input!$H$9,1,Расчеты!AG53*Расчеты!AF61)</f>
        <v>0</v>
      </c>
      <c r="AH61" s="20">
        <f>IF(AH$9=Input!$H$9,1,Расчеты!AH53*Расчеты!AG61)</f>
        <v>0</v>
      </c>
      <c r="AI61" s="20">
        <f>IF(AI$9=Input!$H$9,1,Расчеты!AI53*Расчеты!AH61)</f>
        <v>0</v>
      </c>
      <c r="AJ61" s="20">
        <f>IF(AJ$9=Input!$H$9,1,Расчеты!AJ53*Расчеты!AI61)</f>
        <v>0</v>
      </c>
      <c r="AK61" s="20">
        <f>IF(AK$9=Input!$H$9,1,Расчеты!AK53*Расчеты!AJ61)</f>
        <v>0</v>
      </c>
      <c r="AL61" s="20">
        <f>IF(AL$9=Input!$H$9,1,Расчеты!AL53*Расчеты!AK61)</f>
        <v>0</v>
      </c>
      <c r="AM61" s="20">
        <f>IF(AM$9=Input!$H$9,1,Расчеты!AM53*Расчеты!AL61)</f>
        <v>0</v>
      </c>
      <c r="AN61" s="20">
        <f>IF(AN$9=Input!$H$9,1,Расчеты!AN53*Расчеты!AM61)</f>
        <v>0</v>
      </c>
      <c r="AO61" s="28"/>
    </row>
    <row r="62" spans="1:41" ht="14.4" customHeight="1" outlineLevel="1" x14ac:dyDescent="0.3">
      <c r="C62" s="1" t="str">
        <f>Input!B26</f>
        <v>Индекс роста цен на естественные монополии (электроэнергия)</v>
      </c>
      <c r="H62" s="26" t="s">
        <v>11</v>
      </c>
      <c r="K62" s="126"/>
      <c r="L62" s="20">
        <f>IF(L$9=Input!$H$9,1,Расчеты!L54*Расчеты!K62)</f>
        <v>1</v>
      </c>
      <c r="M62" s="20">
        <f>IF(M$9=Input!$H$9,1,Расчеты!M54*Расчеты!L62)</f>
        <v>1.05</v>
      </c>
      <c r="N62" s="20">
        <f>IF(N$9=Input!$H$9,1,Расчеты!N54*Расчеты!M62)</f>
        <v>1.1025</v>
      </c>
      <c r="O62" s="20">
        <f>IF(O$9=Input!$H$9,1,Расчеты!O54*Расчеты!N62)</f>
        <v>1.1576250000000001</v>
      </c>
      <c r="P62" s="20">
        <f>IF(P$9=Input!$H$9,1,Расчеты!P54*Расчеты!O62)</f>
        <v>1.2155062500000002</v>
      </c>
      <c r="Q62" s="20">
        <f>IF(Q$9=Input!$H$9,1,Расчеты!Q54*Расчеты!P62)</f>
        <v>1.2762815625000004</v>
      </c>
      <c r="R62" s="20">
        <f>IF(R$9=Input!$H$9,1,Расчеты!R54*Расчеты!Q62)</f>
        <v>1.3400956406250004</v>
      </c>
      <c r="S62" s="20">
        <f>IF(S$9=Input!$H$9,1,Расчеты!S54*Расчеты!R62)</f>
        <v>1.4071004226562505</v>
      </c>
      <c r="T62" s="20">
        <f>IF(T$9=Input!$H$9,1,Расчеты!T54*Расчеты!S62)</f>
        <v>1.477455443789063</v>
      </c>
      <c r="U62" s="20">
        <f>IF(U$9=Input!$H$9,1,Расчеты!U54*Расчеты!T62)</f>
        <v>1.5513282159785162</v>
      </c>
      <c r="V62" s="20">
        <f>IF(V$9=Input!$H$9,1,Расчеты!V54*Расчеты!U62)</f>
        <v>1.628894626777442</v>
      </c>
      <c r="W62" s="20">
        <f>IF(W$9=Input!$H$9,1,Расчеты!W54*Расчеты!V62)</f>
        <v>1.7103393581163142</v>
      </c>
      <c r="X62" s="20">
        <f>IF(X$9=Input!$H$9,1,Расчеты!X54*Расчеты!W62)</f>
        <v>1.7958563260221301</v>
      </c>
      <c r="Y62" s="20">
        <f>IF(Y$9=Input!$H$9,1,Расчеты!Y54*Расчеты!X62)</f>
        <v>1.8856491423232367</v>
      </c>
      <c r="Z62" s="20">
        <f>IF(Z$9=Input!$H$9,1,Расчеты!Z54*Расчеты!Y62)</f>
        <v>1.9799315994393987</v>
      </c>
      <c r="AA62" s="20">
        <f>IF(AA$9=Input!$H$9,1,Расчеты!AA54*Расчеты!Z62)</f>
        <v>2.0789281794113688</v>
      </c>
      <c r="AB62" s="20">
        <f>IF(AB$9=Input!$H$9,1,Расчеты!AB54*Расчеты!AA62)</f>
        <v>2.1828745883819374</v>
      </c>
      <c r="AC62" s="20">
        <f>IF(AC$9=Input!$H$9,1,Расчеты!AC54*Расчеты!AB62)</f>
        <v>2.2920183178010345</v>
      </c>
      <c r="AD62" s="20">
        <f>IF(AD$9=Input!$H$9,1,Расчеты!AD54*Расчеты!AC62)</f>
        <v>0</v>
      </c>
      <c r="AE62" s="20">
        <f>IF(AE$9=Input!$H$9,1,Расчеты!AE54*Расчеты!AD62)</f>
        <v>0</v>
      </c>
      <c r="AF62" s="20">
        <f>IF(AF$9=Input!$H$9,1,Расчеты!AF54*Расчеты!AE62)</f>
        <v>0</v>
      </c>
      <c r="AG62" s="20">
        <f>IF(AG$9=Input!$H$9,1,Расчеты!AG54*Расчеты!AF62)</f>
        <v>0</v>
      </c>
      <c r="AH62" s="20">
        <f>IF(AH$9=Input!$H$9,1,Расчеты!AH54*Расчеты!AG62)</f>
        <v>0</v>
      </c>
      <c r="AI62" s="20">
        <f>IF(AI$9=Input!$H$9,1,Расчеты!AI54*Расчеты!AH62)</f>
        <v>0</v>
      </c>
      <c r="AJ62" s="20">
        <f>IF(AJ$9=Input!$H$9,1,Расчеты!AJ54*Расчеты!AI62)</f>
        <v>0</v>
      </c>
      <c r="AK62" s="20">
        <f>IF(AK$9=Input!$H$9,1,Расчеты!AK54*Расчеты!AJ62)</f>
        <v>0</v>
      </c>
      <c r="AL62" s="20">
        <f>IF(AL$9=Input!$H$9,1,Расчеты!AL54*Расчеты!AK62)</f>
        <v>0</v>
      </c>
      <c r="AM62" s="20">
        <f>IF(AM$9=Input!$H$9,1,Расчеты!AM54*Расчеты!AL62)</f>
        <v>0</v>
      </c>
      <c r="AN62" s="20">
        <f>IF(AN$9=Input!$H$9,1,Расчеты!AN54*Расчеты!AM62)</f>
        <v>0</v>
      </c>
      <c r="AO62" s="28"/>
    </row>
    <row r="63" spans="1:41" ht="14.4" customHeight="1" outlineLevel="1" thickBot="1" x14ac:dyDescent="0.35">
      <c r="H63" s="2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28"/>
    </row>
    <row r="64" spans="1:41" s="106" customFormat="1" ht="18" customHeight="1" thickTop="1" thickBot="1" x14ac:dyDescent="0.35">
      <c r="A64" s="53"/>
      <c r="B64" s="53"/>
      <c r="C64" s="50" t="s">
        <v>350</v>
      </c>
      <c r="D64" s="51"/>
      <c r="E64" s="51"/>
      <c r="F64" s="51"/>
      <c r="G64" s="51"/>
      <c r="H64" s="52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</row>
    <row r="65" spans="1:41" ht="14.4" customHeight="1" outlineLevel="1" thickTop="1" x14ac:dyDescent="0.3">
      <c r="H65" s="26"/>
      <c r="I65" s="36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28"/>
    </row>
    <row r="66" spans="1:41" ht="14.4" customHeight="1" outlineLevel="1" x14ac:dyDescent="0.3">
      <c r="C66" s="2" t="s">
        <v>254</v>
      </c>
      <c r="H66" s="26"/>
      <c r="I66" s="36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28"/>
    </row>
    <row r="67" spans="1:41" ht="14.4" customHeight="1" outlineLevel="1" x14ac:dyDescent="0.3">
      <c r="D67" s="1" t="s">
        <v>171</v>
      </c>
      <c r="H67" s="26" t="s">
        <v>245</v>
      </c>
      <c r="I67" s="36"/>
      <c r="L67" s="22">
        <f>IFERROR(Input!$H$43*Input!$H52*INDEX(Input!$K64:$Q64,MATCH(Расчеты!L$9,Input!$K$63:$Q$63,0)),0)</f>
        <v>0</v>
      </c>
      <c r="M67" s="22">
        <f>IFERROR(Input!$H$43*Input!$H52*INDEX(Input!$K64:$Q64,MATCH(Расчеты!M$9,Input!$K$63:$Q$63,0)),0)</f>
        <v>0</v>
      </c>
      <c r="N67" s="22">
        <f>IFERROR(Input!$H$43*Input!$H52*INDEX(Input!$K64:$Q64,MATCH(Расчеты!N$9,Input!$K$63:$Q$63,0)),0)</f>
        <v>0</v>
      </c>
      <c r="O67" s="22">
        <f>IFERROR(Input!$H$43*Input!$H52*INDEX(Input!$K64:$Q64,MATCH(Расчеты!O$9,Input!$K$63:$Q$63,0)),0)</f>
        <v>0</v>
      </c>
      <c r="P67" s="22">
        <f>IFERROR(Input!$H$43*Input!$H52*INDEX(Input!$K64:$Q64,MATCH(Расчеты!P$9,Input!$K$63:$Q$63,0)),0)</f>
        <v>0</v>
      </c>
      <c r="Q67" s="22">
        <f>IFERROR(Input!$H$43*Input!$H52*INDEX(Input!$K64:$Q64,MATCH(Расчеты!Q$9,Input!$K$63:$Q$63,0)),0)</f>
        <v>0</v>
      </c>
      <c r="R67" s="22">
        <f>IFERROR(Input!$H$43*Input!$H52*INDEX(Input!$K64:$Q64,MATCH(Расчеты!R$9,Input!$K$63:$Q$63,0)),0)</f>
        <v>0</v>
      </c>
      <c r="S67" s="22">
        <f>IFERROR(Input!$H$43*Input!$H52*INDEX(Input!$K64:$Q64,MATCH(Расчеты!S$9,Input!$K$63:$Q$63,0)),0)</f>
        <v>0</v>
      </c>
      <c r="T67" s="22">
        <f>IFERROR(Input!$H$43*Input!$H52*INDEX(Input!$K64:$Q64,MATCH(Расчеты!T$9,Input!$K$63:$Q$63,0)),0)</f>
        <v>0</v>
      </c>
      <c r="U67" s="22">
        <f>IFERROR(Input!$H$43*Input!$H52*INDEX(Input!$K64:$Q64,MATCH(Расчеты!U$9,Input!$K$63:$Q$63,0)),0)</f>
        <v>0</v>
      </c>
      <c r="V67" s="22">
        <f>IFERROR(Input!$H$43*Input!$H52*INDEX(Input!$K64:$Q64,MATCH(Расчеты!V$9,Input!$K$63:$Q$63,0)),0)</f>
        <v>0</v>
      </c>
      <c r="W67" s="22">
        <f>IFERROR(Input!$H$43*Input!$H52*INDEX(Input!$K64:$Q64,MATCH(Расчеты!W$9,Input!$K$63:$Q$63,0)),0)</f>
        <v>0</v>
      </c>
      <c r="X67" s="22">
        <f>IFERROR(Input!$H$43*Input!$H52*INDEX(Input!$K64:$Q64,MATCH(Расчеты!X$9,Input!$K$63:$Q$63,0)),0)</f>
        <v>0</v>
      </c>
      <c r="Y67" s="22">
        <f>IFERROR(Input!$H$43*Input!$H52*INDEX(Input!$K64:$Q64,MATCH(Расчеты!Y$9,Input!$K$63:$Q$63,0)),0)</f>
        <v>0</v>
      </c>
      <c r="Z67" s="22">
        <f>IFERROR(Input!$H$43*Input!$H52*INDEX(Input!$K64:$Q64,MATCH(Расчеты!Z$9,Input!$K$63:$Q$63,0)),0)</f>
        <v>0</v>
      </c>
      <c r="AA67" s="22">
        <f>IFERROR(Input!$H$43*Input!$H52*INDEX(Input!$K64:$Q64,MATCH(Расчеты!AA$9,Input!$K$63:$Q$63,0)),0)</f>
        <v>0</v>
      </c>
      <c r="AB67" s="22">
        <f>IFERROR(Input!$H$43*Input!$H52*INDEX(Input!$K64:$Q64,MATCH(Расчеты!AB$9,Input!$K$63:$Q$63,0)),0)</f>
        <v>0</v>
      </c>
      <c r="AC67" s="22">
        <f>IFERROR(Input!$H$43*Input!$H52*INDEX(Input!$K64:$Q64,MATCH(Расчеты!AC$9,Input!$K$63:$Q$63,0)),0)</f>
        <v>0</v>
      </c>
      <c r="AD67" s="22">
        <f>IFERROR(Input!$H$43*Input!$H52*INDEX(Input!$K64:$Q64,MATCH(Расчеты!AD$9,Input!$K$63:$Q$63,0)),0)</f>
        <v>0</v>
      </c>
      <c r="AE67" s="22">
        <f>IFERROR(Input!$H$43*Input!$H52*INDEX(Input!$K64:$Q64,MATCH(Расчеты!AE$9,Input!$K$63:$Q$63,0)),0)</f>
        <v>0</v>
      </c>
      <c r="AF67" s="22">
        <f>IFERROR(Input!$H$43*Input!$H52*INDEX(Input!$K64:$Q64,MATCH(Расчеты!AF$9,Input!$K$63:$Q$63,0)),0)</f>
        <v>0</v>
      </c>
      <c r="AG67" s="22">
        <f>IFERROR(Input!$H$43*Input!$H52*INDEX(Input!$K64:$Q64,MATCH(Расчеты!AG$9,Input!$K$63:$Q$63,0)),0)</f>
        <v>0</v>
      </c>
      <c r="AH67" s="22">
        <f>IFERROR(Input!$H$43*Input!$H52*INDEX(Input!$K64:$Q64,MATCH(Расчеты!AH$9,Input!$K$63:$Q$63,0)),0)</f>
        <v>0</v>
      </c>
      <c r="AI67" s="22">
        <f>IFERROR(Input!$H$43*Input!$H52*INDEX(Input!$K64:$Q64,MATCH(Расчеты!AI$9,Input!$K$63:$Q$63,0)),0)</f>
        <v>0</v>
      </c>
      <c r="AJ67" s="22">
        <f>IFERROR(Input!$H$43*Input!$H52*INDEX(Input!$K64:$Q64,MATCH(Расчеты!AJ$9,Input!$K$63:$Q$63,0)),0)</f>
        <v>0</v>
      </c>
      <c r="AK67" s="22">
        <f>IFERROR(Input!$H$43*Input!$H52*INDEX(Input!$K64:$Q64,MATCH(Расчеты!AK$9,Input!$K$63:$Q$63,0)),0)</f>
        <v>0</v>
      </c>
      <c r="AL67" s="22">
        <f>IFERROR(Input!$H$43*Input!$H52*INDEX(Input!$K64:$Q64,MATCH(Расчеты!AL$9,Input!$K$63:$Q$63,0)),0)</f>
        <v>0</v>
      </c>
      <c r="AM67" s="22">
        <f>IFERROR(Input!$H$43*Input!$H52*INDEX(Input!$K64:$Q64,MATCH(Расчеты!AM$9,Input!$K$63:$Q$63,0)),0)</f>
        <v>0</v>
      </c>
      <c r="AN67" s="22">
        <f>IFERROR(Input!$H$43*Input!$H52*INDEX(Input!$K64:$Q64,MATCH(Расчеты!AN$9,Input!$K$63:$Q$63,0)),0)</f>
        <v>0</v>
      </c>
      <c r="AO67" s="28"/>
    </row>
    <row r="68" spans="1:41" ht="14.4" customHeight="1" outlineLevel="1" x14ac:dyDescent="0.3">
      <c r="D68" s="1" t="s">
        <v>172</v>
      </c>
      <c r="H68" s="26" t="s">
        <v>245</v>
      </c>
      <c r="I68" s="36"/>
      <c r="L68" s="22">
        <f>IFERROR(Input!$H$43*Input!$H53*INDEX(Input!$K65:$Q65,MATCH(Расчеты!L$9,Input!$K$63:$Q$63,0)),0)</f>
        <v>0</v>
      </c>
      <c r="M68" s="22">
        <f>IFERROR(Input!$H$43*Input!$H53*INDEX(Input!$K65:$Q65,MATCH(Расчеты!M$9,Input!$K$63:$Q$63,0)),0)</f>
        <v>21.5</v>
      </c>
      <c r="N68" s="22">
        <f>IFERROR(Input!$H$43*Input!$H53*INDEX(Input!$K65:$Q65,MATCH(Расчеты!N$9,Input!$K$63:$Q$63,0)),0)</f>
        <v>21.5</v>
      </c>
      <c r="O68" s="22">
        <f>IFERROR(Input!$H$43*Input!$H53*INDEX(Input!$K65:$Q65,MATCH(Расчеты!O$9,Input!$K$63:$Q$63,0)),0)</f>
        <v>0</v>
      </c>
      <c r="P68" s="22">
        <f>IFERROR(Input!$H$43*Input!$H53*INDEX(Input!$K65:$Q65,MATCH(Расчеты!P$9,Input!$K$63:$Q$63,0)),0)</f>
        <v>0</v>
      </c>
      <c r="Q68" s="22">
        <f>IFERROR(Input!$H$43*Input!$H53*INDEX(Input!$K65:$Q65,MATCH(Расчеты!Q$9,Input!$K$63:$Q$63,0)),0)</f>
        <v>0</v>
      </c>
      <c r="R68" s="22">
        <f>IFERROR(Input!$H$43*Input!$H53*INDEX(Input!$K65:$Q65,MATCH(Расчеты!R$9,Input!$K$63:$Q$63,0)),0)</f>
        <v>0</v>
      </c>
      <c r="S68" s="22">
        <f>IFERROR(Input!$H$43*Input!$H53*INDEX(Input!$K65:$Q65,MATCH(Расчеты!S$9,Input!$K$63:$Q$63,0)),0)</f>
        <v>0</v>
      </c>
      <c r="T68" s="22">
        <f>IFERROR(Input!$H$43*Input!$H53*INDEX(Input!$K65:$Q65,MATCH(Расчеты!T$9,Input!$K$63:$Q$63,0)),0)</f>
        <v>0</v>
      </c>
      <c r="U68" s="22">
        <f>IFERROR(Input!$H$43*Input!$H53*INDEX(Input!$K65:$Q65,MATCH(Расчеты!U$9,Input!$K$63:$Q$63,0)),0)</f>
        <v>0</v>
      </c>
      <c r="V68" s="22">
        <f>IFERROR(Input!$H$43*Input!$H53*INDEX(Input!$K65:$Q65,MATCH(Расчеты!V$9,Input!$K$63:$Q$63,0)),0)</f>
        <v>0</v>
      </c>
      <c r="W68" s="22">
        <f>IFERROR(Input!$H$43*Input!$H53*INDEX(Input!$K65:$Q65,MATCH(Расчеты!W$9,Input!$K$63:$Q$63,0)),0)</f>
        <v>0</v>
      </c>
      <c r="X68" s="22">
        <f>IFERROR(Input!$H$43*Input!$H53*INDEX(Input!$K65:$Q65,MATCH(Расчеты!X$9,Input!$K$63:$Q$63,0)),0)</f>
        <v>0</v>
      </c>
      <c r="Y68" s="22">
        <f>IFERROR(Input!$H$43*Input!$H53*INDEX(Input!$K65:$Q65,MATCH(Расчеты!Y$9,Input!$K$63:$Q$63,0)),0)</f>
        <v>0</v>
      </c>
      <c r="Z68" s="22">
        <f>IFERROR(Input!$H$43*Input!$H53*INDEX(Input!$K65:$Q65,MATCH(Расчеты!Z$9,Input!$K$63:$Q$63,0)),0)</f>
        <v>0</v>
      </c>
      <c r="AA68" s="22">
        <f>IFERROR(Input!$H$43*Input!$H53*INDEX(Input!$K65:$Q65,MATCH(Расчеты!AA$9,Input!$K$63:$Q$63,0)),0)</f>
        <v>0</v>
      </c>
      <c r="AB68" s="22">
        <f>IFERROR(Input!$H$43*Input!$H53*INDEX(Input!$K65:$Q65,MATCH(Расчеты!AB$9,Input!$K$63:$Q$63,0)),0)</f>
        <v>0</v>
      </c>
      <c r="AC68" s="22">
        <f>IFERROR(Input!$H$43*Input!$H53*INDEX(Input!$K65:$Q65,MATCH(Расчеты!AC$9,Input!$K$63:$Q$63,0)),0)</f>
        <v>0</v>
      </c>
      <c r="AD68" s="22">
        <f>IFERROR(Input!$H$43*Input!$H53*INDEX(Input!$K65:$Q65,MATCH(Расчеты!AD$9,Input!$K$63:$Q$63,0)),0)</f>
        <v>0</v>
      </c>
      <c r="AE68" s="22">
        <f>IFERROR(Input!$H$43*Input!$H53*INDEX(Input!$K65:$Q65,MATCH(Расчеты!AE$9,Input!$K$63:$Q$63,0)),0)</f>
        <v>0</v>
      </c>
      <c r="AF68" s="22">
        <f>IFERROR(Input!$H$43*Input!$H53*INDEX(Input!$K65:$Q65,MATCH(Расчеты!AF$9,Input!$K$63:$Q$63,0)),0)</f>
        <v>0</v>
      </c>
      <c r="AG68" s="22">
        <f>IFERROR(Input!$H$43*Input!$H53*INDEX(Input!$K65:$Q65,MATCH(Расчеты!AG$9,Input!$K$63:$Q$63,0)),0)</f>
        <v>0</v>
      </c>
      <c r="AH68" s="22">
        <f>IFERROR(Input!$H$43*Input!$H53*INDEX(Input!$K65:$Q65,MATCH(Расчеты!AH$9,Input!$K$63:$Q$63,0)),0)</f>
        <v>0</v>
      </c>
      <c r="AI68" s="22">
        <f>IFERROR(Input!$H$43*Input!$H53*INDEX(Input!$K65:$Q65,MATCH(Расчеты!AI$9,Input!$K$63:$Q$63,0)),0)</f>
        <v>0</v>
      </c>
      <c r="AJ68" s="22">
        <f>IFERROR(Input!$H$43*Input!$H53*INDEX(Input!$K65:$Q65,MATCH(Расчеты!AJ$9,Input!$K$63:$Q$63,0)),0)</f>
        <v>0</v>
      </c>
      <c r="AK68" s="22">
        <f>IFERROR(Input!$H$43*Input!$H53*INDEX(Input!$K65:$Q65,MATCH(Расчеты!AK$9,Input!$K$63:$Q$63,0)),0)</f>
        <v>0</v>
      </c>
      <c r="AL68" s="22">
        <f>IFERROR(Input!$H$43*Input!$H53*INDEX(Input!$K65:$Q65,MATCH(Расчеты!AL$9,Input!$K$63:$Q$63,0)),0)</f>
        <v>0</v>
      </c>
      <c r="AM68" s="22">
        <f>IFERROR(Input!$H$43*Input!$H53*INDEX(Input!$K65:$Q65,MATCH(Расчеты!AM$9,Input!$K$63:$Q$63,0)),0)</f>
        <v>0</v>
      </c>
      <c r="AN68" s="22">
        <f>IFERROR(Input!$H$43*Input!$H53*INDEX(Input!$K65:$Q65,MATCH(Расчеты!AN$9,Input!$K$63:$Q$63,0)),0)</f>
        <v>0</v>
      </c>
      <c r="AO68" s="28"/>
    </row>
    <row r="69" spans="1:41" ht="14.4" customHeight="1" outlineLevel="1" x14ac:dyDescent="0.3">
      <c r="D69" s="1" t="s">
        <v>173</v>
      </c>
      <c r="H69" s="26" t="s">
        <v>245</v>
      </c>
      <c r="I69" s="36"/>
      <c r="L69" s="22">
        <f>IFERROR(Input!$H$43*Input!$H54*INDEX(Input!$K66:$Q66,MATCH(Расчеты!L$9,Input!$K$63:$Q$63,0)),0)</f>
        <v>0</v>
      </c>
      <c r="M69" s="22">
        <f>IFERROR(Input!$H$43*Input!$H54*INDEX(Input!$K66:$Q66,MATCH(Расчеты!M$9,Input!$K$63:$Q$63,0)),0)</f>
        <v>75.25</v>
      </c>
      <c r="N69" s="22">
        <f>IFERROR(Input!$H$43*Input!$H54*INDEX(Input!$K66:$Q66,MATCH(Расчеты!N$9,Input!$K$63:$Q$63,0)),0)</f>
        <v>75.25</v>
      </c>
      <c r="O69" s="22">
        <f>IFERROR(Input!$H$43*Input!$H54*INDEX(Input!$K66:$Q66,MATCH(Расчеты!O$9,Input!$K$63:$Q$63,0)),0)</f>
        <v>0</v>
      </c>
      <c r="P69" s="22">
        <f>IFERROR(Input!$H$43*Input!$H54*INDEX(Input!$K66:$Q66,MATCH(Расчеты!P$9,Input!$K$63:$Q$63,0)),0)</f>
        <v>0</v>
      </c>
      <c r="Q69" s="22">
        <f>IFERROR(Input!$H$43*Input!$H54*INDEX(Input!$K66:$Q66,MATCH(Расчеты!Q$9,Input!$K$63:$Q$63,0)),0)</f>
        <v>0</v>
      </c>
      <c r="R69" s="22">
        <f>IFERROR(Input!$H$43*Input!$H54*INDEX(Input!$K66:$Q66,MATCH(Расчеты!R$9,Input!$K$63:$Q$63,0)),0)</f>
        <v>0</v>
      </c>
      <c r="S69" s="22">
        <f>IFERROR(Input!$H$43*Input!$H54*INDEX(Input!$K66:$Q66,MATCH(Расчеты!S$9,Input!$K$63:$Q$63,0)),0)</f>
        <v>0</v>
      </c>
      <c r="T69" s="22">
        <f>IFERROR(Input!$H$43*Input!$H54*INDEX(Input!$K66:$Q66,MATCH(Расчеты!T$9,Input!$K$63:$Q$63,0)),0)</f>
        <v>0</v>
      </c>
      <c r="U69" s="22">
        <f>IFERROR(Input!$H$43*Input!$H54*INDEX(Input!$K66:$Q66,MATCH(Расчеты!U$9,Input!$K$63:$Q$63,0)),0)</f>
        <v>0</v>
      </c>
      <c r="V69" s="22">
        <f>IFERROR(Input!$H$43*Input!$H54*INDEX(Input!$K66:$Q66,MATCH(Расчеты!V$9,Input!$K$63:$Q$63,0)),0)</f>
        <v>0</v>
      </c>
      <c r="W69" s="22">
        <f>IFERROR(Input!$H$43*Input!$H54*INDEX(Input!$K66:$Q66,MATCH(Расчеты!W$9,Input!$K$63:$Q$63,0)),0)</f>
        <v>0</v>
      </c>
      <c r="X69" s="22">
        <f>IFERROR(Input!$H$43*Input!$H54*INDEX(Input!$K66:$Q66,MATCH(Расчеты!X$9,Input!$K$63:$Q$63,0)),0)</f>
        <v>0</v>
      </c>
      <c r="Y69" s="22">
        <f>IFERROR(Input!$H$43*Input!$H54*INDEX(Input!$K66:$Q66,MATCH(Расчеты!Y$9,Input!$K$63:$Q$63,0)),0)</f>
        <v>0</v>
      </c>
      <c r="Z69" s="22">
        <f>IFERROR(Input!$H$43*Input!$H54*INDEX(Input!$K66:$Q66,MATCH(Расчеты!Z$9,Input!$K$63:$Q$63,0)),0)</f>
        <v>0</v>
      </c>
      <c r="AA69" s="22">
        <f>IFERROR(Input!$H$43*Input!$H54*INDEX(Input!$K66:$Q66,MATCH(Расчеты!AA$9,Input!$K$63:$Q$63,0)),0)</f>
        <v>0</v>
      </c>
      <c r="AB69" s="22">
        <f>IFERROR(Input!$H$43*Input!$H54*INDEX(Input!$K66:$Q66,MATCH(Расчеты!AB$9,Input!$K$63:$Q$63,0)),0)</f>
        <v>0</v>
      </c>
      <c r="AC69" s="22">
        <f>IFERROR(Input!$H$43*Input!$H54*INDEX(Input!$K66:$Q66,MATCH(Расчеты!AC$9,Input!$K$63:$Q$63,0)),0)</f>
        <v>0</v>
      </c>
      <c r="AD69" s="22">
        <f>IFERROR(Input!$H$43*Input!$H54*INDEX(Input!$K66:$Q66,MATCH(Расчеты!AD$9,Input!$K$63:$Q$63,0)),0)</f>
        <v>0</v>
      </c>
      <c r="AE69" s="22">
        <f>IFERROR(Input!$H$43*Input!$H54*INDEX(Input!$K66:$Q66,MATCH(Расчеты!AE$9,Input!$K$63:$Q$63,0)),0)</f>
        <v>0</v>
      </c>
      <c r="AF69" s="22">
        <f>IFERROR(Input!$H$43*Input!$H54*INDEX(Input!$K66:$Q66,MATCH(Расчеты!AF$9,Input!$K$63:$Q$63,0)),0)</f>
        <v>0</v>
      </c>
      <c r="AG69" s="22">
        <f>IFERROR(Input!$H$43*Input!$H54*INDEX(Input!$K66:$Q66,MATCH(Расчеты!AG$9,Input!$K$63:$Q$63,0)),0)</f>
        <v>0</v>
      </c>
      <c r="AH69" s="22">
        <f>IFERROR(Input!$H$43*Input!$H54*INDEX(Input!$K66:$Q66,MATCH(Расчеты!AH$9,Input!$K$63:$Q$63,0)),0)</f>
        <v>0</v>
      </c>
      <c r="AI69" s="22">
        <f>IFERROR(Input!$H$43*Input!$H54*INDEX(Input!$K66:$Q66,MATCH(Расчеты!AI$9,Input!$K$63:$Q$63,0)),0)</f>
        <v>0</v>
      </c>
      <c r="AJ69" s="22">
        <f>IFERROR(Input!$H$43*Input!$H54*INDEX(Input!$K66:$Q66,MATCH(Расчеты!AJ$9,Input!$K$63:$Q$63,0)),0)</f>
        <v>0</v>
      </c>
      <c r="AK69" s="22">
        <f>IFERROR(Input!$H$43*Input!$H54*INDEX(Input!$K66:$Q66,MATCH(Расчеты!AK$9,Input!$K$63:$Q$63,0)),0)</f>
        <v>0</v>
      </c>
      <c r="AL69" s="22">
        <f>IFERROR(Input!$H$43*Input!$H54*INDEX(Input!$K66:$Q66,MATCH(Расчеты!AL$9,Input!$K$63:$Q$63,0)),0)</f>
        <v>0</v>
      </c>
      <c r="AM69" s="22">
        <f>IFERROR(Input!$H$43*Input!$H54*INDEX(Input!$K66:$Q66,MATCH(Расчеты!AM$9,Input!$K$63:$Q$63,0)),0)</f>
        <v>0</v>
      </c>
      <c r="AN69" s="22">
        <f>IFERROR(Input!$H$43*Input!$H54*INDEX(Input!$K66:$Q66,MATCH(Расчеты!AN$9,Input!$K$63:$Q$63,0)),0)</f>
        <v>0</v>
      </c>
      <c r="AO69" s="28"/>
    </row>
    <row r="70" spans="1:41" ht="14.4" customHeight="1" outlineLevel="1" x14ac:dyDescent="0.3">
      <c r="D70" s="1" t="s">
        <v>174</v>
      </c>
      <c r="H70" s="26" t="s">
        <v>245</v>
      </c>
      <c r="I70" s="36"/>
      <c r="L70" s="22">
        <f>IFERROR(Input!$H$43*Input!$H55*INDEX(Input!$K67:$Q67,MATCH(Расчеты!L$9,Input!$K$63:$Q$63,0)),0)</f>
        <v>0</v>
      </c>
      <c r="M70" s="22">
        <f>IFERROR(Input!$H$43*Input!$H55*INDEX(Input!$K67:$Q67,MATCH(Расчеты!M$9,Input!$K$63:$Q$63,0)),0)</f>
        <v>10.75</v>
      </c>
      <c r="N70" s="22">
        <f>IFERROR(Input!$H$43*Input!$H55*INDEX(Input!$K67:$Q67,MATCH(Расчеты!N$9,Input!$K$63:$Q$63,0)),0)</f>
        <v>10.75</v>
      </c>
      <c r="O70" s="22">
        <f>IFERROR(Input!$H$43*Input!$H55*INDEX(Input!$K67:$Q67,MATCH(Расчеты!O$9,Input!$K$63:$Q$63,0)),0)</f>
        <v>0</v>
      </c>
      <c r="P70" s="22">
        <f>IFERROR(Input!$H$43*Input!$H55*INDEX(Input!$K67:$Q67,MATCH(Расчеты!P$9,Input!$K$63:$Q$63,0)),0)</f>
        <v>0</v>
      </c>
      <c r="Q70" s="22">
        <f>IFERROR(Input!$H$43*Input!$H55*INDEX(Input!$K67:$Q67,MATCH(Расчеты!Q$9,Input!$K$63:$Q$63,0)),0)</f>
        <v>0</v>
      </c>
      <c r="R70" s="22">
        <f>IFERROR(Input!$H$43*Input!$H55*INDEX(Input!$K67:$Q67,MATCH(Расчеты!R$9,Input!$K$63:$Q$63,0)),0)</f>
        <v>0</v>
      </c>
      <c r="S70" s="22">
        <f>IFERROR(Input!$H$43*Input!$H55*INDEX(Input!$K67:$Q67,MATCH(Расчеты!S$9,Input!$K$63:$Q$63,0)),0)</f>
        <v>0</v>
      </c>
      <c r="T70" s="22">
        <f>IFERROR(Input!$H$43*Input!$H55*INDEX(Input!$K67:$Q67,MATCH(Расчеты!T$9,Input!$K$63:$Q$63,0)),0)</f>
        <v>0</v>
      </c>
      <c r="U70" s="22">
        <f>IFERROR(Input!$H$43*Input!$H55*INDEX(Input!$K67:$Q67,MATCH(Расчеты!U$9,Input!$K$63:$Q$63,0)),0)</f>
        <v>0</v>
      </c>
      <c r="V70" s="22">
        <f>IFERROR(Input!$H$43*Input!$H55*INDEX(Input!$K67:$Q67,MATCH(Расчеты!V$9,Input!$K$63:$Q$63,0)),0)</f>
        <v>0</v>
      </c>
      <c r="W70" s="22">
        <f>IFERROR(Input!$H$43*Input!$H55*INDEX(Input!$K67:$Q67,MATCH(Расчеты!W$9,Input!$K$63:$Q$63,0)),0)</f>
        <v>0</v>
      </c>
      <c r="X70" s="22">
        <f>IFERROR(Input!$H$43*Input!$H55*INDEX(Input!$K67:$Q67,MATCH(Расчеты!X$9,Input!$K$63:$Q$63,0)),0)</f>
        <v>0</v>
      </c>
      <c r="Y70" s="22">
        <f>IFERROR(Input!$H$43*Input!$H55*INDEX(Input!$K67:$Q67,MATCH(Расчеты!Y$9,Input!$K$63:$Q$63,0)),0)</f>
        <v>0</v>
      </c>
      <c r="Z70" s="22">
        <f>IFERROR(Input!$H$43*Input!$H55*INDEX(Input!$K67:$Q67,MATCH(Расчеты!Z$9,Input!$K$63:$Q$63,0)),0)</f>
        <v>0</v>
      </c>
      <c r="AA70" s="22">
        <f>IFERROR(Input!$H$43*Input!$H55*INDEX(Input!$K67:$Q67,MATCH(Расчеты!AA$9,Input!$K$63:$Q$63,0)),0)</f>
        <v>0</v>
      </c>
      <c r="AB70" s="22">
        <f>IFERROR(Input!$H$43*Input!$H55*INDEX(Input!$K67:$Q67,MATCH(Расчеты!AB$9,Input!$K$63:$Q$63,0)),0)</f>
        <v>0</v>
      </c>
      <c r="AC70" s="22">
        <f>IFERROR(Input!$H$43*Input!$H55*INDEX(Input!$K67:$Q67,MATCH(Расчеты!AC$9,Input!$K$63:$Q$63,0)),0)</f>
        <v>0</v>
      </c>
      <c r="AD70" s="22">
        <f>IFERROR(Input!$H$43*Input!$H55*INDEX(Input!$K67:$Q67,MATCH(Расчеты!AD$9,Input!$K$63:$Q$63,0)),0)</f>
        <v>0</v>
      </c>
      <c r="AE70" s="22">
        <f>IFERROR(Input!$H$43*Input!$H55*INDEX(Input!$K67:$Q67,MATCH(Расчеты!AE$9,Input!$K$63:$Q$63,0)),0)</f>
        <v>0</v>
      </c>
      <c r="AF70" s="22">
        <f>IFERROR(Input!$H$43*Input!$H55*INDEX(Input!$K67:$Q67,MATCH(Расчеты!AF$9,Input!$K$63:$Q$63,0)),0)</f>
        <v>0</v>
      </c>
      <c r="AG70" s="22">
        <f>IFERROR(Input!$H$43*Input!$H55*INDEX(Input!$K67:$Q67,MATCH(Расчеты!AG$9,Input!$K$63:$Q$63,0)),0)</f>
        <v>0</v>
      </c>
      <c r="AH70" s="22">
        <f>IFERROR(Input!$H$43*Input!$H55*INDEX(Input!$K67:$Q67,MATCH(Расчеты!AH$9,Input!$K$63:$Q$63,0)),0)</f>
        <v>0</v>
      </c>
      <c r="AI70" s="22">
        <f>IFERROR(Input!$H$43*Input!$H55*INDEX(Input!$K67:$Q67,MATCH(Расчеты!AI$9,Input!$K$63:$Q$63,0)),0)</f>
        <v>0</v>
      </c>
      <c r="AJ70" s="22">
        <f>IFERROR(Input!$H$43*Input!$H55*INDEX(Input!$K67:$Q67,MATCH(Расчеты!AJ$9,Input!$K$63:$Q$63,0)),0)</f>
        <v>0</v>
      </c>
      <c r="AK70" s="22">
        <f>IFERROR(Input!$H$43*Input!$H55*INDEX(Input!$K67:$Q67,MATCH(Расчеты!AK$9,Input!$K$63:$Q$63,0)),0)</f>
        <v>0</v>
      </c>
      <c r="AL70" s="22">
        <f>IFERROR(Input!$H$43*Input!$H55*INDEX(Input!$K67:$Q67,MATCH(Расчеты!AL$9,Input!$K$63:$Q$63,0)),0)</f>
        <v>0</v>
      </c>
      <c r="AM70" s="22">
        <f>IFERROR(Input!$H$43*Input!$H55*INDEX(Input!$K67:$Q67,MATCH(Расчеты!AM$9,Input!$K$63:$Q$63,0)),0)</f>
        <v>0</v>
      </c>
      <c r="AN70" s="22">
        <f>IFERROR(Input!$H$43*Input!$H55*INDEX(Input!$K67:$Q67,MATCH(Расчеты!AN$9,Input!$K$63:$Q$63,0)),0)</f>
        <v>0</v>
      </c>
      <c r="AO70" s="28"/>
    </row>
    <row r="71" spans="1:41" s="2" customFormat="1" ht="14.4" customHeight="1" outlineLevel="1" x14ac:dyDescent="0.3">
      <c r="A71" s="32"/>
      <c r="B71" s="32"/>
      <c r="C71" s="2" t="s">
        <v>37</v>
      </c>
      <c r="H71" s="30" t="s">
        <v>245</v>
      </c>
      <c r="I71" s="90"/>
      <c r="L71" s="34">
        <f>SUM(L67:L70)</f>
        <v>0</v>
      </c>
      <c r="M71" s="34">
        <f t="shared" ref="M71:AN71" si="32">SUM(M67:M70)</f>
        <v>107.5</v>
      </c>
      <c r="N71" s="34">
        <f t="shared" si="32"/>
        <v>107.5</v>
      </c>
      <c r="O71" s="34">
        <f t="shared" si="32"/>
        <v>0</v>
      </c>
      <c r="P71" s="34">
        <f t="shared" si="32"/>
        <v>0</v>
      </c>
      <c r="Q71" s="34">
        <f t="shared" si="32"/>
        <v>0</v>
      </c>
      <c r="R71" s="34">
        <f t="shared" si="32"/>
        <v>0</v>
      </c>
      <c r="S71" s="34">
        <f t="shared" si="32"/>
        <v>0</v>
      </c>
      <c r="T71" s="34">
        <f t="shared" si="32"/>
        <v>0</v>
      </c>
      <c r="U71" s="34">
        <f t="shared" si="32"/>
        <v>0</v>
      </c>
      <c r="V71" s="34">
        <f t="shared" si="32"/>
        <v>0</v>
      </c>
      <c r="W71" s="34">
        <f t="shared" si="32"/>
        <v>0</v>
      </c>
      <c r="X71" s="34">
        <f t="shared" si="32"/>
        <v>0</v>
      </c>
      <c r="Y71" s="34">
        <f t="shared" si="32"/>
        <v>0</v>
      </c>
      <c r="Z71" s="34">
        <f t="shared" si="32"/>
        <v>0</v>
      </c>
      <c r="AA71" s="34">
        <f t="shared" si="32"/>
        <v>0</v>
      </c>
      <c r="AB71" s="34">
        <f t="shared" si="32"/>
        <v>0</v>
      </c>
      <c r="AC71" s="34">
        <f t="shared" si="32"/>
        <v>0</v>
      </c>
      <c r="AD71" s="34">
        <f t="shared" si="32"/>
        <v>0</v>
      </c>
      <c r="AE71" s="34">
        <f t="shared" si="32"/>
        <v>0</v>
      </c>
      <c r="AF71" s="34">
        <f t="shared" si="32"/>
        <v>0</v>
      </c>
      <c r="AG71" s="34">
        <f t="shared" si="32"/>
        <v>0</v>
      </c>
      <c r="AH71" s="34">
        <f t="shared" si="32"/>
        <v>0</v>
      </c>
      <c r="AI71" s="34">
        <f t="shared" si="32"/>
        <v>0</v>
      </c>
      <c r="AJ71" s="34">
        <f t="shared" si="32"/>
        <v>0</v>
      </c>
      <c r="AK71" s="34">
        <f t="shared" si="32"/>
        <v>0</v>
      </c>
      <c r="AL71" s="34">
        <f t="shared" si="32"/>
        <v>0</v>
      </c>
      <c r="AM71" s="34">
        <f t="shared" si="32"/>
        <v>0</v>
      </c>
      <c r="AN71" s="34">
        <f t="shared" si="32"/>
        <v>0</v>
      </c>
      <c r="AO71" s="127"/>
    </row>
    <row r="72" spans="1:41" ht="14.4" customHeight="1" outlineLevel="1" x14ac:dyDescent="0.3">
      <c r="H72" s="26"/>
      <c r="I72" s="36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28"/>
    </row>
    <row r="73" spans="1:41" ht="14.4" customHeight="1" outlineLevel="1" x14ac:dyDescent="0.3">
      <c r="C73" s="2" t="s">
        <v>255</v>
      </c>
      <c r="H73" s="26"/>
      <c r="I73" s="36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28"/>
    </row>
    <row r="74" spans="1:41" ht="14.4" customHeight="1" outlineLevel="1" x14ac:dyDescent="0.3">
      <c r="B74" s="18" t="str">
        <f>Input!A64</f>
        <v>CPI, (RUB)</v>
      </c>
      <c r="D74" s="1" t="s">
        <v>171</v>
      </c>
      <c r="H74" s="26" t="s">
        <v>245</v>
      </c>
      <c r="I74" s="20">
        <f>SUM(L74:AN74)</f>
        <v>0</v>
      </c>
      <c r="L74" s="22">
        <f t="shared" ref="L74:AN74" si="33">L67*INDEX(L$58:L$62,MATCH($B74,$C$58:$C$62,0))</f>
        <v>0</v>
      </c>
      <c r="M74" s="22">
        <f t="shared" si="33"/>
        <v>0</v>
      </c>
      <c r="N74" s="22">
        <f t="shared" si="33"/>
        <v>0</v>
      </c>
      <c r="O74" s="22">
        <f t="shared" si="33"/>
        <v>0</v>
      </c>
      <c r="P74" s="22">
        <f t="shared" si="33"/>
        <v>0</v>
      </c>
      <c r="Q74" s="22">
        <f t="shared" si="33"/>
        <v>0</v>
      </c>
      <c r="R74" s="22">
        <f t="shared" si="33"/>
        <v>0</v>
      </c>
      <c r="S74" s="22">
        <f t="shared" si="33"/>
        <v>0</v>
      </c>
      <c r="T74" s="22">
        <f t="shared" si="33"/>
        <v>0</v>
      </c>
      <c r="U74" s="22">
        <f t="shared" si="33"/>
        <v>0</v>
      </c>
      <c r="V74" s="22">
        <f t="shared" si="33"/>
        <v>0</v>
      </c>
      <c r="W74" s="22">
        <f t="shared" si="33"/>
        <v>0</v>
      </c>
      <c r="X74" s="22">
        <f t="shared" si="33"/>
        <v>0</v>
      </c>
      <c r="Y74" s="22">
        <f t="shared" si="33"/>
        <v>0</v>
      </c>
      <c r="Z74" s="22">
        <f t="shared" si="33"/>
        <v>0</v>
      </c>
      <c r="AA74" s="22">
        <f t="shared" si="33"/>
        <v>0</v>
      </c>
      <c r="AB74" s="22">
        <f t="shared" si="33"/>
        <v>0</v>
      </c>
      <c r="AC74" s="22">
        <f t="shared" si="33"/>
        <v>0</v>
      </c>
      <c r="AD74" s="22">
        <f t="shared" si="33"/>
        <v>0</v>
      </c>
      <c r="AE74" s="22">
        <f t="shared" si="33"/>
        <v>0</v>
      </c>
      <c r="AF74" s="22">
        <f t="shared" si="33"/>
        <v>0</v>
      </c>
      <c r="AG74" s="22">
        <f t="shared" si="33"/>
        <v>0</v>
      </c>
      <c r="AH74" s="22">
        <f t="shared" si="33"/>
        <v>0</v>
      </c>
      <c r="AI74" s="22">
        <f t="shared" si="33"/>
        <v>0</v>
      </c>
      <c r="AJ74" s="22">
        <f t="shared" si="33"/>
        <v>0</v>
      </c>
      <c r="AK74" s="22">
        <f t="shared" si="33"/>
        <v>0</v>
      </c>
      <c r="AL74" s="22">
        <f t="shared" si="33"/>
        <v>0</v>
      </c>
      <c r="AM74" s="22">
        <f t="shared" si="33"/>
        <v>0</v>
      </c>
      <c r="AN74" s="22">
        <f t="shared" si="33"/>
        <v>0</v>
      </c>
      <c r="AO74" s="28"/>
    </row>
    <row r="75" spans="1:41" ht="14.4" customHeight="1" outlineLevel="1" x14ac:dyDescent="0.3">
      <c r="B75" s="18" t="str">
        <f>Input!A65</f>
        <v>PPI,  (RUB)</v>
      </c>
      <c r="D75" s="1" t="s">
        <v>172</v>
      </c>
      <c r="H75" s="26" t="s">
        <v>245</v>
      </c>
      <c r="I75" s="20">
        <f>SUM(L75:AN75)</f>
        <v>45.614400000000003</v>
      </c>
      <c r="L75" s="22">
        <f>L68*INDEX(L$58:L$62,MATCH($B75,$C$58:$C$62,0))</f>
        <v>0</v>
      </c>
      <c r="M75" s="22">
        <f t="shared" ref="M75:AN75" si="34">M68*INDEX(M$58:M$62,MATCH($B75,$C$58:$C$62,0))</f>
        <v>22.36</v>
      </c>
      <c r="N75" s="22">
        <f t="shared" si="34"/>
        <v>23.254400000000004</v>
      </c>
      <c r="O75" s="22">
        <f t="shared" si="34"/>
        <v>0</v>
      </c>
      <c r="P75" s="22">
        <f t="shared" si="34"/>
        <v>0</v>
      </c>
      <c r="Q75" s="22">
        <f t="shared" si="34"/>
        <v>0</v>
      </c>
      <c r="R75" s="22">
        <f t="shared" si="34"/>
        <v>0</v>
      </c>
      <c r="S75" s="22">
        <f t="shared" si="34"/>
        <v>0</v>
      </c>
      <c r="T75" s="22">
        <f t="shared" si="34"/>
        <v>0</v>
      </c>
      <c r="U75" s="22">
        <f t="shared" si="34"/>
        <v>0</v>
      </c>
      <c r="V75" s="22">
        <f t="shared" si="34"/>
        <v>0</v>
      </c>
      <c r="W75" s="22">
        <f t="shared" si="34"/>
        <v>0</v>
      </c>
      <c r="X75" s="22">
        <f t="shared" si="34"/>
        <v>0</v>
      </c>
      <c r="Y75" s="22">
        <f t="shared" si="34"/>
        <v>0</v>
      </c>
      <c r="Z75" s="22">
        <f t="shared" si="34"/>
        <v>0</v>
      </c>
      <c r="AA75" s="22">
        <f t="shared" si="34"/>
        <v>0</v>
      </c>
      <c r="AB75" s="22">
        <f t="shared" si="34"/>
        <v>0</v>
      </c>
      <c r="AC75" s="22">
        <f t="shared" si="34"/>
        <v>0</v>
      </c>
      <c r="AD75" s="22">
        <f t="shared" si="34"/>
        <v>0</v>
      </c>
      <c r="AE75" s="22">
        <f t="shared" si="34"/>
        <v>0</v>
      </c>
      <c r="AF75" s="22">
        <f t="shared" si="34"/>
        <v>0</v>
      </c>
      <c r="AG75" s="22">
        <f t="shared" si="34"/>
        <v>0</v>
      </c>
      <c r="AH75" s="22">
        <f t="shared" si="34"/>
        <v>0</v>
      </c>
      <c r="AI75" s="22">
        <f t="shared" si="34"/>
        <v>0</v>
      </c>
      <c r="AJ75" s="22">
        <f t="shared" si="34"/>
        <v>0</v>
      </c>
      <c r="AK75" s="22">
        <f t="shared" si="34"/>
        <v>0</v>
      </c>
      <c r="AL75" s="22">
        <f t="shared" si="34"/>
        <v>0</v>
      </c>
      <c r="AM75" s="22">
        <f t="shared" si="34"/>
        <v>0</v>
      </c>
      <c r="AN75" s="22">
        <f t="shared" si="34"/>
        <v>0</v>
      </c>
      <c r="AO75" s="28"/>
    </row>
    <row r="76" spans="1:41" ht="14.4" customHeight="1" outlineLevel="1" x14ac:dyDescent="0.3">
      <c r="B76" s="18" t="str">
        <f>Input!A66</f>
        <v>PPI,  (RUB)</v>
      </c>
      <c r="D76" s="1" t="s">
        <v>173</v>
      </c>
      <c r="H76" s="26" t="s">
        <v>245</v>
      </c>
      <c r="I76" s="20">
        <f>SUM(L76:AN76)</f>
        <v>160.16331165254235</v>
      </c>
      <c r="L76" s="22">
        <f>L69*(INDEX(L$58:L$62,MATCH($B76,$C$58:$C$62,0))*(1-Input!$H$45)+(L$60*Input!$H$45*(L$45/(INDEX($L$45:$AN$45,MATCH(Input!$H$15,Расчеты!$L$9:$AN$9,0))))))</f>
        <v>0</v>
      </c>
      <c r="M76" s="22">
        <f>M69*(INDEX(M$58:M$62,MATCH($B76,$C$58:$C$62,0))*(1-Input!$H$45)+(M$60*Input!$H$45*(M$45/(INDEX($L$45:$AN$45,MATCH(Input!$H$15,Расчеты!$L$9:$AN$9,0))))))</f>
        <v>78.428355932203388</v>
      </c>
      <c r="N76" s="22">
        <f>N69*(INDEX(N$58:N$62,MATCH($B76,$C$58:$C$62,0))*(1-Input!$H$45)+(N$60*Input!$H$45*(N$45/(INDEX($L$45:$AN$45,MATCH(Input!$H$15,Расчеты!$L$9:$AN$9,0))))))</f>
        <v>81.734955720338974</v>
      </c>
      <c r="O76" s="22">
        <f>O69*(INDEX(O$58:O$62,MATCH($B76,$C$58:$C$62,0))*(1-Input!$H$45)+(O$60*Input!$H$45*(O$45/(INDEX($L$45:$AN$45,MATCH(Input!$H$15,Расчеты!$L$9:$AN$9,0))))))</f>
        <v>0</v>
      </c>
      <c r="P76" s="22">
        <f>P69*(INDEX(P$58:P$62,MATCH($B76,$C$58:$C$62,0))*(1-Input!$H$45)+(P$60*Input!$H$45*(P$45/(INDEX($L$45:$AN$45,MATCH(Input!$H$15,Расчеты!$L$9:$AN$9,0))))))</f>
        <v>0</v>
      </c>
      <c r="Q76" s="22">
        <f>Q69*(INDEX(Q$58:Q$62,MATCH($B76,$C$58:$C$62,0))*(1-Input!$H$45)+(Q$60*Input!$H$45*(Q$45/(INDEX($L$45:$AN$45,MATCH(Input!$H$15,Расчеты!$L$9:$AN$9,0))))))</f>
        <v>0</v>
      </c>
      <c r="R76" s="22">
        <f>R69*(INDEX(R$58:R$62,MATCH($B76,$C$58:$C$62,0))*(1-Input!$H$45)+(R$60*Input!$H$45*(R$45/(INDEX($L$45:$AN$45,MATCH(Input!$H$15,Расчеты!$L$9:$AN$9,0))))))</f>
        <v>0</v>
      </c>
      <c r="S76" s="22">
        <f>S69*(INDEX(S$58:S$62,MATCH($B76,$C$58:$C$62,0))*(1-Input!$H$45)+(S$60*Input!$H$45*(S$45/(INDEX($L$45:$AN$45,MATCH(Input!$H$15,Расчеты!$L$9:$AN$9,0))))))</f>
        <v>0</v>
      </c>
      <c r="T76" s="22">
        <f>T69*(INDEX(T$58:T$62,MATCH($B76,$C$58:$C$62,0))*(1-Input!$H$45)+(T$60*Input!$H$45*(T$45/(INDEX($L$45:$AN$45,MATCH(Input!$H$15,Расчеты!$L$9:$AN$9,0))))))</f>
        <v>0</v>
      </c>
      <c r="U76" s="22">
        <f>U69*(INDEX(U$58:U$62,MATCH($B76,$C$58:$C$62,0))*(1-Input!$H$45)+(U$60*Input!$H$45*(U$45/(INDEX($L$45:$AN$45,MATCH(Input!$H$15,Расчеты!$L$9:$AN$9,0))))))</f>
        <v>0</v>
      </c>
      <c r="V76" s="22">
        <f>V69*(INDEX(V$58:V$62,MATCH($B76,$C$58:$C$62,0))*(1-Input!$H$45)+(V$60*Input!$H$45*(V$45/(INDEX($L$45:$AN$45,MATCH(Input!$H$15,Расчеты!$L$9:$AN$9,0))))))</f>
        <v>0</v>
      </c>
      <c r="W76" s="22">
        <f>W69*(INDEX(W$58:W$62,MATCH($B76,$C$58:$C$62,0))*(1-Input!$H$45)+(W$60*Input!$H$45*(W$45/(INDEX($L$45:$AN$45,MATCH(Input!$H$15,Расчеты!$L$9:$AN$9,0))))))</f>
        <v>0</v>
      </c>
      <c r="X76" s="22">
        <f>X69*(INDEX(X$58:X$62,MATCH($B76,$C$58:$C$62,0))*(1-Input!$H$45)+(X$60*Input!$H$45*(X$45/(INDEX($L$45:$AN$45,MATCH(Input!$H$15,Расчеты!$L$9:$AN$9,0))))))</f>
        <v>0</v>
      </c>
      <c r="Y76" s="22">
        <f>Y69*(INDEX(Y$58:Y$62,MATCH($B76,$C$58:$C$62,0))*(1-Input!$H$45)+(Y$60*Input!$H$45*(Y$45/(INDEX($L$45:$AN$45,MATCH(Input!$H$15,Расчеты!$L$9:$AN$9,0))))))</f>
        <v>0</v>
      </c>
      <c r="Z76" s="22">
        <f>Z69*(INDEX(Z$58:Z$62,MATCH($B76,$C$58:$C$62,0))*(1-Input!$H$45)+(Z$60*Input!$H$45*(Z$45/(INDEX($L$45:$AN$45,MATCH(Input!$H$15,Расчеты!$L$9:$AN$9,0))))))</f>
        <v>0</v>
      </c>
      <c r="AA76" s="22">
        <f>AA69*(INDEX(AA$58:AA$62,MATCH($B76,$C$58:$C$62,0))*(1-Input!$H$45)+(AA$60*Input!$H$45*(AA$45/(INDEX($L$45:$AN$45,MATCH(Input!$H$15,Расчеты!$L$9:$AN$9,0))))))</f>
        <v>0</v>
      </c>
      <c r="AB76" s="22">
        <f>AB69*(INDEX(AB$58:AB$62,MATCH($B76,$C$58:$C$62,0))*(1-Input!$H$45)+(AB$60*Input!$H$45*(AB$45/(INDEX($L$45:$AN$45,MATCH(Input!$H$15,Расчеты!$L$9:$AN$9,0))))))</f>
        <v>0</v>
      </c>
      <c r="AC76" s="22">
        <f>AC69*(INDEX(AC$58:AC$62,MATCH($B76,$C$58:$C$62,0))*(1-Input!$H$45)+(AC$60*Input!$H$45*(AC$45/(INDEX($L$45:$AN$45,MATCH(Input!$H$15,Расчеты!$L$9:$AN$9,0))))))</f>
        <v>0</v>
      </c>
      <c r="AD76" s="22">
        <f>AD69*(INDEX(AD$58:AD$62,MATCH($B76,$C$58:$C$62,0))*(1-Input!$H$45)+(AD$60*Input!$H$45*(AD$45/(INDEX($L$45:$AN$45,MATCH(Input!$H$15,Расчеты!$L$9:$AN$9,0))))))</f>
        <v>0</v>
      </c>
      <c r="AE76" s="22">
        <f>AE69*(INDEX(AE$58:AE$62,MATCH($B76,$C$58:$C$62,0))*(1-Input!$H$45)+(AE$60*Input!$H$45*(AE$45/(INDEX($L$45:$AN$45,MATCH(Input!$H$15,Расчеты!$L$9:$AN$9,0))))))</f>
        <v>0</v>
      </c>
      <c r="AF76" s="22">
        <f>AF69*(INDEX(AF$58:AF$62,MATCH($B76,$C$58:$C$62,0))*(1-Input!$H$45)+(AF$60*Input!$H$45*(AF$45/(INDEX($L$45:$AN$45,MATCH(Input!$H$15,Расчеты!$L$9:$AN$9,0))))))</f>
        <v>0</v>
      </c>
      <c r="AG76" s="22">
        <f>AG69*(INDEX(AG$58:AG$62,MATCH($B76,$C$58:$C$62,0))*(1-Input!$H$45)+(AG$60*Input!$H$45*(AG$45/(INDEX($L$45:$AN$45,MATCH(Input!$H$15,Расчеты!$L$9:$AN$9,0))))))</f>
        <v>0</v>
      </c>
      <c r="AH76" s="22">
        <f>AH69*(INDEX(AH$58:AH$62,MATCH($B76,$C$58:$C$62,0))*(1-Input!$H$45)+(AH$60*Input!$H$45*(AH$45/(INDEX($L$45:$AN$45,MATCH(Input!$H$15,Расчеты!$L$9:$AN$9,0))))))</f>
        <v>0</v>
      </c>
      <c r="AI76" s="22">
        <f>AI69*(INDEX(AI$58:AI$62,MATCH($B76,$C$58:$C$62,0))*(1-Input!$H$45)+(AI$60*Input!$H$45*(AI$45/(INDEX($L$45:$AN$45,MATCH(Input!$H$15,Расчеты!$L$9:$AN$9,0))))))</f>
        <v>0</v>
      </c>
      <c r="AJ76" s="22">
        <f>AJ69*(INDEX(AJ$58:AJ$62,MATCH($B76,$C$58:$C$62,0))*(1-Input!$H$45)+(AJ$60*Input!$H$45*(AJ$45/(INDEX($L$45:$AN$45,MATCH(Input!$H$15,Расчеты!$L$9:$AN$9,0))))))</f>
        <v>0</v>
      </c>
      <c r="AK76" s="22">
        <f>AK69*(INDEX(AK$58:AK$62,MATCH($B76,$C$58:$C$62,0))*(1-Input!$H$45)+(AK$60*Input!$H$45*(AK$45/(INDEX($L$45:$AN$45,MATCH(Input!$H$15,Расчеты!$L$9:$AN$9,0))))))</f>
        <v>0</v>
      </c>
      <c r="AL76" s="22">
        <f>AL69*(INDEX(AL$58:AL$62,MATCH($B76,$C$58:$C$62,0))*(1-Input!$H$45)+(AL$60*Input!$H$45*(AL$45/(INDEX($L$45:$AN$45,MATCH(Input!$H$15,Расчеты!$L$9:$AN$9,0))))))</f>
        <v>0</v>
      </c>
      <c r="AM76" s="22">
        <f>AM69*(INDEX(AM$58:AM$62,MATCH($B76,$C$58:$C$62,0))*(1-Input!$H$45)+(AM$60*Input!$H$45*(AM$45/(INDEX($L$45:$AN$45,MATCH(Input!$H$15,Расчеты!$L$9:$AN$9,0))))))</f>
        <v>0</v>
      </c>
      <c r="AN76" s="22">
        <f>AN69*(INDEX(AN$58:AN$62,MATCH($B76,$C$58:$C$62,0))*(1-Input!$H$45)+(AN$60*Input!$H$45*(AN$45/(INDEX($L$45:$AN$45,MATCH(Input!$H$15,Расчеты!$L$9:$AN$9,0))))))</f>
        <v>0</v>
      </c>
      <c r="AO76" s="28"/>
    </row>
    <row r="77" spans="1:41" ht="14.4" customHeight="1" outlineLevel="1" x14ac:dyDescent="0.3">
      <c r="B77" s="18" t="str">
        <f>Input!A67</f>
        <v>PPI,  (RUB)</v>
      </c>
      <c r="D77" s="1" t="s">
        <v>174</v>
      </c>
      <c r="H77" s="26" t="s">
        <v>245</v>
      </c>
      <c r="I77" s="20">
        <f>SUM(L77:AN77)</f>
        <v>22.880473093220338</v>
      </c>
      <c r="L77" s="22">
        <f>L70*(INDEX(L$58:L$62,MATCH($B77,$C$58:$C$62,0))*(1-Input!$H$45)+(L$60*Input!$H$45*(L$45/(INDEX($L$45:$AN$45,MATCH(Input!$H$15,Расчеты!$L$9:$AN$9,0))))))</f>
        <v>0</v>
      </c>
      <c r="M77" s="22">
        <f>M70*(INDEX(M$58:M$62,MATCH($B77,$C$58:$C$62,0))*(1-Input!$H$45)+(M$60*Input!$H$45*(M$45/(INDEX($L$45:$AN$45,MATCH(Input!$H$15,Расчеты!$L$9:$AN$9,0))))))</f>
        <v>11.204050847457628</v>
      </c>
      <c r="N77" s="22">
        <f>N70*(INDEX(N$58:N$62,MATCH($B77,$C$58:$C$62,0))*(1-Input!$H$45)+(N$60*Input!$H$45*(N$45/(INDEX($L$45:$AN$45,MATCH(Input!$H$15,Расчеты!$L$9:$AN$9,0))))))</f>
        <v>11.676422245762712</v>
      </c>
      <c r="O77" s="22">
        <f>O70*(INDEX(O$58:O$62,MATCH($B77,$C$58:$C$62,0))*(1-Input!$H$45)+(O$60*Input!$H$45*(O$45/(INDEX($L$45:$AN$45,MATCH(Input!$H$15,Расчеты!$L$9:$AN$9,0))))))</f>
        <v>0</v>
      </c>
      <c r="P77" s="22">
        <f>P70*(INDEX(P$58:P$62,MATCH($B77,$C$58:$C$62,0))*(1-Input!$H$45)+(P$60*Input!$H$45*(P$45/(INDEX($L$45:$AN$45,MATCH(Input!$H$15,Расчеты!$L$9:$AN$9,0))))))</f>
        <v>0</v>
      </c>
      <c r="Q77" s="22">
        <f>Q70*(INDEX(Q$58:Q$62,MATCH($B77,$C$58:$C$62,0))*(1-Input!$H$45)+(Q$60*Input!$H$45*(Q$45/(INDEX($L$45:$AN$45,MATCH(Input!$H$15,Расчеты!$L$9:$AN$9,0))))))</f>
        <v>0</v>
      </c>
      <c r="R77" s="22">
        <f>R70*(INDEX(R$58:R$62,MATCH($B77,$C$58:$C$62,0))*(1-Input!$H$45)+(R$60*Input!$H$45*(R$45/(INDEX($L$45:$AN$45,MATCH(Input!$H$15,Расчеты!$L$9:$AN$9,0))))))</f>
        <v>0</v>
      </c>
      <c r="S77" s="22">
        <f>S70*(INDEX(S$58:S$62,MATCH($B77,$C$58:$C$62,0))*(1-Input!$H$45)+(S$60*Input!$H$45*(S$45/(INDEX($L$45:$AN$45,MATCH(Input!$H$15,Расчеты!$L$9:$AN$9,0))))))</f>
        <v>0</v>
      </c>
      <c r="T77" s="22">
        <f>T70*(INDEX(T$58:T$62,MATCH($B77,$C$58:$C$62,0))*(1-Input!$H$45)+(T$60*Input!$H$45*(T$45/(INDEX($L$45:$AN$45,MATCH(Input!$H$15,Расчеты!$L$9:$AN$9,0))))))</f>
        <v>0</v>
      </c>
      <c r="U77" s="22">
        <f>U70*(INDEX(U$58:U$62,MATCH($B77,$C$58:$C$62,0))*(1-Input!$H$45)+(U$60*Input!$H$45*(U$45/(INDEX($L$45:$AN$45,MATCH(Input!$H$15,Расчеты!$L$9:$AN$9,0))))))</f>
        <v>0</v>
      </c>
      <c r="V77" s="22">
        <f>V70*(INDEX(V$58:V$62,MATCH($B77,$C$58:$C$62,0))*(1-Input!$H$45)+(V$60*Input!$H$45*(V$45/(INDEX($L$45:$AN$45,MATCH(Input!$H$15,Расчеты!$L$9:$AN$9,0))))))</f>
        <v>0</v>
      </c>
      <c r="W77" s="22">
        <f>W70*(INDEX(W$58:W$62,MATCH($B77,$C$58:$C$62,0))*(1-Input!$H$45)+(W$60*Input!$H$45*(W$45/(INDEX($L$45:$AN$45,MATCH(Input!$H$15,Расчеты!$L$9:$AN$9,0))))))</f>
        <v>0</v>
      </c>
      <c r="X77" s="22">
        <f>X70*(INDEX(X$58:X$62,MATCH($B77,$C$58:$C$62,0))*(1-Input!$H$45)+(X$60*Input!$H$45*(X$45/(INDEX($L$45:$AN$45,MATCH(Input!$H$15,Расчеты!$L$9:$AN$9,0))))))</f>
        <v>0</v>
      </c>
      <c r="Y77" s="22">
        <f>Y70*(INDEX(Y$58:Y$62,MATCH($B77,$C$58:$C$62,0))*(1-Input!$H$45)+(Y$60*Input!$H$45*(Y$45/(INDEX($L$45:$AN$45,MATCH(Input!$H$15,Расчеты!$L$9:$AN$9,0))))))</f>
        <v>0</v>
      </c>
      <c r="Z77" s="22">
        <f>Z70*(INDEX(Z$58:Z$62,MATCH($B77,$C$58:$C$62,0))*(1-Input!$H$45)+(Z$60*Input!$H$45*(Z$45/(INDEX($L$45:$AN$45,MATCH(Input!$H$15,Расчеты!$L$9:$AN$9,0))))))</f>
        <v>0</v>
      </c>
      <c r="AA77" s="22">
        <f>AA70*(INDEX(AA$58:AA$62,MATCH($B77,$C$58:$C$62,0))*(1-Input!$H$45)+(AA$60*Input!$H$45*(AA$45/(INDEX($L$45:$AN$45,MATCH(Input!$H$15,Расчеты!$L$9:$AN$9,0))))))</f>
        <v>0</v>
      </c>
      <c r="AB77" s="22">
        <f>AB70*(INDEX(AB$58:AB$62,MATCH($B77,$C$58:$C$62,0))*(1-Input!$H$45)+(AB$60*Input!$H$45*(AB$45/(INDEX($L$45:$AN$45,MATCH(Input!$H$15,Расчеты!$L$9:$AN$9,0))))))</f>
        <v>0</v>
      </c>
      <c r="AC77" s="22">
        <f>AC70*(INDEX(AC$58:AC$62,MATCH($B77,$C$58:$C$62,0))*(1-Input!$H$45)+(AC$60*Input!$H$45*(AC$45/(INDEX($L$45:$AN$45,MATCH(Input!$H$15,Расчеты!$L$9:$AN$9,0))))))</f>
        <v>0</v>
      </c>
      <c r="AD77" s="22">
        <f>AD70*(INDEX(AD$58:AD$62,MATCH($B77,$C$58:$C$62,0))*(1-Input!$H$45)+(AD$60*Input!$H$45*(AD$45/(INDEX($L$45:$AN$45,MATCH(Input!$H$15,Расчеты!$L$9:$AN$9,0))))))</f>
        <v>0</v>
      </c>
      <c r="AE77" s="22">
        <f>AE70*(INDEX(AE$58:AE$62,MATCH($B77,$C$58:$C$62,0))*(1-Input!$H$45)+(AE$60*Input!$H$45*(AE$45/(INDEX($L$45:$AN$45,MATCH(Input!$H$15,Расчеты!$L$9:$AN$9,0))))))</f>
        <v>0</v>
      </c>
      <c r="AF77" s="22">
        <f>AF70*(INDEX(AF$58:AF$62,MATCH($B77,$C$58:$C$62,0))*(1-Input!$H$45)+(AF$60*Input!$H$45*(AF$45/(INDEX($L$45:$AN$45,MATCH(Input!$H$15,Расчеты!$L$9:$AN$9,0))))))</f>
        <v>0</v>
      </c>
      <c r="AG77" s="22">
        <f>AG70*(INDEX(AG$58:AG$62,MATCH($B77,$C$58:$C$62,0))*(1-Input!$H$45)+(AG$60*Input!$H$45*(AG$45/(INDEX($L$45:$AN$45,MATCH(Input!$H$15,Расчеты!$L$9:$AN$9,0))))))</f>
        <v>0</v>
      </c>
      <c r="AH77" s="22">
        <f>AH70*(INDEX(AH$58:AH$62,MATCH($B77,$C$58:$C$62,0))*(1-Input!$H$45)+(AH$60*Input!$H$45*(AH$45/(INDEX($L$45:$AN$45,MATCH(Input!$H$15,Расчеты!$L$9:$AN$9,0))))))</f>
        <v>0</v>
      </c>
      <c r="AI77" s="22">
        <f>AI70*(INDEX(AI$58:AI$62,MATCH($B77,$C$58:$C$62,0))*(1-Input!$H$45)+(AI$60*Input!$H$45*(AI$45/(INDEX($L$45:$AN$45,MATCH(Input!$H$15,Расчеты!$L$9:$AN$9,0))))))</f>
        <v>0</v>
      </c>
      <c r="AJ77" s="22">
        <f>AJ70*(INDEX(AJ$58:AJ$62,MATCH($B77,$C$58:$C$62,0))*(1-Input!$H$45)+(AJ$60*Input!$H$45*(AJ$45/(INDEX($L$45:$AN$45,MATCH(Input!$H$15,Расчеты!$L$9:$AN$9,0))))))</f>
        <v>0</v>
      </c>
      <c r="AK77" s="22">
        <f>AK70*(INDEX(AK$58:AK$62,MATCH($B77,$C$58:$C$62,0))*(1-Input!$H$45)+(AK$60*Input!$H$45*(AK$45/(INDEX($L$45:$AN$45,MATCH(Input!$H$15,Расчеты!$L$9:$AN$9,0))))))</f>
        <v>0</v>
      </c>
      <c r="AL77" s="22">
        <f>AL70*(INDEX(AL$58:AL$62,MATCH($B77,$C$58:$C$62,0))*(1-Input!$H$45)+(AL$60*Input!$H$45*(AL$45/(INDEX($L$45:$AN$45,MATCH(Input!$H$15,Расчеты!$L$9:$AN$9,0))))))</f>
        <v>0</v>
      </c>
      <c r="AM77" s="22">
        <f>AM70*(INDEX(AM$58:AM$62,MATCH($B77,$C$58:$C$62,0))*(1-Input!$H$45)+(AM$60*Input!$H$45*(AM$45/(INDEX($L$45:$AN$45,MATCH(Input!$H$15,Расчеты!$L$9:$AN$9,0))))))</f>
        <v>0</v>
      </c>
      <c r="AN77" s="22">
        <f>AN70*(INDEX(AN$58:AN$62,MATCH($B77,$C$58:$C$62,0))*(1-Input!$H$45)+(AN$60*Input!$H$45*(AN$45/(INDEX($L$45:$AN$45,MATCH(Input!$H$15,Расчеты!$L$9:$AN$9,0))))))</f>
        <v>0</v>
      </c>
      <c r="AO77" s="28"/>
    </row>
    <row r="78" spans="1:41" ht="14.4" customHeight="1" outlineLevel="1" x14ac:dyDescent="0.3">
      <c r="C78" s="2" t="s">
        <v>398</v>
      </c>
      <c r="D78" s="2"/>
      <c r="E78" s="2"/>
      <c r="F78" s="2"/>
      <c r="G78" s="2"/>
      <c r="H78" s="30" t="s">
        <v>245</v>
      </c>
      <c r="I78" s="88">
        <f>SUM(L78:AN78)</f>
        <v>228.6581847457627</v>
      </c>
      <c r="L78" s="34">
        <f>SUM(L74:L77)</f>
        <v>0</v>
      </c>
      <c r="M78" s="34">
        <f>SUM(M74:M77)</f>
        <v>111.99240677966101</v>
      </c>
      <c r="N78" s="34">
        <f t="shared" ref="N78:AN78" si="35">SUM(N74:N77)</f>
        <v>116.66577796610169</v>
      </c>
      <c r="O78" s="34">
        <f t="shared" si="35"/>
        <v>0</v>
      </c>
      <c r="P78" s="34">
        <f t="shared" si="35"/>
        <v>0</v>
      </c>
      <c r="Q78" s="34">
        <f t="shared" si="35"/>
        <v>0</v>
      </c>
      <c r="R78" s="34">
        <f t="shared" si="35"/>
        <v>0</v>
      </c>
      <c r="S78" s="34">
        <f t="shared" si="35"/>
        <v>0</v>
      </c>
      <c r="T78" s="34">
        <f t="shared" si="35"/>
        <v>0</v>
      </c>
      <c r="U78" s="34">
        <f t="shared" si="35"/>
        <v>0</v>
      </c>
      <c r="V78" s="34">
        <f t="shared" si="35"/>
        <v>0</v>
      </c>
      <c r="W78" s="34">
        <f t="shared" si="35"/>
        <v>0</v>
      </c>
      <c r="X78" s="34">
        <f t="shared" si="35"/>
        <v>0</v>
      </c>
      <c r="Y78" s="34">
        <f t="shared" si="35"/>
        <v>0</v>
      </c>
      <c r="Z78" s="34">
        <f t="shared" si="35"/>
        <v>0</v>
      </c>
      <c r="AA78" s="34">
        <f t="shared" si="35"/>
        <v>0</v>
      </c>
      <c r="AB78" s="34">
        <f t="shared" si="35"/>
        <v>0</v>
      </c>
      <c r="AC78" s="34">
        <f t="shared" si="35"/>
        <v>0</v>
      </c>
      <c r="AD78" s="34">
        <f t="shared" si="35"/>
        <v>0</v>
      </c>
      <c r="AE78" s="34">
        <f t="shared" si="35"/>
        <v>0</v>
      </c>
      <c r="AF78" s="34">
        <f t="shared" si="35"/>
        <v>0</v>
      </c>
      <c r="AG78" s="34">
        <f t="shared" si="35"/>
        <v>0</v>
      </c>
      <c r="AH78" s="34">
        <f t="shared" si="35"/>
        <v>0</v>
      </c>
      <c r="AI78" s="34">
        <f t="shared" si="35"/>
        <v>0</v>
      </c>
      <c r="AJ78" s="34">
        <f t="shared" si="35"/>
        <v>0</v>
      </c>
      <c r="AK78" s="34">
        <f t="shared" si="35"/>
        <v>0</v>
      </c>
      <c r="AL78" s="34">
        <f t="shared" si="35"/>
        <v>0</v>
      </c>
      <c r="AM78" s="34">
        <f t="shared" si="35"/>
        <v>0</v>
      </c>
      <c r="AN78" s="34">
        <f t="shared" si="35"/>
        <v>0</v>
      </c>
      <c r="AO78" s="28"/>
    </row>
    <row r="79" spans="1:41" ht="14.4" customHeight="1" outlineLevel="1" x14ac:dyDescent="0.3">
      <c r="C79" s="2"/>
      <c r="D79" s="2"/>
      <c r="E79" s="2"/>
      <c r="F79" s="2"/>
      <c r="G79" s="2"/>
      <c r="H79" s="30"/>
      <c r="I79" s="90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28"/>
    </row>
    <row r="80" spans="1:41" ht="14.4" customHeight="1" outlineLevel="1" x14ac:dyDescent="0.3">
      <c r="C80" s="2" t="s">
        <v>399</v>
      </c>
      <c r="D80" s="2"/>
      <c r="E80" s="2"/>
      <c r="F80" s="2"/>
      <c r="G80" s="2"/>
      <c r="H80" s="30" t="s">
        <v>245</v>
      </c>
      <c r="I80" s="88">
        <f>SUM(L80:AN80)</f>
        <v>274.38982169491521</v>
      </c>
      <c r="L80" s="34">
        <f>((L78-L74)*(1+L34))+L74</f>
        <v>0</v>
      </c>
      <c r="M80" s="34">
        <f>((M78-M74)*(1+M34))+M74</f>
        <v>134.3908881355932</v>
      </c>
      <c r="N80" s="34">
        <f t="shared" ref="N80:AN80" si="36">((N78-N74)*(1+N34))+N74</f>
        <v>139.99893355932201</v>
      </c>
      <c r="O80" s="34">
        <f t="shared" si="36"/>
        <v>0</v>
      </c>
      <c r="P80" s="34">
        <f t="shared" si="36"/>
        <v>0</v>
      </c>
      <c r="Q80" s="34">
        <f t="shared" si="36"/>
        <v>0</v>
      </c>
      <c r="R80" s="34">
        <f t="shared" si="36"/>
        <v>0</v>
      </c>
      <c r="S80" s="34">
        <f t="shared" si="36"/>
        <v>0</v>
      </c>
      <c r="T80" s="34">
        <f t="shared" si="36"/>
        <v>0</v>
      </c>
      <c r="U80" s="34">
        <f t="shared" si="36"/>
        <v>0</v>
      </c>
      <c r="V80" s="34">
        <f t="shared" si="36"/>
        <v>0</v>
      </c>
      <c r="W80" s="34">
        <f t="shared" si="36"/>
        <v>0</v>
      </c>
      <c r="X80" s="34">
        <f t="shared" si="36"/>
        <v>0</v>
      </c>
      <c r="Y80" s="34">
        <f t="shared" si="36"/>
        <v>0</v>
      </c>
      <c r="Z80" s="34">
        <f t="shared" si="36"/>
        <v>0</v>
      </c>
      <c r="AA80" s="34">
        <f t="shared" si="36"/>
        <v>0</v>
      </c>
      <c r="AB80" s="34">
        <f t="shared" si="36"/>
        <v>0</v>
      </c>
      <c r="AC80" s="34">
        <f t="shared" si="36"/>
        <v>0</v>
      </c>
      <c r="AD80" s="34">
        <f t="shared" si="36"/>
        <v>0</v>
      </c>
      <c r="AE80" s="34">
        <f t="shared" si="36"/>
        <v>0</v>
      </c>
      <c r="AF80" s="34">
        <f t="shared" si="36"/>
        <v>0</v>
      </c>
      <c r="AG80" s="34">
        <f t="shared" si="36"/>
        <v>0</v>
      </c>
      <c r="AH80" s="34">
        <f t="shared" si="36"/>
        <v>0</v>
      </c>
      <c r="AI80" s="34">
        <f t="shared" si="36"/>
        <v>0</v>
      </c>
      <c r="AJ80" s="34">
        <f t="shared" si="36"/>
        <v>0</v>
      </c>
      <c r="AK80" s="34">
        <f t="shared" si="36"/>
        <v>0</v>
      </c>
      <c r="AL80" s="34">
        <f t="shared" si="36"/>
        <v>0</v>
      </c>
      <c r="AM80" s="34">
        <f t="shared" si="36"/>
        <v>0</v>
      </c>
      <c r="AN80" s="34">
        <f t="shared" si="36"/>
        <v>0</v>
      </c>
      <c r="AO80" s="28"/>
    </row>
    <row r="81" spans="3:41" ht="14.4" customHeight="1" outlineLevel="1" x14ac:dyDescent="0.3">
      <c r="D81" s="2"/>
      <c r="E81" s="2"/>
      <c r="F81" s="2"/>
      <c r="G81" s="2"/>
      <c r="H81" s="30"/>
      <c r="I81" s="90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28"/>
    </row>
    <row r="82" spans="3:41" ht="14.4" customHeight="1" outlineLevel="1" x14ac:dyDescent="0.3">
      <c r="C82" s="2" t="s">
        <v>307</v>
      </c>
      <c r="D82" s="2"/>
      <c r="E82" s="2"/>
      <c r="F82" s="2"/>
      <c r="G82" s="2"/>
      <c r="H82" s="30" t="s">
        <v>245</v>
      </c>
      <c r="I82" s="20">
        <f>SUM(L82:AN82)</f>
        <v>34.915729639322031</v>
      </c>
      <c r="L82" s="33">
        <f>L740</f>
        <v>0</v>
      </c>
      <c r="M82" s="33">
        <f t="shared" ref="M82:AN82" si="37">M740</f>
        <v>27.415741179661016</v>
      </c>
      <c r="N82" s="33">
        <f t="shared" si="37"/>
        <v>7.4999884596610142</v>
      </c>
      <c r="O82" s="33">
        <f t="shared" si="37"/>
        <v>0</v>
      </c>
      <c r="P82" s="33">
        <f t="shared" si="37"/>
        <v>0</v>
      </c>
      <c r="Q82" s="33">
        <f t="shared" si="37"/>
        <v>0</v>
      </c>
      <c r="R82" s="33">
        <f t="shared" si="37"/>
        <v>0</v>
      </c>
      <c r="S82" s="33">
        <f t="shared" si="37"/>
        <v>0</v>
      </c>
      <c r="T82" s="33">
        <f t="shared" si="37"/>
        <v>0</v>
      </c>
      <c r="U82" s="33">
        <f t="shared" si="37"/>
        <v>0</v>
      </c>
      <c r="V82" s="33">
        <f t="shared" si="37"/>
        <v>0</v>
      </c>
      <c r="W82" s="33">
        <f t="shared" si="37"/>
        <v>0</v>
      </c>
      <c r="X82" s="33">
        <f t="shared" si="37"/>
        <v>0</v>
      </c>
      <c r="Y82" s="33">
        <f t="shared" si="37"/>
        <v>0</v>
      </c>
      <c r="Z82" s="33">
        <f t="shared" si="37"/>
        <v>0</v>
      </c>
      <c r="AA82" s="33">
        <f t="shared" si="37"/>
        <v>0</v>
      </c>
      <c r="AB82" s="33">
        <f t="shared" si="37"/>
        <v>0</v>
      </c>
      <c r="AC82" s="33">
        <f t="shared" si="37"/>
        <v>0</v>
      </c>
      <c r="AD82" s="33">
        <f t="shared" si="37"/>
        <v>0</v>
      </c>
      <c r="AE82" s="33">
        <f t="shared" si="37"/>
        <v>0</v>
      </c>
      <c r="AF82" s="33">
        <f t="shared" si="37"/>
        <v>0</v>
      </c>
      <c r="AG82" s="33">
        <f t="shared" si="37"/>
        <v>0</v>
      </c>
      <c r="AH82" s="33">
        <f t="shared" si="37"/>
        <v>0</v>
      </c>
      <c r="AI82" s="33">
        <f t="shared" si="37"/>
        <v>0</v>
      </c>
      <c r="AJ82" s="33">
        <f t="shared" si="37"/>
        <v>0</v>
      </c>
      <c r="AK82" s="33">
        <f t="shared" si="37"/>
        <v>0</v>
      </c>
      <c r="AL82" s="33">
        <f t="shared" si="37"/>
        <v>0</v>
      </c>
      <c r="AM82" s="33">
        <f t="shared" si="37"/>
        <v>0</v>
      </c>
      <c r="AN82" s="33">
        <f t="shared" si="37"/>
        <v>0</v>
      </c>
      <c r="AO82" s="28"/>
    </row>
    <row r="83" spans="3:41" ht="14.4" customHeight="1" outlineLevel="1" x14ac:dyDescent="0.3">
      <c r="C83" s="2"/>
      <c r="D83" s="2"/>
      <c r="E83" s="2"/>
      <c r="F83" s="2"/>
      <c r="G83" s="2"/>
      <c r="H83" s="30"/>
      <c r="I83" s="36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28"/>
    </row>
    <row r="84" spans="3:41" ht="14.4" customHeight="1" outlineLevel="1" x14ac:dyDescent="0.3">
      <c r="C84" s="2" t="s">
        <v>310</v>
      </c>
      <c r="D84" s="2"/>
      <c r="E84" s="2"/>
      <c r="F84" s="2"/>
      <c r="G84" s="2"/>
      <c r="H84" s="30"/>
      <c r="I84" s="90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28"/>
    </row>
    <row r="85" spans="3:41" ht="14.4" customHeight="1" outlineLevel="1" x14ac:dyDescent="0.3">
      <c r="C85" s="2"/>
      <c r="D85" s="1" t="s">
        <v>171</v>
      </c>
      <c r="E85" s="2"/>
      <c r="F85" s="2"/>
      <c r="G85" s="2"/>
      <c r="H85" s="26" t="s">
        <v>245</v>
      </c>
      <c r="I85" s="20">
        <f>SUM(L85:AN85)</f>
        <v>0</v>
      </c>
      <c r="L85" s="22">
        <f>IFERROR($I74*INDEX(Input!$K58:$Q58,MATCH(Расчеты!L$9,Input!$K$57:$Q$57,0)),0)</f>
        <v>0</v>
      </c>
      <c r="M85" s="22">
        <f>IFERROR($I74*INDEX(Input!$K58:$Q58,MATCH(Расчеты!M$9,Input!$K$57:$Q$57,0)),0)</f>
        <v>0</v>
      </c>
      <c r="N85" s="22">
        <f>IFERROR($I74*INDEX(Input!$K58:$Q58,MATCH(Расчеты!N$9,Input!$K$57:$Q$57,0)),0)</f>
        <v>0</v>
      </c>
      <c r="O85" s="22">
        <f>IFERROR($I74*INDEX(Input!$K58:$Q58,MATCH(Расчеты!O$9,Input!$K$57:$Q$57,0)),0)</f>
        <v>0</v>
      </c>
      <c r="P85" s="22">
        <f>IFERROR($I74*INDEX(Input!$K58:$Q58,MATCH(Расчеты!P$9,Input!$K$57:$Q$57,0)),0)</f>
        <v>0</v>
      </c>
      <c r="Q85" s="22">
        <f>IFERROR($I74*INDEX(Input!$K58:$Q58,MATCH(Расчеты!Q$9,Input!$K$57:$Q$57,0)),0)</f>
        <v>0</v>
      </c>
      <c r="R85" s="22">
        <f>IFERROR($I74*INDEX(Input!$K58:$Q58,MATCH(Расчеты!R$9,Input!$K$57:$Q$57,0)),0)</f>
        <v>0</v>
      </c>
      <c r="S85" s="22">
        <f>IFERROR($I74*INDEX(Input!$K58:$Q58,MATCH(Расчеты!S$9,Input!$K$57:$Q$57,0)),0)</f>
        <v>0</v>
      </c>
      <c r="T85" s="22">
        <f>IFERROR($I74*INDEX(Input!$K58:$Q58,MATCH(Расчеты!T$9,Input!$K$57:$Q$57,0)),0)</f>
        <v>0</v>
      </c>
      <c r="U85" s="22">
        <f>IFERROR($I74*INDEX(Input!$K58:$Q58,MATCH(Расчеты!U$9,Input!$K$57:$Q$57,0)),0)</f>
        <v>0</v>
      </c>
      <c r="V85" s="22">
        <f>IFERROR($I74*INDEX(Input!$K58:$Q58,MATCH(Расчеты!V$9,Input!$K$57:$Q$57,0)),0)</f>
        <v>0</v>
      </c>
      <c r="W85" s="22">
        <f>IFERROR($I74*INDEX(Input!$K58:$Q58,MATCH(Расчеты!W$9,Input!$K$57:$Q$57,0)),0)</f>
        <v>0</v>
      </c>
      <c r="X85" s="22">
        <f>IFERROR($I74*INDEX(Input!$K58:$Q58,MATCH(Расчеты!X$9,Input!$K$57:$Q$57,0)),0)</f>
        <v>0</v>
      </c>
      <c r="Y85" s="22">
        <f>IFERROR($I74*INDEX(Input!$K58:$Q58,MATCH(Расчеты!Y$9,Input!$K$57:$Q$57,0)),0)</f>
        <v>0</v>
      </c>
      <c r="Z85" s="22">
        <f>IFERROR($I74*INDEX(Input!$K58:$Q58,MATCH(Расчеты!Z$9,Input!$K$57:$Q$57,0)),0)</f>
        <v>0</v>
      </c>
      <c r="AA85" s="22">
        <f>IFERROR($I74*INDEX(Input!$K58:$Q58,MATCH(Расчеты!AA$9,Input!$K$57:$Q$57,0)),0)</f>
        <v>0</v>
      </c>
      <c r="AB85" s="22">
        <f>IFERROR($I74*INDEX(Input!$K58:$Q58,MATCH(Расчеты!AB$9,Input!$K$57:$Q$57,0)),0)</f>
        <v>0</v>
      </c>
      <c r="AC85" s="22">
        <f>IFERROR($I74*INDEX(Input!$K58:$Q58,MATCH(Расчеты!AC$9,Input!$K$57:$Q$57,0)),0)</f>
        <v>0</v>
      </c>
      <c r="AD85" s="22">
        <f>IFERROR($I74*INDEX(Input!$K58:$Q58,MATCH(Расчеты!AD$9,Input!$K$57:$Q$57,0)),0)</f>
        <v>0</v>
      </c>
      <c r="AE85" s="22">
        <f>IFERROR($I74*INDEX(Input!$K58:$Q58,MATCH(Расчеты!AE$9,Input!$K$57:$Q$57,0)),0)</f>
        <v>0</v>
      </c>
      <c r="AF85" s="22">
        <f>IFERROR($I74*INDEX(Input!$K58:$Q58,MATCH(Расчеты!AF$9,Input!$K$57:$Q$57,0)),0)</f>
        <v>0</v>
      </c>
      <c r="AG85" s="22">
        <f>IFERROR($I74*INDEX(Input!$K58:$Q58,MATCH(Расчеты!AG$9,Input!$K$57:$Q$57,0)),0)</f>
        <v>0</v>
      </c>
      <c r="AH85" s="22">
        <f>IFERROR($I74*INDEX(Input!$K58:$Q58,MATCH(Расчеты!AH$9,Input!$K$57:$Q$57,0)),0)</f>
        <v>0</v>
      </c>
      <c r="AI85" s="22">
        <f>IFERROR($I74*INDEX(Input!$K58:$Q58,MATCH(Расчеты!AI$9,Input!$K$57:$Q$57,0)),0)</f>
        <v>0</v>
      </c>
      <c r="AJ85" s="22">
        <f>IFERROR($I74*INDEX(Input!$K58:$Q58,MATCH(Расчеты!AJ$9,Input!$K$57:$Q$57,0)),0)</f>
        <v>0</v>
      </c>
      <c r="AK85" s="22">
        <f>IFERROR($I74*INDEX(Input!$K58:$Q58,MATCH(Расчеты!AK$9,Input!$K$57:$Q$57,0)),0)</f>
        <v>0</v>
      </c>
      <c r="AL85" s="22">
        <f>IFERROR($I74*INDEX(Input!$K58:$Q58,MATCH(Расчеты!AL$9,Input!$K$57:$Q$57,0)),0)</f>
        <v>0</v>
      </c>
      <c r="AM85" s="22">
        <f>IFERROR($I74*INDEX(Input!$K58:$Q58,MATCH(Расчеты!AM$9,Input!$K$57:$Q$57,0)),0)</f>
        <v>0</v>
      </c>
      <c r="AN85" s="22">
        <f>IFERROR($I74*INDEX(Input!$K58:$Q58,MATCH(Расчеты!AN$9,Input!$K$57:$Q$57,0)),0)</f>
        <v>0</v>
      </c>
      <c r="AO85" s="28"/>
    </row>
    <row r="86" spans="3:41" ht="14.4" customHeight="1" outlineLevel="1" x14ac:dyDescent="0.3">
      <c r="C86" s="2"/>
      <c r="D86" s="1" t="s">
        <v>172</v>
      </c>
      <c r="E86" s="2"/>
      <c r="F86" s="2"/>
      <c r="G86" s="2"/>
      <c r="H86" s="26" t="s">
        <v>245</v>
      </c>
      <c r="I86" s="20">
        <f>SUM(L86:AN86)</f>
        <v>45.614400000000003</v>
      </c>
      <c r="L86" s="22">
        <f>IFERROR($I75*INDEX(Input!$K59:$Q59,MATCH(Расчеты!L$9,Input!$K$57:$Q$57,0)),0)</f>
        <v>0</v>
      </c>
      <c r="M86" s="22">
        <f>IFERROR($I75*INDEX(Input!$K59:$Q59,MATCH(Расчеты!M$9,Input!$K$57:$Q$57,0)),0)</f>
        <v>22.807200000000002</v>
      </c>
      <c r="N86" s="22">
        <f>IFERROR($I75*INDEX(Input!$K59:$Q59,MATCH(Расчеты!N$9,Input!$K$57:$Q$57,0)),0)</f>
        <v>22.807200000000002</v>
      </c>
      <c r="O86" s="22">
        <f>IFERROR($I75*INDEX(Input!$K59:$Q59,MATCH(Расчеты!O$9,Input!$K$57:$Q$57,0)),0)</f>
        <v>0</v>
      </c>
      <c r="P86" s="22">
        <f>IFERROR($I75*INDEX(Input!$K59:$Q59,MATCH(Расчеты!P$9,Input!$K$57:$Q$57,0)),0)</f>
        <v>0</v>
      </c>
      <c r="Q86" s="22">
        <f>IFERROR($I75*INDEX(Input!$K59:$Q59,MATCH(Расчеты!Q$9,Input!$K$57:$Q$57,0)),0)</f>
        <v>0</v>
      </c>
      <c r="R86" s="22">
        <f>IFERROR($I75*INDEX(Input!$K59:$Q59,MATCH(Расчеты!R$9,Input!$K$57:$Q$57,0)),0)</f>
        <v>0</v>
      </c>
      <c r="S86" s="22">
        <f>IFERROR($I75*INDEX(Input!$K59:$Q59,MATCH(Расчеты!S$9,Input!$K$57:$Q$57,0)),0)</f>
        <v>0</v>
      </c>
      <c r="T86" s="22">
        <f>IFERROR($I75*INDEX(Input!$K59:$Q59,MATCH(Расчеты!T$9,Input!$K$57:$Q$57,0)),0)</f>
        <v>0</v>
      </c>
      <c r="U86" s="22">
        <f>IFERROR($I75*INDEX(Input!$K59:$Q59,MATCH(Расчеты!U$9,Input!$K$57:$Q$57,0)),0)</f>
        <v>0</v>
      </c>
      <c r="V86" s="22">
        <f>IFERROR($I75*INDEX(Input!$K59:$Q59,MATCH(Расчеты!V$9,Input!$K$57:$Q$57,0)),0)</f>
        <v>0</v>
      </c>
      <c r="W86" s="22">
        <f>IFERROR($I75*INDEX(Input!$K59:$Q59,MATCH(Расчеты!W$9,Input!$K$57:$Q$57,0)),0)</f>
        <v>0</v>
      </c>
      <c r="X86" s="22">
        <f>IFERROR($I75*INDEX(Input!$K59:$Q59,MATCH(Расчеты!X$9,Input!$K$57:$Q$57,0)),0)</f>
        <v>0</v>
      </c>
      <c r="Y86" s="22">
        <f>IFERROR($I75*INDEX(Input!$K59:$Q59,MATCH(Расчеты!Y$9,Input!$K$57:$Q$57,0)),0)</f>
        <v>0</v>
      </c>
      <c r="Z86" s="22">
        <f>IFERROR($I75*INDEX(Input!$K59:$Q59,MATCH(Расчеты!Z$9,Input!$K$57:$Q$57,0)),0)</f>
        <v>0</v>
      </c>
      <c r="AA86" s="22">
        <f>IFERROR($I75*INDEX(Input!$K59:$Q59,MATCH(Расчеты!AA$9,Input!$K$57:$Q$57,0)),0)</f>
        <v>0</v>
      </c>
      <c r="AB86" s="22">
        <f>IFERROR($I75*INDEX(Input!$K59:$Q59,MATCH(Расчеты!AB$9,Input!$K$57:$Q$57,0)),0)</f>
        <v>0</v>
      </c>
      <c r="AC86" s="22">
        <f>IFERROR($I75*INDEX(Input!$K59:$Q59,MATCH(Расчеты!AC$9,Input!$K$57:$Q$57,0)),0)</f>
        <v>0</v>
      </c>
      <c r="AD86" s="22">
        <f>IFERROR($I75*INDEX(Input!$K59:$Q59,MATCH(Расчеты!AD$9,Input!$K$57:$Q$57,0)),0)</f>
        <v>0</v>
      </c>
      <c r="AE86" s="22">
        <f>IFERROR($I75*INDEX(Input!$K59:$Q59,MATCH(Расчеты!AE$9,Input!$K$57:$Q$57,0)),0)</f>
        <v>0</v>
      </c>
      <c r="AF86" s="22">
        <f>IFERROR($I75*INDEX(Input!$K59:$Q59,MATCH(Расчеты!AF$9,Input!$K$57:$Q$57,0)),0)</f>
        <v>0</v>
      </c>
      <c r="AG86" s="22">
        <f>IFERROR($I75*INDEX(Input!$K59:$Q59,MATCH(Расчеты!AG$9,Input!$K$57:$Q$57,0)),0)</f>
        <v>0</v>
      </c>
      <c r="AH86" s="22">
        <f>IFERROR($I75*INDEX(Input!$K59:$Q59,MATCH(Расчеты!AH$9,Input!$K$57:$Q$57,0)),0)</f>
        <v>0</v>
      </c>
      <c r="AI86" s="22">
        <f>IFERROR($I75*INDEX(Input!$K59:$Q59,MATCH(Расчеты!AI$9,Input!$K$57:$Q$57,0)),0)</f>
        <v>0</v>
      </c>
      <c r="AJ86" s="22">
        <f>IFERROR($I75*INDEX(Input!$K59:$Q59,MATCH(Расчеты!AJ$9,Input!$K$57:$Q$57,0)),0)</f>
        <v>0</v>
      </c>
      <c r="AK86" s="22">
        <f>IFERROR($I75*INDEX(Input!$K59:$Q59,MATCH(Расчеты!AK$9,Input!$K$57:$Q$57,0)),0)</f>
        <v>0</v>
      </c>
      <c r="AL86" s="22">
        <f>IFERROR($I75*INDEX(Input!$K59:$Q59,MATCH(Расчеты!AL$9,Input!$K$57:$Q$57,0)),0)</f>
        <v>0</v>
      </c>
      <c r="AM86" s="22">
        <f>IFERROR($I75*INDEX(Input!$K59:$Q59,MATCH(Расчеты!AM$9,Input!$K$57:$Q$57,0)),0)</f>
        <v>0</v>
      </c>
      <c r="AN86" s="22">
        <f>IFERROR($I75*INDEX(Input!$K59:$Q59,MATCH(Расчеты!AN$9,Input!$K$57:$Q$57,0)),0)</f>
        <v>0</v>
      </c>
      <c r="AO86" s="28"/>
    </row>
    <row r="87" spans="3:41" ht="14.4" customHeight="1" outlineLevel="1" x14ac:dyDescent="0.3">
      <c r="C87" s="2"/>
      <c r="D87" s="1" t="s">
        <v>173</v>
      </c>
      <c r="E87" s="2"/>
      <c r="F87" s="2"/>
      <c r="G87" s="2"/>
      <c r="H87" s="26" t="s">
        <v>245</v>
      </c>
      <c r="I87" s="20">
        <f>SUM(L87:AN87)</f>
        <v>160.16331165254235</v>
      </c>
      <c r="J87" s="19"/>
      <c r="L87" s="22">
        <f>IFERROR($I76*INDEX(Input!$K60:$Q60,MATCH(Расчеты!L$9,Input!$K$57:$Q$57,0)),0)</f>
        <v>0</v>
      </c>
      <c r="M87" s="22">
        <f>IFERROR($I76*INDEX(Input!$K60:$Q60,MATCH(Расчеты!M$9,Input!$K$57:$Q$57,0)),0)</f>
        <v>120.12248373940676</v>
      </c>
      <c r="N87" s="22">
        <f>IFERROR($I76*INDEX(Input!$K60:$Q60,MATCH(Расчеты!N$9,Input!$K$57:$Q$57,0)),0)</f>
        <v>40.040827913135587</v>
      </c>
      <c r="O87" s="22">
        <f>IFERROR($I76*INDEX(Input!$K60:$Q60,MATCH(Расчеты!O$9,Input!$K$57:$Q$57,0)),0)</f>
        <v>0</v>
      </c>
      <c r="P87" s="22">
        <f>IFERROR($I76*INDEX(Input!$K60:$Q60,MATCH(Расчеты!P$9,Input!$K$57:$Q$57,0)),0)</f>
        <v>0</v>
      </c>
      <c r="Q87" s="22">
        <f>IFERROR($I76*INDEX(Input!$K60:$Q60,MATCH(Расчеты!Q$9,Input!$K$57:$Q$57,0)),0)</f>
        <v>0</v>
      </c>
      <c r="R87" s="22">
        <f>IFERROR($I76*INDEX(Input!$K60:$Q60,MATCH(Расчеты!R$9,Input!$K$57:$Q$57,0)),0)</f>
        <v>0</v>
      </c>
      <c r="S87" s="22">
        <f>IFERROR($I76*INDEX(Input!$K60:$Q60,MATCH(Расчеты!S$9,Input!$K$57:$Q$57,0)),0)</f>
        <v>0</v>
      </c>
      <c r="T87" s="22">
        <f>IFERROR($I76*INDEX(Input!$K60:$Q60,MATCH(Расчеты!T$9,Input!$K$57:$Q$57,0)),0)</f>
        <v>0</v>
      </c>
      <c r="U87" s="22">
        <f>IFERROR($I76*INDEX(Input!$K60:$Q60,MATCH(Расчеты!U$9,Input!$K$57:$Q$57,0)),0)</f>
        <v>0</v>
      </c>
      <c r="V87" s="22">
        <f>IFERROR($I76*INDEX(Input!$K60:$Q60,MATCH(Расчеты!V$9,Input!$K$57:$Q$57,0)),0)</f>
        <v>0</v>
      </c>
      <c r="W87" s="22">
        <f>IFERROR($I76*INDEX(Input!$K60:$Q60,MATCH(Расчеты!W$9,Input!$K$57:$Q$57,0)),0)</f>
        <v>0</v>
      </c>
      <c r="X87" s="22">
        <f>IFERROR($I76*INDEX(Input!$K60:$Q60,MATCH(Расчеты!X$9,Input!$K$57:$Q$57,0)),0)</f>
        <v>0</v>
      </c>
      <c r="Y87" s="22">
        <f>IFERROR($I76*INDEX(Input!$K60:$Q60,MATCH(Расчеты!Y$9,Input!$K$57:$Q$57,0)),0)</f>
        <v>0</v>
      </c>
      <c r="Z87" s="22">
        <f>IFERROR($I76*INDEX(Input!$K60:$Q60,MATCH(Расчеты!Z$9,Input!$K$57:$Q$57,0)),0)</f>
        <v>0</v>
      </c>
      <c r="AA87" s="22">
        <f>IFERROR($I76*INDEX(Input!$K60:$Q60,MATCH(Расчеты!AA$9,Input!$K$57:$Q$57,0)),0)</f>
        <v>0</v>
      </c>
      <c r="AB87" s="22">
        <f>IFERROR($I76*INDEX(Input!$K60:$Q60,MATCH(Расчеты!AB$9,Input!$K$57:$Q$57,0)),0)</f>
        <v>0</v>
      </c>
      <c r="AC87" s="22">
        <f>IFERROR($I76*INDEX(Input!$K60:$Q60,MATCH(Расчеты!AC$9,Input!$K$57:$Q$57,0)),0)</f>
        <v>0</v>
      </c>
      <c r="AD87" s="22">
        <f>IFERROR($I76*INDEX(Input!$K60:$Q60,MATCH(Расчеты!AD$9,Input!$K$57:$Q$57,0)),0)</f>
        <v>0</v>
      </c>
      <c r="AE87" s="22">
        <f>IFERROR($I76*INDEX(Input!$K60:$Q60,MATCH(Расчеты!AE$9,Input!$K$57:$Q$57,0)),0)</f>
        <v>0</v>
      </c>
      <c r="AF87" s="22">
        <f>IFERROR($I76*INDEX(Input!$K60:$Q60,MATCH(Расчеты!AF$9,Input!$K$57:$Q$57,0)),0)</f>
        <v>0</v>
      </c>
      <c r="AG87" s="22">
        <f>IFERROR($I76*INDEX(Input!$K60:$Q60,MATCH(Расчеты!AG$9,Input!$K$57:$Q$57,0)),0)</f>
        <v>0</v>
      </c>
      <c r="AH87" s="22">
        <f>IFERROR($I76*INDEX(Input!$K60:$Q60,MATCH(Расчеты!AH$9,Input!$K$57:$Q$57,0)),0)</f>
        <v>0</v>
      </c>
      <c r="AI87" s="22">
        <f>IFERROR($I76*INDEX(Input!$K60:$Q60,MATCH(Расчеты!AI$9,Input!$K$57:$Q$57,0)),0)</f>
        <v>0</v>
      </c>
      <c r="AJ87" s="22">
        <f>IFERROR($I76*INDEX(Input!$K60:$Q60,MATCH(Расчеты!AJ$9,Input!$K$57:$Q$57,0)),0)</f>
        <v>0</v>
      </c>
      <c r="AK87" s="22">
        <f>IFERROR($I76*INDEX(Input!$K60:$Q60,MATCH(Расчеты!AK$9,Input!$K$57:$Q$57,0)),0)</f>
        <v>0</v>
      </c>
      <c r="AL87" s="22">
        <f>IFERROR($I76*INDEX(Input!$K60:$Q60,MATCH(Расчеты!AL$9,Input!$K$57:$Q$57,0)),0)</f>
        <v>0</v>
      </c>
      <c r="AM87" s="22">
        <f>IFERROR($I76*INDEX(Input!$K60:$Q60,MATCH(Расчеты!AM$9,Input!$K$57:$Q$57,0)),0)</f>
        <v>0</v>
      </c>
      <c r="AN87" s="22">
        <f>IFERROR($I76*INDEX(Input!$K60:$Q60,MATCH(Расчеты!AN$9,Input!$K$57:$Q$57,0)),0)</f>
        <v>0</v>
      </c>
      <c r="AO87" s="28"/>
    </row>
    <row r="88" spans="3:41" ht="14.4" customHeight="1" outlineLevel="1" x14ac:dyDescent="0.3">
      <c r="C88" s="2"/>
      <c r="D88" s="1" t="s">
        <v>174</v>
      </c>
      <c r="E88" s="2"/>
      <c r="F88" s="2"/>
      <c r="G88" s="2"/>
      <c r="H88" s="26" t="s">
        <v>245</v>
      </c>
      <c r="I88" s="20">
        <f>SUM(L88:AN88)</f>
        <v>22.880473093220338</v>
      </c>
      <c r="L88" s="22">
        <f>IFERROR($I77*INDEX(Input!$K61:$Q61,MATCH(Расчеты!L$9,Input!$K$57:$Q$57,0)),0)</f>
        <v>0</v>
      </c>
      <c r="M88" s="22">
        <f>IFERROR($I77*INDEX(Input!$K61:$Q61,MATCH(Расчеты!M$9,Input!$K$57:$Q$57,0)),0)</f>
        <v>5.7201182733050846</v>
      </c>
      <c r="N88" s="22">
        <f>IFERROR($I77*INDEX(Input!$K61:$Q61,MATCH(Расчеты!N$9,Input!$K$57:$Q$57,0)),0)</f>
        <v>17.160354819915256</v>
      </c>
      <c r="O88" s="22">
        <f>IFERROR($I77*INDEX(Input!$K61:$Q61,MATCH(Расчеты!O$9,Input!$K$57:$Q$57,0)),0)</f>
        <v>0</v>
      </c>
      <c r="P88" s="22">
        <f>IFERROR($I77*INDEX(Input!$K61:$Q61,MATCH(Расчеты!P$9,Input!$K$57:$Q$57,0)),0)</f>
        <v>0</v>
      </c>
      <c r="Q88" s="22">
        <f>IFERROR($I77*INDEX(Input!$K61:$Q61,MATCH(Расчеты!Q$9,Input!$K$57:$Q$57,0)),0)</f>
        <v>0</v>
      </c>
      <c r="R88" s="22">
        <f>IFERROR($I77*INDEX(Input!$K61:$Q61,MATCH(Расчеты!R$9,Input!$K$57:$Q$57,0)),0)</f>
        <v>0</v>
      </c>
      <c r="S88" s="22">
        <f>IFERROR($I77*INDEX(Input!$K61:$Q61,MATCH(Расчеты!S$9,Input!$K$57:$Q$57,0)),0)</f>
        <v>0</v>
      </c>
      <c r="T88" s="22">
        <f>IFERROR($I77*INDEX(Input!$K61:$Q61,MATCH(Расчеты!T$9,Input!$K$57:$Q$57,0)),0)</f>
        <v>0</v>
      </c>
      <c r="U88" s="22">
        <f>IFERROR($I77*INDEX(Input!$K61:$Q61,MATCH(Расчеты!U$9,Input!$K$57:$Q$57,0)),0)</f>
        <v>0</v>
      </c>
      <c r="V88" s="22">
        <f>IFERROR($I77*INDEX(Input!$K61:$Q61,MATCH(Расчеты!V$9,Input!$K$57:$Q$57,0)),0)</f>
        <v>0</v>
      </c>
      <c r="W88" s="22">
        <f>IFERROR($I77*INDEX(Input!$K61:$Q61,MATCH(Расчеты!W$9,Input!$K$57:$Q$57,0)),0)</f>
        <v>0</v>
      </c>
      <c r="X88" s="22">
        <f>IFERROR($I77*INDEX(Input!$K61:$Q61,MATCH(Расчеты!X$9,Input!$K$57:$Q$57,0)),0)</f>
        <v>0</v>
      </c>
      <c r="Y88" s="22">
        <f>IFERROR($I77*INDEX(Input!$K61:$Q61,MATCH(Расчеты!Y$9,Input!$K$57:$Q$57,0)),0)</f>
        <v>0</v>
      </c>
      <c r="Z88" s="22">
        <f>IFERROR($I77*INDEX(Input!$K61:$Q61,MATCH(Расчеты!Z$9,Input!$K$57:$Q$57,0)),0)</f>
        <v>0</v>
      </c>
      <c r="AA88" s="22">
        <f>IFERROR($I77*INDEX(Input!$K61:$Q61,MATCH(Расчеты!AA$9,Input!$K$57:$Q$57,0)),0)</f>
        <v>0</v>
      </c>
      <c r="AB88" s="22">
        <f>IFERROR($I77*INDEX(Input!$K61:$Q61,MATCH(Расчеты!AB$9,Input!$K$57:$Q$57,0)),0)</f>
        <v>0</v>
      </c>
      <c r="AC88" s="22">
        <f>IFERROR($I77*INDEX(Input!$K61:$Q61,MATCH(Расчеты!AC$9,Input!$K$57:$Q$57,0)),0)</f>
        <v>0</v>
      </c>
      <c r="AD88" s="22">
        <f>IFERROR($I77*INDEX(Input!$K61:$Q61,MATCH(Расчеты!AD$9,Input!$K$57:$Q$57,0)),0)</f>
        <v>0</v>
      </c>
      <c r="AE88" s="22">
        <f>IFERROR($I77*INDEX(Input!$K61:$Q61,MATCH(Расчеты!AE$9,Input!$K$57:$Q$57,0)),0)</f>
        <v>0</v>
      </c>
      <c r="AF88" s="22">
        <f>IFERROR($I77*INDEX(Input!$K61:$Q61,MATCH(Расчеты!AF$9,Input!$K$57:$Q$57,0)),0)</f>
        <v>0</v>
      </c>
      <c r="AG88" s="22">
        <f>IFERROR($I77*INDEX(Input!$K61:$Q61,MATCH(Расчеты!AG$9,Input!$K$57:$Q$57,0)),0)</f>
        <v>0</v>
      </c>
      <c r="AH88" s="22">
        <f>IFERROR($I77*INDEX(Input!$K61:$Q61,MATCH(Расчеты!AH$9,Input!$K$57:$Q$57,0)),0)</f>
        <v>0</v>
      </c>
      <c r="AI88" s="22">
        <f>IFERROR($I77*INDEX(Input!$K61:$Q61,MATCH(Расчеты!AI$9,Input!$K$57:$Q$57,0)),0)</f>
        <v>0</v>
      </c>
      <c r="AJ88" s="22">
        <f>IFERROR($I77*INDEX(Input!$K61:$Q61,MATCH(Расчеты!AJ$9,Input!$K$57:$Q$57,0)),0)</f>
        <v>0</v>
      </c>
      <c r="AK88" s="22">
        <f>IFERROR($I77*INDEX(Input!$K61:$Q61,MATCH(Расчеты!AK$9,Input!$K$57:$Q$57,0)),0)</f>
        <v>0</v>
      </c>
      <c r="AL88" s="22">
        <f>IFERROR($I77*INDEX(Input!$K61:$Q61,MATCH(Расчеты!AL$9,Input!$K$57:$Q$57,0)),0)</f>
        <v>0</v>
      </c>
      <c r="AM88" s="22">
        <f>IFERROR($I77*INDEX(Input!$K61:$Q61,MATCH(Расчеты!AM$9,Input!$K$57:$Q$57,0)),0)</f>
        <v>0</v>
      </c>
      <c r="AN88" s="22">
        <f>IFERROR($I77*INDEX(Input!$K61:$Q61,MATCH(Расчеты!AN$9,Input!$K$57:$Q$57,0)),0)</f>
        <v>0</v>
      </c>
      <c r="AO88" s="28"/>
    </row>
    <row r="89" spans="3:41" ht="14.4" customHeight="1" outlineLevel="1" x14ac:dyDescent="0.3">
      <c r="C89" s="2" t="s">
        <v>37</v>
      </c>
      <c r="D89" s="2"/>
      <c r="E89" s="2"/>
      <c r="F89" s="2"/>
      <c r="G89" s="2"/>
      <c r="H89" s="30" t="s">
        <v>245</v>
      </c>
      <c r="I89" s="88">
        <f>SUM(L89:AN89)</f>
        <v>228.65818474576267</v>
      </c>
      <c r="L89" s="34">
        <f>SUM(L85:L88)</f>
        <v>0</v>
      </c>
      <c r="M89" s="34">
        <f>SUM(M85:M88)</f>
        <v>148.64980201271183</v>
      </c>
      <c r="N89" s="34">
        <f t="shared" ref="N89:AN89" si="38">SUM(N85:N88)</f>
        <v>80.008382733050837</v>
      </c>
      <c r="O89" s="34">
        <f t="shared" si="38"/>
        <v>0</v>
      </c>
      <c r="P89" s="34">
        <f t="shared" si="38"/>
        <v>0</v>
      </c>
      <c r="Q89" s="34">
        <f t="shared" si="38"/>
        <v>0</v>
      </c>
      <c r="R89" s="34">
        <f t="shared" si="38"/>
        <v>0</v>
      </c>
      <c r="S89" s="34">
        <f t="shared" si="38"/>
        <v>0</v>
      </c>
      <c r="T89" s="34">
        <f t="shared" si="38"/>
        <v>0</v>
      </c>
      <c r="U89" s="34">
        <f t="shared" si="38"/>
        <v>0</v>
      </c>
      <c r="V89" s="34">
        <f t="shared" si="38"/>
        <v>0</v>
      </c>
      <c r="W89" s="34">
        <f t="shared" si="38"/>
        <v>0</v>
      </c>
      <c r="X89" s="34">
        <f t="shared" si="38"/>
        <v>0</v>
      </c>
      <c r="Y89" s="34">
        <f t="shared" si="38"/>
        <v>0</v>
      </c>
      <c r="Z89" s="34">
        <f t="shared" si="38"/>
        <v>0</v>
      </c>
      <c r="AA89" s="34">
        <f t="shared" si="38"/>
        <v>0</v>
      </c>
      <c r="AB89" s="34">
        <f t="shared" si="38"/>
        <v>0</v>
      </c>
      <c r="AC89" s="34">
        <f t="shared" si="38"/>
        <v>0</v>
      </c>
      <c r="AD89" s="34">
        <f t="shared" si="38"/>
        <v>0</v>
      </c>
      <c r="AE89" s="34">
        <f t="shared" si="38"/>
        <v>0</v>
      </c>
      <c r="AF89" s="34">
        <f t="shared" si="38"/>
        <v>0</v>
      </c>
      <c r="AG89" s="34">
        <f t="shared" si="38"/>
        <v>0</v>
      </c>
      <c r="AH89" s="34">
        <f t="shared" si="38"/>
        <v>0</v>
      </c>
      <c r="AI89" s="34">
        <f t="shared" si="38"/>
        <v>0</v>
      </c>
      <c r="AJ89" s="34">
        <f t="shared" si="38"/>
        <v>0</v>
      </c>
      <c r="AK89" s="34">
        <f t="shared" si="38"/>
        <v>0</v>
      </c>
      <c r="AL89" s="34">
        <f t="shared" si="38"/>
        <v>0</v>
      </c>
      <c r="AM89" s="34">
        <f t="shared" si="38"/>
        <v>0</v>
      </c>
      <c r="AN89" s="34">
        <f t="shared" si="38"/>
        <v>0</v>
      </c>
      <c r="AO89" s="28"/>
    </row>
    <row r="90" spans="3:41" ht="14.4" customHeight="1" outlineLevel="1" x14ac:dyDescent="0.3">
      <c r="C90" s="2"/>
      <c r="D90" s="2"/>
      <c r="E90" s="2"/>
      <c r="F90" s="2"/>
      <c r="G90" s="2"/>
      <c r="H90" s="30"/>
      <c r="I90" s="90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28"/>
    </row>
    <row r="91" spans="3:41" ht="14.4" customHeight="1" outlineLevel="1" x14ac:dyDescent="0.3">
      <c r="C91" s="1" t="s">
        <v>351</v>
      </c>
      <c r="D91" s="2"/>
      <c r="E91" s="2"/>
      <c r="F91" s="2"/>
      <c r="G91" s="2"/>
      <c r="H91" s="26" t="s">
        <v>245</v>
      </c>
      <c r="I91" s="90"/>
      <c r="K91" s="89">
        <v>0</v>
      </c>
      <c r="L91" s="22">
        <f>K91+L89-L78</f>
        <v>0</v>
      </c>
      <c r="M91" s="22">
        <f t="shared" ref="M91:AN91" si="39">L91+M89-M78</f>
        <v>36.657395233050821</v>
      </c>
      <c r="N91" s="22">
        <f t="shared" si="39"/>
        <v>0</v>
      </c>
      <c r="O91" s="22">
        <f t="shared" si="39"/>
        <v>0</v>
      </c>
      <c r="P91" s="22">
        <f t="shared" si="39"/>
        <v>0</v>
      </c>
      <c r="Q91" s="22">
        <f t="shared" si="39"/>
        <v>0</v>
      </c>
      <c r="R91" s="22">
        <f t="shared" si="39"/>
        <v>0</v>
      </c>
      <c r="S91" s="22">
        <f t="shared" si="39"/>
        <v>0</v>
      </c>
      <c r="T91" s="22">
        <f t="shared" si="39"/>
        <v>0</v>
      </c>
      <c r="U91" s="22">
        <f t="shared" si="39"/>
        <v>0</v>
      </c>
      <c r="V91" s="22">
        <f t="shared" si="39"/>
        <v>0</v>
      </c>
      <c r="W91" s="22">
        <f t="shared" si="39"/>
        <v>0</v>
      </c>
      <c r="X91" s="22">
        <f t="shared" si="39"/>
        <v>0</v>
      </c>
      <c r="Y91" s="22">
        <f t="shared" si="39"/>
        <v>0</v>
      </c>
      <c r="Z91" s="22">
        <f t="shared" si="39"/>
        <v>0</v>
      </c>
      <c r="AA91" s="22">
        <f t="shared" si="39"/>
        <v>0</v>
      </c>
      <c r="AB91" s="22">
        <f t="shared" si="39"/>
        <v>0</v>
      </c>
      <c r="AC91" s="22">
        <f t="shared" si="39"/>
        <v>0</v>
      </c>
      <c r="AD91" s="22">
        <f t="shared" si="39"/>
        <v>0</v>
      </c>
      <c r="AE91" s="22">
        <f t="shared" si="39"/>
        <v>0</v>
      </c>
      <c r="AF91" s="22">
        <f t="shared" si="39"/>
        <v>0</v>
      </c>
      <c r="AG91" s="22">
        <f t="shared" si="39"/>
        <v>0</v>
      </c>
      <c r="AH91" s="22">
        <f t="shared" si="39"/>
        <v>0</v>
      </c>
      <c r="AI91" s="22">
        <f t="shared" si="39"/>
        <v>0</v>
      </c>
      <c r="AJ91" s="22">
        <f t="shared" si="39"/>
        <v>0</v>
      </c>
      <c r="AK91" s="22">
        <f t="shared" si="39"/>
        <v>0</v>
      </c>
      <c r="AL91" s="22">
        <f t="shared" si="39"/>
        <v>0</v>
      </c>
      <c r="AM91" s="22">
        <f t="shared" si="39"/>
        <v>0</v>
      </c>
      <c r="AN91" s="22">
        <f t="shared" si="39"/>
        <v>0</v>
      </c>
      <c r="AO91" s="28"/>
    </row>
    <row r="92" spans="3:41" ht="14.4" customHeight="1" outlineLevel="1" x14ac:dyDescent="0.3">
      <c r="C92" s="2"/>
      <c r="D92" s="2"/>
      <c r="E92" s="2"/>
      <c r="F92" s="2"/>
      <c r="G92" s="2"/>
      <c r="H92" s="30"/>
      <c r="I92" s="90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28"/>
    </row>
    <row r="93" spans="3:41" ht="14.4" customHeight="1" outlineLevel="1" x14ac:dyDescent="0.3">
      <c r="C93" s="2" t="s">
        <v>308</v>
      </c>
      <c r="D93" s="2"/>
      <c r="E93" s="2"/>
      <c r="F93" s="2"/>
      <c r="G93" s="2"/>
      <c r="H93" s="30"/>
      <c r="I93" s="90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28"/>
    </row>
    <row r="94" spans="3:41" ht="14.4" customHeight="1" outlineLevel="1" x14ac:dyDescent="0.3">
      <c r="C94" s="2"/>
      <c r="D94" s="1" t="s">
        <v>171</v>
      </c>
      <c r="E94" s="2"/>
      <c r="F94" s="2"/>
      <c r="G94" s="2"/>
      <c r="H94" s="26" t="s">
        <v>245</v>
      </c>
      <c r="I94" s="20">
        <f>SUM(L94:AN94)</f>
        <v>0</v>
      </c>
      <c r="L94" s="22">
        <f t="shared" ref="L94:AN94" si="40">IFERROR(L$82*L67/L$71,0)</f>
        <v>0</v>
      </c>
      <c r="M94" s="22">
        <f t="shared" si="40"/>
        <v>0</v>
      </c>
      <c r="N94" s="22">
        <f t="shared" si="40"/>
        <v>0</v>
      </c>
      <c r="O94" s="22">
        <f t="shared" si="40"/>
        <v>0</v>
      </c>
      <c r="P94" s="22">
        <f t="shared" si="40"/>
        <v>0</v>
      </c>
      <c r="Q94" s="22">
        <f t="shared" si="40"/>
        <v>0</v>
      </c>
      <c r="R94" s="22">
        <f t="shared" si="40"/>
        <v>0</v>
      </c>
      <c r="S94" s="22">
        <f t="shared" si="40"/>
        <v>0</v>
      </c>
      <c r="T94" s="22">
        <f t="shared" si="40"/>
        <v>0</v>
      </c>
      <c r="U94" s="22">
        <f t="shared" si="40"/>
        <v>0</v>
      </c>
      <c r="V94" s="22">
        <f t="shared" si="40"/>
        <v>0</v>
      </c>
      <c r="W94" s="22">
        <f t="shared" si="40"/>
        <v>0</v>
      </c>
      <c r="X94" s="22">
        <f t="shared" si="40"/>
        <v>0</v>
      </c>
      <c r="Y94" s="22">
        <f t="shared" si="40"/>
        <v>0</v>
      </c>
      <c r="Z94" s="22">
        <f t="shared" si="40"/>
        <v>0</v>
      </c>
      <c r="AA94" s="22">
        <f t="shared" si="40"/>
        <v>0</v>
      </c>
      <c r="AB94" s="22">
        <f t="shared" si="40"/>
        <v>0</v>
      </c>
      <c r="AC94" s="22">
        <f t="shared" si="40"/>
        <v>0</v>
      </c>
      <c r="AD94" s="22">
        <f t="shared" si="40"/>
        <v>0</v>
      </c>
      <c r="AE94" s="22">
        <f t="shared" si="40"/>
        <v>0</v>
      </c>
      <c r="AF94" s="22">
        <f t="shared" si="40"/>
        <v>0</v>
      </c>
      <c r="AG94" s="22">
        <f t="shared" si="40"/>
        <v>0</v>
      </c>
      <c r="AH94" s="22">
        <f t="shared" si="40"/>
        <v>0</v>
      </c>
      <c r="AI94" s="22">
        <f t="shared" si="40"/>
        <v>0</v>
      </c>
      <c r="AJ94" s="22">
        <f t="shared" si="40"/>
        <v>0</v>
      </c>
      <c r="AK94" s="22">
        <f t="shared" si="40"/>
        <v>0</v>
      </c>
      <c r="AL94" s="22">
        <f t="shared" si="40"/>
        <v>0</v>
      </c>
      <c r="AM94" s="22">
        <f t="shared" si="40"/>
        <v>0</v>
      </c>
      <c r="AN94" s="22">
        <f t="shared" si="40"/>
        <v>0</v>
      </c>
      <c r="AO94" s="28"/>
    </row>
    <row r="95" spans="3:41" ht="14.4" customHeight="1" outlineLevel="1" x14ac:dyDescent="0.3">
      <c r="C95" s="2"/>
      <c r="D95" s="1" t="s">
        <v>172</v>
      </c>
      <c r="E95" s="2"/>
      <c r="F95" s="2"/>
      <c r="G95" s="2"/>
      <c r="H95" s="26" t="s">
        <v>245</v>
      </c>
      <c r="I95" s="20">
        <f>SUM(L95:AN95)</f>
        <v>6.9831459278644061</v>
      </c>
      <c r="L95" s="22">
        <f t="shared" ref="L95:AN95" si="41">IFERROR(L$82*L68/L$71,0)</f>
        <v>0</v>
      </c>
      <c r="M95" s="22">
        <f t="shared" si="41"/>
        <v>5.4831482359322035</v>
      </c>
      <c r="N95" s="22">
        <f t="shared" si="41"/>
        <v>1.4999976919322029</v>
      </c>
      <c r="O95" s="22">
        <f t="shared" si="41"/>
        <v>0</v>
      </c>
      <c r="P95" s="22">
        <f t="shared" si="41"/>
        <v>0</v>
      </c>
      <c r="Q95" s="22">
        <f t="shared" si="41"/>
        <v>0</v>
      </c>
      <c r="R95" s="22">
        <f t="shared" si="41"/>
        <v>0</v>
      </c>
      <c r="S95" s="22">
        <f t="shared" si="41"/>
        <v>0</v>
      </c>
      <c r="T95" s="22">
        <f t="shared" si="41"/>
        <v>0</v>
      </c>
      <c r="U95" s="22">
        <f t="shared" si="41"/>
        <v>0</v>
      </c>
      <c r="V95" s="22">
        <f t="shared" si="41"/>
        <v>0</v>
      </c>
      <c r="W95" s="22">
        <f t="shared" si="41"/>
        <v>0</v>
      </c>
      <c r="X95" s="22">
        <f t="shared" si="41"/>
        <v>0</v>
      </c>
      <c r="Y95" s="22">
        <f t="shared" si="41"/>
        <v>0</v>
      </c>
      <c r="Z95" s="22">
        <f t="shared" si="41"/>
        <v>0</v>
      </c>
      <c r="AA95" s="22">
        <f t="shared" si="41"/>
        <v>0</v>
      </c>
      <c r="AB95" s="22">
        <f t="shared" si="41"/>
        <v>0</v>
      </c>
      <c r="AC95" s="22">
        <f t="shared" si="41"/>
        <v>0</v>
      </c>
      <c r="AD95" s="22">
        <f t="shared" si="41"/>
        <v>0</v>
      </c>
      <c r="AE95" s="22">
        <f t="shared" si="41"/>
        <v>0</v>
      </c>
      <c r="AF95" s="22">
        <f t="shared" si="41"/>
        <v>0</v>
      </c>
      <c r="AG95" s="22">
        <f t="shared" si="41"/>
        <v>0</v>
      </c>
      <c r="AH95" s="22">
        <f t="shared" si="41"/>
        <v>0</v>
      </c>
      <c r="AI95" s="22">
        <f t="shared" si="41"/>
        <v>0</v>
      </c>
      <c r="AJ95" s="22">
        <f t="shared" si="41"/>
        <v>0</v>
      </c>
      <c r="AK95" s="22">
        <f t="shared" si="41"/>
        <v>0</v>
      </c>
      <c r="AL95" s="22">
        <f t="shared" si="41"/>
        <v>0</v>
      </c>
      <c r="AM95" s="22">
        <f t="shared" si="41"/>
        <v>0</v>
      </c>
      <c r="AN95" s="22">
        <f t="shared" si="41"/>
        <v>0</v>
      </c>
      <c r="AO95" s="28"/>
    </row>
    <row r="96" spans="3:41" ht="14.4" customHeight="1" outlineLevel="1" x14ac:dyDescent="0.3">
      <c r="C96" s="2"/>
      <c r="D96" s="1" t="s">
        <v>173</v>
      </c>
      <c r="E96" s="2"/>
      <c r="F96" s="2"/>
      <c r="G96" s="2"/>
      <c r="H96" s="26" t="s">
        <v>245</v>
      </c>
      <c r="I96" s="20">
        <f>SUM(L96:AN96)</f>
        <v>24.441010747525421</v>
      </c>
      <c r="L96" s="22">
        <f t="shared" ref="L96:AN96" si="42">IFERROR(L$82*L69/L$71,0)</f>
        <v>0</v>
      </c>
      <c r="M96" s="22">
        <f t="shared" si="42"/>
        <v>19.191018825762711</v>
      </c>
      <c r="N96" s="22">
        <f t="shared" si="42"/>
        <v>5.2499919217627093</v>
      </c>
      <c r="O96" s="22">
        <f t="shared" si="42"/>
        <v>0</v>
      </c>
      <c r="P96" s="22">
        <f t="shared" si="42"/>
        <v>0</v>
      </c>
      <c r="Q96" s="22">
        <f t="shared" si="42"/>
        <v>0</v>
      </c>
      <c r="R96" s="22">
        <f t="shared" si="42"/>
        <v>0</v>
      </c>
      <c r="S96" s="22">
        <f t="shared" si="42"/>
        <v>0</v>
      </c>
      <c r="T96" s="22">
        <f t="shared" si="42"/>
        <v>0</v>
      </c>
      <c r="U96" s="22">
        <f t="shared" si="42"/>
        <v>0</v>
      </c>
      <c r="V96" s="22">
        <f t="shared" si="42"/>
        <v>0</v>
      </c>
      <c r="W96" s="22">
        <f t="shared" si="42"/>
        <v>0</v>
      </c>
      <c r="X96" s="22">
        <f t="shared" si="42"/>
        <v>0</v>
      </c>
      <c r="Y96" s="22">
        <f t="shared" si="42"/>
        <v>0</v>
      </c>
      <c r="Z96" s="22">
        <f t="shared" si="42"/>
        <v>0</v>
      </c>
      <c r="AA96" s="22">
        <f t="shared" si="42"/>
        <v>0</v>
      </c>
      <c r="AB96" s="22">
        <f t="shared" si="42"/>
        <v>0</v>
      </c>
      <c r="AC96" s="22">
        <f t="shared" si="42"/>
        <v>0</v>
      </c>
      <c r="AD96" s="22">
        <f t="shared" si="42"/>
        <v>0</v>
      </c>
      <c r="AE96" s="22">
        <f t="shared" si="42"/>
        <v>0</v>
      </c>
      <c r="AF96" s="22">
        <f t="shared" si="42"/>
        <v>0</v>
      </c>
      <c r="AG96" s="22">
        <f t="shared" si="42"/>
        <v>0</v>
      </c>
      <c r="AH96" s="22">
        <f t="shared" si="42"/>
        <v>0</v>
      </c>
      <c r="AI96" s="22">
        <f t="shared" si="42"/>
        <v>0</v>
      </c>
      <c r="AJ96" s="22">
        <f t="shared" si="42"/>
        <v>0</v>
      </c>
      <c r="AK96" s="22">
        <f t="shared" si="42"/>
        <v>0</v>
      </c>
      <c r="AL96" s="22">
        <f t="shared" si="42"/>
        <v>0</v>
      </c>
      <c r="AM96" s="22">
        <f t="shared" si="42"/>
        <v>0</v>
      </c>
      <c r="AN96" s="22">
        <f t="shared" si="42"/>
        <v>0</v>
      </c>
      <c r="AO96" s="28"/>
    </row>
    <row r="97" spans="2:41" ht="14.4" customHeight="1" outlineLevel="1" x14ac:dyDescent="0.3">
      <c r="C97" s="2"/>
      <c r="D97" s="1" t="s">
        <v>174</v>
      </c>
      <c r="E97" s="2"/>
      <c r="F97" s="2"/>
      <c r="G97" s="2"/>
      <c r="H97" s="26" t="s">
        <v>245</v>
      </c>
      <c r="I97" s="20">
        <f>SUM(L97:AN97)</f>
        <v>3.4915729639322031</v>
      </c>
      <c r="L97" s="22">
        <f t="shared" ref="L97:AN97" si="43">IFERROR(L$82*L70/L$71,0)</f>
        <v>0</v>
      </c>
      <c r="M97" s="22">
        <f t="shared" si="43"/>
        <v>2.7415741179661017</v>
      </c>
      <c r="N97" s="22">
        <f t="shared" si="43"/>
        <v>0.74999884596610145</v>
      </c>
      <c r="O97" s="22">
        <f t="shared" si="43"/>
        <v>0</v>
      </c>
      <c r="P97" s="22">
        <f t="shared" si="43"/>
        <v>0</v>
      </c>
      <c r="Q97" s="22">
        <f t="shared" si="43"/>
        <v>0</v>
      </c>
      <c r="R97" s="22">
        <f t="shared" si="43"/>
        <v>0</v>
      </c>
      <c r="S97" s="22">
        <f t="shared" si="43"/>
        <v>0</v>
      </c>
      <c r="T97" s="22">
        <f t="shared" si="43"/>
        <v>0</v>
      </c>
      <c r="U97" s="22">
        <f t="shared" si="43"/>
        <v>0</v>
      </c>
      <c r="V97" s="22">
        <f t="shared" si="43"/>
        <v>0</v>
      </c>
      <c r="W97" s="22">
        <f t="shared" si="43"/>
        <v>0</v>
      </c>
      <c r="X97" s="22">
        <f t="shared" si="43"/>
        <v>0</v>
      </c>
      <c r="Y97" s="22">
        <f t="shared" si="43"/>
        <v>0</v>
      </c>
      <c r="Z97" s="22">
        <f t="shared" si="43"/>
        <v>0</v>
      </c>
      <c r="AA97" s="22">
        <f t="shared" si="43"/>
        <v>0</v>
      </c>
      <c r="AB97" s="22">
        <f t="shared" si="43"/>
        <v>0</v>
      </c>
      <c r="AC97" s="22">
        <f t="shared" si="43"/>
        <v>0</v>
      </c>
      <c r="AD97" s="22">
        <f t="shared" si="43"/>
        <v>0</v>
      </c>
      <c r="AE97" s="22">
        <f t="shared" si="43"/>
        <v>0</v>
      </c>
      <c r="AF97" s="22">
        <f t="shared" si="43"/>
        <v>0</v>
      </c>
      <c r="AG97" s="22">
        <f t="shared" si="43"/>
        <v>0</v>
      </c>
      <c r="AH97" s="22">
        <f t="shared" si="43"/>
        <v>0</v>
      </c>
      <c r="AI97" s="22">
        <f t="shared" si="43"/>
        <v>0</v>
      </c>
      <c r="AJ97" s="22">
        <f t="shared" si="43"/>
        <v>0</v>
      </c>
      <c r="AK97" s="22">
        <f t="shared" si="43"/>
        <v>0</v>
      </c>
      <c r="AL97" s="22">
        <f t="shared" si="43"/>
        <v>0</v>
      </c>
      <c r="AM97" s="22">
        <f t="shared" si="43"/>
        <v>0</v>
      </c>
      <c r="AN97" s="22">
        <f t="shared" si="43"/>
        <v>0</v>
      </c>
      <c r="AO97" s="28"/>
    </row>
    <row r="98" spans="2:41" ht="14.4" customHeight="1" outlineLevel="1" x14ac:dyDescent="0.3">
      <c r="C98" s="2" t="s">
        <v>37</v>
      </c>
      <c r="E98" s="2"/>
      <c r="F98" s="2"/>
      <c r="G98" s="2"/>
      <c r="H98" s="30" t="s">
        <v>245</v>
      </c>
      <c r="I98" s="88">
        <f>SUM(L98:AN98)</f>
        <v>34.915729639322031</v>
      </c>
      <c r="L98" s="34">
        <f>SUM(L94:L97)</f>
        <v>0</v>
      </c>
      <c r="M98" s="34">
        <f>SUM(M94:M97)</f>
        <v>27.415741179661019</v>
      </c>
      <c r="N98" s="34">
        <f t="shared" ref="N98:AN98" si="44">SUM(N94:N97)</f>
        <v>7.4999884596610134</v>
      </c>
      <c r="O98" s="34">
        <f t="shared" si="44"/>
        <v>0</v>
      </c>
      <c r="P98" s="34">
        <f t="shared" si="44"/>
        <v>0</v>
      </c>
      <c r="Q98" s="34">
        <f t="shared" si="44"/>
        <v>0</v>
      </c>
      <c r="R98" s="34">
        <f t="shared" si="44"/>
        <v>0</v>
      </c>
      <c r="S98" s="34">
        <f t="shared" si="44"/>
        <v>0</v>
      </c>
      <c r="T98" s="34">
        <f t="shared" si="44"/>
        <v>0</v>
      </c>
      <c r="U98" s="34">
        <f t="shared" si="44"/>
        <v>0</v>
      </c>
      <c r="V98" s="34">
        <f t="shared" si="44"/>
        <v>0</v>
      </c>
      <c r="W98" s="34">
        <f t="shared" si="44"/>
        <v>0</v>
      </c>
      <c r="X98" s="34">
        <f t="shared" si="44"/>
        <v>0</v>
      </c>
      <c r="Y98" s="34">
        <f t="shared" si="44"/>
        <v>0</v>
      </c>
      <c r="Z98" s="34">
        <f t="shared" si="44"/>
        <v>0</v>
      </c>
      <c r="AA98" s="34">
        <f t="shared" si="44"/>
        <v>0</v>
      </c>
      <c r="AB98" s="34">
        <f t="shared" si="44"/>
        <v>0</v>
      </c>
      <c r="AC98" s="34">
        <f t="shared" si="44"/>
        <v>0</v>
      </c>
      <c r="AD98" s="34">
        <f t="shared" si="44"/>
        <v>0</v>
      </c>
      <c r="AE98" s="34">
        <f t="shared" si="44"/>
        <v>0</v>
      </c>
      <c r="AF98" s="34">
        <f t="shared" si="44"/>
        <v>0</v>
      </c>
      <c r="AG98" s="34">
        <f t="shared" si="44"/>
        <v>0</v>
      </c>
      <c r="AH98" s="34">
        <f t="shared" si="44"/>
        <v>0</v>
      </c>
      <c r="AI98" s="34">
        <f t="shared" si="44"/>
        <v>0</v>
      </c>
      <c r="AJ98" s="34">
        <f t="shared" si="44"/>
        <v>0</v>
      </c>
      <c r="AK98" s="34">
        <f t="shared" si="44"/>
        <v>0</v>
      </c>
      <c r="AL98" s="34">
        <f t="shared" si="44"/>
        <v>0</v>
      </c>
      <c r="AM98" s="34">
        <f t="shared" si="44"/>
        <v>0</v>
      </c>
      <c r="AN98" s="34">
        <f t="shared" si="44"/>
        <v>0</v>
      </c>
      <c r="AO98" s="28"/>
    </row>
    <row r="99" spans="2:41" ht="14.4" customHeight="1" outlineLevel="1" x14ac:dyDescent="0.3">
      <c r="C99" s="2"/>
      <c r="E99" s="2"/>
      <c r="F99" s="2"/>
      <c r="G99" s="2"/>
      <c r="H99" s="30"/>
      <c r="I99" s="90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28"/>
    </row>
    <row r="100" spans="2:41" ht="14.4" customHeight="1" outlineLevel="1" x14ac:dyDescent="0.3">
      <c r="C100" s="2" t="s">
        <v>309</v>
      </c>
      <c r="D100" s="2"/>
      <c r="E100" s="2"/>
      <c r="F100" s="2"/>
      <c r="G100" s="2"/>
      <c r="H100" s="30"/>
      <c r="I100" s="90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28"/>
    </row>
    <row r="101" spans="2:41" ht="14.4" customHeight="1" outlineLevel="1" x14ac:dyDescent="0.3">
      <c r="C101" s="2"/>
      <c r="D101" s="1" t="s">
        <v>171</v>
      </c>
      <c r="E101" s="2"/>
      <c r="F101" s="2"/>
      <c r="G101" s="2"/>
      <c r="H101" s="26" t="s">
        <v>245</v>
      </c>
      <c r="I101" s="20">
        <f>SUM(L101:AN101)</f>
        <v>0</v>
      </c>
      <c r="L101" s="22">
        <f>L85+L94</f>
        <v>0</v>
      </c>
      <c r="M101" s="22">
        <f>M85+M94</f>
        <v>0</v>
      </c>
      <c r="N101" s="22">
        <f>N85+N94</f>
        <v>0</v>
      </c>
      <c r="O101" s="22">
        <f t="shared" ref="O101:AN101" si="45">O85+O94</f>
        <v>0</v>
      </c>
      <c r="P101" s="22">
        <f t="shared" si="45"/>
        <v>0</v>
      </c>
      <c r="Q101" s="22">
        <f t="shared" si="45"/>
        <v>0</v>
      </c>
      <c r="R101" s="22">
        <f t="shared" si="45"/>
        <v>0</v>
      </c>
      <c r="S101" s="22">
        <f t="shared" si="45"/>
        <v>0</v>
      </c>
      <c r="T101" s="22">
        <f t="shared" si="45"/>
        <v>0</v>
      </c>
      <c r="U101" s="22">
        <f t="shared" si="45"/>
        <v>0</v>
      </c>
      <c r="V101" s="22">
        <f t="shared" si="45"/>
        <v>0</v>
      </c>
      <c r="W101" s="22">
        <f t="shared" si="45"/>
        <v>0</v>
      </c>
      <c r="X101" s="22">
        <f t="shared" si="45"/>
        <v>0</v>
      </c>
      <c r="Y101" s="22">
        <f t="shared" si="45"/>
        <v>0</v>
      </c>
      <c r="Z101" s="22">
        <f t="shared" si="45"/>
        <v>0</v>
      </c>
      <c r="AA101" s="22">
        <f t="shared" si="45"/>
        <v>0</v>
      </c>
      <c r="AB101" s="22">
        <f t="shared" si="45"/>
        <v>0</v>
      </c>
      <c r="AC101" s="22">
        <f t="shared" si="45"/>
        <v>0</v>
      </c>
      <c r="AD101" s="22">
        <f t="shared" si="45"/>
        <v>0</v>
      </c>
      <c r="AE101" s="22">
        <f t="shared" si="45"/>
        <v>0</v>
      </c>
      <c r="AF101" s="22">
        <f t="shared" si="45"/>
        <v>0</v>
      </c>
      <c r="AG101" s="22">
        <f t="shared" si="45"/>
        <v>0</v>
      </c>
      <c r="AH101" s="22">
        <f t="shared" si="45"/>
        <v>0</v>
      </c>
      <c r="AI101" s="22">
        <f t="shared" si="45"/>
        <v>0</v>
      </c>
      <c r="AJ101" s="22">
        <f t="shared" si="45"/>
        <v>0</v>
      </c>
      <c r="AK101" s="22">
        <f t="shared" si="45"/>
        <v>0</v>
      </c>
      <c r="AL101" s="22">
        <f t="shared" si="45"/>
        <v>0</v>
      </c>
      <c r="AM101" s="22">
        <f t="shared" si="45"/>
        <v>0</v>
      </c>
      <c r="AN101" s="22">
        <f t="shared" si="45"/>
        <v>0</v>
      </c>
      <c r="AO101" s="28"/>
    </row>
    <row r="102" spans="2:41" ht="14.4" customHeight="1" outlineLevel="1" x14ac:dyDescent="0.3">
      <c r="C102" s="2"/>
      <c r="D102" s="1" t="s">
        <v>172</v>
      </c>
      <c r="E102" s="2"/>
      <c r="F102" s="2"/>
      <c r="G102" s="2"/>
      <c r="H102" s="26" t="s">
        <v>245</v>
      </c>
      <c r="I102" s="20">
        <f t="shared" ref="I102:I105" si="46">SUM(L102:AN102)</f>
        <v>52.597545927864417</v>
      </c>
      <c r="L102" s="22">
        <f t="shared" ref="L102:M104" si="47">L86+L95</f>
        <v>0</v>
      </c>
      <c r="M102" s="22">
        <f t="shared" si="47"/>
        <v>28.290348235932207</v>
      </c>
      <c r="N102" s="22">
        <f t="shared" ref="N102:P102" si="48">N86+N95</f>
        <v>24.307197691932206</v>
      </c>
      <c r="O102" s="22">
        <f t="shared" si="48"/>
        <v>0</v>
      </c>
      <c r="P102" s="22">
        <f t="shared" si="48"/>
        <v>0</v>
      </c>
      <c r="Q102" s="22">
        <f t="shared" ref="Q102:AN102" si="49">Q86+Q95</f>
        <v>0</v>
      </c>
      <c r="R102" s="22">
        <f t="shared" si="49"/>
        <v>0</v>
      </c>
      <c r="S102" s="22">
        <f t="shared" si="49"/>
        <v>0</v>
      </c>
      <c r="T102" s="22">
        <f t="shared" si="49"/>
        <v>0</v>
      </c>
      <c r="U102" s="22">
        <f t="shared" si="49"/>
        <v>0</v>
      </c>
      <c r="V102" s="22">
        <f t="shared" si="49"/>
        <v>0</v>
      </c>
      <c r="W102" s="22">
        <f t="shared" si="49"/>
        <v>0</v>
      </c>
      <c r="X102" s="22">
        <f t="shared" si="49"/>
        <v>0</v>
      </c>
      <c r="Y102" s="22">
        <f t="shared" si="49"/>
        <v>0</v>
      </c>
      <c r="Z102" s="22">
        <f t="shared" si="49"/>
        <v>0</v>
      </c>
      <c r="AA102" s="22">
        <f t="shared" si="49"/>
        <v>0</v>
      </c>
      <c r="AB102" s="22">
        <f t="shared" si="49"/>
        <v>0</v>
      </c>
      <c r="AC102" s="22">
        <f t="shared" si="49"/>
        <v>0</v>
      </c>
      <c r="AD102" s="22">
        <f t="shared" si="49"/>
        <v>0</v>
      </c>
      <c r="AE102" s="22">
        <f t="shared" si="49"/>
        <v>0</v>
      </c>
      <c r="AF102" s="22">
        <f t="shared" si="49"/>
        <v>0</v>
      </c>
      <c r="AG102" s="22">
        <f t="shared" si="49"/>
        <v>0</v>
      </c>
      <c r="AH102" s="22">
        <f t="shared" si="49"/>
        <v>0</v>
      </c>
      <c r="AI102" s="22">
        <f t="shared" si="49"/>
        <v>0</v>
      </c>
      <c r="AJ102" s="22">
        <f t="shared" si="49"/>
        <v>0</v>
      </c>
      <c r="AK102" s="22">
        <f t="shared" si="49"/>
        <v>0</v>
      </c>
      <c r="AL102" s="22">
        <f t="shared" si="49"/>
        <v>0</v>
      </c>
      <c r="AM102" s="22">
        <f t="shared" si="49"/>
        <v>0</v>
      </c>
      <c r="AN102" s="22">
        <f t="shared" si="49"/>
        <v>0</v>
      </c>
      <c r="AO102" s="28"/>
    </row>
    <row r="103" spans="2:41" ht="14.4" customHeight="1" outlineLevel="1" x14ac:dyDescent="0.3">
      <c r="C103" s="2"/>
      <c r="D103" s="1" t="s">
        <v>173</v>
      </c>
      <c r="E103" s="2"/>
      <c r="F103" s="2"/>
      <c r="G103" s="2"/>
      <c r="H103" s="26" t="s">
        <v>245</v>
      </c>
      <c r="I103" s="20">
        <f t="shared" si="46"/>
        <v>184.60432240006776</v>
      </c>
      <c r="L103" s="22">
        <f t="shared" si="47"/>
        <v>0</v>
      </c>
      <c r="M103" s="22">
        <f t="shared" si="47"/>
        <v>139.31350256516947</v>
      </c>
      <c r="N103" s="22">
        <f t="shared" ref="N103:P103" si="50">N87+N96</f>
        <v>45.290819834898294</v>
      </c>
      <c r="O103" s="22">
        <f t="shared" si="50"/>
        <v>0</v>
      </c>
      <c r="P103" s="22">
        <f t="shared" si="50"/>
        <v>0</v>
      </c>
      <c r="Q103" s="22">
        <f t="shared" ref="Q103:AN103" si="51">Q87+Q96</f>
        <v>0</v>
      </c>
      <c r="R103" s="22">
        <f t="shared" si="51"/>
        <v>0</v>
      </c>
      <c r="S103" s="22">
        <f t="shared" si="51"/>
        <v>0</v>
      </c>
      <c r="T103" s="22">
        <f t="shared" si="51"/>
        <v>0</v>
      </c>
      <c r="U103" s="22">
        <f t="shared" si="51"/>
        <v>0</v>
      </c>
      <c r="V103" s="22">
        <f t="shared" si="51"/>
        <v>0</v>
      </c>
      <c r="W103" s="22">
        <f t="shared" si="51"/>
        <v>0</v>
      </c>
      <c r="X103" s="22">
        <f t="shared" si="51"/>
        <v>0</v>
      </c>
      <c r="Y103" s="22">
        <f t="shared" si="51"/>
        <v>0</v>
      </c>
      <c r="Z103" s="22">
        <f t="shared" si="51"/>
        <v>0</v>
      </c>
      <c r="AA103" s="22">
        <f t="shared" si="51"/>
        <v>0</v>
      </c>
      <c r="AB103" s="22">
        <f t="shared" si="51"/>
        <v>0</v>
      </c>
      <c r="AC103" s="22">
        <f t="shared" si="51"/>
        <v>0</v>
      </c>
      <c r="AD103" s="22">
        <f t="shared" si="51"/>
        <v>0</v>
      </c>
      <c r="AE103" s="22">
        <f t="shared" si="51"/>
        <v>0</v>
      </c>
      <c r="AF103" s="22">
        <f t="shared" si="51"/>
        <v>0</v>
      </c>
      <c r="AG103" s="22">
        <f t="shared" si="51"/>
        <v>0</v>
      </c>
      <c r="AH103" s="22">
        <f t="shared" si="51"/>
        <v>0</v>
      </c>
      <c r="AI103" s="22">
        <f t="shared" si="51"/>
        <v>0</v>
      </c>
      <c r="AJ103" s="22">
        <f t="shared" si="51"/>
        <v>0</v>
      </c>
      <c r="AK103" s="22">
        <f t="shared" si="51"/>
        <v>0</v>
      </c>
      <c r="AL103" s="22">
        <f t="shared" si="51"/>
        <v>0</v>
      </c>
      <c r="AM103" s="22">
        <f t="shared" si="51"/>
        <v>0</v>
      </c>
      <c r="AN103" s="22">
        <f t="shared" si="51"/>
        <v>0</v>
      </c>
      <c r="AO103" s="28"/>
    </row>
    <row r="104" spans="2:41" ht="14.4" customHeight="1" outlineLevel="1" x14ac:dyDescent="0.3">
      <c r="C104" s="2"/>
      <c r="D104" s="1" t="s">
        <v>174</v>
      </c>
      <c r="E104" s="2"/>
      <c r="F104" s="2"/>
      <c r="G104" s="2"/>
      <c r="H104" s="26" t="s">
        <v>245</v>
      </c>
      <c r="I104" s="20">
        <f t="shared" si="46"/>
        <v>26.372046057152541</v>
      </c>
      <c r="L104" s="22">
        <f t="shared" si="47"/>
        <v>0</v>
      </c>
      <c r="M104" s="22">
        <f t="shared" si="47"/>
        <v>8.4616923912711854</v>
      </c>
      <c r="N104" s="22">
        <f t="shared" ref="N104:P104" si="52">N88+N97</f>
        <v>17.910353665881356</v>
      </c>
      <c r="O104" s="22">
        <f t="shared" si="52"/>
        <v>0</v>
      </c>
      <c r="P104" s="22">
        <f t="shared" si="52"/>
        <v>0</v>
      </c>
      <c r="Q104" s="22">
        <f t="shared" ref="Q104:AN104" si="53">Q88+Q97</f>
        <v>0</v>
      </c>
      <c r="R104" s="22">
        <f t="shared" si="53"/>
        <v>0</v>
      </c>
      <c r="S104" s="22">
        <f t="shared" si="53"/>
        <v>0</v>
      </c>
      <c r="T104" s="22">
        <f t="shared" si="53"/>
        <v>0</v>
      </c>
      <c r="U104" s="22">
        <f t="shared" si="53"/>
        <v>0</v>
      </c>
      <c r="V104" s="22">
        <f t="shared" si="53"/>
        <v>0</v>
      </c>
      <c r="W104" s="22">
        <f t="shared" si="53"/>
        <v>0</v>
      </c>
      <c r="X104" s="22">
        <f t="shared" si="53"/>
        <v>0</v>
      </c>
      <c r="Y104" s="22">
        <f t="shared" si="53"/>
        <v>0</v>
      </c>
      <c r="Z104" s="22">
        <f t="shared" si="53"/>
        <v>0</v>
      </c>
      <c r="AA104" s="22">
        <f t="shared" si="53"/>
        <v>0</v>
      </c>
      <c r="AB104" s="22">
        <f t="shared" si="53"/>
        <v>0</v>
      </c>
      <c r="AC104" s="22">
        <f t="shared" si="53"/>
        <v>0</v>
      </c>
      <c r="AD104" s="22">
        <f t="shared" si="53"/>
        <v>0</v>
      </c>
      <c r="AE104" s="22">
        <f t="shared" si="53"/>
        <v>0</v>
      </c>
      <c r="AF104" s="22">
        <f t="shared" si="53"/>
        <v>0</v>
      </c>
      <c r="AG104" s="22">
        <f t="shared" si="53"/>
        <v>0</v>
      </c>
      <c r="AH104" s="22">
        <f t="shared" si="53"/>
        <v>0</v>
      </c>
      <c r="AI104" s="22">
        <f t="shared" si="53"/>
        <v>0</v>
      </c>
      <c r="AJ104" s="22">
        <f t="shared" si="53"/>
        <v>0</v>
      </c>
      <c r="AK104" s="22">
        <f t="shared" si="53"/>
        <v>0</v>
      </c>
      <c r="AL104" s="22">
        <f t="shared" si="53"/>
        <v>0</v>
      </c>
      <c r="AM104" s="22">
        <f t="shared" si="53"/>
        <v>0</v>
      </c>
      <c r="AN104" s="22">
        <f t="shared" si="53"/>
        <v>0</v>
      </c>
      <c r="AO104" s="28"/>
    </row>
    <row r="105" spans="2:41" ht="14.4" customHeight="1" outlineLevel="1" x14ac:dyDescent="0.3">
      <c r="C105" s="2" t="s">
        <v>37</v>
      </c>
      <c r="D105" s="2"/>
      <c r="E105" s="2"/>
      <c r="F105" s="2"/>
      <c r="G105" s="2"/>
      <c r="H105" s="30" t="s">
        <v>245</v>
      </c>
      <c r="I105" s="88">
        <f t="shared" si="46"/>
        <v>263.57391438508472</v>
      </c>
      <c r="L105" s="34">
        <f>SUM(L101:L104)</f>
        <v>0</v>
      </c>
      <c r="M105" s="34">
        <f t="shared" ref="M105:AN105" si="54">SUM(M101:M104)</f>
        <v>176.06554319237287</v>
      </c>
      <c r="N105" s="34">
        <f t="shared" si="54"/>
        <v>87.508371192711863</v>
      </c>
      <c r="O105" s="34">
        <f t="shared" si="54"/>
        <v>0</v>
      </c>
      <c r="P105" s="34">
        <f t="shared" si="54"/>
        <v>0</v>
      </c>
      <c r="Q105" s="34">
        <f t="shared" si="54"/>
        <v>0</v>
      </c>
      <c r="R105" s="34">
        <f t="shared" si="54"/>
        <v>0</v>
      </c>
      <c r="S105" s="34">
        <f t="shared" si="54"/>
        <v>0</v>
      </c>
      <c r="T105" s="34">
        <f t="shared" si="54"/>
        <v>0</v>
      </c>
      <c r="U105" s="34">
        <f t="shared" si="54"/>
        <v>0</v>
      </c>
      <c r="V105" s="34">
        <f t="shared" si="54"/>
        <v>0</v>
      </c>
      <c r="W105" s="34">
        <f t="shared" si="54"/>
        <v>0</v>
      </c>
      <c r="X105" s="34">
        <f t="shared" si="54"/>
        <v>0</v>
      </c>
      <c r="Y105" s="34">
        <f t="shared" si="54"/>
        <v>0</v>
      </c>
      <c r="Z105" s="34">
        <f t="shared" si="54"/>
        <v>0</v>
      </c>
      <c r="AA105" s="34">
        <f t="shared" si="54"/>
        <v>0</v>
      </c>
      <c r="AB105" s="34">
        <f t="shared" si="54"/>
        <v>0</v>
      </c>
      <c r="AC105" s="34">
        <f t="shared" si="54"/>
        <v>0</v>
      </c>
      <c r="AD105" s="34">
        <f t="shared" si="54"/>
        <v>0</v>
      </c>
      <c r="AE105" s="34">
        <f t="shared" si="54"/>
        <v>0</v>
      </c>
      <c r="AF105" s="34">
        <f t="shared" si="54"/>
        <v>0</v>
      </c>
      <c r="AG105" s="34">
        <f t="shared" si="54"/>
        <v>0</v>
      </c>
      <c r="AH105" s="34">
        <f t="shared" si="54"/>
        <v>0</v>
      </c>
      <c r="AI105" s="34">
        <f t="shared" si="54"/>
        <v>0</v>
      </c>
      <c r="AJ105" s="34">
        <f t="shared" si="54"/>
        <v>0</v>
      </c>
      <c r="AK105" s="34">
        <f t="shared" si="54"/>
        <v>0</v>
      </c>
      <c r="AL105" s="34">
        <f t="shared" si="54"/>
        <v>0</v>
      </c>
      <c r="AM105" s="34">
        <f t="shared" si="54"/>
        <v>0</v>
      </c>
      <c r="AN105" s="34">
        <f t="shared" si="54"/>
        <v>0</v>
      </c>
      <c r="AO105" s="28"/>
    </row>
    <row r="106" spans="2:41" ht="14.4" customHeight="1" outlineLevel="1" x14ac:dyDescent="0.3">
      <c r="C106" s="2"/>
      <c r="D106" s="2"/>
      <c r="E106" s="2"/>
      <c r="F106" s="2"/>
      <c r="G106" s="2"/>
      <c r="H106" s="30"/>
      <c r="I106" s="90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28"/>
    </row>
    <row r="107" spans="2:41" ht="14.4" customHeight="1" outlineLevel="1" x14ac:dyDescent="0.3">
      <c r="C107" s="2" t="s">
        <v>261</v>
      </c>
      <c r="H107" s="26"/>
      <c r="I107" s="2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28"/>
    </row>
    <row r="108" spans="2:41" ht="14.4" customHeight="1" outlineLevel="1" x14ac:dyDescent="0.3">
      <c r="D108" s="1" t="s">
        <v>262</v>
      </c>
      <c r="H108" s="26" t="s">
        <v>33</v>
      </c>
      <c r="I108" s="18"/>
      <c r="L108" s="139">
        <f>Input!K94</f>
        <v>1</v>
      </c>
      <c r="M108" s="139">
        <f>Input!L94</f>
        <v>2</v>
      </c>
      <c r="N108" s="139">
        <f>Input!M94</f>
        <v>3</v>
      </c>
      <c r="O108" s="139">
        <f>Input!N94</f>
        <v>4</v>
      </c>
      <c r="P108" s="139">
        <f>Input!O94</f>
        <v>5</v>
      </c>
      <c r="Q108" s="139">
        <f>Input!P94</f>
        <v>6</v>
      </c>
      <c r="R108" s="139">
        <f>Input!Q94</f>
        <v>7</v>
      </c>
      <c r="S108" s="139">
        <f>Input!R94</f>
        <v>8</v>
      </c>
      <c r="T108" s="139">
        <f>Input!S94</f>
        <v>9</v>
      </c>
      <c r="U108" s="139">
        <f>Input!T94</f>
        <v>10</v>
      </c>
      <c r="V108" s="139">
        <f>Input!U94</f>
        <v>11</v>
      </c>
      <c r="W108" s="139">
        <f>Input!V94</f>
        <v>12</v>
      </c>
      <c r="X108" s="139">
        <f>Input!W94</f>
        <v>13</v>
      </c>
      <c r="Y108" s="139">
        <f>Input!X94</f>
        <v>14</v>
      </c>
      <c r="Z108" s="139">
        <f>Input!Y94</f>
        <v>15</v>
      </c>
      <c r="AA108" s="139">
        <f>Input!Z94</f>
        <v>16</v>
      </c>
      <c r="AB108" s="139">
        <f>Input!AA94</f>
        <v>17</v>
      </c>
      <c r="AC108" s="139">
        <f>Input!AB94</f>
        <v>18</v>
      </c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28"/>
    </row>
    <row r="109" spans="2:41" ht="14.4" customHeight="1" outlineLevel="1" x14ac:dyDescent="0.3">
      <c r="D109" s="1" t="s">
        <v>187</v>
      </c>
      <c r="H109" s="26" t="s">
        <v>48</v>
      </c>
      <c r="I109" s="18"/>
      <c r="L109" s="128" t="str">
        <f>Input!K95</f>
        <v>ТР</v>
      </c>
      <c r="M109" s="128" t="str">
        <f>Input!L95</f>
        <v>ТР</v>
      </c>
      <c r="N109" s="128" t="str">
        <f>Input!M95</f>
        <v>ТР</v>
      </c>
      <c r="O109" s="128" t="str">
        <f>Input!N95</f>
        <v>ТР</v>
      </c>
      <c r="P109" s="128" t="str">
        <f>Input!O95</f>
        <v>СР</v>
      </c>
      <c r="Q109" s="128" t="str">
        <f>Input!P95</f>
        <v>КР</v>
      </c>
      <c r="R109" s="128" t="str">
        <f>Input!Q95</f>
        <v>ТР</v>
      </c>
      <c r="S109" s="128" t="str">
        <f>Input!R95</f>
        <v>ТР</v>
      </c>
      <c r="T109" s="128" t="str">
        <f>Input!S95</f>
        <v>ТР</v>
      </c>
      <c r="U109" s="128" t="str">
        <f>Input!T95</f>
        <v>КР</v>
      </c>
      <c r="V109" s="128" t="str">
        <f>Input!U95</f>
        <v>ТР</v>
      </c>
      <c r="W109" s="128" t="str">
        <f>Input!V95</f>
        <v>ТР</v>
      </c>
      <c r="X109" s="128" t="str">
        <f>Input!W95</f>
        <v>ТР</v>
      </c>
      <c r="Y109" s="128" t="str">
        <f>Input!X95</f>
        <v>ТР</v>
      </c>
      <c r="Z109" s="128" t="str">
        <f>Input!Y95</f>
        <v>ТР</v>
      </c>
      <c r="AA109" s="128" t="str">
        <f>Input!Z95</f>
        <v>ТР</v>
      </c>
      <c r="AB109" s="128" t="str">
        <f>Input!AA95</f>
        <v>ТР</v>
      </c>
      <c r="AC109" s="128" t="str">
        <f>Input!AB95</f>
        <v>ТР</v>
      </c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28"/>
    </row>
    <row r="110" spans="2:41" ht="14.4" customHeight="1" outlineLevel="1" x14ac:dyDescent="0.3">
      <c r="H110" s="26"/>
      <c r="I110" s="18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28"/>
    </row>
    <row r="111" spans="2:41" ht="14.4" customHeight="1" outlineLevel="1" x14ac:dyDescent="0.3">
      <c r="B111" s="18" t="str">
        <f>Input!A97</f>
        <v>CPI, (RUB)</v>
      </c>
      <c r="C111" s="2" t="s">
        <v>278</v>
      </c>
      <c r="H111" s="26"/>
      <c r="I111" s="18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28"/>
    </row>
    <row r="112" spans="2:41" ht="14.4" customHeight="1" outlineLevel="1" x14ac:dyDescent="0.3">
      <c r="D112" s="1" t="s">
        <v>183</v>
      </c>
      <c r="H112" s="26" t="s">
        <v>168</v>
      </c>
      <c r="I112" s="129">
        <f>Input!H98</f>
        <v>1.2</v>
      </c>
      <c r="L112" s="22">
        <f t="shared" ref="L112:AN112" si="55">$I112*INDEX(L$58:L$62,MATCH($B$111,$C$58:$C$62,0))*L27</f>
        <v>0</v>
      </c>
      <c r="M112" s="22">
        <f t="shared" si="55"/>
        <v>0</v>
      </c>
      <c r="N112" s="22">
        <f t="shared" si="55"/>
        <v>1.2979200000000002</v>
      </c>
      <c r="O112" s="22">
        <f t="shared" si="55"/>
        <v>1.3498368000000001</v>
      </c>
      <c r="P112" s="22">
        <f t="shared" si="55"/>
        <v>1.4038302720000002</v>
      </c>
      <c r="Q112" s="22">
        <f t="shared" si="55"/>
        <v>1.4599834828800005</v>
      </c>
      <c r="R112" s="22">
        <f t="shared" si="55"/>
        <v>0</v>
      </c>
      <c r="S112" s="22">
        <f t="shared" si="55"/>
        <v>0</v>
      </c>
      <c r="T112" s="22">
        <f t="shared" si="55"/>
        <v>1.6422828604863289</v>
      </c>
      <c r="U112" s="22">
        <f t="shared" si="55"/>
        <v>1.7079741749057822</v>
      </c>
      <c r="V112" s="22">
        <f t="shared" si="55"/>
        <v>1.7762931419020134</v>
      </c>
      <c r="W112" s="22">
        <f t="shared" si="55"/>
        <v>0</v>
      </c>
      <c r="X112" s="22">
        <f t="shared" si="55"/>
        <v>1.9212386622812181</v>
      </c>
      <c r="Y112" s="22">
        <f t="shared" si="55"/>
        <v>1.9980882087724667</v>
      </c>
      <c r="Z112" s="22">
        <f t="shared" si="55"/>
        <v>2.0780117371233655</v>
      </c>
      <c r="AA112" s="22">
        <f t="shared" si="55"/>
        <v>2.1611322066083001</v>
      </c>
      <c r="AB112" s="22">
        <f t="shared" si="55"/>
        <v>2.2475774948726319</v>
      </c>
      <c r="AC112" s="22">
        <f t="shared" si="55"/>
        <v>2.3374805946675377</v>
      </c>
      <c r="AD112" s="22">
        <f t="shared" si="55"/>
        <v>0</v>
      </c>
      <c r="AE112" s="22">
        <f t="shared" si="55"/>
        <v>0</v>
      </c>
      <c r="AF112" s="22">
        <f t="shared" si="55"/>
        <v>0</v>
      </c>
      <c r="AG112" s="22">
        <f t="shared" si="55"/>
        <v>0</v>
      </c>
      <c r="AH112" s="22">
        <f t="shared" si="55"/>
        <v>0</v>
      </c>
      <c r="AI112" s="22">
        <f t="shared" si="55"/>
        <v>0</v>
      </c>
      <c r="AJ112" s="22">
        <f t="shared" si="55"/>
        <v>0</v>
      </c>
      <c r="AK112" s="22">
        <f t="shared" si="55"/>
        <v>0</v>
      </c>
      <c r="AL112" s="22">
        <f t="shared" si="55"/>
        <v>0</v>
      </c>
      <c r="AM112" s="22">
        <f t="shared" si="55"/>
        <v>0</v>
      </c>
      <c r="AN112" s="22">
        <f t="shared" si="55"/>
        <v>0</v>
      </c>
      <c r="AO112" s="28"/>
    </row>
    <row r="113" spans="1:41" ht="14.4" customHeight="1" outlineLevel="1" x14ac:dyDescent="0.3">
      <c r="D113" s="1" t="s">
        <v>184</v>
      </c>
      <c r="H113" s="26" t="s">
        <v>168</v>
      </c>
      <c r="I113" s="129">
        <f>Input!H99</f>
        <v>2.5</v>
      </c>
      <c r="L113" s="22">
        <f t="shared" ref="L113:AN113" si="56">$I113*INDEX(L$58:L$62,MATCH($B$111,$C$58:$C$62,0))*L28</f>
        <v>0</v>
      </c>
      <c r="M113" s="22">
        <f t="shared" si="56"/>
        <v>0</v>
      </c>
      <c r="N113" s="22">
        <f t="shared" si="56"/>
        <v>0</v>
      </c>
      <c r="O113" s="22">
        <f t="shared" si="56"/>
        <v>0</v>
      </c>
      <c r="P113" s="22">
        <f t="shared" si="56"/>
        <v>0</v>
      </c>
      <c r="Q113" s="22">
        <f t="shared" si="56"/>
        <v>0</v>
      </c>
      <c r="R113" s="22">
        <f t="shared" si="56"/>
        <v>3.1632975462400008</v>
      </c>
      <c r="S113" s="22">
        <f t="shared" si="56"/>
        <v>0</v>
      </c>
      <c r="T113" s="22">
        <f t="shared" si="56"/>
        <v>0</v>
      </c>
      <c r="U113" s="22">
        <f t="shared" si="56"/>
        <v>0</v>
      </c>
      <c r="V113" s="22">
        <f t="shared" si="56"/>
        <v>0</v>
      </c>
      <c r="W113" s="22">
        <f t="shared" si="56"/>
        <v>0</v>
      </c>
      <c r="X113" s="22">
        <f t="shared" si="56"/>
        <v>0</v>
      </c>
      <c r="Y113" s="22">
        <f t="shared" si="56"/>
        <v>0</v>
      </c>
      <c r="Z113" s="22">
        <f t="shared" si="56"/>
        <v>0</v>
      </c>
      <c r="AA113" s="22">
        <f t="shared" si="56"/>
        <v>0</v>
      </c>
      <c r="AB113" s="22">
        <f t="shared" si="56"/>
        <v>0</v>
      </c>
      <c r="AC113" s="22">
        <f t="shared" si="56"/>
        <v>0</v>
      </c>
      <c r="AD113" s="22">
        <f t="shared" si="56"/>
        <v>0</v>
      </c>
      <c r="AE113" s="22">
        <f t="shared" si="56"/>
        <v>0</v>
      </c>
      <c r="AF113" s="22">
        <f t="shared" si="56"/>
        <v>0</v>
      </c>
      <c r="AG113" s="22">
        <f t="shared" si="56"/>
        <v>0</v>
      </c>
      <c r="AH113" s="22">
        <f t="shared" si="56"/>
        <v>0</v>
      </c>
      <c r="AI113" s="22">
        <f t="shared" si="56"/>
        <v>0</v>
      </c>
      <c r="AJ113" s="22">
        <f t="shared" si="56"/>
        <v>0</v>
      </c>
      <c r="AK113" s="22">
        <f t="shared" si="56"/>
        <v>0</v>
      </c>
      <c r="AL113" s="22">
        <f t="shared" si="56"/>
        <v>0</v>
      </c>
      <c r="AM113" s="22">
        <f t="shared" si="56"/>
        <v>0</v>
      </c>
      <c r="AN113" s="22">
        <f t="shared" si="56"/>
        <v>0</v>
      </c>
      <c r="AO113" s="28"/>
    </row>
    <row r="114" spans="1:41" ht="14.4" customHeight="1" outlineLevel="1" x14ac:dyDescent="0.3">
      <c r="D114" s="1" t="s">
        <v>185</v>
      </c>
      <c r="H114" s="26" t="s">
        <v>168</v>
      </c>
      <c r="I114" s="129">
        <f>Input!H100</f>
        <v>3.4</v>
      </c>
      <c r="L114" s="22">
        <f t="shared" ref="L114:AN114" si="57">$I114*INDEX(L$58:L$62,MATCH($B$111,$C$58:$C$62,0))*L29</f>
        <v>0</v>
      </c>
      <c r="M114" s="22">
        <f t="shared" si="57"/>
        <v>0</v>
      </c>
      <c r="N114" s="22">
        <f t="shared" si="57"/>
        <v>0</v>
      </c>
      <c r="O114" s="22">
        <f t="shared" si="57"/>
        <v>0</v>
      </c>
      <c r="P114" s="22">
        <f t="shared" si="57"/>
        <v>0</v>
      </c>
      <c r="Q114" s="22">
        <f t="shared" si="57"/>
        <v>0</v>
      </c>
      <c r="R114" s="22">
        <f t="shared" si="57"/>
        <v>0</v>
      </c>
      <c r="S114" s="22">
        <f t="shared" si="57"/>
        <v>4.4741680494018574</v>
      </c>
      <c r="T114" s="22">
        <f t="shared" si="57"/>
        <v>0</v>
      </c>
      <c r="U114" s="22">
        <f t="shared" si="57"/>
        <v>0</v>
      </c>
      <c r="V114" s="22">
        <f t="shared" si="57"/>
        <v>0</v>
      </c>
      <c r="W114" s="22">
        <f t="shared" si="57"/>
        <v>5.2341437914712667</v>
      </c>
      <c r="X114" s="22">
        <f t="shared" si="57"/>
        <v>0</v>
      </c>
      <c r="Y114" s="22">
        <f t="shared" si="57"/>
        <v>0</v>
      </c>
      <c r="Z114" s="22">
        <f t="shared" si="57"/>
        <v>0</v>
      </c>
      <c r="AA114" s="22">
        <f t="shared" si="57"/>
        <v>0</v>
      </c>
      <c r="AB114" s="22">
        <f t="shared" si="57"/>
        <v>0</v>
      </c>
      <c r="AC114" s="22">
        <f t="shared" si="57"/>
        <v>0</v>
      </c>
      <c r="AD114" s="22">
        <f t="shared" si="57"/>
        <v>0</v>
      </c>
      <c r="AE114" s="22">
        <f t="shared" si="57"/>
        <v>0</v>
      </c>
      <c r="AF114" s="22">
        <f t="shared" si="57"/>
        <v>0</v>
      </c>
      <c r="AG114" s="22">
        <f t="shared" si="57"/>
        <v>0</v>
      </c>
      <c r="AH114" s="22">
        <f t="shared" si="57"/>
        <v>0</v>
      </c>
      <c r="AI114" s="22">
        <f t="shared" si="57"/>
        <v>0</v>
      </c>
      <c r="AJ114" s="22">
        <f t="shared" si="57"/>
        <v>0</v>
      </c>
      <c r="AK114" s="22">
        <f t="shared" si="57"/>
        <v>0</v>
      </c>
      <c r="AL114" s="22">
        <f t="shared" si="57"/>
        <v>0</v>
      </c>
      <c r="AM114" s="22">
        <f t="shared" si="57"/>
        <v>0</v>
      </c>
      <c r="AN114" s="22">
        <f t="shared" si="57"/>
        <v>0</v>
      </c>
      <c r="AO114" s="28"/>
    </row>
    <row r="115" spans="1:41" s="2" customFormat="1" ht="14.4" customHeight="1" outlineLevel="1" x14ac:dyDescent="0.3">
      <c r="A115" s="32"/>
      <c r="B115" s="32"/>
      <c r="C115" s="2" t="s">
        <v>37</v>
      </c>
      <c r="H115" s="30" t="s">
        <v>168</v>
      </c>
      <c r="I115" s="134">
        <f>SUM(L115:AN115)</f>
        <v>36.25325902361277</v>
      </c>
      <c r="L115" s="34">
        <f>SUM(L112:L114)</f>
        <v>0</v>
      </c>
      <c r="M115" s="34">
        <f t="shared" ref="M115:AN115" si="58">SUM(M112:M114)</f>
        <v>0</v>
      </c>
      <c r="N115" s="34">
        <f t="shared" si="58"/>
        <v>1.2979200000000002</v>
      </c>
      <c r="O115" s="34">
        <f t="shared" si="58"/>
        <v>1.3498368000000001</v>
      </c>
      <c r="P115" s="34">
        <f t="shared" si="58"/>
        <v>1.4038302720000002</v>
      </c>
      <c r="Q115" s="34">
        <f t="shared" si="58"/>
        <v>1.4599834828800005</v>
      </c>
      <c r="R115" s="34">
        <f t="shared" si="58"/>
        <v>3.1632975462400008</v>
      </c>
      <c r="S115" s="34">
        <f t="shared" si="58"/>
        <v>4.4741680494018574</v>
      </c>
      <c r="T115" s="34">
        <f t="shared" si="58"/>
        <v>1.6422828604863289</v>
      </c>
      <c r="U115" s="34">
        <f t="shared" si="58"/>
        <v>1.7079741749057822</v>
      </c>
      <c r="V115" s="34">
        <f t="shared" si="58"/>
        <v>1.7762931419020134</v>
      </c>
      <c r="W115" s="34">
        <f t="shared" si="58"/>
        <v>5.2341437914712667</v>
      </c>
      <c r="X115" s="34">
        <f t="shared" si="58"/>
        <v>1.9212386622812181</v>
      </c>
      <c r="Y115" s="34">
        <f t="shared" si="58"/>
        <v>1.9980882087724667</v>
      </c>
      <c r="Z115" s="34">
        <f t="shared" si="58"/>
        <v>2.0780117371233655</v>
      </c>
      <c r="AA115" s="34">
        <f t="shared" si="58"/>
        <v>2.1611322066083001</v>
      </c>
      <c r="AB115" s="34">
        <f t="shared" si="58"/>
        <v>2.2475774948726319</v>
      </c>
      <c r="AC115" s="34">
        <f t="shared" si="58"/>
        <v>2.3374805946675377</v>
      </c>
      <c r="AD115" s="34">
        <f t="shared" si="58"/>
        <v>0</v>
      </c>
      <c r="AE115" s="34">
        <f t="shared" si="58"/>
        <v>0</v>
      </c>
      <c r="AF115" s="34">
        <f t="shared" si="58"/>
        <v>0</v>
      </c>
      <c r="AG115" s="34">
        <f t="shared" si="58"/>
        <v>0</v>
      </c>
      <c r="AH115" s="34">
        <f t="shared" si="58"/>
        <v>0</v>
      </c>
      <c r="AI115" s="34">
        <f t="shared" si="58"/>
        <v>0</v>
      </c>
      <c r="AJ115" s="34">
        <f t="shared" si="58"/>
        <v>0</v>
      </c>
      <c r="AK115" s="34">
        <f t="shared" si="58"/>
        <v>0</v>
      </c>
      <c r="AL115" s="34">
        <f t="shared" si="58"/>
        <v>0</v>
      </c>
      <c r="AM115" s="34">
        <f t="shared" si="58"/>
        <v>0</v>
      </c>
      <c r="AN115" s="34">
        <f t="shared" si="58"/>
        <v>0</v>
      </c>
      <c r="AO115" s="127"/>
    </row>
    <row r="116" spans="1:41" s="2" customFormat="1" ht="14.4" customHeight="1" outlineLevel="1" x14ac:dyDescent="0.3">
      <c r="A116" s="32"/>
      <c r="B116" s="32"/>
      <c r="H116" s="30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127"/>
    </row>
    <row r="117" spans="1:41" ht="14.4" customHeight="1" outlineLevel="1" x14ac:dyDescent="0.3">
      <c r="C117" s="2" t="s">
        <v>264</v>
      </c>
      <c r="H117" s="26"/>
      <c r="I117" s="90"/>
      <c r="J117" s="19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28"/>
    </row>
    <row r="118" spans="1:41" ht="14.4" customHeight="1" outlineLevel="1" x14ac:dyDescent="0.3">
      <c r="D118" s="1" t="s">
        <v>182</v>
      </c>
      <c r="H118" s="26" t="s">
        <v>146</v>
      </c>
      <c r="I118" s="90"/>
      <c r="J118" s="19"/>
      <c r="L118" s="128">
        <f>Input!K75</f>
        <v>75000</v>
      </c>
      <c r="M118" s="128">
        <f>Input!L75</f>
        <v>150000</v>
      </c>
      <c r="N118" s="128">
        <f>Input!M75</f>
        <v>225000</v>
      </c>
      <c r="O118" s="128">
        <f>Input!N75</f>
        <v>300000</v>
      </c>
      <c r="P118" s="128">
        <f>Input!O75</f>
        <v>350000</v>
      </c>
      <c r="Q118" s="128">
        <f>Input!P75</f>
        <v>425000</v>
      </c>
      <c r="R118" s="128">
        <f>Input!Q75</f>
        <v>500000</v>
      </c>
      <c r="S118" s="128">
        <f>Input!R75</f>
        <v>575000</v>
      </c>
      <c r="T118" s="128">
        <f>Input!S75</f>
        <v>650000</v>
      </c>
      <c r="U118" s="128">
        <f>Input!T75</f>
        <v>700000</v>
      </c>
      <c r="V118" s="128">
        <f>Input!U75</f>
        <v>775000</v>
      </c>
      <c r="W118" s="128">
        <f>Input!V75</f>
        <v>850000</v>
      </c>
      <c r="X118" s="128">
        <f>Input!W75</f>
        <v>925000</v>
      </c>
      <c r="Y118" s="128">
        <f>Input!X75</f>
        <v>1000000</v>
      </c>
      <c r="Z118" s="128">
        <f>Input!Y75</f>
        <v>1075000</v>
      </c>
      <c r="AA118" s="128">
        <f>Input!Z75</f>
        <v>1150000</v>
      </c>
      <c r="AB118" s="128">
        <f>Input!AA75</f>
        <v>1225000</v>
      </c>
      <c r="AC118" s="128">
        <f>Input!AB75</f>
        <v>1300000</v>
      </c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28"/>
    </row>
    <row r="119" spans="1:41" ht="14.4" customHeight="1" outlineLevel="1" x14ac:dyDescent="0.3">
      <c r="D119" s="1" t="s">
        <v>187</v>
      </c>
      <c r="H119" s="26" t="s">
        <v>48</v>
      </c>
      <c r="I119" s="90"/>
      <c r="L119" s="128" t="str">
        <f>Input!K76</f>
        <v>ТР</v>
      </c>
      <c r="M119" s="128" t="str">
        <f>Input!L76</f>
        <v>ТР</v>
      </c>
      <c r="N119" s="128" t="str">
        <f>Input!M76</f>
        <v>ТР</v>
      </c>
      <c r="O119" s="128" t="str">
        <f>Input!N76</f>
        <v>ТР</v>
      </c>
      <c r="P119" s="128" t="str">
        <f>Input!O76</f>
        <v>СР</v>
      </c>
      <c r="Q119" s="128" t="str">
        <f>Input!P76</f>
        <v>ТР</v>
      </c>
      <c r="R119" s="128" t="str">
        <f>Input!Q76</f>
        <v>ТР</v>
      </c>
      <c r="S119" s="128" t="str">
        <f>Input!R76</f>
        <v>ТР</v>
      </c>
      <c r="T119" s="128" t="str">
        <f>Input!S76</f>
        <v>ТР</v>
      </c>
      <c r="U119" s="128" t="str">
        <f>Input!T76</f>
        <v>СР</v>
      </c>
      <c r="V119" s="128" t="str">
        <f>Input!U76</f>
        <v>ТР</v>
      </c>
      <c r="W119" s="128" t="str">
        <f>Input!V76</f>
        <v>ТР</v>
      </c>
      <c r="X119" s="128" t="str">
        <f>Input!W76</f>
        <v>КР</v>
      </c>
      <c r="Y119" s="128" t="str">
        <f>Input!X76</f>
        <v>ТР</v>
      </c>
      <c r="Z119" s="128" t="str">
        <f>Input!Y76</f>
        <v>ТР</v>
      </c>
      <c r="AA119" s="128" t="str">
        <f>Input!Z76</f>
        <v>ТР</v>
      </c>
      <c r="AB119" s="128" t="str">
        <f>Input!AA76</f>
        <v>ТР</v>
      </c>
      <c r="AC119" s="128" t="str">
        <f>Input!AB76</f>
        <v>ТР</v>
      </c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28"/>
    </row>
    <row r="120" spans="1:41" ht="14.4" customHeight="1" outlineLevel="1" x14ac:dyDescent="0.3">
      <c r="C120" s="2"/>
      <c r="D120" s="2"/>
      <c r="E120" s="2"/>
      <c r="F120" s="2"/>
      <c r="G120" s="2"/>
      <c r="H120" s="30"/>
      <c r="I120" s="90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28"/>
    </row>
    <row r="121" spans="1:41" ht="14.4" customHeight="1" outlineLevel="1" x14ac:dyDescent="0.3">
      <c r="B121" s="18" t="str">
        <f>Input!A78</f>
        <v>PPI,  (RUB)</v>
      </c>
      <c r="C121" s="2" t="s">
        <v>259</v>
      </c>
      <c r="H121" s="26"/>
      <c r="I121" s="1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28"/>
    </row>
    <row r="122" spans="1:41" ht="14.4" customHeight="1" outlineLevel="1" x14ac:dyDescent="0.3">
      <c r="D122" s="1" t="s">
        <v>183</v>
      </c>
      <c r="H122" s="26" t="s">
        <v>168</v>
      </c>
      <c r="I122" s="129">
        <f>Input!H79</f>
        <v>8.5</v>
      </c>
      <c r="L122" s="22">
        <f t="shared" ref="L122:AN122" si="59">$I122*INDEX(L$58:L$62,MATCH($B$121,$C$58:$C$62,0))*L21</f>
        <v>0</v>
      </c>
      <c r="M122" s="22">
        <f t="shared" si="59"/>
        <v>0</v>
      </c>
      <c r="N122" s="22">
        <f t="shared" si="59"/>
        <v>0</v>
      </c>
      <c r="O122" s="22">
        <f t="shared" si="59"/>
        <v>9.5613440000000001</v>
      </c>
      <c r="P122" s="22">
        <f t="shared" si="59"/>
        <v>9.9437977600000025</v>
      </c>
      <c r="Q122" s="22">
        <f t="shared" si="59"/>
        <v>10.341549670400003</v>
      </c>
      <c r="R122" s="22">
        <f t="shared" si="59"/>
        <v>0</v>
      </c>
      <c r="S122" s="22">
        <f t="shared" si="59"/>
        <v>11.185420123504644</v>
      </c>
      <c r="T122" s="22">
        <f t="shared" si="59"/>
        <v>11.63283692844483</v>
      </c>
      <c r="U122" s="22">
        <f t="shared" si="59"/>
        <v>12.098150405582624</v>
      </c>
      <c r="V122" s="22">
        <f t="shared" si="59"/>
        <v>12.58207642180593</v>
      </c>
      <c r="W122" s="22">
        <f t="shared" si="59"/>
        <v>0</v>
      </c>
      <c r="X122" s="22">
        <f t="shared" si="59"/>
        <v>13.608773857825295</v>
      </c>
      <c r="Y122" s="22">
        <f t="shared" si="59"/>
        <v>14.153124812138307</v>
      </c>
      <c r="Z122" s="22">
        <f t="shared" si="59"/>
        <v>0</v>
      </c>
      <c r="AA122" s="22">
        <f t="shared" si="59"/>
        <v>15.308019796808793</v>
      </c>
      <c r="AB122" s="22">
        <f t="shared" si="59"/>
        <v>15.920340588681144</v>
      </c>
      <c r="AC122" s="22">
        <f t="shared" si="59"/>
        <v>0</v>
      </c>
      <c r="AD122" s="22">
        <f t="shared" si="59"/>
        <v>0</v>
      </c>
      <c r="AE122" s="22">
        <f t="shared" si="59"/>
        <v>0</v>
      </c>
      <c r="AF122" s="22">
        <f t="shared" si="59"/>
        <v>0</v>
      </c>
      <c r="AG122" s="22">
        <f t="shared" si="59"/>
        <v>0</v>
      </c>
      <c r="AH122" s="22">
        <f t="shared" si="59"/>
        <v>0</v>
      </c>
      <c r="AI122" s="22">
        <f t="shared" si="59"/>
        <v>0</v>
      </c>
      <c r="AJ122" s="22">
        <f t="shared" si="59"/>
        <v>0</v>
      </c>
      <c r="AK122" s="22">
        <f t="shared" si="59"/>
        <v>0</v>
      </c>
      <c r="AL122" s="22">
        <f t="shared" si="59"/>
        <v>0</v>
      </c>
      <c r="AM122" s="22">
        <f t="shared" si="59"/>
        <v>0</v>
      </c>
      <c r="AN122" s="22">
        <f t="shared" si="59"/>
        <v>0</v>
      </c>
      <c r="AO122" s="28"/>
    </row>
    <row r="123" spans="1:41" ht="14.4" customHeight="1" outlineLevel="1" x14ac:dyDescent="0.3">
      <c r="D123" s="1" t="s">
        <v>184</v>
      </c>
      <c r="H123" s="26" t="s">
        <v>168</v>
      </c>
      <c r="I123" s="129">
        <f>Input!H80</f>
        <v>15.3</v>
      </c>
      <c r="L123" s="22">
        <f t="shared" ref="L123:AN123" si="60">$I123*INDEX(L$58:L$62,MATCH($B$121,$C$58:$C$62,0))*L22</f>
        <v>0</v>
      </c>
      <c r="M123" s="22">
        <f t="shared" si="60"/>
        <v>0</v>
      </c>
      <c r="N123" s="22">
        <f t="shared" si="60"/>
        <v>0</v>
      </c>
      <c r="O123" s="22">
        <f t="shared" si="60"/>
        <v>0</v>
      </c>
      <c r="P123" s="22">
        <f t="shared" si="60"/>
        <v>0</v>
      </c>
      <c r="Q123" s="22">
        <f t="shared" si="60"/>
        <v>0</v>
      </c>
      <c r="R123" s="22">
        <f t="shared" si="60"/>
        <v>19.359380982988807</v>
      </c>
      <c r="S123" s="22">
        <f t="shared" si="60"/>
        <v>0</v>
      </c>
      <c r="T123" s="22">
        <f t="shared" si="60"/>
        <v>0</v>
      </c>
      <c r="U123" s="22">
        <f t="shared" si="60"/>
        <v>0</v>
      </c>
      <c r="V123" s="22">
        <f t="shared" si="60"/>
        <v>0</v>
      </c>
      <c r="W123" s="22">
        <f t="shared" si="60"/>
        <v>23.553647061620701</v>
      </c>
      <c r="X123" s="22">
        <f t="shared" si="60"/>
        <v>0</v>
      </c>
      <c r="Y123" s="22">
        <f t="shared" si="60"/>
        <v>0</v>
      </c>
      <c r="Z123" s="22">
        <f t="shared" si="60"/>
        <v>0</v>
      </c>
      <c r="AA123" s="22">
        <f t="shared" si="60"/>
        <v>0</v>
      </c>
      <c r="AB123" s="22">
        <f t="shared" si="60"/>
        <v>0</v>
      </c>
      <c r="AC123" s="22">
        <f t="shared" si="60"/>
        <v>0</v>
      </c>
      <c r="AD123" s="22">
        <f t="shared" si="60"/>
        <v>0</v>
      </c>
      <c r="AE123" s="22">
        <f t="shared" si="60"/>
        <v>0</v>
      </c>
      <c r="AF123" s="22">
        <f t="shared" si="60"/>
        <v>0</v>
      </c>
      <c r="AG123" s="22">
        <f t="shared" si="60"/>
        <v>0</v>
      </c>
      <c r="AH123" s="22">
        <f t="shared" si="60"/>
        <v>0</v>
      </c>
      <c r="AI123" s="22">
        <f t="shared" si="60"/>
        <v>0</v>
      </c>
      <c r="AJ123" s="22">
        <f t="shared" si="60"/>
        <v>0</v>
      </c>
      <c r="AK123" s="22">
        <f t="shared" si="60"/>
        <v>0</v>
      </c>
      <c r="AL123" s="22">
        <f t="shared" si="60"/>
        <v>0</v>
      </c>
      <c r="AM123" s="22">
        <f t="shared" si="60"/>
        <v>0</v>
      </c>
      <c r="AN123" s="22">
        <f t="shared" si="60"/>
        <v>0</v>
      </c>
      <c r="AO123" s="28"/>
    </row>
    <row r="124" spans="1:41" ht="14.4" customHeight="1" outlineLevel="1" x14ac:dyDescent="0.3">
      <c r="D124" s="1" t="s">
        <v>185</v>
      </c>
      <c r="H124" s="26" t="s">
        <v>168</v>
      </c>
      <c r="I124" s="129">
        <f>Input!H81</f>
        <v>20.399999999999999</v>
      </c>
      <c r="L124" s="22">
        <f t="shared" ref="L124:AN124" si="61">$I124*INDEX(L$58:L$62,MATCH($B$121,$C$58:$C$62,0))*L23</f>
        <v>0</v>
      </c>
      <c r="M124" s="22">
        <f t="shared" si="61"/>
        <v>0</v>
      </c>
      <c r="N124" s="22">
        <f t="shared" si="61"/>
        <v>0</v>
      </c>
      <c r="O124" s="22">
        <f t="shared" si="61"/>
        <v>0</v>
      </c>
      <c r="P124" s="22">
        <f t="shared" si="61"/>
        <v>0</v>
      </c>
      <c r="Q124" s="22">
        <f t="shared" si="61"/>
        <v>0</v>
      </c>
      <c r="R124" s="22">
        <f t="shared" si="61"/>
        <v>0</v>
      </c>
      <c r="S124" s="22">
        <f t="shared" si="61"/>
        <v>0</v>
      </c>
      <c r="T124" s="22">
        <f t="shared" si="61"/>
        <v>0</v>
      </c>
      <c r="U124" s="22">
        <f t="shared" si="61"/>
        <v>0</v>
      </c>
      <c r="V124" s="22">
        <f t="shared" si="61"/>
        <v>0</v>
      </c>
      <c r="W124" s="22">
        <f t="shared" si="61"/>
        <v>0</v>
      </c>
      <c r="X124" s="22">
        <f t="shared" si="61"/>
        <v>0</v>
      </c>
      <c r="Y124" s="22">
        <f t="shared" si="61"/>
        <v>0</v>
      </c>
      <c r="Z124" s="22">
        <f t="shared" si="61"/>
        <v>35.32619953109721</v>
      </c>
      <c r="AA124" s="22">
        <f t="shared" si="61"/>
        <v>0</v>
      </c>
      <c r="AB124" s="22">
        <f t="shared" si="61"/>
        <v>0</v>
      </c>
      <c r="AC124" s="22">
        <f t="shared" si="61"/>
        <v>0</v>
      </c>
      <c r="AD124" s="22">
        <f t="shared" si="61"/>
        <v>0</v>
      </c>
      <c r="AE124" s="22">
        <f t="shared" si="61"/>
        <v>0</v>
      </c>
      <c r="AF124" s="22">
        <f t="shared" si="61"/>
        <v>0</v>
      </c>
      <c r="AG124" s="22">
        <f t="shared" si="61"/>
        <v>0</v>
      </c>
      <c r="AH124" s="22">
        <f t="shared" si="61"/>
        <v>0</v>
      </c>
      <c r="AI124" s="22">
        <f t="shared" si="61"/>
        <v>0</v>
      </c>
      <c r="AJ124" s="22">
        <f t="shared" si="61"/>
        <v>0</v>
      </c>
      <c r="AK124" s="22">
        <f t="shared" si="61"/>
        <v>0</v>
      </c>
      <c r="AL124" s="22">
        <f t="shared" si="61"/>
        <v>0</v>
      </c>
      <c r="AM124" s="22">
        <f t="shared" si="61"/>
        <v>0</v>
      </c>
      <c r="AN124" s="22">
        <f t="shared" si="61"/>
        <v>0</v>
      </c>
      <c r="AO124" s="28"/>
    </row>
    <row r="125" spans="1:41" ht="14.4" customHeight="1" outlineLevel="1" x14ac:dyDescent="0.3">
      <c r="C125" s="2" t="s">
        <v>37</v>
      </c>
      <c r="H125" s="30" t="s">
        <v>168</v>
      </c>
      <c r="I125" s="134">
        <f>SUM(L125:AN125)</f>
        <v>214.5746619408983</v>
      </c>
      <c r="L125" s="34">
        <f>SUM(L122:L124)</f>
        <v>0</v>
      </c>
      <c r="M125" s="34">
        <f t="shared" ref="M125:AN125" si="62">SUM(M122:M124)</f>
        <v>0</v>
      </c>
      <c r="N125" s="34">
        <f t="shared" si="62"/>
        <v>0</v>
      </c>
      <c r="O125" s="34">
        <f t="shared" si="62"/>
        <v>9.5613440000000001</v>
      </c>
      <c r="P125" s="34">
        <f t="shared" si="62"/>
        <v>9.9437977600000025</v>
      </c>
      <c r="Q125" s="34">
        <f t="shared" si="62"/>
        <v>10.341549670400003</v>
      </c>
      <c r="R125" s="34">
        <f t="shared" si="62"/>
        <v>19.359380982988807</v>
      </c>
      <c r="S125" s="34">
        <f t="shared" si="62"/>
        <v>11.185420123504644</v>
      </c>
      <c r="T125" s="34">
        <f t="shared" si="62"/>
        <v>11.63283692844483</v>
      </c>
      <c r="U125" s="34">
        <f t="shared" si="62"/>
        <v>12.098150405582624</v>
      </c>
      <c r="V125" s="34">
        <f t="shared" si="62"/>
        <v>12.58207642180593</v>
      </c>
      <c r="W125" s="34">
        <f t="shared" si="62"/>
        <v>23.553647061620701</v>
      </c>
      <c r="X125" s="34">
        <f t="shared" si="62"/>
        <v>13.608773857825295</v>
      </c>
      <c r="Y125" s="34">
        <f t="shared" si="62"/>
        <v>14.153124812138307</v>
      </c>
      <c r="Z125" s="34">
        <f t="shared" si="62"/>
        <v>35.32619953109721</v>
      </c>
      <c r="AA125" s="34">
        <f t="shared" si="62"/>
        <v>15.308019796808793</v>
      </c>
      <c r="AB125" s="34">
        <f t="shared" si="62"/>
        <v>15.920340588681144</v>
      </c>
      <c r="AC125" s="34">
        <f t="shared" si="62"/>
        <v>0</v>
      </c>
      <c r="AD125" s="34">
        <f t="shared" si="62"/>
        <v>0</v>
      </c>
      <c r="AE125" s="34">
        <f t="shared" si="62"/>
        <v>0</v>
      </c>
      <c r="AF125" s="34">
        <f t="shared" si="62"/>
        <v>0</v>
      </c>
      <c r="AG125" s="34">
        <f t="shared" si="62"/>
        <v>0</v>
      </c>
      <c r="AH125" s="34">
        <f t="shared" si="62"/>
        <v>0</v>
      </c>
      <c r="AI125" s="34">
        <f t="shared" si="62"/>
        <v>0</v>
      </c>
      <c r="AJ125" s="34">
        <f t="shared" si="62"/>
        <v>0</v>
      </c>
      <c r="AK125" s="34">
        <f t="shared" si="62"/>
        <v>0</v>
      </c>
      <c r="AL125" s="34">
        <f t="shared" si="62"/>
        <v>0</v>
      </c>
      <c r="AM125" s="34">
        <f t="shared" si="62"/>
        <v>0</v>
      </c>
      <c r="AN125" s="34">
        <f t="shared" si="62"/>
        <v>0</v>
      </c>
      <c r="AO125" s="28"/>
    </row>
    <row r="126" spans="1:41" ht="14.4" customHeight="1" outlineLevel="1" x14ac:dyDescent="0.3">
      <c r="C126" s="2"/>
      <c r="D126" s="2"/>
      <c r="E126" s="2"/>
      <c r="F126" s="2"/>
      <c r="G126" s="2"/>
      <c r="H126" s="30"/>
      <c r="I126" s="90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28"/>
    </row>
    <row r="127" spans="1:41" ht="14.4" customHeight="1" outlineLevel="1" x14ac:dyDescent="0.3">
      <c r="C127" s="2" t="s">
        <v>256</v>
      </c>
      <c r="H127" s="26"/>
      <c r="I127" s="1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28"/>
    </row>
    <row r="128" spans="1:41" ht="14.4" customHeight="1" outlineLevel="1" x14ac:dyDescent="0.3">
      <c r="D128" s="1" t="s">
        <v>257</v>
      </c>
      <c r="H128" s="26" t="s">
        <v>258</v>
      </c>
      <c r="I128" s="18"/>
      <c r="L128" s="128">
        <f>Input!K84</f>
        <v>9000</v>
      </c>
      <c r="M128" s="128">
        <f>Input!L84</f>
        <v>18000</v>
      </c>
      <c r="N128" s="128">
        <f>Input!M84</f>
        <v>27000</v>
      </c>
      <c r="O128" s="128">
        <f>Input!N84</f>
        <v>36000</v>
      </c>
      <c r="P128" s="128">
        <f>Input!O84</f>
        <v>45000</v>
      </c>
      <c r="Q128" s="128">
        <f>Input!P84</f>
        <v>54000</v>
      </c>
      <c r="R128" s="128">
        <f>Input!Q84</f>
        <v>63000</v>
      </c>
      <c r="S128" s="128">
        <f>Input!R84</f>
        <v>72000</v>
      </c>
      <c r="T128" s="128">
        <f>Input!S84</f>
        <v>81000</v>
      </c>
      <c r="U128" s="128">
        <f>Input!T84</f>
        <v>90000</v>
      </c>
      <c r="V128" s="128">
        <f>Input!U84</f>
        <v>99000</v>
      </c>
      <c r="W128" s="128">
        <f>Input!V84</f>
        <v>108000</v>
      </c>
      <c r="X128" s="128">
        <f>Input!W84</f>
        <v>117000</v>
      </c>
      <c r="Y128" s="128">
        <f>Input!X84</f>
        <v>126000</v>
      </c>
      <c r="Z128" s="128">
        <f>Input!Y84</f>
        <v>135000</v>
      </c>
      <c r="AA128" s="128">
        <f>Input!Z84</f>
        <v>144000</v>
      </c>
      <c r="AB128" s="128">
        <f>Input!AA84</f>
        <v>153000</v>
      </c>
      <c r="AC128" s="128">
        <f>Input!AB84</f>
        <v>162000</v>
      </c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28"/>
    </row>
    <row r="129" spans="1:41" ht="14.4" customHeight="1" outlineLevel="1" x14ac:dyDescent="0.3">
      <c r="D129" s="1" t="s">
        <v>187</v>
      </c>
      <c r="H129" s="26" t="s">
        <v>48</v>
      </c>
      <c r="I129" s="18"/>
      <c r="L129" s="128" t="str">
        <f>Input!K85</f>
        <v>ТР</v>
      </c>
      <c r="M129" s="128" t="str">
        <f>Input!L85</f>
        <v>ТР</v>
      </c>
      <c r="N129" s="128" t="str">
        <f>Input!M85</f>
        <v>ТР</v>
      </c>
      <c r="O129" s="128" t="str">
        <f>Input!N85</f>
        <v>ТР</v>
      </c>
      <c r="P129" s="128" t="str">
        <f>Input!O85</f>
        <v>ТР</v>
      </c>
      <c r="Q129" s="128" t="str">
        <f>Input!P85</f>
        <v>СР</v>
      </c>
      <c r="R129" s="128" t="str">
        <f>Input!Q85</f>
        <v>ТР</v>
      </c>
      <c r="S129" s="128" t="str">
        <f>Input!R85</f>
        <v>КР</v>
      </c>
      <c r="T129" s="128" t="str">
        <f>Input!S85</f>
        <v>ТР</v>
      </c>
      <c r="U129" s="128" t="str">
        <f>Input!T85</f>
        <v>КР</v>
      </c>
      <c r="V129" s="128" t="str">
        <f>Input!U85</f>
        <v>ТР</v>
      </c>
      <c r="W129" s="128" t="str">
        <f>Input!V85</f>
        <v>ТР</v>
      </c>
      <c r="X129" s="128" t="str">
        <f>Input!W85</f>
        <v>ТР</v>
      </c>
      <c r="Y129" s="128" t="str">
        <f>Input!X85</f>
        <v>ТР</v>
      </c>
      <c r="Z129" s="128" t="str">
        <f>Input!Y85</f>
        <v>ТР</v>
      </c>
      <c r="AA129" s="128" t="str">
        <f>Input!Z85</f>
        <v>СР</v>
      </c>
      <c r="AB129" s="128" t="str">
        <f>Input!AA85</f>
        <v>ТР</v>
      </c>
      <c r="AC129" s="128" t="str">
        <f>Input!AB85</f>
        <v>ТР</v>
      </c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28"/>
    </row>
    <row r="130" spans="1:41" ht="14.4" customHeight="1" outlineLevel="1" x14ac:dyDescent="0.3">
      <c r="D130" s="1" t="s">
        <v>277</v>
      </c>
      <c r="H130" s="26" t="s">
        <v>9</v>
      </c>
      <c r="I130" s="131">
        <f>Input!H86</f>
        <v>0.95</v>
      </c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28"/>
    </row>
    <row r="131" spans="1:41" ht="14.4" customHeight="1" outlineLevel="1" x14ac:dyDescent="0.3">
      <c r="D131" s="1" t="s">
        <v>257</v>
      </c>
      <c r="H131" s="26" t="s">
        <v>258</v>
      </c>
      <c r="K131" s="89">
        <v>0</v>
      </c>
      <c r="L131" s="22">
        <f>IF(L9&lt;=YEAR(Input!$H$14),$I$130*L15*L10+K131,0)</f>
        <v>0</v>
      </c>
      <c r="M131" s="22">
        <f>IF(M9&lt;=YEAR(Input!$H$14),$I$130*M15*M10+L131,0)</f>
        <v>0</v>
      </c>
      <c r="N131" s="22">
        <f>IF(N9&lt;=YEAR(Input!$H$14),$I$130*N15*N10+M131,0)</f>
        <v>6935</v>
      </c>
      <c r="O131" s="22">
        <f>IF(O9&lt;=YEAR(Input!$H$14),$I$130*O15*O10+N131,0)</f>
        <v>15257</v>
      </c>
      <c r="P131" s="22">
        <f>IF(P9&lt;=YEAR(Input!$H$14),$I$130*P15*P10+O131,0)</f>
        <v>23601.8</v>
      </c>
      <c r="Q131" s="22">
        <f>IF(Q9&lt;=YEAR(Input!$H$14),$I$130*Q15*Q10+P131,0)</f>
        <v>31923.8</v>
      </c>
      <c r="R131" s="22">
        <f>IF(R9&lt;=YEAR(Input!$H$14),$I$130*R15*R10+Q131,0)</f>
        <v>40245.800000000003</v>
      </c>
      <c r="S131" s="22">
        <f>IF(S9&lt;=YEAR(Input!$H$14),$I$130*S15*S10+R131,0)</f>
        <v>48567.8</v>
      </c>
      <c r="T131" s="22">
        <f>IF(T9&lt;=YEAR(Input!$H$14),$I$130*T15*T10+S131,0)</f>
        <v>56912.600000000006</v>
      </c>
      <c r="U131" s="22">
        <f>IF(U9&lt;=YEAR(Input!$H$14),$I$130*U15*U10+T131,0)</f>
        <v>65234.600000000006</v>
      </c>
      <c r="V131" s="22">
        <f>IF(V9&lt;=YEAR(Input!$H$14),$I$130*V15*V10+U131,0)</f>
        <v>73556.600000000006</v>
      </c>
      <c r="W131" s="22">
        <f>IF(W9&lt;=YEAR(Input!$H$14),$I$130*W15*W10+V131,0)</f>
        <v>81878.600000000006</v>
      </c>
      <c r="X131" s="22">
        <f>IF(X9&lt;=YEAR(Input!$H$14),$I$130*X15*X10+W131,0)</f>
        <v>90223.400000000009</v>
      </c>
      <c r="Y131" s="22">
        <f>IF(Y9&lt;=YEAR(Input!$H$14),$I$130*Y15*Y10+X131,0)</f>
        <v>98545.400000000009</v>
      </c>
      <c r="Z131" s="22">
        <f>IF(Z9&lt;=YEAR(Input!$H$14),$I$130*Z15*Z10+Y131,0)</f>
        <v>106867.40000000001</v>
      </c>
      <c r="AA131" s="22">
        <f>IF(AA9&lt;=YEAR(Input!$H$14),$I$130*AA15*AA10+Z131,0)</f>
        <v>115189.40000000001</v>
      </c>
      <c r="AB131" s="22">
        <f>IF(AB9&lt;=YEAR(Input!$H$14),$I$130*AB15*AB10+AA131,0)</f>
        <v>123534.20000000001</v>
      </c>
      <c r="AC131" s="22">
        <f>IF(AC9&lt;=YEAR(Input!$H$14),$I$130*AC15*AC10+AB131,0)</f>
        <v>124921.20000000001</v>
      </c>
      <c r="AD131" s="22">
        <f>IF(AD9&lt;=YEAR(Input!$H$14),$I$130*AD15*AD10+AC131,0)</f>
        <v>0</v>
      </c>
      <c r="AE131" s="22">
        <f>IF(AE9&lt;=YEAR(Input!$H$14),$I$130*AE15*AE10+AD131,0)</f>
        <v>0</v>
      </c>
      <c r="AF131" s="22">
        <f>IF(AF9&lt;=YEAR(Input!$H$14),$I$130*AF15*AF10+AE131,0)</f>
        <v>0</v>
      </c>
      <c r="AG131" s="22">
        <f>IF(AG9&lt;=YEAR(Input!$H$14),$I$130*AG15*AG10+AF131,0)</f>
        <v>0</v>
      </c>
      <c r="AH131" s="22">
        <f>IF(AH9&lt;=YEAR(Input!$H$14),$I$130*AH15*AH10+AG131,0)</f>
        <v>0</v>
      </c>
      <c r="AI131" s="22">
        <f>IF(AI9&lt;=YEAR(Input!$H$14),$I$130*AI15*AI10+AH131,0)</f>
        <v>0</v>
      </c>
      <c r="AJ131" s="22">
        <f>IF(AJ9&lt;=YEAR(Input!$H$14),$I$130*AJ15*AJ10+AI131,0)</f>
        <v>0</v>
      </c>
      <c r="AK131" s="22">
        <f>IF(AK9&lt;=YEAR(Input!$H$14),$I$130*AK15*AK10+AJ131,0)</f>
        <v>0</v>
      </c>
      <c r="AL131" s="22">
        <f>IF(AL9&lt;=YEAR(Input!$H$14),$I$130*AL15*AL10+AK131,0)</f>
        <v>0</v>
      </c>
      <c r="AM131" s="22">
        <f>IF(AM9&lt;=YEAR(Input!$H$14),$I$130*AM15*AM10+AL131,0)</f>
        <v>0</v>
      </c>
      <c r="AN131" s="22">
        <f>IF(AN9&lt;=YEAR(Input!$H$14),$I$130*AN15*AN10+AM131,0)</f>
        <v>0</v>
      </c>
      <c r="AO131" s="28"/>
    </row>
    <row r="132" spans="1:41" ht="14.4" customHeight="1" outlineLevel="1" x14ac:dyDescent="0.3">
      <c r="H132" s="26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28"/>
    </row>
    <row r="133" spans="1:41" ht="14.4" customHeight="1" outlineLevel="1" x14ac:dyDescent="0.3">
      <c r="B133" s="18" t="str">
        <f>Input!A88</f>
        <v>PPI,  (RUB)</v>
      </c>
      <c r="C133" s="2" t="s">
        <v>260</v>
      </c>
      <c r="H133" s="26"/>
      <c r="I133" s="1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28"/>
    </row>
    <row r="134" spans="1:41" ht="14.4" customHeight="1" outlineLevel="1" x14ac:dyDescent="0.3">
      <c r="D134" s="1" t="s">
        <v>183</v>
      </c>
      <c r="H134" s="26" t="s">
        <v>168</v>
      </c>
      <c r="I134" s="129">
        <f>Input!H89</f>
        <v>2.5</v>
      </c>
      <c r="L134" s="22">
        <f t="shared" ref="L134:AN134" si="63">$I134*INDEX(L$58:L$62,MATCH($B$133,$C$58:$C$62,0))*L24</f>
        <v>0</v>
      </c>
      <c r="M134" s="22">
        <f t="shared" si="63"/>
        <v>0</v>
      </c>
      <c r="N134" s="22">
        <f t="shared" si="63"/>
        <v>0</v>
      </c>
      <c r="O134" s="22">
        <f t="shared" si="63"/>
        <v>2.8121600000000004</v>
      </c>
      <c r="P134" s="22">
        <f t="shared" si="63"/>
        <v>2.9246464000000003</v>
      </c>
      <c r="Q134" s="22">
        <f t="shared" si="63"/>
        <v>3.0416322560000006</v>
      </c>
      <c r="R134" s="22">
        <f t="shared" si="63"/>
        <v>3.1632975462400008</v>
      </c>
      <c r="S134" s="22">
        <f t="shared" si="63"/>
        <v>3.2898294480896011</v>
      </c>
      <c r="T134" s="22">
        <f t="shared" si="63"/>
        <v>0</v>
      </c>
      <c r="U134" s="22">
        <f t="shared" si="63"/>
        <v>3.5582795310537128</v>
      </c>
      <c r="V134" s="22">
        <f t="shared" si="63"/>
        <v>0</v>
      </c>
      <c r="W134" s="22">
        <f t="shared" si="63"/>
        <v>3.848635140787696</v>
      </c>
      <c r="X134" s="22">
        <f t="shared" si="63"/>
        <v>0</v>
      </c>
      <c r="Y134" s="22">
        <f t="shared" si="63"/>
        <v>0</v>
      </c>
      <c r="Z134" s="22">
        <f t="shared" si="63"/>
        <v>4.3291911190070111</v>
      </c>
      <c r="AA134" s="22">
        <f t="shared" si="63"/>
        <v>4.5023587637672922</v>
      </c>
      <c r="AB134" s="22">
        <f t="shared" si="63"/>
        <v>4.6824531143179833</v>
      </c>
      <c r="AC134" s="22">
        <f t="shared" si="63"/>
        <v>0</v>
      </c>
      <c r="AD134" s="22">
        <f t="shared" si="63"/>
        <v>0</v>
      </c>
      <c r="AE134" s="22">
        <f t="shared" si="63"/>
        <v>0</v>
      </c>
      <c r="AF134" s="22">
        <f t="shared" si="63"/>
        <v>0</v>
      </c>
      <c r="AG134" s="22">
        <f t="shared" si="63"/>
        <v>0</v>
      </c>
      <c r="AH134" s="22">
        <f t="shared" si="63"/>
        <v>0</v>
      </c>
      <c r="AI134" s="22">
        <f t="shared" si="63"/>
        <v>0</v>
      </c>
      <c r="AJ134" s="22">
        <f t="shared" si="63"/>
        <v>0</v>
      </c>
      <c r="AK134" s="22">
        <f t="shared" si="63"/>
        <v>0</v>
      </c>
      <c r="AL134" s="22">
        <f t="shared" si="63"/>
        <v>0</v>
      </c>
      <c r="AM134" s="22">
        <f t="shared" si="63"/>
        <v>0</v>
      </c>
      <c r="AN134" s="22">
        <f t="shared" si="63"/>
        <v>0</v>
      </c>
      <c r="AO134" s="28"/>
    </row>
    <row r="135" spans="1:41" ht="14.4" customHeight="1" outlineLevel="1" x14ac:dyDescent="0.3">
      <c r="D135" s="1" t="s">
        <v>184</v>
      </c>
      <c r="H135" s="26" t="s">
        <v>168</v>
      </c>
      <c r="I135" s="129">
        <f>Input!H90</f>
        <v>4</v>
      </c>
      <c r="L135" s="22">
        <f t="shared" ref="L135:AN135" si="64">$I135*INDEX(L$58:L$62,MATCH($B$133,$C$58:$C$62,0))*L25</f>
        <v>0</v>
      </c>
      <c r="M135" s="22">
        <f t="shared" si="64"/>
        <v>0</v>
      </c>
      <c r="N135" s="22">
        <f t="shared" si="64"/>
        <v>0</v>
      </c>
      <c r="O135" s="22">
        <f t="shared" si="64"/>
        <v>0</v>
      </c>
      <c r="P135" s="22">
        <f t="shared" si="64"/>
        <v>0</v>
      </c>
      <c r="Q135" s="22">
        <f t="shared" si="64"/>
        <v>0</v>
      </c>
      <c r="R135" s="22">
        <f t="shared" si="64"/>
        <v>0</v>
      </c>
      <c r="S135" s="22">
        <f t="shared" si="64"/>
        <v>0</v>
      </c>
      <c r="T135" s="22">
        <f t="shared" si="64"/>
        <v>5.4742762016210964</v>
      </c>
      <c r="U135" s="22">
        <f t="shared" si="64"/>
        <v>0</v>
      </c>
      <c r="V135" s="22">
        <f t="shared" si="64"/>
        <v>0</v>
      </c>
      <c r="W135" s="22">
        <f t="shared" si="64"/>
        <v>0</v>
      </c>
      <c r="X135" s="22">
        <f t="shared" si="64"/>
        <v>0</v>
      </c>
      <c r="Y135" s="22">
        <f t="shared" si="64"/>
        <v>0</v>
      </c>
      <c r="Z135" s="22">
        <f t="shared" si="64"/>
        <v>0</v>
      </c>
      <c r="AA135" s="22">
        <f t="shared" si="64"/>
        <v>0</v>
      </c>
      <c r="AB135" s="22">
        <f t="shared" si="64"/>
        <v>0</v>
      </c>
      <c r="AC135" s="22">
        <f t="shared" si="64"/>
        <v>0</v>
      </c>
      <c r="AD135" s="22">
        <f t="shared" si="64"/>
        <v>0</v>
      </c>
      <c r="AE135" s="22">
        <f t="shared" si="64"/>
        <v>0</v>
      </c>
      <c r="AF135" s="22">
        <f t="shared" si="64"/>
        <v>0</v>
      </c>
      <c r="AG135" s="22">
        <f t="shared" si="64"/>
        <v>0</v>
      </c>
      <c r="AH135" s="22">
        <f t="shared" si="64"/>
        <v>0</v>
      </c>
      <c r="AI135" s="22">
        <f t="shared" si="64"/>
        <v>0</v>
      </c>
      <c r="AJ135" s="22">
        <f t="shared" si="64"/>
        <v>0</v>
      </c>
      <c r="AK135" s="22">
        <f t="shared" si="64"/>
        <v>0</v>
      </c>
      <c r="AL135" s="22">
        <f t="shared" si="64"/>
        <v>0</v>
      </c>
      <c r="AM135" s="22">
        <f t="shared" si="64"/>
        <v>0</v>
      </c>
      <c r="AN135" s="22">
        <f t="shared" si="64"/>
        <v>0</v>
      </c>
      <c r="AO135" s="28"/>
    </row>
    <row r="136" spans="1:41" ht="14.4" customHeight="1" outlineLevel="1" x14ac:dyDescent="0.3">
      <c r="D136" s="1" t="s">
        <v>185</v>
      </c>
      <c r="H136" s="26" t="s">
        <v>168</v>
      </c>
      <c r="I136" s="129">
        <f>Input!H91</f>
        <v>15</v>
      </c>
      <c r="L136" s="22">
        <f t="shared" ref="L136:AN136" si="65">$I136*INDEX(L$58:L$62,MATCH($B$133,$C$58:$C$62,0))*L26</f>
        <v>0</v>
      </c>
      <c r="M136" s="22">
        <f t="shared" si="65"/>
        <v>0</v>
      </c>
      <c r="N136" s="22">
        <f t="shared" si="65"/>
        <v>0</v>
      </c>
      <c r="O136" s="22">
        <f t="shared" si="65"/>
        <v>0</v>
      </c>
      <c r="P136" s="22">
        <f t="shared" si="65"/>
        <v>0</v>
      </c>
      <c r="Q136" s="22">
        <f t="shared" si="65"/>
        <v>0</v>
      </c>
      <c r="R136" s="22">
        <f t="shared" si="65"/>
        <v>0</v>
      </c>
      <c r="S136" s="22">
        <f t="shared" si="65"/>
        <v>0</v>
      </c>
      <c r="T136" s="22">
        <f t="shared" si="65"/>
        <v>0</v>
      </c>
      <c r="U136" s="22">
        <f t="shared" si="65"/>
        <v>0</v>
      </c>
      <c r="V136" s="22">
        <f t="shared" si="65"/>
        <v>22.203664273775168</v>
      </c>
      <c r="W136" s="22">
        <f t="shared" si="65"/>
        <v>0</v>
      </c>
      <c r="X136" s="22">
        <f>$I136*INDEX(X$58:X$62,MATCH($B$133,$C$58:$C$62,0))*X26</f>
        <v>24.015483278515227</v>
      </c>
      <c r="Y136" s="22">
        <f t="shared" si="65"/>
        <v>0</v>
      </c>
      <c r="Z136" s="22">
        <f t="shared" si="65"/>
        <v>0</v>
      </c>
      <c r="AA136" s="22">
        <f t="shared" si="65"/>
        <v>0</v>
      </c>
      <c r="AB136" s="22">
        <f t="shared" si="65"/>
        <v>0</v>
      </c>
      <c r="AC136" s="22">
        <f t="shared" si="65"/>
        <v>0</v>
      </c>
      <c r="AD136" s="22">
        <f t="shared" si="65"/>
        <v>0</v>
      </c>
      <c r="AE136" s="22">
        <f t="shared" si="65"/>
        <v>0</v>
      </c>
      <c r="AF136" s="22">
        <f t="shared" si="65"/>
        <v>0</v>
      </c>
      <c r="AG136" s="22">
        <f t="shared" si="65"/>
        <v>0</v>
      </c>
      <c r="AH136" s="22">
        <f t="shared" si="65"/>
        <v>0</v>
      </c>
      <c r="AI136" s="22">
        <f t="shared" si="65"/>
        <v>0</v>
      </c>
      <c r="AJ136" s="22">
        <f t="shared" si="65"/>
        <v>0</v>
      </c>
      <c r="AK136" s="22">
        <f t="shared" si="65"/>
        <v>0</v>
      </c>
      <c r="AL136" s="22">
        <f t="shared" si="65"/>
        <v>0</v>
      </c>
      <c r="AM136" s="22">
        <f t="shared" si="65"/>
        <v>0</v>
      </c>
      <c r="AN136" s="22">
        <f t="shared" si="65"/>
        <v>0</v>
      </c>
      <c r="AO136" s="28"/>
    </row>
    <row r="137" spans="1:41" s="2" customFormat="1" ht="14.4" customHeight="1" outlineLevel="1" x14ac:dyDescent="0.3">
      <c r="A137" s="32"/>
      <c r="B137" s="32"/>
      <c r="C137" s="2" t="s">
        <v>37</v>
      </c>
      <c r="H137" s="30" t="s">
        <v>168</v>
      </c>
      <c r="I137" s="134">
        <f>SUM(L137:AN137)</f>
        <v>87.845907073174786</v>
      </c>
      <c r="L137" s="34">
        <f>SUM(L134:L136)</f>
        <v>0</v>
      </c>
      <c r="M137" s="34">
        <f t="shared" ref="M137:AN137" si="66">SUM(M134:M136)</f>
        <v>0</v>
      </c>
      <c r="N137" s="34">
        <f t="shared" si="66"/>
        <v>0</v>
      </c>
      <c r="O137" s="34">
        <f t="shared" si="66"/>
        <v>2.8121600000000004</v>
      </c>
      <c r="P137" s="34">
        <f t="shared" si="66"/>
        <v>2.9246464000000003</v>
      </c>
      <c r="Q137" s="34">
        <f t="shared" si="66"/>
        <v>3.0416322560000006</v>
      </c>
      <c r="R137" s="34">
        <f t="shared" si="66"/>
        <v>3.1632975462400008</v>
      </c>
      <c r="S137" s="34">
        <f t="shared" si="66"/>
        <v>3.2898294480896011</v>
      </c>
      <c r="T137" s="34">
        <f t="shared" si="66"/>
        <v>5.4742762016210964</v>
      </c>
      <c r="U137" s="34">
        <f t="shared" si="66"/>
        <v>3.5582795310537128</v>
      </c>
      <c r="V137" s="34">
        <f t="shared" si="66"/>
        <v>22.203664273775168</v>
      </c>
      <c r="W137" s="34">
        <f t="shared" si="66"/>
        <v>3.848635140787696</v>
      </c>
      <c r="X137" s="34">
        <f t="shared" si="66"/>
        <v>24.015483278515227</v>
      </c>
      <c r="Y137" s="34">
        <f t="shared" si="66"/>
        <v>0</v>
      </c>
      <c r="Z137" s="34">
        <f t="shared" si="66"/>
        <v>4.3291911190070111</v>
      </c>
      <c r="AA137" s="34">
        <f t="shared" si="66"/>
        <v>4.5023587637672922</v>
      </c>
      <c r="AB137" s="34">
        <f t="shared" si="66"/>
        <v>4.6824531143179833</v>
      </c>
      <c r="AC137" s="34">
        <f t="shared" si="66"/>
        <v>0</v>
      </c>
      <c r="AD137" s="34">
        <f t="shared" si="66"/>
        <v>0</v>
      </c>
      <c r="AE137" s="34">
        <f t="shared" si="66"/>
        <v>0</v>
      </c>
      <c r="AF137" s="34">
        <f t="shared" si="66"/>
        <v>0</v>
      </c>
      <c r="AG137" s="34">
        <f t="shared" si="66"/>
        <v>0</v>
      </c>
      <c r="AH137" s="34">
        <f t="shared" si="66"/>
        <v>0</v>
      </c>
      <c r="AI137" s="34">
        <f t="shared" si="66"/>
        <v>0</v>
      </c>
      <c r="AJ137" s="34">
        <f t="shared" si="66"/>
        <v>0</v>
      </c>
      <c r="AK137" s="34">
        <f t="shared" si="66"/>
        <v>0</v>
      </c>
      <c r="AL137" s="34">
        <f t="shared" si="66"/>
        <v>0</v>
      </c>
      <c r="AM137" s="34">
        <f t="shared" si="66"/>
        <v>0</v>
      </c>
      <c r="AN137" s="34">
        <f t="shared" si="66"/>
        <v>0</v>
      </c>
      <c r="AO137" s="127"/>
    </row>
    <row r="138" spans="1:41" ht="14.4" customHeight="1" outlineLevel="1" x14ac:dyDescent="0.3">
      <c r="C138" s="2"/>
      <c r="D138" s="2"/>
      <c r="E138" s="2"/>
      <c r="F138" s="2"/>
      <c r="G138" s="2"/>
      <c r="H138" s="30"/>
      <c r="I138" s="90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28"/>
    </row>
    <row r="139" spans="1:41" ht="14.4" customHeight="1" outlineLevel="1" x14ac:dyDescent="0.3">
      <c r="C139" s="2" t="s">
        <v>81</v>
      </c>
      <c r="D139" s="2"/>
      <c r="E139" s="2"/>
      <c r="F139" s="2"/>
      <c r="G139" s="2"/>
      <c r="H139" s="30"/>
      <c r="I139" s="90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28"/>
    </row>
    <row r="140" spans="1:41" ht="14.4" customHeight="1" outlineLevel="1" x14ac:dyDescent="0.3">
      <c r="C140" s="2"/>
      <c r="D140" s="2"/>
      <c r="E140" s="2"/>
      <c r="F140" s="2"/>
      <c r="G140" s="2"/>
      <c r="H140" s="30"/>
      <c r="I140" s="90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28"/>
    </row>
    <row r="141" spans="1:41" ht="14.4" customHeight="1" outlineLevel="1" x14ac:dyDescent="0.3">
      <c r="C141" s="1" t="s">
        <v>40</v>
      </c>
      <c r="D141" s="2"/>
      <c r="E141" s="2"/>
      <c r="F141" s="2"/>
      <c r="G141" s="2"/>
      <c r="H141" s="26" t="s">
        <v>245</v>
      </c>
      <c r="I141" s="90"/>
      <c r="L141" s="22">
        <f>K148</f>
        <v>0</v>
      </c>
      <c r="M141" s="22">
        <f t="shared" ref="M141:N141" si="67">L148</f>
        <v>0</v>
      </c>
      <c r="N141" s="22">
        <f t="shared" si="67"/>
        <v>176.06554319237287</v>
      </c>
      <c r="O141" s="22">
        <f t="shared" ref="O141:R141" si="68">N148</f>
        <v>0</v>
      </c>
      <c r="P141" s="22">
        <f t="shared" si="68"/>
        <v>0</v>
      </c>
      <c r="Q141" s="22">
        <f t="shared" si="68"/>
        <v>0</v>
      </c>
      <c r="R141" s="22">
        <f t="shared" si="68"/>
        <v>0</v>
      </c>
      <c r="S141" s="22">
        <f t="shared" ref="S141:AN141" si="69">R148</f>
        <v>0</v>
      </c>
      <c r="T141" s="22">
        <f t="shared" si="69"/>
        <v>1.7763568394002505E-14</v>
      </c>
      <c r="U141" s="22">
        <f t="shared" si="69"/>
        <v>1.7763568394002505E-14</v>
      </c>
      <c r="V141" s="22">
        <f t="shared" si="69"/>
        <v>1.7763568394002505E-14</v>
      </c>
      <c r="W141" s="22">
        <f t="shared" si="69"/>
        <v>0</v>
      </c>
      <c r="X141" s="22">
        <f t="shared" si="69"/>
        <v>2.6645352591003757E-14</v>
      </c>
      <c r="Y141" s="22">
        <f t="shared" si="69"/>
        <v>4.9737991503207013E-14</v>
      </c>
      <c r="Z141" s="22">
        <f t="shared" si="69"/>
        <v>4.9737991503207013E-14</v>
      </c>
      <c r="AA141" s="22">
        <f t="shared" si="69"/>
        <v>7.1054273576010019E-14</v>
      </c>
      <c r="AB141" s="22">
        <f t="shared" si="69"/>
        <v>7.1054273576010019E-14</v>
      </c>
      <c r="AC141" s="22">
        <f t="shared" si="69"/>
        <v>7.1054273576010019E-14</v>
      </c>
      <c r="AD141" s="22">
        <f t="shared" si="69"/>
        <v>7.1054273576010019E-14</v>
      </c>
      <c r="AE141" s="22">
        <f t="shared" si="69"/>
        <v>7.1054273576010019E-14</v>
      </c>
      <c r="AF141" s="22">
        <f t="shared" si="69"/>
        <v>7.1054273576010019E-14</v>
      </c>
      <c r="AG141" s="22">
        <f t="shared" si="69"/>
        <v>7.1054273576010019E-14</v>
      </c>
      <c r="AH141" s="22">
        <f t="shared" si="69"/>
        <v>7.1054273576010019E-14</v>
      </c>
      <c r="AI141" s="22">
        <f t="shared" si="69"/>
        <v>7.1054273576010019E-14</v>
      </c>
      <c r="AJ141" s="22">
        <f t="shared" si="69"/>
        <v>7.1054273576010019E-14</v>
      </c>
      <c r="AK141" s="22">
        <f t="shared" si="69"/>
        <v>7.1054273576010019E-14</v>
      </c>
      <c r="AL141" s="22">
        <f t="shared" si="69"/>
        <v>7.1054273576010019E-14</v>
      </c>
      <c r="AM141" s="22">
        <f t="shared" si="69"/>
        <v>7.1054273576010019E-14</v>
      </c>
      <c r="AN141" s="22">
        <f t="shared" si="69"/>
        <v>7.1054273576010019E-14</v>
      </c>
      <c r="AO141" s="28"/>
    </row>
    <row r="142" spans="1:41" ht="14.4" customHeight="1" outlineLevel="1" x14ac:dyDescent="0.3">
      <c r="C142" s="1" t="s">
        <v>41</v>
      </c>
      <c r="D142" s="2"/>
      <c r="E142" s="2"/>
      <c r="F142" s="2"/>
      <c r="G142" s="2"/>
      <c r="H142" s="26" t="s">
        <v>245</v>
      </c>
      <c r="I142" s="90"/>
      <c r="L142" s="22">
        <f t="shared" ref="L142:AN142" si="70">L105+L124+L136+L114</f>
        <v>0</v>
      </c>
      <c r="M142" s="22">
        <f>M105+M124+M136+M114</f>
        <v>176.06554319237287</v>
      </c>
      <c r="N142" s="22">
        <f t="shared" si="70"/>
        <v>87.508371192711863</v>
      </c>
      <c r="O142" s="22">
        <f t="shared" si="70"/>
        <v>0</v>
      </c>
      <c r="P142" s="22">
        <f t="shared" si="70"/>
        <v>0</v>
      </c>
      <c r="Q142" s="22">
        <f t="shared" si="70"/>
        <v>0</v>
      </c>
      <c r="R142" s="22">
        <f t="shared" si="70"/>
        <v>0</v>
      </c>
      <c r="S142" s="22">
        <f t="shared" si="70"/>
        <v>4.4741680494018574</v>
      </c>
      <c r="T142" s="22">
        <f t="shared" si="70"/>
        <v>0</v>
      </c>
      <c r="U142" s="22">
        <f t="shared" si="70"/>
        <v>0</v>
      </c>
      <c r="V142" s="22">
        <f t="shared" si="70"/>
        <v>22.203664273775168</v>
      </c>
      <c r="W142" s="22">
        <f t="shared" si="70"/>
        <v>5.2341437914712667</v>
      </c>
      <c r="X142" s="22">
        <f t="shared" si="70"/>
        <v>24.015483278515227</v>
      </c>
      <c r="Y142" s="22">
        <f t="shared" si="70"/>
        <v>0</v>
      </c>
      <c r="Z142" s="22">
        <f t="shared" si="70"/>
        <v>35.32619953109721</v>
      </c>
      <c r="AA142" s="22">
        <f t="shared" si="70"/>
        <v>0</v>
      </c>
      <c r="AB142" s="22">
        <f t="shared" si="70"/>
        <v>0</v>
      </c>
      <c r="AC142" s="22">
        <f t="shared" si="70"/>
        <v>0</v>
      </c>
      <c r="AD142" s="22">
        <f t="shared" si="70"/>
        <v>0</v>
      </c>
      <c r="AE142" s="22">
        <f t="shared" si="70"/>
        <v>0</v>
      </c>
      <c r="AF142" s="22">
        <f t="shared" si="70"/>
        <v>0</v>
      </c>
      <c r="AG142" s="22">
        <f t="shared" si="70"/>
        <v>0</v>
      </c>
      <c r="AH142" s="22">
        <f t="shared" si="70"/>
        <v>0</v>
      </c>
      <c r="AI142" s="22">
        <f t="shared" si="70"/>
        <v>0</v>
      </c>
      <c r="AJ142" s="22">
        <f t="shared" si="70"/>
        <v>0</v>
      </c>
      <c r="AK142" s="22">
        <f t="shared" si="70"/>
        <v>0</v>
      </c>
      <c r="AL142" s="22">
        <f t="shared" si="70"/>
        <v>0</v>
      </c>
      <c r="AM142" s="22">
        <f t="shared" si="70"/>
        <v>0</v>
      </c>
      <c r="AN142" s="22">
        <f t="shared" si="70"/>
        <v>0</v>
      </c>
      <c r="AO142" s="28"/>
    </row>
    <row r="143" spans="1:41" ht="14.4" customHeight="1" outlineLevel="1" x14ac:dyDescent="0.3">
      <c r="C143" s="1" t="s">
        <v>42</v>
      </c>
      <c r="H143" s="26" t="s">
        <v>245</v>
      </c>
      <c r="I143" s="36"/>
      <c r="K143" s="89">
        <v>0</v>
      </c>
      <c r="L143" s="22">
        <f>IF(L9&gt;=YEAR(Input!$H$12),SUM(Расчеты!$L$142:L142)-SUM($K$143:K143),0)</f>
        <v>0</v>
      </c>
      <c r="M143" s="22">
        <f>IF(M9&gt;=YEAR(Input!$H$12),SUM(Расчеты!$L$142:M142)-SUM($K$143:L143),0)</f>
        <v>0</v>
      </c>
      <c r="N143" s="22">
        <f>IF(N9&gt;=YEAR(Input!$H$12),SUM(Расчеты!$L$142:N142)-SUM($K$143:M143),0)</f>
        <v>263.57391438508472</v>
      </c>
      <c r="O143" s="22">
        <f>IF(O9&gt;=YEAR(Input!$H$12),SUM(Расчеты!$L$142:O142)-SUM($K$143:N143),0)</f>
        <v>0</v>
      </c>
      <c r="P143" s="22">
        <f>IF(P9&gt;=YEAR(Input!$H$12),SUM(Расчеты!$L$142:P142)-SUM($K$143:O143),0)</f>
        <v>0</v>
      </c>
      <c r="Q143" s="22">
        <f>IF(Q9&gt;=YEAR(Input!$H$12),SUM(Расчеты!$L$142:Q142)-SUM($K$143:P143),0)</f>
        <v>0</v>
      </c>
      <c r="R143" s="22">
        <f>IF(R9&gt;=YEAR(Input!$H$12),SUM(Расчеты!$L$142:R142)-SUM($K$143:Q143),0)</f>
        <v>0</v>
      </c>
      <c r="S143" s="22">
        <f>IF(S9&gt;=YEAR(Input!$H$12),SUM(Расчеты!$L$142:S142)-SUM($K$143:R143),0)</f>
        <v>4.4741680494018397</v>
      </c>
      <c r="T143" s="22">
        <f>IF(T9&gt;=YEAR(Input!$H$12),SUM(Расчеты!$L$142:T142)-SUM($K$143:S143),0)</f>
        <v>0</v>
      </c>
      <c r="U143" s="22">
        <f>IF(U9&gt;=YEAR(Input!$H$12),SUM(Расчеты!$L$142:U142)-SUM($K$143:T143),0)</f>
        <v>0</v>
      </c>
      <c r="V143" s="22">
        <f>IF(V9&gt;=YEAR(Input!$H$12),SUM(Расчеты!$L$142:V142)-SUM($K$143:U143),0)</f>
        <v>22.203664273775189</v>
      </c>
      <c r="W143" s="22">
        <f>IF(W9&gt;=YEAR(Input!$H$12),SUM(Расчеты!$L$142:W142)-SUM($K$143:V143),0)</f>
        <v>5.2341437914712401</v>
      </c>
      <c r="X143" s="22">
        <f>IF(X9&gt;=YEAR(Input!$H$12),SUM(Расчеты!$L$142:X142)-SUM($K$143:W143),0)</f>
        <v>24.015483278515205</v>
      </c>
      <c r="Y143" s="22">
        <f>IF(Y9&gt;=YEAR(Input!$H$12),SUM(Расчеты!$L$142:Y142)-SUM($K$143:X143),0)</f>
        <v>0</v>
      </c>
      <c r="Z143" s="22">
        <f>IF(Z9&gt;=YEAR(Input!$H$12),SUM(Расчеты!$L$142:Z142)-SUM($K$143:Y143),0)</f>
        <v>35.326199531097188</v>
      </c>
      <c r="AA143" s="22">
        <f>IF(AA9&gt;=YEAR(Input!$H$12),SUM(Расчеты!$L$142:AA142)-SUM($K$143:Z143),0)</f>
        <v>0</v>
      </c>
      <c r="AB143" s="22">
        <f>IF(AB9&gt;=YEAR(Input!$H$12),SUM(Расчеты!$L$142:AB142)-SUM($K$143:AA143),0)</f>
        <v>0</v>
      </c>
      <c r="AC143" s="22">
        <f>IF(AC9&gt;=YEAR(Input!$H$12),SUM(Расчеты!$L$142:AC142)-SUM($K$143:AB143),0)</f>
        <v>0</v>
      </c>
      <c r="AD143" s="22">
        <f>IF(AD9&gt;=YEAR(Input!$H$12),SUM(Расчеты!$L$142:AD142)-SUM($K$143:AC143),0)</f>
        <v>0</v>
      </c>
      <c r="AE143" s="22">
        <f>IF(AE9&gt;=YEAR(Input!$H$12),SUM(Расчеты!$L$142:AE142)-SUM($K$143:AD143),0)</f>
        <v>0</v>
      </c>
      <c r="AF143" s="22">
        <f>IF(AF9&gt;=YEAR(Input!$H$12),SUM(Расчеты!$L$142:AF142)-SUM($K$143:AE143),0)</f>
        <v>0</v>
      </c>
      <c r="AG143" s="22">
        <f>IF(AG9&gt;=YEAR(Input!$H$12),SUM(Расчеты!$L$142:AG142)-SUM($K$143:AF143),0)</f>
        <v>0</v>
      </c>
      <c r="AH143" s="22">
        <f>IF(AH9&gt;=YEAR(Input!$H$12),SUM(Расчеты!$L$142:AH142)-SUM($K$143:AG143),0)</f>
        <v>0</v>
      </c>
      <c r="AI143" s="22">
        <f>IF(AI9&gt;=YEAR(Input!$H$12),SUM(Расчеты!$L$142:AI142)-SUM($K$143:AH143),0)</f>
        <v>0</v>
      </c>
      <c r="AJ143" s="22">
        <f>IF(AJ9&gt;=YEAR(Input!$H$12),SUM(Расчеты!$L$142:AJ142)-SUM($K$143:AI143),0)</f>
        <v>0</v>
      </c>
      <c r="AK143" s="22">
        <f>IF(AK9&gt;=YEAR(Input!$H$12),SUM(Расчеты!$L$142:AK142)-SUM($K$143:AJ143),0)</f>
        <v>0</v>
      </c>
      <c r="AL143" s="22">
        <f>IF(AL9&gt;=YEAR(Input!$H$12),SUM(Расчеты!$L$142:AL142)-SUM($K$143:AK143),0)</f>
        <v>0</v>
      </c>
      <c r="AM143" s="22">
        <f>IF(AM9&gt;=YEAR(Input!$H$12),SUM(Расчеты!$L$142:AM142)-SUM($K$143:AL143),0)</f>
        <v>0</v>
      </c>
      <c r="AN143" s="22">
        <f>IF(AN9&gt;=YEAR(Input!$H$12),SUM(Расчеты!$L$142:AN142)-SUM($K$143:AM143),0)</f>
        <v>0</v>
      </c>
      <c r="AO143" s="28"/>
    </row>
    <row r="144" spans="1:41" ht="14.4" customHeight="1" outlineLevel="1" x14ac:dyDescent="0.3">
      <c r="D144" s="1" t="s">
        <v>171</v>
      </c>
      <c r="E144" s="2"/>
      <c r="F144" s="2"/>
      <c r="G144" s="2"/>
      <c r="H144" s="26" t="s">
        <v>245</v>
      </c>
      <c r="I144" s="22">
        <f>SUM(L144:AN144)</f>
        <v>0</v>
      </c>
      <c r="K144" s="90"/>
      <c r="L144" s="22">
        <f>IF(L9=YEAR(Input!$H$12),$I$101,0)</f>
        <v>0</v>
      </c>
      <c r="M144" s="22">
        <f>IF(M9=YEAR(Input!$H$12),$I$101,0)</f>
        <v>0</v>
      </c>
      <c r="N144" s="22">
        <f>IF(N9=YEAR(Input!$H$12),$I$101,0)</f>
        <v>0</v>
      </c>
      <c r="O144" s="22">
        <f>IF(O9=YEAR(Input!$H$12),$I$101,0)</f>
        <v>0</v>
      </c>
      <c r="P144" s="22">
        <f>IF(P9=YEAR(Input!$H$12),$I$101,0)</f>
        <v>0</v>
      </c>
      <c r="Q144" s="22">
        <f>IF(Q9=YEAR(Input!$H$12),$I$101,0)</f>
        <v>0</v>
      </c>
      <c r="R144" s="22">
        <f>IF(R9=YEAR(Input!$H$12),$I$101,0)</f>
        <v>0</v>
      </c>
      <c r="S144" s="22">
        <f>IF(S9=YEAR(Input!$H$12),$I$101,0)</f>
        <v>0</v>
      </c>
      <c r="T144" s="22">
        <f>IF(T9=YEAR(Input!$H$12),$I$101,0)</f>
        <v>0</v>
      </c>
      <c r="U144" s="22">
        <f>IF(U9=YEAR(Input!$H$12),$I$101,0)</f>
        <v>0</v>
      </c>
      <c r="V144" s="22">
        <f>IF(V9=YEAR(Input!$H$12),$I$101,0)</f>
        <v>0</v>
      </c>
      <c r="W144" s="22">
        <f>IF(W9=YEAR(Input!$H$12),$I$101,0)</f>
        <v>0</v>
      </c>
      <c r="X144" s="22">
        <f>IF(X9=YEAR(Input!$H$12),$I$101,0)</f>
        <v>0</v>
      </c>
      <c r="Y144" s="22">
        <f>IF(Y9=YEAR(Input!$H$12),$I$101,0)</f>
        <v>0</v>
      </c>
      <c r="Z144" s="22">
        <f>IF(Z9=YEAR(Input!$H$12),$I$101,0)</f>
        <v>0</v>
      </c>
      <c r="AA144" s="22">
        <f>IF(AA9=YEAR(Input!$H$12),$I$101,0)</f>
        <v>0</v>
      </c>
      <c r="AB144" s="22">
        <f>IF(AB9=YEAR(Input!$H$12),$I$101,0)</f>
        <v>0</v>
      </c>
      <c r="AC144" s="22">
        <f>IF(AC9=YEAR(Input!$H$12),$I$101,0)</f>
        <v>0</v>
      </c>
      <c r="AD144" s="22">
        <f>IF(AD9=YEAR(Input!$H$12),$I$101,0)</f>
        <v>0</v>
      </c>
      <c r="AE144" s="22">
        <f>IF(AE9=YEAR(Input!$H$12),$I$101,0)</f>
        <v>0</v>
      </c>
      <c r="AF144" s="22">
        <f>IF(AF9=YEAR(Input!$H$12),$I$101,0)</f>
        <v>0</v>
      </c>
      <c r="AG144" s="22">
        <f>IF(AG9=YEAR(Input!$H$12),$I$101,0)</f>
        <v>0</v>
      </c>
      <c r="AH144" s="22">
        <f>IF(AH9=YEAR(Input!$H$12),$I$101,0)</f>
        <v>0</v>
      </c>
      <c r="AI144" s="22">
        <f>IF(AI9=YEAR(Input!$H$12),$I$101,0)</f>
        <v>0</v>
      </c>
      <c r="AJ144" s="22">
        <f>IF(AJ9=YEAR(Input!$H$12),$I$101,0)</f>
        <v>0</v>
      </c>
      <c r="AK144" s="22">
        <f>IF(AK9=YEAR(Input!$H$12),$I$101,0)</f>
        <v>0</v>
      </c>
      <c r="AL144" s="22">
        <f>IF(AL9=YEAR(Input!$H$12),$I$101,0)</f>
        <v>0</v>
      </c>
      <c r="AM144" s="22">
        <f>IF(AM9=YEAR(Input!$H$12),$I$101,0)</f>
        <v>0</v>
      </c>
      <c r="AN144" s="22">
        <f>IF(AN9=YEAR(Input!$H$12),$I$101,0)</f>
        <v>0</v>
      </c>
      <c r="AO144" s="28"/>
    </row>
    <row r="145" spans="1:41" ht="14.4" customHeight="1" outlineLevel="1" x14ac:dyDescent="0.3">
      <c r="D145" s="1" t="s">
        <v>172</v>
      </c>
      <c r="E145" s="2"/>
      <c r="F145" s="2"/>
      <c r="G145" s="2"/>
      <c r="H145" s="26" t="s">
        <v>245</v>
      </c>
      <c r="I145" s="22">
        <f t="shared" ref="I145:I147" si="71">SUM(L145:AN145)</f>
        <v>52.597545927864417</v>
      </c>
      <c r="L145" s="22">
        <f>IF(L9=YEAR(Input!$H$12),$I$102,0)</f>
        <v>0</v>
      </c>
      <c r="M145" s="22">
        <f>IF(M9=YEAR(Input!$H$12),$I$102,0)</f>
        <v>0</v>
      </c>
      <c r="N145" s="22">
        <f>IF(N9=YEAR(Input!$H$12),$I$102,0)</f>
        <v>52.597545927864417</v>
      </c>
      <c r="O145" s="22">
        <f>IF(O9=YEAR(Input!$H$12),$I$102,0)</f>
        <v>0</v>
      </c>
      <c r="P145" s="22">
        <f>IF(P9=YEAR(Input!$H$12),$I$102,0)</f>
        <v>0</v>
      </c>
      <c r="Q145" s="22">
        <f>IF(Q9=YEAR(Input!$H$12),$I$102,0)</f>
        <v>0</v>
      </c>
      <c r="R145" s="22">
        <f>IF(R9=YEAR(Input!$H$12),$I$102,0)</f>
        <v>0</v>
      </c>
      <c r="S145" s="22">
        <f>IF(S9=YEAR(Input!$H$12),$I$102,0)</f>
        <v>0</v>
      </c>
      <c r="T145" s="22">
        <f>IF(T9=YEAR(Input!$H$12),$I$102,0)</f>
        <v>0</v>
      </c>
      <c r="U145" s="22">
        <f>IF(U9=YEAR(Input!$H$12),$I$102,0)</f>
        <v>0</v>
      </c>
      <c r="V145" s="22">
        <f>IF(V9=YEAR(Input!$H$12),$I$102,0)</f>
        <v>0</v>
      </c>
      <c r="W145" s="22">
        <f>IF(W9=YEAR(Input!$H$12),$I$102,0)</f>
        <v>0</v>
      </c>
      <c r="X145" s="22">
        <f>IF(X9=YEAR(Input!$H$12),$I$102,0)</f>
        <v>0</v>
      </c>
      <c r="Y145" s="22">
        <f>IF(Y9=YEAR(Input!$H$12),$I$102,0)</f>
        <v>0</v>
      </c>
      <c r="Z145" s="22">
        <f>IF(Z9=YEAR(Input!$H$12),$I$102,0)</f>
        <v>0</v>
      </c>
      <c r="AA145" s="22">
        <f>IF(AA9=YEAR(Input!$H$12),$I$102,0)</f>
        <v>0</v>
      </c>
      <c r="AB145" s="22">
        <f>IF(AB9=YEAR(Input!$H$12),$I$102,0)</f>
        <v>0</v>
      </c>
      <c r="AC145" s="22">
        <f>IF(AC9=YEAR(Input!$H$12),$I$102,0)</f>
        <v>0</v>
      </c>
      <c r="AD145" s="22">
        <f>IF(AD9=YEAR(Input!$H$12),$I$102,0)</f>
        <v>0</v>
      </c>
      <c r="AE145" s="22">
        <f>IF(AE9=YEAR(Input!$H$12),$I$102,0)</f>
        <v>0</v>
      </c>
      <c r="AF145" s="22">
        <f>IF(AF9=YEAR(Input!$H$12),$I$102,0)</f>
        <v>0</v>
      </c>
      <c r="AG145" s="22">
        <f>IF(AG9=YEAR(Input!$H$12),$I$102,0)</f>
        <v>0</v>
      </c>
      <c r="AH145" s="22">
        <f>IF(AH9=YEAR(Input!$H$12),$I$102,0)</f>
        <v>0</v>
      </c>
      <c r="AI145" s="22">
        <f>IF(AI9=YEAR(Input!$H$12),$I$102,0)</f>
        <v>0</v>
      </c>
      <c r="AJ145" s="22">
        <f>IF(AJ9=YEAR(Input!$H$12),$I$102,0)</f>
        <v>0</v>
      </c>
      <c r="AK145" s="22">
        <f>IF(AK9=YEAR(Input!$H$12),$I$102,0)</f>
        <v>0</v>
      </c>
      <c r="AL145" s="22">
        <f>IF(AL9=YEAR(Input!$H$12),$I$102,0)</f>
        <v>0</v>
      </c>
      <c r="AM145" s="22">
        <f>IF(AM9=YEAR(Input!$H$12),$I$102,0)</f>
        <v>0</v>
      </c>
      <c r="AN145" s="22">
        <f>IF(AN9=YEAR(Input!$H$12),$I$102,0)</f>
        <v>0</v>
      </c>
      <c r="AO145" s="28"/>
    </row>
    <row r="146" spans="1:41" ht="14.4" customHeight="1" outlineLevel="1" x14ac:dyDescent="0.3">
      <c r="D146" s="1" t="s">
        <v>173</v>
      </c>
      <c r="E146" s="2"/>
      <c r="F146" s="2"/>
      <c r="G146" s="2"/>
      <c r="H146" s="26" t="s">
        <v>245</v>
      </c>
      <c r="I146" s="22">
        <f t="shared" si="71"/>
        <v>184.60432240006776</v>
      </c>
      <c r="L146" s="22">
        <f>IF(L9=YEAR(Input!$H$12),$I$103,0)</f>
        <v>0</v>
      </c>
      <c r="M146" s="22">
        <f>IF(M9=YEAR(Input!$H$12),$I$103,0)</f>
        <v>0</v>
      </c>
      <c r="N146" s="22">
        <f>IF(N9=YEAR(Input!$H$12),$I$103,0)</f>
        <v>184.60432240006776</v>
      </c>
      <c r="O146" s="22">
        <f>IF(O9=YEAR(Input!$H$12),$I$103,0)</f>
        <v>0</v>
      </c>
      <c r="P146" s="22">
        <f>IF(P9=YEAR(Input!$H$12),$I$103,0)</f>
        <v>0</v>
      </c>
      <c r="Q146" s="22">
        <f>IF(Q9=YEAR(Input!$H$12),$I$103,0)</f>
        <v>0</v>
      </c>
      <c r="R146" s="22">
        <f>IF(R9=YEAR(Input!$H$12),$I$103,0)</f>
        <v>0</v>
      </c>
      <c r="S146" s="22">
        <f>IF(S9=YEAR(Input!$H$12),$I$103,0)</f>
        <v>0</v>
      </c>
      <c r="T146" s="22">
        <f>IF(T9=YEAR(Input!$H$12),$I$103,0)</f>
        <v>0</v>
      </c>
      <c r="U146" s="22">
        <f>IF(U9=YEAR(Input!$H$12),$I$103,0)</f>
        <v>0</v>
      </c>
      <c r="V146" s="22">
        <f>IF(V9=YEAR(Input!$H$12),$I$103,0)</f>
        <v>0</v>
      </c>
      <c r="W146" s="22">
        <f>IF(W9=YEAR(Input!$H$12),$I$103,0)</f>
        <v>0</v>
      </c>
      <c r="X146" s="22">
        <f>IF(X9=YEAR(Input!$H$12),$I$103,0)</f>
        <v>0</v>
      </c>
      <c r="Y146" s="22">
        <f>IF(Y9=YEAR(Input!$H$12),$I$103,0)</f>
        <v>0</v>
      </c>
      <c r="Z146" s="22">
        <f>IF(Z9=YEAR(Input!$H$12),$I$103,0)</f>
        <v>0</v>
      </c>
      <c r="AA146" s="22">
        <f>IF(AA9=YEAR(Input!$H$12),$I$103,0)</f>
        <v>0</v>
      </c>
      <c r="AB146" s="22">
        <f>IF(AB9=YEAR(Input!$H$12),$I$103,0)</f>
        <v>0</v>
      </c>
      <c r="AC146" s="22">
        <f>IF(AC9=YEAR(Input!$H$12),$I$103,0)</f>
        <v>0</v>
      </c>
      <c r="AD146" s="22">
        <f>IF(AD9=YEAR(Input!$H$12),$I$103,0)</f>
        <v>0</v>
      </c>
      <c r="AE146" s="22">
        <f>IF(AE9=YEAR(Input!$H$12),$I$103,0)</f>
        <v>0</v>
      </c>
      <c r="AF146" s="22">
        <f>IF(AF9=YEAR(Input!$H$12),$I$103,0)</f>
        <v>0</v>
      </c>
      <c r="AG146" s="22">
        <f>IF(AG9=YEAR(Input!$H$12),$I$103,0)</f>
        <v>0</v>
      </c>
      <c r="AH146" s="22">
        <f>IF(AH9=YEAR(Input!$H$12),$I$103,0)</f>
        <v>0</v>
      </c>
      <c r="AI146" s="22">
        <f>IF(AI9=YEAR(Input!$H$12),$I$103,0)</f>
        <v>0</v>
      </c>
      <c r="AJ146" s="22">
        <f>IF(AJ9=YEAR(Input!$H$12),$I$103,0)</f>
        <v>0</v>
      </c>
      <c r="AK146" s="22">
        <f>IF(AK9=YEAR(Input!$H$12),$I$103,0)</f>
        <v>0</v>
      </c>
      <c r="AL146" s="22">
        <f>IF(AL9=YEAR(Input!$H$12),$I$103,0)</f>
        <v>0</v>
      </c>
      <c r="AM146" s="22">
        <f>IF(AM9=YEAR(Input!$H$12),$I$103,0)</f>
        <v>0</v>
      </c>
      <c r="AN146" s="22">
        <f>IF(AN9=YEAR(Input!$H$12),$I$103,0)</f>
        <v>0</v>
      </c>
      <c r="AO146" s="28"/>
    </row>
    <row r="147" spans="1:41" ht="14.4" customHeight="1" outlineLevel="1" x14ac:dyDescent="0.3">
      <c r="D147" s="1" t="s">
        <v>174</v>
      </c>
      <c r="E147" s="2"/>
      <c r="F147" s="2"/>
      <c r="G147" s="2"/>
      <c r="H147" s="26" t="s">
        <v>245</v>
      </c>
      <c r="I147" s="22">
        <f t="shared" si="71"/>
        <v>26.372046057152541</v>
      </c>
      <c r="L147" s="22">
        <f>IF(L9=YEAR(Input!$H$12),$I$104,0)</f>
        <v>0</v>
      </c>
      <c r="M147" s="22">
        <f>IF(M9=YEAR(Input!$H$12),$I$104,0)</f>
        <v>0</v>
      </c>
      <c r="N147" s="22">
        <f>IF(N9=YEAR(Input!$H$12),$I$104,0)</f>
        <v>26.372046057152541</v>
      </c>
      <c r="O147" s="22">
        <f>IF(O9=YEAR(Input!$H$12),$I$104,0)</f>
        <v>0</v>
      </c>
      <c r="P147" s="22">
        <f>IF(P9=YEAR(Input!$H$12),$I$104,0)</f>
        <v>0</v>
      </c>
      <c r="Q147" s="22">
        <f>IF(Q9=YEAR(Input!$H$12),$I$104,0)</f>
        <v>0</v>
      </c>
      <c r="R147" s="22">
        <f>IF(R9=YEAR(Input!$H$12),$I$104,0)</f>
        <v>0</v>
      </c>
      <c r="S147" s="22">
        <f>IF(S9=YEAR(Input!$H$12),$I$104,0)</f>
        <v>0</v>
      </c>
      <c r="T147" s="22">
        <f>IF(T9=YEAR(Input!$H$12),$I$104,0)</f>
        <v>0</v>
      </c>
      <c r="U147" s="22">
        <f>IF(U9=YEAR(Input!$H$12),$I$104,0)</f>
        <v>0</v>
      </c>
      <c r="V147" s="22">
        <f>IF(V9=YEAR(Input!$H$12),$I$104,0)</f>
        <v>0</v>
      </c>
      <c r="W147" s="22">
        <f>IF(W9=YEAR(Input!$H$12),$I$104,0)</f>
        <v>0</v>
      </c>
      <c r="X147" s="22">
        <f>IF(X9=YEAR(Input!$H$12),$I$104,0)</f>
        <v>0</v>
      </c>
      <c r="Y147" s="22">
        <f>IF(Y9=YEAR(Input!$H$12),$I$104,0)</f>
        <v>0</v>
      </c>
      <c r="Z147" s="22">
        <f>IF(Z9=YEAR(Input!$H$12),$I$104,0)</f>
        <v>0</v>
      </c>
      <c r="AA147" s="22">
        <f>IF(AA9=YEAR(Input!$H$12),$I$104,0)</f>
        <v>0</v>
      </c>
      <c r="AB147" s="22">
        <f>IF(AB9=YEAR(Input!$H$12),$I$104,0)</f>
        <v>0</v>
      </c>
      <c r="AC147" s="22">
        <f>IF(AC9=YEAR(Input!$H$12),$I$104,0)</f>
        <v>0</v>
      </c>
      <c r="AD147" s="22">
        <f>IF(AD9=YEAR(Input!$H$12),$I$104,0)</f>
        <v>0</v>
      </c>
      <c r="AE147" s="22">
        <f>IF(AE9=YEAR(Input!$H$12),$I$104,0)</f>
        <v>0</v>
      </c>
      <c r="AF147" s="22">
        <f>IF(AF9=YEAR(Input!$H$12),$I$104,0)</f>
        <v>0</v>
      </c>
      <c r="AG147" s="22">
        <f>IF(AG9=YEAR(Input!$H$12),$I$104,0)</f>
        <v>0</v>
      </c>
      <c r="AH147" s="22">
        <f>IF(AH9=YEAR(Input!$H$12),$I$104,0)</f>
        <v>0</v>
      </c>
      <c r="AI147" s="22">
        <f>IF(AI9=YEAR(Input!$H$12),$I$104,0)</f>
        <v>0</v>
      </c>
      <c r="AJ147" s="22">
        <f>IF(AJ9=YEAR(Input!$H$12),$I$104,0)</f>
        <v>0</v>
      </c>
      <c r="AK147" s="22">
        <f>IF(AK9=YEAR(Input!$H$12),$I$104,0)</f>
        <v>0</v>
      </c>
      <c r="AL147" s="22">
        <f>IF(AL9=YEAR(Input!$H$12),$I$104,0)</f>
        <v>0</v>
      </c>
      <c r="AM147" s="22">
        <f>IF(AM9=YEAR(Input!$H$12),$I$104,0)</f>
        <v>0</v>
      </c>
      <c r="AN147" s="22">
        <f>IF(AN9=YEAR(Input!$H$12),$I$104,0)</f>
        <v>0</v>
      </c>
      <c r="AO147" s="28"/>
    </row>
    <row r="148" spans="1:41" ht="14.4" customHeight="1" outlineLevel="1" x14ac:dyDescent="0.3">
      <c r="C148" s="1" t="s">
        <v>43</v>
      </c>
      <c r="D148" s="2"/>
      <c r="E148" s="2"/>
      <c r="F148" s="2"/>
      <c r="G148" s="2"/>
      <c r="H148" s="26" t="s">
        <v>245</v>
      </c>
      <c r="I148" s="90"/>
      <c r="K148" s="89">
        <v>0</v>
      </c>
      <c r="L148" s="22">
        <f>L141+L142-L143</f>
        <v>0</v>
      </c>
      <c r="M148" s="22">
        <f t="shared" ref="M148:N148" si="72">M141+M142-M143</f>
        <v>176.06554319237287</v>
      </c>
      <c r="N148" s="22">
        <f t="shared" si="72"/>
        <v>0</v>
      </c>
      <c r="O148" s="22">
        <f t="shared" ref="O148" si="73">O141+O142-O143</f>
        <v>0</v>
      </c>
      <c r="P148" s="22">
        <f t="shared" ref="P148" si="74">P141+P142-P143</f>
        <v>0</v>
      </c>
      <c r="Q148" s="22">
        <f t="shared" ref="Q148" si="75">Q141+Q142-Q143</f>
        <v>0</v>
      </c>
      <c r="R148" s="22">
        <f t="shared" ref="R148" si="76">R141+R142-R143</f>
        <v>0</v>
      </c>
      <c r="S148" s="22">
        <f t="shared" ref="S148" si="77">S141+S142-S143</f>
        <v>1.7763568394002505E-14</v>
      </c>
      <c r="T148" s="22">
        <f t="shared" ref="T148" si="78">T141+T142-T143</f>
        <v>1.7763568394002505E-14</v>
      </c>
      <c r="U148" s="22">
        <f t="shared" ref="U148" si="79">U141+U142-U143</f>
        <v>1.7763568394002505E-14</v>
      </c>
      <c r="V148" s="22">
        <f t="shared" ref="V148" si="80">V141+V142-V143</f>
        <v>0</v>
      </c>
      <c r="W148" s="22">
        <f t="shared" ref="W148" si="81">W141+W142-W143</f>
        <v>2.6645352591003757E-14</v>
      </c>
      <c r="X148" s="22">
        <f t="shared" ref="X148" si="82">X141+X142-X143</f>
        <v>4.9737991503207013E-14</v>
      </c>
      <c r="Y148" s="22">
        <f t="shared" ref="Y148" si="83">Y141+Y142-Y143</f>
        <v>4.9737991503207013E-14</v>
      </c>
      <c r="Z148" s="22">
        <f t="shared" ref="Z148" si="84">Z141+Z142-Z143</f>
        <v>7.1054273576010019E-14</v>
      </c>
      <c r="AA148" s="22">
        <f t="shared" ref="AA148" si="85">AA141+AA142-AA143</f>
        <v>7.1054273576010019E-14</v>
      </c>
      <c r="AB148" s="22">
        <f t="shared" ref="AB148" si="86">AB141+AB142-AB143</f>
        <v>7.1054273576010019E-14</v>
      </c>
      <c r="AC148" s="22">
        <f t="shared" ref="AC148" si="87">AC141+AC142-AC143</f>
        <v>7.1054273576010019E-14</v>
      </c>
      <c r="AD148" s="22">
        <f t="shared" ref="AD148" si="88">AD141+AD142-AD143</f>
        <v>7.1054273576010019E-14</v>
      </c>
      <c r="AE148" s="22">
        <f t="shared" ref="AE148" si="89">AE141+AE142-AE143</f>
        <v>7.1054273576010019E-14</v>
      </c>
      <c r="AF148" s="22">
        <f t="shared" ref="AF148" si="90">AF141+AF142-AF143</f>
        <v>7.1054273576010019E-14</v>
      </c>
      <c r="AG148" s="22">
        <f t="shared" ref="AG148" si="91">AG141+AG142-AG143</f>
        <v>7.1054273576010019E-14</v>
      </c>
      <c r="AH148" s="22">
        <f t="shared" ref="AH148" si="92">AH141+AH142-AH143</f>
        <v>7.1054273576010019E-14</v>
      </c>
      <c r="AI148" s="22">
        <f t="shared" ref="AI148" si="93">AI141+AI142-AI143</f>
        <v>7.1054273576010019E-14</v>
      </c>
      <c r="AJ148" s="22">
        <f t="shared" ref="AJ148" si="94">AJ141+AJ142-AJ143</f>
        <v>7.1054273576010019E-14</v>
      </c>
      <c r="AK148" s="22">
        <f t="shared" ref="AK148" si="95">AK141+AK142-AK143</f>
        <v>7.1054273576010019E-14</v>
      </c>
      <c r="AL148" s="22">
        <f t="shared" ref="AL148" si="96">AL141+AL142-AL143</f>
        <v>7.1054273576010019E-14</v>
      </c>
      <c r="AM148" s="22">
        <f t="shared" ref="AM148" si="97">AM141+AM142-AM143</f>
        <v>7.1054273576010019E-14</v>
      </c>
      <c r="AN148" s="22">
        <f t="shared" ref="AN148" si="98">AN141+AN142-AN143</f>
        <v>7.1054273576010019E-14</v>
      </c>
      <c r="AO148" s="28"/>
    </row>
    <row r="149" spans="1:41" ht="14.4" customHeight="1" outlineLevel="1" x14ac:dyDescent="0.3">
      <c r="D149" s="2"/>
      <c r="E149" s="2"/>
      <c r="F149" s="2"/>
      <c r="G149" s="2"/>
      <c r="H149" s="26"/>
      <c r="I149" s="90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41"/>
      <c r="AJ149" s="141"/>
      <c r="AK149" s="141"/>
      <c r="AL149" s="141"/>
      <c r="AM149" s="141"/>
      <c r="AN149" s="141"/>
      <c r="AO149" s="28"/>
    </row>
    <row r="150" spans="1:41" s="107" customFormat="1" outlineLevel="1" collapsed="1" x14ac:dyDescent="0.3">
      <c r="A150" s="170"/>
      <c r="B150" s="170"/>
      <c r="C150" s="113" t="s">
        <v>300</v>
      </c>
      <c r="D150" s="98"/>
      <c r="E150" s="98"/>
      <c r="F150" s="98"/>
      <c r="G150" s="98"/>
      <c r="H150" s="98"/>
      <c r="I150" s="98"/>
      <c r="J150" s="98"/>
      <c r="K150" s="98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</row>
    <row r="151" spans="1:41" ht="14.4" customHeight="1" outlineLevel="1" x14ac:dyDescent="0.3">
      <c r="AO151" s="28"/>
    </row>
    <row r="152" spans="1:41" ht="14.4" customHeight="1" outlineLevel="1" x14ac:dyDescent="0.3">
      <c r="C152" s="1" t="s">
        <v>301</v>
      </c>
      <c r="H152" s="26" t="s">
        <v>245</v>
      </c>
      <c r="L152" s="20">
        <f t="shared" ref="L152:AN152" si="99">L193+L239+L285+L327+L367+L407</f>
        <v>0</v>
      </c>
      <c r="M152" s="20">
        <f t="shared" si="99"/>
        <v>0</v>
      </c>
      <c r="N152" s="20">
        <f t="shared" si="99"/>
        <v>36.617664927542364</v>
      </c>
      <c r="O152" s="20">
        <f t="shared" si="99"/>
        <v>43.941197913050836</v>
      </c>
      <c r="P152" s="20">
        <f t="shared" si="99"/>
        <v>43.941197913050836</v>
      </c>
      <c r="Q152" s="20">
        <f t="shared" si="99"/>
        <v>43.941197913050836</v>
      </c>
      <c r="R152" s="20">
        <f t="shared" si="99"/>
        <v>43.941197913050836</v>
      </c>
      <c r="S152" s="20">
        <f t="shared" si="99"/>
        <v>14.292352858723376</v>
      </c>
      <c r="T152" s="20">
        <f t="shared" si="99"/>
        <v>8.1388754453877539</v>
      </c>
      <c r="U152" s="20">
        <f t="shared" si="99"/>
        <v>8.1388754453877539</v>
      </c>
      <c r="V152" s="20">
        <f t="shared" si="99"/>
        <v>19.240707582275338</v>
      </c>
      <c r="W152" s="20">
        <f t="shared" si="99"/>
        <v>18.994522868503417</v>
      </c>
      <c r="X152" s="20">
        <f t="shared" si="99"/>
        <v>10.498116882556168</v>
      </c>
      <c r="Y152" s="20">
        <f t="shared" si="99"/>
        <v>10.058582781603626</v>
      </c>
      <c r="Z152" s="20">
        <f t="shared" si="99"/>
        <v>18.181375269201002</v>
      </c>
      <c r="AA152" s="20">
        <f t="shared" si="99"/>
        <v>17.45085379798066</v>
      </c>
      <c r="AB152" s="20">
        <f t="shared" si="99"/>
        <v>17.450853797980656</v>
      </c>
      <c r="AC152" s="20">
        <f t="shared" si="99"/>
        <v>0</v>
      </c>
      <c r="AD152" s="20">
        <f t="shared" si="99"/>
        <v>0</v>
      </c>
      <c r="AE152" s="20">
        <f t="shared" si="99"/>
        <v>0</v>
      </c>
      <c r="AF152" s="20">
        <f t="shared" si="99"/>
        <v>0</v>
      </c>
      <c r="AG152" s="20">
        <f t="shared" si="99"/>
        <v>0</v>
      </c>
      <c r="AH152" s="20">
        <f t="shared" si="99"/>
        <v>0</v>
      </c>
      <c r="AI152" s="20">
        <f t="shared" si="99"/>
        <v>0</v>
      </c>
      <c r="AJ152" s="20">
        <f t="shared" si="99"/>
        <v>0</v>
      </c>
      <c r="AK152" s="20">
        <f t="shared" si="99"/>
        <v>0</v>
      </c>
      <c r="AL152" s="20">
        <f t="shared" si="99"/>
        <v>0</v>
      </c>
      <c r="AM152" s="20">
        <f t="shared" si="99"/>
        <v>0</v>
      </c>
      <c r="AN152" s="20">
        <f t="shared" si="99"/>
        <v>0</v>
      </c>
      <c r="AO152" s="28"/>
    </row>
    <row r="153" spans="1:41" ht="14.4" customHeight="1" outlineLevel="1" x14ac:dyDescent="0.3">
      <c r="C153" s="1" t="s">
        <v>302</v>
      </c>
      <c r="H153" s="26" t="s">
        <v>245</v>
      </c>
      <c r="L153" s="20">
        <f t="shared" ref="L153:AN153" si="100">L197+L243+L289+L327+L367+L407</f>
        <v>0</v>
      </c>
      <c r="M153" s="20">
        <f t="shared" si="100"/>
        <v>0</v>
      </c>
      <c r="N153" s="20">
        <f t="shared" si="100"/>
        <v>31.768258033192083</v>
      </c>
      <c r="O153" s="20">
        <f t="shared" si="100"/>
        <v>38.121909639830498</v>
      </c>
      <c r="P153" s="20">
        <f t="shared" si="100"/>
        <v>38.121909639830498</v>
      </c>
      <c r="Q153" s="20">
        <f t="shared" si="100"/>
        <v>38.121909639830498</v>
      </c>
      <c r="R153" s="20">
        <f t="shared" si="100"/>
        <v>38.121909639830498</v>
      </c>
      <c r="S153" s="20">
        <f t="shared" si="100"/>
        <v>12.546566376757269</v>
      </c>
      <c r="T153" s="20">
        <f t="shared" si="100"/>
        <v>7.2077893216724993</v>
      </c>
      <c r="U153" s="20">
        <f t="shared" si="100"/>
        <v>7.2077893216724993</v>
      </c>
      <c r="V153" s="20">
        <f t="shared" si="100"/>
        <v>18.309621458560084</v>
      </c>
      <c r="W153" s="20">
        <f t="shared" si="100"/>
        <v>18.063436744788163</v>
      </c>
      <c r="X153" s="20">
        <f t="shared" si="100"/>
        <v>9.8579951725019299</v>
      </c>
      <c r="Y153" s="20">
        <f t="shared" si="100"/>
        <v>9.4766539542815913</v>
      </c>
      <c r="Z153" s="20">
        <f t="shared" si="100"/>
        <v>18.084387131313996</v>
      </c>
      <c r="AA153" s="20">
        <f t="shared" si="100"/>
        <v>17.45085379798066</v>
      </c>
      <c r="AB153" s="20">
        <f t="shared" si="100"/>
        <v>17.450853797980656</v>
      </c>
      <c r="AC153" s="20">
        <f t="shared" si="100"/>
        <v>0</v>
      </c>
      <c r="AD153" s="20">
        <f t="shared" si="100"/>
        <v>0</v>
      </c>
      <c r="AE153" s="20">
        <f t="shared" si="100"/>
        <v>0</v>
      </c>
      <c r="AF153" s="20">
        <f t="shared" si="100"/>
        <v>0</v>
      </c>
      <c r="AG153" s="20">
        <f t="shared" si="100"/>
        <v>0</v>
      </c>
      <c r="AH153" s="20">
        <f t="shared" si="100"/>
        <v>0</v>
      </c>
      <c r="AI153" s="20">
        <f t="shared" si="100"/>
        <v>0</v>
      </c>
      <c r="AJ153" s="20">
        <f t="shared" si="100"/>
        <v>0</v>
      </c>
      <c r="AK153" s="20">
        <f t="shared" si="100"/>
        <v>0</v>
      </c>
      <c r="AL153" s="20">
        <f t="shared" si="100"/>
        <v>0</v>
      </c>
      <c r="AM153" s="20">
        <f t="shared" si="100"/>
        <v>0</v>
      </c>
      <c r="AN153" s="20">
        <f t="shared" si="100"/>
        <v>0</v>
      </c>
      <c r="AO153" s="28"/>
    </row>
    <row r="154" spans="1:41" ht="14.4" customHeight="1" outlineLevel="1" x14ac:dyDescent="0.3">
      <c r="C154" s="1" t="s">
        <v>303</v>
      </c>
      <c r="H154" s="26" t="s">
        <v>245</v>
      </c>
      <c r="L154" s="20">
        <f t="shared" ref="L154:AN154" si="101">L195+L241+L287+L329+L369+L409</f>
        <v>0</v>
      </c>
      <c r="M154" s="20">
        <f t="shared" si="101"/>
        <v>0</v>
      </c>
      <c r="N154" s="20">
        <f t="shared" si="101"/>
        <v>226.95624945754233</v>
      </c>
      <c r="O154" s="20">
        <f t="shared" si="101"/>
        <v>183.01505154449151</v>
      </c>
      <c r="P154" s="20">
        <f t="shared" si="101"/>
        <v>139.07385363144067</v>
      </c>
      <c r="Q154" s="20">
        <f t="shared" si="101"/>
        <v>95.132655718389842</v>
      </c>
      <c r="R154" s="20">
        <f t="shared" si="101"/>
        <v>51.191457805339013</v>
      </c>
      <c r="S154" s="20">
        <f t="shared" si="101"/>
        <v>41.373272996017498</v>
      </c>
      <c r="T154" s="20">
        <f t="shared" si="101"/>
        <v>33.234397550629744</v>
      </c>
      <c r="U154" s="20">
        <f t="shared" si="101"/>
        <v>25.095522105241987</v>
      </c>
      <c r="V154" s="20">
        <f t="shared" si="101"/>
        <v>28.05847879674182</v>
      </c>
      <c r="W154" s="20">
        <f t="shared" si="101"/>
        <v>14.298099719709672</v>
      </c>
      <c r="X154" s="20">
        <f t="shared" si="101"/>
        <v>27.815466115668734</v>
      </c>
      <c r="Y154" s="20">
        <f t="shared" si="101"/>
        <v>17.756883334065115</v>
      </c>
      <c r="Z154" s="20">
        <f t="shared" si="101"/>
        <v>34.901707595961327</v>
      </c>
      <c r="AA154" s="20">
        <f t="shared" si="101"/>
        <v>17.450853797980667</v>
      </c>
      <c r="AB154" s="20">
        <f t="shared" si="101"/>
        <v>0</v>
      </c>
      <c r="AC154" s="20">
        <f t="shared" si="101"/>
        <v>0</v>
      </c>
      <c r="AD154" s="20">
        <f t="shared" si="101"/>
        <v>0</v>
      </c>
      <c r="AE154" s="20">
        <f t="shared" si="101"/>
        <v>0</v>
      </c>
      <c r="AF154" s="20">
        <f t="shared" si="101"/>
        <v>0</v>
      </c>
      <c r="AG154" s="20">
        <f t="shared" si="101"/>
        <v>0</v>
      </c>
      <c r="AH154" s="20">
        <f t="shared" si="101"/>
        <v>0</v>
      </c>
      <c r="AI154" s="20">
        <f t="shared" si="101"/>
        <v>0</v>
      </c>
      <c r="AJ154" s="20">
        <f t="shared" si="101"/>
        <v>0</v>
      </c>
      <c r="AK154" s="20">
        <f t="shared" si="101"/>
        <v>0</v>
      </c>
      <c r="AL154" s="20">
        <f t="shared" si="101"/>
        <v>0</v>
      </c>
      <c r="AM154" s="20">
        <f t="shared" si="101"/>
        <v>0</v>
      </c>
      <c r="AN154" s="20">
        <f t="shared" si="101"/>
        <v>0</v>
      </c>
      <c r="AO154" s="28"/>
    </row>
    <row r="155" spans="1:41" ht="14.4" customHeight="1" outlineLevel="1" x14ac:dyDescent="0.3">
      <c r="C155" s="1" t="s">
        <v>305</v>
      </c>
      <c r="H155" s="26" t="s">
        <v>245</v>
      </c>
      <c r="K155" s="87">
        <v>0</v>
      </c>
      <c r="L155" s="20">
        <f t="shared" ref="L155:AN155" si="102">L195+L241+L329+L369</f>
        <v>0</v>
      </c>
      <c r="M155" s="20">
        <f t="shared" si="102"/>
        <v>0</v>
      </c>
      <c r="N155" s="20">
        <f t="shared" si="102"/>
        <v>202.78187390515251</v>
      </c>
      <c r="O155" s="20">
        <f t="shared" si="102"/>
        <v>161.47788059781695</v>
      </c>
      <c r="P155" s="20">
        <f t="shared" si="102"/>
        <v>120.17388729048136</v>
      </c>
      <c r="Q155" s="20">
        <f t="shared" si="102"/>
        <v>78.869893983145772</v>
      </c>
      <c r="R155" s="20">
        <f t="shared" si="102"/>
        <v>37.565900675810198</v>
      </c>
      <c r="S155" s="20">
        <f t="shared" si="102"/>
        <v>30.384920472203937</v>
      </c>
      <c r="T155" s="20">
        <f t="shared" si="102"/>
        <v>24.883249632531438</v>
      </c>
      <c r="U155" s="20">
        <f t="shared" si="102"/>
        <v>19.381578792858935</v>
      </c>
      <c r="V155" s="20">
        <f t="shared" si="102"/>
        <v>13.879907953186439</v>
      </c>
      <c r="W155" s="20">
        <f t="shared" si="102"/>
        <v>13.85856561875713</v>
      </c>
      <c r="X155" s="20">
        <f t="shared" si="102"/>
        <v>8.603079492856553</v>
      </c>
      <c r="Y155" s="20">
        <f t="shared" si="102"/>
        <v>3.3475933669559765</v>
      </c>
      <c r="Z155" s="20">
        <f t="shared" si="102"/>
        <v>25.295514284555232</v>
      </c>
      <c r="AA155" s="20">
        <f t="shared" si="102"/>
        <v>12.647757142277616</v>
      </c>
      <c r="AB155" s="20">
        <f t="shared" si="102"/>
        <v>0</v>
      </c>
      <c r="AC155" s="20">
        <f t="shared" si="102"/>
        <v>0</v>
      </c>
      <c r="AD155" s="20">
        <f t="shared" si="102"/>
        <v>0</v>
      </c>
      <c r="AE155" s="20">
        <f t="shared" si="102"/>
        <v>0</v>
      </c>
      <c r="AF155" s="20">
        <f t="shared" si="102"/>
        <v>0</v>
      </c>
      <c r="AG155" s="20">
        <f t="shared" si="102"/>
        <v>0</v>
      </c>
      <c r="AH155" s="20">
        <f t="shared" si="102"/>
        <v>0</v>
      </c>
      <c r="AI155" s="20">
        <f t="shared" si="102"/>
        <v>0</v>
      </c>
      <c r="AJ155" s="20">
        <f t="shared" si="102"/>
        <v>0</v>
      </c>
      <c r="AK155" s="20">
        <f t="shared" si="102"/>
        <v>0</v>
      </c>
      <c r="AL155" s="20">
        <f t="shared" si="102"/>
        <v>0</v>
      </c>
      <c r="AM155" s="20">
        <f t="shared" si="102"/>
        <v>0</v>
      </c>
      <c r="AN155" s="20">
        <f t="shared" si="102"/>
        <v>0</v>
      </c>
      <c r="AO155" s="28"/>
    </row>
    <row r="156" spans="1:41" ht="14.4" customHeight="1" outlineLevel="1" x14ac:dyDescent="0.3">
      <c r="C156" s="1" t="s">
        <v>306</v>
      </c>
      <c r="H156" s="26" t="s">
        <v>245</v>
      </c>
      <c r="L156" s="20">
        <f t="shared" ref="L156:AN156" si="103">L199+L245+L291+L329+L369+L409</f>
        <v>0</v>
      </c>
      <c r="M156" s="20">
        <f t="shared" si="103"/>
        <v>0</v>
      </c>
      <c r="N156" s="20">
        <f t="shared" si="103"/>
        <v>196.8899267125706</v>
      </c>
      <c r="O156" s="20">
        <f t="shared" si="103"/>
        <v>158.76801707274012</v>
      </c>
      <c r="P156" s="20">
        <f t="shared" si="103"/>
        <v>120.64610743290962</v>
      </c>
      <c r="Q156" s="20">
        <f t="shared" si="103"/>
        <v>82.524197793079111</v>
      </c>
      <c r="R156" s="20">
        <f t="shared" si="103"/>
        <v>44.402288153248612</v>
      </c>
      <c r="S156" s="20">
        <f t="shared" si="103"/>
        <v>36.329889825893204</v>
      </c>
      <c r="T156" s="20">
        <f t="shared" si="103"/>
        <v>29.122100504220704</v>
      </c>
      <c r="U156" s="20">
        <f t="shared" si="103"/>
        <v>21.9143111825482</v>
      </c>
      <c r="V156" s="20">
        <f t="shared" si="103"/>
        <v>25.808353997763291</v>
      </c>
      <c r="W156" s="20">
        <f t="shared" si="103"/>
        <v>12.979061044446395</v>
      </c>
      <c r="X156" s="20">
        <f t="shared" si="103"/>
        <v>27.136549150459697</v>
      </c>
      <c r="Y156" s="20">
        <f t="shared" si="103"/>
        <v>17.659895196178109</v>
      </c>
      <c r="Z156" s="20">
        <f t="shared" si="103"/>
        <v>34.901707595961327</v>
      </c>
      <c r="AA156" s="20">
        <f t="shared" si="103"/>
        <v>17.450853797980667</v>
      </c>
      <c r="AB156" s="20">
        <f t="shared" si="103"/>
        <v>0</v>
      </c>
      <c r="AC156" s="20">
        <f t="shared" si="103"/>
        <v>0</v>
      </c>
      <c r="AD156" s="20">
        <f t="shared" si="103"/>
        <v>0</v>
      </c>
      <c r="AE156" s="20">
        <f t="shared" si="103"/>
        <v>0</v>
      </c>
      <c r="AF156" s="20">
        <f t="shared" si="103"/>
        <v>0</v>
      </c>
      <c r="AG156" s="20">
        <f t="shared" si="103"/>
        <v>0</v>
      </c>
      <c r="AH156" s="20">
        <f t="shared" si="103"/>
        <v>0</v>
      </c>
      <c r="AI156" s="20">
        <f t="shared" si="103"/>
        <v>0</v>
      </c>
      <c r="AJ156" s="20">
        <f t="shared" si="103"/>
        <v>0</v>
      </c>
      <c r="AK156" s="20">
        <f t="shared" si="103"/>
        <v>0</v>
      </c>
      <c r="AL156" s="20">
        <f t="shared" si="103"/>
        <v>0</v>
      </c>
      <c r="AM156" s="20">
        <f t="shared" si="103"/>
        <v>0</v>
      </c>
      <c r="AN156" s="20">
        <f t="shared" si="103"/>
        <v>0</v>
      </c>
      <c r="AO156" s="28"/>
    </row>
    <row r="157" spans="1:41" ht="14.4" customHeight="1" outlineLevel="1" x14ac:dyDescent="0.3">
      <c r="C157" s="1" t="s">
        <v>304</v>
      </c>
      <c r="H157" s="26" t="s">
        <v>245</v>
      </c>
      <c r="K157" s="87">
        <v>0</v>
      </c>
      <c r="L157" s="20">
        <f t="shared" ref="L157:AN157" si="104">L199+L245+L329+L369</f>
        <v>0</v>
      </c>
      <c r="M157" s="20">
        <f t="shared" si="104"/>
        <v>0</v>
      </c>
      <c r="N157" s="20">
        <f t="shared" si="104"/>
        <v>175.91615971045195</v>
      </c>
      <c r="O157" s="20">
        <f t="shared" si="104"/>
        <v>140.0822973799435</v>
      </c>
      <c r="P157" s="20">
        <f t="shared" si="104"/>
        <v>104.24843504943505</v>
      </c>
      <c r="Q157" s="20">
        <f t="shared" si="104"/>
        <v>68.414572718926564</v>
      </c>
      <c r="R157" s="20">
        <f t="shared" si="104"/>
        <v>32.580710388418105</v>
      </c>
      <c r="S157" s="20">
        <f t="shared" si="104"/>
        <v>26.796359370384728</v>
      </c>
      <c r="T157" s="20">
        <f t="shared" si="104"/>
        <v>21.87661735803426</v>
      </c>
      <c r="U157" s="20">
        <f t="shared" si="104"/>
        <v>16.956875345683795</v>
      </c>
      <c r="V157" s="20">
        <f t="shared" si="104"/>
        <v>12.037133333333333</v>
      </c>
      <c r="W157" s="20">
        <f t="shared" si="104"/>
        <v>12.597719826226056</v>
      </c>
      <c r="X157" s="20">
        <f t="shared" si="104"/>
        <v>7.9241625276475132</v>
      </c>
      <c r="Y157" s="20">
        <f t="shared" si="104"/>
        <v>3.2506052290689702</v>
      </c>
      <c r="Z157" s="20">
        <f t="shared" si="104"/>
        <v>25.295514284555232</v>
      </c>
      <c r="AA157" s="20">
        <f t="shared" si="104"/>
        <v>12.647757142277616</v>
      </c>
      <c r="AB157" s="20">
        <f t="shared" si="104"/>
        <v>0</v>
      </c>
      <c r="AC157" s="20">
        <f t="shared" si="104"/>
        <v>0</v>
      </c>
      <c r="AD157" s="20">
        <f t="shared" si="104"/>
        <v>0</v>
      </c>
      <c r="AE157" s="20">
        <f t="shared" si="104"/>
        <v>0</v>
      </c>
      <c r="AF157" s="20">
        <f t="shared" si="104"/>
        <v>0</v>
      </c>
      <c r="AG157" s="20">
        <f t="shared" si="104"/>
        <v>0</v>
      </c>
      <c r="AH157" s="20">
        <f t="shared" si="104"/>
        <v>0</v>
      </c>
      <c r="AI157" s="20">
        <f t="shared" si="104"/>
        <v>0</v>
      </c>
      <c r="AJ157" s="20">
        <f t="shared" si="104"/>
        <v>0</v>
      </c>
      <c r="AK157" s="20">
        <f t="shared" si="104"/>
        <v>0</v>
      </c>
      <c r="AL157" s="20">
        <f t="shared" si="104"/>
        <v>0</v>
      </c>
      <c r="AM157" s="20">
        <f t="shared" si="104"/>
        <v>0</v>
      </c>
      <c r="AN157" s="20">
        <f t="shared" si="104"/>
        <v>0</v>
      </c>
      <c r="AO157" s="28"/>
    </row>
    <row r="158" spans="1:41" ht="14.4" customHeight="1" outlineLevel="1" x14ac:dyDescent="0.3">
      <c r="AO158" s="28"/>
    </row>
    <row r="159" spans="1:41" ht="14.4" customHeight="1" outlineLevel="1" x14ac:dyDescent="0.3">
      <c r="C159" s="2" t="s">
        <v>295</v>
      </c>
      <c r="D159" s="2"/>
      <c r="E159" s="2"/>
      <c r="F159" s="2"/>
      <c r="G159" s="2"/>
      <c r="H159" s="30"/>
      <c r="I159" s="90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28"/>
    </row>
    <row r="160" spans="1:41" ht="14.4" customHeight="1" outlineLevel="1" x14ac:dyDescent="0.3">
      <c r="AO160" s="28"/>
    </row>
    <row r="161" spans="3:41" ht="14.4" customHeight="1" outlineLevel="1" x14ac:dyDescent="0.3">
      <c r="C161" s="1" t="s">
        <v>126</v>
      </c>
      <c r="H161" s="26" t="str">
        <f>Input!G70</f>
        <v>лет</v>
      </c>
      <c r="I161" s="135">
        <f>Input!H70</f>
        <v>12</v>
      </c>
      <c r="AO161" s="28"/>
    </row>
    <row r="162" spans="3:41" ht="14.4" customHeight="1" outlineLevel="1" x14ac:dyDescent="0.3">
      <c r="H162" s="2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28"/>
    </row>
    <row r="163" spans="3:41" ht="14.4" customHeight="1" outlineLevel="1" x14ac:dyDescent="0.3">
      <c r="F163" s="69" cm="1">
        <f t="array" ref="F163:F191">TRANSPOSE(L9:AN9)</f>
        <v>2024</v>
      </c>
      <c r="H163" s="26" t="s">
        <v>245</v>
      </c>
      <c r="I163" s="69" cm="1">
        <f t="array" ref="I163:I191">TRANSPOSE(L145:AN145)</f>
        <v>0</v>
      </c>
      <c r="K163" s="89">
        <v>0</v>
      </c>
      <c r="L163" s="22">
        <f>IF($F163=L$9,$I163/$I$161*L$10,IF($F163&lt;L$9,MIN($I163/$I$161,$I163-SUM($K163:K163)),0))</f>
        <v>0</v>
      </c>
      <c r="M163" s="22">
        <f>IF($F163=M$9,$I163/$I$161*M$10,IF($F163&lt;M$9,MIN($I163/$I$161,$I163-SUM($K163:L163)),0))</f>
        <v>0</v>
      </c>
      <c r="N163" s="22">
        <f>IF($F163=N$9,$I163/$I$161*N$10,IF($F163&lt;N$9,MIN($I163/$I$161,$I163-SUM($K163:M163)),0))</f>
        <v>0</v>
      </c>
      <c r="O163" s="22">
        <f>IF($F163=O$9,$I163/$I$161*O$10,IF($F163&lt;O$9,MIN($I163/$I$161,$I163-SUM($K163:N163)),0))</f>
        <v>0</v>
      </c>
      <c r="P163" s="22">
        <f>IF($F163=P$9,$I163/$I$161*P$10,IF($F163&lt;P$9,MIN($I163/$I$161,$I163-SUM($K163:O163)),0))</f>
        <v>0</v>
      </c>
      <c r="Q163" s="22">
        <f>IF($F163=Q$9,$I163/$I$161*Q$10,IF($F163&lt;Q$9,MIN($I163/$I$161,$I163-SUM($K163:P163)),0))</f>
        <v>0</v>
      </c>
      <c r="R163" s="22">
        <f>IF($F163=R$9,$I163/$I$161*R$10,IF($F163&lt;R$9,MIN($I163/$I$161,$I163-SUM($K163:Q163)),0))</f>
        <v>0</v>
      </c>
      <c r="S163" s="22">
        <f>IF($F163=S$9,$I163/$I$161*S$10,IF($F163&lt;S$9,MIN($I163/$I$161,$I163-SUM($K163:R163)),0))</f>
        <v>0</v>
      </c>
      <c r="T163" s="22">
        <f>IF($F163=T$9,$I163/$I$161*T$10,IF($F163&lt;T$9,MIN($I163/$I$161,$I163-SUM($K163:S163)),0))</f>
        <v>0</v>
      </c>
      <c r="U163" s="22">
        <f>IF($F163=U$9,$I163/$I$161*U$10,IF($F163&lt;U$9,MIN($I163/$I$161,$I163-SUM($K163:T163)),0))</f>
        <v>0</v>
      </c>
      <c r="V163" s="22">
        <f>IF($F163=V$9,$I163/$I$161*V$10,IF($F163&lt;V$9,MIN($I163/$I$161,$I163-SUM($K163:U163)),0))</f>
        <v>0</v>
      </c>
      <c r="W163" s="22">
        <f>IF($F163=W$9,$I163/$I$161*W$10,IF($F163&lt;W$9,MIN($I163/$I$161,$I163-SUM($K163:V163)),0))</f>
        <v>0</v>
      </c>
      <c r="X163" s="22">
        <f>IF($F163=X$9,$I163/$I$161*X$10,IF($F163&lt;X$9,MIN($I163/$I$161,$I163-SUM($K163:W163)),0))</f>
        <v>0</v>
      </c>
      <c r="Y163" s="22">
        <f>IF($F163=Y$9,$I163/$I$161*Y$10,IF($F163&lt;Y$9,MIN($I163/$I$161,$I163-SUM($K163:X163)),0))</f>
        <v>0</v>
      </c>
      <c r="Z163" s="22">
        <f>IF($F163=Z$9,$I163/$I$161*Z$10,IF($F163&lt;Z$9,MIN($I163/$I$161,$I163-SUM($K163:Y163)),0))</f>
        <v>0</v>
      </c>
      <c r="AA163" s="22">
        <f>IF($F163=AA$9,$I163/$I$161*AA$10,IF($F163&lt;AA$9,MIN($I163/$I$161,$I163-SUM($K163:Z163)),0))</f>
        <v>0</v>
      </c>
      <c r="AB163" s="22">
        <f>IF($F163=AB$9,$I163/$I$161*AB$10,IF($F163&lt;AB$9,MIN($I163/$I$161,$I163-SUM($K163:AA163)),0))</f>
        <v>0</v>
      </c>
      <c r="AC163" s="22">
        <f>IF($F163=AC$9,$I163/$I$161*AC$10,IF($F163&lt;AC$9,MIN($I163/$I$161,$I163-SUM($K163:AB163)),0))</f>
        <v>0</v>
      </c>
      <c r="AD163" s="22">
        <f>IF($F163=AD$9,$I163/$I$161*AD$10,IF($F163&lt;AD$9,MIN($I163/$I$161,$I163-SUM($K163:AC163)),0))</f>
        <v>0</v>
      </c>
      <c r="AE163" s="22">
        <f>IF($F163=AE$9,$I163/$I$161*AE$10,IF($F163&lt;AE$9,MIN($I163/$I$161,$I163-SUM($K163:AD163)),0))</f>
        <v>0</v>
      </c>
      <c r="AF163" s="22">
        <f>IF($F163=AF$9,$I163/$I$161*AF$10,IF($F163&lt;AF$9,MIN($I163/$I$161,$I163-SUM($K163:AE163)),0))</f>
        <v>0</v>
      </c>
      <c r="AG163" s="22">
        <f>IF($F163=AG$9,$I163/$I$161*AG$10,IF($F163&lt;AG$9,MIN($I163/$I$161,$I163-SUM($K163:AF163)),0))</f>
        <v>0</v>
      </c>
      <c r="AH163" s="22">
        <f>IF($F163=AH$9,$I163/$I$161*AH$10,IF($F163&lt;AH$9,MIN($I163/$I$161,$I163-SUM($K163:AG163)),0))</f>
        <v>0</v>
      </c>
      <c r="AI163" s="22">
        <f>IF($F163=AI$9,$I163/$I$161*AI$10,IF($F163&lt;AI$9,MIN($I163/$I$161,$I163-SUM($K163:AH163)),0))</f>
        <v>0</v>
      </c>
      <c r="AJ163" s="22">
        <f>IF($F163=AJ$9,$I163/$I$161*AJ$10,IF($F163&lt;AJ$9,MIN($I163/$I$161,$I163-SUM($K163:AI163)),0))</f>
        <v>0</v>
      </c>
      <c r="AK163" s="22">
        <f>IF($F163=AK$9,$I163/$I$161*AK$10,IF($F163&lt;AK$9,MIN($I163/$I$161,$I163-SUM($K163:AJ163)),0))</f>
        <v>0</v>
      </c>
      <c r="AL163" s="22">
        <f>IF($F163=AL$9,$I163/$I$161*AL$10,IF($F163&lt;AL$9,MIN($I163/$I$161,$I163-SUM($K163:AK163)),0))</f>
        <v>0</v>
      </c>
      <c r="AM163" s="22">
        <f>IF($F163=AM$9,$I163/$I$161*AM$10,IF($F163&lt;AM$9,MIN($I163/$I$161,$I163-SUM($K163:AL163)),0))</f>
        <v>0</v>
      </c>
      <c r="AN163" s="22">
        <f>IF($F163=AN$9,$I163/$I$161*AN$10,IF($F163&lt;AN$9,MIN($I163/$I$161,$I163-SUM($K163:AM163)),0))</f>
        <v>0</v>
      </c>
      <c r="AO163" s="28"/>
    </row>
    <row r="164" spans="3:41" ht="14.4" customHeight="1" outlineLevel="1" x14ac:dyDescent="0.3">
      <c r="F164" s="69">
        <v>2025</v>
      </c>
      <c r="H164" s="26" t="s">
        <v>245</v>
      </c>
      <c r="I164" s="69">
        <v>0</v>
      </c>
      <c r="K164" s="89">
        <v>0</v>
      </c>
      <c r="L164" s="22">
        <f>IF($F164=L$9,$I164/$I$161*L$10,IF($F164&lt;L$9,MIN($I164/$I$161,$I164-SUM($K164:K164)),0))</f>
        <v>0</v>
      </c>
      <c r="M164" s="22">
        <f>IF($F164=M$9,$I164/$I$161*M$10,IF($F164&lt;M$9,MIN($I164/$I$161,$I164-SUM($K164:L164)),0))</f>
        <v>0</v>
      </c>
      <c r="N164" s="22">
        <f>IF($F164=N$9,$I164/$I$161*N$10,IF($F164&lt;N$9,MIN($I164/$I$161,$I164-SUM($K164:M164)),0))</f>
        <v>0</v>
      </c>
      <c r="O164" s="22">
        <f>IF($F164=O$9,$I164/$I$161*O$10,IF($F164&lt;O$9,MIN($I164/$I$161,$I164-SUM($K164:N164)),0))</f>
        <v>0</v>
      </c>
      <c r="P164" s="22">
        <f>IF($F164=P$9,$I164/$I$161*P$10,IF($F164&lt;P$9,MIN($I164/$I$161,$I164-SUM($K164:O164)),0))</f>
        <v>0</v>
      </c>
      <c r="Q164" s="22">
        <f>IF($F164=Q$9,$I164/$I$161*Q$10,IF($F164&lt;Q$9,MIN($I164/$I$161,$I164-SUM($K164:P164)),0))</f>
        <v>0</v>
      </c>
      <c r="R164" s="22">
        <f>IF($F164=R$9,$I164/$I$161*R$10,IF($F164&lt;R$9,MIN($I164/$I$161,$I164-SUM($K164:Q164)),0))</f>
        <v>0</v>
      </c>
      <c r="S164" s="22">
        <f>IF($F164=S$9,$I164/$I$161*S$10,IF($F164&lt;S$9,MIN($I164/$I$161,$I164-SUM($K164:R164)),0))</f>
        <v>0</v>
      </c>
      <c r="T164" s="22">
        <f>IF($F164=T$9,$I164/$I$161*T$10,IF($F164&lt;T$9,MIN($I164/$I$161,$I164-SUM($K164:S164)),0))</f>
        <v>0</v>
      </c>
      <c r="U164" s="22">
        <f>IF($F164=U$9,$I164/$I$161*U$10,IF($F164&lt;U$9,MIN($I164/$I$161,$I164-SUM($K164:T164)),0))</f>
        <v>0</v>
      </c>
      <c r="V164" s="22">
        <f>IF($F164=V$9,$I164/$I$161*V$10,IF($F164&lt;V$9,MIN($I164/$I$161,$I164-SUM($K164:U164)),0))</f>
        <v>0</v>
      </c>
      <c r="W164" s="22">
        <f>IF($F164=W$9,$I164/$I$161*W$10,IF($F164&lt;W$9,MIN($I164/$I$161,$I164-SUM($K164:V164)),0))</f>
        <v>0</v>
      </c>
      <c r="X164" s="22">
        <f>IF($F164=X$9,$I164/$I$161*X$10,IF($F164&lt;X$9,MIN($I164/$I$161,$I164-SUM($K164:W164)),0))</f>
        <v>0</v>
      </c>
      <c r="Y164" s="22">
        <f>IF($F164=Y$9,$I164/$I$161*Y$10,IF($F164&lt;Y$9,MIN($I164/$I$161,$I164-SUM($K164:X164)),0))</f>
        <v>0</v>
      </c>
      <c r="Z164" s="22">
        <f>IF($F164=Z$9,$I164/$I$161*Z$10,IF($F164&lt;Z$9,MIN($I164/$I$161,$I164-SUM($K164:Y164)),0))</f>
        <v>0</v>
      </c>
      <c r="AA164" s="22">
        <f>IF($F164=AA$9,$I164/$I$161*AA$10,IF($F164&lt;AA$9,MIN($I164/$I$161,$I164-SUM($K164:Z164)),0))</f>
        <v>0</v>
      </c>
      <c r="AB164" s="22">
        <f>IF($F164=AB$9,$I164/$I$161*AB$10,IF($F164&lt;AB$9,MIN($I164/$I$161,$I164-SUM($K164:AA164)),0))</f>
        <v>0</v>
      </c>
      <c r="AC164" s="22">
        <f>IF($F164=AC$9,$I164/$I$161*AC$10,IF($F164&lt;AC$9,MIN($I164/$I$161,$I164-SUM($K164:AB164)),0))</f>
        <v>0</v>
      </c>
      <c r="AD164" s="22">
        <f>IF($F164=AD$9,$I164/$I$161*AD$10,IF($F164&lt;AD$9,MIN($I164/$I$161,$I164-SUM($K164:AC164)),0))</f>
        <v>0</v>
      </c>
      <c r="AE164" s="22">
        <f>IF($F164=AE$9,$I164/$I$161*AE$10,IF($F164&lt;AE$9,MIN($I164/$I$161,$I164-SUM($K164:AD164)),0))</f>
        <v>0</v>
      </c>
      <c r="AF164" s="22">
        <f>IF($F164=AF$9,$I164/$I$161*AF$10,IF($F164&lt;AF$9,MIN($I164/$I$161,$I164-SUM($K164:AE164)),0))</f>
        <v>0</v>
      </c>
      <c r="AG164" s="22">
        <f>IF($F164=AG$9,$I164/$I$161*AG$10,IF($F164&lt;AG$9,MIN($I164/$I$161,$I164-SUM($K164:AF164)),0))</f>
        <v>0</v>
      </c>
      <c r="AH164" s="22">
        <f>IF($F164=AH$9,$I164/$I$161*AH$10,IF($F164&lt;AH$9,MIN($I164/$I$161,$I164-SUM($K164:AG164)),0))</f>
        <v>0</v>
      </c>
      <c r="AI164" s="22">
        <f>IF($F164=AI$9,$I164/$I$161*AI$10,IF($F164&lt;AI$9,MIN($I164/$I$161,$I164-SUM($K164:AH164)),0))</f>
        <v>0</v>
      </c>
      <c r="AJ164" s="22">
        <f>IF($F164=AJ$9,$I164/$I$161*AJ$10,IF($F164&lt;AJ$9,MIN($I164/$I$161,$I164-SUM($K164:AI164)),0))</f>
        <v>0</v>
      </c>
      <c r="AK164" s="22">
        <f>IF($F164=AK$9,$I164/$I$161*AK$10,IF($F164&lt;AK$9,MIN($I164/$I$161,$I164-SUM($K164:AJ164)),0))</f>
        <v>0</v>
      </c>
      <c r="AL164" s="22">
        <f>IF($F164=AL$9,$I164/$I$161*AL$10,IF($F164&lt;AL$9,MIN($I164/$I$161,$I164-SUM($K164:AK164)),0))</f>
        <v>0</v>
      </c>
      <c r="AM164" s="22">
        <f>IF($F164=AM$9,$I164/$I$161*AM$10,IF($F164&lt;AM$9,MIN($I164/$I$161,$I164-SUM($K164:AL164)),0))</f>
        <v>0</v>
      </c>
      <c r="AN164" s="22">
        <f>IF($F164=AN$9,$I164/$I$161*AN$10,IF($F164&lt;AN$9,MIN($I164/$I$161,$I164-SUM($K164:AM164)),0))</f>
        <v>0</v>
      </c>
      <c r="AO164" s="28"/>
    </row>
    <row r="165" spans="3:41" ht="14.4" customHeight="1" outlineLevel="1" x14ac:dyDescent="0.3">
      <c r="F165" s="69">
        <v>2026</v>
      </c>
      <c r="H165" s="26" t="s">
        <v>245</v>
      </c>
      <c r="I165" s="180">
        <v>52.597545927864417</v>
      </c>
      <c r="J165" s="38"/>
      <c r="K165" s="89">
        <v>0</v>
      </c>
      <c r="L165" s="22">
        <f>IF($F165=L$9,$I165/$I$161*L$10,IF($F165&lt;L$9,MIN($I165/$I$161,$I165-SUM($K165:K165)),0))</f>
        <v>0</v>
      </c>
      <c r="M165" s="22">
        <f>IF($F165=M$9,$I165/$I$161*M$10,IF($F165&lt;M$9,MIN($I165/$I$161,$I165-SUM($K165:L165)),0))</f>
        <v>0</v>
      </c>
      <c r="N165" s="22">
        <f>IF($F165=N$9,$I165/$I$161*N$10,IF($F165&lt;N$9,MIN($I165/$I$161,$I165-SUM($K165:M165)),0))</f>
        <v>3.6526073561016958</v>
      </c>
      <c r="O165" s="22">
        <f>IF($F165=O$9,$I165/$I$161*O$10,IF($F165&lt;O$9,MIN($I165/$I$161,$I165-SUM($K165:N165)),0))</f>
        <v>4.383128827322035</v>
      </c>
      <c r="P165" s="22">
        <f>IF($F165=P$9,$I165/$I$161*P$10,IF($F165&lt;P$9,MIN($I165/$I$161,$I165-SUM($K165:O165)),0))</f>
        <v>4.383128827322035</v>
      </c>
      <c r="Q165" s="22">
        <f>IF($F165=Q$9,$I165/$I$161*Q$10,IF($F165&lt;Q$9,MIN($I165/$I$161,$I165-SUM($K165:P165)),0))</f>
        <v>4.383128827322035</v>
      </c>
      <c r="R165" s="22">
        <f>IF($F165=R$9,$I165/$I$161*R$10,IF($F165&lt;R$9,MIN($I165/$I$161,$I165-SUM($K165:Q165)),0))</f>
        <v>4.383128827322035</v>
      </c>
      <c r="S165" s="22">
        <f>IF($F165=S$9,$I165/$I$161*S$10,IF($F165&lt;S$9,MIN($I165/$I$161,$I165-SUM($K165:R165)),0))</f>
        <v>4.383128827322035</v>
      </c>
      <c r="T165" s="22">
        <f>IF($F165=T$9,$I165/$I$161*T$10,IF($F165&lt;T$9,MIN($I165/$I$161,$I165-SUM($K165:S165)),0))</f>
        <v>4.383128827322035</v>
      </c>
      <c r="U165" s="22">
        <f>IF($F165=U$9,$I165/$I$161*U$10,IF($F165&lt;U$9,MIN($I165/$I$161,$I165-SUM($K165:T165)),0))</f>
        <v>4.383128827322035</v>
      </c>
      <c r="V165" s="22">
        <f>IF($F165=V$9,$I165/$I$161*V$10,IF($F165&lt;V$9,MIN($I165/$I$161,$I165-SUM($K165:U165)),0))</f>
        <v>4.383128827322035</v>
      </c>
      <c r="W165" s="22">
        <f>IF($F165=W$9,$I165/$I$161*W$10,IF($F165&lt;W$9,MIN($I165/$I$161,$I165-SUM($K165:V165)),0))</f>
        <v>4.383128827322035</v>
      </c>
      <c r="X165" s="22">
        <f>IF($F165=X$9,$I165/$I$161*X$10,IF($F165&lt;X$9,MIN($I165/$I$161,$I165-SUM($K165:W165)),0))</f>
        <v>4.383128827322035</v>
      </c>
      <c r="Y165" s="22">
        <f>IF($F165=Y$9,$I165/$I$161*Y$10,IF($F165&lt;Y$9,MIN($I165/$I$161,$I165-SUM($K165:X165)),0))</f>
        <v>4.383128827322035</v>
      </c>
      <c r="Z165" s="22">
        <f>IF($F165=Z$9,$I165/$I$161*Z$10,IF($F165&lt;Z$9,MIN($I165/$I$161,$I165-SUM($K165:Y165)),0))</f>
        <v>0.73052147122034228</v>
      </c>
      <c r="AA165" s="22">
        <f>IF($F165=AA$9,$I165/$I$161*AA$10,IF($F165&lt;AA$9,MIN($I165/$I$161,$I165-SUM($K165:Z165)),0))</f>
        <v>0</v>
      </c>
      <c r="AB165" s="22">
        <f>IF($F165=AB$9,$I165/$I$161*AB$10,IF($F165&lt;AB$9,MIN($I165/$I$161,$I165-SUM($K165:AA165)),0))</f>
        <v>0</v>
      </c>
      <c r="AC165" s="22">
        <f>IF($F165=AC$9,$I165/$I$161*AC$10,IF($F165&lt;AC$9,MIN($I165/$I$161,$I165-SUM($K165:AB165)),0))</f>
        <v>0</v>
      </c>
      <c r="AD165" s="22">
        <f>IF($F165=AD$9,$I165/$I$161*AD$10,IF($F165&lt;AD$9,MIN($I165/$I$161,$I165-SUM($K165:AC165)),0))</f>
        <v>0</v>
      </c>
      <c r="AE165" s="22">
        <f>IF($F165=AE$9,$I165/$I$161*AE$10,IF($F165&lt;AE$9,MIN($I165/$I$161,$I165-SUM($K165:AD165)),0))</f>
        <v>0</v>
      </c>
      <c r="AF165" s="22">
        <f>IF($F165=AF$9,$I165/$I$161*AF$10,IF($F165&lt;AF$9,MIN($I165/$I$161,$I165-SUM($K165:AE165)),0))</f>
        <v>0</v>
      </c>
      <c r="AG165" s="22">
        <f>IF($F165=AG$9,$I165/$I$161*AG$10,IF($F165&lt;AG$9,MIN($I165/$I$161,$I165-SUM($K165:AF165)),0))</f>
        <v>0</v>
      </c>
      <c r="AH165" s="22">
        <f>IF($F165=AH$9,$I165/$I$161*AH$10,IF($F165&lt;AH$9,MIN($I165/$I$161,$I165-SUM($K165:AG165)),0))</f>
        <v>0</v>
      </c>
      <c r="AI165" s="22">
        <f>IF($F165=AI$9,$I165/$I$161*AI$10,IF($F165&lt;AI$9,MIN($I165/$I$161,$I165-SUM($K165:AH165)),0))</f>
        <v>0</v>
      </c>
      <c r="AJ165" s="22">
        <f>IF($F165=AJ$9,$I165/$I$161*AJ$10,IF($F165&lt;AJ$9,MIN($I165/$I$161,$I165-SUM($K165:AI165)),0))</f>
        <v>0</v>
      </c>
      <c r="AK165" s="22">
        <f>IF($F165=AK$9,$I165/$I$161*AK$10,IF($F165&lt;AK$9,MIN($I165/$I$161,$I165-SUM($K165:AJ165)),0))</f>
        <v>0</v>
      </c>
      <c r="AL165" s="22">
        <f>IF($F165=AL$9,$I165/$I$161*AL$10,IF($F165&lt;AL$9,MIN($I165/$I$161,$I165-SUM($K165:AK165)),0))</f>
        <v>0</v>
      </c>
      <c r="AM165" s="22">
        <f>IF($F165=AM$9,$I165/$I$161*AM$10,IF($F165&lt;AM$9,MIN($I165/$I$161,$I165-SUM($K165:AL165)),0))</f>
        <v>0</v>
      </c>
      <c r="AN165" s="22">
        <f>IF($F165=AN$9,$I165/$I$161*AN$10,IF($F165&lt;AN$9,MIN($I165/$I$161,$I165-SUM($K165:AM165)),0))</f>
        <v>0</v>
      </c>
      <c r="AO165" s="28"/>
    </row>
    <row r="166" spans="3:41" ht="14.4" customHeight="1" outlineLevel="1" x14ac:dyDescent="0.3">
      <c r="F166" s="69">
        <v>2027</v>
      </c>
      <c r="H166" s="26" t="s">
        <v>245</v>
      </c>
      <c r="I166" s="69">
        <v>0</v>
      </c>
      <c r="K166" s="89">
        <v>0</v>
      </c>
      <c r="L166" s="22">
        <f>IF($F166=L$9,$I166/$I$161*L$10,IF($F166&lt;L$9,MIN($I166/$I$161,$I166-SUM($K166:K166)),0))</f>
        <v>0</v>
      </c>
      <c r="M166" s="22">
        <f>IF($F166=M$9,$I166/$I$161*M$10,IF($F166&lt;M$9,MIN($I166/$I$161,$I166-SUM($K166:L166)),0))</f>
        <v>0</v>
      </c>
      <c r="N166" s="22">
        <f>IF($F166=N$9,$I166/$I$161*N$10,IF($F166&lt;N$9,MIN($I166/$I$161,$I166-SUM($K166:M166)),0))</f>
        <v>0</v>
      </c>
      <c r="O166" s="22">
        <f>IF($F166=O$9,$I166/$I$161*O$10,IF($F166&lt;O$9,MIN($I166/$I$161,$I166-SUM($K166:N166)),0))</f>
        <v>0</v>
      </c>
      <c r="P166" s="22">
        <f>IF($F166=P$9,$I166/$I$161*P$10,IF($F166&lt;P$9,MIN($I166/$I$161,$I166-SUM($K166:O166)),0))</f>
        <v>0</v>
      </c>
      <c r="Q166" s="22">
        <f>IF($F166=Q$9,$I166/$I$161*Q$10,IF($F166&lt;Q$9,MIN($I166/$I$161,$I166-SUM($K166:P166)),0))</f>
        <v>0</v>
      </c>
      <c r="R166" s="22">
        <f>IF($F166=R$9,$I166/$I$161*R$10,IF($F166&lt;R$9,MIN($I166/$I$161,$I166-SUM($K166:Q166)),0))</f>
        <v>0</v>
      </c>
      <c r="S166" s="22">
        <f>IF($F166=S$9,$I166/$I$161*S$10,IF($F166&lt;S$9,MIN($I166/$I$161,$I166-SUM($K166:R166)),0))</f>
        <v>0</v>
      </c>
      <c r="T166" s="22">
        <f>IF($F166=T$9,$I166/$I$161*T$10,IF($F166&lt;T$9,MIN($I166/$I$161,$I166-SUM($K166:S166)),0))</f>
        <v>0</v>
      </c>
      <c r="U166" s="22">
        <f>IF($F166=U$9,$I166/$I$161*U$10,IF($F166&lt;U$9,MIN($I166/$I$161,$I166-SUM($K166:T166)),0))</f>
        <v>0</v>
      </c>
      <c r="V166" s="22">
        <f>IF($F166=V$9,$I166/$I$161*V$10,IF($F166&lt;V$9,MIN($I166/$I$161,$I166-SUM($K166:U166)),0))</f>
        <v>0</v>
      </c>
      <c r="W166" s="22">
        <f>IF($F166=W$9,$I166/$I$161*W$10,IF($F166&lt;W$9,MIN($I166/$I$161,$I166-SUM($K166:V166)),0))</f>
        <v>0</v>
      </c>
      <c r="X166" s="22">
        <f>IF($F166=X$9,$I166/$I$161*X$10,IF($F166&lt;X$9,MIN($I166/$I$161,$I166-SUM($K166:W166)),0))</f>
        <v>0</v>
      </c>
      <c r="Y166" s="22">
        <f>IF($F166=Y$9,$I166/$I$161*Y$10,IF($F166&lt;Y$9,MIN($I166/$I$161,$I166-SUM($K166:X166)),0))</f>
        <v>0</v>
      </c>
      <c r="Z166" s="22">
        <f>IF($F166=Z$9,$I166/$I$161*Z$10,IF($F166&lt;Z$9,MIN($I166/$I$161,$I166-SUM($K166:Y166)),0))</f>
        <v>0</v>
      </c>
      <c r="AA166" s="22">
        <f>IF($F166=AA$9,$I166/$I$161*AA$10,IF($F166&lt;AA$9,MIN($I166/$I$161,$I166-SUM($K166:Z166)),0))</f>
        <v>0</v>
      </c>
      <c r="AB166" s="22">
        <f>IF($F166=AB$9,$I166/$I$161*AB$10,IF($F166&lt;AB$9,MIN($I166/$I$161,$I166-SUM($K166:AA166)),0))</f>
        <v>0</v>
      </c>
      <c r="AC166" s="22">
        <f>IF($F166=AC$9,$I166/$I$161*AC$10,IF($F166&lt;AC$9,MIN($I166/$I$161,$I166-SUM($K166:AB166)),0))</f>
        <v>0</v>
      </c>
      <c r="AD166" s="22">
        <f>IF($F166=AD$9,$I166/$I$161*AD$10,IF($F166&lt;AD$9,MIN($I166/$I$161,$I166-SUM($K166:AC166)),0))</f>
        <v>0</v>
      </c>
      <c r="AE166" s="22">
        <f>IF($F166=AE$9,$I166/$I$161*AE$10,IF($F166&lt;AE$9,MIN($I166/$I$161,$I166-SUM($K166:AD166)),0))</f>
        <v>0</v>
      </c>
      <c r="AF166" s="22">
        <f>IF($F166=AF$9,$I166/$I$161*AF$10,IF($F166&lt;AF$9,MIN($I166/$I$161,$I166-SUM($K166:AE166)),0))</f>
        <v>0</v>
      </c>
      <c r="AG166" s="22">
        <f>IF($F166=AG$9,$I166/$I$161*AG$10,IF($F166&lt;AG$9,MIN($I166/$I$161,$I166-SUM($K166:AF166)),0))</f>
        <v>0</v>
      </c>
      <c r="AH166" s="22">
        <f>IF($F166=AH$9,$I166/$I$161*AH$10,IF($F166&lt;AH$9,MIN($I166/$I$161,$I166-SUM($K166:AG166)),0))</f>
        <v>0</v>
      </c>
      <c r="AI166" s="22">
        <f>IF($F166=AI$9,$I166/$I$161*AI$10,IF($F166&lt;AI$9,MIN($I166/$I$161,$I166-SUM($K166:AH166)),0))</f>
        <v>0</v>
      </c>
      <c r="AJ166" s="22">
        <f>IF($F166=AJ$9,$I166/$I$161*AJ$10,IF($F166&lt;AJ$9,MIN($I166/$I$161,$I166-SUM($K166:AI166)),0))</f>
        <v>0</v>
      </c>
      <c r="AK166" s="22">
        <f>IF($F166=AK$9,$I166/$I$161*AK$10,IF($F166&lt;AK$9,MIN($I166/$I$161,$I166-SUM($K166:AJ166)),0))</f>
        <v>0</v>
      </c>
      <c r="AL166" s="22">
        <f>IF($F166=AL$9,$I166/$I$161*AL$10,IF($F166&lt;AL$9,MIN($I166/$I$161,$I166-SUM($K166:AK166)),0))</f>
        <v>0</v>
      </c>
      <c r="AM166" s="22">
        <f>IF($F166=AM$9,$I166/$I$161*AM$10,IF($F166&lt;AM$9,MIN($I166/$I$161,$I166-SUM($K166:AL166)),0))</f>
        <v>0</v>
      </c>
      <c r="AN166" s="22">
        <f>IF($F166=AN$9,$I166/$I$161*AN$10,IF($F166&lt;AN$9,MIN($I166/$I$161,$I166-SUM($K166:AM166)),0))</f>
        <v>0</v>
      </c>
      <c r="AO166" s="28"/>
    </row>
    <row r="167" spans="3:41" ht="14.4" customHeight="1" outlineLevel="1" x14ac:dyDescent="0.3">
      <c r="F167" s="69">
        <v>2028</v>
      </c>
      <c r="H167" s="26" t="s">
        <v>245</v>
      </c>
      <c r="I167" s="69">
        <v>0</v>
      </c>
      <c r="K167" s="89">
        <v>0</v>
      </c>
      <c r="L167" s="22">
        <f>IF($F167=L$9,$I167/$I$161*L$10,IF($F167&lt;L$9,MIN($I167/$I$161,$I167-SUM($K167:K167)),0))</f>
        <v>0</v>
      </c>
      <c r="M167" s="22">
        <f>IF($F167=M$9,$I167/$I$161*M$10,IF($F167&lt;M$9,MIN($I167/$I$161,$I167-SUM($K167:L167)),0))</f>
        <v>0</v>
      </c>
      <c r="N167" s="22">
        <f>IF($F167=N$9,$I167/$I$161*N$10,IF($F167&lt;N$9,MIN($I167/$I$161,$I167-SUM($K167:M167)),0))</f>
        <v>0</v>
      </c>
      <c r="O167" s="22">
        <f>IF($F167=O$9,$I167/$I$161*O$10,IF($F167&lt;O$9,MIN($I167/$I$161,$I167-SUM($K167:N167)),0))</f>
        <v>0</v>
      </c>
      <c r="P167" s="22">
        <f>IF($F167=P$9,$I167/$I$161*P$10,IF($F167&lt;P$9,MIN($I167/$I$161,$I167-SUM($K167:O167)),0))</f>
        <v>0</v>
      </c>
      <c r="Q167" s="22">
        <f>IF($F167=Q$9,$I167/$I$161*Q$10,IF($F167&lt;Q$9,MIN($I167/$I$161,$I167-SUM($K167:P167)),0))</f>
        <v>0</v>
      </c>
      <c r="R167" s="22">
        <f>IF($F167=R$9,$I167/$I$161*R$10,IF($F167&lt;R$9,MIN($I167/$I$161,$I167-SUM($K167:Q167)),0))</f>
        <v>0</v>
      </c>
      <c r="S167" s="22">
        <f>IF($F167=S$9,$I167/$I$161*S$10,IF($F167&lt;S$9,MIN($I167/$I$161,$I167-SUM($K167:R167)),0))</f>
        <v>0</v>
      </c>
      <c r="T167" s="22">
        <f>IF($F167=T$9,$I167/$I$161*T$10,IF($F167&lt;T$9,MIN($I167/$I$161,$I167-SUM($K167:S167)),0))</f>
        <v>0</v>
      </c>
      <c r="U167" s="22">
        <f>IF($F167=U$9,$I167/$I$161*U$10,IF($F167&lt;U$9,MIN($I167/$I$161,$I167-SUM($K167:T167)),0))</f>
        <v>0</v>
      </c>
      <c r="V167" s="22">
        <f>IF($F167=V$9,$I167/$I$161*V$10,IF($F167&lt;V$9,MIN($I167/$I$161,$I167-SUM($K167:U167)),0))</f>
        <v>0</v>
      </c>
      <c r="W167" s="22">
        <f>IF($F167=W$9,$I167/$I$161*W$10,IF($F167&lt;W$9,MIN($I167/$I$161,$I167-SUM($K167:V167)),0))</f>
        <v>0</v>
      </c>
      <c r="X167" s="22">
        <f>IF($F167=X$9,$I167/$I$161*X$10,IF($F167&lt;X$9,MIN($I167/$I$161,$I167-SUM($K167:W167)),0))</f>
        <v>0</v>
      </c>
      <c r="Y167" s="22">
        <f>IF($F167=Y$9,$I167/$I$161*Y$10,IF($F167&lt;Y$9,MIN($I167/$I$161,$I167-SUM($K167:X167)),0))</f>
        <v>0</v>
      </c>
      <c r="Z167" s="22">
        <f>IF($F167=Z$9,$I167/$I$161*Z$10,IF($F167&lt;Z$9,MIN($I167/$I$161,$I167-SUM($K167:Y167)),0))</f>
        <v>0</v>
      </c>
      <c r="AA167" s="22">
        <f>IF($F167=AA$9,$I167/$I$161*AA$10,IF($F167&lt;AA$9,MIN($I167/$I$161,$I167-SUM($K167:Z167)),0))</f>
        <v>0</v>
      </c>
      <c r="AB167" s="22">
        <f>IF($F167=AB$9,$I167/$I$161*AB$10,IF($F167&lt;AB$9,MIN($I167/$I$161,$I167-SUM($K167:AA167)),0))</f>
        <v>0</v>
      </c>
      <c r="AC167" s="22">
        <f>IF($F167=AC$9,$I167/$I$161*AC$10,IF($F167&lt;AC$9,MIN($I167/$I$161,$I167-SUM($K167:AB167)),0))</f>
        <v>0</v>
      </c>
      <c r="AD167" s="22">
        <f>IF($F167=AD$9,$I167/$I$161*AD$10,IF($F167&lt;AD$9,MIN($I167/$I$161,$I167-SUM($K167:AC167)),0))</f>
        <v>0</v>
      </c>
      <c r="AE167" s="22">
        <f>IF($F167=AE$9,$I167/$I$161*AE$10,IF($F167&lt;AE$9,MIN($I167/$I$161,$I167-SUM($K167:AD167)),0))</f>
        <v>0</v>
      </c>
      <c r="AF167" s="22">
        <f>IF($F167=AF$9,$I167/$I$161*AF$10,IF($F167&lt;AF$9,MIN($I167/$I$161,$I167-SUM($K167:AE167)),0))</f>
        <v>0</v>
      </c>
      <c r="AG167" s="22">
        <f>IF($F167=AG$9,$I167/$I$161*AG$10,IF($F167&lt;AG$9,MIN($I167/$I$161,$I167-SUM($K167:AF167)),0))</f>
        <v>0</v>
      </c>
      <c r="AH167" s="22">
        <f>IF($F167=AH$9,$I167/$I$161*AH$10,IF($F167&lt;AH$9,MIN($I167/$I$161,$I167-SUM($K167:AG167)),0))</f>
        <v>0</v>
      </c>
      <c r="AI167" s="22">
        <f>IF($F167=AI$9,$I167/$I$161*AI$10,IF($F167&lt;AI$9,MIN($I167/$I$161,$I167-SUM($K167:AH167)),0))</f>
        <v>0</v>
      </c>
      <c r="AJ167" s="22">
        <f>IF($F167=AJ$9,$I167/$I$161*AJ$10,IF($F167&lt;AJ$9,MIN($I167/$I$161,$I167-SUM($K167:AI167)),0))</f>
        <v>0</v>
      </c>
      <c r="AK167" s="22">
        <f>IF($F167=AK$9,$I167/$I$161*AK$10,IF($F167&lt;AK$9,MIN($I167/$I$161,$I167-SUM($K167:AJ167)),0))</f>
        <v>0</v>
      </c>
      <c r="AL167" s="22">
        <f>IF($F167=AL$9,$I167/$I$161*AL$10,IF($F167&lt;AL$9,MIN($I167/$I$161,$I167-SUM($K167:AK167)),0))</f>
        <v>0</v>
      </c>
      <c r="AM167" s="22">
        <f>IF($F167=AM$9,$I167/$I$161*AM$10,IF($F167&lt;AM$9,MIN($I167/$I$161,$I167-SUM($K167:AL167)),0))</f>
        <v>0</v>
      </c>
      <c r="AN167" s="22">
        <f>IF($F167=AN$9,$I167/$I$161*AN$10,IF($F167&lt;AN$9,MIN($I167/$I$161,$I167-SUM($K167:AM167)),0))</f>
        <v>0</v>
      </c>
      <c r="AO167" s="28"/>
    </row>
    <row r="168" spans="3:41" ht="14.4" customHeight="1" outlineLevel="1" x14ac:dyDescent="0.3">
      <c r="F168" s="69">
        <v>2029</v>
      </c>
      <c r="H168" s="26" t="s">
        <v>245</v>
      </c>
      <c r="I168" s="69">
        <v>0</v>
      </c>
      <c r="K168" s="89">
        <v>0</v>
      </c>
      <c r="L168" s="22">
        <f>IF($F168=L$9,$I168/$I$161*L$10,IF($F168&lt;L$9,MIN($I168/$I$161,$I168-SUM($K168:K168)),0))</f>
        <v>0</v>
      </c>
      <c r="M168" s="22">
        <f>IF($F168=M$9,$I168/$I$161*M$10,IF($F168&lt;M$9,MIN($I168/$I$161,$I168-SUM($K168:L168)),0))</f>
        <v>0</v>
      </c>
      <c r="N168" s="22">
        <f>IF($F168=N$9,$I168/$I$161*N$10,IF($F168&lt;N$9,MIN($I168/$I$161,$I168-SUM($K168:M168)),0))</f>
        <v>0</v>
      </c>
      <c r="O168" s="22">
        <f>IF($F168=O$9,$I168/$I$161*O$10,IF($F168&lt;O$9,MIN($I168/$I$161,$I168-SUM($K168:N168)),0))</f>
        <v>0</v>
      </c>
      <c r="P168" s="22">
        <f>IF($F168=P$9,$I168/$I$161*P$10,IF($F168&lt;P$9,MIN($I168/$I$161,$I168-SUM($K168:O168)),0))</f>
        <v>0</v>
      </c>
      <c r="Q168" s="22">
        <f>IF($F168=Q$9,$I168/$I$161*Q$10,IF($F168&lt;Q$9,MIN($I168/$I$161,$I168-SUM($K168:P168)),0))</f>
        <v>0</v>
      </c>
      <c r="R168" s="22">
        <f>IF($F168=R$9,$I168/$I$161*R$10,IF($F168&lt;R$9,MIN($I168/$I$161,$I168-SUM($K168:Q168)),0))</f>
        <v>0</v>
      </c>
      <c r="S168" s="22">
        <f>IF($F168=S$9,$I168/$I$161*S$10,IF($F168&lt;S$9,MIN($I168/$I$161,$I168-SUM($K168:R168)),0))</f>
        <v>0</v>
      </c>
      <c r="T168" s="22">
        <f>IF($F168=T$9,$I168/$I$161*T$10,IF($F168&lt;T$9,MIN($I168/$I$161,$I168-SUM($K168:S168)),0))</f>
        <v>0</v>
      </c>
      <c r="U168" s="22">
        <f>IF($F168=U$9,$I168/$I$161*U$10,IF($F168&lt;U$9,MIN($I168/$I$161,$I168-SUM($K168:T168)),0))</f>
        <v>0</v>
      </c>
      <c r="V168" s="22">
        <f>IF($F168=V$9,$I168/$I$161*V$10,IF($F168&lt;V$9,MIN($I168/$I$161,$I168-SUM($K168:U168)),0))</f>
        <v>0</v>
      </c>
      <c r="W168" s="22">
        <f>IF($F168=W$9,$I168/$I$161*W$10,IF($F168&lt;W$9,MIN($I168/$I$161,$I168-SUM($K168:V168)),0))</f>
        <v>0</v>
      </c>
      <c r="X168" s="22">
        <f>IF($F168=X$9,$I168/$I$161*X$10,IF($F168&lt;X$9,MIN($I168/$I$161,$I168-SUM($K168:W168)),0))</f>
        <v>0</v>
      </c>
      <c r="Y168" s="22">
        <f>IF($F168=Y$9,$I168/$I$161*Y$10,IF($F168&lt;Y$9,MIN($I168/$I$161,$I168-SUM($K168:X168)),0))</f>
        <v>0</v>
      </c>
      <c r="Z168" s="22">
        <f>IF($F168=Z$9,$I168/$I$161*Z$10,IF($F168&lt;Z$9,MIN($I168/$I$161,$I168-SUM($K168:Y168)),0))</f>
        <v>0</v>
      </c>
      <c r="AA168" s="22">
        <f>IF($F168=AA$9,$I168/$I$161*AA$10,IF($F168&lt;AA$9,MIN($I168/$I$161,$I168-SUM($K168:Z168)),0))</f>
        <v>0</v>
      </c>
      <c r="AB168" s="22">
        <f>IF($F168=AB$9,$I168/$I$161*AB$10,IF($F168&lt;AB$9,MIN($I168/$I$161,$I168-SUM($K168:AA168)),0))</f>
        <v>0</v>
      </c>
      <c r="AC168" s="22">
        <f>IF($F168=AC$9,$I168/$I$161*AC$10,IF($F168&lt;AC$9,MIN($I168/$I$161,$I168-SUM($K168:AB168)),0))</f>
        <v>0</v>
      </c>
      <c r="AD168" s="22">
        <f>IF($F168=AD$9,$I168/$I$161*AD$10,IF($F168&lt;AD$9,MIN($I168/$I$161,$I168-SUM($K168:AC168)),0))</f>
        <v>0</v>
      </c>
      <c r="AE168" s="22">
        <f>IF($F168=AE$9,$I168/$I$161*AE$10,IF($F168&lt;AE$9,MIN($I168/$I$161,$I168-SUM($K168:AD168)),0))</f>
        <v>0</v>
      </c>
      <c r="AF168" s="22">
        <f>IF($F168=AF$9,$I168/$I$161*AF$10,IF($F168&lt;AF$9,MIN($I168/$I$161,$I168-SUM($K168:AE168)),0))</f>
        <v>0</v>
      </c>
      <c r="AG168" s="22">
        <f>IF($F168=AG$9,$I168/$I$161*AG$10,IF($F168&lt;AG$9,MIN($I168/$I$161,$I168-SUM($K168:AF168)),0))</f>
        <v>0</v>
      </c>
      <c r="AH168" s="22">
        <f>IF($F168=AH$9,$I168/$I$161*AH$10,IF($F168&lt;AH$9,MIN($I168/$I$161,$I168-SUM($K168:AG168)),0))</f>
        <v>0</v>
      </c>
      <c r="AI168" s="22">
        <f>IF($F168=AI$9,$I168/$I$161*AI$10,IF($F168&lt;AI$9,MIN($I168/$I$161,$I168-SUM($K168:AH168)),0))</f>
        <v>0</v>
      </c>
      <c r="AJ168" s="22">
        <f>IF($F168=AJ$9,$I168/$I$161*AJ$10,IF($F168&lt;AJ$9,MIN($I168/$I$161,$I168-SUM($K168:AI168)),0))</f>
        <v>0</v>
      </c>
      <c r="AK168" s="22">
        <f>IF($F168=AK$9,$I168/$I$161*AK$10,IF($F168&lt;AK$9,MIN($I168/$I$161,$I168-SUM($K168:AJ168)),0))</f>
        <v>0</v>
      </c>
      <c r="AL168" s="22">
        <f>IF($F168=AL$9,$I168/$I$161*AL$10,IF($F168&lt;AL$9,MIN($I168/$I$161,$I168-SUM($K168:AK168)),0))</f>
        <v>0</v>
      </c>
      <c r="AM168" s="22">
        <f>IF($F168=AM$9,$I168/$I$161*AM$10,IF($F168&lt;AM$9,MIN($I168/$I$161,$I168-SUM($K168:AL168)),0))</f>
        <v>0</v>
      </c>
      <c r="AN168" s="22">
        <f>IF($F168=AN$9,$I168/$I$161*AN$10,IF($F168&lt;AN$9,MIN($I168/$I$161,$I168-SUM($K168:AM168)),0))</f>
        <v>0</v>
      </c>
      <c r="AO168" s="28"/>
    </row>
    <row r="169" spans="3:41" ht="14.4" customHeight="1" outlineLevel="1" x14ac:dyDescent="0.3">
      <c r="F169" s="69">
        <v>2030</v>
      </c>
      <c r="H169" s="26" t="s">
        <v>245</v>
      </c>
      <c r="I169" s="69">
        <v>0</v>
      </c>
      <c r="K169" s="89">
        <v>0</v>
      </c>
      <c r="L169" s="22">
        <f>IF($F169=L$9,$I169/$I$161*L$10,IF($F169&lt;L$9,MIN($I169/$I$161,$I169-SUM($K169:K169)),0))</f>
        <v>0</v>
      </c>
      <c r="M169" s="22">
        <f>IF($F169=M$9,$I169/$I$161*M$10,IF($F169&lt;M$9,MIN($I169/$I$161,$I169-SUM($K169:L169)),0))</f>
        <v>0</v>
      </c>
      <c r="N169" s="22">
        <f>IF($F169=N$9,$I169/$I$161*N$10,IF($F169&lt;N$9,MIN($I169/$I$161,$I169-SUM($K169:M169)),0))</f>
        <v>0</v>
      </c>
      <c r="O169" s="22">
        <f>IF($F169=O$9,$I169/$I$161*O$10,IF($F169&lt;O$9,MIN($I169/$I$161,$I169-SUM($K169:N169)),0))</f>
        <v>0</v>
      </c>
      <c r="P169" s="22">
        <f>IF($F169=P$9,$I169/$I$161*P$10,IF($F169&lt;P$9,MIN($I169/$I$161,$I169-SUM($K169:O169)),0))</f>
        <v>0</v>
      </c>
      <c r="Q169" s="22">
        <f>IF($F169=Q$9,$I169/$I$161*Q$10,IF($F169&lt;Q$9,MIN($I169/$I$161,$I169-SUM($K169:P169)),0))</f>
        <v>0</v>
      </c>
      <c r="R169" s="22">
        <f>IF($F169=R$9,$I169/$I$161*R$10,IF($F169&lt;R$9,MIN($I169/$I$161,$I169-SUM($K169:Q169)),0))</f>
        <v>0</v>
      </c>
      <c r="S169" s="22">
        <f>IF($F169=S$9,$I169/$I$161*S$10,IF($F169&lt;S$9,MIN($I169/$I$161,$I169-SUM($K169:R169)),0))</f>
        <v>0</v>
      </c>
      <c r="T169" s="22">
        <f>IF($F169=T$9,$I169/$I$161*T$10,IF($F169&lt;T$9,MIN($I169/$I$161,$I169-SUM($K169:S169)),0))</f>
        <v>0</v>
      </c>
      <c r="U169" s="22">
        <f>IF($F169=U$9,$I169/$I$161*U$10,IF($F169&lt;U$9,MIN($I169/$I$161,$I169-SUM($K169:T169)),0))</f>
        <v>0</v>
      </c>
      <c r="V169" s="22">
        <f>IF($F169=V$9,$I169/$I$161*V$10,IF($F169&lt;V$9,MIN($I169/$I$161,$I169-SUM($K169:U169)),0))</f>
        <v>0</v>
      </c>
      <c r="W169" s="22">
        <f>IF($F169=W$9,$I169/$I$161*W$10,IF($F169&lt;W$9,MIN($I169/$I$161,$I169-SUM($K169:V169)),0))</f>
        <v>0</v>
      </c>
      <c r="X169" s="22">
        <f>IF($F169=X$9,$I169/$I$161*X$10,IF($F169&lt;X$9,MIN($I169/$I$161,$I169-SUM($K169:W169)),0))</f>
        <v>0</v>
      </c>
      <c r="Y169" s="22">
        <f>IF($F169=Y$9,$I169/$I$161*Y$10,IF($F169&lt;Y$9,MIN($I169/$I$161,$I169-SUM($K169:X169)),0))</f>
        <v>0</v>
      </c>
      <c r="Z169" s="22">
        <f>IF($F169=Z$9,$I169/$I$161*Z$10,IF($F169&lt;Z$9,MIN($I169/$I$161,$I169-SUM($K169:Y169)),0))</f>
        <v>0</v>
      </c>
      <c r="AA169" s="22">
        <f>IF($F169=AA$9,$I169/$I$161*AA$10,IF($F169&lt;AA$9,MIN($I169/$I$161,$I169-SUM($K169:Z169)),0))</f>
        <v>0</v>
      </c>
      <c r="AB169" s="22">
        <f>IF($F169=AB$9,$I169/$I$161*AB$10,IF($F169&lt;AB$9,MIN($I169/$I$161,$I169-SUM($K169:AA169)),0))</f>
        <v>0</v>
      </c>
      <c r="AC169" s="22">
        <f>IF($F169=AC$9,$I169/$I$161*AC$10,IF($F169&lt;AC$9,MIN($I169/$I$161,$I169-SUM($K169:AB169)),0))</f>
        <v>0</v>
      </c>
      <c r="AD169" s="22">
        <f>IF($F169=AD$9,$I169/$I$161*AD$10,IF($F169&lt;AD$9,MIN($I169/$I$161,$I169-SUM($K169:AC169)),0))</f>
        <v>0</v>
      </c>
      <c r="AE169" s="22">
        <f>IF($F169=AE$9,$I169/$I$161*AE$10,IF($F169&lt;AE$9,MIN($I169/$I$161,$I169-SUM($K169:AD169)),0))</f>
        <v>0</v>
      </c>
      <c r="AF169" s="22">
        <f>IF($F169=AF$9,$I169/$I$161*AF$10,IF($F169&lt;AF$9,MIN($I169/$I$161,$I169-SUM($K169:AE169)),0))</f>
        <v>0</v>
      </c>
      <c r="AG169" s="22">
        <f>IF($F169=AG$9,$I169/$I$161*AG$10,IF($F169&lt;AG$9,MIN($I169/$I$161,$I169-SUM($K169:AF169)),0))</f>
        <v>0</v>
      </c>
      <c r="AH169" s="22">
        <f>IF($F169=AH$9,$I169/$I$161*AH$10,IF($F169&lt;AH$9,MIN($I169/$I$161,$I169-SUM($K169:AG169)),0))</f>
        <v>0</v>
      </c>
      <c r="AI169" s="22">
        <f>IF($F169=AI$9,$I169/$I$161*AI$10,IF($F169&lt;AI$9,MIN($I169/$I$161,$I169-SUM($K169:AH169)),0))</f>
        <v>0</v>
      </c>
      <c r="AJ169" s="22">
        <f>IF($F169=AJ$9,$I169/$I$161*AJ$10,IF($F169&lt;AJ$9,MIN($I169/$I$161,$I169-SUM($K169:AI169)),0))</f>
        <v>0</v>
      </c>
      <c r="AK169" s="22">
        <f>IF($F169=AK$9,$I169/$I$161*AK$10,IF($F169&lt;AK$9,MIN($I169/$I$161,$I169-SUM($K169:AJ169)),0))</f>
        <v>0</v>
      </c>
      <c r="AL169" s="22">
        <f>IF($F169=AL$9,$I169/$I$161*AL$10,IF($F169&lt;AL$9,MIN($I169/$I$161,$I169-SUM($K169:AK169)),0))</f>
        <v>0</v>
      </c>
      <c r="AM169" s="22">
        <f>IF($F169=AM$9,$I169/$I$161*AM$10,IF($F169&lt;AM$9,MIN($I169/$I$161,$I169-SUM($K169:AL169)),0))</f>
        <v>0</v>
      </c>
      <c r="AN169" s="22">
        <f>IF($F169=AN$9,$I169/$I$161*AN$10,IF($F169&lt;AN$9,MIN($I169/$I$161,$I169-SUM($K169:AM169)),0))</f>
        <v>0</v>
      </c>
      <c r="AO169" s="28"/>
    </row>
    <row r="170" spans="3:41" ht="14.4" customHeight="1" outlineLevel="1" x14ac:dyDescent="0.3">
      <c r="F170" s="69">
        <v>2031</v>
      </c>
      <c r="H170" s="26" t="s">
        <v>245</v>
      </c>
      <c r="I170" s="69">
        <v>0</v>
      </c>
      <c r="K170" s="89">
        <v>0</v>
      </c>
      <c r="L170" s="22">
        <f>IF($F170=L$9,$I170/$I$161*L$10,IF($F170&lt;L$9,MIN($I170/$I$161,$I170-SUM($K170:K170)),0))</f>
        <v>0</v>
      </c>
      <c r="M170" s="22">
        <f>IF($F170=M$9,$I170/$I$161*M$10,IF($F170&lt;M$9,MIN($I170/$I$161,$I170-SUM($K170:L170)),0))</f>
        <v>0</v>
      </c>
      <c r="N170" s="22">
        <f>IF($F170=N$9,$I170/$I$161*N$10,IF($F170&lt;N$9,MIN($I170/$I$161,$I170-SUM($K170:M170)),0))</f>
        <v>0</v>
      </c>
      <c r="O170" s="22">
        <f>IF($F170=O$9,$I170/$I$161*O$10,IF($F170&lt;O$9,MIN($I170/$I$161,$I170-SUM($K170:N170)),0))</f>
        <v>0</v>
      </c>
      <c r="P170" s="22">
        <f>IF($F170=P$9,$I170/$I$161*P$10,IF($F170&lt;P$9,MIN($I170/$I$161,$I170-SUM($K170:O170)),0))</f>
        <v>0</v>
      </c>
      <c r="Q170" s="22">
        <f>IF($F170=Q$9,$I170/$I$161*Q$10,IF($F170&lt;Q$9,MIN($I170/$I$161,$I170-SUM($K170:P170)),0))</f>
        <v>0</v>
      </c>
      <c r="R170" s="22">
        <f>IF($F170=R$9,$I170/$I$161*R$10,IF($F170&lt;R$9,MIN($I170/$I$161,$I170-SUM($K170:Q170)),0))</f>
        <v>0</v>
      </c>
      <c r="S170" s="22">
        <f>IF($F170=S$9,$I170/$I$161*S$10,IF($F170&lt;S$9,MIN($I170/$I$161,$I170-SUM($K170:R170)),0))</f>
        <v>0</v>
      </c>
      <c r="T170" s="22">
        <f>IF($F170=T$9,$I170/$I$161*T$10,IF($F170&lt;T$9,MIN($I170/$I$161,$I170-SUM($K170:S170)),0))</f>
        <v>0</v>
      </c>
      <c r="U170" s="22">
        <f>IF($F170=U$9,$I170/$I$161*U$10,IF($F170&lt;U$9,MIN($I170/$I$161,$I170-SUM($K170:T170)),0))</f>
        <v>0</v>
      </c>
      <c r="V170" s="22">
        <f>IF($F170=V$9,$I170/$I$161*V$10,IF($F170&lt;V$9,MIN($I170/$I$161,$I170-SUM($K170:U170)),0))</f>
        <v>0</v>
      </c>
      <c r="W170" s="22">
        <f>IF($F170=W$9,$I170/$I$161*W$10,IF($F170&lt;W$9,MIN($I170/$I$161,$I170-SUM($K170:V170)),0))</f>
        <v>0</v>
      </c>
      <c r="X170" s="22">
        <f>IF($F170=X$9,$I170/$I$161*X$10,IF($F170&lt;X$9,MIN($I170/$I$161,$I170-SUM($K170:W170)),0))</f>
        <v>0</v>
      </c>
      <c r="Y170" s="22">
        <f>IF($F170=Y$9,$I170/$I$161*Y$10,IF($F170&lt;Y$9,MIN($I170/$I$161,$I170-SUM($K170:X170)),0))</f>
        <v>0</v>
      </c>
      <c r="Z170" s="22">
        <f>IF($F170=Z$9,$I170/$I$161*Z$10,IF($F170&lt;Z$9,MIN($I170/$I$161,$I170-SUM($K170:Y170)),0))</f>
        <v>0</v>
      </c>
      <c r="AA170" s="22">
        <f>IF($F170=AA$9,$I170/$I$161*AA$10,IF($F170&lt;AA$9,MIN($I170/$I$161,$I170-SUM($K170:Z170)),0))</f>
        <v>0</v>
      </c>
      <c r="AB170" s="22">
        <f>IF($F170=AB$9,$I170/$I$161*AB$10,IF($F170&lt;AB$9,MIN($I170/$I$161,$I170-SUM($K170:AA170)),0))</f>
        <v>0</v>
      </c>
      <c r="AC170" s="22">
        <f>IF($F170=AC$9,$I170/$I$161*AC$10,IF($F170&lt;AC$9,MIN($I170/$I$161,$I170-SUM($K170:AB170)),0))</f>
        <v>0</v>
      </c>
      <c r="AD170" s="22">
        <f>IF($F170=AD$9,$I170/$I$161*AD$10,IF($F170&lt;AD$9,MIN($I170/$I$161,$I170-SUM($K170:AC170)),0))</f>
        <v>0</v>
      </c>
      <c r="AE170" s="22">
        <f>IF($F170=AE$9,$I170/$I$161*AE$10,IF($F170&lt;AE$9,MIN($I170/$I$161,$I170-SUM($K170:AD170)),0))</f>
        <v>0</v>
      </c>
      <c r="AF170" s="22">
        <f>IF($F170=AF$9,$I170/$I$161*AF$10,IF($F170&lt;AF$9,MIN($I170/$I$161,$I170-SUM($K170:AE170)),0))</f>
        <v>0</v>
      </c>
      <c r="AG170" s="22">
        <f>IF($F170=AG$9,$I170/$I$161*AG$10,IF($F170&lt;AG$9,MIN($I170/$I$161,$I170-SUM($K170:AF170)),0))</f>
        <v>0</v>
      </c>
      <c r="AH170" s="22">
        <f>IF($F170=AH$9,$I170/$I$161*AH$10,IF($F170&lt;AH$9,MIN($I170/$I$161,$I170-SUM($K170:AG170)),0))</f>
        <v>0</v>
      </c>
      <c r="AI170" s="22">
        <f>IF($F170=AI$9,$I170/$I$161*AI$10,IF($F170&lt;AI$9,MIN($I170/$I$161,$I170-SUM($K170:AH170)),0))</f>
        <v>0</v>
      </c>
      <c r="AJ170" s="22">
        <f>IF($F170=AJ$9,$I170/$I$161*AJ$10,IF($F170&lt;AJ$9,MIN($I170/$I$161,$I170-SUM($K170:AI170)),0))</f>
        <v>0</v>
      </c>
      <c r="AK170" s="22">
        <f>IF($F170=AK$9,$I170/$I$161*AK$10,IF($F170&lt;AK$9,MIN($I170/$I$161,$I170-SUM($K170:AJ170)),0))</f>
        <v>0</v>
      </c>
      <c r="AL170" s="22">
        <f>IF($F170=AL$9,$I170/$I$161*AL$10,IF($F170&lt;AL$9,MIN($I170/$I$161,$I170-SUM($K170:AK170)),0))</f>
        <v>0</v>
      </c>
      <c r="AM170" s="22">
        <f>IF($F170=AM$9,$I170/$I$161*AM$10,IF($F170&lt;AM$9,MIN($I170/$I$161,$I170-SUM($K170:AL170)),0))</f>
        <v>0</v>
      </c>
      <c r="AN170" s="22">
        <f>IF($F170=AN$9,$I170/$I$161*AN$10,IF($F170&lt;AN$9,MIN($I170/$I$161,$I170-SUM($K170:AM170)),0))</f>
        <v>0</v>
      </c>
      <c r="AO170" s="28"/>
    </row>
    <row r="171" spans="3:41" ht="14.4" customHeight="1" outlineLevel="1" x14ac:dyDescent="0.3">
      <c r="F171" s="69">
        <v>2032</v>
      </c>
      <c r="H171" s="26" t="s">
        <v>245</v>
      </c>
      <c r="I171" s="69">
        <v>0</v>
      </c>
      <c r="K171" s="89">
        <v>0</v>
      </c>
      <c r="L171" s="22">
        <f>IF($F171=L$9,$I171/$I$161*L$10,IF($F171&lt;L$9,MIN($I171/$I$161,$I171-SUM($K171:K171)),0))</f>
        <v>0</v>
      </c>
      <c r="M171" s="22">
        <f>IF($F171=M$9,$I171/$I$161*M$10,IF($F171&lt;M$9,MIN($I171/$I$161,$I171-SUM($K171:L171)),0))</f>
        <v>0</v>
      </c>
      <c r="N171" s="22">
        <f>IF($F171=N$9,$I171/$I$161*N$10,IF($F171&lt;N$9,MIN($I171/$I$161,$I171-SUM($K171:M171)),0))</f>
        <v>0</v>
      </c>
      <c r="O171" s="22">
        <f>IF($F171=O$9,$I171/$I$161*O$10,IF($F171&lt;O$9,MIN($I171/$I$161,$I171-SUM($K171:N171)),0))</f>
        <v>0</v>
      </c>
      <c r="P171" s="22">
        <f>IF($F171=P$9,$I171/$I$161*P$10,IF($F171&lt;P$9,MIN($I171/$I$161,$I171-SUM($K171:O171)),0))</f>
        <v>0</v>
      </c>
      <c r="Q171" s="22">
        <f>IF($F171=Q$9,$I171/$I$161*Q$10,IF($F171&lt;Q$9,MIN($I171/$I$161,$I171-SUM($K171:P171)),0))</f>
        <v>0</v>
      </c>
      <c r="R171" s="22">
        <f>IF($F171=R$9,$I171/$I$161*R$10,IF($F171&lt;R$9,MIN($I171/$I$161,$I171-SUM($K171:Q171)),0))</f>
        <v>0</v>
      </c>
      <c r="S171" s="22">
        <f>IF($F171=S$9,$I171/$I$161*S$10,IF($F171&lt;S$9,MIN($I171/$I$161,$I171-SUM($K171:R171)),0))</f>
        <v>0</v>
      </c>
      <c r="T171" s="22">
        <f>IF($F171=T$9,$I171/$I$161*T$10,IF($F171&lt;T$9,MIN($I171/$I$161,$I171-SUM($K171:S171)),0))</f>
        <v>0</v>
      </c>
      <c r="U171" s="22">
        <f>IF($F171=U$9,$I171/$I$161*U$10,IF($F171&lt;U$9,MIN($I171/$I$161,$I171-SUM($K171:T171)),0))</f>
        <v>0</v>
      </c>
      <c r="V171" s="22">
        <f>IF($F171=V$9,$I171/$I$161*V$10,IF($F171&lt;V$9,MIN($I171/$I$161,$I171-SUM($K171:U171)),0))</f>
        <v>0</v>
      </c>
      <c r="W171" s="22">
        <f>IF($F171=W$9,$I171/$I$161*W$10,IF($F171&lt;W$9,MIN($I171/$I$161,$I171-SUM($K171:V171)),0))</f>
        <v>0</v>
      </c>
      <c r="X171" s="22">
        <f>IF($F171=X$9,$I171/$I$161*X$10,IF($F171&lt;X$9,MIN($I171/$I$161,$I171-SUM($K171:W171)),0))</f>
        <v>0</v>
      </c>
      <c r="Y171" s="22">
        <f>IF($F171=Y$9,$I171/$I$161*Y$10,IF($F171&lt;Y$9,MIN($I171/$I$161,$I171-SUM($K171:X171)),0))</f>
        <v>0</v>
      </c>
      <c r="Z171" s="22">
        <f>IF($F171=Z$9,$I171/$I$161*Z$10,IF($F171&lt;Z$9,MIN($I171/$I$161,$I171-SUM($K171:Y171)),0))</f>
        <v>0</v>
      </c>
      <c r="AA171" s="22">
        <f>IF($F171=AA$9,$I171/$I$161*AA$10,IF($F171&lt;AA$9,MIN($I171/$I$161,$I171-SUM($K171:Z171)),0))</f>
        <v>0</v>
      </c>
      <c r="AB171" s="22">
        <f>IF($F171=AB$9,$I171/$I$161*AB$10,IF($F171&lt;AB$9,MIN($I171/$I$161,$I171-SUM($K171:AA171)),0))</f>
        <v>0</v>
      </c>
      <c r="AC171" s="22">
        <f>IF($F171=AC$9,$I171/$I$161*AC$10,IF($F171&lt;AC$9,MIN($I171/$I$161,$I171-SUM($K171:AB171)),0))</f>
        <v>0</v>
      </c>
      <c r="AD171" s="22">
        <f>IF($F171=AD$9,$I171/$I$161*AD$10,IF($F171&lt;AD$9,MIN($I171/$I$161,$I171-SUM($K171:AC171)),0))</f>
        <v>0</v>
      </c>
      <c r="AE171" s="22">
        <f>IF($F171=AE$9,$I171/$I$161*AE$10,IF($F171&lt;AE$9,MIN($I171/$I$161,$I171-SUM($K171:AD171)),0))</f>
        <v>0</v>
      </c>
      <c r="AF171" s="22">
        <f>IF($F171=AF$9,$I171/$I$161*AF$10,IF($F171&lt;AF$9,MIN($I171/$I$161,$I171-SUM($K171:AE171)),0))</f>
        <v>0</v>
      </c>
      <c r="AG171" s="22">
        <f>IF($F171=AG$9,$I171/$I$161*AG$10,IF($F171&lt;AG$9,MIN($I171/$I$161,$I171-SUM($K171:AF171)),0))</f>
        <v>0</v>
      </c>
      <c r="AH171" s="22">
        <f>IF($F171=AH$9,$I171/$I$161*AH$10,IF($F171&lt;AH$9,MIN($I171/$I$161,$I171-SUM($K171:AG171)),0))</f>
        <v>0</v>
      </c>
      <c r="AI171" s="22">
        <f>IF($F171=AI$9,$I171/$I$161*AI$10,IF($F171&lt;AI$9,MIN($I171/$I$161,$I171-SUM($K171:AH171)),0))</f>
        <v>0</v>
      </c>
      <c r="AJ171" s="22">
        <f>IF($F171=AJ$9,$I171/$I$161*AJ$10,IF($F171&lt;AJ$9,MIN($I171/$I$161,$I171-SUM($K171:AI171)),0))</f>
        <v>0</v>
      </c>
      <c r="AK171" s="22">
        <f>IF($F171=AK$9,$I171/$I$161*AK$10,IF($F171&lt;AK$9,MIN($I171/$I$161,$I171-SUM($K171:AJ171)),0))</f>
        <v>0</v>
      </c>
      <c r="AL171" s="22">
        <f>IF($F171=AL$9,$I171/$I$161*AL$10,IF($F171&lt;AL$9,MIN($I171/$I$161,$I171-SUM($K171:AK171)),0))</f>
        <v>0</v>
      </c>
      <c r="AM171" s="22">
        <f>IF($F171=AM$9,$I171/$I$161*AM$10,IF($F171&lt;AM$9,MIN($I171/$I$161,$I171-SUM($K171:AL171)),0))</f>
        <v>0</v>
      </c>
      <c r="AN171" s="22">
        <f>IF($F171=AN$9,$I171/$I$161*AN$10,IF($F171&lt;AN$9,MIN($I171/$I$161,$I171-SUM($K171:AM171)),0))</f>
        <v>0</v>
      </c>
      <c r="AO171" s="28"/>
    </row>
    <row r="172" spans="3:41" ht="14.4" customHeight="1" outlineLevel="1" x14ac:dyDescent="0.3">
      <c r="F172" s="69">
        <v>2033</v>
      </c>
      <c r="H172" s="26" t="s">
        <v>245</v>
      </c>
      <c r="I172" s="69">
        <v>0</v>
      </c>
      <c r="K172" s="89">
        <v>0</v>
      </c>
      <c r="L172" s="22">
        <f>IF($F172=L$9,$I172/$I$161*L$10,IF($F172&lt;L$9,MIN($I172/$I$161,$I172-SUM($K172:K172)),0))</f>
        <v>0</v>
      </c>
      <c r="M172" s="22">
        <f>IF($F172=M$9,$I172/$I$161*M$10,IF($F172&lt;M$9,MIN($I172/$I$161,$I172-SUM($K172:L172)),0))</f>
        <v>0</v>
      </c>
      <c r="N172" s="22">
        <f>IF($F172=N$9,$I172/$I$161*N$10,IF($F172&lt;N$9,MIN($I172/$I$161,$I172-SUM($K172:M172)),0))</f>
        <v>0</v>
      </c>
      <c r="O172" s="22">
        <f>IF($F172=O$9,$I172/$I$161*O$10,IF($F172&lt;O$9,MIN($I172/$I$161,$I172-SUM($K172:N172)),0))</f>
        <v>0</v>
      </c>
      <c r="P172" s="22">
        <f>IF($F172=P$9,$I172/$I$161*P$10,IF($F172&lt;P$9,MIN($I172/$I$161,$I172-SUM($K172:O172)),0))</f>
        <v>0</v>
      </c>
      <c r="Q172" s="22">
        <f>IF($F172=Q$9,$I172/$I$161*Q$10,IF($F172&lt;Q$9,MIN($I172/$I$161,$I172-SUM($K172:P172)),0))</f>
        <v>0</v>
      </c>
      <c r="R172" s="22">
        <f>IF($F172=R$9,$I172/$I$161*R$10,IF($F172&lt;R$9,MIN($I172/$I$161,$I172-SUM($K172:Q172)),0))</f>
        <v>0</v>
      </c>
      <c r="S172" s="22">
        <f>IF($F172=S$9,$I172/$I$161*S$10,IF($F172&lt;S$9,MIN($I172/$I$161,$I172-SUM($K172:R172)),0))</f>
        <v>0</v>
      </c>
      <c r="T172" s="22">
        <f>IF($F172=T$9,$I172/$I$161*T$10,IF($F172&lt;T$9,MIN($I172/$I$161,$I172-SUM($K172:S172)),0))</f>
        <v>0</v>
      </c>
      <c r="U172" s="22">
        <f>IF($F172=U$9,$I172/$I$161*U$10,IF($F172&lt;U$9,MIN($I172/$I$161,$I172-SUM($K172:T172)),0))</f>
        <v>0</v>
      </c>
      <c r="V172" s="22">
        <f>IF($F172=V$9,$I172/$I$161*V$10,IF($F172&lt;V$9,MIN($I172/$I$161,$I172-SUM($K172:U172)),0))</f>
        <v>0</v>
      </c>
      <c r="W172" s="22">
        <f>IF($F172=W$9,$I172/$I$161*W$10,IF($F172&lt;W$9,MIN($I172/$I$161,$I172-SUM($K172:V172)),0))</f>
        <v>0</v>
      </c>
      <c r="X172" s="22">
        <f>IF($F172=X$9,$I172/$I$161*X$10,IF($F172&lt;X$9,MIN($I172/$I$161,$I172-SUM($K172:W172)),0))</f>
        <v>0</v>
      </c>
      <c r="Y172" s="22">
        <f>IF($F172=Y$9,$I172/$I$161*Y$10,IF($F172&lt;Y$9,MIN($I172/$I$161,$I172-SUM($K172:X172)),0))</f>
        <v>0</v>
      </c>
      <c r="Z172" s="22">
        <f>IF($F172=Z$9,$I172/$I$161*Z$10,IF($F172&lt;Z$9,MIN($I172/$I$161,$I172-SUM($K172:Y172)),0))</f>
        <v>0</v>
      </c>
      <c r="AA172" s="22">
        <f>IF($F172=AA$9,$I172/$I$161*AA$10,IF($F172&lt;AA$9,MIN($I172/$I$161,$I172-SUM($K172:Z172)),0))</f>
        <v>0</v>
      </c>
      <c r="AB172" s="22">
        <f>IF($F172=AB$9,$I172/$I$161*AB$10,IF($F172&lt;AB$9,MIN($I172/$I$161,$I172-SUM($K172:AA172)),0))</f>
        <v>0</v>
      </c>
      <c r="AC172" s="22">
        <f>IF($F172=AC$9,$I172/$I$161*AC$10,IF($F172&lt;AC$9,MIN($I172/$I$161,$I172-SUM($K172:AB172)),0))</f>
        <v>0</v>
      </c>
      <c r="AD172" s="22">
        <f>IF($F172=AD$9,$I172/$I$161*AD$10,IF($F172&lt;AD$9,MIN($I172/$I$161,$I172-SUM($K172:AC172)),0))</f>
        <v>0</v>
      </c>
      <c r="AE172" s="22">
        <f>IF($F172=AE$9,$I172/$I$161*AE$10,IF($F172&lt;AE$9,MIN($I172/$I$161,$I172-SUM($K172:AD172)),0))</f>
        <v>0</v>
      </c>
      <c r="AF172" s="22">
        <f>IF($F172=AF$9,$I172/$I$161*AF$10,IF($F172&lt;AF$9,MIN($I172/$I$161,$I172-SUM($K172:AE172)),0))</f>
        <v>0</v>
      </c>
      <c r="AG172" s="22">
        <f>IF($F172=AG$9,$I172/$I$161*AG$10,IF($F172&lt;AG$9,MIN($I172/$I$161,$I172-SUM($K172:AF172)),0))</f>
        <v>0</v>
      </c>
      <c r="AH172" s="22">
        <f>IF($F172=AH$9,$I172/$I$161*AH$10,IF($F172&lt;AH$9,MIN($I172/$I$161,$I172-SUM($K172:AG172)),0))</f>
        <v>0</v>
      </c>
      <c r="AI172" s="22">
        <f>IF($F172=AI$9,$I172/$I$161*AI$10,IF($F172&lt;AI$9,MIN($I172/$I$161,$I172-SUM($K172:AH172)),0))</f>
        <v>0</v>
      </c>
      <c r="AJ172" s="22">
        <f>IF($F172=AJ$9,$I172/$I$161*AJ$10,IF($F172&lt;AJ$9,MIN($I172/$I$161,$I172-SUM($K172:AI172)),0))</f>
        <v>0</v>
      </c>
      <c r="AK172" s="22">
        <f>IF($F172=AK$9,$I172/$I$161*AK$10,IF($F172&lt;AK$9,MIN($I172/$I$161,$I172-SUM($K172:AJ172)),0))</f>
        <v>0</v>
      </c>
      <c r="AL172" s="22">
        <f>IF($F172=AL$9,$I172/$I$161*AL$10,IF($F172&lt;AL$9,MIN($I172/$I$161,$I172-SUM($K172:AK172)),0))</f>
        <v>0</v>
      </c>
      <c r="AM172" s="22">
        <f>IF($F172=AM$9,$I172/$I$161*AM$10,IF($F172&lt;AM$9,MIN($I172/$I$161,$I172-SUM($K172:AL172)),0))</f>
        <v>0</v>
      </c>
      <c r="AN172" s="22">
        <f>IF($F172=AN$9,$I172/$I$161*AN$10,IF($F172&lt;AN$9,MIN($I172/$I$161,$I172-SUM($K172:AM172)),0))</f>
        <v>0</v>
      </c>
      <c r="AO172" s="28"/>
    </row>
    <row r="173" spans="3:41" ht="14.4" customHeight="1" outlineLevel="1" x14ac:dyDescent="0.3">
      <c r="F173" s="69">
        <v>2034</v>
      </c>
      <c r="H173" s="26" t="s">
        <v>245</v>
      </c>
      <c r="I173" s="69">
        <v>0</v>
      </c>
      <c r="K173" s="89">
        <v>0</v>
      </c>
      <c r="L173" s="22">
        <f>IF($F173=L$9,$I173/$I$161*L$10,IF($F173&lt;L$9,MIN($I173/$I$161,$I173-SUM($K173:K173)),0))</f>
        <v>0</v>
      </c>
      <c r="M173" s="22">
        <f>IF($F173=M$9,$I173/$I$161*M$10,IF($F173&lt;M$9,MIN($I173/$I$161,$I173-SUM($K173:L173)),0))</f>
        <v>0</v>
      </c>
      <c r="N173" s="22">
        <f>IF($F173=N$9,$I173/$I$161*N$10,IF($F173&lt;N$9,MIN($I173/$I$161,$I173-SUM($K173:M173)),0))</f>
        <v>0</v>
      </c>
      <c r="O173" s="22">
        <f>IF($F173=O$9,$I173/$I$161*O$10,IF($F173&lt;O$9,MIN($I173/$I$161,$I173-SUM($K173:N173)),0))</f>
        <v>0</v>
      </c>
      <c r="P173" s="22">
        <f>IF($F173=P$9,$I173/$I$161*P$10,IF($F173&lt;P$9,MIN($I173/$I$161,$I173-SUM($K173:O173)),0))</f>
        <v>0</v>
      </c>
      <c r="Q173" s="22">
        <f>IF($F173=Q$9,$I173/$I$161*Q$10,IF($F173&lt;Q$9,MIN($I173/$I$161,$I173-SUM($K173:P173)),0))</f>
        <v>0</v>
      </c>
      <c r="R173" s="22">
        <f>IF($F173=R$9,$I173/$I$161*R$10,IF($F173&lt;R$9,MIN($I173/$I$161,$I173-SUM($K173:Q173)),0))</f>
        <v>0</v>
      </c>
      <c r="S173" s="22">
        <f>IF($F173=S$9,$I173/$I$161*S$10,IF($F173&lt;S$9,MIN($I173/$I$161,$I173-SUM($K173:R173)),0))</f>
        <v>0</v>
      </c>
      <c r="T173" s="22">
        <f>IF($F173=T$9,$I173/$I$161*T$10,IF($F173&lt;T$9,MIN($I173/$I$161,$I173-SUM($K173:S173)),0))</f>
        <v>0</v>
      </c>
      <c r="U173" s="22">
        <f>IF($F173=U$9,$I173/$I$161*U$10,IF($F173&lt;U$9,MIN($I173/$I$161,$I173-SUM($K173:T173)),0))</f>
        <v>0</v>
      </c>
      <c r="V173" s="22">
        <f>IF($F173=V$9,$I173/$I$161*V$10,IF($F173&lt;V$9,MIN($I173/$I$161,$I173-SUM($K173:U173)),0))</f>
        <v>0</v>
      </c>
      <c r="W173" s="22">
        <f>IF($F173=W$9,$I173/$I$161*W$10,IF($F173&lt;W$9,MIN($I173/$I$161,$I173-SUM($K173:V173)),0))</f>
        <v>0</v>
      </c>
      <c r="X173" s="22">
        <f>IF($F173=X$9,$I173/$I$161*X$10,IF($F173&lt;X$9,MIN($I173/$I$161,$I173-SUM($K173:W173)),0))</f>
        <v>0</v>
      </c>
      <c r="Y173" s="22">
        <f>IF($F173=Y$9,$I173/$I$161*Y$10,IF($F173&lt;Y$9,MIN($I173/$I$161,$I173-SUM($K173:X173)),0))</f>
        <v>0</v>
      </c>
      <c r="Z173" s="22">
        <f>IF($F173=Z$9,$I173/$I$161*Z$10,IF($F173&lt;Z$9,MIN($I173/$I$161,$I173-SUM($K173:Y173)),0))</f>
        <v>0</v>
      </c>
      <c r="AA173" s="22">
        <f>IF($F173=AA$9,$I173/$I$161*AA$10,IF($F173&lt;AA$9,MIN($I173/$I$161,$I173-SUM($K173:Z173)),0))</f>
        <v>0</v>
      </c>
      <c r="AB173" s="22">
        <f>IF($F173=AB$9,$I173/$I$161*AB$10,IF($F173&lt;AB$9,MIN($I173/$I$161,$I173-SUM($K173:AA173)),0))</f>
        <v>0</v>
      </c>
      <c r="AC173" s="22">
        <f>IF($F173=AC$9,$I173/$I$161*AC$10,IF($F173&lt;AC$9,MIN($I173/$I$161,$I173-SUM($K173:AB173)),0))</f>
        <v>0</v>
      </c>
      <c r="AD173" s="22">
        <f>IF($F173=AD$9,$I173/$I$161*AD$10,IF($F173&lt;AD$9,MIN($I173/$I$161,$I173-SUM($K173:AC173)),0))</f>
        <v>0</v>
      </c>
      <c r="AE173" s="22">
        <f>IF($F173=AE$9,$I173/$I$161*AE$10,IF($F173&lt;AE$9,MIN($I173/$I$161,$I173-SUM($K173:AD173)),0))</f>
        <v>0</v>
      </c>
      <c r="AF173" s="22">
        <f>IF($F173=AF$9,$I173/$I$161*AF$10,IF($F173&lt;AF$9,MIN($I173/$I$161,$I173-SUM($K173:AE173)),0))</f>
        <v>0</v>
      </c>
      <c r="AG173" s="22">
        <f>IF($F173=AG$9,$I173/$I$161*AG$10,IF($F173&lt;AG$9,MIN($I173/$I$161,$I173-SUM($K173:AF173)),0))</f>
        <v>0</v>
      </c>
      <c r="AH173" s="22">
        <f>IF($F173=AH$9,$I173/$I$161*AH$10,IF($F173&lt;AH$9,MIN($I173/$I$161,$I173-SUM($K173:AG173)),0))</f>
        <v>0</v>
      </c>
      <c r="AI173" s="22">
        <f>IF($F173=AI$9,$I173/$I$161*AI$10,IF($F173&lt;AI$9,MIN($I173/$I$161,$I173-SUM($K173:AH173)),0))</f>
        <v>0</v>
      </c>
      <c r="AJ173" s="22">
        <f>IF($F173=AJ$9,$I173/$I$161*AJ$10,IF($F173&lt;AJ$9,MIN($I173/$I$161,$I173-SUM($K173:AI173)),0))</f>
        <v>0</v>
      </c>
      <c r="AK173" s="22">
        <f>IF($F173=AK$9,$I173/$I$161*AK$10,IF($F173&lt;AK$9,MIN($I173/$I$161,$I173-SUM($K173:AJ173)),0))</f>
        <v>0</v>
      </c>
      <c r="AL173" s="22">
        <f>IF($F173=AL$9,$I173/$I$161*AL$10,IF($F173&lt;AL$9,MIN($I173/$I$161,$I173-SUM($K173:AK173)),0))</f>
        <v>0</v>
      </c>
      <c r="AM173" s="22">
        <f>IF($F173=AM$9,$I173/$I$161*AM$10,IF($F173&lt;AM$9,MIN($I173/$I$161,$I173-SUM($K173:AL173)),0))</f>
        <v>0</v>
      </c>
      <c r="AN173" s="22">
        <f>IF($F173=AN$9,$I173/$I$161*AN$10,IF($F173&lt;AN$9,MIN($I173/$I$161,$I173-SUM($K173:AM173)),0))</f>
        <v>0</v>
      </c>
      <c r="AO173" s="28"/>
    </row>
    <row r="174" spans="3:41" ht="14.4" customHeight="1" outlineLevel="1" x14ac:dyDescent="0.3">
      <c r="F174" s="69">
        <v>2035</v>
      </c>
      <c r="H174" s="26" t="s">
        <v>245</v>
      </c>
      <c r="I174" s="69">
        <v>0</v>
      </c>
      <c r="K174" s="89">
        <v>0</v>
      </c>
      <c r="L174" s="22">
        <f>IF($F174=L$9,$I174/$I$161*L$10,IF($F174&lt;L$9,MIN($I174/$I$161,$I174-SUM($K174:K174)),0))</f>
        <v>0</v>
      </c>
      <c r="M174" s="22">
        <f>IF($F174=M$9,$I174/$I$161*M$10,IF($F174&lt;M$9,MIN($I174/$I$161,$I174-SUM($K174:L174)),0))</f>
        <v>0</v>
      </c>
      <c r="N174" s="22">
        <f>IF($F174=N$9,$I174/$I$161*N$10,IF($F174&lt;N$9,MIN($I174/$I$161,$I174-SUM($K174:M174)),0))</f>
        <v>0</v>
      </c>
      <c r="O174" s="22">
        <f>IF($F174=O$9,$I174/$I$161*O$10,IF($F174&lt;O$9,MIN($I174/$I$161,$I174-SUM($K174:N174)),0))</f>
        <v>0</v>
      </c>
      <c r="P174" s="22">
        <f>IF($F174=P$9,$I174/$I$161*P$10,IF($F174&lt;P$9,MIN($I174/$I$161,$I174-SUM($K174:O174)),0))</f>
        <v>0</v>
      </c>
      <c r="Q174" s="22">
        <f>IF($F174=Q$9,$I174/$I$161*Q$10,IF($F174&lt;Q$9,MIN($I174/$I$161,$I174-SUM($K174:P174)),0))</f>
        <v>0</v>
      </c>
      <c r="R174" s="22">
        <f>IF($F174=R$9,$I174/$I$161*R$10,IF($F174&lt;R$9,MIN($I174/$I$161,$I174-SUM($K174:Q174)),0))</f>
        <v>0</v>
      </c>
      <c r="S174" s="22">
        <f>IF($F174=S$9,$I174/$I$161*S$10,IF($F174&lt;S$9,MIN($I174/$I$161,$I174-SUM($K174:R174)),0))</f>
        <v>0</v>
      </c>
      <c r="T174" s="22">
        <f>IF($F174=T$9,$I174/$I$161*T$10,IF($F174&lt;T$9,MIN($I174/$I$161,$I174-SUM($K174:S174)),0))</f>
        <v>0</v>
      </c>
      <c r="U174" s="22">
        <f>IF($F174=U$9,$I174/$I$161*U$10,IF($F174&lt;U$9,MIN($I174/$I$161,$I174-SUM($K174:T174)),0))</f>
        <v>0</v>
      </c>
      <c r="V174" s="22">
        <f>IF($F174=V$9,$I174/$I$161*V$10,IF($F174&lt;V$9,MIN($I174/$I$161,$I174-SUM($K174:U174)),0))</f>
        <v>0</v>
      </c>
      <c r="W174" s="22">
        <f>IF($F174=W$9,$I174/$I$161*W$10,IF($F174&lt;W$9,MIN($I174/$I$161,$I174-SUM($K174:V174)),0))</f>
        <v>0</v>
      </c>
      <c r="X174" s="22">
        <f>IF($F174=X$9,$I174/$I$161*X$10,IF($F174&lt;X$9,MIN($I174/$I$161,$I174-SUM($K174:W174)),0))</f>
        <v>0</v>
      </c>
      <c r="Y174" s="22">
        <f>IF($F174=Y$9,$I174/$I$161*Y$10,IF($F174&lt;Y$9,MIN($I174/$I$161,$I174-SUM($K174:X174)),0))</f>
        <v>0</v>
      </c>
      <c r="Z174" s="22">
        <f>IF($F174=Z$9,$I174/$I$161*Z$10,IF($F174&lt;Z$9,MIN($I174/$I$161,$I174-SUM($K174:Y174)),0))</f>
        <v>0</v>
      </c>
      <c r="AA174" s="22">
        <f>IF($F174=AA$9,$I174/$I$161*AA$10,IF($F174&lt;AA$9,MIN($I174/$I$161,$I174-SUM($K174:Z174)),0))</f>
        <v>0</v>
      </c>
      <c r="AB174" s="22">
        <f>IF($F174=AB$9,$I174/$I$161*AB$10,IF($F174&lt;AB$9,MIN($I174/$I$161,$I174-SUM($K174:AA174)),0))</f>
        <v>0</v>
      </c>
      <c r="AC174" s="22">
        <f>IF($F174=AC$9,$I174/$I$161*AC$10,IF($F174&lt;AC$9,MIN($I174/$I$161,$I174-SUM($K174:AB174)),0))</f>
        <v>0</v>
      </c>
      <c r="AD174" s="22">
        <f>IF($F174=AD$9,$I174/$I$161*AD$10,IF($F174&lt;AD$9,MIN($I174/$I$161,$I174-SUM($K174:AC174)),0))</f>
        <v>0</v>
      </c>
      <c r="AE174" s="22">
        <f>IF($F174=AE$9,$I174/$I$161*AE$10,IF($F174&lt;AE$9,MIN($I174/$I$161,$I174-SUM($K174:AD174)),0))</f>
        <v>0</v>
      </c>
      <c r="AF174" s="22">
        <f>IF($F174=AF$9,$I174/$I$161*AF$10,IF($F174&lt;AF$9,MIN($I174/$I$161,$I174-SUM($K174:AE174)),0))</f>
        <v>0</v>
      </c>
      <c r="AG174" s="22">
        <f>IF($F174=AG$9,$I174/$I$161*AG$10,IF($F174&lt;AG$9,MIN($I174/$I$161,$I174-SUM($K174:AF174)),0))</f>
        <v>0</v>
      </c>
      <c r="AH174" s="22">
        <f>IF($F174=AH$9,$I174/$I$161*AH$10,IF($F174&lt;AH$9,MIN($I174/$I$161,$I174-SUM($K174:AG174)),0))</f>
        <v>0</v>
      </c>
      <c r="AI174" s="22">
        <f>IF($F174=AI$9,$I174/$I$161*AI$10,IF($F174&lt;AI$9,MIN($I174/$I$161,$I174-SUM($K174:AH174)),0))</f>
        <v>0</v>
      </c>
      <c r="AJ174" s="22">
        <f>IF($F174=AJ$9,$I174/$I$161*AJ$10,IF($F174&lt;AJ$9,MIN($I174/$I$161,$I174-SUM($K174:AI174)),0))</f>
        <v>0</v>
      </c>
      <c r="AK174" s="22">
        <f>IF($F174=AK$9,$I174/$I$161*AK$10,IF($F174&lt;AK$9,MIN($I174/$I$161,$I174-SUM($K174:AJ174)),0))</f>
        <v>0</v>
      </c>
      <c r="AL174" s="22">
        <f>IF($F174=AL$9,$I174/$I$161*AL$10,IF($F174&lt;AL$9,MIN($I174/$I$161,$I174-SUM($K174:AK174)),0))</f>
        <v>0</v>
      </c>
      <c r="AM174" s="22">
        <f>IF($F174=AM$9,$I174/$I$161*AM$10,IF($F174&lt;AM$9,MIN($I174/$I$161,$I174-SUM($K174:AL174)),0))</f>
        <v>0</v>
      </c>
      <c r="AN174" s="22">
        <f>IF($F174=AN$9,$I174/$I$161*AN$10,IF($F174&lt;AN$9,MIN($I174/$I$161,$I174-SUM($K174:AM174)),0))</f>
        <v>0</v>
      </c>
      <c r="AO174" s="28"/>
    </row>
    <row r="175" spans="3:41" ht="14.4" customHeight="1" outlineLevel="1" x14ac:dyDescent="0.3">
      <c r="F175" s="69">
        <v>2036</v>
      </c>
      <c r="H175" s="26" t="s">
        <v>245</v>
      </c>
      <c r="I175" s="69">
        <v>0</v>
      </c>
      <c r="K175" s="89">
        <v>0</v>
      </c>
      <c r="L175" s="22">
        <f>IF($F175=L$9,$I175/$I$161*L$10,IF($F175&lt;L$9,MIN($I175/$I$161,$I175-SUM($K175:K175)),0))</f>
        <v>0</v>
      </c>
      <c r="M175" s="22">
        <f>IF($F175=M$9,$I175/$I$161*M$10,IF($F175&lt;M$9,MIN($I175/$I$161,$I175-SUM($K175:L175)),0))</f>
        <v>0</v>
      </c>
      <c r="N175" s="22">
        <f>IF($F175=N$9,$I175/$I$161*N$10,IF($F175&lt;N$9,MIN($I175/$I$161,$I175-SUM($K175:M175)),0))</f>
        <v>0</v>
      </c>
      <c r="O175" s="22">
        <f>IF($F175=O$9,$I175/$I$161*O$10,IF($F175&lt;O$9,MIN($I175/$I$161,$I175-SUM($K175:N175)),0))</f>
        <v>0</v>
      </c>
      <c r="P175" s="22">
        <f>IF($F175=P$9,$I175/$I$161*P$10,IF($F175&lt;P$9,MIN($I175/$I$161,$I175-SUM($K175:O175)),0))</f>
        <v>0</v>
      </c>
      <c r="Q175" s="22">
        <f>IF($F175=Q$9,$I175/$I$161*Q$10,IF($F175&lt;Q$9,MIN($I175/$I$161,$I175-SUM($K175:P175)),0))</f>
        <v>0</v>
      </c>
      <c r="R175" s="22">
        <f>IF($F175=R$9,$I175/$I$161*R$10,IF($F175&lt;R$9,MIN($I175/$I$161,$I175-SUM($K175:Q175)),0))</f>
        <v>0</v>
      </c>
      <c r="S175" s="22">
        <f>IF($F175=S$9,$I175/$I$161*S$10,IF($F175&lt;S$9,MIN($I175/$I$161,$I175-SUM($K175:R175)),0))</f>
        <v>0</v>
      </c>
      <c r="T175" s="22">
        <f>IF($F175=T$9,$I175/$I$161*T$10,IF($F175&lt;T$9,MIN($I175/$I$161,$I175-SUM($K175:S175)),0))</f>
        <v>0</v>
      </c>
      <c r="U175" s="22">
        <f>IF($F175=U$9,$I175/$I$161*U$10,IF($F175&lt;U$9,MIN($I175/$I$161,$I175-SUM($K175:T175)),0))</f>
        <v>0</v>
      </c>
      <c r="V175" s="22">
        <f>IF($F175=V$9,$I175/$I$161*V$10,IF($F175&lt;V$9,MIN($I175/$I$161,$I175-SUM($K175:U175)),0))</f>
        <v>0</v>
      </c>
      <c r="W175" s="22">
        <f>IF($F175=W$9,$I175/$I$161*W$10,IF($F175&lt;W$9,MIN($I175/$I$161,$I175-SUM($K175:V175)),0))</f>
        <v>0</v>
      </c>
      <c r="X175" s="22">
        <f>IF($F175=X$9,$I175/$I$161*X$10,IF($F175&lt;X$9,MIN($I175/$I$161,$I175-SUM($K175:W175)),0))</f>
        <v>0</v>
      </c>
      <c r="Y175" s="22">
        <f>IF($F175=Y$9,$I175/$I$161*Y$10,IF($F175&lt;Y$9,MIN($I175/$I$161,$I175-SUM($K175:X175)),0))</f>
        <v>0</v>
      </c>
      <c r="Z175" s="22">
        <f>IF($F175=Z$9,$I175/$I$161*Z$10,IF($F175&lt;Z$9,MIN($I175/$I$161,$I175-SUM($K175:Y175)),0))</f>
        <v>0</v>
      </c>
      <c r="AA175" s="22">
        <f>IF($F175=AA$9,$I175/$I$161*AA$10,IF($F175&lt;AA$9,MIN($I175/$I$161,$I175-SUM($K175:Z175)),0))</f>
        <v>0</v>
      </c>
      <c r="AB175" s="22">
        <f>IF($F175=AB$9,$I175/$I$161*AB$10,IF($F175&lt;AB$9,MIN($I175/$I$161,$I175-SUM($K175:AA175)),0))</f>
        <v>0</v>
      </c>
      <c r="AC175" s="22">
        <f>IF($F175=AC$9,$I175/$I$161*AC$10,IF($F175&lt;AC$9,MIN($I175/$I$161,$I175-SUM($K175:AB175)),0))</f>
        <v>0</v>
      </c>
      <c r="AD175" s="22">
        <f>IF($F175=AD$9,$I175/$I$161*AD$10,IF($F175&lt;AD$9,MIN($I175/$I$161,$I175-SUM($K175:AC175)),0))</f>
        <v>0</v>
      </c>
      <c r="AE175" s="22">
        <f>IF($F175=AE$9,$I175/$I$161*AE$10,IF($F175&lt;AE$9,MIN($I175/$I$161,$I175-SUM($K175:AD175)),0))</f>
        <v>0</v>
      </c>
      <c r="AF175" s="22">
        <f>IF($F175=AF$9,$I175/$I$161*AF$10,IF($F175&lt;AF$9,MIN($I175/$I$161,$I175-SUM($K175:AE175)),0))</f>
        <v>0</v>
      </c>
      <c r="AG175" s="22">
        <f>IF($F175=AG$9,$I175/$I$161*AG$10,IF($F175&lt;AG$9,MIN($I175/$I$161,$I175-SUM($K175:AF175)),0))</f>
        <v>0</v>
      </c>
      <c r="AH175" s="22">
        <f>IF($F175=AH$9,$I175/$I$161*AH$10,IF($F175&lt;AH$9,MIN($I175/$I$161,$I175-SUM($K175:AG175)),0))</f>
        <v>0</v>
      </c>
      <c r="AI175" s="22">
        <f>IF($F175=AI$9,$I175/$I$161*AI$10,IF($F175&lt;AI$9,MIN($I175/$I$161,$I175-SUM($K175:AH175)),0))</f>
        <v>0</v>
      </c>
      <c r="AJ175" s="22">
        <f>IF($F175=AJ$9,$I175/$I$161*AJ$10,IF($F175&lt;AJ$9,MIN($I175/$I$161,$I175-SUM($K175:AI175)),0))</f>
        <v>0</v>
      </c>
      <c r="AK175" s="22">
        <f>IF($F175=AK$9,$I175/$I$161*AK$10,IF($F175&lt;AK$9,MIN($I175/$I$161,$I175-SUM($K175:AJ175)),0))</f>
        <v>0</v>
      </c>
      <c r="AL175" s="22">
        <f>IF($F175=AL$9,$I175/$I$161*AL$10,IF($F175&lt;AL$9,MIN($I175/$I$161,$I175-SUM($K175:AK175)),0))</f>
        <v>0</v>
      </c>
      <c r="AM175" s="22">
        <f>IF($F175=AM$9,$I175/$I$161*AM$10,IF($F175&lt;AM$9,MIN($I175/$I$161,$I175-SUM($K175:AL175)),0))</f>
        <v>0</v>
      </c>
      <c r="AN175" s="22">
        <f>IF($F175=AN$9,$I175/$I$161*AN$10,IF($F175&lt;AN$9,MIN($I175/$I$161,$I175-SUM($K175:AM175)),0))</f>
        <v>0</v>
      </c>
      <c r="AO175" s="28"/>
    </row>
    <row r="176" spans="3:41" ht="14.4" customHeight="1" outlineLevel="1" x14ac:dyDescent="0.3">
      <c r="F176" s="69">
        <v>2037</v>
      </c>
      <c r="H176" s="26" t="s">
        <v>245</v>
      </c>
      <c r="I176" s="69">
        <v>0</v>
      </c>
      <c r="K176" s="89">
        <v>0</v>
      </c>
      <c r="L176" s="22">
        <f>IF($F176=L$9,$I176/$I$161*L$10,IF($F176&lt;L$9,MIN($I176/$I$161,$I176-SUM($K176:K176)),0))</f>
        <v>0</v>
      </c>
      <c r="M176" s="22">
        <f>IF($F176=M$9,$I176/$I$161*M$10,IF($F176&lt;M$9,MIN($I176/$I$161,$I176-SUM($K176:L176)),0))</f>
        <v>0</v>
      </c>
      <c r="N176" s="22">
        <f>IF($F176=N$9,$I176/$I$161*N$10,IF($F176&lt;N$9,MIN($I176/$I$161,$I176-SUM($K176:M176)),0))</f>
        <v>0</v>
      </c>
      <c r="O176" s="22">
        <f>IF($F176=O$9,$I176/$I$161*O$10,IF($F176&lt;O$9,MIN($I176/$I$161,$I176-SUM($K176:N176)),0))</f>
        <v>0</v>
      </c>
      <c r="P176" s="22">
        <f>IF($F176=P$9,$I176/$I$161*P$10,IF($F176&lt;P$9,MIN($I176/$I$161,$I176-SUM($K176:O176)),0))</f>
        <v>0</v>
      </c>
      <c r="Q176" s="22">
        <f>IF($F176=Q$9,$I176/$I$161*Q$10,IF($F176&lt;Q$9,MIN($I176/$I$161,$I176-SUM($K176:P176)),0))</f>
        <v>0</v>
      </c>
      <c r="R176" s="22">
        <f>IF($F176=R$9,$I176/$I$161*R$10,IF($F176&lt;R$9,MIN($I176/$I$161,$I176-SUM($K176:Q176)),0))</f>
        <v>0</v>
      </c>
      <c r="S176" s="22">
        <f>IF($F176=S$9,$I176/$I$161*S$10,IF($F176&lt;S$9,MIN($I176/$I$161,$I176-SUM($K176:R176)),0))</f>
        <v>0</v>
      </c>
      <c r="T176" s="22">
        <f>IF($F176=T$9,$I176/$I$161*T$10,IF($F176&lt;T$9,MIN($I176/$I$161,$I176-SUM($K176:S176)),0))</f>
        <v>0</v>
      </c>
      <c r="U176" s="22">
        <f>IF($F176=U$9,$I176/$I$161*U$10,IF($F176&lt;U$9,MIN($I176/$I$161,$I176-SUM($K176:T176)),0))</f>
        <v>0</v>
      </c>
      <c r="V176" s="22">
        <f>IF($F176=V$9,$I176/$I$161*V$10,IF($F176&lt;V$9,MIN($I176/$I$161,$I176-SUM($K176:U176)),0))</f>
        <v>0</v>
      </c>
      <c r="W176" s="22">
        <f>IF($F176=W$9,$I176/$I$161*W$10,IF($F176&lt;W$9,MIN($I176/$I$161,$I176-SUM($K176:V176)),0))</f>
        <v>0</v>
      </c>
      <c r="X176" s="22">
        <f>IF($F176=X$9,$I176/$I$161*X$10,IF($F176&lt;X$9,MIN($I176/$I$161,$I176-SUM($K176:W176)),0))</f>
        <v>0</v>
      </c>
      <c r="Y176" s="22">
        <f>IF($F176=Y$9,$I176/$I$161*Y$10,IF($F176&lt;Y$9,MIN($I176/$I$161,$I176-SUM($K176:X176)),0))</f>
        <v>0</v>
      </c>
      <c r="Z176" s="22">
        <f>IF($F176=Z$9,$I176/$I$161*Z$10,IF($F176&lt;Z$9,MIN($I176/$I$161,$I176-SUM($K176:Y176)),0))</f>
        <v>0</v>
      </c>
      <c r="AA176" s="22">
        <f>IF($F176=AA$9,$I176/$I$161*AA$10,IF($F176&lt;AA$9,MIN($I176/$I$161,$I176-SUM($K176:Z176)),0))</f>
        <v>0</v>
      </c>
      <c r="AB176" s="22">
        <f>IF($F176=AB$9,$I176/$I$161*AB$10,IF($F176&lt;AB$9,MIN($I176/$I$161,$I176-SUM($K176:AA176)),0))</f>
        <v>0</v>
      </c>
      <c r="AC176" s="22">
        <f>IF($F176=AC$9,$I176/$I$161*AC$10,IF($F176&lt;AC$9,MIN($I176/$I$161,$I176-SUM($K176:AB176)),0))</f>
        <v>0</v>
      </c>
      <c r="AD176" s="22">
        <f>IF($F176=AD$9,$I176/$I$161*AD$10,IF($F176&lt;AD$9,MIN($I176/$I$161,$I176-SUM($K176:AC176)),0))</f>
        <v>0</v>
      </c>
      <c r="AE176" s="22">
        <f>IF($F176=AE$9,$I176/$I$161*AE$10,IF($F176&lt;AE$9,MIN($I176/$I$161,$I176-SUM($K176:AD176)),0))</f>
        <v>0</v>
      </c>
      <c r="AF176" s="22">
        <f>IF($F176=AF$9,$I176/$I$161*AF$10,IF($F176&lt;AF$9,MIN($I176/$I$161,$I176-SUM($K176:AE176)),0))</f>
        <v>0</v>
      </c>
      <c r="AG176" s="22">
        <f>IF($F176=AG$9,$I176/$I$161*AG$10,IF($F176&lt;AG$9,MIN($I176/$I$161,$I176-SUM($K176:AF176)),0))</f>
        <v>0</v>
      </c>
      <c r="AH176" s="22">
        <f>IF($F176=AH$9,$I176/$I$161*AH$10,IF($F176&lt;AH$9,MIN($I176/$I$161,$I176-SUM($K176:AG176)),0))</f>
        <v>0</v>
      </c>
      <c r="AI176" s="22">
        <f>IF($F176=AI$9,$I176/$I$161*AI$10,IF($F176&lt;AI$9,MIN($I176/$I$161,$I176-SUM($K176:AH176)),0))</f>
        <v>0</v>
      </c>
      <c r="AJ176" s="22">
        <f>IF($F176=AJ$9,$I176/$I$161*AJ$10,IF($F176&lt;AJ$9,MIN($I176/$I$161,$I176-SUM($K176:AI176)),0))</f>
        <v>0</v>
      </c>
      <c r="AK176" s="22">
        <f>IF($F176=AK$9,$I176/$I$161*AK$10,IF($F176&lt;AK$9,MIN($I176/$I$161,$I176-SUM($K176:AJ176)),0))</f>
        <v>0</v>
      </c>
      <c r="AL176" s="22">
        <f>IF($F176=AL$9,$I176/$I$161*AL$10,IF($F176&lt;AL$9,MIN($I176/$I$161,$I176-SUM($K176:AK176)),0))</f>
        <v>0</v>
      </c>
      <c r="AM176" s="22">
        <f>IF($F176=AM$9,$I176/$I$161*AM$10,IF($F176&lt;AM$9,MIN($I176/$I$161,$I176-SUM($K176:AL176)),0))</f>
        <v>0</v>
      </c>
      <c r="AN176" s="22">
        <f>IF($F176=AN$9,$I176/$I$161*AN$10,IF($F176&lt;AN$9,MIN($I176/$I$161,$I176-SUM($K176:AM176)),0))</f>
        <v>0</v>
      </c>
      <c r="AO176" s="28"/>
    </row>
    <row r="177" spans="6:41" ht="14.4" customHeight="1" outlineLevel="1" x14ac:dyDescent="0.3">
      <c r="F177" s="69">
        <v>2038</v>
      </c>
      <c r="H177" s="26" t="s">
        <v>245</v>
      </c>
      <c r="I177" s="69">
        <v>0</v>
      </c>
      <c r="K177" s="89">
        <v>0</v>
      </c>
      <c r="L177" s="22">
        <f>IF($F177=L$9,$I177/$I$161*L$10,IF($F177&lt;L$9,MIN($I177/$I$161,$I177-SUM($K177:K177)),0))</f>
        <v>0</v>
      </c>
      <c r="M177" s="22">
        <f>IF($F177=M$9,$I177/$I$161*M$10,IF($F177&lt;M$9,MIN($I177/$I$161,$I177-SUM($K177:L177)),0))</f>
        <v>0</v>
      </c>
      <c r="N177" s="22">
        <f>IF($F177=N$9,$I177/$I$161*N$10,IF($F177&lt;N$9,MIN($I177/$I$161,$I177-SUM($K177:M177)),0))</f>
        <v>0</v>
      </c>
      <c r="O177" s="22">
        <f>IF($F177=O$9,$I177/$I$161*O$10,IF($F177&lt;O$9,MIN($I177/$I$161,$I177-SUM($K177:N177)),0))</f>
        <v>0</v>
      </c>
      <c r="P177" s="22">
        <f>IF($F177=P$9,$I177/$I$161*P$10,IF($F177&lt;P$9,MIN($I177/$I$161,$I177-SUM($K177:O177)),0))</f>
        <v>0</v>
      </c>
      <c r="Q177" s="22">
        <f>IF($F177=Q$9,$I177/$I$161*Q$10,IF($F177&lt;Q$9,MIN($I177/$I$161,$I177-SUM($K177:P177)),0))</f>
        <v>0</v>
      </c>
      <c r="R177" s="22">
        <f>IF($F177=R$9,$I177/$I$161*R$10,IF($F177&lt;R$9,MIN($I177/$I$161,$I177-SUM($K177:Q177)),0))</f>
        <v>0</v>
      </c>
      <c r="S177" s="22">
        <f>IF($F177=S$9,$I177/$I$161*S$10,IF($F177&lt;S$9,MIN($I177/$I$161,$I177-SUM($K177:R177)),0))</f>
        <v>0</v>
      </c>
      <c r="T177" s="22">
        <f>IF($F177=T$9,$I177/$I$161*T$10,IF($F177&lt;T$9,MIN($I177/$I$161,$I177-SUM($K177:S177)),0))</f>
        <v>0</v>
      </c>
      <c r="U177" s="22">
        <f>IF($F177=U$9,$I177/$I$161*U$10,IF($F177&lt;U$9,MIN($I177/$I$161,$I177-SUM($K177:T177)),0))</f>
        <v>0</v>
      </c>
      <c r="V177" s="22">
        <f>IF($F177=V$9,$I177/$I$161*V$10,IF($F177&lt;V$9,MIN($I177/$I$161,$I177-SUM($K177:U177)),0))</f>
        <v>0</v>
      </c>
      <c r="W177" s="22">
        <f>IF($F177=W$9,$I177/$I$161*W$10,IF($F177&lt;W$9,MIN($I177/$I$161,$I177-SUM($K177:V177)),0))</f>
        <v>0</v>
      </c>
      <c r="X177" s="22">
        <f>IF($F177=X$9,$I177/$I$161*X$10,IF($F177&lt;X$9,MIN($I177/$I$161,$I177-SUM($K177:W177)),0))</f>
        <v>0</v>
      </c>
      <c r="Y177" s="22">
        <f>IF($F177=Y$9,$I177/$I$161*Y$10,IF($F177&lt;Y$9,MIN($I177/$I$161,$I177-SUM($K177:X177)),0))</f>
        <v>0</v>
      </c>
      <c r="Z177" s="22">
        <f>IF($F177=Z$9,$I177/$I$161*Z$10,IF($F177&lt;Z$9,MIN($I177/$I$161,$I177-SUM($K177:Y177)),0))</f>
        <v>0</v>
      </c>
      <c r="AA177" s="22">
        <f>IF($F177=AA$9,$I177/$I$161*AA$10,IF($F177&lt;AA$9,MIN($I177/$I$161,$I177-SUM($K177:Z177)),0))</f>
        <v>0</v>
      </c>
      <c r="AB177" s="22">
        <f>IF($F177=AB$9,$I177/$I$161*AB$10,IF($F177&lt;AB$9,MIN($I177/$I$161,$I177-SUM($K177:AA177)),0))</f>
        <v>0</v>
      </c>
      <c r="AC177" s="22">
        <f>IF($F177=AC$9,$I177/$I$161*AC$10,IF($F177&lt;AC$9,MIN($I177/$I$161,$I177-SUM($K177:AB177)),0))</f>
        <v>0</v>
      </c>
      <c r="AD177" s="22">
        <f>IF($F177=AD$9,$I177/$I$161*AD$10,IF($F177&lt;AD$9,MIN($I177/$I$161,$I177-SUM($K177:AC177)),0))</f>
        <v>0</v>
      </c>
      <c r="AE177" s="22">
        <f>IF($F177=AE$9,$I177/$I$161*AE$10,IF($F177&lt;AE$9,MIN($I177/$I$161,$I177-SUM($K177:AD177)),0))</f>
        <v>0</v>
      </c>
      <c r="AF177" s="22">
        <f>IF($F177=AF$9,$I177/$I$161*AF$10,IF($F177&lt;AF$9,MIN($I177/$I$161,$I177-SUM($K177:AE177)),0))</f>
        <v>0</v>
      </c>
      <c r="AG177" s="22">
        <f>IF($F177=AG$9,$I177/$I$161*AG$10,IF($F177&lt;AG$9,MIN($I177/$I$161,$I177-SUM($K177:AF177)),0))</f>
        <v>0</v>
      </c>
      <c r="AH177" s="22">
        <f>IF($F177=AH$9,$I177/$I$161*AH$10,IF($F177&lt;AH$9,MIN($I177/$I$161,$I177-SUM($K177:AG177)),0))</f>
        <v>0</v>
      </c>
      <c r="AI177" s="22">
        <f>IF($F177=AI$9,$I177/$I$161*AI$10,IF($F177&lt;AI$9,MIN($I177/$I$161,$I177-SUM($K177:AH177)),0))</f>
        <v>0</v>
      </c>
      <c r="AJ177" s="22">
        <f>IF($F177=AJ$9,$I177/$I$161*AJ$10,IF($F177&lt;AJ$9,MIN($I177/$I$161,$I177-SUM($K177:AI177)),0))</f>
        <v>0</v>
      </c>
      <c r="AK177" s="22">
        <f>IF($F177=AK$9,$I177/$I$161*AK$10,IF($F177&lt;AK$9,MIN($I177/$I$161,$I177-SUM($K177:AJ177)),0))</f>
        <v>0</v>
      </c>
      <c r="AL177" s="22">
        <f>IF($F177=AL$9,$I177/$I$161*AL$10,IF($F177&lt;AL$9,MIN($I177/$I$161,$I177-SUM($K177:AK177)),0))</f>
        <v>0</v>
      </c>
      <c r="AM177" s="22">
        <f>IF($F177=AM$9,$I177/$I$161*AM$10,IF($F177&lt;AM$9,MIN($I177/$I$161,$I177-SUM($K177:AL177)),0))</f>
        <v>0</v>
      </c>
      <c r="AN177" s="22">
        <f>IF($F177=AN$9,$I177/$I$161*AN$10,IF($F177&lt;AN$9,MIN($I177/$I$161,$I177-SUM($K177:AM177)),0))</f>
        <v>0</v>
      </c>
      <c r="AO177" s="28"/>
    </row>
    <row r="178" spans="6:41" ht="14.4" customHeight="1" outlineLevel="1" x14ac:dyDescent="0.3">
      <c r="F178" s="69">
        <v>2039</v>
      </c>
      <c r="H178" s="26" t="s">
        <v>245</v>
      </c>
      <c r="I178" s="69">
        <v>0</v>
      </c>
      <c r="K178" s="89">
        <v>0</v>
      </c>
      <c r="L178" s="22">
        <f>IF($F178=L$9,$I178/$I$161*L$10,IF($F178&lt;L$9,MIN($I178/$I$161,$I178-SUM($K178:K178)),0))</f>
        <v>0</v>
      </c>
      <c r="M178" s="22">
        <f>IF($F178=M$9,$I178/$I$161*M$10,IF($F178&lt;M$9,MIN($I178/$I$161,$I178-SUM($K178:L178)),0))</f>
        <v>0</v>
      </c>
      <c r="N178" s="22">
        <f>IF($F178=N$9,$I178/$I$161*N$10,IF($F178&lt;N$9,MIN($I178/$I$161,$I178-SUM($K178:M178)),0))</f>
        <v>0</v>
      </c>
      <c r="O178" s="22">
        <f>IF($F178=O$9,$I178/$I$161*O$10,IF($F178&lt;O$9,MIN($I178/$I$161,$I178-SUM($K178:N178)),0))</f>
        <v>0</v>
      </c>
      <c r="P178" s="22">
        <f>IF($F178=P$9,$I178/$I$161*P$10,IF($F178&lt;P$9,MIN($I178/$I$161,$I178-SUM($K178:O178)),0))</f>
        <v>0</v>
      </c>
      <c r="Q178" s="22">
        <f>IF($F178=Q$9,$I178/$I$161*Q$10,IF($F178&lt;Q$9,MIN($I178/$I$161,$I178-SUM($K178:P178)),0))</f>
        <v>0</v>
      </c>
      <c r="R178" s="22">
        <f>IF($F178=R$9,$I178/$I$161*R$10,IF($F178&lt;R$9,MIN($I178/$I$161,$I178-SUM($K178:Q178)),0))</f>
        <v>0</v>
      </c>
      <c r="S178" s="22">
        <f>IF($F178=S$9,$I178/$I$161*S$10,IF($F178&lt;S$9,MIN($I178/$I$161,$I178-SUM($K178:R178)),0))</f>
        <v>0</v>
      </c>
      <c r="T178" s="22">
        <f>IF($F178=T$9,$I178/$I$161*T$10,IF($F178&lt;T$9,MIN($I178/$I$161,$I178-SUM($K178:S178)),0))</f>
        <v>0</v>
      </c>
      <c r="U178" s="22">
        <f>IF($F178=U$9,$I178/$I$161*U$10,IF($F178&lt;U$9,MIN($I178/$I$161,$I178-SUM($K178:T178)),0))</f>
        <v>0</v>
      </c>
      <c r="V178" s="22">
        <f>IF($F178=V$9,$I178/$I$161*V$10,IF($F178&lt;V$9,MIN($I178/$I$161,$I178-SUM($K178:U178)),0))</f>
        <v>0</v>
      </c>
      <c r="W178" s="22">
        <f>IF($F178=W$9,$I178/$I$161*W$10,IF($F178&lt;W$9,MIN($I178/$I$161,$I178-SUM($K178:V178)),0))</f>
        <v>0</v>
      </c>
      <c r="X178" s="22">
        <f>IF($F178=X$9,$I178/$I$161*X$10,IF($F178&lt;X$9,MIN($I178/$I$161,$I178-SUM($K178:W178)),0))</f>
        <v>0</v>
      </c>
      <c r="Y178" s="22">
        <f>IF($F178=Y$9,$I178/$I$161*Y$10,IF($F178&lt;Y$9,MIN($I178/$I$161,$I178-SUM($K178:X178)),0))</f>
        <v>0</v>
      </c>
      <c r="Z178" s="22">
        <f>IF($F178=Z$9,$I178/$I$161*Z$10,IF($F178&lt;Z$9,MIN($I178/$I$161,$I178-SUM($K178:Y178)),0))</f>
        <v>0</v>
      </c>
      <c r="AA178" s="22">
        <f>IF($F178=AA$9,$I178/$I$161*AA$10,IF($F178&lt;AA$9,MIN($I178/$I$161,$I178-SUM($K178:Z178)),0))</f>
        <v>0</v>
      </c>
      <c r="AB178" s="22">
        <f>IF($F178=AB$9,$I178/$I$161*AB$10,IF($F178&lt;AB$9,MIN($I178/$I$161,$I178-SUM($K178:AA178)),0))</f>
        <v>0</v>
      </c>
      <c r="AC178" s="22">
        <f>IF($F178=AC$9,$I178/$I$161*AC$10,IF($F178&lt;AC$9,MIN($I178/$I$161,$I178-SUM($K178:AB178)),0))</f>
        <v>0</v>
      </c>
      <c r="AD178" s="22">
        <f>IF($F178=AD$9,$I178/$I$161*AD$10,IF($F178&lt;AD$9,MIN($I178/$I$161,$I178-SUM($K178:AC178)),0))</f>
        <v>0</v>
      </c>
      <c r="AE178" s="22">
        <f>IF($F178=AE$9,$I178/$I$161*AE$10,IF($F178&lt;AE$9,MIN($I178/$I$161,$I178-SUM($K178:AD178)),0))</f>
        <v>0</v>
      </c>
      <c r="AF178" s="22">
        <f>IF($F178=AF$9,$I178/$I$161*AF$10,IF($F178&lt;AF$9,MIN($I178/$I$161,$I178-SUM($K178:AE178)),0))</f>
        <v>0</v>
      </c>
      <c r="AG178" s="22">
        <f>IF($F178=AG$9,$I178/$I$161*AG$10,IF($F178&lt;AG$9,MIN($I178/$I$161,$I178-SUM($K178:AF178)),0))</f>
        <v>0</v>
      </c>
      <c r="AH178" s="22">
        <f>IF($F178=AH$9,$I178/$I$161*AH$10,IF($F178&lt;AH$9,MIN($I178/$I$161,$I178-SUM($K178:AG178)),0))</f>
        <v>0</v>
      </c>
      <c r="AI178" s="22">
        <f>IF($F178=AI$9,$I178/$I$161*AI$10,IF($F178&lt;AI$9,MIN($I178/$I$161,$I178-SUM($K178:AH178)),0))</f>
        <v>0</v>
      </c>
      <c r="AJ178" s="22">
        <f>IF($F178=AJ$9,$I178/$I$161*AJ$10,IF($F178&lt;AJ$9,MIN($I178/$I$161,$I178-SUM($K178:AI178)),0))</f>
        <v>0</v>
      </c>
      <c r="AK178" s="22">
        <f>IF($F178=AK$9,$I178/$I$161*AK$10,IF($F178&lt;AK$9,MIN($I178/$I$161,$I178-SUM($K178:AJ178)),0))</f>
        <v>0</v>
      </c>
      <c r="AL178" s="22">
        <f>IF($F178=AL$9,$I178/$I$161*AL$10,IF($F178&lt;AL$9,MIN($I178/$I$161,$I178-SUM($K178:AK178)),0))</f>
        <v>0</v>
      </c>
      <c r="AM178" s="22">
        <f>IF($F178=AM$9,$I178/$I$161*AM$10,IF($F178&lt;AM$9,MIN($I178/$I$161,$I178-SUM($K178:AL178)),0))</f>
        <v>0</v>
      </c>
      <c r="AN178" s="22">
        <f>IF($F178=AN$9,$I178/$I$161*AN$10,IF($F178&lt;AN$9,MIN($I178/$I$161,$I178-SUM($K178:AM178)),0))</f>
        <v>0</v>
      </c>
      <c r="AO178" s="28"/>
    </row>
    <row r="179" spans="6:41" ht="14.4" customHeight="1" outlineLevel="1" x14ac:dyDescent="0.3">
      <c r="F179" s="69">
        <v>2040</v>
      </c>
      <c r="H179" s="26" t="s">
        <v>245</v>
      </c>
      <c r="I179" s="69">
        <v>0</v>
      </c>
      <c r="K179" s="89">
        <v>0</v>
      </c>
      <c r="L179" s="22">
        <f>IF($F179=L$9,$I179/$I$161*L$10,IF($F179&lt;L$9,MIN($I179/$I$161,$I179-SUM($K179:K179)),0))</f>
        <v>0</v>
      </c>
      <c r="M179" s="22">
        <f>IF($F179=M$9,$I179/$I$161*M$10,IF($F179&lt;M$9,MIN($I179/$I$161,$I179-SUM($K179:L179)),0))</f>
        <v>0</v>
      </c>
      <c r="N179" s="22">
        <f>IF($F179=N$9,$I179/$I$161*N$10,IF($F179&lt;N$9,MIN($I179/$I$161,$I179-SUM($K179:M179)),0))</f>
        <v>0</v>
      </c>
      <c r="O179" s="22">
        <f>IF($F179=O$9,$I179/$I$161*O$10,IF($F179&lt;O$9,MIN($I179/$I$161,$I179-SUM($K179:N179)),0))</f>
        <v>0</v>
      </c>
      <c r="P179" s="22">
        <f>IF($F179=P$9,$I179/$I$161*P$10,IF($F179&lt;P$9,MIN($I179/$I$161,$I179-SUM($K179:O179)),0))</f>
        <v>0</v>
      </c>
      <c r="Q179" s="22">
        <f>IF($F179=Q$9,$I179/$I$161*Q$10,IF($F179&lt;Q$9,MIN($I179/$I$161,$I179-SUM($K179:P179)),0))</f>
        <v>0</v>
      </c>
      <c r="R179" s="22">
        <f>IF($F179=R$9,$I179/$I$161*R$10,IF($F179&lt;R$9,MIN($I179/$I$161,$I179-SUM($K179:Q179)),0))</f>
        <v>0</v>
      </c>
      <c r="S179" s="22">
        <f>IF($F179=S$9,$I179/$I$161*S$10,IF($F179&lt;S$9,MIN($I179/$I$161,$I179-SUM($K179:R179)),0))</f>
        <v>0</v>
      </c>
      <c r="T179" s="22">
        <f>IF($F179=T$9,$I179/$I$161*T$10,IF($F179&lt;T$9,MIN($I179/$I$161,$I179-SUM($K179:S179)),0))</f>
        <v>0</v>
      </c>
      <c r="U179" s="22">
        <f>IF($F179=U$9,$I179/$I$161*U$10,IF($F179&lt;U$9,MIN($I179/$I$161,$I179-SUM($K179:T179)),0))</f>
        <v>0</v>
      </c>
      <c r="V179" s="22">
        <f>IF($F179=V$9,$I179/$I$161*V$10,IF($F179&lt;V$9,MIN($I179/$I$161,$I179-SUM($K179:U179)),0))</f>
        <v>0</v>
      </c>
      <c r="W179" s="22">
        <f>IF($F179=W$9,$I179/$I$161*W$10,IF($F179&lt;W$9,MIN($I179/$I$161,$I179-SUM($K179:V179)),0))</f>
        <v>0</v>
      </c>
      <c r="X179" s="22">
        <f>IF($F179=X$9,$I179/$I$161*X$10,IF($F179&lt;X$9,MIN($I179/$I$161,$I179-SUM($K179:W179)),0))</f>
        <v>0</v>
      </c>
      <c r="Y179" s="22">
        <f>IF($F179=Y$9,$I179/$I$161*Y$10,IF($F179&lt;Y$9,MIN($I179/$I$161,$I179-SUM($K179:X179)),0))</f>
        <v>0</v>
      </c>
      <c r="Z179" s="22">
        <f>IF($F179=Z$9,$I179/$I$161*Z$10,IF($F179&lt;Z$9,MIN($I179/$I$161,$I179-SUM($K179:Y179)),0))</f>
        <v>0</v>
      </c>
      <c r="AA179" s="22">
        <f>IF($F179=AA$9,$I179/$I$161*AA$10,IF($F179&lt;AA$9,MIN($I179/$I$161,$I179-SUM($K179:Z179)),0))</f>
        <v>0</v>
      </c>
      <c r="AB179" s="22">
        <f>IF($F179=AB$9,$I179/$I$161*AB$10,IF($F179&lt;AB$9,MIN($I179/$I$161,$I179-SUM($K179:AA179)),0))</f>
        <v>0</v>
      </c>
      <c r="AC179" s="22">
        <f>IF($F179=AC$9,$I179/$I$161*AC$10,IF($F179&lt;AC$9,MIN($I179/$I$161,$I179-SUM($K179:AB179)),0))</f>
        <v>0</v>
      </c>
      <c r="AD179" s="22">
        <f>IF($F179=AD$9,$I179/$I$161*AD$10,IF($F179&lt;AD$9,MIN($I179/$I$161,$I179-SUM($K179:AC179)),0))</f>
        <v>0</v>
      </c>
      <c r="AE179" s="22">
        <f>IF($F179=AE$9,$I179/$I$161*AE$10,IF($F179&lt;AE$9,MIN($I179/$I$161,$I179-SUM($K179:AD179)),0))</f>
        <v>0</v>
      </c>
      <c r="AF179" s="22">
        <f>IF($F179=AF$9,$I179/$I$161*AF$10,IF($F179&lt;AF$9,MIN($I179/$I$161,$I179-SUM($K179:AE179)),0))</f>
        <v>0</v>
      </c>
      <c r="AG179" s="22">
        <f>IF($F179=AG$9,$I179/$I$161*AG$10,IF($F179&lt;AG$9,MIN($I179/$I$161,$I179-SUM($K179:AF179)),0))</f>
        <v>0</v>
      </c>
      <c r="AH179" s="22">
        <f>IF($F179=AH$9,$I179/$I$161*AH$10,IF($F179&lt;AH$9,MIN($I179/$I$161,$I179-SUM($K179:AG179)),0))</f>
        <v>0</v>
      </c>
      <c r="AI179" s="22">
        <f>IF($F179=AI$9,$I179/$I$161*AI$10,IF($F179&lt;AI$9,MIN($I179/$I$161,$I179-SUM($K179:AH179)),0))</f>
        <v>0</v>
      </c>
      <c r="AJ179" s="22">
        <f>IF($F179=AJ$9,$I179/$I$161*AJ$10,IF($F179&lt;AJ$9,MIN($I179/$I$161,$I179-SUM($K179:AI179)),0))</f>
        <v>0</v>
      </c>
      <c r="AK179" s="22">
        <f>IF($F179=AK$9,$I179/$I$161*AK$10,IF($F179&lt;AK$9,MIN($I179/$I$161,$I179-SUM($K179:AJ179)),0))</f>
        <v>0</v>
      </c>
      <c r="AL179" s="22">
        <f>IF($F179=AL$9,$I179/$I$161*AL$10,IF($F179&lt;AL$9,MIN($I179/$I$161,$I179-SUM($K179:AK179)),0))</f>
        <v>0</v>
      </c>
      <c r="AM179" s="22">
        <f>IF($F179=AM$9,$I179/$I$161*AM$10,IF($F179&lt;AM$9,MIN($I179/$I$161,$I179-SUM($K179:AL179)),0))</f>
        <v>0</v>
      </c>
      <c r="AN179" s="22">
        <f>IF($F179=AN$9,$I179/$I$161*AN$10,IF($F179&lt;AN$9,MIN($I179/$I$161,$I179-SUM($K179:AM179)),0))</f>
        <v>0</v>
      </c>
      <c r="AO179" s="28"/>
    </row>
    <row r="180" spans="6:41" ht="14.4" customHeight="1" outlineLevel="1" x14ac:dyDescent="0.3">
      <c r="F180" s="69">
        <v>2041</v>
      </c>
      <c r="H180" s="26" t="s">
        <v>245</v>
      </c>
      <c r="I180" s="69">
        <v>0</v>
      </c>
      <c r="K180" s="89">
        <v>0</v>
      </c>
      <c r="L180" s="22">
        <f>IF($F180=L$9,$I180/$I$161*L$10,IF($F180&lt;L$9,MIN($I180/$I$161,$I180-SUM($K180:K180)),0))</f>
        <v>0</v>
      </c>
      <c r="M180" s="22">
        <f>IF($F180=M$9,$I180/$I$161*M$10,IF($F180&lt;M$9,MIN($I180/$I$161,$I180-SUM($K180:L180)),0))</f>
        <v>0</v>
      </c>
      <c r="N180" s="22">
        <f>IF($F180=N$9,$I180/$I$161*N$10,IF($F180&lt;N$9,MIN($I180/$I$161,$I180-SUM($K180:M180)),0))</f>
        <v>0</v>
      </c>
      <c r="O180" s="22">
        <f>IF($F180=O$9,$I180/$I$161*O$10,IF($F180&lt;O$9,MIN($I180/$I$161,$I180-SUM($K180:N180)),0))</f>
        <v>0</v>
      </c>
      <c r="P180" s="22">
        <f>IF($F180=P$9,$I180/$I$161*P$10,IF($F180&lt;P$9,MIN($I180/$I$161,$I180-SUM($K180:O180)),0))</f>
        <v>0</v>
      </c>
      <c r="Q180" s="22">
        <f>IF($F180=Q$9,$I180/$I$161*Q$10,IF($F180&lt;Q$9,MIN($I180/$I$161,$I180-SUM($K180:P180)),0))</f>
        <v>0</v>
      </c>
      <c r="R180" s="22">
        <f>IF($F180=R$9,$I180/$I$161*R$10,IF($F180&lt;R$9,MIN($I180/$I$161,$I180-SUM($K180:Q180)),0))</f>
        <v>0</v>
      </c>
      <c r="S180" s="22">
        <f>IF($F180=S$9,$I180/$I$161*S$10,IF($F180&lt;S$9,MIN($I180/$I$161,$I180-SUM($K180:R180)),0))</f>
        <v>0</v>
      </c>
      <c r="T180" s="22">
        <f>IF($F180=T$9,$I180/$I$161*T$10,IF($F180&lt;T$9,MIN($I180/$I$161,$I180-SUM($K180:S180)),0))</f>
        <v>0</v>
      </c>
      <c r="U180" s="22">
        <f>IF($F180=U$9,$I180/$I$161*U$10,IF($F180&lt;U$9,MIN($I180/$I$161,$I180-SUM($K180:T180)),0))</f>
        <v>0</v>
      </c>
      <c r="V180" s="22">
        <f>IF($F180=V$9,$I180/$I$161*V$10,IF($F180&lt;V$9,MIN($I180/$I$161,$I180-SUM($K180:U180)),0))</f>
        <v>0</v>
      </c>
      <c r="W180" s="22">
        <f>IF($F180=W$9,$I180/$I$161*W$10,IF($F180&lt;W$9,MIN($I180/$I$161,$I180-SUM($K180:V180)),0))</f>
        <v>0</v>
      </c>
      <c r="X180" s="22">
        <f>IF($F180=X$9,$I180/$I$161*X$10,IF($F180&lt;X$9,MIN($I180/$I$161,$I180-SUM($K180:W180)),0))</f>
        <v>0</v>
      </c>
      <c r="Y180" s="22">
        <f>IF($F180=Y$9,$I180/$I$161*Y$10,IF($F180&lt;Y$9,MIN($I180/$I$161,$I180-SUM($K180:X180)),0))</f>
        <v>0</v>
      </c>
      <c r="Z180" s="22">
        <f>IF($F180=Z$9,$I180/$I$161*Z$10,IF($F180&lt;Z$9,MIN($I180/$I$161,$I180-SUM($K180:Y180)),0))</f>
        <v>0</v>
      </c>
      <c r="AA180" s="22">
        <f>IF($F180=AA$9,$I180/$I$161*AA$10,IF($F180&lt;AA$9,MIN($I180/$I$161,$I180-SUM($K180:Z180)),0))</f>
        <v>0</v>
      </c>
      <c r="AB180" s="22">
        <f>IF($F180=AB$9,$I180/$I$161*AB$10,IF($F180&lt;AB$9,MIN($I180/$I$161,$I180-SUM($K180:AA180)),0))</f>
        <v>0</v>
      </c>
      <c r="AC180" s="22">
        <f>IF($F180=AC$9,$I180/$I$161*AC$10,IF($F180&lt;AC$9,MIN($I180/$I$161,$I180-SUM($K180:AB180)),0))</f>
        <v>0</v>
      </c>
      <c r="AD180" s="22">
        <f>IF($F180=AD$9,$I180/$I$161*AD$10,IF($F180&lt;AD$9,MIN($I180/$I$161,$I180-SUM($K180:AC180)),0))</f>
        <v>0</v>
      </c>
      <c r="AE180" s="22">
        <f>IF($F180=AE$9,$I180/$I$161*AE$10,IF($F180&lt;AE$9,MIN($I180/$I$161,$I180-SUM($K180:AD180)),0))</f>
        <v>0</v>
      </c>
      <c r="AF180" s="22">
        <f>IF($F180=AF$9,$I180/$I$161*AF$10,IF($F180&lt;AF$9,MIN($I180/$I$161,$I180-SUM($K180:AE180)),0))</f>
        <v>0</v>
      </c>
      <c r="AG180" s="22">
        <f>IF($F180=AG$9,$I180/$I$161*AG$10,IF($F180&lt;AG$9,MIN($I180/$I$161,$I180-SUM($K180:AF180)),0))</f>
        <v>0</v>
      </c>
      <c r="AH180" s="22">
        <f>IF($F180=AH$9,$I180/$I$161*AH$10,IF($F180&lt;AH$9,MIN($I180/$I$161,$I180-SUM($K180:AG180)),0))</f>
        <v>0</v>
      </c>
      <c r="AI180" s="22">
        <f>IF($F180=AI$9,$I180/$I$161*AI$10,IF($F180&lt;AI$9,MIN($I180/$I$161,$I180-SUM($K180:AH180)),0))</f>
        <v>0</v>
      </c>
      <c r="AJ180" s="22">
        <f>IF($F180=AJ$9,$I180/$I$161*AJ$10,IF($F180&lt;AJ$9,MIN($I180/$I$161,$I180-SUM($K180:AI180)),0))</f>
        <v>0</v>
      </c>
      <c r="AK180" s="22">
        <f>IF($F180=AK$9,$I180/$I$161*AK$10,IF($F180&lt;AK$9,MIN($I180/$I$161,$I180-SUM($K180:AJ180)),0))</f>
        <v>0</v>
      </c>
      <c r="AL180" s="22">
        <f>IF($F180=AL$9,$I180/$I$161*AL$10,IF($F180&lt;AL$9,MIN($I180/$I$161,$I180-SUM($K180:AK180)),0))</f>
        <v>0</v>
      </c>
      <c r="AM180" s="22">
        <f>IF($F180=AM$9,$I180/$I$161*AM$10,IF($F180&lt;AM$9,MIN($I180/$I$161,$I180-SUM($K180:AL180)),0))</f>
        <v>0</v>
      </c>
      <c r="AN180" s="22">
        <f>IF($F180=AN$9,$I180/$I$161*AN$10,IF($F180&lt;AN$9,MIN($I180/$I$161,$I180-SUM($K180:AM180)),0))</f>
        <v>0</v>
      </c>
      <c r="AO180" s="28"/>
    </row>
    <row r="181" spans="6:41" ht="14.4" customHeight="1" outlineLevel="1" x14ac:dyDescent="0.3">
      <c r="F181" s="69" t="str">
        <v/>
      </c>
      <c r="H181" s="26" t="s">
        <v>245</v>
      </c>
      <c r="I181" s="69">
        <v>0</v>
      </c>
      <c r="K181" s="89">
        <v>0</v>
      </c>
      <c r="L181" s="22">
        <f>IF($F181=L$9,$I181/$I$161*L$10,IF($F181&lt;L$9,MIN($I181/$I$161,$I181-SUM($K181:K181)),0))</f>
        <v>0</v>
      </c>
      <c r="M181" s="22">
        <f>IF($F181=M$9,$I181/$I$161*M$10,IF($F181&lt;M$9,MIN($I181/$I$161,$I181-SUM($K181:L181)),0))</f>
        <v>0</v>
      </c>
      <c r="N181" s="22">
        <f>IF($F181=N$9,$I181/$I$161*N$10,IF($F181&lt;N$9,MIN($I181/$I$161,$I181-SUM($K181:M181)),0))</f>
        <v>0</v>
      </c>
      <c r="O181" s="22">
        <f>IF($F181=O$9,$I181/$I$161*O$10,IF($F181&lt;O$9,MIN($I181/$I$161,$I181-SUM($K181:N181)),0))</f>
        <v>0</v>
      </c>
      <c r="P181" s="22">
        <f>IF($F181=P$9,$I181/$I$161*P$10,IF($F181&lt;P$9,MIN($I181/$I$161,$I181-SUM($K181:O181)),0))</f>
        <v>0</v>
      </c>
      <c r="Q181" s="22">
        <f>IF($F181=Q$9,$I181/$I$161*Q$10,IF($F181&lt;Q$9,MIN($I181/$I$161,$I181-SUM($K181:P181)),0))</f>
        <v>0</v>
      </c>
      <c r="R181" s="22">
        <f>IF($F181=R$9,$I181/$I$161*R$10,IF($F181&lt;R$9,MIN($I181/$I$161,$I181-SUM($K181:Q181)),0))</f>
        <v>0</v>
      </c>
      <c r="S181" s="22">
        <f>IF($F181=S$9,$I181/$I$161*S$10,IF($F181&lt;S$9,MIN($I181/$I$161,$I181-SUM($K181:R181)),0))</f>
        <v>0</v>
      </c>
      <c r="T181" s="22">
        <f>IF($F181=T$9,$I181/$I$161*T$10,IF($F181&lt;T$9,MIN($I181/$I$161,$I181-SUM($K181:S181)),0))</f>
        <v>0</v>
      </c>
      <c r="U181" s="22">
        <f>IF($F181=U$9,$I181/$I$161*U$10,IF($F181&lt;U$9,MIN($I181/$I$161,$I181-SUM($K181:T181)),0))</f>
        <v>0</v>
      </c>
      <c r="V181" s="22">
        <f>IF($F181=V$9,$I181/$I$161*V$10,IF($F181&lt;V$9,MIN($I181/$I$161,$I181-SUM($K181:U181)),0))</f>
        <v>0</v>
      </c>
      <c r="W181" s="22">
        <f>IF($F181=W$9,$I181/$I$161*W$10,IF($F181&lt;W$9,MIN($I181/$I$161,$I181-SUM($K181:V181)),0))</f>
        <v>0</v>
      </c>
      <c r="X181" s="22">
        <f>IF($F181=X$9,$I181/$I$161*X$10,IF($F181&lt;X$9,MIN($I181/$I$161,$I181-SUM($K181:W181)),0))</f>
        <v>0</v>
      </c>
      <c r="Y181" s="22">
        <f>IF($F181=Y$9,$I181/$I$161*Y$10,IF($F181&lt;Y$9,MIN($I181/$I$161,$I181-SUM($K181:X181)),0))</f>
        <v>0</v>
      </c>
      <c r="Z181" s="22">
        <f>IF($F181=Z$9,$I181/$I$161*Z$10,IF($F181&lt;Z$9,MIN($I181/$I$161,$I181-SUM($K181:Y181)),0))</f>
        <v>0</v>
      </c>
      <c r="AA181" s="22">
        <f>IF($F181=AA$9,$I181/$I$161*AA$10,IF($F181&lt;AA$9,MIN($I181/$I$161,$I181-SUM($K181:Z181)),0))</f>
        <v>0</v>
      </c>
      <c r="AB181" s="22">
        <f>IF($F181=AB$9,$I181/$I$161*AB$10,IF($F181&lt;AB$9,MIN($I181/$I$161,$I181-SUM($K181:AA181)),0))</f>
        <v>0</v>
      </c>
      <c r="AC181" s="22">
        <f>IF($F181=AC$9,$I181/$I$161*AC$10,IF($F181&lt;AC$9,MIN($I181/$I$161,$I181-SUM($K181:AB181)),0))</f>
        <v>0</v>
      </c>
      <c r="AD181" s="22">
        <f>IF($F181=AD$9,$I181/$I$161*AD$10,IF($F181&lt;AD$9,MIN($I181/$I$161,$I181-SUM($K181:AC181)),0))</f>
        <v>0</v>
      </c>
      <c r="AE181" s="22">
        <f>IF($F181=AE$9,$I181/$I$161*AE$10,IF($F181&lt;AE$9,MIN($I181/$I$161,$I181-SUM($K181:AD181)),0))</f>
        <v>0</v>
      </c>
      <c r="AF181" s="22">
        <f>IF($F181=AF$9,$I181/$I$161*AF$10,IF($F181&lt;AF$9,MIN($I181/$I$161,$I181-SUM($K181:AE181)),0))</f>
        <v>0</v>
      </c>
      <c r="AG181" s="22">
        <f>IF($F181=AG$9,$I181/$I$161*AG$10,IF($F181&lt;AG$9,MIN($I181/$I$161,$I181-SUM($K181:AF181)),0))</f>
        <v>0</v>
      </c>
      <c r="AH181" s="22">
        <f>IF($F181=AH$9,$I181/$I$161*AH$10,IF($F181&lt;AH$9,MIN($I181/$I$161,$I181-SUM($K181:AG181)),0))</f>
        <v>0</v>
      </c>
      <c r="AI181" s="22">
        <f>IF($F181=AI$9,$I181/$I$161*AI$10,IF($F181&lt;AI$9,MIN($I181/$I$161,$I181-SUM($K181:AH181)),0))</f>
        <v>0</v>
      </c>
      <c r="AJ181" s="22">
        <f>IF($F181=AJ$9,$I181/$I$161*AJ$10,IF($F181&lt;AJ$9,MIN($I181/$I$161,$I181-SUM($K181:AI181)),0))</f>
        <v>0</v>
      </c>
      <c r="AK181" s="22">
        <f>IF($F181=AK$9,$I181/$I$161*AK$10,IF($F181&lt;AK$9,MIN($I181/$I$161,$I181-SUM($K181:AJ181)),0))</f>
        <v>0</v>
      </c>
      <c r="AL181" s="22">
        <f>IF($F181=AL$9,$I181/$I$161*AL$10,IF($F181&lt;AL$9,MIN($I181/$I$161,$I181-SUM($K181:AK181)),0))</f>
        <v>0</v>
      </c>
      <c r="AM181" s="22">
        <f>IF($F181=AM$9,$I181/$I$161*AM$10,IF($F181&lt;AM$9,MIN($I181/$I$161,$I181-SUM($K181:AL181)),0))</f>
        <v>0</v>
      </c>
      <c r="AN181" s="22">
        <f>IF($F181=AN$9,$I181/$I$161*AN$10,IF($F181&lt;AN$9,MIN($I181/$I$161,$I181-SUM($K181:AM181)),0))</f>
        <v>0</v>
      </c>
      <c r="AO181" s="28"/>
    </row>
    <row r="182" spans="6:41" ht="14.4" customHeight="1" outlineLevel="1" x14ac:dyDescent="0.3">
      <c r="F182" s="69" t="str">
        <v/>
      </c>
      <c r="H182" s="26" t="s">
        <v>245</v>
      </c>
      <c r="I182" s="69">
        <v>0</v>
      </c>
      <c r="K182" s="89">
        <v>0</v>
      </c>
      <c r="L182" s="22">
        <f>IF($F182=L$9,$I182/$I$161*L$10,IF($F182&lt;L$9,MIN($I182/$I$161,$I182-SUM($K182:K182)),0))</f>
        <v>0</v>
      </c>
      <c r="M182" s="22">
        <f>IF($F182=M$9,$I182/$I$161*M$10,IF($F182&lt;M$9,MIN($I182/$I$161,$I182-SUM($K182:L182)),0))</f>
        <v>0</v>
      </c>
      <c r="N182" s="22">
        <f>IF($F182=N$9,$I182/$I$161*N$10,IF($F182&lt;N$9,MIN($I182/$I$161,$I182-SUM($K182:M182)),0))</f>
        <v>0</v>
      </c>
      <c r="O182" s="22">
        <f>IF($F182=O$9,$I182/$I$161*O$10,IF($F182&lt;O$9,MIN($I182/$I$161,$I182-SUM($K182:N182)),0))</f>
        <v>0</v>
      </c>
      <c r="P182" s="22">
        <f>IF($F182=P$9,$I182/$I$161*P$10,IF($F182&lt;P$9,MIN($I182/$I$161,$I182-SUM($K182:O182)),0))</f>
        <v>0</v>
      </c>
      <c r="Q182" s="22">
        <f>IF($F182=Q$9,$I182/$I$161*Q$10,IF($F182&lt;Q$9,MIN($I182/$I$161,$I182-SUM($K182:P182)),0))</f>
        <v>0</v>
      </c>
      <c r="R182" s="22">
        <f>IF($F182=R$9,$I182/$I$161*R$10,IF($F182&lt;R$9,MIN($I182/$I$161,$I182-SUM($K182:Q182)),0))</f>
        <v>0</v>
      </c>
      <c r="S182" s="22">
        <f>IF($F182=S$9,$I182/$I$161*S$10,IF($F182&lt;S$9,MIN($I182/$I$161,$I182-SUM($K182:R182)),0))</f>
        <v>0</v>
      </c>
      <c r="T182" s="22">
        <f>IF($F182=T$9,$I182/$I$161*T$10,IF($F182&lt;T$9,MIN($I182/$I$161,$I182-SUM($K182:S182)),0))</f>
        <v>0</v>
      </c>
      <c r="U182" s="22">
        <f>IF($F182=U$9,$I182/$I$161*U$10,IF($F182&lt;U$9,MIN($I182/$I$161,$I182-SUM($K182:T182)),0))</f>
        <v>0</v>
      </c>
      <c r="V182" s="22">
        <f>IF($F182=V$9,$I182/$I$161*V$10,IF($F182&lt;V$9,MIN($I182/$I$161,$I182-SUM($K182:U182)),0))</f>
        <v>0</v>
      </c>
      <c r="W182" s="22">
        <f>IF($F182=W$9,$I182/$I$161*W$10,IF($F182&lt;W$9,MIN($I182/$I$161,$I182-SUM($K182:V182)),0))</f>
        <v>0</v>
      </c>
      <c r="X182" s="22">
        <f>IF($F182=X$9,$I182/$I$161*X$10,IF($F182&lt;X$9,MIN($I182/$I$161,$I182-SUM($K182:W182)),0))</f>
        <v>0</v>
      </c>
      <c r="Y182" s="22">
        <f>IF($F182=Y$9,$I182/$I$161*Y$10,IF($F182&lt;Y$9,MIN($I182/$I$161,$I182-SUM($K182:X182)),0))</f>
        <v>0</v>
      </c>
      <c r="Z182" s="22">
        <f>IF($F182=Z$9,$I182/$I$161*Z$10,IF($F182&lt;Z$9,MIN($I182/$I$161,$I182-SUM($K182:Y182)),0))</f>
        <v>0</v>
      </c>
      <c r="AA182" s="22">
        <f>IF($F182=AA$9,$I182/$I$161*AA$10,IF($F182&lt;AA$9,MIN($I182/$I$161,$I182-SUM($K182:Z182)),0))</f>
        <v>0</v>
      </c>
      <c r="AB182" s="22">
        <f>IF($F182=AB$9,$I182/$I$161*AB$10,IF($F182&lt;AB$9,MIN($I182/$I$161,$I182-SUM($K182:AA182)),0))</f>
        <v>0</v>
      </c>
      <c r="AC182" s="22">
        <f>IF($F182=AC$9,$I182/$I$161*AC$10,IF($F182&lt;AC$9,MIN($I182/$I$161,$I182-SUM($K182:AB182)),0))</f>
        <v>0</v>
      </c>
      <c r="AD182" s="22">
        <f>IF($F182=AD$9,$I182/$I$161*AD$10,IF($F182&lt;AD$9,MIN($I182/$I$161,$I182-SUM($K182:AC182)),0))</f>
        <v>0</v>
      </c>
      <c r="AE182" s="22">
        <f>IF($F182=AE$9,$I182/$I$161*AE$10,IF($F182&lt;AE$9,MIN($I182/$I$161,$I182-SUM($K182:AD182)),0))</f>
        <v>0</v>
      </c>
      <c r="AF182" s="22">
        <f>IF($F182=AF$9,$I182/$I$161*AF$10,IF($F182&lt;AF$9,MIN($I182/$I$161,$I182-SUM($K182:AE182)),0))</f>
        <v>0</v>
      </c>
      <c r="AG182" s="22">
        <f>IF($F182=AG$9,$I182/$I$161*AG$10,IF($F182&lt;AG$9,MIN($I182/$I$161,$I182-SUM($K182:AF182)),0))</f>
        <v>0</v>
      </c>
      <c r="AH182" s="22">
        <f>IF($F182=AH$9,$I182/$I$161*AH$10,IF($F182&lt;AH$9,MIN($I182/$I$161,$I182-SUM($K182:AG182)),0))</f>
        <v>0</v>
      </c>
      <c r="AI182" s="22">
        <f>IF($F182=AI$9,$I182/$I$161*AI$10,IF($F182&lt;AI$9,MIN($I182/$I$161,$I182-SUM($K182:AH182)),0))</f>
        <v>0</v>
      </c>
      <c r="AJ182" s="22">
        <f>IF($F182=AJ$9,$I182/$I$161*AJ$10,IF($F182&lt;AJ$9,MIN($I182/$I$161,$I182-SUM($K182:AI182)),0))</f>
        <v>0</v>
      </c>
      <c r="AK182" s="22">
        <f>IF($F182=AK$9,$I182/$I$161*AK$10,IF($F182&lt;AK$9,MIN($I182/$I$161,$I182-SUM($K182:AJ182)),0))</f>
        <v>0</v>
      </c>
      <c r="AL182" s="22">
        <f>IF($F182=AL$9,$I182/$I$161*AL$10,IF($F182&lt;AL$9,MIN($I182/$I$161,$I182-SUM($K182:AK182)),0))</f>
        <v>0</v>
      </c>
      <c r="AM182" s="22">
        <f>IF($F182=AM$9,$I182/$I$161*AM$10,IF($F182&lt;AM$9,MIN($I182/$I$161,$I182-SUM($K182:AL182)),0))</f>
        <v>0</v>
      </c>
      <c r="AN182" s="22">
        <f>IF($F182=AN$9,$I182/$I$161*AN$10,IF($F182&lt;AN$9,MIN($I182/$I$161,$I182-SUM($K182:AM182)),0))</f>
        <v>0</v>
      </c>
      <c r="AO182" s="28"/>
    </row>
    <row r="183" spans="6:41" ht="14.4" customHeight="1" outlineLevel="1" x14ac:dyDescent="0.3">
      <c r="F183" s="69" t="str">
        <v/>
      </c>
      <c r="H183" s="26" t="s">
        <v>245</v>
      </c>
      <c r="I183" s="69">
        <v>0</v>
      </c>
      <c r="K183" s="89">
        <v>0</v>
      </c>
      <c r="L183" s="22">
        <f>IF($F183=L$9,$I183/$I$161*L$10,IF($F183&lt;L$9,MIN($I183/$I$161,$I183-SUM($K183:K183)),0))</f>
        <v>0</v>
      </c>
      <c r="M183" s="22">
        <f>IF($F183=M$9,$I183/$I$161*M$10,IF($F183&lt;M$9,MIN($I183/$I$161,$I183-SUM($K183:L183)),0))</f>
        <v>0</v>
      </c>
      <c r="N183" s="22">
        <f>IF($F183=N$9,$I183/$I$161*N$10,IF($F183&lt;N$9,MIN($I183/$I$161,$I183-SUM($K183:M183)),0))</f>
        <v>0</v>
      </c>
      <c r="O183" s="22">
        <f>IF($F183=O$9,$I183/$I$161*O$10,IF($F183&lt;O$9,MIN($I183/$I$161,$I183-SUM($K183:N183)),0))</f>
        <v>0</v>
      </c>
      <c r="P183" s="22">
        <f>IF($F183=P$9,$I183/$I$161*P$10,IF($F183&lt;P$9,MIN($I183/$I$161,$I183-SUM($K183:O183)),0))</f>
        <v>0</v>
      </c>
      <c r="Q183" s="22">
        <f>IF($F183=Q$9,$I183/$I$161*Q$10,IF($F183&lt;Q$9,MIN($I183/$I$161,$I183-SUM($K183:P183)),0))</f>
        <v>0</v>
      </c>
      <c r="R183" s="22">
        <f>IF($F183=R$9,$I183/$I$161*R$10,IF($F183&lt;R$9,MIN($I183/$I$161,$I183-SUM($K183:Q183)),0))</f>
        <v>0</v>
      </c>
      <c r="S183" s="22">
        <f>IF($F183=S$9,$I183/$I$161*S$10,IF($F183&lt;S$9,MIN($I183/$I$161,$I183-SUM($K183:R183)),0))</f>
        <v>0</v>
      </c>
      <c r="T183" s="22">
        <f>IF($F183=T$9,$I183/$I$161*T$10,IF($F183&lt;T$9,MIN($I183/$I$161,$I183-SUM($K183:S183)),0))</f>
        <v>0</v>
      </c>
      <c r="U183" s="22">
        <f>IF($F183=U$9,$I183/$I$161*U$10,IF($F183&lt;U$9,MIN($I183/$I$161,$I183-SUM($K183:T183)),0))</f>
        <v>0</v>
      </c>
      <c r="V183" s="22">
        <f>IF($F183=V$9,$I183/$I$161*V$10,IF($F183&lt;V$9,MIN($I183/$I$161,$I183-SUM($K183:U183)),0))</f>
        <v>0</v>
      </c>
      <c r="W183" s="22">
        <f>IF($F183=W$9,$I183/$I$161*W$10,IF($F183&lt;W$9,MIN($I183/$I$161,$I183-SUM($K183:V183)),0))</f>
        <v>0</v>
      </c>
      <c r="X183" s="22">
        <f>IF($F183=X$9,$I183/$I$161*X$10,IF($F183&lt;X$9,MIN($I183/$I$161,$I183-SUM($K183:W183)),0))</f>
        <v>0</v>
      </c>
      <c r="Y183" s="22">
        <f>IF($F183=Y$9,$I183/$I$161*Y$10,IF($F183&lt;Y$9,MIN($I183/$I$161,$I183-SUM($K183:X183)),0))</f>
        <v>0</v>
      </c>
      <c r="Z183" s="22">
        <f>IF($F183=Z$9,$I183/$I$161*Z$10,IF($F183&lt;Z$9,MIN($I183/$I$161,$I183-SUM($K183:Y183)),0))</f>
        <v>0</v>
      </c>
      <c r="AA183" s="22">
        <f>IF($F183=AA$9,$I183/$I$161*AA$10,IF($F183&lt;AA$9,MIN($I183/$I$161,$I183-SUM($K183:Z183)),0))</f>
        <v>0</v>
      </c>
      <c r="AB183" s="22">
        <f>IF($F183=AB$9,$I183/$I$161*AB$10,IF($F183&lt;AB$9,MIN($I183/$I$161,$I183-SUM($K183:AA183)),0))</f>
        <v>0</v>
      </c>
      <c r="AC183" s="22">
        <f>IF($F183=AC$9,$I183/$I$161*AC$10,IF($F183&lt;AC$9,MIN($I183/$I$161,$I183-SUM($K183:AB183)),0))</f>
        <v>0</v>
      </c>
      <c r="AD183" s="22">
        <f>IF($F183=AD$9,$I183/$I$161*AD$10,IF($F183&lt;AD$9,MIN($I183/$I$161,$I183-SUM($K183:AC183)),0))</f>
        <v>0</v>
      </c>
      <c r="AE183" s="22">
        <f>IF($F183=AE$9,$I183/$I$161*AE$10,IF($F183&lt;AE$9,MIN($I183/$I$161,$I183-SUM($K183:AD183)),0))</f>
        <v>0</v>
      </c>
      <c r="AF183" s="22">
        <f>IF($F183=AF$9,$I183/$I$161*AF$10,IF($F183&lt;AF$9,MIN($I183/$I$161,$I183-SUM($K183:AE183)),0))</f>
        <v>0</v>
      </c>
      <c r="AG183" s="22">
        <f>IF($F183=AG$9,$I183/$I$161*AG$10,IF($F183&lt;AG$9,MIN($I183/$I$161,$I183-SUM($K183:AF183)),0))</f>
        <v>0</v>
      </c>
      <c r="AH183" s="22">
        <f>IF($F183=AH$9,$I183/$I$161*AH$10,IF($F183&lt;AH$9,MIN($I183/$I$161,$I183-SUM($K183:AG183)),0))</f>
        <v>0</v>
      </c>
      <c r="AI183" s="22">
        <f>IF($F183=AI$9,$I183/$I$161*AI$10,IF($F183&lt;AI$9,MIN($I183/$I$161,$I183-SUM($K183:AH183)),0))</f>
        <v>0</v>
      </c>
      <c r="AJ183" s="22">
        <f>IF($F183=AJ$9,$I183/$I$161*AJ$10,IF($F183&lt;AJ$9,MIN($I183/$I$161,$I183-SUM($K183:AI183)),0))</f>
        <v>0</v>
      </c>
      <c r="AK183" s="22">
        <f>IF($F183=AK$9,$I183/$I$161*AK$10,IF($F183&lt;AK$9,MIN($I183/$I$161,$I183-SUM($K183:AJ183)),0))</f>
        <v>0</v>
      </c>
      <c r="AL183" s="22">
        <f>IF($F183=AL$9,$I183/$I$161*AL$10,IF($F183&lt;AL$9,MIN($I183/$I$161,$I183-SUM($K183:AK183)),0))</f>
        <v>0</v>
      </c>
      <c r="AM183" s="22">
        <f>IF($F183=AM$9,$I183/$I$161*AM$10,IF($F183&lt;AM$9,MIN($I183/$I$161,$I183-SUM($K183:AL183)),0))</f>
        <v>0</v>
      </c>
      <c r="AN183" s="22">
        <f>IF($F183=AN$9,$I183/$I$161*AN$10,IF($F183&lt;AN$9,MIN($I183/$I$161,$I183-SUM($K183:AM183)),0))</f>
        <v>0</v>
      </c>
      <c r="AO183" s="28"/>
    </row>
    <row r="184" spans="6:41" ht="14.4" customHeight="1" outlineLevel="1" x14ac:dyDescent="0.3">
      <c r="F184" s="69" t="str">
        <v/>
      </c>
      <c r="H184" s="26" t="s">
        <v>245</v>
      </c>
      <c r="I184" s="69">
        <v>0</v>
      </c>
      <c r="K184" s="89">
        <v>0</v>
      </c>
      <c r="L184" s="22">
        <f>IF($F184=L$9,$I184/$I$161*L$10,IF($F184&lt;L$9,MIN($I184/$I$161,$I184-SUM($K184:K184)),0))</f>
        <v>0</v>
      </c>
      <c r="M184" s="22">
        <f>IF($F184=M$9,$I184/$I$161*M$10,IF($F184&lt;M$9,MIN($I184/$I$161,$I184-SUM($K184:L184)),0))</f>
        <v>0</v>
      </c>
      <c r="N184" s="22">
        <f>IF($F184=N$9,$I184/$I$161*N$10,IF($F184&lt;N$9,MIN($I184/$I$161,$I184-SUM($K184:M184)),0))</f>
        <v>0</v>
      </c>
      <c r="O184" s="22">
        <f>IF($F184=O$9,$I184/$I$161*O$10,IF($F184&lt;O$9,MIN($I184/$I$161,$I184-SUM($K184:N184)),0))</f>
        <v>0</v>
      </c>
      <c r="P184" s="22">
        <f>IF($F184=P$9,$I184/$I$161*P$10,IF($F184&lt;P$9,MIN($I184/$I$161,$I184-SUM($K184:O184)),0))</f>
        <v>0</v>
      </c>
      <c r="Q184" s="22">
        <f>IF($F184=Q$9,$I184/$I$161*Q$10,IF($F184&lt;Q$9,MIN($I184/$I$161,$I184-SUM($K184:P184)),0))</f>
        <v>0</v>
      </c>
      <c r="R184" s="22">
        <f>IF($F184=R$9,$I184/$I$161*R$10,IF($F184&lt;R$9,MIN($I184/$I$161,$I184-SUM($K184:Q184)),0))</f>
        <v>0</v>
      </c>
      <c r="S184" s="22">
        <f>IF($F184=S$9,$I184/$I$161*S$10,IF($F184&lt;S$9,MIN($I184/$I$161,$I184-SUM($K184:R184)),0))</f>
        <v>0</v>
      </c>
      <c r="T184" s="22">
        <f>IF($F184=T$9,$I184/$I$161*T$10,IF($F184&lt;T$9,MIN($I184/$I$161,$I184-SUM($K184:S184)),0))</f>
        <v>0</v>
      </c>
      <c r="U184" s="22">
        <f>IF($F184=U$9,$I184/$I$161*U$10,IF($F184&lt;U$9,MIN($I184/$I$161,$I184-SUM($K184:T184)),0))</f>
        <v>0</v>
      </c>
      <c r="V184" s="22">
        <f>IF($F184=V$9,$I184/$I$161*V$10,IF($F184&lt;V$9,MIN($I184/$I$161,$I184-SUM($K184:U184)),0))</f>
        <v>0</v>
      </c>
      <c r="W184" s="22">
        <f>IF($F184=W$9,$I184/$I$161*W$10,IF($F184&lt;W$9,MIN($I184/$I$161,$I184-SUM($K184:V184)),0))</f>
        <v>0</v>
      </c>
      <c r="X184" s="22">
        <f>IF($F184=X$9,$I184/$I$161*X$10,IF($F184&lt;X$9,MIN($I184/$I$161,$I184-SUM($K184:W184)),0))</f>
        <v>0</v>
      </c>
      <c r="Y184" s="22">
        <f>IF($F184=Y$9,$I184/$I$161*Y$10,IF($F184&lt;Y$9,MIN($I184/$I$161,$I184-SUM($K184:X184)),0))</f>
        <v>0</v>
      </c>
      <c r="Z184" s="22">
        <f>IF($F184=Z$9,$I184/$I$161*Z$10,IF($F184&lt;Z$9,MIN($I184/$I$161,$I184-SUM($K184:Y184)),0))</f>
        <v>0</v>
      </c>
      <c r="AA184" s="22">
        <f>IF($F184=AA$9,$I184/$I$161*AA$10,IF($F184&lt;AA$9,MIN($I184/$I$161,$I184-SUM($K184:Z184)),0))</f>
        <v>0</v>
      </c>
      <c r="AB184" s="22">
        <f>IF($F184=AB$9,$I184/$I$161*AB$10,IF($F184&lt;AB$9,MIN($I184/$I$161,$I184-SUM($K184:AA184)),0))</f>
        <v>0</v>
      </c>
      <c r="AC184" s="22">
        <f>IF($F184=AC$9,$I184/$I$161*AC$10,IF($F184&lt;AC$9,MIN($I184/$I$161,$I184-SUM($K184:AB184)),0))</f>
        <v>0</v>
      </c>
      <c r="AD184" s="22">
        <f>IF($F184=AD$9,$I184/$I$161*AD$10,IF($F184&lt;AD$9,MIN($I184/$I$161,$I184-SUM($K184:AC184)),0))</f>
        <v>0</v>
      </c>
      <c r="AE184" s="22">
        <f>IF($F184=AE$9,$I184/$I$161*AE$10,IF($F184&lt;AE$9,MIN($I184/$I$161,$I184-SUM($K184:AD184)),0))</f>
        <v>0</v>
      </c>
      <c r="AF184" s="22">
        <f>IF($F184=AF$9,$I184/$I$161*AF$10,IF($F184&lt;AF$9,MIN($I184/$I$161,$I184-SUM($K184:AE184)),0))</f>
        <v>0</v>
      </c>
      <c r="AG184" s="22">
        <f>IF($F184=AG$9,$I184/$I$161*AG$10,IF($F184&lt;AG$9,MIN($I184/$I$161,$I184-SUM($K184:AF184)),0))</f>
        <v>0</v>
      </c>
      <c r="AH184" s="22">
        <f>IF($F184=AH$9,$I184/$I$161*AH$10,IF($F184&lt;AH$9,MIN($I184/$I$161,$I184-SUM($K184:AG184)),0))</f>
        <v>0</v>
      </c>
      <c r="AI184" s="22">
        <f>IF($F184=AI$9,$I184/$I$161*AI$10,IF($F184&lt;AI$9,MIN($I184/$I$161,$I184-SUM($K184:AH184)),0))</f>
        <v>0</v>
      </c>
      <c r="AJ184" s="22">
        <f>IF($F184=AJ$9,$I184/$I$161*AJ$10,IF($F184&lt;AJ$9,MIN($I184/$I$161,$I184-SUM($K184:AI184)),0))</f>
        <v>0</v>
      </c>
      <c r="AK184" s="22">
        <f>IF($F184=AK$9,$I184/$I$161*AK$10,IF($F184&lt;AK$9,MIN($I184/$I$161,$I184-SUM($K184:AJ184)),0))</f>
        <v>0</v>
      </c>
      <c r="AL184" s="22">
        <f>IF($F184=AL$9,$I184/$I$161*AL$10,IF($F184&lt;AL$9,MIN($I184/$I$161,$I184-SUM($K184:AK184)),0))</f>
        <v>0</v>
      </c>
      <c r="AM184" s="22">
        <f>IF($F184=AM$9,$I184/$I$161*AM$10,IF($F184&lt;AM$9,MIN($I184/$I$161,$I184-SUM($K184:AL184)),0))</f>
        <v>0</v>
      </c>
      <c r="AN184" s="22">
        <f>IF($F184=AN$9,$I184/$I$161*AN$10,IF($F184&lt;AN$9,MIN($I184/$I$161,$I184-SUM($K184:AM184)),0))</f>
        <v>0</v>
      </c>
      <c r="AO184" s="28"/>
    </row>
    <row r="185" spans="6:41" ht="14.4" customHeight="1" outlineLevel="1" x14ac:dyDescent="0.3">
      <c r="F185" s="69" t="str">
        <v/>
      </c>
      <c r="H185" s="26" t="s">
        <v>245</v>
      </c>
      <c r="I185" s="69">
        <v>0</v>
      </c>
      <c r="K185" s="89">
        <v>0</v>
      </c>
      <c r="L185" s="22">
        <f>IF($F185=L$9,$I185/$I$161*L$10,IF($F185&lt;L$9,MIN($I185/$I$161,$I185-SUM($K185:K185)),0))</f>
        <v>0</v>
      </c>
      <c r="M185" s="22">
        <f>IF($F185=M$9,$I185/$I$161*M$10,IF($F185&lt;M$9,MIN($I185/$I$161,$I185-SUM($K185:L185)),0))</f>
        <v>0</v>
      </c>
      <c r="N185" s="22">
        <f>IF($F185=N$9,$I185/$I$161*N$10,IF($F185&lt;N$9,MIN($I185/$I$161,$I185-SUM($K185:M185)),0))</f>
        <v>0</v>
      </c>
      <c r="O185" s="22">
        <f>IF($F185=O$9,$I185/$I$161*O$10,IF($F185&lt;O$9,MIN($I185/$I$161,$I185-SUM($K185:N185)),0))</f>
        <v>0</v>
      </c>
      <c r="P185" s="22">
        <f>IF($F185=P$9,$I185/$I$161*P$10,IF($F185&lt;P$9,MIN($I185/$I$161,$I185-SUM($K185:O185)),0))</f>
        <v>0</v>
      </c>
      <c r="Q185" s="22">
        <f>IF($F185=Q$9,$I185/$I$161*Q$10,IF($F185&lt;Q$9,MIN($I185/$I$161,$I185-SUM($K185:P185)),0))</f>
        <v>0</v>
      </c>
      <c r="R185" s="22">
        <f>IF($F185=R$9,$I185/$I$161*R$10,IF($F185&lt;R$9,MIN($I185/$I$161,$I185-SUM($K185:Q185)),0))</f>
        <v>0</v>
      </c>
      <c r="S185" s="22">
        <f>IF($F185=S$9,$I185/$I$161*S$10,IF($F185&lt;S$9,MIN($I185/$I$161,$I185-SUM($K185:R185)),0))</f>
        <v>0</v>
      </c>
      <c r="T185" s="22">
        <f>IF($F185=T$9,$I185/$I$161*T$10,IF($F185&lt;T$9,MIN($I185/$I$161,$I185-SUM($K185:S185)),0))</f>
        <v>0</v>
      </c>
      <c r="U185" s="22">
        <f>IF($F185=U$9,$I185/$I$161*U$10,IF($F185&lt;U$9,MIN($I185/$I$161,$I185-SUM($K185:T185)),0))</f>
        <v>0</v>
      </c>
      <c r="V185" s="22">
        <f>IF($F185=V$9,$I185/$I$161*V$10,IF($F185&lt;V$9,MIN($I185/$I$161,$I185-SUM($K185:U185)),0))</f>
        <v>0</v>
      </c>
      <c r="W185" s="22">
        <f>IF($F185=W$9,$I185/$I$161*W$10,IF($F185&lt;W$9,MIN($I185/$I$161,$I185-SUM($K185:V185)),0))</f>
        <v>0</v>
      </c>
      <c r="X185" s="22">
        <f>IF($F185=X$9,$I185/$I$161*X$10,IF($F185&lt;X$9,MIN($I185/$I$161,$I185-SUM($K185:W185)),0))</f>
        <v>0</v>
      </c>
      <c r="Y185" s="22">
        <f>IF($F185=Y$9,$I185/$I$161*Y$10,IF($F185&lt;Y$9,MIN($I185/$I$161,$I185-SUM($K185:X185)),0))</f>
        <v>0</v>
      </c>
      <c r="Z185" s="22">
        <f>IF($F185=Z$9,$I185/$I$161*Z$10,IF($F185&lt;Z$9,MIN($I185/$I$161,$I185-SUM($K185:Y185)),0))</f>
        <v>0</v>
      </c>
      <c r="AA185" s="22">
        <f>IF($F185=AA$9,$I185/$I$161*AA$10,IF($F185&lt;AA$9,MIN($I185/$I$161,$I185-SUM($K185:Z185)),0))</f>
        <v>0</v>
      </c>
      <c r="AB185" s="22">
        <f>IF($F185=AB$9,$I185/$I$161*AB$10,IF($F185&lt;AB$9,MIN($I185/$I$161,$I185-SUM($K185:AA185)),0))</f>
        <v>0</v>
      </c>
      <c r="AC185" s="22">
        <f>IF($F185=AC$9,$I185/$I$161*AC$10,IF($F185&lt;AC$9,MIN($I185/$I$161,$I185-SUM($K185:AB185)),0))</f>
        <v>0</v>
      </c>
      <c r="AD185" s="22">
        <f>IF($F185=AD$9,$I185/$I$161*AD$10,IF($F185&lt;AD$9,MIN($I185/$I$161,$I185-SUM($K185:AC185)),0))</f>
        <v>0</v>
      </c>
      <c r="AE185" s="22">
        <f>IF($F185=AE$9,$I185/$I$161*AE$10,IF($F185&lt;AE$9,MIN($I185/$I$161,$I185-SUM($K185:AD185)),0))</f>
        <v>0</v>
      </c>
      <c r="AF185" s="22">
        <f>IF($F185=AF$9,$I185/$I$161*AF$10,IF($F185&lt;AF$9,MIN($I185/$I$161,$I185-SUM($K185:AE185)),0))</f>
        <v>0</v>
      </c>
      <c r="AG185" s="22">
        <f>IF($F185=AG$9,$I185/$I$161*AG$10,IF($F185&lt;AG$9,MIN($I185/$I$161,$I185-SUM($K185:AF185)),0))</f>
        <v>0</v>
      </c>
      <c r="AH185" s="22">
        <f>IF($F185=AH$9,$I185/$I$161*AH$10,IF($F185&lt;AH$9,MIN($I185/$I$161,$I185-SUM($K185:AG185)),0))</f>
        <v>0</v>
      </c>
      <c r="AI185" s="22">
        <f>IF($F185=AI$9,$I185/$I$161*AI$10,IF($F185&lt;AI$9,MIN($I185/$I$161,$I185-SUM($K185:AH185)),0))</f>
        <v>0</v>
      </c>
      <c r="AJ185" s="22">
        <f>IF($F185=AJ$9,$I185/$I$161*AJ$10,IF($F185&lt;AJ$9,MIN($I185/$I$161,$I185-SUM($K185:AI185)),0))</f>
        <v>0</v>
      </c>
      <c r="AK185" s="22">
        <f>IF($F185=AK$9,$I185/$I$161*AK$10,IF($F185&lt;AK$9,MIN($I185/$I$161,$I185-SUM($K185:AJ185)),0))</f>
        <v>0</v>
      </c>
      <c r="AL185" s="22">
        <f>IF($F185=AL$9,$I185/$I$161*AL$10,IF($F185&lt;AL$9,MIN($I185/$I$161,$I185-SUM($K185:AK185)),0))</f>
        <v>0</v>
      </c>
      <c r="AM185" s="22">
        <f>IF($F185=AM$9,$I185/$I$161*AM$10,IF($F185&lt;AM$9,MIN($I185/$I$161,$I185-SUM($K185:AL185)),0))</f>
        <v>0</v>
      </c>
      <c r="AN185" s="22">
        <f>IF($F185=AN$9,$I185/$I$161*AN$10,IF($F185&lt;AN$9,MIN($I185/$I$161,$I185-SUM($K185:AM185)),0))</f>
        <v>0</v>
      </c>
      <c r="AO185" s="28"/>
    </row>
    <row r="186" spans="6:41" ht="14.4" customHeight="1" outlineLevel="1" x14ac:dyDescent="0.3">
      <c r="F186" s="69" t="str">
        <v/>
      </c>
      <c r="H186" s="26" t="s">
        <v>245</v>
      </c>
      <c r="I186" s="69">
        <v>0</v>
      </c>
      <c r="K186" s="89">
        <v>0</v>
      </c>
      <c r="L186" s="22">
        <f>IF($F186=L$9,$I186/$I$161*L$10,IF($F186&lt;L$9,MIN($I186/$I$161,$I186-SUM($K186:K186)),0))</f>
        <v>0</v>
      </c>
      <c r="M186" s="22">
        <f>IF($F186=M$9,$I186/$I$161*M$10,IF($F186&lt;M$9,MIN($I186/$I$161,$I186-SUM($K186:L186)),0))</f>
        <v>0</v>
      </c>
      <c r="N186" s="22">
        <f>IF($F186=N$9,$I186/$I$161*N$10,IF($F186&lt;N$9,MIN($I186/$I$161,$I186-SUM($K186:M186)),0))</f>
        <v>0</v>
      </c>
      <c r="O186" s="22">
        <f>IF($F186=O$9,$I186/$I$161*O$10,IF($F186&lt;O$9,MIN($I186/$I$161,$I186-SUM($K186:N186)),0))</f>
        <v>0</v>
      </c>
      <c r="P186" s="22">
        <f>IF($F186=P$9,$I186/$I$161*P$10,IF($F186&lt;P$9,MIN($I186/$I$161,$I186-SUM($K186:O186)),0))</f>
        <v>0</v>
      </c>
      <c r="Q186" s="22">
        <f>IF($F186=Q$9,$I186/$I$161*Q$10,IF($F186&lt;Q$9,MIN($I186/$I$161,$I186-SUM($K186:P186)),0))</f>
        <v>0</v>
      </c>
      <c r="R186" s="22">
        <f>IF($F186=R$9,$I186/$I$161*R$10,IF($F186&lt;R$9,MIN($I186/$I$161,$I186-SUM($K186:Q186)),0))</f>
        <v>0</v>
      </c>
      <c r="S186" s="22">
        <f>IF($F186=S$9,$I186/$I$161*S$10,IF($F186&lt;S$9,MIN($I186/$I$161,$I186-SUM($K186:R186)),0))</f>
        <v>0</v>
      </c>
      <c r="T186" s="22">
        <f>IF($F186=T$9,$I186/$I$161*T$10,IF($F186&lt;T$9,MIN($I186/$I$161,$I186-SUM($K186:S186)),0))</f>
        <v>0</v>
      </c>
      <c r="U186" s="22">
        <f>IF($F186=U$9,$I186/$I$161*U$10,IF($F186&lt;U$9,MIN($I186/$I$161,$I186-SUM($K186:T186)),0))</f>
        <v>0</v>
      </c>
      <c r="V186" s="22">
        <f>IF($F186=V$9,$I186/$I$161*V$10,IF($F186&lt;V$9,MIN($I186/$I$161,$I186-SUM($K186:U186)),0))</f>
        <v>0</v>
      </c>
      <c r="W186" s="22">
        <f>IF($F186=W$9,$I186/$I$161*W$10,IF($F186&lt;W$9,MIN($I186/$I$161,$I186-SUM($K186:V186)),0))</f>
        <v>0</v>
      </c>
      <c r="X186" s="22">
        <f>IF($F186=X$9,$I186/$I$161*X$10,IF($F186&lt;X$9,MIN($I186/$I$161,$I186-SUM($K186:W186)),0))</f>
        <v>0</v>
      </c>
      <c r="Y186" s="22">
        <f>IF($F186=Y$9,$I186/$I$161*Y$10,IF($F186&lt;Y$9,MIN($I186/$I$161,$I186-SUM($K186:X186)),0))</f>
        <v>0</v>
      </c>
      <c r="Z186" s="22">
        <f>IF($F186=Z$9,$I186/$I$161*Z$10,IF($F186&lt;Z$9,MIN($I186/$I$161,$I186-SUM($K186:Y186)),0))</f>
        <v>0</v>
      </c>
      <c r="AA186" s="22">
        <f>IF($F186=AA$9,$I186/$I$161*AA$10,IF($F186&lt;AA$9,MIN($I186/$I$161,$I186-SUM($K186:Z186)),0))</f>
        <v>0</v>
      </c>
      <c r="AB186" s="22">
        <f>IF($F186=AB$9,$I186/$I$161*AB$10,IF($F186&lt;AB$9,MIN($I186/$I$161,$I186-SUM($K186:AA186)),0))</f>
        <v>0</v>
      </c>
      <c r="AC186" s="22">
        <f>IF($F186=AC$9,$I186/$I$161*AC$10,IF($F186&lt;AC$9,MIN($I186/$I$161,$I186-SUM($K186:AB186)),0))</f>
        <v>0</v>
      </c>
      <c r="AD186" s="22">
        <f>IF($F186=AD$9,$I186/$I$161*AD$10,IF($F186&lt;AD$9,MIN($I186/$I$161,$I186-SUM($K186:AC186)),0))</f>
        <v>0</v>
      </c>
      <c r="AE186" s="22">
        <f>IF($F186=AE$9,$I186/$I$161*AE$10,IF($F186&lt;AE$9,MIN($I186/$I$161,$I186-SUM($K186:AD186)),0))</f>
        <v>0</v>
      </c>
      <c r="AF186" s="22">
        <f>IF($F186=AF$9,$I186/$I$161*AF$10,IF($F186&lt;AF$9,MIN($I186/$I$161,$I186-SUM($K186:AE186)),0))</f>
        <v>0</v>
      </c>
      <c r="AG186" s="22">
        <f>IF($F186=AG$9,$I186/$I$161*AG$10,IF($F186&lt;AG$9,MIN($I186/$I$161,$I186-SUM($K186:AF186)),0))</f>
        <v>0</v>
      </c>
      <c r="AH186" s="22">
        <f>IF($F186=AH$9,$I186/$I$161*AH$10,IF($F186&lt;AH$9,MIN($I186/$I$161,$I186-SUM($K186:AG186)),0))</f>
        <v>0</v>
      </c>
      <c r="AI186" s="22">
        <f>IF($F186=AI$9,$I186/$I$161*AI$10,IF($F186&lt;AI$9,MIN($I186/$I$161,$I186-SUM($K186:AH186)),0))</f>
        <v>0</v>
      </c>
      <c r="AJ186" s="22">
        <f>IF($F186=AJ$9,$I186/$I$161*AJ$10,IF($F186&lt;AJ$9,MIN($I186/$I$161,$I186-SUM($K186:AI186)),0))</f>
        <v>0</v>
      </c>
      <c r="AK186" s="22">
        <f>IF($F186=AK$9,$I186/$I$161*AK$10,IF($F186&lt;AK$9,MIN($I186/$I$161,$I186-SUM($K186:AJ186)),0))</f>
        <v>0</v>
      </c>
      <c r="AL186" s="22">
        <f>IF($F186=AL$9,$I186/$I$161*AL$10,IF($F186&lt;AL$9,MIN($I186/$I$161,$I186-SUM($K186:AK186)),0))</f>
        <v>0</v>
      </c>
      <c r="AM186" s="22">
        <f>IF($F186=AM$9,$I186/$I$161*AM$10,IF($F186&lt;AM$9,MIN($I186/$I$161,$I186-SUM($K186:AL186)),0))</f>
        <v>0</v>
      </c>
      <c r="AN186" s="22">
        <f>IF($F186=AN$9,$I186/$I$161*AN$10,IF($F186&lt;AN$9,MIN($I186/$I$161,$I186-SUM($K186:AM186)),0))</f>
        <v>0</v>
      </c>
      <c r="AO186" s="28"/>
    </row>
    <row r="187" spans="6:41" ht="14.4" customHeight="1" outlineLevel="1" x14ac:dyDescent="0.3">
      <c r="F187" s="69" t="str">
        <v/>
      </c>
      <c r="H187" s="26" t="s">
        <v>245</v>
      </c>
      <c r="I187" s="69">
        <v>0</v>
      </c>
      <c r="K187" s="89">
        <v>0</v>
      </c>
      <c r="L187" s="22">
        <f>IF($F187=L$9,$I187/$I$161*L$10,IF($F187&lt;L$9,MIN($I187/$I$161,$I187-SUM($K187:K187)),0))</f>
        <v>0</v>
      </c>
      <c r="M187" s="22">
        <f>IF($F187=M$9,$I187/$I$161*M$10,IF($F187&lt;M$9,MIN($I187/$I$161,$I187-SUM($K187:L187)),0))</f>
        <v>0</v>
      </c>
      <c r="N187" s="22">
        <f>IF($F187=N$9,$I187/$I$161*N$10,IF($F187&lt;N$9,MIN($I187/$I$161,$I187-SUM($K187:M187)),0))</f>
        <v>0</v>
      </c>
      <c r="O187" s="22">
        <f>IF($F187=O$9,$I187/$I$161*O$10,IF($F187&lt;O$9,MIN($I187/$I$161,$I187-SUM($K187:N187)),0))</f>
        <v>0</v>
      </c>
      <c r="P187" s="22">
        <f>IF($F187=P$9,$I187/$I$161*P$10,IF($F187&lt;P$9,MIN($I187/$I$161,$I187-SUM($K187:O187)),0))</f>
        <v>0</v>
      </c>
      <c r="Q187" s="22">
        <f>IF($F187=Q$9,$I187/$I$161*Q$10,IF($F187&lt;Q$9,MIN($I187/$I$161,$I187-SUM($K187:P187)),0))</f>
        <v>0</v>
      </c>
      <c r="R187" s="22">
        <f>IF($F187=R$9,$I187/$I$161*R$10,IF($F187&lt;R$9,MIN($I187/$I$161,$I187-SUM($K187:Q187)),0))</f>
        <v>0</v>
      </c>
      <c r="S187" s="22">
        <f>IF($F187=S$9,$I187/$I$161*S$10,IF($F187&lt;S$9,MIN($I187/$I$161,$I187-SUM($K187:R187)),0))</f>
        <v>0</v>
      </c>
      <c r="T187" s="22">
        <f>IF($F187=T$9,$I187/$I$161*T$10,IF($F187&lt;T$9,MIN($I187/$I$161,$I187-SUM($K187:S187)),0))</f>
        <v>0</v>
      </c>
      <c r="U187" s="22">
        <f>IF($F187=U$9,$I187/$I$161*U$10,IF($F187&lt;U$9,MIN($I187/$I$161,$I187-SUM($K187:T187)),0))</f>
        <v>0</v>
      </c>
      <c r="V187" s="22">
        <f>IF($F187=V$9,$I187/$I$161*V$10,IF($F187&lt;V$9,MIN($I187/$I$161,$I187-SUM($K187:U187)),0))</f>
        <v>0</v>
      </c>
      <c r="W187" s="22">
        <f>IF($F187=W$9,$I187/$I$161*W$10,IF($F187&lt;W$9,MIN($I187/$I$161,$I187-SUM($K187:V187)),0))</f>
        <v>0</v>
      </c>
      <c r="X187" s="22">
        <f>IF($F187=X$9,$I187/$I$161*X$10,IF($F187&lt;X$9,MIN($I187/$I$161,$I187-SUM($K187:W187)),0))</f>
        <v>0</v>
      </c>
      <c r="Y187" s="22">
        <f>IF($F187=Y$9,$I187/$I$161*Y$10,IF($F187&lt;Y$9,MIN($I187/$I$161,$I187-SUM($K187:X187)),0))</f>
        <v>0</v>
      </c>
      <c r="Z187" s="22">
        <f>IF($F187=Z$9,$I187/$I$161*Z$10,IF($F187&lt;Z$9,MIN($I187/$I$161,$I187-SUM($K187:Y187)),0))</f>
        <v>0</v>
      </c>
      <c r="AA187" s="22">
        <f>IF($F187=AA$9,$I187/$I$161*AA$10,IF($F187&lt;AA$9,MIN($I187/$I$161,$I187-SUM($K187:Z187)),0))</f>
        <v>0</v>
      </c>
      <c r="AB187" s="22">
        <f>IF($F187=AB$9,$I187/$I$161*AB$10,IF($F187&lt;AB$9,MIN($I187/$I$161,$I187-SUM($K187:AA187)),0))</f>
        <v>0</v>
      </c>
      <c r="AC187" s="22">
        <f>IF($F187=AC$9,$I187/$I$161*AC$10,IF($F187&lt;AC$9,MIN($I187/$I$161,$I187-SUM($K187:AB187)),0))</f>
        <v>0</v>
      </c>
      <c r="AD187" s="22">
        <f>IF($F187=AD$9,$I187/$I$161*AD$10,IF($F187&lt;AD$9,MIN($I187/$I$161,$I187-SUM($K187:AC187)),0))</f>
        <v>0</v>
      </c>
      <c r="AE187" s="22">
        <f>IF($F187=AE$9,$I187/$I$161*AE$10,IF($F187&lt;AE$9,MIN($I187/$I$161,$I187-SUM($K187:AD187)),0))</f>
        <v>0</v>
      </c>
      <c r="AF187" s="22">
        <f>IF($F187=AF$9,$I187/$I$161*AF$10,IF($F187&lt;AF$9,MIN($I187/$I$161,$I187-SUM($K187:AE187)),0))</f>
        <v>0</v>
      </c>
      <c r="AG187" s="22">
        <f>IF($F187=AG$9,$I187/$I$161*AG$10,IF($F187&lt;AG$9,MIN($I187/$I$161,$I187-SUM($K187:AF187)),0))</f>
        <v>0</v>
      </c>
      <c r="AH187" s="22">
        <f>IF($F187=AH$9,$I187/$I$161*AH$10,IF($F187&lt;AH$9,MIN($I187/$I$161,$I187-SUM($K187:AG187)),0))</f>
        <v>0</v>
      </c>
      <c r="AI187" s="22">
        <f>IF($F187=AI$9,$I187/$I$161*AI$10,IF($F187&lt;AI$9,MIN($I187/$I$161,$I187-SUM($K187:AH187)),0))</f>
        <v>0</v>
      </c>
      <c r="AJ187" s="22">
        <f>IF($F187=AJ$9,$I187/$I$161*AJ$10,IF($F187&lt;AJ$9,MIN($I187/$I$161,$I187-SUM($K187:AI187)),0))</f>
        <v>0</v>
      </c>
      <c r="AK187" s="22">
        <f>IF($F187=AK$9,$I187/$I$161*AK$10,IF($F187&lt;AK$9,MIN($I187/$I$161,$I187-SUM($K187:AJ187)),0))</f>
        <v>0</v>
      </c>
      <c r="AL187" s="22">
        <f>IF($F187=AL$9,$I187/$I$161*AL$10,IF($F187&lt;AL$9,MIN($I187/$I$161,$I187-SUM($K187:AK187)),0))</f>
        <v>0</v>
      </c>
      <c r="AM187" s="22">
        <f>IF($F187=AM$9,$I187/$I$161*AM$10,IF($F187&lt;AM$9,MIN($I187/$I$161,$I187-SUM($K187:AL187)),0))</f>
        <v>0</v>
      </c>
      <c r="AN187" s="22">
        <f>IF($F187=AN$9,$I187/$I$161*AN$10,IF($F187&lt;AN$9,MIN($I187/$I$161,$I187-SUM($K187:AM187)),0))</f>
        <v>0</v>
      </c>
      <c r="AO187" s="28"/>
    </row>
    <row r="188" spans="6:41" ht="14.4" customHeight="1" outlineLevel="1" x14ac:dyDescent="0.3">
      <c r="F188" s="69" t="str">
        <v/>
      </c>
      <c r="H188" s="26" t="s">
        <v>245</v>
      </c>
      <c r="I188" s="69">
        <v>0</v>
      </c>
      <c r="K188" s="89">
        <v>0</v>
      </c>
      <c r="L188" s="22">
        <f>IF($F188=L$9,$I188/$I$161*L$10,IF($F188&lt;L$9,MIN($I188/$I$161,$I188-SUM($K188:K188)),0))</f>
        <v>0</v>
      </c>
      <c r="M188" s="22">
        <f>IF($F188=M$9,$I188/$I$161*M$10,IF($F188&lt;M$9,MIN($I188/$I$161,$I188-SUM($K188:L188)),0))</f>
        <v>0</v>
      </c>
      <c r="N188" s="22">
        <f>IF($F188=N$9,$I188/$I$161*N$10,IF($F188&lt;N$9,MIN($I188/$I$161,$I188-SUM($K188:M188)),0))</f>
        <v>0</v>
      </c>
      <c r="O188" s="22">
        <f>IF($F188=O$9,$I188/$I$161*O$10,IF($F188&lt;O$9,MIN($I188/$I$161,$I188-SUM($K188:N188)),0))</f>
        <v>0</v>
      </c>
      <c r="P188" s="22">
        <f>IF($F188=P$9,$I188/$I$161*P$10,IF($F188&lt;P$9,MIN($I188/$I$161,$I188-SUM($K188:O188)),0))</f>
        <v>0</v>
      </c>
      <c r="Q188" s="22">
        <f>IF($F188=Q$9,$I188/$I$161*Q$10,IF($F188&lt;Q$9,MIN($I188/$I$161,$I188-SUM($K188:P188)),0))</f>
        <v>0</v>
      </c>
      <c r="R188" s="22">
        <f>IF($F188=R$9,$I188/$I$161*R$10,IF($F188&lt;R$9,MIN($I188/$I$161,$I188-SUM($K188:Q188)),0))</f>
        <v>0</v>
      </c>
      <c r="S188" s="22">
        <f>IF($F188=S$9,$I188/$I$161*S$10,IF($F188&lt;S$9,MIN($I188/$I$161,$I188-SUM($K188:R188)),0))</f>
        <v>0</v>
      </c>
      <c r="T188" s="22">
        <f>IF($F188=T$9,$I188/$I$161*T$10,IF($F188&lt;T$9,MIN($I188/$I$161,$I188-SUM($K188:S188)),0))</f>
        <v>0</v>
      </c>
      <c r="U188" s="22">
        <f>IF($F188=U$9,$I188/$I$161*U$10,IF($F188&lt;U$9,MIN($I188/$I$161,$I188-SUM($K188:T188)),0))</f>
        <v>0</v>
      </c>
      <c r="V188" s="22">
        <f>IF($F188=V$9,$I188/$I$161*V$10,IF($F188&lt;V$9,MIN($I188/$I$161,$I188-SUM($K188:U188)),0))</f>
        <v>0</v>
      </c>
      <c r="W188" s="22">
        <f>IF($F188=W$9,$I188/$I$161*W$10,IF($F188&lt;W$9,MIN($I188/$I$161,$I188-SUM($K188:V188)),0))</f>
        <v>0</v>
      </c>
      <c r="X188" s="22">
        <f>IF($F188=X$9,$I188/$I$161*X$10,IF($F188&lt;X$9,MIN($I188/$I$161,$I188-SUM($K188:W188)),0))</f>
        <v>0</v>
      </c>
      <c r="Y188" s="22">
        <f>IF($F188=Y$9,$I188/$I$161*Y$10,IF($F188&lt;Y$9,MIN($I188/$I$161,$I188-SUM($K188:X188)),0))</f>
        <v>0</v>
      </c>
      <c r="Z188" s="22">
        <f>IF($F188=Z$9,$I188/$I$161*Z$10,IF($F188&lt;Z$9,MIN($I188/$I$161,$I188-SUM($K188:Y188)),0))</f>
        <v>0</v>
      </c>
      <c r="AA188" s="22">
        <f>IF($F188=AA$9,$I188/$I$161*AA$10,IF($F188&lt;AA$9,MIN($I188/$I$161,$I188-SUM($K188:Z188)),0))</f>
        <v>0</v>
      </c>
      <c r="AB188" s="22">
        <f>IF($F188=AB$9,$I188/$I$161*AB$10,IF($F188&lt;AB$9,MIN($I188/$I$161,$I188-SUM($K188:AA188)),0))</f>
        <v>0</v>
      </c>
      <c r="AC188" s="22">
        <f>IF($F188=AC$9,$I188/$I$161*AC$10,IF($F188&lt;AC$9,MIN($I188/$I$161,$I188-SUM($K188:AB188)),0))</f>
        <v>0</v>
      </c>
      <c r="AD188" s="22">
        <f>IF($F188=AD$9,$I188/$I$161*AD$10,IF($F188&lt;AD$9,MIN($I188/$I$161,$I188-SUM($K188:AC188)),0))</f>
        <v>0</v>
      </c>
      <c r="AE188" s="22">
        <f>IF($F188=AE$9,$I188/$I$161*AE$10,IF($F188&lt;AE$9,MIN($I188/$I$161,$I188-SUM($K188:AD188)),0))</f>
        <v>0</v>
      </c>
      <c r="AF188" s="22">
        <f>IF($F188=AF$9,$I188/$I$161*AF$10,IF($F188&lt;AF$9,MIN($I188/$I$161,$I188-SUM($K188:AE188)),0))</f>
        <v>0</v>
      </c>
      <c r="AG188" s="22">
        <f>IF($F188=AG$9,$I188/$I$161*AG$10,IF($F188&lt;AG$9,MIN($I188/$I$161,$I188-SUM($K188:AF188)),0))</f>
        <v>0</v>
      </c>
      <c r="AH188" s="22">
        <f>IF($F188=AH$9,$I188/$I$161*AH$10,IF($F188&lt;AH$9,MIN($I188/$I$161,$I188-SUM($K188:AG188)),0))</f>
        <v>0</v>
      </c>
      <c r="AI188" s="22">
        <f>IF($F188=AI$9,$I188/$I$161*AI$10,IF($F188&lt;AI$9,MIN($I188/$I$161,$I188-SUM($K188:AH188)),0))</f>
        <v>0</v>
      </c>
      <c r="AJ188" s="22">
        <f>IF($F188=AJ$9,$I188/$I$161*AJ$10,IF($F188&lt;AJ$9,MIN($I188/$I$161,$I188-SUM($K188:AI188)),0))</f>
        <v>0</v>
      </c>
      <c r="AK188" s="22">
        <f>IF($F188=AK$9,$I188/$I$161*AK$10,IF($F188&lt;AK$9,MIN($I188/$I$161,$I188-SUM($K188:AJ188)),0))</f>
        <v>0</v>
      </c>
      <c r="AL188" s="22">
        <f>IF($F188=AL$9,$I188/$I$161*AL$10,IF($F188&lt;AL$9,MIN($I188/$I$161,$I188-SUM($K188:AK188)),0))</f>
        <v>0</v>
      </c>
      <c r="AM188" s="22">
        <f>IF($F188=AM$9,$I188/$I$161*AM$10,IF($F188&lt;AM$9,MIN($I188/$I$161,$I188-SUM($K188:AL188)),0))</f>
        <v>0</v>
      </c>
      <c r="AN188" s="22">
        <f>IF($F188=AN$9,$I188/$I$161*AN$10,IF($F188&lt;AN$9,MIN($I188/$I$161,$I188-SUM($K188:AM188)),0))</f>
        <v>0</v>
      </c>
      <c r="AO188" s="28"/>
    </row>
    <row r="189" spans="6:41" ht="14.4" customHeight="1" outlineLevel="1" x14ac:dyDescent="0.3">
      <c r="F189" s="69" t="str">
        <v/>
      </c>
      <c r="H189" s="26" t="s">
        <v>245</v>
      </c>
      <c r="I189" s="69">
        <v>0</v>
      </c>
      <c r="K189" s="89">
        <v>0</v>
      </c>
      <c r="L189" s="22">
        <f>IF($F189=L$9,$I189/$I$161*L$10,IF($F189&lt;L$9,MIN($I189/$I$161,$I189-SUM($K189:K189)),0))</f>
        <v>0</v>
      </c>
      <c r="M189" s="22">
        <f>IF($F189=M$9,$I189/$I$161*M$10,IF($F189&lt;M$9,MIN($I189/$I$161,$I189-SUM($K189:L189)),0))</f>
        <v>0</v>
      </c>
      <c r="N189" s="22">
        <f>IF($F189=N$9,$I189/$I$161*N$10,IF($F189&lt;N$9,MIN($I189/$I$161,$I189-SUM($K189:M189)),0))</f>
        <v>0</v>
      </c>
      <c r="O189" s="22">
        <f>IF($F189=O$9,$I189/$I$161*O$10,IF($F189&lt;O$9,MIN($I189/$I$161,$I189-SUM($K189:N189)),0))</f>
        <v>0</v>
      </c>
      <c r="P189" s="22">
        <f>IF($F189=P$9,$I189/$I$161*P$10,IF($F189&lt;P$9,MIN($I189/$I$161,$I189-SUM($K189:O189)),0))</f>
        <v>0</v>
      </c>
      <c r="Q189" s="22">
        <f>IF($F189=Q$9,$I189/$I$161*Q$10,IF($F189&lt;Q$9,MIN($I189/$I$161,$I189-SUM($K189:P189)),0))</f>
        <v>0</v>
      </c>
      <c r="R189" s="22">
        <f>IF($F189=R$9,$I189/$I$161*R$10,IF($F189&lt;R$9,MIN($I189/$I$161,$I189-SUM($K189:Q189)),0))</f>
        <v>0</v>
      </c>
      <c r="S189" s="22">
        <f>IF($F189=S$9,$I189/$I$161*S$10,IF($F189&lt;S$9,MIN($I189/$I$161,$I189-SUM($K189:R189)),0))</f>
        <v>0</v>
      </c>
      <c r="T189" s="22">
        <f>IF($F189=T$9,$I189/$I$161*T$10,IF($F189&lt;T$9,MIN($I189/$I$161,$I189-SUM($K189:S189)),0))</f>
        <v>0</v>
      </c>
      <c r="U189" s="22">
        <f>IF($F189=U$9,$I189/$I$161*U$10,IF($F189&lt;U$9,MIN($I189/$I$161,$I189-SUM($K189:T189)),0))</f>
        <v>0</v>
      </c>
      <c r="V189" s="22">
        <f>IF($F189=V$9,$I189/$I$161*V$10,IF($F189&lt;V$9,MIN($I189/$I$161,$I189-SUM($K189:U189)),0))</f>
        <v>0</v>
      </c>
      <c r="W189" s="22">
        <f>IF($F189=W$9,$I189/$I$161*W$10,IF($F189&lt;W$9,MIN($I189/$I$161,$I189-SUM($K189:V189)),0))</f>
        <v>0</v>
      </c>
      <c r="X189" s="22">
        <f>IF($F189=X$9,$I189/$I$161*X$10,IF($F189&lt;X$9,MIN($I189/$I$161,$I189-SUM($K189:W189)),0))</f>
        <v>0</v>
      </c>
      <c r="Y189" s="22">
        <f>IF($F189=Y$9,$I189/$I$161*Y$10,IF($F189&lt;Y$9,MIN($I189/$I$161,$I189-SUM($K189:X189)),0))</f>
        <v>0</v>
      </c>
      <c r="Z189" s="22">
        <f>IF($F189=Z$9,$I189/$I$161*Z$10,IF($F189&lt;Z$9,MIN($I189/$I$161,$I189-SUM($K189:Y189)),0))</f>
        <v>0</v>
      </c>
      <c r="AA189" s="22">
        <f>IF($F189=AA$9,$I189/$I$161*AA$10,IF($F189&lt;AA$9,MIN($I189/$I$161,$I189-SUM($K189:Z189)),0))</f>
        <v>0</v>
      </c>
      <c r="AB189" s="22">
        <f>IF($F189=AB$9,$I189/$I$161*AB$10,IF($F189&lt;AB$9,MIN($I189/$I$161,$I189-SUM($K189:AA189)),0))</f>
        <v>0</v>
      </c>
      <c r="AC189" s="22">
        <f>IF($F189=AC$9,$I189/$I$161*AC$10,IF($F189&lt;AC$9,MIN($I189/$I$161,$I189-SUM($K189:AB189)),0))</f>
        <v>0</v>
      </c>
      <c r="AD189" s="22">
        <f>IF($F189=AD$9,$I189/$I$161*AD$10,IF($F189&lt;AD$9,MIN($I189/$I$161,$I189-SUM($K189:AC189)),0))</f>
        <v>0</v>
      </c>
      <c r="AE189" s="22">
        <f>IF($F189=AE$9,$I189/$I$161*AE$10,IF($F189&lt;AE$9,MIN($I189/$I$161,$I189-SUM($K189:AD189)),0))</f>
        <v>0</v>
      </c>
      <c r="AF189" s="22">
        <f>IF($F189=AF$9,$I189/$I$161*AF$10,IF($F189&lt;AF$9,MIN($I189/$I$161,$I189-SUM($K189:AE189)),0))</f>
        <v>0</v>
      </c>
      <c r="AG189" s="22">
        <f>IF($F189=AG$9,$I189/$I$161*AG$10,IF($F189&lt;AG$9,MIN($I189/$I$161,$I189-SUM($K189:AF189)),0))</f>
        <v>0</v>
      </c>
      <c r="AH189" s="22">
        <f>IF($F189=AH$9,$I189/$I$161*AH$10,IF($F189&lt;AH$9,MIN($I189/$I$161,$I189-SUM($K189:AG189)),0))</f>
        <v>0</v>
      </c>
      <c r="AI189" s="22">
        <f>IF($F189=AI$9,$I189/$I$161*AI$10,IF($F189&lt;AI$9,MIN($I189/$I$161,$I189-SUM($K189:AH189)),0))</f>
        <v>0</v>
      </c>
      <c r="AJ189" s="22">
        <f>IF($F189=AJ$9,$I189/$I$161*AJ$10,IF($F189&lt;AJ$9,MIN($I189/$I$161,$I189-SUM($K189:AI189)),0))</f>
        <v>0</v>
      </c>
      <c r="AK189" s="22">
        <f>IF($F189=AK$9,$I189/$I$161*AK$10,IF($F189&lt;AK$9,MIN($I189/$I$161,$I189-SUM($K189:AJ189)),0))</f>
        <v>0</v>
      </c>
      <c r="AL189" s="22">
        <f>IF($F189=AL$9,$I189/$I$161*AL$10,IF($F189&lt;AL$9,MIN($I189/$I$161,$I189-SUM($K189:AK189)),0))</f>
        <v>0</v>
      </c>
      <c r="AM189" s="22">
        <f>IF($F189=AM$9,$I189/$I$161*AM$10,IF($F189&lt;AM$9,MIN($I189/$I$161,$I189-SUM($K189:AL189)),0))</f>
        <v>0</v>
      </c>
      <c r="AN189" s="22">
        <f>IF($F189=AN$9,$I189/$I$161*AN$10,IF($F189&lt;AN$9,MIN($I189/$I$161,$I189-SUM($K189:AM189)),0))</f>
        <v>0</v>
      </c>
      <c r="AO189" s="28"/>
    </row>
    <row r="190" spans="6:41" ht="14.4" customHeight="1" outlineLevel="1" x14ac:dyDescent="0.3">
      <c r="F190" s="69" t="str">
        <v/>
      </c>
      <c r="H190" s="26" t="s">
        <v>245</v>
      </c>
      <c r="I190" s="69">
        <v>0</v>
      </c>
      <c r="K190" s="89">
        <v>0</v>
      </c>
      <c r="L190" s="22">
        <f>IF($F190=L$9,$I190/$I$161*L$10,IF($F190&lt;L$9,MIN($I190/$I$161,$I190-SUM($K190:K190)),0))</f>
        <v>0</v>
      </c>
      <c r="M190" s="22">
        <f>IF($F190=M$9,$I190/$I$161*M$10,IF($F190&lt;M$9,MIN($I190/$I$161,$I190-SUM($K190:L190)),0))</f>
        <v>0</v>
      </c>
      <c r="N190" s="22">
        <f>IF($F190=N$9,$I190/$I$161*N$10,IF($F190&lt;N$9,MIN($I190/$I$161,$I190-SUM($K190:M190)),0))</f>
        <v>0</v>
      </c>
      <c r="O190" s="22">
        <f>IF($F190=O$9,$I190/$I$161*O$10,IF($F190&lt;O$9,MIN($I190/$I$161,$I190-SUM($K190:N190)),0))</f>
        <v>0</v>
      </c>
      <c r="P190" s="22">
        <f>IF($F190=P$9,$I190/$I$161*P$10,IF($F190&lt;P$9,MIN($I190/$I$161,$I190-SUM($K190:O190)),0))</f>
        <v>0</v>
      </c>
      <c r="Q190" s="22">
        <f>IF($F190=Q$9,$I190/$I$161*Q$10,IF($F190&lt;Q$9,MIN($I190/$I$161,$I190-SUM($K190:P190)),0))</f>
        <v>0</v>
      </c>
      <c r="R190" s="22">
        <f>IF($F190=R$9,$I190/$I$161*R$10,IF($F190&lt;R$9,MIN($I190/$I$161,$I190-SUM($K190:Q190)),0))</f>
        <v>0</v>
      </c>
      <c r="S190" s="22">
        <f>IF($F190=S$9,$I190/$I$161*S$10,IF($F190&lt;S$9,MIN($I190/$I$161,$I190-SUM($K190:R190)),0))</f>
        <v>0</v>
      </c>
      <c r="T190" s="22">
        <f>IF($F190=T$9,$I190/$I$161*T$10,IF($F190&lt;T$9,MIN($I190/$I$161,$I190-SUM($K190:S190)),0))</f>
        <v>0</v>
      </c>
      <c r="U190" s="22">
        <f>IF($F190=U$9,$I190/$I$161*U$10,IF($F190&lt;U$9,MIN($I190/$I$161,$I190-SUM($K190:T190)),0))</f>
        <v>0</v>
      </c>
      <c r="V190" s="22">
        <f>IF($F190=V$9,$I190/$I$161*V$10,IF($F190&lt;V$9,MIN($I190/$I$161,$I190-SUM($K190:U190)),0))</f>
        <v>0</v>
      </c>
      <c r="W190" s="22">
        <f>IF($F190=W$9,$I190/$I$161*W$10,IF($F190&lt;W$9,MIN($I190/$I$161,$I190-SUM($K190:V190)),0))</f>
        <v>0</v>
      </c>
      <c r="X190" s="22">
        <f>IF($F190=X$9,$I190/$I$161*X$10,IF($F190&lt;X$9,MIN($I190/$I$161,$I190-SUM($K190:W190)),0))</f>
        <v>0</v>
      </c>
      <c r="Y190" s="22">
        <f>IF($F190=Y$9,$I190/$I$161*Y$10,IF($F190&lt;Y$9,MIN($I190/$I$161,$I190-SUM($K190:X190)),0))</f>
        <v>0</v>
      </c>
      <c r="Z190" s="22">
        <f>IF($F190=Z$9,$I190/$I$161*Z$10,IF($F190&lt;Z$9,MIN($I190/$I$161,$I190-SUM($K190:Y190)),0))</f>
        <v>0</v>
      </c>
      <c r="AA190" s="22">
        <f>IF($F190=AA$9,$I190/$I$161*AA$10,IF($F190&lt;AA$9,MIN($I190/$I$161,$I190-SUM($K190:Z190)),0))</f>
        <v>0</v>
      </c>
      <c r="AB190" s="22">
        <f>IF($F190=AB$9,$I190/$I$161*AB$10,IF($F190&lt;AB$9,MIN($I190/$I$161,$I190-SUM($K190:AA190)),0))</f>
        <v>0</v>
      </c>
      <c r="AC190" s="22">
        <f>IF($F190=AC$9,$I190/$I$161*AC$10,IF($F190&lt;AC$9,MIN($I190/$I$161,$I190-SUM($K190:AB190)),0))</f>
        <v>0</v>
      </c>
      <c r="AD190" s="22">
        <f>IF($F190=AD$9,$I190/$I$161*AD$10,IF($F190&lt;AD$9,MIN($I190/$I$161,$I190-SUM($K190:AC190)),0))</f>
        <v>0</v>
      </c>
      <c r="AE190" s="22">
        <f>IF($F190=AE$9,$I190/$I$161*AE$10,IF($F190&lt;AE$9,MIN($I190/$I$161,$I190-SUM($K190:AD190)),0))</f>
        <v>0</v>
      </c>
      <c r="AF190" s="22">
        <f>IF($F190=AF$9,$I190/$I$161*AF$10,IF($F190&lt;AF$9,MIN($I190/$I$161,$I190-SUM($K190:AE190)),0))</f>
        <v>0</v>
      </c>
      <c r="AG190" s="22">
        <f>IF($F190=AG$9,$I190/$I$161*AG$10,IF($F190&lt;AG$9,MIN($I190/$I$161,$I190-SUM($K190:AF190)),0))</f>
        <v>0</v>
      </c>
      <c r="AH190" s="22">
        <f>IF($F190=AH$9,$I190/$I$161*AH$10,IF($F190&lt;AH$9,MIN($I190/$I$161,$I190-SUM($K190:AG190)),0))</f>
        <v>0</v>
      </c>
      <c r="AI190" s="22">
        <f>IF($F190=AI$9,$I190/$I$161*AI$10,IF($F190&lt;AI$9,MIN($I190/$I$161,$I190-SUM($K190:AH190)),0))</f>
        <v>0</v>
      </c>
      <c r="AJ190" s="22">
        <f>IF($F190=AJ$9,$I190/$I$161*AJ$10,IF($F190&lt;AJ$9,MIN($I190/$I$161,$I190-SUM($K190:AI190)),0))</f>
        <v>0</v>
      </c>
      <c r="AK190" s="22">
        <f>IF($F190=AK$9,$I190/$I$161*AK$10,IF($F190&lt;AK$9,MIN($I190/$I$161,$I190-SUM($K190:AJ190)),0))</f>
        <v>0</v>
      </c>
      <c r="AL190" s="22">
        <f>IF($F190=AL$9,$I190/$I$161*AL$10,IF($F190&lt;AL$9,MIN($I190/$I$161,$I190-SUM($K190:AK190)),0))</f>
        <v>0</v>
      </c>
      <c r="AM190" s="22">
        <f>IF($F190=AM$9,$I190/$I$161*AM$10,IF($F190&lt;AM$9,MIN($I190/$I$161,$I190-SUM($K190:AL190)),0))</f>
        <v>0</v>
      </c>
      <c r="AN190" s="22">
        <f>IF($F190=AN$9,$I190/$I$161*AN$10,IF($F190&lt;AN$9,MIN($I190/$I$161,$I190-SUM($K190:AM190)),0))</f>
        <v>0</v>
      </c>
      <c r="AO190" s="28"/>
    </row>
    <row r="191" spans="6:41" ht="14.4" customHeight="1" outlineLevel="1" x14ac:dyDescent="0.3">
      <c r="F191" s="69" t="str">
        <v/>
      </c>
      <c r="H191" s="26" t="s">
        <v>245</v>
      </c>
      <c r="I191" s="69">
        <v>0</v>
      </c>
      <c r="K191" s="89">
        <v>0</v>
      </c>
      <c r="L191" s="22">
        <f>IF($F191=L$9,$I191/$I$161*L$10,IF($F191&lt;L$9,MIN($I191/$I$161,$I191-SUM($K191:K191)),0))</f>
        <v>0</v>
      </c>
      <c r="M191" s="22">
        <f>IF($F191=M$9,$I191/$I$161*M$10,IF($F191&lt;M$9,MIN($I191/$I$161,$I191-SUM($K191:L191)),0))</f>
        <v>0</v>
      </c>
      <c r="N191" s="22">
        <f>IF($F191=N$9,$I191/$I$161*N$10,IF($F191&lt;N$9,MIN($I191/$I$161,$I191-SUM($K191:M191)),0))</f>
        <v>0</v>
      </c>
      <c r="O191" s="22">
        <f>IF($F191=O$9,$I191/$I$161*O$10,IF($F191&lt;O$9,MIN($I191/$I$161,$I191-SUM($K191:N191)),0))</f>
        <v>0</v>
      </c>
      <c r="P191" s="22">
        <f>IF($F191=P$9,$I191/$I$161*P$10,IF($F191&lt;P$9,MIN($I191/$I$161,$I191-SUM($K191:O191)),0))</f>
        <v>0</v>
      </c>
      <c r="Q191" s="22">
        <f>IF($F191=Q$9,$I191/$I$161*Q$10,IF($F191&lt;Q$9,MIN($I191/$I$161,$I191-SUM($K191:P191)),0))</f>
        <v>0</v>
      </c>
      <c r="R191" s="22">
        <f>IF($F191=R$9,$I191/$I$161*R$10,IF($F191&lt;R$9,MIN($I191/$I$161,$I191-SUM($K191:Q191)),0))</f>
        <v>0</v>
      </c>
      <c r="S191" s="22">
        <f>IF($F191=S$9,$I191/$I$161*S$10,IF($F191&lt;S$9,MIN($I191/$I$161,$I191-SUM($K191:R191)),0))</f>
        <v>0</v>
      </c>
      <c r="T191" s="22">
        <f>IF($F191=T$9,$I191/$I$161*T$10,IF($F191&lt;T$9,MIN($I191/$I$161,$I191-SUM($K191:S191)),0))</f>
        <v>0</v>
      </c>
      <c r="U191" s="22">
        <f>IF($F191=U$9,$I191/$I$161*U$10,IF($F191&lt;U$9,MIN($I191/$I$161,$I191-SUM($K191:T191)),0))</f>
        <v>0</v>
      </c>
      <c r="V191" s="22">
        <f>IF($F191=V$9,$I191/$I$161*V$10,IF($F191&lt;V$9,MIN($I191/$I$161,$I191-SUM($K191:U191)),0))</f>
        <v>0</v>
      </c>
      <c r="W191" s="22">
        <f>IF($F191=W$9,$I191/$I$161*W$10,IF($F191&lt;W$9,MIN($I191/$I$161,$I191-SUM($K191:V191)),0))</f>
        <v>0</v>
      </c>
      <c r="X191" s="22">
        <f>IF($F191=X$9,$I191/$I$161*X$10,IF($F191&lt;X$9,MIN($I191/$I$161,$I191-SUM($K191:W191)),0))</f>
        <v>0</v>
      </c>
      <c r="Y191" s="22">
        <f>IF($F191=Y$9,$I191/$I$161*Y$10,IF($F191&lt;Y$9,MIN($I191/$I$161,$I191-SUM($K191:X191)),0))</f>
        <v>0</v>
      </c>
      <c r="Z191" s="22">
        <f>IF($F191=Z$9,$I191/$I$161*Z$10,IF($F191&lt;Z$9,MIN($I191/$I$161,$I191-SUM($K191:Y191)),0))</f>
        <v>0</v>
      </c>
      <c r="AA191" s="22">
        <f>IF($F191=AA$9,$I191/$I$161*AA$10,IF($F191&lt;AA$9,MIN($I191/$I$161,$I191-SUM($K191:Z191)),0))</f>
        <v>0</v>
      </c>
      <c r="AB191" s="22">
        <f>IF($F191=AB$9,$I191/$I$161*AB$10,IF($F191&lt;AB$9,MIN($I191/$I$161,$I191-SUM($K191:AA191)),0))</f>
        <v>0</v>
      </c>
      <c r="AC191" s="22">
        <f>IF($F191=AC$9,$I191/$I$161*AC$10,IF($F191&lt;AC$9,MIN($I191/$I$161,$I191-SUM($K191:AB191)),0))</f>
        <v>0</v>
      </c>
      <c r="AD191" s="22">
        <f>IF($F191=AD$9,$I191/$I$161*AD$10,IF($F191&lt;AD$9,MIN($I191/$I$161,$I191-SUM($K191:AC191)),0))</f>
        <v>0</v>
      </c>
      <c r="AE191" s="22">
        <f>IF($F191=AE$9,$I191/$I$161*AE$10,IF($F191&lt;AE$9,MIN($I191/$I$161,$I191-SUM($K191:AD191)),0))</f>
        <v>0</v>
      </c>
      <c r="AF191" s="22">
        <f>IF($F191=AF$9,$I191/$I$161*AF$10,IF($F191&lt;AF$9,MIN($I191/$I$161,$I191-SUM($K191:AE191)),0))</f>
        <v>0</v>
      </c>
      <c r="AG191" s="22">
        <f>IF($F191=AG$9,$I191/$I$161*AG$10,IF($F191&lt;AG$9,MIN($I191/$I$161,$I191-SUM($K191:AF191)),0))</f>
        <v>0</v>
      </c>
      <c r="AH191" s="22">
        <f>IF($F191=AH$9,$I191/$I$161*AH$10,IF($F191&lt;AH$9,MIN($I191/$I$161,$I191-SUM($K191:AG191)),0))</f>
        <v>0</v>
      </c>
      <c r="AI191" s="22">
        <f>IF($F191=AI$9,$I191/$I$161*AI$10,IF($F191&lt;AI$9,MIN($I191/$I$161,$I191-SUM($K191:AH191)),0))</f>
        <v>0</v>
      </c>
      <c r="AJ191" s="22">
        <f>IF($F191=AJ$9,$I191/$I$161*AJ$10,IF($F191&lt;AJ$9,MIN($I191/$I$161,$I191-SUM($K191:AI191)),0))</f>
        <v>0</v>
      </c>
      <c r="AK191" s="22">
        <f>IF($F191=AK$9,$I191/$I$161*AK$10,IF($F191&lt;AK$9,MIN($I191/$I$161,$I191-SUM($K191:AJ191)),0))</f>
        <v>0</v>
      </c>
      <c r="AL191" s="22">
        <f>IF($F191=AL$9,$I191/$I$161*AL$10,IF($F191&lt;AL$9,MIN($I191/$I$161,$I191-SUM($K191:AK191)),0))</f>
        <v>0</v>
      </c>
      <c r="AM191" s="22">
        <f>IF($F191=AM$9,$I191/$I$161*AM$10,IF($F191&lt;AM$9,MIN($I191/$I$161,$I191-SUM($K191:AL191)),0))</f>
        <v>0</v>
      </c>
      <c r="AN191" s="22">
        <f>IF($F191=AN$9,$I191/$I$161*AN$10,IF($F191&lt;AN$9,MIN($I191/$I$161,$I191-SUM($K191:AM191)),0))</f>
        <v>0</v>
      </c>
      <c r="AO191" s="28"/>
    </row>
    <row r="192" spans="6:41" ht="14.4" customHeight="1" outlineLevel="1" x14ac:dyDescent="0.3">
      <c r="F192" s="136"/>
      <c r="H192" s="26"/>
      <c r="I192" s="136"/>
      <c r="K192" s="48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28"/>
    </row>
    <row r="193" spans="1:41" s="2" customFormat="1" ht="14.4" customHeight="1" outlineLevel="1" x14ac:dyDescent="0.3">
      <c r="A193" s="18"/>
      <c r="B193" s="18"/>
      <c r="C193" s="2" t="s">
        <v>311</v>
      </c>
      <c r="F193" s="137"/>
      <c r="H193" s="26" t="s">
        <v>245</v>
      </c>
      <c r="I193" s="137"/>
      <c r="K193" s="48"/>
      <c r="L193" s="34">
        <f>SUM(L163:L191)</f>
        <v>0</v>
      </c>
      <c r="M193" s="34">
        <f t="shared" ref="M193:AN193" si="105">SUM(M163:M191)</f>
        <v>0</v>
      </c>
      <c r="N193" s="34">
        <f>SUM(N163:N191)</f>
        <v>3.6526073561016958</v>
      </c>
      <c r="O193" s="34">
        <f t="shared" si="105"/>
        <v>4.383128827322035</v>
      </c>
      <c r="P193" s="34">
        <f t="shared" si="105"/>
        <v>4.383128827322035</v>
      </c>
      <c r="Q193" s="34">
        <f t="shared" si="105"/>
        <v>4.383128827322035</v>
      </c>
      <c r="R193" s="34">
        <f t="shared" si="105"/>
        <v>4.383128827322035</v>
      </c>
      <c r="S193" s="34">
        <f t="shared" si="105"/>
        <v>4.383128827322035</v>
      </c>
      <c r="T193" s="34">
        <f t="shared" si="105"/>
        <v>4.383128827322035</v>
      </c>
      <c r="U193" s="34">
        <f t="shared" si="105"/>
        <v>4.383128827322035</v>
      </c>
      <c r="V193" s="34">
        <f t="shared" si="105"/>
        <v>4.383128827322035</v>
      </c>
      <c r="W193" s="34">
        <f t="shared" si="105"/>
        <v>4.383128827322035</v>
      </c>
      <c r="X193" s="34">
        <f t="shared" si="105"/>
        <v>4.383128827322035</v>
      </c>
      <c r="Y193" s="34">
        <f t="shared" si="105"/>
        <v>4.383128827322035</v>
      </c>
      <c r="Z193" s="34">
        <f t="shared" si="105"/>
        <v>0.73052147122034228</v>
      </c>
      <c r="AA193" s="34">
        <f t="shared" si="105"/>
        <v>0</v>
      </c>
      <c r="AB193" s="34">
        <f t="shared" si="105"/>
        <v>0</v>
      </c>
      <c r="AC193" s="34">
        <f t="shared" si="105"/>
        <v>0</v>
      </c>
      <c r="AD193" s="34">
        <f t="shared" si="105"/>
        <v>0</v>
      </c>
      <c r="AE193" s="34">
        <f t="shared" si="105"/>
        <v>0</v>
      </c>
      <c r="AF193" s="34">
        <f t="shared" si="105"/>
        <v>0</v>
      </c>
      <c r="AG193" s="34">
        <f t="shared" si="105"/>
        <v>0</v>
      </c>
      <c r="AH193" s="34">
        <f t="shared" si="105"/>
        <v>0</v>
      </c>
      <c r="AI193" s="34">
        <f t="shared" si="105"/>
        <v>0</v>
      </c>
      <c r="AJ193" s="34">
        <f t="shared" si="105"/>
        <v>0</v>
      </c>
      <c r="AK193" s="34">
        <f t="shared" si="105"/>
        <v>0</v>
      </c>
      <c r="AL193" s="34">
        <f t="shared" si="105"/>
        <v>0</v>
      </c>
      <c r="AM193" s="34">
        <f t="shared" si="105"/>
        <v>0</v>
      </c>
      <c r="AN193" s="34">
        <f t="shared" si="105"/>
        <v>0</v>
      </c>
      <c r="AO193" s="127"/>
    </row>
    <row r="194" spans="1:41" s="2" customFormat="1" ht="14.4" customHeight="1" outlineLevel="1" x14ac:dyDescent="0.3">
      <c r="A194" s="32"/>
      <c r="B194" s="32"/>
      <c r="F194" s="137"/>
      <c r="H194" s="26"/>
      <c r="I194" s="137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127"/>
    </row>
    <row r="195" spans="1:41" ht="14.4" customHeight="1" outlineLevel="1" x14ac:dyDescent="0.3">
      <c r="C195" s="1" t="s">
        <v>303</v>
      </c>
      <c r="H195" s="26" t="s">
        <v>245</v>
      </c>
      <c r="K195" s="89">
        <v>0</v>
      </c>
      <c r="L195" s="20">
        <f>SUM($L$145:L145)-SUM($L$193:L193)</f>
        <v>0</v>
      </c>
      <c r="M195" s="20">
        <f>SUM($L$145:M145)-SUM($L$193:M193)</f>
        <v>0</v>
      </c>
      <c r="N195" s="20">
        <f>SUM($L$145:N145)-SUM($L$193:N193)</f>
        <v>48.944938571762719</v>
      </c>
      <c r="O195" s="20">
        <f>SUM($L$145:O145)-SUM($L$193:O193)</f>
        <v>44.561809744440687</v>
      </c>
      <c r="P195" s="20">
        <f>SUM($L$145:P145)-SUM($L$193:P193)</f>
        <v>40.178680917118655</v>
      </c>
      <c r="Q195" s="20">
        <f>SUM($L$145:Q145)-SUM($L$193:Q193)</f>
        <v>35.795552089796615</v>
      </c>
      <c r="R195" s="20">
        <f>SUM($L$145:R145)-SUM($L$193:R193)</f>
        <v>31.412423262474579</v>
      </c>
      <c r="S195" s="20">
        <f>SUM($L$145:S145)-SUM($L$193:S193)</f>
        <v>27.029294435152543</v>
      </c>
      <c r="T195" s="20">
        <f>SUM($L$145:T145)-SUM($L$193:T193)</f>
        <v>22.646165607830508</v>
      </c>
      <c r="U195" s="20">
        <f>SUM($L$145:U145)-SUM($L$193:U193)</f>
        <v>18.263036780508472</v>
      </c>
      <c r="V195" s="20">
        <f>SUM($L$145:V145)-SUM($L$193:V193)</f>
        <v>13.879907953186439</v>
      </c>
      <c r="W195" s="20">
        <f>SUM($L$145:W145)-SUM($L$193:W193)</f>
        <v>9.496779125864407</v>
      </c>
      <c r="X195" s="20">
        <f>SUM($L$145:X145)-SUM($L$193:X193)</f>
        <v>5.1136502985423746</v>
      </c>
      <c r="Y195" s="20">
        <f>SUM($L$145:Y145)-SUM($L$193:Y193)</f>
        <v>0.73052147122034228</v>
      </c>
      <c r="Z195" s="20">
        <f>SUM($L$145:Z145)-SUM($L$193:Z193)</f>
        <v>0</v>
      </c>
      <c r="AA195" s="20">
        <f>SUM($L$145:AA145)-SUM($L$193:AA193)</f>
        <v>0</v>
      </c>
      <c r="AB195" s="20">
        <f>SUM($L$145:AB145)-SUM($L$193:AB193)</f>
        <v>0</v>
      </c>
      <c r="AC195" s="20">
        <f>SUM($L$145:AC145)-SUM($L$193:AC193)</f>
        <v>0</v>
      </c>
      <c r="AD195" s="20">
        <f>SUM($L$145:AD145)-SUM($L$193:AD193)</f>
        <v>0</v>
      </c>
      <c r="AE195" s="20">
        <f>SUM($L$145:AE145)-SUM($L$193:AE193)</f>
        <v>0</v>
      </c>
      <c r="AF195" s="20">
        <f>SUM($L$145:AF145)-SUM($L$193:AF193)</f>
        <v>0</v>
      </c>
      <c r="AG195" s="20">
        <f>SUM($L$145:AG145)-SUM($L$193:AG193)</f>
        <v>0</v>
      </c>
      <c r="AH195" s="20">
        <f>SUM($L$145:AH145)-SUM($L$193:AH193)</f>
        <v>0</v>
      </c>
      <c r="AI195" s="20">
        <f>SUM($L$145:AI145)-SUM($L$193:AI193)</f>
        <v>0</v>
      </c>
      <c r="AJ195" s="20">
        <f>SUM($L$145:AJ145)-SUM($L$193:AJ193)</f>
        <v>0</v>
      </c>
      <c r="AK195" s="20">
        <f>SUM($L$145:AK145)-SUM($L$193:AK193)</f>
        <v>0</v>
      </c>
      <c r="AL195" s="20">
        <f>SUM($L$145:AL145)-SUM($L$193:AL193)</f>
        <v>0</v>
      </c>
      <c r="AM195" s="20">
        <f>SUM($L$145:AM145)-SUM($L$193:AM193)</f>
        <v>0</v>
      </c>
      <c r="AN195" s="20">
        <f>SUM($L$145:AN145)-SUM($L$193:AN193)</f>
        <v>0</v>
      </c>
      <c r="AO195" s="28"/>
    </row>
    <row r="196" spans="1:41" ht="14.4" customHeight="1" outlineLevel="1" x14ac:dyDescent="0.3">
      <c r="H196" s="26"/>
      <c r="K196" s="48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28"/>
    </row>
    <row r="197" spans="1:41" ht="14.4" customHeight="1" outlineLevel="1" x14ac:dyDescent="0.3">
      <c r="C197" s="1" t="s">
        <v>302</v>
      </c>
      <c r="H197" s="26" t="s">
        <v>245</v>
      </c>
      <c r="K197" s="48"/>
      <c r="L197" s="22">
        <f t="shared" ref="L197:AN197" si="106">L193*(1-IFERROR(($I$95/$I$102),0))</f>
        <v>0</v>
      </c>
      <c r="M197" s="22">
        <f t="shared" si="106"/>
        <v>0</v>
      </c>
      <c r="N197" s="22">
        <f t="shared" si="106"/>
        <v>3.1676666666666677</v>
      </c>
      <c r="O197" s="22">
        <f t="shared" si="106"/>
        <v>3.801200000000001</v>
      </c>
      <c r="P197" s="22">
        <f t="shared" si="106"/>
        <v>3.801200000000001</v>
      </c>
      <c r="Q197" s="22">
        <f t="shared" si="106"/>
        <v>3.801200000000001</v>
      </c>
      <c r="R197" s="22">
        <f t="shared" si="106"/>
        <v>3.801200000000001</v>
      </c>
      <c r="S197" s="22">
        <f t="shared" si="106"/>
        <v>3.801200000000001</v>
      </c>
      <c r="T197" s="22">
        <f t="shared" si="106"/>
        <v>3.801200000000001</v>
      </c>
      <c r="U197" s="22">
        <f t="shared" si="106"/>
        <v>3.801200000000001</v>
      </c>
      <c r="V197" s="22">
        <f t="shared" si="106"/>
        <v>3.801200000000001</v>
      </c>
      <c r="W197" s="22">
        <f t="shared" si="106"/>
        <v>3.801200000000001</v>
      </c>
      <c r="X197" s="22">
        <f t="shared" si="106"/>
        <v>3.801200000000001</v>
      </c>
      <c r="Y197" s="22">
        <f t="shared" si="106"/>
        <v>3.801200000000001</v>
      </c>
      <c r="Z197" s="22">
        <f t="shared" si="106"/>
        <v>0.63353333333333617</v>
      </c>
      <c r="AA197" s="22">
        <f t="shared" si="106"/>
        <v>0</v>
      </c>
      <c r="AB197" s="22">
        <f t="shared" si="106"/>
        <v>0</v>
      </c>
      <c r="AC197" s="22">
        <f t="shared" si="106"/>
        <v>0</v>
      </c>
      <c r="AD197" s="22">
        <f t="shared" si="106"/>
        <v>0</v>
      </c>
      <c r="AE197" s="22">
        <f t="shared" si="106"/>
        <v>0</v>
      </c>
      <c r="AF197" s="22">
        <f t="shared" si="106"/>
        <v>0</v>
      </c>
      <c r="AG197" s="22">
        <f t="shared" si="106"/>
        <v>0</v>
      </c>
      <c r="AH197" s="22">
        <f t="shared" si="106"/>
        <v>0</v>
      </c>
      <c r="AI197" s="22">
        <f t="shared" si="106"/>
        <v>0</v>
      </c>
      <c r="AJ197" s="22">
        <f t="shared" si="106"/>
        <v>0</v>
      </c>
      <c r="AK197" s="22">
        <f t="shared" si="106"/>
        <v>0</v>
      </c>
      <c r="AL197" s="22">
        <f t="shared" si="106"/>
        <v>0</v>
      </c>
      <c r="AM197" s="22">
        <f t="shared" si="106"/>
        <v>0</v>
      </c>
      <c r="AN197" s="22">
        <f t="shared" si="106"/>
        <v>0</v>
      </c>
      <c r="AO197" s="28"/>
    </row>
    <row r="198" spans="1:41" ht="14.4" customHeight="1" outlineLevel="1" x14ac:dyDescent="0.3">
      <c r="K198" s="48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28"/>
    </row>
    <row r="199" spans="1:41" ht="14.4" customHeight="1" outlineLevel="1" x14ac:dyDescent="0.3">
      <c r="C199" s="1" t="s">
        <v>306</v>
      </c>
      <c r="H199" s="26" t="s">
        <v>245</v>
      </c>
      <c r="K199" s="89">
        <v>0</v>
      </c>
      <c r="L199" s="22">
        <f t="shared" ref="L199:AN199" si="107">L195*(1-IFERROR($I$95/$I$102,0))</f>
        <v>0</v>
      </c>
      <c r="M199" s="22">
        <f t="shared" si="107"/>
        <v>0</v>
      </c>
      <c r="N199" s="22">
        <f t="shared" si="107"/>
        <v>42.446733333333341</v>
      </c>
      <c r="O199" s="22">
        <f t="shared" si="107"/>
        <v>38.64553333333334</v>
      </c>
      <c r="P199" s="22">
        <f t="shared" si="107"/>
        <v>34.844333333333346</v>
      </c>
      <c r="Q199" s="22">
        <f t="shared" si="107"/>
        <v>31.043133333333337</v>
      </c>
      <c r="R199" s="22">
        <f t="shared" si="107"/>
        <v>27.241933333333336</v>
      </c>
      <c r="S199" s="22">
        <f t="shared" si="107"/>
        <v>23.440733333333334</v>
      </c>
      <c r="T199" s="22">
        <f t="shared" si="107"/>
        <v>19.639533333333333</v>
      </c>
      <c r="U199" s="22">
        <f t="shared" si="107"/>
        <v>15.838333333333331</v>
      </c>
      <c r="V199" s="22">
        <f t="shared" si="107"/>
        <v>12.037133333333333</v>
      </c>
      <c r="W199" s="22">
        <f t="shared" si="107"/>
        <v>8.2359333333333336</v>
      </c>
      <c r="X199" s="22">
        <f t="shared" si="107"/>
        <v>4.4347333333333347</v>
      </c>
      <c r="Y199" s="22">
        <f t="shared" si="107"/>
        <v>0.63353333333333617</v>
      </c>
      <c r="Z199" s="22">
        <f t="shared" si="107"/>
        <v>0</v>
      </c>
      <c r="AA199" s="22">
        <f t="shared" si="107"/>
        <v>0</v>
      </c>
      <c r="AB199" s="22">
        <f t="shared" si="107"/>
        <v>0</v>
      </c>
      <c r="AC199" s="22">
        <f t="shared" si="107"/>
        <v>0</v>
      </c>
      <c r="AD199" s="22">
        <f t="shared" si="107"/>
        <v>0</v>
      </c>
      <c r="AE199" s="22">
        <f t="shared" si="107"/>
        <v>0</v>
      </c>
      <c r="AF199" s="22">
        <f t="shared" si="107"/>
        <v>0</v>
      </c>
      <c r="AG199" s="22">
        <f t="shared" si="107"/>
        <v>0</v>
      </c>
      <c r="AH199" s="22">
        <f t="shared" si="107"/>
        <v>0</v>
      </c>
      <c r="AI199" s="22">
        <f t="shared" si="107"/>
        <v>0</v>
      </c>
      <c r="AJ199" s="22">
        <f t="shared" si="107"/>
        <v>0</v>
      </c>
      <c r="AK199" s="22">
        <f t="shared" si="107"/>
        <v>0</v>
      </c>
      <c r="AL199" s="22">
        <f t="shared" si="107"/>
        <v>0</v>
      </c>
      <c r="AM199" s="22">
        <f t="shared" si="107"/>
        <v>0</v>
      </c>
      <c r="AN199" s="22">
        <f t="shared" si="107"/>
        <v>0</v>
      </c>
      <c r="AO199" s="28"/>
    </row>
    <row r="200" spans="1:41" ht="14.4" customHeight="1" outlineLevel="1" x14ac:dyDescent="0.3">
      <c r="K200" s="48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28"/>
    </row>
    <row r="201" spans="1:41" ht="14.4" customHeight="1" outlineLevel="1" x14ac:dyDescent="0.3">
      <c r="C201" s="1" t="s">
        <v>412</v>
      </c>
      <c r="H201" s="26" t="s">
        <v>245</v>
      </c>
      <c r="L201" s="22">
        <f>IF(L$9=YEAR(Input!$H$12),YEARFRAC(Input!$H$12,L3,3)*$I$102,AVERAGE(K195,L195))</f>
        <v>0</v>
      </c>
      <c r="M201" s="22">
        <f>IF(M$9=YEAR(Input!$H$12),YEARFRAC(Input!$H$12,M3,3)*$I$102,AVERAGE(L195,M195))</f>
        <v>0</v>
      </c>
      <c r="N201" s="22">
        <f>IF(N$9=YEAR(Input!$H$12),YEARFRAC(Input!$H$12,N3,3)*$I$102,AVERAGE(M195,N195))</f>
        <v>43.951373994516842</v>
      </c>
      <c r="O201" s="22">
        <f>IF(O$9=YEAR(Input!$H$12),YEARFRAC(Input!$H$12,O3,3)*$I$102,AVERAGE(N195,O195))</f>
        <v>46.753374158101707</v>
      </c>
      <c r="P201" s="22">
        <f>IF(P$9=YEAR(Input!$H$12),YEARFRAC(Input!$H$12,P3,3)*$I$102,AVERAGE(O195,P195))</f>
        <v>42.370245330779667</v>
      </c>
      <c r="Q201" s="22">
        <f>IF(Q$9=YEAR(Input!$H$12),YEARFRAC(Input!$H$12,Q3,3)*$I$102,AVERAGE(P195,Q195))</f>
        <v>37.987116503457635</v>
      </c>
      <c r="R201" s="22">
        <f>IF(R$9=YEAR(Input!$H$12),YEARFRAC(Input!$H$12,R3,3)*$I$102,AVERAGE(Q195,R195))</f>
        <v>33.603987676135596</v>
      </c>
      <c r="S201" s="22">
        <f>IF(S$9=YEAR(Input!$H$12),YEARFRAC(Input!$H$12,S3,3)*$I$102,AVERAGE(R195,S195))</f>
        <v>29.220858848813563</v>
      </c>
      <c r="T201" s="22">
        <f>IF(T$9=YEAR(Input!$H$12),YEARFRAC(Input!$H$12,T3,3)*$I$102,AVERAGE(S195,T195))</f>
        <v>24.837730021491524</v>
      </c>
      <c r="U201" s="22">
        <f>IF(U$9=YEAR(Input!$H$12),YEARFRAC(Input!$H$12,U3,3)*$I$102,AVERAGE(T195,U195))</f>
        <v>20.454601194169491</v>
      </c>
      <c r="V201" s="22">
        <f>IF(V$9=YEAR(Input!$H$12),YEARFRAC(Input!$H$12,V3,3)*$I$102,AVERAGE(U195,V195))</f>
        <v>16.071472366847456</v>
      </c>
      <c r="W201" s="22">
        <f>IF(W$9=YEAR(Input!$H$12),YEARFRAC(Input!$H$12,W3,3)*$I$102,AVERAGE(V195,W195))</f>
        <v>11.688343539525423</v>
      </c>
      <c r="X201" s="22">
        <f>IF(X$9=YEAR(Input!$H$12),YEARFRAC(Input!$H$12,X3,3)*$I$102,AVERAGE(W195,X195))</f>
        <v>7.3052147122033908</v>
      </c>
      <c r="Y201" s="22">
        <f>IF(Y$9=YEAR(Input!$H$12),YEARFRAC(Input!$H$12,Y3,3)*$I$102,AVERAGE(X195,Y195))</f>
        <v>2.9220858848813585</v>
      </c>
      <c r="Z201" s="22">
        <f>IF(Z$9=YEAR(Input!$H$12),YEARFRAC(Input!$H$12,Z3,3)*$I$102,AVERAGE(Y195,Z195))</f>
        <v>0.36526073561017114</v>
      </c>
      <c r="AA201" s="22">
        <f>IF(AA$9=YEAR(Input!$H$12),YEARFRAC(Input!$H$12,AA3,3)*$I$102,AVERAGE(Z195,AA195))</f>
        <v>0</v>
      </c>
      <c r="AB201" s="22">
        <f>IF(AB$9=YEAR(Input!$H$12),YEARFRAC(Input!$H$12,AB3,3)*$I$102,AVERAGE(AA195,AB195))</f>
        <v>0</v>
      </c>
      <c r="AC201" s="22">
        <f>IF(AC$9=YEAR(Input!$H$12),YEARFRAC(Input!$H$12,AC3,3)*$I$102,AVERAGE(AB195,AC195))</f>
        <v>0</v>
      </c>
      <c r="AD201" s="22">
        <f>IF(AD$9=YEAR(Input!$H$12),YEARFRAC(Input!$H$12,AD3,3)*$I$102,AVERAGE(AC195,AD195))</f>
        <v>0</v>
      </c>
      <c r="AE201" s="22">
        <f>IF(AE$9=YEAR(Input!$H$12),YEARFRAC(Input!$H$12,AE3,3)*$I$102,AVERAGE(AD195,AE195))</f>
        <v>0</v>
      </c>
      <c r="AF201" s="22">
        <f>IF(AF$9=YEAR(Input!$H$12),YEARFRAC(Input!$H$12,AF3,3)*$I$102,AVERAGE(AE195,AF195))</f>
        <v>0</v>
      </c>
      <c r="AG201" s="22">
        <f>IF(AG$9=YEAR(Input!$H$12),YEARFRAC(Input!$H$12,AG3,3)*$I$102,AVERAGE(AF195,AG195))</f>
        <v>0</v>
      </c>
      <c r="AH201" s="22">
        <f>IF(AH$9=YEAR(Input!$H$12),YEARFRAC(Input!$H$12,AH3,3)*$I$102,AVERAGE(AG195,AH195))</f>
        <v>0</v>
      </c>
      <c r="AI201" s="22">
        <f>IF(AI$9=YEAR(Input!$H$12),YEARFRAC(Input!$H$12,AI3,3)*$I$102,AVERAGE(AH195,AI195))</f>
        <v>0</v>
      </c>
      <c r="AJ201" s="22">
        <f>IF(AJ$9=YEAR(Input!$H$12),YEARFRAC(Input!$H$12,AJ3,3)*$I$102,AVERAGE(AI195,AJ195))</f>
        <v>0</v>
      </c>
      <c r="AK201" s="22">
        <f>IF(AK$9=YEAR(Input!$H$12),YEARFRAC(Input!$H$12,AK3,3)*$I$102,AVERAGE(AJ195,AK195))</f>
        <v>0</v>
      </c>
      <c r="AL201" s="22">
        <f>IF(AL$9=YEAR(Input!$H$12),YEARFRAC(Input!$H$12,AL3,3)*$I$102,AVERAGE(AK195,AL195))</f>
        <v>0</v>
      </c>
      <c r="AM201" s="22">
        <f>IF(AM$9=YEAR(Input!$H$12),YEARFRAC(Input!$H$12,AM3,3)*$I$102,AVERAGE(AL195,AM195))</f>
        <v>0</v>
      </c>
      <c r="AN201" s="22">
        <f>IF(AN$9=YEAR(Input!$H$12),YEARFRAC(Input!$H$12,AN3,3)*$I$102,AVERAGE(AM195,AN195))</f>
        <v>0</v>
      </c>
      <c r="AO201" s="28"/>
    </row>
    <row r="202" spans="1:41" ht="14.4" customHeight="1" outlineLevel="1" x14ac:dyDescent="0.3">
      <c r="H202" s="26"/>
      <c r="K202" s="48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28"/>
    </row>
    <row r="203" spans="1:41" ht="14.4" customHeight="1" outlineLevel="1" x14ac:dyDescent="0.3">
      <c r="C203" s="1" t="s">
        <v>413</v>
      </c>
      <c r="H203" s="26" t="s">
        <v>245</v>
      </c>
      <c r="L203" s="22">
        <f>IF(L$9=YEAR(Input!$H$12),YEARFRAC(Input!$H$12,L3,3)*$I$86,AVERAGE(K199,L199))</f>
        <v>0</v>
      </c>
      <c r="M203" s="22">
        <f>IF(M$9=YEAR(Input!$H$12),YEARFRAC(Input!$H$12,M3,3)*$I$86,AVERAGE(L199,M199))</f>
        <v>0</v>
      </c>
      <c r="N203" s="22">
        <f>IF(N$9=YEAR(Input!$H$12),YEARFRAC(Input!$H$12,N3,3)*$I$86,AVERAGE(M199,N199))</f>
        <v>38.116142465753427</v>
      </c>
      <c r="O203" s="22">
        <f>IF(O$9=YEAR(Input!$H$12),YEARFRAC(Input!$H$12,O3,3)*$I$86,AVERAGE(N199,O199))</f>
        <v>40.546133333333344</v>
      </c>
      <c r="P203" s="22">
        <f>IF(P$9=YEAR(Input!$H$12),YEARFRAC(Input!$H$12,P3,3)*$I$86,AVERAGE(O199,P199))</f>
        <v>36.744933333333343</v>
      </c>
      <c r="Q203" s="22">
        <f>IF(Q$9=YEAR(Input!$H$12),YEARFRAC(Input!$H$12,Q3,3)*$I$86,AVERAGE(P199,Q199))</f>
        <v>32.943733333333341</v>
      </c>
      <c r="R203" s="22">
        <f>IF(R$9=YEAR(Input!$H$12),YEARFRAC(Input!$H$12,R3,3)*$I$86,AVERAGE(Q199,R199))</f>
        <v>29.142533333333336</v>
      </c>
      <c r="S203" s="22">
        <f>IF(S$9=YEAR(Input!$H$12),YEARFRAC(Input!$H$12,S3,3)*$I$86,AVERAGE(R199,S199))</f>
        <v>25.341333333333335</v>
      </c>
      <c r="T203" s="22">
        <f>IF(T$9=YEAR(Input!$H$12),YEARFRAC(Input!$H$12,T3,3)*$I$86,AVERAGE(S199,T199))</f>
        <v>21.540133333333333</v>
      </c>
      <c r="U203" s="22">
        <f>IF(U$9=YEAR(Input!$H$12),YEARFRAC(Input!$H$12,U3,3)*$I$86,AVERAGE(T199,U199))</f>
        <v>17.738933333333332</v>
      </c>
      <c r="V203" s="22">
        <f>IF(V$9=YEAR(Input!$H$12),YEARFRAC(Input!$H$12,V3,3)*$I$86,AVERAGE(U199,V199))</f>
        <v>13.937733333333332</v>
      </c>
      <c r="W203" s="22">
        <f>IF(W$9=YEAR(Input!$H$12),YEARFRAC(Input!$H$12,W3,3)*$I$86,AVERAGE(V199,W199))</f>
        <v>10.136533333333333</v>
      </c>
      <c r="X203" s="22">
        <f>IF(X$9=YEAR(Input!$H$12),YEARFRAC(Input!$H$12,X3,3)*$I$86,AVERAGE(W199,X199))</f>
        <v>6.3353333333333346</v>
      </c>
      <c r="Y203" s="22">
        <f>IF(Y$9=YEAR(Input!$H$12),YEARFRAC(Input!$H$12,Y3,3)*$I$86,AVERAGE(X199,Y199))</f>
        <v>2.5341333333333353</v>
      </c>
      <c r="Z203" s="22">
        <f>IF(Z$9=YEAR(Input!$H$12),YEARFRAC(Input!$H$12,Z3,3)*$I$86,AVERAGE(Y199,Z199))</f>
        <v>0.31676666666666808</v>
      </c>
      <c r="AA203" s="22">
        <f>IF(AA$9=YEAR(Input!$H$12),YEARFRAC(Input!$H$12,AA3,3)*$I$86,AVERAGE(Z199,AA199))</f>
        <v>0</v>
      </c>
      <c r="AB203" s="22">
        <f>IF(AB$9=YEAR(Input!$H$12),YEARFRAC(Input!$H$12,AB3,3)*$I$86,AVERAGE(AA199,AB199))</f>
        <v>0</v>
      </c>
      <c r="AC203" s="22">
        <f>IF(AC$9=YEAR(Input!$H$12),YEARFRAC(Input!$H$12,AC3,3)*$I$86,AVERAGE(AB199,AC199))</f>
        <v>0</v>
      </c>
      <c r="AD203" s="22">
        <f>IF(AD$9=YEAR(Input!$H$12),YEARFRAC(Input!$H$12,AD3,3)*$I$86,AVERAGE(AC199,AD199))</f>
        <v>0</v>
      </c>
      <c r="AE203" s="22">
        <f>IF(AE$9=YEAR(Input!$H$12),YEARFRAC(Input!$H$12,AE3,3)*$I$86,AVERAGE(AD199,AE199))</f>
        <v>0</v>
      </c>
      <c r="AF203" s="22">
        <f>IF(AF$9=YEAR(Input!$H$12),YEARFRAC(Input!$H$12,AF3,3)*$I$86,AVERAGE(AE199,AF199))</f>
        <v>0</v>
      </c>
      <c r="AG203" s="22">
        <f>IF(AG$9=YEAR(Input!$H$12),YEARFRAC(Input!$H$12,AG3,3)*$I$86,AVERAGE(AF199,AG199))</f>
        <v>0</v>
      </c>
      <c r="AH203" s="22">
        <f>IF(AH$9=YEAR(Input!$H$12),YEARFRAC(Input!$H$12,AH3,3)*$I$86,AVERAGE(AG199,AH199))</f>
        <v>0</v>
      </c>
      <c r="AI203" s="22">
        <f>IF(AI$9=YEAR(Input!$H$12),YEARFRAC(Input!$H$12,AI3,3)*$I$86,AVERAGE(AH199,AI199))</f>
        <v>0</v>
      </c>
      <c r="AJ203" s="22">
        <f>IF(AJ$9=YEAR(Input!$H$12),YEARFRAC(Input!$H$12,AJ3,3)*$I$86,AVERAGE(AI199,AJ199))</f>
        <v>0</v>
      </c>
      <c r="AK203" s="22">
        <f>IF(AK$9=YEAR(Input!$H$12),YEARFRAC(Input!$H$12,AK3,3)*$I$86,AVERAGE(AJ199,AK199))</f>
        <v>0</v>
      </c>
      <c r="AL203" s="22">
        <f>IF(AL$9=YEAR(Input!$H$12),YEARFRAC(Input!$H$12,AL3,3)*$I$86,AVERAGE(AK199,AL199))</f>
        <v>0</v>
      </c>
      <c r="AM203" s="22">
        <f>IF(AM$9=YEAR(Input!$H$12),YEARFRAC(Input!$H$12,AM3,3)*$I$86,AVERAGE(AL199,AM199))</f>
        <v>0</v>
      </c>
      <c r="AN203" s="22">
        <f>IF(AN$9=YEAR(Input!$H$12),YEARFRAC(Input!$H$12,AN3,3)*$I$86,AVERAGE(AM199,AN199))</f>
        <v>0</v>
      </c>
      <c r="AO203" s="28"/>
    </row>
    <row r="204" spans="1:41" ht="14.4" customHeight="1" outlineLevel="1" x14ac:dyDescent="0.3">
      <c r="H204" s="26"/>
      <c r="K204" s="36"/>
      <c r="L204" s="36"/>
      <c r="M204" s="36"/>
      <c r="N204" s="150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28"/>
    </row>
    <row r="205" spans="1:41" ht="14.4" customHeight="1" outlineLevel="1" x14ac:dyDescent="0.3">
      <c r="C205" s="2" t="s">
        <v>293</v>
      </c>
      <c r="D205" s="2"/>
      <c r="E205" s="2"/>
      <c r="F205" s="2"/>
      <c r="G205" s="2"/>
      <c r="H205" s="30"/>
      <c r="I205" s="90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28"/>
    </row>
    <row r="206" spans="1:41" ht="14.4" customHeight="1" outlineLevel="1" x14ac:dyDescent="0.3"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28"/>
    </row>
    <row r="207" spans="1:41" ht="14.4" customHeight="1" outlineLevel="1" x14ac:dyDescent="0.3">
      <c r="C207" s="1" t="s">
        <v>126</v>
      </c>
      <c r="H207" s="26" t="str">
        <f>Input!G71</f>
        <v>лет</v>
      </c>
      <c r="I207" s="135">
        <f>Input!H71</f>
        <v>5</v>
      </c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28"/>
    </row>
    <row r="208" spans="1:41" ht="14.4" customHeight="1" outlineLevel="1" x14ac:dyDescent="0.3">
      <c r="H208" s="2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28"/>
    </row>
    <row r="209" spans="6:41" ht="14.4" customHeight="1" outlineLevel="1" x14ac:dyDescent="0.3">
      <c r="F209" s="69" cm="1">
        <f t="array" ref="F209:F237">TRANSPOSE(L9:AN9)</f>
        <v>2024</v>
      </c>
      <c r="H209" s="26" t="s">
        <v>245</v>
      </c>
      <c r="I209" s="128" cm="1">
        <f t="array" ref="I209:I237">TRANSPOSE(L146:AN146)</f>
        <v>0</v>
      </c>
      <c r="K209" s="89">
        <v>0</v>
      </c>
      <c r="L209" s="20">
        <f>IF($F209=L$9,$I209/$I$207*L$10,IF($F209&lt;L$9,MIN($I209/$I$207,$I209-SUM($K209:K209)),0))</f>
        <v>0</v>
      </c>
      <c r="M209" s="20">
        <f>IF($F209=M$9,$I209/$I$207*M$10,IF($F209&lt;M$9,MIN($I209/$I$207,$I209-SUM($K209:L209)),0))</f>
        <v>0</v>
      </c>
      <c r="N209" s="20">
        <f>IF($F209=N$9,$I209/$I$207*N$10,IF($F209&lt;N$9,MIN($I209/$I$207,$I209-SUM($K209:M209)),0))</f>
        <v>0</v>
      </c>
      <c r="O209" s="20">
        <f>IF($F209=O$9,$I209/$I$207*O$10,IF($F209&lt;O$9,MIN($I209/$I$207,$I209-SUM($K209:N209)),0))</f>
        <v>0</v>
      </c>
      <c r="P209" s="20">
        <f>IF($F209=P$9,$I209/$I$207*P$10,IF($F209&lt;P$9,MIN($I209/$I$207,$I209-SUM($K209:O209)),0))</f>
        <v>0</v>
      </c>
      <c r="Q209" s="20">
        <f>IF($F209=Q$9,$I209/$I$207*Q$10,IF($F209&lt;Q$9,MIN($I209/$I$207,$I209-SUM($K209:P209)),0))</f>
        <v>0</v>
      </c>
      <c r="R209" s="20">
        <f>IF($F209=R$9,$I209/$I$207*R$10,IF($F209&lt;R$9,MIN($I209/$I$207,$I209-SUM($K209:Q209)),0))</f>
        <v>0</v>
      </c>
      <c r="S209" s="20">
        <f>IF($F209=S$9,$I209/$I$207*S$10,IF($F209&lt;S$9,MIN($I209/$I$207,$I209-SUM($K209:R209)),0))</f>
        <v>0</v>
      </c>
      <c r="T209" s="20">
        <f>IF($F209=T$9,$I209/$I$207*T$10,IF($F209&lt;T$9,MIN($I209/$I$207,$I209-SUM($K209:S209)),0))</f>
        <v>0</v>
      </c>
      <c r="U209" s="20">
        <f>IF($F209=U$9,$I209/$I$207*U$10,IF($F209&lt;U$9,MIN($I209/$I$207,$I209-SUM($K209:T209)),0))</f>
        <v>0</v>
      </c>
      <c r="V209" s="20">
        <f>IF($F209=V$9,$I209/$I$207*V$10,IF($F209&lt;V$9,MIN($I209/$I$207,$I209-SUM($K209:U209)),0))</f>
        <v>0</v>
      </c>
      <c r="W209" s="20">
        <f>IF($F209=W$9,$I209/$I$207*W$10,IF($F209&lt;W$9,MIN($I209/$I$207,$I209-SUM($K209:V209)),0))</f>
        <v>0</v>
      </c>
      <c r="X209" s="20">
        <f>IF($F209=X$9,$I209/$I$207*X$10,IF($F209&lt;X$9,MIN($I209/$I$207,$I209-SUM($K209:W209)),0))</f>
        <v>0</v>
      </c>
      <c r="Y209" s="20">
        <f>IF($F209=Y$9,$I209/$I$207*Y$10,IF($F209&lt;Y$9,MIN($I209/$I$207,$I209-SUM($K209:X209)),0))</f>
        <v>0</v>
      </c>
      <c r="Z209" s="20">
        <f>IF($F209=Z$9,$I209/$I$207*Z$10,IF($F209&lt;Z$9,MIN($I209/$I$207,$I209-SUM($K209:Y209)),0))</f>
        <v>0</v>
      </c>
      <c r="AA209" s="20">
        <f>IF($F209=AA$9,$I209/$I$207*AA$10,IF($F209&lt;AA$9,MIN($I209/$I$207,$I209-SUM($K209:Z209)),0))</f>
        <v>0</v>
      </c>
      <c r="AB209" s="20">
        <f>IF($F209=AB$9,$I209/$I$207*AB$10,IF($F209&lt;AB$9,MIN($I209/$I$207,$I209-SUM($K209:AA209)),0))</f>
        <v>0</v>
      </c>
      <c r="AC209" s="20">
        <f>IF($F209=AC$9,$I209/$I$207*AC$10,IF($F209&lt;AC$9,MIN($I209/$I$207,$I209-SUM($K209:AB209)),0))</f>
        <v>0</v>
      </c>
      <c r="AD209" s="20">
        <f>IF($F209=AD$9,$I209/$I$207*AD$10,IF($F209&lt;AD$9,MIN($I209/$I$207,$I209-SUM($K209:AC209)),0))</f>
        <v>0</v>
      </c>
      <c r="AE209" s="20">
        <f>IF($F209=AE$9,$I209/$I$207*AE$10,IF($F209&lt;AE$9,MIN($I209/$I$207,$I209-SUM($K209:AD209)),0))</f>
        <v>0</v>
      </c>
      <c r="AF209" s="20">
        <f>IF($F209=AF$9,$I209/$I$207*AF$10,IF($F209&lt;AF$9,MIN($I209/$I$207,$I209-SUM($K209:AE209)),0))</f>
        <v>0</v>
      </c>
      <c r="AG209" s="20">
        <f>IF($F209=AG$9,$I209/$I$207*AG$10,IF($F209&lt;AG$9,MIN($I209/$I$207,$I209-SUM($K209:AF209)),0))</f>
        <v>0</v>
      </c>
      <c r="AH209" s="20">
        <f>IF($F209=AH$9,$I209/$I$207*AH$10,IF($F209&lt;AH$9,MIN($I209/$I$207,$I209-SUM($K209:AG209)),0))</f>
        <v>0</v>
      </c>
      <c r="AI209" s="20">
        <f>IF($F209=AI$9,$I209/$I$207*AI$10,IF($F209&lt;AI$9,MIN($I209/$I$207,$I209-SUM($K209:AH209)),0))</f>
        <v>0</v>
      </c>
      <c r="AJ209" s="20">
        <f>IF($F209=AJ$9,$I209/$I$207*AJ$10,IF($F209&lt;AJ$9,MIN($I209/$I$207,$I209-SUM($K209:AI209)),0))</f>
        <v>0</v>
      </c>
      <c r="AK209" s="20">
        <f>IF($F209=AK$9,$I209/$I$207*AK$10,IF($F209&lt;AK$9,MIN($I209/$I$207,$I209-SUM($K209:AJ209)),0))</f>
        <v>0</v>
      </c>
      <c r="AL209" s="20">
        <f>IF($F209=AL$9,$I209/$I$207*AL$10,IF($F209&lt;AL$9,MIN($I209/$I$207,$I209-SUM($K209:AK209)),0))</f>
        <v>0</v>
      </c>
      <c r="AM209" s="20">
        <f>IF($F209=AM$9,$I209/$I$207*AM$10,IF($F209&lt;AM$9,MIN($I209/$I$207,$I209-SUM($K209:AL209)),0))</f>
        <v>0</v>
      </c>
      <c r="AN209" s="20">
        <f>IF($F209=AN$9,$I209/$I$207*AN$10,IF($F209&lt;AN$9,MIN($I209/$I$207,$I209-SUM($K209:AM209)),0))</f>
        <v>0</v>
      </c>
      <c r="AO209" s="28"/>
    </row>
    <row r="210" spans="6:41" ht="14.4" customHeight="1" outlineLevel="1" x14ac:dyDescent="0.3">
      <c r="F210" s="69">
        <v>2025</v>
      </c>
      <c r="H210" s="26" t="s">
        <v>245</v>
      </c>
      <c r="I210" s="128">
        <v>0</v>
      </c>
      <c r="K210" s="89">
        <v>0</v>
      </c>
      <c r="L210" s="20">
        <f>IF($F210=L$9,$I210/$I$207*L$10,IF($F210&lt;L$9,MIN($I210/$I$207,$I210-SUM($K210:K210)),0))</f>
        <v>0</v>
      </c>
      <c r="M210" s="20">
        <f>IF($F210=M$9,$I210/$I$207*M$10,IF($F210&lt;M$9,MIN($I210/$I$207,$I210-SUM($K210:L210)),0))</f>
        <v>0</v>
      </c>
      <c r="N210" s="20">
        <f>IF($F210=N$9,$I210/$I$207*N$10,IF($F210&lt;N$9,MIN($I210/$I$207,$I210-SUM($K210:M210)),0))</f>
        <v>0</v>
      </c>
      <c r="O210" s="20">
        <f>IF($F210=O$9,$I210/$I$207*O$10,IF($F210&lt;O$9,MIN($I210/$I$207,$I210-SUM($K210:N210)),0))</f>
        <v>0</v>
      </c>
      <c r="P210" s="20">
        <f>IF($F210=P$9,$I210/$I$207*P$10,IF($F210&lt;P$9,MIN($I210/$I$207,$I210-SUM($K210:O210)),0))</f>
        <v>0</v>
      </c>
      <c r="Q210" s="20">
        <f>IF($F210=Q$9,$I210/$I$207*Q$10,IF($F210&lt;Q$9,MIN($I210/$I$207,$I210-SUM($K210:P210)),0))</f>
        <v>0</v>
      </c>
      <c r="R210" s="20">
        <f>IF($F210=R$9,$I210/$I$207*R$10,IF($F210&lt;R$9,MIN($I210/$I$207,$I210-SUM($K210:Q210)),0))</f>
        <v>0</v>
      </c>
      <c r="S210" s="20">
        <f>IF($F210=S$9,$I210/$I$207*S$10,IF($F210&lt;S$9,MIN($I210/$I$207,$I210-SUM($K210:R210)),0))</f>
        <v>0</v>
      </c>
      <c r="T210" s="20">
        <f>IF($F210=T$9,$I210/$I$207*T$10,IF($F210&lt;T$9,MIN($I210/$I$207,$I210-SUM($K210:S210)),0))</f>
        <v>0</v>
      </c>
      <c r="U210" s="20">
        <f>IF($F210=U$9,$I210/$I$207*U$10,IF($F210&lt;U$9,MIN($I210/$I$207,$I210-SUM($K210:T210)),0))</f>
        <v>0</v>
      </c>
      <c r="V210" s="20">
        <f>IF($F210=V$9,$I210/$I$207*V$10,IF($F210&lt;V$9,MIN($I210/$I$207,$I210-SUM($K210:U210)),0))</f>
        <v>0</v>
      </c>
      <c r="W210" s="20">
        <f>IF($F210=W$9,$I210/$I$207*W$10,IF($F210&lt;W$9,MIN($I210/$I$207,$I210-SUM($K210:V210)),0))</f>
        <v>0</v>
      </c>
      <c r="X210" s="20">
        <f>IF($F210=X$9,$I210/$I$207*X$10,IF($F210&lt;X$9,MIN($I210/$I$207,$I210-SUM($K210:W210)),0))</f>
        <v>0</v>
      </c>
      <c r="Y210" s="20">
        <f>IF($F210=Y$9,$I210/$I$207*Y$10,IF($F210&lt;Y$9,MIN($I210/$I$207,$I210-SUM($K210:X210)),0))</f>
        <v>0</v>
      </c>
      <c r="Z210" s="20">
        <f>IF($F210=Z$9,$I210/$I$207*Z$10,IF($F210&lt;Z$9,MIN($I210/$I$207,$I210-SUM($K210:Y210)),0))</f>
        <v>0</v>
      </c>
      <c r="AA210" s="20">
        <f>IF($F210=AA$9,$I210/$I$207*AA$10,IF($F210&lt;AA$9,MIN($I210/$I$207,$I210-SUM($K210:Z210)),0))</f>
        <v>0</v>
      </c>
      <c r="AB210" s="20">
        <f>IF($F210=AB$9,$I210/$I$207*AB$10,IF($F210&lt;AB$9,MIN($I210/$I$207,$I210-SUM($K210:AA210)),0))</f>
        <v>0</v>
      </c>
      <c r="AC210" s="20">
        <f>IF($F210=AC$9,$I210/$I$207*AC$10,IF($F210&lt;AC$9,MIN($I210/$I$207,$I210-SUM($K210:AB210)),0))</f>
        <v>0</v>
      </c>
      <c r="AD210" s="20">
        <f>IF($F210=AD$9,$I210/$I$207*AD$10,IF($F210&lt;AD$9,MIN($I210/$I$207,$I210-SUM($K210:AC210)),0))</f>
        <v>0</v>
      </c>
      <c r="AE210" s="20">
        <f>IF($F210=AE$9,$I210/$I$207*AE$10,IF($F210&lt;AE$9,MIN($I210/$I$207,$I210-SUM($K210:AD210)),0))</f>
        <v>0</v>
      </c>
      <c r="AF210" s="20">
        <f>IF($F210=AF$9,$I210/$I$207*AF$10,IF($F210&lt;AF$9,MIN($I210/$I$207,$I210-SUM($K210:AE210)),0))</f>
        <v>0</v>
      </c>
      <c r="AG210" s="20">
        <f>IF($F210=AG$9,$I210/$I$207*AG$10,IF($F210&lt;AG$9,MIN($I210/$I$207,$I210-SUM($K210:AF210)),0))</f>
        <v>0</v>
      </c>
      <c r="AH210" s="20">
        <f>IF($F210=AH$9,$I210/$I$207*AH$10,IF($F210&lt;AH$9,MIN($I210/$I$207,$I210-SUM($K210:AG210)),0))</f>
        <v>0</v>
      </c>
      <c r="AI210" s="20">
        <f>IF($F210=AI$9,$I210/$I$207*AI$10,IF($F210&lt;AI$9,MIN($I210/$I$207,$I210-SUM($K210:AH210)),0))</f>
        <v>0</v>
      </c>
      <c r="AJ210" s="20">
        <f>IF($F210=AJ$9,$I210/$I$207*AJ$10,IF($F210&lt;AJ$9,MIN($I210/$I$207,$I210-SUM($K210:AI210)),0))</f>
        <v>0</v>
      </c>
      <c r="AK210" s="20">
        <f>IF($F210=AK$9,$I210/$I$207*AK$10,IF($F210&lt;AK$9,MIN($I210/$I$207,$I210-SUM($K210:AJ210)),0))</f>
        <v>0</v>
      </c>
      <c r="AL210" s="20">
        <f>IF($F210=AL$9,$I210/$I$207*AL$10,IF($F210&lt;AL$9,MIN($I210/$I$207,$I210-SUM($K210:AK210)),0))</f>
        <v>0</v>
      </c>
      <c r="AM210" s="20">
        <f>IF($F210=AM$9,$I210/$I$207*AM$10,IF($F210&lt;AM$9,MIN($I210/$I$207,$I210-SUM($K210:AL210)),0))</f>
        <v>0</v>
      </c>
      <c r="AN210" s="20">
        <f>IF($F210=AN$9,$I210/$I$207*AN$10,IF($F210&lt;AN$9,MIN($I210/$I$207,$I210-SUM($K210:AM210)),0))</f>
        <v>0</v>
      </c>
      <c r="AO210" s="28"/>
    </row>
    <row r="211" spans="6:41" ht="14.4" customHeight="1" outlineLevel="1" x14ac:dyDescent="0.3">
      <c r="F211" s="69">
        <v>2026</v>
      </c>
      <c r="H211" s="26" t="s">
        <v>245</v>
      </c>
      <c r="I211" s="128">
        <v>184.60432240006776</v>
      </c>
      <c r="K211" s="89">
        <v>0</v>
      </c>
      <c r="L211" s="20">
        <f>IF($F211=L$9,$I211/$I$207*L$10,IF($F211&lt;L$9,MIN($I211/$I$207,$I211-SUM($K211:K211)),0))</f>
        <v>0</v>
      </c>
      <c r="M211" s="20">
        <f>IF($F211=M$9,$I211/$I$207*M$10,IF($F211&lt;M$9,MIN($I211/$I$207,$I211-SUM($K211:L211)),0))</f>
        <v>0</v>
      </c>
      <c r="N211" s="20">
        <f>IF($F211=N$9,$I211/$I$207*N$10,IF($F211&lt;N$9,MIN($I211/$I$207,$I211-SUM($K211:M211)),0))</f>
        <v>30.767387066677959</v>
      </c>
      <c r="O211" s="20">
        <f>IF($F211=O$9,$I211/$I$207*O$10,IF($F211&lt;O$9,MIN($I211/$I$207,$I211-SUM($K211:N211)),0))</f>
        <v>36.920864480013549</v>
      </c>
      <c r="P211" s="20">
        <f>IF($F211=P$9,$I211/$I$207*P$10,IF($F211&lt;P$9,MIN($I211/$I$207,$I211-SUM($K211:O211)),0))</f>
        <v>36.920864480013549</v>
      </c>
      <c r="Q211" s="20">
        <f>IF($F211=Q$9,$I211/$I$207*Q$10,IF($F211&lt;Q$9,MIN($I211/$I$207,$I211-SUM($K211:P211)),0))</f>
        <v>36.920864480013549</v>
      </c>
      <c r="R211" s="20">
        <f>IF($F211=R$9,$I211/$I$207*R$10,IF($F211&lt;R$9,MIN($I211/$I$207,$I211-SUM($K211:Q211)),0))</f>
        <v>36.920864480013549</v>
      </c>
      <c r="S211" s="20">
        <f>IF($F211=S$9,$I211/$I$207*S$10,IF($F211&lt;S$9,MIN($I211/$I$207,$I211-SUM($K211:R211)),0))</f>
        <v>6.1534774133356223</v>
      </c>
      <c r="T211" s="20">
        <f>IF($F211=T$9,$I211/$I$207*T$10,IF($F211&lt;T$9,MIN($I211/$I$207,$I211-SUM($K211:S211)),0))</f>
        <v>0</v>
      </c>
      <c r="U211" s="20">
        <f>IF($F211=U$9,$I211/$I$207*U$10,IF($F211&lt;U$9,MIN($I211/$I$207,$I211-SUM($K211:T211)),0))</f>
        <v>0</v>
      </c>
      <c r="V211" s="20">
        <f>IF($F211=V$9,$I211/$I$207*V$10,IF($F211&lt;V$9,MIN($I211/$I$207,$I211-SUM($K211:U211)),0))</f>
        <v>0</v>
      </c>
      <c r="W211" s="20">
        <f>IF($F211=W$9,$I211/$I$207*W$10,IF($F211&lt;W$9,MIN($I211/$I$207,$I211-SUM($K211:V211)),0))</f>
        <v>0</v>
      </c>
      <c r="X211" s="20">
        <f>IF($F211=X$9,$I211/$I$207*X$10,IF($F211&lt;X$9,MIN($I211/$I$207,$I211-SUM($K211:W211)),0))</f>
        <v>0</v>
      </c>
      <c r="Y211" s="20">
        <f>IF($F211=Y$9,$I211/$I$207*Y$10,IF($F211&lt;Y$9,MIN($I211/$I$207,$I211-SUM($K211:X211)),0))</f>
        <v>0</v>
      </c>
      <c r="Z211" s="20">
        <f>IF($F211=Z$9,$I211/$I$207*Z$10,IF($F211&lt;Z$9,MIN($I211/$I$207,$I211-SUM($K211:Y211)),0))</f>
        <v>0</v>
      </c>
      <c r="AA211" s="20">
        <f>IF($F211=AA$9,$I211/$I$207*AA$10,IF($F211&lt;AA$9,MIN($I211/$I$207,$I211-SUM($K211:Z211)),0))</f>
        <v>0</v>
      </c>
      <c r="AB211" s="20">
        <f>IF($F211=AB$9,$I211/$I$207*AB$10,IF($F211&lt;AB$9,MIN($I211/$I$207,$I211-SUM($K211:AA211)),0))</f>
        <v>0</v>
      </c>
      <c r="AC211" s="20">
        <f>IF($F211=AC$9,$I211/$I$207*AC$10,IF($F211&lt;AC$9,MIN($I211/$I$207,$I211-SUM($K211:AB211)),0))</f>
        <v>0</v>
      </c>
      <c r="AD211" s="20">
        <f>IF($F211=AD$9,$I211/$I$207*AD$10,IF($F211&lt;AD$9,MIN($I211/$I$207,$I211-SUM($K211:AC211)),0))</f>
        <v>0</v>
      </c>
      <c r="AE211" s="20">
        <f>IF($F211=AE$9,$I211/$I$207*AE$10,IF($F211&lt;AE$9,MIN($I211/$I$207,$I211-SUM($K211:AD211)),0))</f>
        <v>0</v>
      </c>
      <c r="AF211" s="20">
        <f>IF($F211=AF$9,$I211/$I$207*AF$10,IF($F211&lt;AF$9,MIN($I211/$I$207,$I211-SUM($K211:AE211)),0))</f>
        <v>0</v>
      </c>
      <c r="AG211" s="20">
        <f>IF($F211=AG$9,$I211/$I$207*AG$10,IF($F211&lt;AG$9,MIN($I211/$I$207,$I211-SUM($K211:AF211)),0))</f>
        <v>0</v>
      </c>
      <c r="AH211" s="20">
        <f>IF($F211=AH$9,$I211/$I$207*AH$10,IF($F211&lt;AH$9,MIN($I211/$I$207,$I211-SUM($K211:AG211)),0))</f>
        <v>0</v>
      </c>
      <c r="AI211" s="20">
        <f>IF($F211=AI$9,$I211/$I$207*AI$10,IF($F211&lt;AI$9,MIN($I211/$I$207,$I211-SUM($K211:AH211)),0))</f>
        <v>0</v>
      </c>
      <c r="AJ211" s="20">
        <f>IF($F211=AJ$9,$I211/$I$207*AJ$10,IF($F211&lt;AJ$9,MIN($I211/$I$207,$I211-SUM($K211:AI211)),0))</f>
        <v>0</v>
      </c>
      <c r="AK211" s="20">
        <f>IF($F211=AK$9,$I211/$I$207*AK$10,IF($F211&lt;AK$9,MIN($I211/$I$207,$I211-SUM($K211:AJ211)),0))</f>
        <v>0</v>
      </c>
      <c r="AL211" s="20">
        <f>IF($F211=AL$9,$I211/$I$207*AL$10,IF($F211&lt;AL$9,MIN($I211/$I$207,$I211-SUM($K211:AK211)),0))</f>
        <v>0</v>
      </c>
      <c r="AM211" s="20">
        <f>IF($F211=AM$9,$I211/$I$207*AM$10,IF($F211&lt;AM$9,MIN($I211/$I$207,$I211-SUM($K211:AL211)),0))</f>
        <v>0</v>
      </c>
      <c r="AN211" s="20">
        <f>IF($F211=AN$9,$I211/$I$207*AN$10,IF($F211&lt;AN$9,MIN($I211/$I$207,$I211-SUM($K211:AM211)),0))</f>
        <v>0</v>
      </c>
      <c r="AO211" s="28"/>
    </row>
    <row r="212" spans="6:41" ht="14.4" customHeight="1" outlineLevel="1" x14ac:dyDescent="0.3">
      <c r="F212" s="69">
        <v>2027</v>
      </c>
      <c r="H212" s="26" t="s">
        <v>245</v>
      </c>
      <c r="I212" s="128">
        <v>0</v>
      </c>
      <c r="K212" s="89">
        <v>0</v>
      </c>
      <c r="L212" s="20">
        <f>IF($F212=L$9,$I212/$I$207*L$10,IF($F212&lt;L$9,MIN($I212/$I$207,$I212-SUM($K212:K212)),0))</f>
        <v>0</v>
      </c>
      <c r="M212" s="20">
        <f>IF($F212=M$9,$I212/$I$207*M$10,IF($F212&lt;M$9,MIN($I212/$I$207,$I212-SUM($K212:L212)),0))</f>
        <v>0</v>
      </c>
      <c r="N212" s="20">
        <f>IF($F212=N$9,$I212/$I$207*N$10,IF($F212&lt;N$9,MIN($I212/$I$207,$I212-SUM($K212:M212)),0))</f>
        <v>0</v>
      </c>
      <c r="O212" s="20">
        <f>IF($F212=O$9,$I212/$I$207*O$10,IF($F212&lt;O$9,MIN($I212/$I$207,$I212-SUM($K212:N212)),0))</f>
        <v>0</v>
      </c>
      <c r="P212" s="20">
        <f>IF($F212=P$9,$I212/$I$207*P$10,IF($F212&lt;P$9,MIN($I212/$I$207,$I212-SUM($K212:O212)),0))</f>
        <v>0</v>
      </c>
      <c r="Q212" s="20">
        <f>IF($F212=Q$9,$I212/$I$207*Q$10,IF($F212&lt;Q$9,MIN($I212/$I$207,$I212-SUM($K212:P212)),0))</f>
        <v>0</v>
      </c>
      <c r="R212" s="20">
        <f>IF($F212=R$9,$I212/$I$207*R$10,IF($F212&lt;R$9,MIN($I212/$I$207,$I212-SUM($K212:Q212)),0))</f>
        <v>0</v>
      </c>
      <c r="S212" s="20">
        <f>IF($F212=S$9,$I212/$I$207*S$10,IF($F212&lt;S$9,MIN($I212/$I$207,$I212-SUM($K212:R212)),0))</f>
        <v>0</v>
      </c>
      <c r="T212" s="20">
        <f>IF($F212=T$9,$I212/$I$207*T$10,IF($F212&lt;T$9,MIN($I212/$I$207,$I212-SUM($K212:S212)),0))</f>
        <v>0</v>
      </c>
      <c r="U212" s="20">
        <f>IF($F212=U$9,$I212/$I$207*U$10,IF($F212&lt;U$9,MIN($I212/$I$207,$I212-SUM($K212:T212)),0))</f>
        <v>0</v>
      </c>
      <c r="V212" s="20">
        <f>IF($F212=V$9,$I212/$I$207*V$10,IF($F212&lt;V$9,MIN($I212/$I$207,$I212-SUM($K212:U212)),0))</f>
        <v>0</v>
      </c>
      <c r="W212" s="20">
        <f>IF($F212=W$9,$I212/$I$207*W$10,IF($F212&lt;W$9,MIN($I212/$I$207,$I212-SUM($K212:V212)),0))</f>
        <v>0</v>
      </c>
      <c r="X212" s="20">
        <f>IF($F212=X$9,$I212/$I$207*X$10,IF($F212&lt;X$9,MIN($I212/$I$207,$I212-SUM($K212:W212)),0))</f>
        <v>0</v>
      </c>
      <c r="Y212" s="20">
        <f>IF($F212=Y$9,$I212/$I$207*Y$10,IF($F212&lt;Y$9,MIN($I212/$I$207,$I212-SUM($K212:X212)),0))</f>
        <v>0</v>
      </c>
      <c r="Z212" s="20">
        <f>IF($F212=Z$9,$I212/$I$207*Z$10,IF($F212&lt;Z$9,MIN($I212/$I$207,$I212-SUM($K212:Y212)),0))</f>
        <v>0</v>
      </c>
      <c r="AA212" s="20">
        <f>IF($F212=AA$9,$I212/$I$207*AA$10,IF($F212&lt;AA$9,MIN($I212/$I$207,$I212-SUM($K212:Z212)),0))</f>
        <v>0</v>
      </c>
      <c r="AB212" s="20">
        <f>IF($F212=AB$9,$I212/$I$207*AB$10,IF($F212&lt;AB$9,MIN($I212/$I$207,$I212-SUM($K212:AA212)),0))</f>
        <v>0</v>
      </c>
      <c r="AC212" s="20">
        <f>IF($F212=AC$9,$I212/$I$207*AC$10,IF($F212&lt;AC$9,MIN($I212/$I$207,$I212-SUM($K212:AB212)),0))</f>
        <v>0</v>
      </c>
      <c r="AD212" s="20">
        <f>IF($F212=AD$9,$I212/$I$207*AD$10,IF($F212&lt;AD$9,MIN($I212/$I$207,$I212-SUM($K212:AC212)),0))</f>
        <v>0</v>
      </c>
      <c r="AE212" s="20">
        <f>IF($F212=AE$9,$I212/$I$207*AE$10,IF($F212&lt;AE$9,MIN($I212/$I$207,$I212-SUM($K212:AD212)),0))</f>
        <v>0</v>
      </c>
      <c r="AF212" s="20">
        <f>IF($F212=AF$9,$I212/$I$207*AF$10,IF($F212&lt;AF$9,MIN($I212/$I$207,$I212-SUM($K212:AE212)),0))</f>
        <v>0</v>
      </c>
      <c r="AG212" s="20">
        <f>IF($F212=AG$9,$I212/$I$207*AG$10,IF($F212&lt;AG$9,MIN($I212/$I$207,$I212-SUM($K212:AF212)),0))</f>
        <v>0</v>
      </c>
      <c r="AH212" s="20">
        <f>IF($F212=AH$9,$I212/$I$207*AH$10,IF($F212&lt;AH$9,MIN($I212/$I$207,$I212-SUM($K212:AG212)),0))</f>
        <v>0</v>
      </c>
      <c r="AI212" s="20">
        <f>IF($F212=AI$9,$I212/$I$207*AI$10,IF($F212&lt;AI$9,MIN($I212/$I$207,$I212-SUM($K212:AH212)),0))</f>
        <v>0</v>
      </c>
      <c r="AJ212" s="20">
        <f>IF($F212=AJ$9,$I212/$I$207*AJ$10,IF($F212&lt;AJ$9,MIN($I212/$I$207,$I212-SUM($K212:AI212)),0))</f>
        <v>0</v>
      </c>
      <c r="AK212" s="20">
        <f>IF($F212=AK$9,$I212/$I$207*AK$10,IF($F212&lt;AK$9,MIN($I212/$I$207,$I212-SUM($K212:AJ212)),0))</f>
        <v>0</v>
      </c>
      <c r="AL212" s="20">
        <f>IF($F212=AL$9,$I212/$I$207*AL$10,IF($F212&lt;AL$9,MIN($I212/$I$207,$I212-SUM($K212:AK212)),0))</f>
        <v>0</v>
      </c>
      <c r="AM212" s="20">
        <f>IF($F212=AM$9,$I212/$I$207*AM$10,IF($F212&lt;AM$9,MIN($I212/$I$207,$I212-SUM($K212:AL212)),0))</f>
        <v>0</v>
      </c>
      <c r="AN212" s="20">
        <f>IF($F212=AN$9,$I212/$I$207*AN$10,IF($F212&lt;AN$9,MIN($I212/$I$207,$I212-SUM($K212:AM212)),0))</f>
        <v>0</v>
      </c>
      <c r="AO212" s="28"/>
    </row>
    <row r="213" spans="6:41" ht="14.4" customHeight="1" outlineLevel="1" x14ac:dyDescent="0.3">
      <c r="F213" s="69">
        <v>2028</v>
      </c>
      <c r="H213" s="26" t="s">
        <v>245</v>
      </c>
      <c r="I213" s="128">
        <v>0</v>
      </c>
      <c r="K213" s="89">
        <v>0</v>
      </c>
      <c r="L213" s="20">
        <f>IF($F213=L$9,$I213/$I$207*L$10,IF($F213&lt;L$9,MIN($I213/$I$207,$I213-SUM($K213:K213)),0))</f>
        <v>0</v>
      </c>
      <c r="M213" s="20">
        <f>IF($F213=M$9,$I213/$I$207*M$10,IF($F213&lt;M$9,MIN($I213/$I$207,$I213-SUM($K213:L213)),0))</f>
        <v>0</v>
      </c>
      <c r="N213" s="20">
        <f>IF($F213=N$9,$I213/$I$207*N$10,IF($F213&lt;N$9,MIN($I213/$I$207,$I213-SUM($K213:M213)),0))</f>
        <v>0</v>
      </c>
      <c r="O213" s="20">
        <f>IF($F213=O$9,$I213/$I$207*O$10,IF($F213&lt;O$9,MIN($I213/$I$207,$I213-SUM($K213:N213)),0))</f>
        <v>0</v>
      </c>
      <c r="P213" s="20">
        <f>IF($F213=P$9,$I213/$I$207*P$10,IF($F213&lt;P$9,MIN($I213/$I$207,$I213-SUM($K213:O213)),0))</f>
        <v>0</v>
      </c>
      <c r="Q213" s="20">
        <f>IF($F213=Q$9,$I213/$I$207*Q$10,IF($F213&lt;Q$9,MIN($I213/$I$207,$I213-SUM($K213:P213)),0))</f>
        <v>0</v>
      </c>
      <c r="R213" s="20">
        <f>IF($F213=R$9,$I213/$I$207*R$10,IF($F213&lt;R$9,MIN($I213/$I$207,$I213-SUM($K213:Q213)),0))</f>
        <v>0</v>
      </c>
      <c r="S213" s="20">
        <f>IF($F213=S$9,$I213/$I$207*S$10,IF($F213&lt;S$9,MIN($I213/$I$207,$I213-SUM($K213:R213)),0))</f>
        <v>0</v>
      </c>
      <c r="T213" s="20">
        <f>IF($F213=T$9,$I213/$I$207*T$10,IF($F213&lt;T$9,MIN($I213/$I$207,$I213-SUM($K213:S213)),0))</f>
        <v>0</v>
      </c>
      <c r="U213" s="20">
        <f>IF($F213=U$9,$I213/$I$207*U$10,IF($F213&lt;U$9,MIN($I213/$I$207,$I213-SUM($K213:T213)),0))</f>
        <v>0</v>
      </c>
      <c r="V213" s="20">
        <f>IF($F213=V$9,$I213/$I$207*V$10,IF($F213&lt;V$9,MIN($I213/$I$207,$I213-SUM($K213:U213)),0))</f>
        <v>0</v>
      </c>
      <c r="W213" s="20">
        <f>IF($F213=W$9,$I213/$I$207*W$10,IF($F213&lt;W$9,MIN($I213/$I$207,$I213-SUM($K213:V213)),0))</f>
        <v>0</v>
      </c>
      <c r="X213" s="20">
        <f>IF($F213=X$9,$I213/$I$207*X$10,IF($F213&lt;X$9,MIN($I213/$I$207,$I213-SUM($K213:W213)),0))</f>
        <v>0</v>
      </c>
      <c r="Y213" s="20">
        <f>IF($F213=Y$9,$I213/$I$207*Y$10,IF($F213&lt;Y$9,MIN($I213/$I$207,$I213-SUM($K213:X213)),0))</f>
        <v>0</v>
      </c>
      <c r="Z213" s="20">
        <f>IF($F213=Z$9,$I213/$I$207*Z$10,IF($F213&lt;Z$9,MIN($I213/$I$207,$I213-SUM($K213:Y213)),0))</f>
        <v>0</v>
      </c>
      <c r="AA213" s="20">
        <f>IF($F213=AA$9,$I213/$I$207*AA$10,IF($F213&lt;AA$9,MIN($I213/$I$207,$I213-SUM($K213:Z213)),0))</f>
        <v>0</v>
      </c>
      <c r="AB213" s="20">
        <f>IF($F213=AB$9,$I213/$I$207*AB$10,IF($F213&lt;AB$9,MIN($I213/$I$207,$I213-SUM($K213:AA213)),0))</f>
        <v>0</v>
      </c>
      <c r="AC213" s="20">
        <f>IF($F213=AC$9,$I213/$I$207*AC$10,IF($F213&lt;AC$9,MIN($I213/$I$207,$I213-SUM($K213:AB213)),0))</f>
        <v>0</v>
      </c>
      <c r="AD213" s="20">
        <f>IF($F213=AD$9,$I213/$I$207*AD$10,IF($F213&lt;AD$9,MIN($I213/$I$207,$I213-SUM($K213:AC213)),0))</f>
        <v>0</v>
      </c>
      <c r="AE213" s="20">
        <f>IF($F213=AE$9,$I213/$I$207*AE$10,IF($F213&lt;AE$9,MIN($I213/$I$207,$I213-SUM($K213:AD213)),0))</f>
        <v>0</v>
      </c>
      <c r="AF213" s="20">
        <f>IF($F213=AF$9,$I213/$I$207*AF$10,IF($F213&lt;AF$9,MIN($I213/$I$207,$I213-SUM($K213:AE213)),0))</f>
        <v>0</v>
      </c>
      <c r="AG213" s="20">
        <f>IF($F213=AG$9,$I213/$I$207*AG$10,IF($F213&lt;AG$9,MIN($I213/$I$207,$I213-SUM($K213:AF213)),0))</f>
        <v>0</v>
      </c>
      <c r="AH213" s="20">
        <f>IF($F213=AH$9,$I213/$I$207*AH$10,IF($F213&lt;AH$9,MIN($I213/$I$207,$I213-SUM($K213:AG213)),0))</f>
        <v>0</v>
      </c>
      <c r="AI213" s="20">
        <f>IF($F213=AI$9,$I213/$I$207*AI$10,IF($F213&lt;AI$9,MIN($I213/$I$207,$I213-SUM($K213:AH213)),0))</f>
        <v>0</v>
      </c>
      <c r="AJ213" s="20">
        <f>IF($F213=AJ$9,$I213/$I$207*AJ$10,IF($F213&lt;AJ$9,MIN($I213/$I$207,$I213-SUM($K213:AI213)),0))</f>
        <v>0</v>
      </c>
      <c r="AK213" s="20">
        <f>IF($F213=AK$9,$I213/$I$207*AK$10,IF($F213&lt;AK$9,MIN($I213/$I$207,$I213-SUM($K213:AJ213)),0))</f>
        <v>0</v>
      </c>
      <c r="AL213" s="20">
        <f>IF($F213=AL$9,$I213/$I$207*AL$10,IF($F213&lt;AL$9,MIN($I213/$I$207,$I213-SUM($K213:AK213)),0))</f>
        <v>0</v>
      </c>
      <c r="AM213" s="20">
        <f>IF($F213=AM$9,$I213/$I$207*AM$10,IF($F213&lt;AM$9,MIN($I213/$I$207,$I213-SUM($K213:AL213)),0))</f>
        <v>0</v>
      </c>
      <c r="AN213" s="20">
        <f>IF($F213=AN$9,$I213/$I$207*AN$10,IF($F213&lt;AN$9,MIN($I213/$I$207,$I213-SUM($K213:AM213)),0))</f>
        <v>0</v>
      </c>
      <c r="AO213" s="28"/>
    </row>
    <row r="214" spans="6:41" ht="14.4" customHeight="1" outlineLevel="1" x14ac:dyDescent="0.3">
      <c r="F214" s="69">
        <v>2029</v>
      </c>
      <c r="H214" s="26" t="s">
        <v>245</v>
      </c>
      <c r="I214" s="128">
        <v>0</v>
      </c>
      <c r="K214" s="89">
        <v>0</v>
      </c>
      <c r="L214" s="20">
        <f>IF($F214=L$9,$I214/$I$207*L$10,IF($F214&lt;L$9,MIN($I214/$I$207,$I214-SUM($K214:K214)),0))</f>
        <v>0</v>
      </c>
      <c r="M214" s="20">
        <f>IF($F214=M$9,$I214/$I$207*M$10,IF($F214&lt;M$9,MIN($I214/$I$207,$I214-SUM($K214:L214)),0))</f>
        <v>0</v>
      </c>
      <c r="N214" s="20">
        <f>IF($F214=N$9,$I214/$I$207*N$10,IF($F214&lt;N$9,MIN($I214/$I$207,$I214-SUM($K214:M214)),0))</f>
        <v>0</v>
      </c>
      <c r="O214" s="20">
        <f>IF($F214=O$9,$I214/$I$207*O$10,IF($F214&lt;O$9,MIN($I214/$I$207,$I214-SUM($K214:N214)),0))</f>
        <v>0</v>
      </c>
      <c r="P214" s="20">
        <f>IF($F214=P$9,$I214/$I$207*P$10,IF($F214&lt;P$9,MIN($I214/$I$207,$I214-SUM($K214:O214)),0))</f>
        <v>0</v>
      </c>
      <c r="Q214" s="20">
        <f>IF($F214=Q$9,$I214/$I$207*Q$10,IF($F214&lt;Q$9,MIN($I214/$I$207,$I214-SUM($K214:P214)),0))</f>
        <v>0</v>
      </c>
      <c r="R214" s="20">
        <f>IF($F214=R$9,$I214/$I$207*R$10,IF($F214&lt;R$9,MIN($I214/$I$207,$I214-SUM($K214:Q214)),0))</f>
        <v>0</v>
      </c>
      <c r="S214" s="20">
        <f>IF($F214=S$9,$I214/$I$207*S$10,IF($F214&lt;S$9,MIN($I214/$I$207,$I214-SUM($K214:R214)),0))</f>
        <v>0</v>
      </c>
      <c r="T214" s="20">
        <f>IF($F214=T$9,$I214/$I$207*T$10,IF($F214&lt;T$9,MIN($I214/$I$207,$I214-SUM($K214:S214)),0))</f>
        <v>0</v>
      </c>
      <c r="U214" s="20">
        <f>IF($F214=U$9,$I214/$I$207*U$10,IF($F214&lt;U$9,MIN($I214/$I$207,$I214-SUM($K214:T214)),0))</f>
        <v>0</v>
      </c>
      <c r="V214" s="20">
        <f>IF($F214=V$9,$I214/$I$207*V$10,IF($F214&lt;V$9,MIN($I214/$I$207,$I214-SUM($K214:U214)),0))</f>
        <v>0</v>
      </c>
      <c r="W214" s="20">
        <f>IF($F214=W$9,$I214/$I$207*W$10,IF($F214&lt;W$9,MIN($I214/$I$207,$I214-SUM($K214:V214)),0))</f>
        <v>0</v>
      </c>
      <c r="X214" s="20">
        <f>IF($F214=X$9,$I214/$I$207*X$10,IF($F214&lt;X$9,MIN($I214/$I$207,$I214-SUM($K214:W214)),0))</f>
        <v>0</v>
      </c>
      <c r="Y214" s="20">
        <f>IF($F214=Y$9,$I214/$I$207*Y$10,IF($F214&lt;Y$9,MIN($I214/$I$207,$I214-SUM($K214:X214)),0))</f>
        <v>0</v>
      </c>
      <c r="Z214" s="20">
        <f>IF($F214=Z$9,$I214/$I$207*Z$10,IF($F214&lt;Z$9,MIN($I214/$I$207,$I214-SUM($K214:Y214)),0))</f>
        <v>0</v>
      </c>
      <c r="AA214" s="20">
        <f>IF($F214=AA$9,$I214/$I$207*AA$10,IF($F214&lt;AA$9,MIN($I214/$I$207,$I214-SUM($K214:Z214)),0))</f>
        <v>0</v>
      </c>
      <c r="AB214" s="20">
        <f>IF($F214=AB$9,$I214/$I$207*AB$10,IF($F214&lt;AB$9,MIN($I214/$I$207,$I214-SUM($K214:AA214)),0))</f>
        <v>0</v>
      </c>
      <c r="AC214" s="20">
        <f>IF($F214=AC$9,$I214/$I$207*AC$10,IF($F214&lt;AC$9,MIN($I214/$I$207,$I214-SUM($K214:AB214)),0))</f>
        <v>0</v>
      </c>
      <c r="AD214" s="20">
        <f>IF($F214=AD$9,$I214/$I$207*AD$10,IF($F214&lt;AD$9,MIN($I214/$I$207,$I214-SUM($K214:AC214)),0))</f>
        <v>0</v>
      </c>
      <c r="AE214" s="20">
        <f>IF($F214=AE$9,$I214/$I$207*AE$10,IF($F214&lt;AE$9,MIN($I214/$I$207,$I214-SUM($K214:AD214)),0))</f>
        <v>0</v>
      </c>
      <c r="AF214" s="20">
        <f>IF($F214=AF$9,$I214/$I$207*AF$10,IF($F214&lt;AF$9,MIN($I214/$I$207,$I214-SUM($K214:AE214)),0))</f>
        <v>0</v>
      </c>
      <c r="AG214" s="20">
        <f>IF($F214=AG$9,$I214/$I$207*AG$10,IF($F214&lt;AG$9,MIN($I214/$I$207,$I214-SUM($K214:AF214)),0))</f>
        <v>0</v>
      </c>
      <c r="AH214" s="20">
        <f>IF($F214=AH$9,$I214/$I$207*AH$10,IF($F214&lt;AH$9,MIN($I214/$I$207,$I214-SUM($K214:AG214)),0))</f>
        <v>0</v>
      </c>
      <c r="AI214" s="20">
        <f>IF($F214=AI$9,$I214/$I$207*AI$10,IF($F214&lt;AI$9,MIN($I214/$I$207,$I214-SUM($K214:AH214)),0))</f>
        <v>0</v>
      </c>
      <c r="AJ214" s="20">
        <f>IF($F214=AJ$9,$I214/$I$207*AJ$10,IF($F214&lt;AJ$9,MIN($I214/$I$207,$I214-SUM($K214:AI214)),0))</f>
        <v>0</v>
      </c>
      <c r="AK214" s="20">
        <f>IF($F214=AK$9,$I214/$I$207*AK$10,IF($F214&lt;AK$9,MIN($I214/$I$207,$I214-SUM($K214:AJ214)),0))</f>
        <v>0</v>
      </c>
      <c r="AL214" s="20">
        <f>IF($F214=AL$9,$I214/$I$207*AL$10,IF($F214&lt;AL$9,MIN($I214/$I$207,$I214-SUM($K214:AK214)),0))</f>
        <v>0</v>
      </c>
      <c r="AM214" s="20">
        <f>IF($F214=AM$9,$I214/$I$207*AM$10,IF($F214&lt;AM$9,MIN($I214/$I$207,$I214-SUM($K214:AL214)),0))</f>
        <v>0</v>
      </c>
      <c r="AN214" s="20">
        <f>IF($F214=AN$9,$I214/$I$207*AN$10,IF($F214&lt;AN$9,MIN($I214/$I$207,$I214-SUM($K214:AM214)),0))</f>
        <v>0</v>
      </c>
      <c r="AO214" s="28"/>
    </row>
    <row r="215" spans="6:41" ht="14.4" customHeight="1" outlineLevel="1" x14ac:dyDescent="0.3">
      <c r="F215" s="69">
        <v>2030</v>
      </c>
      <c r="H215" s="26" t="s">
        <v>245</v>
      </c>
      <c r="I215" s="128">
        <v>0</v>
      </c>
      <c r="K215" s="89">
        <v>0</v>
      </c>
      <c r="L215" s="20">
        <f>IF($F215=L$9,$I215/$I$207*L$10,IF($F215&lt;L$9,MIN($I215/$I$207,$I215-SUM($K215:K215)),0))</f>
        <v>0</v>
      </c>
      <c r="M215" s="20">
        <f>IF($F215=M$9,$I215/$I$207*M$10,IF($F215&lt;M$9,MIN($I215/$I$207,$I215-SUM($K215:L215)),0))</f>
        <v>0</v>
      </c>
      <c r="N215" s="20">
        <f>IF($F215=N$9,$I215/$I$207*N$10,IF($F215&lt;N$9,MIN($I215/$I$207,$I215-SUM($K215:M215)),0))</f>
        <v>0</v>
      </c>
      <c r="O215" s="20">
        <f>IF($F215=O$9,$I215/$I$207*O$10,IF($F215&lt;O$9,MIN($I215/$I$207,$I215-SUM($K215:N215)),0))</f>
        <v>0</v>
      </c>
      <c r="P215" s="20">
        <f>IF($F215=P$9,$I215/$I$207*P$10,IF($F215&lt;P$9,MIN($I215/$I$207,$I215-SUM($K215:O215)),0))</f>
        <v>0</v>
      </c>
      <c r="Q215" s="20">
        <f>IF($F215=Q$9,$I215/$I$207*Q$10,IF($F215&lt;Q$9,MIN($I215/$I$207,$I215-SUM($K215:P215)),0))</f>
        <v>0</v>
      </c>
      <c r="R215" s="20">
        <f>IF($F215=R$9,$I215/$I$207*R$10,IF($F215&lt;R$9,MIN($I215/$I$207,$I215-SUM($K215:Q215)),0))</f>
        <v>0</v>
      </c>
      <c r="S215" s="20">
        <f>IF($F215=S$9,$I215/$I$207*S$10,IF($F215&lt;S$9,MIN($I215/$I$207,$I215-SUM($K215:R215)),0))</f>
        <v>0</v>
      </c>
      <c r="T215" s="20">
        <f>IF($F215=T$9,$I215/$I$207*T$10,IF($F215&lt;T$9,MIN($I215/$I$207,$I215-SUM($K215:S215)),0))</f>
        <v>0</v>
      </c>
      <c r="U215" s="20">
        <f>IF($F215=U$9,$I215/$I$207*U$10,IF($F215&lt;U$9,MIN($I215/$I$207,$I215-SUM($K215:T215)),0))</f>
        <v>0</v>
      </c>
      <c r="V215" s="20">
        <f>IF($F215=V$9,$I215/$I$207*V$10,IF($F215&lt;V$9,MIN($I215/$I$207,$I215-SUM($K215:U215)),0))</f>
        <v>0</v>
      </c>
      <c r="W215" s="20">
        <f>IF($F215=W$9,$I215/$I$207*W$10,IF($F215&lt;W$9,MIN($I215/$I$207,$I215-SUM($K215:V215)),0))</f>
        <v>0</v>
      </c>
      <c r="X215" s="20">
        <f>IF($F215=X$9,$I215/$I$207*X$10,IF($F215&lt;X$9,MIN($I215/$I$207,$I215-SUM($K215:W215)),0))</f>
        <v>0</v>
      </c>
      <c r="Y215" s="20">
        <f>IF($F215=Y$9,$I215/$I$207*Y$10,IF($F215&lt;Y$9,MIN($I215/$I$207,$I215-SUM($K215:X215)),0))</f>
        <v>0</v>
      </c>
      <c r="Z215" s="20">
        <f>IF($F215=Z$9,$I215/$I$207*Z$10,IF($F215&lt;Z$9,MIN($I215/$I$207,$I215-SUM($K215:Y215)),0))</f>
        <v>0</v>
      </c>
      <c r="AA215" s="20">
        <f>IF($F215=AA$9,$I215/$I$207*AA$10,IF($F215&lt;AA$9,MIN($I215/$I$207,$I215-SUM($K215:Z215)),0))</f>
        <v>0</v>
      </c>
      <c r="AB215" s="20">
        <f>IF($F215=AB$9,$I215/$I$207*AB$10,IF($F215&lt;AB$9,MIN($I215/$I$207,$I215-SUM($K215:AA215)),0))</f>
        <v>0</v>
      </c>
      <c r="AC215" s="20">
        <f>IF($F215=AC$9,$I215/$I$207*AC$10,IF($F215&lt;AC$9,MIN($I215/$I$207,$I215-SUM($K215:AB215)),0))</f>
        <v>0</v>
      </c>
      <c r="AD215" s="20">
        <f>IF($F215=AD$9,$I215/$I$207*AD$10,IF($F215&lt;AD$9,MIN($I215/$I$207,$I215-SUM($K215:AC215)),0))</f>
        <v>0</v>
      </c>
      <c r="AE215" s="20">
        <f>IF($F215=AE$9,$I215/$I$207*AE$10,IF($F215&lt;AE$9,MIN($I215/$I$207,$I215-SUM($K215:AD215)),0))</f>
        <v>0</v>
      </c>
      <c r="AF215" s="20">
        <f>IF($F215=AF$9,$I215/$I$207*AF$10,IF($F215&lt;AF$9,MIN($I215/$I$207,$I215-SUM($K215:AE215)),0))</f>
        <v>0</v>
      </c>
      <c r="AG215" s="20">
        <f>IF($F215=AG$9,$I215/$I$207*AG$10,IF($F215&lt;AG$9,MIN($I215/$I$207,$I215-SUM($K215:AF215)),0))</f>
        <v>0</v>
      </c>
      <c r="AH215" s="20">
        <f>IF($F215=AH$9,$I215/$I$207*AH$10,IF($F215&lt;AH$9,MIN($I215/$I$207,$I215-SUM($K215:AG215)),0))</f>
        <v>0</v>
      </c>
      <c r="AI215" s="20">
        <f>IF($F215=AI$9,$I215/$I$207*AI$10,IF($F215&lt;AI$9,MIN($I215/$I$207,$I215-SUM($K215:AH215)),0))</f>
        <v>0</v>
      </c>
      <c r="AJ215" s="20">
        <f>IF($F215=AJ$9,$I215/$I$207*AJ$10,IF($F215&lt;AJ$9,MIN($I215/$I$207,$I215-SUM($K215:AI215)),0))</f>
        <v>0</v>
      </c>
      <c r="AK215" s="20">
        <f>IF($F215=AK$9,$I215/$I$207*AK$10,IF($F215&lt;AK$9,MIN($I215/$I$207,$I215-SUM($K215:AJ215)),0))</f>
        <v>0</v>
      </c>
      <c r="AL215" s="20">
        <f>IF($F215=AL$9,$I215/$I$207*AL$10,IF($F215&lt;AL$9,MIN($I215/$I$207,$I215-SUM($K215:AK215)),0))</f>
        <v>0</v>
      </c>
      <c r="AM215" s="20">
        <f>IF($F215=AM$9,$I215/$I$207*AM$10,IF($F215&lt;AM$9,MIN($I215/$I$207,$I215-SUM($K215:AL215)),0))</f>
        <v>0</v>
      </c>
      <c r="AN215" s="20">
        <f>IF($F215=AN$9,$I215/$I$207*AN$10,IF($F215&lt;AN$9,MIN($I215/$I$207,$I215-SUM($K215:AM215)),0))</f>
        <v>0</v>
      </c>
      <c r="AO215" s="28"/>
    </row>
    <row r="216" spans="6:41" ht="14.4" customHeight="1" outlineLevel="1" x14ac:dyDescent="0.3">
      <c r="F216" s="69">
        <v>2031</v>
      </c>
      <c r="H216" s="26" t="s">
        <v>245</v>
      </c>
      <c r="I216" s="128">
        <v>0</v>
      </c>
      <c r="K216" s="89">
        <v>0</v>
      </c>
      <c r="L216" s="20">
        <f>IF($F216=L$9,$I216/$I$207*L$10,IF($F216&lt;L$9,MIN($I216/$I$207,$I216-SUM($K216:K216)),0))</f>
        <v>0</v>
      </c>
      <c r="M216" s="20">
        <f>IF($F216=M$9,$I216/$I$207*M$10,IF($F216&lt;M$9,MIN($I216/$I$207,$I216-SUM($K216:L216)),0))</f>
        <v>0</v>
      </c>
      <c r="N216" s="20">
        <f>IF($F216=N$9,$I216/$I$207*N$10,IF($F216&lt;N$9,MIN($I216/$I$207,$I216-SUM($K216:M216)),0))</f>
        <v>0</v>
      </c>
      <c r="O216" s="20">
        <f>IF($F216=O$9,$I216/$I$207*O$10,IF($F216&lt;O$9,MIN($I216/$I$207,$I216-SUM($K216:N216)),0))</f>
        <v>0</v>
      </c>
      <c r="P216" s="20">
        <f>IF($F216=P$9,$I216/$I$207*P$10,IF($F216&lt;P$9,MIN($I216/$I$207,$I216-SUM($K216:O216)),0))</f>
        <v>0</v>
      </c>
      <c r="Q216" s="20">
        <f>IF($F216=Q$9,$I216/$I$207*Q$10,IF($F216&lt;Q$9,MIN($I216/$I$207,$I216-SUM($K216:P216)),0))</f>
        <v>0</v>
      </c>
      <c r="R216" s="20">
        <f>IF($F216=R$9,$I216/$I$207*R$10,IF($F216&lt;R$9,MIN($I216/$I$207,$I216-SUM($K216:Q216)),0))</f>
        <v>0</v>
      </c>
      <c r="S216" s="20">
        <f>IF($F216=S$9,$I216/$I$207*S$10,IF($F216&lt;S$9,MIN($I216/$I$207,$I216-SUM($K216:R216)),0))</f>
        <v>0</v>
      </c>
      <c r="T216" s="20">
        <f>IF($F216=T$9,$I216/$I$207*T$10,IF($F216&lt;T$9,MIN($I216/$I$207,$I216-SUM($K216:S216)),0))</f>
        <v>0</v>
      </c>
      <c r="U216" s="20">
        <f>IF($F216=U$9,$I216/$I$207*U$10,IF($F216&lt;U$9,MIN($I216/$I$207,$I216-SUM($K216:T216)),0))</f>
        <v>0</v>
      </c>
      <c r="V216" s="20">
        <f>IF($F216=V$9,$I216/$I$207*V$10,IF($F216&lt;V$9,MIN($I216/$I$207,$I216-SUM($K216:U216)),0))</f>
        <v>0</v>
      </c>
      <c r="W216" s="20">
        <f>IF($F216=W$9,$I216/$I$207*W$10,IF($F216&lt;W$9,MIN($I216/$I$207,$I216-SUM($K216:V216)),0))</f>
        <v>0</v>
      </c>
      <c r="X216" s="20">
        <f>IF($F216=X$9,$I216/$I$207*X$10,IF($F216&lt;X$9,MIN($I216/$I$207,$I216-SUM($K216:W216)),0))</f>
        <v>0</v>
      </c>
      <c r="Y216" s="20">
        <f>IF($F216=Y$9,$I216/$I$207*Y$10,IF($F216&lt;Y$9,MIN($I216/$I$207,$I216-SUM($K216:X216)),0))</f>
        <v>0</v>
      </c>
      <c r="Z216" s="20">
        <f>IF($F216=Z$9,$I216/$I$207*Z$10,IF($F216&lt;Z$9,MIN($I216/$I$207,$I216-SUM($K216:Y216)),0))</f>
        <v>0</v>
      </c>
      <c r="AA216" s="20">
        <f>IF($F216=AA$9,$I216/$I$207*AA$10,IF($F216&lt;AA$9,MIN($I216/$I$207,$I216-SUM($K216:Z216)),0))</f>
        <v>0</v>
      </c>
      <c r="AB216" s="20">
        <f>IF($F216=AB$9,$I216/$I$207*AB$10,IF($F216&lt;AB$9,MIN($I216/$I$207,$I216-SUM($K216:AA216)),0))</f>
        <v>0</v>
      </c>
      <c r="AC216" s="20">
        <f>IF($F216=AC$9,$I216/$I$207*AC$10,IF($F216&lt;AC$9,MIN($I216/$I$207,$I216-SUM($K216:AB216)),0))</f>
        <v>0</v>
      </c>
      <c r="AD216" s="20">
        <f>IF($F216=AD$9,$I216/$I$207*AD$10,IF($F216&lt;AD$9,MIN($I216/$I$207,$I216-SUM($K216:AC216)),0))</f>
        <v>0</v>
      </c>
      <c r="AE216" s="20">
        <f>IF($F216=AE$9,$I216/$I$207*AE$10,IF($F216&lt;AE$9,MIN($I216/$I$207,$I216-SUM($K216:AD216)),0))</f>
        <v>0</v>
      </c>
      <c r="AF216" s="20">
        <f>IF($F216=AF$9,$I216/$I$207*AF$10,IF($F216&lt;AF$9,MIN($I216/$I$207,$I216-SUM($K216:AE216)),0))</f>
        <v>0</v>
      </c>
      <c r="AG216" s="20">
        <f>IF($F216=AG$9,$I216/$I$207*AG$10,IF($F216&lt;AG$9,MIN($I216/$I$207,$I216-SUM($K216:AF216)),0))</f>
        <v>0</v>
      </c>
      <c r="AH216" s="20">
        <f>IF($F216=AH$9,$I216/$I$207*AH$10,IF($F216&lt;AH$9,MIN($I216/$I$207,$I216-SUM($K216:AG216)),0))</f>
        <v>0</v>
      </c>
      <c r="AI216" s="20">
        <f>IF($F216=AI$9,$I216/$I$207*AI$10,IF($F216&lt;AI$9,MIN($I216/$I$207,$I216-SUM($K216:AH216)),0))</f>
        <v>0</v>
      </c>
      <c r="AJ216" s="20">
        <f>IF($F216=AJ$9,$I216/$I$207*AJ$10,IF($F216&lt;AJ$9,MIN($I216/$I$207,$I216-SUM($K216:AI216)),0))</f>
        <v>0</v>
      </c>
      <c r="AK216" s="20">
        <f>IF($F216=AK$9,$I216/$I$207*AK$10,IF($F216&lt;AK$9,MIN($I216/$I$207,$I216-SUM($K216:AJ216)),0))</f>
        <v>0</v>
      </c>
      <c r="AL216" s="20">
        <f>IF($F216=AL$9,$I216/$I$207*AL$10,IF($F216&lt;AL$9,MIN($I216/$I$207,$I216-SUM($K216:AK216)),0))</f>
        <v>0</v>
      </c>
      <c r="AM216" s="20">
        <f>IF($F216=AM$9,$I216/$I$207*AM$10,IF($F216&lt;AM$9,MIN($I216/$I$207,$I216-SUM($K216:AL216)),0))</f>
        <v>0</v>
      </c>
      <c r="AN216" s="20">
        <f>IF($F216=AN$9,$I216/$I$207*AN$10,IF($F216&lt;AN$9,MIN($I216/$I$207,$I216-SUM($K216:AM216)),0))</f>
        <v>0</v>
      </c>
      <c r="AO216" s="28"/>
    </row>
    <row r="217" spans="6:41" ht="14.4" customHeight="1" outlineLevel="1" x14ac:dyDescent="0.3">
      <c r="F217" s="69">
        <v>2032</v>
      </c>
      <c r="H217" s="26" t="s">
        <v>245</v>
      </c>
      <c r="I217" s="128">
        <v>0</v>
      </c>
      <c r="K217" s="89">
        <v>0</v>
      </c>
      <c r="L217" s="20">
        <f>IF($F217=L$9,$I217/$I$207*L$10,IF($F217&lt;L$9,MIN($I217/$I$207,$I217-SUM($K217:K217)),0))</f>
        <v>0</v>
      </c>
      <c r="M217" s="20">
        <f>IF($F217=M$9,$I217/$I$207*M$10,IF($F217&lt;M$9,MIN($I217/$I$207,$I217-SUM($K217:L217)),0))</f>
        <v>0</v>
      </c>
      <c r="N217" s="20">
        <f>IF($F217=N$9,$I217/$I$207*N$10,IF($F217&lt;N$9,MIN($I217/$I$207,$I217-SUM($K217:M217)),0))</f>
        <v>0</v>
      </c>
      <c r="O217" s="20">
        <f>IF($F217=O$9,$I217/$I$207*O$10,IF($F217&lt;O$9,MIN($I217/$I$207,$I217-SUM($K217:N217)),0))</f>
        <v>0</v>
      </c>
      <c r="P217" s="20">
        <f>IF($F217=P$9,$I217/$I$207*P$10,IF($F217&lt;P$9,MIN($I217/$I$207,$I217-SUM($K217:O217)),0))</f>
        <v>0</v>
      </c>
      <c r="Q217" s="20">
        <f>IF($F217=Q$9,$I217/$I$207*Q$10,IF($F217&lt;Q$9,MIN($I217/$I$207,$I217-SUM($K217:P217)),0))</f>
        <v>0</v>
      </c>
      <c r="R217" s="20">
        <f>IF($F217=R$9,$I217/$I$207*R$10,IF($F217&lt;R$9,MIN($I217/$I$207,$I217-SUM($K217:Q217)),0))</f>
        <v>0</v>
      </c>
      <c r="S217" s="20">
        <f>IF($F217=S$9,$I217/$I$207*S$10,IF($F217&lt;S$9,MIN($I217/$I$207,$I217-SUM($K217:R217)),0))</f>
        <v>0</v>
      </c>
      <c r="T217" s="20">
        <f>IF($F217=T$9,$I217/$I$207*T$10,IF($F217&lt;T$9,MIN($I217/$I$207,$I217-SUM($K217:S217)),0))</f>
        <v>0</v>
      </c>
      <c r="U217" s="20">
        <f>IF($F217=U$9,$I217/$I$207*U$10,IF($F217&lt;U$9,MIN($I217/$I$207,$I217-SUM($K217:T217)),0))</f>
        <v>0</v>
      </c>
      <c r="V217" s="20">
        <f>IF($F217=V$9,$I217/$I$207*V$10,IF($F217&lt;V$9,MIN($I217/$I$207,$I217-SUM($K217:U217)),0))</f>
        <v>0</v>
      </c>
      <c r="W217" s="20">
        <f>IF($F217=W$9,$I217/$I$207*W$10,IF($F217&lt;W$9,MIN($I217/$I$207,$I217-SUM($K217:V217)),0))</f>
        <v>0</v>
      </c>
      <c r="X217" s="20">
        <f>IF($F217=X$9,$I217/$I$207*X$10,IF($F217&lt;X$9,MIN($I217/$I$207,$I217-SUM($K217:W217)),0))</f>
        <v>0</v>
      </c>
      <c r="Y217" s="20">
        <f>IF($F217=Y$9,$I217/$I$207*Y$10,IF($F217&lt;Y$9,MIN($I217/$I$207,$I217-SUM($K217:X217)),0))</f>
        <v>0</v>
      </c>
      <c r="Z217" s="20">
        <f>IF($F217=Z$9,$I217/$I$207*Z$10,IF($F217&lt;Z$9,MIN($I217/$I$207,$I217-SUM($K217:Y217)),0))</f>
        <v>0</v>
      </c>
      <c r="AA217" s="20">
        <f>IF($F217=AA$9,$I217/$I$207*AA$10,IF($F217&lt;AA$9,MIN($I217/$I$207,$I217-SUM($K217:Z217)),0))</f>
        <v>0</v>
      </c>
      <c r="AB217" s="20">
        <f>IF($F217=AB$9,$I217/$I$207*AB$10,IF($F217&lt;AB$9,MIN($I217/$I$207,$I217-SUM($K217:AA217)),0))</f>
        <v>0</v>
      </c>
      <c r="AC217" s="20">
        <f>IF($F217=AC$9,$I217/$I$207*AC$10,IF($F217&lt;AC$9,MIN($I217/$I$207,$I217-SUM($K217:AB217)),0))</f>
        <v>0</v>
      </c>
      <c r="AD217" s="20">
        <f>IF($F217=AD$9,$I217/$I$207*AD$10,IF($F217&lt;AD$9,MIN($I217/$I$207,$I217-SUM($K217:AC217)),0))</f>
        <v>0</v>
      </c>
      <c r="AE217" s="20">
        <f>IF($F217=AE$9,$I217/$I$207*AE$10,IF($F217&lt;AE$9,MIN($I217/$I$207,$I217-SUM($K217:AD217)),0))</f>
        <v>0</v>
      </c>
      <c r="AF217" s="20">
        <f>IF($F217=AF$9,$I217/$I$207*AF$10,IF($F217&lt;AF$9,MIN($I217/$I$207,$I217-SUM($K217:AE217)),0))</f>
        <v>0</v>
      </c>
      <c r="AG217" s="20">
        <f>IF($F217=AG$9,$I217/$I$207*AG$10,IF($F217&lt;AG$9,MIN($I217/$I$207,$I217-SUM($K217:AF217)),0))</f>
        <v>0</v>
      </c>
      <c r="AH217" s="20">
        <f>IF($F217=AH$9,$I217/$I$207*AH$10,IF($F217&lt;AH$9,MIN($I217/$I$207,$I217-SUM($K217:AG217)),0))</f>
        <v>0</v>
      </c>
      <c r="AI217" s="20">
        <f>IF($F217=AI$9,$I217/$I$207*AI$10,IF($F217&lt;AI$9,MIN($I217/$I$207,$I217-SUM($K217:AH217)),0))</f>
        <v>0</v>
      </c>
      <c r="AJ217" s="20">
        <f>IF($F217=AJ$9,$I217/$I$207*AJ$10,IF($F217&lt;AJ$9,MIN($I217/$I$207,$I217-SUM($K217:AI217)),0))</f>
        <v>0</v>
      </c>
      <c r="AK217" s="20">
        <f>IF($F217=AK$9,$I217/$I$207*AK$10,IF($F217&lt;AK$9,MIN($I217/$I$207,$I217-SUM($K217:AJ217)),0))</f>
        <v>0</v>
      </c>
      <c r="AL217" s="20">
        <f>IF($F217=AL$9,$I217/$I$207*AL$10,IF($F217&lt;AL$9,MIN($I217/$I$207,$I217-SUM($K217:AK217)),0))</f>
        <v>0</v>
      </c>
      <c r="AM217" s="20">
        <f>IF($F217=AM$9,$I217/$I$207*AM$10,IF($F217&lt;AM$9,MIN($I217/$I$207,$I217-SUM($K217:AL217)),0))</f>
        <v>0</v>
      </c>
      <c r="AN217" s="20">
        <f>IF($F217=AN$9,$I217/$I$207*AN$10,IF($F217&lt;AN$9,MIN($I217/$I$207,$I217-SUM($K217:AM217)),0))</f>
        <v>0</v>
      </c>
      <c r="AO217" s="28"/>
    </row>
    <row r="218" spans="6:41" ht="14.4" customHeight="1" outlineLevel="1" x14ac:dyDescent="0.3">
      <c r="F218" s="69">
        <v>2033</v>
      </c>
      <c r="H218" s="26" t="s">
        <v>245</v>
      </c>
      <c r="I218" s="128">
        <v>0</v>
      </c>
      <c r="K218" s="89">
        <v>0</v>
      </c>
      <c r="L218" s="20">
        <f>IF($F218=L$9,$I218/$I$207*L$10,IF($F218&lt;L$9,MIN($I218/$I$207,$I218-SUM($K218:K218)),0))</f>
        <v>0</v>
      </c>
      <c r="M218" s="20">
        <f>IF($F218=M$9,$I218/$I$207*M$10,IF($F218&lt;M$9,MIN($I218/$I$207,$I218-SUM($K218:L218)),0))</f>
        <v>0</v>
      </c>
      <c r="N218" s="20">
        <f>IF($F218=N$9,$I218/$I$207*N$10,IF($F218&lt;N$9,MIN($I218/$I$207,$I218-SUM($K218:M218)),0))</f>
        <v>0</v>
      </c>
      <c r="O218" s="20">
        <f>IF($F218=O$9,$I218/$I$207*O$10,IF($F218&lt;O$9,MIN($I218/$I$207,$I218-SUM($K218:N218)),0))</f>
        <v>0</v>
      </c>
      <c r="P218" s="20">
        <f>IF($F218=P$9,$I218/$I$207*P$10,IF($F218&lt;P$9,MIN($I218/$I$207,$I218-SUM($K218:O218)),0))</f>
        <v>0</v>
      </c>
      <c r="Q218" s="20">
        <f>IF($F218=Q$9,$I218/$I$207*Q$10,IF($F218&lt;Q$9,MIN($I218/$I$207,$I218-SUM($K218:P218)),0))</f>
        <v>0</v>
      </c>
      <c r="R218" s="20">
        <f>IF($F218=R$9,$I218/$I$207*R$10,IF($F218&lt;R$9,MIN($I218/$I$207,$I218-SUM($K218:Q218)),0))</f>
        <v>0</v>
      </c>
      <c r="S218" s="20">
        <f>IF($F218=S$9,$I218/$I$207*S$10,IF($F218&lt;S$9,MIN($I218/$I$207,$I218-SUM($K218:R218)),0))</f>
        <v>0</v>
      </c>
      <c r="T218" s="20">
        <f>IF($F218=T$9,$I218/$I$207*T$10,IF($F218&lt;T$9,MIN($I218/$I$207,$I218-SUM($K218:S218)),0))</f>
        <v>0</v>
      </c>
      <c r="U218" s="20">
        <f>IF($F218=U$9,$I218/$I$207*U$10,IF($F218&lt;U$9,MIN($I218/$I$207,$I218-SUM($K218:T218)),0))</f>
        <v>0</v>
      </c>
      <c r="V218" s="20">
        <f>IF($F218=V$9,$I218/$I$207*V$10,IF($F218&lt;V$9,MIN($I218/$I$207,$I218-SUM($K218:U218)),0))</f>
        <v>0</v>
      </c>
      <c r="W218" s="20">
        <f>IF($F218=W$9,$I218/$I$207*W$10,IF($F218&lt;W$9,MIN($I218/$I$207,$I218-SUM($K218:V218)),0))</f>
        <v>0</v>
      </c>
      <c r="X218" s="20">
        <f>IF($F218=X$9,$I218/$I$207*X$10,IF($F218&lt;X$9,MIN($I218/$I$207,$I218-SUM($K218:W218)),0))</f>
        <v>0</v>
      </c>
      <c r="Y218" s="20">
        <f>IF($F218=Y$9,$I218/$I$207*Y$10,IF($F218&lt;Y$9,MIN($I218/$I$207,$I218-SUM($K218:X218)),0))</f>
        <v>0</v>
      </c>
      <c r="Z218" s="20">
        <f>IF($F218=Z$9,$I218/$I$207*Z$10,IF($F218&lt;Z$9,MIN($I218/$I$207,$I218-SUM($K218:Y218)),0))</f>
        <v>0</v>
      </c>
      <c r="AA218" s="20">
        <f>IF($F218=AA$9,$I218/$I$207*AA$10,IF($F218&lt;AA$9,MIN($I218/$I$207,$I218-SUM($K218:Z218)),0))</f>
        <v>0</v>
      </c>
      <c r="AB218" s="20">
        <f>IF($F218=AB$9,$I218/$I$207*AB$10,IF($F218&lt;AB$9,MIN($I218/$I$207,$I218-SUM($K218:AA218)),0))</f>
        <v>0</v>
      </c>
      <c r="AC218" s="20">
        <f>IF($F218=AC$9,$I218/$I$207*AC$10,IF($F218&lt;AC$9,MIN($I218/$I$207,$I218-SUM($K218:AB218)),0))</f>
        <v>0</v>
      </c>
      <c r="AD218" s="20">
        <f>IF($F218=AD$9,$I218/$I$207*AD$10,IF($F218&lt;AD$9,MIN($I218/$I$207,$I218-SUM($K218:AC218)),0))</f>
        <v>0</v>
      </c>
      <c r="AE218" s="20">
        <f>IF($F218=AE$9,$I218/$I$207*AE$10,IF($F218&lt;AE$9,MIN($I218/$I$207,$I218-SUM($K218:AD218)),0))</f>
        <v>0</v>
      </c>
      <c r="AF218" s="20">
        <f>IF($F218=AF$9,$I218/$I$207*AF$10,IF($F218&lt;AF$9,MIN($I218/$I$207,$I218-SUM($K218:AE218)),0))</f>
        <v>0</v>
      </c>
      <c r="AG218" s="20">
        <f>IF($F218=AG$9,$I218/$I$207*AG$10,IF($F218&lt;AG$9,MIN($I218/$I$207,$I218-SUM($K218:AF218)),0))</f>
        <v>0</v>
      </c>
      <c r="AH218" s="20">
        <f>IF($F218=AH$9,$I218/$I$207*AH$10,IF($F218&lt;AH$9,MIN($I218/$I$207,$I218-SUM($K218:AG218)),0))</f>
        <v>0</v>
      </c>
      <c r="AI218" s="20">
        <f>IF($F218=AI$9,$I218/$I$207*AI$10,IF($F218&lt;AI$9,MIN($I218/$I$207,$I218-SUM($K218:AH218)),0))</f>
        <v>0</v>
      </c>
      <c r="AJ218" s="20">
        <f>IF($F218=AJ$9,$I218/$I$207*AJ$10,IF($F218&lt;AJ$9,MIN($I218/$I$207,$I218-SUM($K218:AI218)),0))</f>
        <v>0</v>
      </c>
      <c r="AK218" s="20">
        <f>IF($F218=AK$9,$I218/$I$207*AK$10,IF($F218&lt;AK$9,MIN($I218/$I$207,$I218-SUM($K218:AJ218)),0))</f>
        <v>0</v>
      </c>
      <c r="AL218" s="20">
        <f>IF($F218=AL$9,$I218/$I$207*AL$10,IF($F218&lt;AL$9,MIN($I218/$I$207,$I218-SUM($K218:AK218)),0))</f>
        <v>0</v>
      </c>
      <c r="AM218" s="20">
        <f>IF($F218=AM$9,$I218/$I$207*AM$10,IF($F218&lt;AM$9,MIN($I218/$I$207,$I218-SUM($K218:AL218)),0))</f>
        <v>0</v>
      </c>
      <c r="AN218" s="20">
        <f>IF($F218=AN$9,$I218/$I$207*AN$10,IF($F218&lt;AN$9,MIN($I218/$I$207,$I218-SUM($K218:AM218)),0))</f>
        <v>0</v>
      </c>
      <c r="AO218" s="28"/>
    </row>
    <row r="219" spans="6:41" ht="14.4" customHeight="1" outlineLevel="1" x14ac:dyDescent="0.3">
      <c r="F219" s="69">
        <v>2034</v>
      </c>
      <c r="H219" s="26" t="s">
        <v>245</v>
      </c>
      <c r="I219" s="128">
        <v>0</v>
      </c>
      <c r="K219" s="89">
        <v>0</v>
      </c>
      <c r="L219" s="20">
        <f>IF($F219=L$9,$I219/$I$207*L$10,IF($F219&lt;L$9,MIN($I219/$I$207,$I219-SUM($K219:K219)),0))</f>
        <v>0</v>
      </c>
      <c r="M219" s="20">
        <f>IF($F219=M$9,$I219/$I$207*M$10,IF($F219&lt;M$9,MIN($I219/$I$207,$I219-SUM($K219:L219)),0))</f>
        <v>0</v>
      </c>
      <c r="N219" s="20">
        <f>IF($F219=N$9,$I219/$I$207*N$10,IF($F219&lt;N$9,MIN($I219/$I$207,$I219-SUM($K219:M219)),0))</f>
        <v>0</v>
      </c>
      <c r="O219" s="20">
        <f>IF($F219=O$9,$I219/$I$207*O$10,IF($F219&lt;O$9,MIN($I219/$I$207,$I219-SUM($K219:N219)),0))</f>
        <v>0</v>
      </c>
      <c r="P219" s="20">
        <f>IF($F219=P$9,$I219/$I$207*P$10,IF($F219&lt;P$9,MIN($I219/$I$207,$I219-SUM($K219:O219)),0))</f>
        <v>0</v>
      </c>
      <c r="Q219" s="20">
        <f>IF($F219=Q$9,$I219/$I$207*Q$10,IF($F219&lt;Q$9,MIN($I219/$I$207,$I219-SUM($K219:P219)),0))</f>
        <v>0</v>
      </c>
      <c r="R219" s="20">
        <f>IF($F219=R$9,$I219/$I$207*R$10,IF($F219&lt;R$9,MIN($I219/$I$207,$I219-SUM($K219:Q219)),0))</f>
        <v>0</v>
      </c>
      <c r="S219" s="20">
        <f>IF($F219=S$9,$I219/$I$207*S$10,IF($F219&lt;S$9,MIN($I219/$I$207,$I219-SUM($K219:R219)),0))</f>
        <v>0</v>
      </c>
      <c r="T219" s="20">
        <f>IF($F219=T$9,$I219/$I$207*T$10,IF($F219&lt;T$9,MIN($I219/$I$207,$I219-SUM($K219:S219)),0))</f>
        <v>0</v>
      </c>
      <c r="U219" s="20">
        <f>IF($F219=U$9,$I219/$I$207*U$10,IF($F219&lt;U$9,MIN($I219/$I$207,$I219-SUM($K219:T219)),0))</f>
        <v>0</v>
      </c>
      <c r="V219" s="20">
        <f>IF($F219=V$9,$I219/$I$207*V$10,IF($F219&lt;V$9,MIN($I219/$I$207,$I219-SUM($K219:U219)),0))</f>
        <v>0</v>
      </c>
      <c r="W219" s="20">
        <f>IF($F219=W$9,$I219/$I$207*W$10,IF($F219&lt;W$9,MIN($I219/$I$207,$I219-SUM($K219:V219)),0))</f>
        <v>0</v>
      </c>
      <c r="X219" s="20">
        <f>IF($F219=X$9,$I219/$I$207*X$10,IF($F219&lt;X$9,MIN($I219/$I$207,$I219-SUM($K219:W219)),0))</f>
        <v>0</v>
      </c>
      <c r="Y219" s="20">
        <f>IF($F219=Y$9,$I219/$I$207*Y$10,IF($F219&lt;Y$9,MIN($I219/$I$207,$I219-SUM($K219:X219)),0))</f>
        <v>0</v>
      </c>
      <c r="Z219" s="20">
        <f>IF($F219=Z$9,$I219/$I$207*Z$10,IF($F219&lt;Z$9,MIN($I219/$I$207,$I219-SUM($K219:Y219)),0))</f>
        <v>0</v>
      </c>
      <c r="AA219" s="20">
        <f>IF($F219=AA$9,$I219/$I$207*AA$10,IF($F219&lt;AA$9,MIN($I219/$I$207,$I219-SUM($K219:Z219)),0))</f>
        <v>0</v>
      </c>
      <c r="AB219" s="20">
        <f>IF($F219=AB$9,$I219/$I$207*AB$10,IF($F219&lt;AB$9,MIN($I219/$I$207,$I219-SUM($K219:AA219)),0))</f>
        <v>0</v>
      </c>
      <c r="AC219" s="20">
        <f>IF($F219=AC$9,$I219/$I$207*AC$10,IF($F219&lt;AC$9,MIN($I219/$I$207,$I219-SUM($K219:AB219)),0))</f>
        <v>0</v>
      </c>
      <c r="AD219" s="20">
        <f>IF($F219=AD$9,$I219/$I$207*AD$10,IF($F219&lt;AD$9,MIN($I219/$I$207,$I219-SUM($K219:AC219)),0))</f>
        <v>0</v>
      </c>
      <c r="AE219" s="20">
        <f>IF($F219=AE$9,$I219/$I$207*AE$10,IF($F219&lt;AE$9,MIN($I219/$I$207,$I219-SUM($K219:AD219)),0))</f>
        <v>0</v>
      </c>
      <c r="AF219" s="20">
        <f>IF($F219=AF$9,$I219/$I$207*AF$10,IF($F219&lt;AF$9,MIN($I219/$I$207,$I219-SUM($K219:AE219)),0))</f>
        <v>0</v>
      </c>
      <c r="AG219" s="20">
        <f>IF($F219=AG$9,$I219/$I$207*AG$10,IF($F219&lt;AG$9,MIN($I219/$I$207,$I219-SUM($K219:AF219)),0))</f>
        <v>0</v>
      </c>
      <c r="AH219" s="20">
        <f>IF($F219=AH$9,$I219/$I$207*AH$10,IF($F219&lt;AH$9,MIN($I219/$I$207,$I219-SUM($K219:AG219)),0))</f>
        <v>0</v>
      </c>
      <c r="AI219" s="20">
        <f>IF($F219=AI$9,$I219/$I$207*AI$10,IF($F219&lt;AI$9,MIN($I219/$I$207,$I219-SUM($K219:AH219)),0))</f>
        <v>0</v>
      </c>
      <c r="AJ219" s="20">
        <f>IF($F219=AJ$9,$I219/$I$207*AJ$10,IF($F219&lt;AJ$9,MIN($I219/$I$207,$I219-SUM($K219:AI219)),0))</f>
        <v>0</v>
      </c>
      <c r="AK219" s="20">
        <f>IF($F219=AK$9,$I219/$I$207*AK$10,IF($F219&lt;AK$9,MIN($I219/$I$207,$I219-SUM($K219:AJ219)),0))</f>
        <v>0</v>
      </c>
      <c r="AL219" s="20">
        <f>IF($F219=AL$9,$I219/$I$207*AL$10,IF($F219&lt;AL$9,MIN($I219/$I$207,$I219-SUM($K219:AK219)),0))</f>
        <v>0</v>
      </c>
      <c r="AM219" s="20">
        <f>IF($F219=AM$9,$I219/$I$207*AM$10,IF($F219&lt;AM$9,MIN($I219/$I$207,$I219-SUM($K219:AL219)),0))</f>
        <v>0</v>
      </c>
      <c r="AN219" s="20">
        <f>IF($F219=AN$9,$I219/$I$207*AN$10,IF($F219&lt;AN$9,MIN($I219/$I$207,$I219-SUM($K219:AM219)),0))</f>
        <v>0</v>
      </c>
      <c r="AO219" s="28"/>
    </row>
    <row r="220" spans="6:41" ht="14.4" customHeight="1" outlineLevel="1" x14ac:dyDescent="0.3">
      <c r="F220" s="69">
        <v>2035</v>
      </c>
      <c r="H220" s="26" t="s">
        <v>245</v>
      </c>
      <c r="I220" s="128">
        <v>0</v>
      </c>
      <c r="K220" s="89">
        <v>0</v>
      </c>
      <c r="L220" s="20">
        <f>IF($F220=L$9,$I220/$I$207*L$10,IF($F220&lt;L$9,MIN($I220/$I$207,$I220-SUM($K220:K220)),0))</f>
        <v>0</v>
      </c>
      <c r="M220" s="20">
        <f>IF($F220=M$9,$I220/$I$207*M$10,IF($F220&lt;M$9,MIN($I220/$I$207,$I220-SUM($K220:L220)),0))</f>
        <v>0</v>
      </c>
      <c r="N220" s="20">
        <f>IF($F220=N$9,$I220/$I$207*N$10,IF($F220&lt;N$9,MIN($I220/$I$207,$I220-SUM($K220:M220)),0))</f>
        <v>0</v>
      </c>
      <c r="O220" s="20">
        <f>IF($F220=O$9,$I220/$I$207*O$10,IF($F220&lt;O$9,MIN($I220/$I$207,$I220-SUM($K220:N220)),0))</f>
        <v>0</v>
      </c>
      <c r="P220" s="20">
        <f>IF($F220=P$9,$I220/$I$207*P$10,IF($F220&lt;P$9,MIN($I220/$I$207,$I220-SUM($K220:O220)),0))</f>
        <v>0</v>
      </c>
      <c r="Q220" s="20">
        <f>IF($F220=Q$9,$I220/$I$207*Q$10,IF($F220&lt;Q$9,MIN($I220/$I$207,$I220-SUM($K220:P220)),0))</f>
        <v>0</v>
      </c>
      <c r="R220" s="20">
        <f>IF($F220=R$9,$I220/$I$207*R$10,IF($F220&lt;R$9,MIN($I220/$I$207,$I220-SUM($K220:Q220)),0))</f>
        <v>0</v>
      </c>
      <c r="S220" s="20">
        <f>IF($F220=S$9,$I220/$I$207*S$10,IF($F220&lt;S$9,MIN($I220/$I$207,$I220-SUM($K220:R220)),0))</f>
        <v>0</v>
      </c>
      <c r="T220" s="20">
        <f>IF($F220=T$9,$I220/$I$207*T$10,IF($F220&lt;T$9,MIN($I220/$I$207,$I220-SUM($K220:S220)),0))</f>
        <v>0</v>
      </c>
      <c r="U220" s="20">
        <f>IF($F220=U$9,$I220/$I$207*U$10,IF($F220&lt;U$9,MIN($I220/$I$207,$I220-SUM($K220:T220)),0))</f>
        <v>0</v>
      </c>
      <c r="V220" s="20">
        <f>IF($F220=V$9,$I220/$I$207*V$10,IF($F220&lt;V$9,MIN($I220/$I$207,$I220-SUM($K220:U220)),0))</f>
        <v>0</v>
      </c>
      <c r="W220" s="20">
        <f>IF($F220=W$9,$I220/$I$207*W$10,IF($F220&lt;W$9,MIN($I220/$I$207,$I220-SUM($K220:V220)),0))</f>
        <v>0</v>
      </c>
      <c r="X220" s="20">
        <f>IF($F220=X$9,$I220/$I$207*X$10,IF($F220&lt;X$9,MIN($I220/$I$207,$I220-SUM($K220:W220)),0))</f>
        <v>0</v>
      </c>
      <c r="Y220" s="20">
        <f>IF($F220=Y$9,$I220/$I$207*Y$10,IF($F220&lt;Y$9,MIN($I220/$I$207,$I220-SUM($K220:X220)),0))</f>
        <v>0</v>
      </c>
      <c r="Z220" s="20">
        <f>IF($F220=Z$9,$I220/$I$207*Z$10,IF($F220&lt;Z$9,MIN($I220/$I$207,$I220-SUM($K220:Y220)),0))</f>
        <v>0</v>
      </c>
      <c r="AA220" s="20">
        <f>IF($F220=AA$9,$I220/$I$207*AA$10,IF($F220&lt;AA$9,MIN($I220/$I$207,$I220-SUM($K220:Z220)),0))</f>
        <v>0</v>
      </c>
      <c r="AB220" s="20">
        <f>IF($F220=AB$9,$I220/$I$207*AB$10,IF($F220&lt;AB$9,MIN($I220/$I$207,$I220-SUM($K220:AA220)),0))</f>
        <v>0</v>
      </c>
      <c r="AC220" s="20">
        <f>IF($F220=AC$9,$I220/$I$207*AC$10,IF($F220&lt;AC$9,MIN($I220/$I$207,$I220-SUM($K220:AB220)),0))</f>
        <v>0</v>
      </c>
      <c r="AD220" s="20">
        <f>IF($F220=AD$9,$I220/$I$207*AD$10,IF($F220&lt;AD$9,MIN($I220/$I$207,$I220-SUM($K220:AC220)),0))</f>
        <v>0</v>
      </c>
      <c r="AE220" s="20">
        <f>IF($F220=AE$9,$I220/$I$207*AE$10,IF($F220&lt;AE$9,MIN($I220/$I$207,$I220-SUM($K220:AD220)),0))</f>
        <v>0</v>
      </c>
      <c r="AF220" s="20">
        <f>IF($F220=AF$9,$I220/$I$207*AF$10,IF($F220&lt;AF$9,MIN($I220/$I$207,$I220-SUM($K220:AE220)),0))</f>
        <v>0</v>
      </c>
      <c r="AG220" s="20">
        <f>IF($F220=AG$9,$I220/$I$207*AG$10,IF($F220&lt;AG$9,MIN($I220/$I$207,$I220-SUM($K220:AF220)),0))</f>
        <v>0</v>
      </c>
      <c r="AH220" s="20">
        <f>IF($F220=AH$9,$I220/$I$207*AH$10,IF($F220&lt;AH$9,MIN($I220/$I$207,$I220-SUM($K220:AG220)),0))</f>
        <v>0</v>
      </c>
      <c r="AI220" s="20">
        <f>IF($F220=AI$9,$I220/$I$207*AI$10,IF($F220&lt;AI$9,MIN($I220/$I$207,$I220-SUM($K220:AH220)),0))</f>
        <v>0</v>
      </c>
      <c r="AJ220" s="20">
        <f>IF($F220=AJ$9,$I220/$I$207*AJ$10,IF($F220&lt;AJ$9,MIN($I220/$I$207,$I220-SUM($K220:AI220)),0))</f>
        <v>0</v>
      </c>
      <c r="AK220" s="20">
        <f>IF($F220=AK$9,$I220/$I$207*AK$10,IF($F220&lt;AK$9,MIN($I220/$I$207,$I220-SUM($K220:AJ220)),0))</f>
        <v>0</v>
      </c>
      <c r="AL220" s="20">
        <f>IF($F220=AL$9,$I220/$I$207*AL$10,IF($F220&lt;AL$9,MIN($I220/$I$207,$I220-SUM($K220:AK220)),0))</f>
        <v>0</v>
      </c>
      <c r="AM220" s="20">
        <f>IF($F220=AM$9,$I220/$I$207*AM$10,IF($F220&lt;AM$9,MIN($I220/$I$207,$I220-SUM($K220:AL220)),0))</f>
        <v>0</v>
      </c>
      <c r="AN220" s="20">
        <f>IF($F220=AN$9,$I220/$I$207*AN$10,IF($F220&lt;AN$9,MIN($I220/$I$207,$I220-SUM($K220:AM220)),0))</f>
        <v>0</v>
      </c>
      <c r="AO220" s="28"/>
    </row>
    <row r="221" spans="6:41" ht="14.4" customHeight="1" outlineLevel="1" x14ac:dyDescent="0.3">
      <c r="F221" s="69">
        <v>2036</v>
      </c>
      <c r="H221" s="26" t="s">
        <v>245</v>
      </c>
      <c r="I221" s="128">
        <v>0</v>
      </c>
      <c r="K221" s="89">
        <v>0</v>
      </c>
      <c r="L221" s="20">
        <f>IF($F221=L$9,$I221/$I$207*L$10,IF($F221&lt;L$9,MIN($I221/$I$207,$I221-SUM($K221:K221)),0))</f>
        <v>0</v>
      </c>
      <c r="M221" s="20">
        <f>IF($F221=M$9,$I221/$I$207*M$10,IF($F221&lt;M$9,MIN($I221/$I$207,$I221-SUM($K221:L221)),0))</f>
        <v>0</v>
      </c>
      <c r="N221" s="20">
        <f>IF($F221=N$9,$I221/$I$207*N$10,IF($F221&lt;N$9,MIN($I221/$I$207,$I221-SUM($K221:M221)),0))</f>
        <v>0</v>
      </c>
      <c r="O221" s="20">
        <f>IF($F221=O$9,$I221/$I$207*O$10,IF($F221&lt;O$9,MIN($I221/$I$207,$I221-SUM($K221:N221)),0))</f>
        <v>0</v>
      </c>
      <c r="P221" s="20">
        <f>IF($F221=P$9,$I221/$I$207*P$10,IF($F221&lt;P$9,MIN($I221/$I$207,$I221-SUM($K221:O221)),0))</f>
        <v>0</v>
      </c>
      <c r="Q221" s="20">
        <f>IF($F221=Q$9,$I221/$I$207*Q$10,IF($F221&lt;Q$9,MIN($I221/$I$207,$I221-SUM($K221:P221)),0))</f>
        <v>0</v>
      </c>
      <c r="R221" s="20">
        <f>IF($F221=R$9,$I221/$I$207*R$10,IF($F221&lt;R$9,MIN($I221/$I$207,$I221-SUM($K221:Q221)),0))</f>
        <v>0</v>
      </c>
      <c r="S221" s="20">
        <f>IF($F221=S$9,$I221/$I$207*S$10,IF($F221&lt;S$9,MIN($I221/$I$207,$I221-SUM($K221:R221)),0))</f>
        <v>0</v>
      </c>
      <c r="T221" s="20">
        <f>IF($F221=T$9,$I221/$I$207*T$10,IF($F221&lt;T$9,MIN($I221/$I$207,$I221-SUM($K221:S221)),0))</f>
        <v>0</v>
      </c>
      <c r="U221" s="20">
        <f>IF($F221=U$9,$I221/$I$207*U$10,IF($F221&lt;U$9,MIN($I221/$I$207,$I221-SUM($K221:T221)),0))</f>
        <v>0</v>
      </c>
      <c r="V221" s="20">
        <f>IF($F221=V$9,$I221/$I$207*V$10,IF($F221&lt;V$9,MIN($I221/$I$207,$I221-SUM($K221:U221)),0))</f>
        <v>0</v>
      </c>
      <c r="W221" s="20">
        <f>IF($F221=W$9,$I221/$I$207*W$10,IF($F221&lt;W$9,MIN($I221/$I$207,$I221-SUM($K221:V221)),0))</f>
        <v>0</v>
      </c>
      <c r="X221" s="20">
        <f>IF($F221=X$9,$I221/$I$207*X$10,IF($F221&lt;X$9,MIN($I221/$I$207,$I221-SUM($K221:W221)),0))</f>
        <v>0</v>
      </c>
      <c r="Y221" s="20">
        <f>IF($F221=Y$9,$I221/$I$207*Y$10,IF($F221&lt;Y$9,MIN($I221/$I$207,$I221-SUM($K221:X221)),0))</f>
        <v>0</v>
      </c>
      <c r="Z221" s="20">
        <f>IF($F221=Z$9,$I221/$I$207*Z$10,IF($F221&lt;Z$9,MIN($I221/$I$207,$I221-SUM($K221:Y221)),0))</f>
        <v>0</v>
      </c>
      <c r="AA221" s="20">
        <f>IF($F221=AA$9,$I221/$I$207*AA$10,IF($F221&lt;AA$9,MIN($I221/$I$207,$I221-SUM($K221:Z221)),0))</f>
        <v>0</v>
      </c>
      <c r="AB221" s="20">
        <f>IF($F221=AB$9,$I221/$I$207*AB$10,IF($F221&lt;AB$9,MIN($I221/$I$207,$I221-SUM($K221:AA221)),0))</f>
        <v>0</v>
      </c>
      <c r="AC221" s="20">
        <f>IF($F221=AC$9,$I221/$I$207*AC$10,IF($F221&lt;AC$9,MIN($I221/$I$207,$I221-SUM($K221:AB221)),0))</f>
        <v>0</v>
      </c>
      <c r="AD221" s="20">
        <f>IF($F221=AD$9,$I221/$I$207*AD$10,IF($F221&lt;AD$9,MIN($I221/$I$207,$I221-SUM($K221:AC221)),0))</f>
        <v>0</v>
      </c>
      <c r="AE221" s="20">
        <f>IF($F221=AE$9,$I221/$I$207*AE$10,IF($F221&lt;AE$9,MIN($I221/$I$207,$I221-SUM($K221:AD221)),0))</f>
        <v>0</v>
      </c>
      <c r="AF221" s="20">
        <f>IF($F221=AF$9,$I221/$I$207*AF$10,IF($F221&lt;AF$9,MIN($I221/$I$207,$I221-SUM($K221:AE221)),0))</f>
        <v>0</v>
      </c>
      <c r="AG221" s="20">
        <f>IF($F221=AG$9,$I221/$I$207*AG$10,IF($F221&lt;AG$9,MIN($I221/$I$207,$I221-SUM($K221:AF221)),0))</f>
        <v>0</v>
      </c>
      <c r="AH221" s="20">
        <f>IF($F221=AH$9,$I221/$I$207*AH$10,IF($F221&lt;AH$9,MIN($I221/$I$207,$I221-SUM($K221:AG221)),0))</f>
        <v>0</v>
      </c>
      <c r="AI221" s="20">
        <f>IF($F221=AI$9,$I221/$I$207*AI$10,IF($F221&lt;AI$9,MIN($I221/$I$207,$I221-SUM($K221:AH221)),0))</f>
        <v>0</v>
      </c>
      <c r="AJ221" s="20">
        <f>IF($F221=AJ$9,$I221/$I$207*AJ$10,IF($F221&lt;AJ$9,MIN($I221/$I$207,$I221-SUM($K221:AI221)),0))</f>
        <v>0</v>
      </c>
      <c r="AK221" s="20">
        <f>IF($F221=AK$9,$I221/$I$207*AK$10,IF($F221&lt;AK$9,MIN($I221/$I$207,$I221-SUM($K221:AJ221)),0))</f>
        <v>0</v>
      </c>
      <c r="AL221" s="20">
        <f>IF($F221=AL$9,$I221/$I$207*AL$10,IF($F221&lt;AL$9,MIN($I221/$I$207,$I221-SUM($K221:AK221)),0))</f>
        <v>0</v>
      </c>
      <c r="AM221" s="20">
        <f>IF($F221=AM$9,$I221/$I$207*AM$10,IF($F221&lt;AM$9,MIN($I221/$I$207,$I221-SUM($K221:AL221)),0))</f>
        <v>0</v>
      </c>
      <c r="AN221" s="20">
        <f>IF($F221=AN$9,$I221/$I$207*AN$10,IF($F221&lt;AN$9,MIN($I221/$I$207,$I221-SUM($K221:AM221)),0))</f>
        <v>0</v>
      </c>
      <c r="AO221" s="28"/>
    </row>
    <row r="222" spans="6:41" ht="14.4" customHeight="1" outlineLevel="1" x14ac:dyDescent="0.3">
      <c r="F222" s="69">
        <v>2037</v>
      </c>
      <c r="H222" s="26" t="s">
        <v>245</v>
      </c>
      <c r="I222" s="128">
        <v>0</v>
      </c>
      <c r="K222" s="89">
        <v>0</v>
      </c>
      <c r="L222" s="20">
        <f>IF($F222=L$9,$I222/$I$207*L$10,IF($F222&lt;L$9,MIN($I222/$I$207,$I222-SUM($K222:K222)),0))</f>
        <v>0</v>
      </c>
      <c r="M222" s="20">
        <f>IF($F222=M$9,$I222/$I$207*M$10,IF($F222&lt;M$9,MIN($I222/$I$207,$I222-SUM($K222:L222)),0))</f>
        <v>0</v>
      </c>
      <c r="N222" s="20">
        <f>IF($F222=N$9,$I222/$I$207*N$10,IF($F222&lt;N$9,MIN($I222/$I$207,$I222-SUM($K222:M222)),0))</f>
        <v>0</v>
      </c>
      <c r="O222" s="20">
        <f>IF($F222=O$9,$I222/$I$207*O$10,IF($F222&lt;O$9,MIN($I222/$I$207,$I222-SUM($K222:N222)),0))</f>
        <v>0</v>
      </c>
      <c r="P222" s="20">
        <f>IF($F222=P$9,$I222/$I$207*P$10,IF($F222&lt;P$9,MIN($I222/$I$207,$I222-SUM($K222:O222)),0))</f>
        <v>0</v>
      </c>
      <c r="Q222" s="20">
        <f>IF($F222=Q$9,$I222/$I$207*Q$10,IF($F222&lt;Q$9,MIN($I222/$I$207,$I222-SUM($K222:P222)),0))</f>
        <v>0</v>
      </c>
      <c r="R222" s="20">
        <f>IF($F222=R$9,$I222/$I$207*R$10,IF($F222&lt;R$9,MIN($I222/$I$207,$I222-SUM($K222:Q222)),0))</f>
        <v>0</v>
      </c>
      <c r="S222" s="20">
        <f>IF($F222=S$9,$I222/$I$207*S$10,IF($F222&lt;S$9,MIN($I222/$I$207,$I222-SUM($K222:R222)),0))</f>
        <v>0</v>
      </c>
      <c r="T222" s="20">
        <f>IF($F222=T$9,$I222/$I$207*T$10,IF($F222&lt;T$9,MIN($I222/$I$207,$I222-SUM($K222:S222)),0))</f>
        <v>0</v>
      </c>
      <c r="U222" s="20">
        <f>IF($F222=U$9,$I222/$I$207*U$10,IF($F222&lt;U$9,MIN($I222/$I$207,$I222-SUM($K222:T222)),0))</f>
        <v>0</v>
      </c>
      <c r="V222" s="20">
        <f>IF($F222=V$9,$I222/$I$207*V$10,IF($F222&lt;V$9,MIN($I222/$I$207,$I222-SUM($K222:U222)),0))</f>
        <v>0</v>
      </c>
      <c r="W222" s="20">
        <f>IF($F222=W$9,$I222/$I$207*W$10,IF($F222&lt;W$9,MIN($I222/$I$207,$I222-SUM($K222:V222)),0))</f>
        <v>0</v>
      </c>
      <c r="X222" s="20">
        <f>IF($F222=X$9,$I222/$I$207*X$10,IF($F222&lt;X$9,MIN($I222/$I$207,$I222-SUM($K222:W222)),0))</f>
        <v>0</v>
      </c>
      <c r="Y222" s="20">
        <f>IF($F222=Y$9,$I222/$I$207*Y$10,IF($F222&lt;Y$9,MIN($I222/$I$207,$I222-SUM($K222:X222)),0))</f>
        <v>0</v>
      </c>
      <c r="Z222" s="20">
        <f>IF($F222=Z$9,$I222/$I$207*Z$10,IF($F222&lt;Z$9,MIN($I222/$I$207,$I222-SUM($K222:Y222)),0))</f>
        <v>0</v>
      </c>
      <c r="AA222" s="20">
        <f>IF($F222=AA$9,$I222/$I$207*AA$10,IF($F222&lt;AA$9,MIN($I222/$I$207,$I222-SUM($K222:Z222)),0))</f>
        <v>0</v>
      </c>
      <c r="AB222" s="20">
        <f>IF($F222=AB$9,$I222/$I$207*AB$10,IF($F222&lt;AB$9,MIN($I222/$I$207,$I222-SUM($K222:AA222)),0))</f>
        <v>0</v>
      </c>
      <c r="AC222" s="20">
        <f>IF($F222=AC$9,$I222/$I$207*AC$10,IF($F222&lt;AC$9,MIN($I222/$I$207,$I222-SUM($K222:AB222)),0))</f>
        <v>0</v>
      </c>
      <c r="AD222" s="20">
        <f>IF($F222=AD$9,$I222/$I$207*AD$10,IF($F222&lt;AD$9,MIN($I222/$I$207,$I222-SUM($K222:AC222)),0))</f>
        <v>0</v>
      </c>
      <c r="AE222" s="20">
        <f>IF($F222=AE$9,$I222/$I$207*AE$10,IF($F222&lt;AE$9,MIN($I222/$I$207,$I222-SUM($K222:AD222)),0))</f>
        <v>0</v>
      </c>
      <c r="AF222" s="20">
        <f>IF($F222=AF$9,$I222/$I$207*AF$10,IF($F222&lt;AF$9,MIN($I222/$I$207,$I222-SUM($K222:AE222)),0))</f>
        <v>0</v>
      </c>
      <c r="AG222" s="20">
        <f>IF($F222=AG$9,$I222/$I$207*AG$10,IF($F222&lt;AG$9,MIN($I222/$I$207,$I222-SUM($K222:AF222)),0))</f>
        <v>0</v>
      </c>
      <c r="AH222" s="20">
        <f>IF($F222=AH$9,$I222/$I$207*AH$10,IF($F222&lt;AH$9,MIN($I222/$I$207,$I222-SUM($K222:AG222)),0))</f>
        <v>0</v>
      </c>
      <c r="AI222" s="20">
        <f>IF($F222=AI$9,$I222/$I$207*AI$10,IF($F222&lt;AI$9,MIN($I222/$I$207,$I222-SUM($K222:AH222)),0))</f>
        <v>0</v>
      </c>
      <c r="AJ222" s="20">
        <f>IF($F222=AJ$9,$I222/$I$207*AJ$10,IF($F222&lt;AJ$9,MIN($I222/$I$207,$I222-SUM($K222:AI222)),0))</f>
        <v>0</v>
      </c>
      <c r="AK222" s="20">
        <f>IF($F222=AK$9,$I222/$I$207*AK$10,IF($F222&lt;AK$9,MIN($I222/$I$207,$I222-SUM($K222:AJ222)),0))</f>
        <v>0</v>
      </c>
      <c r="AL222" s="20">
        <f>IF($F222=AL$9,$I222/$I$207*AL$10,IF($F222&lt;AL$9,MIN($I222/$I$207,$I222-SUM($K222:AK222)),0))</f>
        <v>0</v>
      </c>
      <c r="AM222" s="20">
        <f>IF($F222=AM$9,$I222/$I$207*AM$10,IF($F222&lt;AM$9,MIN($I222/$I$207,$I222-SUM($K222:AL222)),0))</f>
        <v>0</v>
      </c>
      <c r="AN222" s="20">
        <f>IF($F222=AN$9,$I222/$I$207*AN$10,IF($F222&lt;AN$9,MIN($I222/$I$207,$I222-SUM($K222:AM222)),0))</f>
        <v>0</v>
      </c>
      <c r="AO222" s="28"/>
    </row>
    <row r="223" spans="6:41" ht="14.4" customHeight="1" outlineLevel="1" x14ac:dyDescent="0.3">
      <c r="F223" s="69">
        <v>2038</v>
      </c>
      <c r="H223" s="26" t="s">
        <v>245</v>
      </c>
      <c r="I223" s="128">
        <v>0</v>
      </c>
      <c r="K223" s="89">
        <v>0</v>
      </c>
      <c r="L223" s="20">
        <f>IF($F223=L$9,$I223/$I$207*L$10,IF($F223&lt;L$9,MIN($I223/$I$207,$I223-SUM($K223:K223)),0))</f>
        <v>0</v>
      </c>
      <c r="M223" s="20">
        <f>IF($F223=M$9,$I223/$I$207*M$10,IF($F223&lt;M$9,MIN($I223/$I$207,$I223-SUM($K223:L223)),0))</f>
        <v>0</v>
      </c>
      <c r="N223" s="20">
        <f>IF($F223=N$9,$I223/$I$207*N$10,IF($F223&lt;N$9,MIN($I223/$I$207,$I223-SUM($K223:M223)),0))</f>
        <v>0</v>
      </c>
      <c r="O223" s="20">
        <f>IF($F223=O$9,$I223/$I$207*O$10,IF($F223&lt;O$9,MIN($I223/$I$207,$I223-SUM($K223:N223)),0))</f>
        <v>0</v>
      </c>
      <c r="P223" s="20">
        <f>IF($F223=P$9,$I223/$I$207*P$10,IF($F223&lt;P$9,MIN($I223/$I$207,$I223-SUM($K223:O223)),0))</f>
        <v>0</v>
      </c>
      <c r="Q223" s="20">
        <f>IF($F223=Q$9,$I223/$I$207*Q$10,IF($F223&lt;Q$9,MIN($I223/$I$207,$I223-SUM($K223:P223)),0))</f>
        <v>0</v>
      </c>
      <c r="R223" s="20">
        <f>IF($F223=R$9,$I223/$I$207*R$10,IF($F223&lt;R$9,MIN($I223/$I$207,$I223-SUM($K223:Q223)),0))</f>
        <v>0</v>
      </c>
      <c r="S223" s="20">
        <f>IF($F223=S$9,$I223/$I$207*S$10,IF($F223&lt;S$9,MIN($I223/$I$207,$I223-SUM($K223:R223)),0))</f>
        <v>0</v>
      </c>
      <c r="T223" s="20">
        <f>IF($F223=T$9,$I223/$I$207*T$10,IF($F223&lt;T$9,MIN($I223/$I$207,$I223-SUM($K223:S223)),0))</f>
        <v>0</v>
      </c>
      <c r="U223" s="20">
        <f>IF($F223=U$9,$I223/$I$207*U$10,IF($F223&lt;U$9,MIN($I223/$I$207,$I223-SUM($K223:T223)),0))</f>
        <v>0</v>
      </c>
      <c r="V223" s="20">
        <f>IF($F223=V$9,$I223/$I$207*V$10,IF($F223&lt;V$9,MIN($I223/$I$207,$I223-SUM($K223:U223)),0))</f>
        <v>0</v>
      </c>
      <c r="W223" s="20">
        <f>IF($F223=W$9,$I223/$I$207*W$10,IF($F223&lt;W$9,MIN($I223/$I$207,$I223-SUM($K223:V223)),0))</f>
        <v>0</v>
      </c>
      <c r="X223" s="20">
        <f>IF($F223=X$9,$I223/$I$207*X$10,IF($F223&lt;X$9,MIN($I223/$I$207,$I223-SUM($K223:W223)),0))</f>
        <v>0</v>
      </c>
      <c r="Y223" s="20">
        <f>IF($F223=Y$9,$I223/$I$207*Y$10,IF($F223&lt;Y$9,MIN($I223/$I$207,$I223-SUM($K223:X223)),0))</f>
        <v>0</v>
      </c>
      <c r="Z223" s="20">
        <f>IF($F223=Z$9,$I223/$I$207*Z$10,IF($F223&lt;Z$9,MIN($I223/$I$207,$I223-SUM($K223:Y223)),0))</f>
        <v>0</v>
      </c>
      <c r="AA223" s="20">
        <f>IF($F223=AA$9,$I223/$I$207*AA$10,IF($F223&lt;AA$9,MIN($I223/$I$207,$I223-SUM($K223:Z223)),0))</f>
        <v>0</v>
      </c>
      <c r="AB223" s="20">
        <f>IF($F223=AB$9,$I223/$I$207*AB$10,IF($F223&lt;AB$9,MIN($I223/$I$207,$I223-SUM($K223:AA223)),0))</f>
        <v>0</v>
      </c>
      <c r="AC223" s="20">
        <f>IF($F223=AC$9,$I223/$I$207*AC$10,IF($F223&lt;AC$9,MIN($I223/$I$207,$I223-SUM($K223:AB223)),0))</f>
        <v>0</v>
      </c>
      <c r="AD223" s="20">
        <f>IF($F223=AD$9,$I223/$I$207*AD$10,IF($F223&lt;AD$9,MIN($I223/$I$207,$I223-SUM($K223:AC223)),0))</f>
        <v>0</v>
      </c>
      <c r="AE223" s="20">
        <f>IF($F223=AE$9,$I223/$I$207*AE$10,IF($F223&lt;AE$9,MIN($I223/$I$207,$I223-SUM($K223:AD223)),0))</f>
        <v>0</v>
      </c>
      <c r="AF223" s="20">
        <f>IF($F223=AF$9,$I223/$I$207*AF$10,IF($F223&lt;AF$9,MIN($I223/$I$207,$I223-SUM($K223:AE223)),0))</f>
        <v>0</v>
      </c>
      <c r="AG223" s="20">
        <f>IF($F223=AG$9,$I223/$I$207*AG$10,IF($F223&lt;AG$9,MIN($I223/$I$207,$I223-SUM($K223:AF223)),0))</f>
        <v>0</v>
      </c>
      <c r="AH223" s="20">
        <f>IF($F223=AH$9,$I223/$I$207*AH$10,IF($F223&lt;AH$9,MIN($I223/$I$207,$I223-SUM($K223:AG223)),0))</f>
        <v>0</v>
      </c>
      <c r="AI223" s="20">
        <f>IF($F223=AI$9,$I223/$I$207*AI$10,IF($F223&lt;AI$9,MIN($I223/$I$207,$I223-SUM($K223:AH223)),0))</f>
        <v>0</v>
      </c>
      <c r="AJ223" s="20">
        <f>IF($F223=AJ$9,$I223/$I$207*AJ$10,IF($F223&lt;AJ$9,MIN($I223/$I$207,$I223-SUM($K223:AI223)),0))</f>
        <v>0</v>
      </c>
      <c r="AK223" s="20">
        <f>IF($F223=AK$9,$I223/$I$207*AK$10,IF($F223&lt;AK$9,MIN($I223/$I$207,$I223-SUM($K223:AJ223)),0))</f>
        <v>0</v>
      </c>
      <c r="AL223" s="20">
        <f>IF($F223=AL$9,$I223/$I$207*AL$10,IF($F223&lt;AL$9,MIN($I223/$I$207,$I223-SUM($K223:AK223)),0))</f>
        <v>0</v>
      </c>
      <c r="AM223" s="20">
        <f>IF($F223=AM$9,$I223/$I$207*AM$10,IF($F223&lt;AM$9,MIN($I223/$I$207,$I223-SUM($K223:AL223)),0))</f>
        <v>0</v>
      </c>
      <c r="AN223" s="20">
        <f>IF($F223=AN$9,$I223/$I$207*AN$10,IF($F223&lt;AN$9,MIN($I223/$I$207,$I223-SUM($K223:AM223)),0))</f>
        <v>0</v>
      </c>
      <c r="AO223" s="28"/>
    </row>
    <row r="224" spans="6:41" ht="14.4" customHeight="1" outlineLevel="1" x14ac:dyDescent="0.3">
      <c r="F224" s="69">
        <v>2039</v>
      </c>
      <c r="H224" s="26" t="s">
        <v>245</v>
      </c>
      <c r="I224" s="128">
        <v>0</v>
      </c>
      <c r="K224" s="89">
        <v>0</v>
      </c>
      <c r="L224" s="20">
        <f>IF($F224=L$9,$I224/$I$207*L$10,IF($F224&lt;L$9,MIN($I224/$I$207,$I224-SUM($K224:K224)),0))</f>
        <v>0</v>
      </c>
      <c r="M224" s="20">
        <f>IF($F224=M$9,$I224/$I$207*M$10,IF($F224&lt;M$9,MIN($I224/$I$207,$I224-SUM($K224:L224)),0))</f>
        <v>0</v>
      </c>
      <c r="N224" s="20">
        <f>IF($F224=N$9,$I224/$I$207*N$10,IF($F224&lt;N$9,MIN($I224/$I$207,$I224-SUM($K224:M224)),0))</f>
        <v>0</v>
      </c>
      <c r="O224" s="20">
        <f>IF($F224=O$9,$I224/$I$207*O$10,IF($F224&lt;O$9,MIN($I224/$I$207,$I224-SUM($K224:N224)),0))</f>
        <v>0</v>
      </c>
      <c r="P224" s="20">
        <f>IF($F224=P$9,$I224/$I$207*P$10,IF($F224&lt;P$9,MIN($I224/$I$207,$I224-SUM($K224:O224)),0))</f>
        <v>0</v>
      </c>
      <c r="Q224" s="20">
        <f>IF($F224=Q$9,$I224/$I$207*Q$10,IF($F224&lt;Q$9,MIN($I224/$I$207,$I224-SUM($K224:P224)),0))</f>
        <v>0</v>
      </c>
      <c r="R224" s="20">
        <f>IF($F224=R$9,$I224/$I$207*R$10,IF($F224&lt;R$9,MIN($I224/$I$207,$I224-SUM($K224:Q224)),0))</f>
        <v>0</v>
      </c>
      <c r="S224" s="20">
        <f>IF($F224=S$9,$I224/$I$207*S$10,IF($F224&lt;S$9,MIN($I224/$I$207,$I224-SUM($K224:R224)),0))</f>
        <v>0</v>
      </c>
      <c r="T224" s="20">
        <f>IF($F224=T$9,$I224/$I$207*T$10,IF($F224&lt;T$9,MIN($I224/$I$207,$I224-SUM($K224:S224)),0))</f>
        <v>0</v>
      </c>
      <c r="U224" s="20">
        <f>IF($F224=U$9,$I224/$I$207*U$10,IF($F224&lt;U$9,MIN($I224/$I$207,$I224-SUM($K224:T224)),0))</f>
        <v>0</v>
      </c>
      <c r="V224" s="20">
        <f>IF($F224=V$9,$I224/$I$207*V$10,IF($F224&lt;V$9,MIN($I224/$I$207,$I224-SUM($K224:U224)),0))</f>
        <v>0</v>
      </c>
      <c r="W224" s="20">
        <f>IF($F224=W$9,$I224/$I$207*W$10,IF($F224&lt;W$9,MIN($I224/$I$207,$I224-SUM($K224:V224)),0))</f>
        <v>0</v>
      </c>
      <c r="X224" s="20">
        <f>IF($F224=X$9,$I224/$I$207*X$10,IF($F224&lt;X$9,MIN($I224/$I$207,$I224-SUM($K224:W224)),0))</f>
        <v>0</v>
      </c>
      <c r="Y224" s="20">
        <f>IF($F224=Y$9,$I224/$I$207*Y$10,IF($F224&lt;Y$9,MIN($I224/$I$207,$I224-SUM($K224:X224)),0))</f>
        <v>0</v>
      </c>
      <c r="Z224" s="20">
        <f>IF($F224=Z$9,$I224/$I$207*Z$10,IF($F224&lt;Z$9,MIN($I224/$I$207,$I224-SUM($K224:Y224)),0))</f>
        <v>0</v>
      </c>
      <c r="AA224" s="20">
        <f>IF($F224=AA$9,$I224/$I$207*AA$10,IF($F224&lt;AA$9,MIN($I224/$I$207,$I224-SUM($K224:Z224)),0))</f>
        <v>0</v>
      </c>
      <c r="AB224" s="20">
        <f>IF($F224=AB$9,$I224/$I$207*AB$10,IF($F224&lt;AB$9,MIN($I224/$I$207,$I224-SUM($K224:AA224)),0))</f>
        <v>0</v>
      </c>
      <c r="AC224" s="20">
        <f>IF($F224=AC$9,$I224/$I$207*AC$10,IF($F224&lt;AC$9,MIN($I224/$I$207,$I224-SUM($K224:AB224)),0))</f>
        <v>0</v>
      </c>
      <c r="AD224" s="20">
        <f>IF($F224=AD$9,$I224/$I$207*AD$10,IF($F224&lt;AD$9,MIN($I224/$I$207,$I224-SUM($K224:AC224)),0))</f>
        <v>0</v>
      </c>
      <c r="AE224" s="20">
        <f>IF($F224=AE$9,$I224/$I$207*AE$10,IF($F224&lt;AE$9,MIN($I224/$I$207,$I224-SUM($K224:AD224)),0))</f>
        <v>0</v>
      </c>
      <c r="AF224" s="20">
        <f>IF($F224=AF$9,$I224/$I$207*AF$10,IF($F224&lt;AF$9,MIN($I224/$I$207,$I224-SUM($K224:AE224)),0))</f>
        <v>0</v>
      </c>
      <c r="AG224" s="20">
        <f>IF($F224=AG$9,$I224/$I$207*AG$10,IF($F224&lt;AG$9,MIN($I224/$I$207,$I224-SUM($K224:AF224)),0))</f>
        <v>0</v>
      </c>
      <c r="AH224" s="20">
        <f>IF($F224=AH$9,$I224/$I$207*AH$10,IF($F224&lt;AH$9,MIN($I224/$I$207,$I224-SUM($K224:AG224)),0))</f>
        <v>0</v>
      </c>
      <c r="AI224" s="20">
        <f>IF($F224=AI$9,$I224/$I$207*AI$10,IF($F224&lt;AI$9,MIN($I224/$I$207,$I224-SUM($K224:AH224)),0))</f>
        <v>0</v>
      </c>
      <c r="AJ224" s="20">
        <f>IF($F224=AJ$9,$I224/$I$207*AJ$10,IF($F224&lt;AJ$9,MIN($I224/$I$207,$I224-SUM($K224:AI224)),0))</f>
        <v>0</v>
      </c>
      <c r="AK224" s="20">
        <f>IF($F224=AK$9,$I224/$I$207*AK$10,IF($F224&lt;AK$9,MIN($I224/$I$207,$I224-SUM($K224:AJ224)),0))</f>
        <v>0</v>
      </c>
      <c r="AL224" s="20">
        <f>IF($F224=AL$9,$I224/$I$207*AL$10,IF($F224&lt;AL$9,MIN($I224/$I$207,$I224-SUM($K224:AK224)),0))</f>
        <v>0</v>
      </c>
      <c r="AM224" s="20">
        <f>IF($F224=AM$9,$I224/$I$207*AM$10,IF($F224&lt;AM$9,MIN($I224/$I$207,$I224-SUM($K224:AL224)),0))</f>
        <v>0</v>
      </c>
      <c r="AN224" s="20">
        <f>IF($F224=AN$9,$I224/$I$207*AN$10,IF($F224&lt;AN$9,MIN($I224/$I$207,$I224-SUM($K224:AM224)),0))</f>
        <v>0</v>
      </c>
      <c r="AO224" s="28"/>
    </row>
    <row r="225" spans="3:41" ht="14.4" customHeight="1" outlineLevel="1" x14ac:dyDescent="0.3">
      <c r="F225" s="69">
        <v>2040</v>
      </c>
      <c r="H225" s="26" t="s">
        <v>245</v>
      </c>
      <c r="I225" s="128">
        <v>0</v>
      </c>
      <c r="K225" s="89">
        <v>0</v>
      </c>
      <c r="L225" s="20">
        <f>IF($F225=L$9,$I225/$I$207*L$10,IF($F225&lt;L$9,MIN($I225/$I$207,$I225-SUM($K225:K225)),0))</f>
        <v>0</v>
      </c>
      <c r="M225" s="20">
        <f>IF($F225=M$9,$I225/$I$207*M$10,IF($F225&lt;M$9,MIN($I225/$I$207,$I225-SUM($K225:L225)),0))</f>
        <v>0</v>
      </c>
      <c r="N225" s="20">
        <f>IF($F225=N$9,$I225/$I$207*N$10,IF($F225&lt;N$9,MIN($I225/$I$207,$I225-SUM($K225:M225)),0))</f>
        <v>0</v>
      </c>
      <c r="O225" s="20">
        <f>IF($F225=O$9,$I225/$I$207*O$10,IF($F225&lt;O$9,MIN($I225/$I$207,$I225-SUM($K225:N225)),0))</f>
        <v>0</v>
      </c>
      <c r="P225" s="20">
        <f>IF($F225=P$9,$I225/$I$207*P$10,IF($F225&lt;P$9,MIN($I225/$I$207,$I225-SUM($K225:O225)),0))</f>
        <v>0</v>
      </c>
      <c r="Q225" s="20">
        <f>IF($F225=Q$9,$I225/$I$207*Q$10,IF($F225&lt;Q$9,MIN($I225/$I$207,$I225-SUM($K225:P225)),0))</f>
        <v>0</v>
      </c>
      <c r="R225" s="20">
        <f>IF($F225=R$9,$I225/$I$207*R$10,IF($F225&lt;R$9,MIN($I225/$I$207,$I225-SUM($K225:Q225)),0))</f>
        <v>0</v>
      </c>
      <c r="S225" s="20">
        <f>IF($F225=S$9,$I225/$I$207*S$10,IF($F225&lt;S$9,MIN($I225/$I$207,$I225-SUM($K225:R225)),0))</f>
        <v>0</v>
      </c>
      <c r="T225" s="20">
        <f>IF($F225=T$9,$I225/$I$207*T$10,IF($F225&lt;T$9,MIN($I225/$I$207,$I225-SUM($K225:S225)),0))</f>
        <v>0</v>
      </c>
      <c r="U225" s="20">
        <f>IF($F225=U$9,$I225/$I$207*U$10,IF($F225&lt;U$9,MIN($I225/$I$207,$I225-SUM($K225:T225)),0))</f>
        <v>0</v>
      </c>
      <c r="V225" s="20">
        <f>IF($F225=V$9,$I225/$I$207*V$10,IF($F225&lt;V$9,MIN($I225/$I$207,$I225-SUM($K225:U225)),0))</f>
        <v>0</v>
      </c>
      <c r="W225" s="20">
        <f>IF($F225=W$9,$I225/$I$207*W$10,IF($F225&lt;W$9,MIN($I225/$I$207,$I225-SUM($K225:V225)),0))</f>
        <v>0</v>
      </c>
      <c r="X225" s="20">
        <f>IF($F225=X$9,$I225/$I$207*X$10,IF($F225&lt;X$9,MIN($I225/$I$207,$I225-SUM($K225:W225)),0))</f>
        <v>0</v>
      </c>
      <c r="Y225" s="20">
        <f>IF($F225=Y$9,$I225/$I$207*Y$10,IF($F225&lt;Y$9,MIN($I225/$I$207,$I225-SUM($K225:X225)),0))</f>
        <v>0</v>
      </c>
      <c r="Z225" s="20">
        <f>IF($F225=Z$9,$I225/$I$207*Z$10,IF($F225&lt;Z$9,MIN($I225/$I$207,$I225-SUM($K225:Y225)),0))</f>
        <v>0</v>
      </c>
      <c r="AA225" s="20">
        <f>IF($F225=AA$9,$I225/$I$207*AA$10,IF($F225&lt;AA$9,MIN($I225/$I$207,$I225-SUM($K225:Z225)),0))</f>
        <v>0</v>
      </c>
      <c r="AB225" s="20">
        <f>IF($F225=AB$9,$I225/$I$207*AB$10,IF($F225&lt;AB$9,MIN($I225/$I$207,$I225-SUM($K225:AA225)),0))</f>
        <v>0</v>
      </c>
      <c r="AC225" s="20">
        <f>IF($F225=AC$9,$I225/$I$207*AC$10,IF($F225&lt;AC$9,MIN($I225/$I$207,$I225-SUM($K225:AB225)),0))</f>
        <v>0</v>
      </c>
      <c r="AD225" s="20">
        <f>IF($F225=AD$9,$I225/$I$207*AD$10,IF($F225&lt;AD$9,MIN($I225/$I$207,$I225-SUM($K225:AC225)),0))</f>
        <v>0</v>
      </c>
      <c r="AE225" s="20">
        <f>IF($F225=AE$9,$I225/$I$207*AE$10,IF($F225&lt;AE$9,MIN($I225/$I$207,$I225-SUM($K225:AD225)),0))</f>
        <v>0</v>
      </c>
      <c r="AF225" s="20">
        <f>IF($F225=AF$9,$I225/$I$207*AF$10,IF($F225&lt;AF$9,MIN($I225/$I$207,$I225-SUM($K225:AE225)),0))</f>
        <v>0</v>
      </c>
      <c r="AG225" s="20">
        <f>IF($F225=AG$9,$I225/$I$207*AG$10,IF($F225&lt;AG$9,MIN($I225/$I$207,$I225-SUM($K225:AF225)),0))</f>
        <v>0</v>
      </c>
      <c r="AH225" s="20">
        <f>IF($F225=AH$9,$I225/$I$207*AH$10,IF($F225&lt;AH$9,MIN($I225/$I$207,$I225-SUM($K225:AG225)),0))</f>
        <v>0</v>
      </c>
      <c r="AI225" s="20">
        <f>IF($F225=AI$9,$I225/$I$207*AI$10,IF($F225&lt;AI$9,MIN($I225/$I$207,$I225-SUM($K225:AH225)),0))</f>
        <v>0</v>
      </c>
      <c r="AJ225" s="20">
        <f>IF($F225=AJ$9,$I225/$I$207*AJ$10,IF($F225&lt;AJ$9,MIN($I225/$I$207,$I225-SUM($K225:AI225)),0))</f>
        <v>0</v>
      </c>
      <c r="AK225" s="20">
        <f>IF($F225=AK$9,$I225/$I$207*AK$10,IF($F225&lt;AK$9,MIN($I225/$I$207,$I225-SUM($K225:AJ225)),0))</f>
        <v>0</v>
      </c>
      <c r="AL225" s="20">
        <f>IF($F225=AL$9,$I225/$I$207*AL$10,IF($F225&lt;AL$9,MIN($I225/$I$207,$I225-SUM($K225:AK225)),0))</f>
        <v>0</v>
      </c>
      <c r="AM225" s="20">
        <f>IF($F225=AM$9,$I225/$I$207*AM$10,IF($F225&lt;AM$9,MIN($I225/$I$207,$I225-SUM($K225:AL225)),0))</f>
        <v>0</v>
      </c>
      <c r="AN225" s="20">
        <f>IF($F225=AN$9,$I225/$I$207*AN$10,IF($F225&lt;AN$9,MIN($I225/$I$207,$I225-SUM($K225:AM225)),0))</f>
        <v>0</v>
      </c>
      <c r="AO225" s="28"/>
    </row>
    <row r="226" spans="3:41" ht="14.4" customHeight="1" outlineLevel="1" x14ac:dyDescent="0.3">
      <c r="F226" s="69">
        <v>2041</v>
      </c>
      <c r="H226" s="26" t="s">
        <v>245</v>
      </c>
      <c r="I226" s="128">
        <v>0</v>
      </c>
      <c r="K226" s="89">
        <v>0</v>
      </c>
      <c r="L226" s="20">
        <f>IF($F226=L$9,$I226/$I$207*L$10,IF($F226&lt;L$9,MIN($I226/$I$207,$I226-SUM($K226:K226)),0))</f>
        <v>0</v>
      </c>
      <c r="M226" s="20">
        <f>IF($F226=M$9,$I226/$I$207*M$10,IF($F226&lt;M$9,MIN($I226/$I$207,$I226-SUM($K226:L226)),0))</f>
        <v>0</v>
      </c>
      <c r="N226" s="20">
        <f>IF($F226=N$9,$I226/$I$207*N$10,IF($F226&lt;N$9,MIN($I226/$I$207,$I226-SUM($K226:M226)),0))</f>
        <v>0</v>
      </c>
      <c r="O226" s="20">
        <f>IF($F226=O$9,$I226/$I$207*O$10,IF($F226&lt;O$9,MIN($I226/$I$207,$I226-SUM($K226:N226)),0))</f>
        <v>0</v>
      </c>
      <c r="P226" s="20">
        <f>IF($F226=P$9,$I226/$I$207*P$10,IF($F226&lt;P$9,MIN($I226/$I$207,$I226-SUM($K226:O226)),0))</f>
        <v>0</v>
      </c>
      <c r="Q226" s="20">
        <f>IF($F226=Q$9,$I226/$I$207*Q$10,IF($F226&lt;Q$9,MIN($I226/$I$207,$I226-SUM($K226:P226)),0))</f>
        <v>0</v>
      </c>
      <c r="R226" s="20">
        <f>IF($F226=R$9,$I226/$I$207*R$10,IF($F226&lt;R$9,MIN($I226/$I$207,$I226-SUM($K226:Q226)),0))</f>
        <v>0</v>
      </c>
      <c r="S226" s="20">
        <f>IF($F226=S$9,$I226/$I$207*S$10,IF($F226&lt;S$9,MIN($I226/$I$207,$I226-SUM($K226:R226)),0))</f>
        <v>0</v>
      </c>
      <c r="T226" s="20">
        <f>IF($F226=T$9,$I226/$I$207*T$10,IF($F226&lt;T$9,MIN($I226/$I$207,$I226-SUM($K226:S226)),0))</f>
        <v>0</v>
      </c>
      <c r="U226" s="20">
        <f>IF($F226=U$9,$I226/$I$207*U$10,IF($F226&lt;U$9,MIN($I226/$I$207,$I226-SUM($K226:T226)),0))</f>
        <v>0</v>
      </c>
      <c r="V226" s="20">
        <f>IF($F226=V$9,$I226/$I$207*V$10,IF($F226&lt;V$9,MIN($I226/$I$207,$I226-SUM($K226:U226)),0))</f>
        <v>0</v>
      </c>
      <c r="W226" s="20">
        <f>IF($F226=W$9,$I226/$I$207*W$10,IF($F226&lt;W$9,MIN($I226/$I$207,$I226-SUM($K226:V226)),0))</f>
        <v>0</v>
      </c>
      <c r="X226" s="20">
        <f>IF($F226=X$9,$I226/$I$207*X$10,IF($F226&lt;X$9,MIN($I226/$I$207,$I226-SUM($K226:W226)),0))</f>
        <v>0</v>
      </c>
      <c r="Y226" s="20">
        <f>IF($F226=Y$9,$I226/$I$207*Y$10,IF($F226&lt;Y$9,MIN($I226/$I$207,$I226-SUM($K226:X226)),0))</f>
        <v>0</v>
      </c>
      <c r="Z226" s="20">
        <f>IF($F226=Z$9,$I226/$I$207*Z$10,IF($F226&lt;Z$9,MIN($I226/$I$207,$I226-SUM($K226:Y226)),0))</f>
        <v>0</v>
      </c>
      <c r="AA226" s="20">
        <f>IF($F226=AA$9,$I226/$I$207*AA$10,IF($F226&lt;AA$9,MIN($I226/$I$207,$I226-SUM($K226:Z226)),0))</f>
        <v>0</v>
      </c>
      <c r="AB226" s="20">
        <f>IF($F226=AB$9,$I226/$I$207*AB$10,IF($F226&lt;AB$9,MIN($I226/$I$207,$I226-SUM($K226:AA226)),0))</f>
        <v>0</v>
      </c>
      <c r="AC226" s="20">
        <f>IF($F226=AC$9,$I226/$I$207*AC$10,IF($F226&lt;AC$9,MIN($I226/$I$207,$I226-SUM($K226:AB226)),0))</f>
        <v>0</v>
      </c>
      <c r="AD226" s="20">
        <f>IF($F226=AD$9,$I226/$I$207*AD$10,IF($F226&lt;AD$9,MIN($I226/$I$207,$I226-SUM($K226:AC226)),0))</f>
        <v>0</v>
      </c>
      <c r="AE226" s="20">
        <f>IF($F226=AE$9,$I226/$I$207*AE$10,IF($F226&lt;AE$9,MIN($I226/$I$207,$I226-SUM($K226:AD226)),0))</f>
        <v>0</v>
      </c>
      <c r="AF226" s="20">
        <f>IF($F226=AF$9,$I226/$I$207*AF$10,IF($F226&lt;AF$9,MIN($I226/$I$207,$I226-SUM($K226:AE226)),0))</f>
        <v>0</v>
      </c>
      <c r="AG226" s="20">
        <f>IF($F226=AG$9,$I226/$I$207*AG$10,IF($F226&lt;AG$9,MIN($I226/$I$207,$I226-SUM($K226:AF226)),0))</f>
        <v>0</v>
      </c>
      <c r="AH226" s="20">
        <f>IF($F226=AH$9,$I226/$I$207*AH$10,IF($F226&lt;AH$9,MIN($I226/$I$207,$I226-SUM($K226:AG226)),0))</f>
        <v>0</v>
      </c>
      <c r="AI226" s="20">
        <f>IF($F226=AI$9,$I226/$I$207*AI$10,IF($F226&lt;AI$9,MIN($I226/$I$207,$I226-SUM($K226:AH226)),0))</f>
        <v>0</v>
      </c>
      <c r="AJ226" s="20">
        <f>IF($F226=AJ$9,$I226/$I$207*AJ$10,IF($F226&lt;AJ$9,MIN($I226/$I$207,$I226-SUM($K226:AI226)),0))</f>
        <v>0</v>
      </c>
      <c r="AK226" s="20">
        <f>IF($F226=AK$9,$I226/$I$207*AK$10,IF($F226&lt;AK$9,MIN($I226/$I$207,$I226-SUM($K226:AJ226)),0))</f>
        <v>0</v>
      </c>
      <c r="AL226" s="20">
        <f>IF($F226=AL$9,$I226/$I$207*AL$10,IF($F226&lt;AL$9,MIN($I226/$I$207,$I226-SUM($K226:AK226)),0))</f>
        <v>0</v>
      </c>
      <c r="AM226" s="20">
        <f>IF($F226=AM$9,$I226/$I$207*AM$10,IF($F226&lt;AM$9,MIN($I226/$I$207,$I226-SUM($K226:AL226)),0))</f>
        <v>0</v>
      </c>
      <c r="AN226" s="20">
        <f>IF($F226=AN$9,$I226/$I$207*AN$10,IF($F226&lt;AN$9,MIN($I226/$I$207,$I226-SUM($K226:AM226)),0))</f>
        <v>0</v>
      </c>
      <c r="AO226" s="28"/>
    </row>
    <row r="227" spans="3:41" ht="14.4" customHeight="1" outlineLevel="1" x14ac:dyDescent="0.3">
      <c r="F227" s="69" t="str">
        <v/>
      </c>
      <c r="H227" s="26" t="s">
        <v>245</v>
      </c>
      <c r="I227" s="128">
        <v>0</v>
      </c>
      <c r="K227" s="89">
        <v>0</v>
      </c>
      <c r="L227" s="20">
        <f>IF($F227=L$9,$I227/$I$207*L$10,IF($F227&lt;L$9,MIN($I227/$I$207,$I227-SUM($K227:K227)),0))</f>
        <v>0</v>
      </c>
      <c r="M227" s="20">
        <f>IF($F227=M$9,$I227/$I$207*M$10,IF($F227&lt;M$9,MIN($I227/$I$207,$I227-SUM($K227:L227)),0))</f>
        <v>0</v>
      </c>
      <c r="N227" s="20">
        <f>IF($F227=N$9,$I227/$I$207*N$10,IF($F227&lt;N$9,MIN($I227/$I$207,$I227-SUM($K227:M227)),0))</f>
        <v>0</v>
      </c>
      <c r="O227" s="20">
        <f>IF($F227=O$9,$I227/$I$207*O$10,IF($F227&lt;O$9,MIN($I227/$I$207,$I227-SUM($K227:N227)),0))</f>
        <v>0</v>
      </c>
      <c r="P227" s="20">
        <f>IF($F227=P$9,$I227/$I$207*P$10,IF($F227&lt;P$9,MIN($I227/$I$207,$I227-SUM($K227:O227)),0))</f>
        <v>0</v>
      </c>
      <c r="Q227" s="20">
        <f>IF($F227=Q$9,$I227/$I$207*Q$10,IF($F227&lt;Q$9,MIN($I227/$I$207,$I227-SUM($K227:P227)),0))</f>
        <v>0</v>
      </c>
      <c r="R227" s="20">
        <f>IF($F227=R$9,$I227/$I$207*R$10,IF($F227&lt;R$9,MIN($I227/$I$207,$I227-SUM($K227:Q227)),0))</f>
        <v>0</v>
      </c>
      <c r="S227" s="20">
        <f>IF($F227=S$9,$I227/$I$207*S$10,IF($F227&lt;S$9,MIN($I227/$I$207,$I227-SUM($K227:R227)),0))</f>
        <v>0</v>
      </c>
      <c r="T227" s="20">
        <f>IF($F227=T$9,$I227/$I$207*T$10,IF($F227&lt;T$9,MIN($I227/$I$207,$I227-SUM($K227:S227)),0))</f>
        <v>0</v>
      </c>
      <c r="U227" s="20">
        <f>IF($F227=U$9,$I227/$I$207*U$10,IF($F227&lt;U$9,MIN($I227/$I$207,$I227-SUM($K227:T227)),0))</f>
        <v>0</v>
      </c>
      <c r="V227" s="20">
        <f>IF($F227=V$9,$I227/$I$207*V$10,IF($F227&lt;V$9,MIN($I227/$I$207,$I227-SUM($K227:U227)),0))</f>
        <v>0</v>
      </c>
      <c r="W227" s="20">
        <f>IF($F227=W$9,$I227/$I$207*W$10,IF($F227&lt;W$9,MIN($I227/$I$207,$I227-SUM($K227:V227)),0))</f>
        <v>0</v>
      </c>
      <c r="X227" s="20">
        <f>IF($F227=X$9,$I227/$I$207*X$10,IF($F227&lt;X$9,MIN($I227/$I$207,$I227-SUM($K227:W227)),0))</f>
        <v>0</v>
      </c>
      <c r="Y227" s="20">
        <f>IF($F227=Y$9,$I227/$I$207*Y$10,IF($F227&lt;Y$9,MIN($I227/$I$207,$I227-SUM($K227:X227)),0))</f>
        <v>0</v>
      </c>
      <c r="Z227" s="20">
        <f>IF($F227=Z$9,$I227/$I$207*Z$10,IF($F227&lt;Z$9,MIN($I227/$I$207,$I227-SUM($K227:Y227)),0))</f>
        <v>0</v>
      </c>
      <c r="AA227" s="20">
        <f>IF($F227=AA$9,$I227/$I$207*AA$10,IF($F227&lt;AA$9,MIN($I227/$I$207,$I227-SUM($K227:Z227)),0))</f>
        <v>0</v>
      </c>
      <c r="AB227" s="20">
        <f>IF($F227=AB$9,$I227/$I$207*AB$10,IF($F227&lt;AB$9,MIN($I227/$I$207,$I227-SUM($K227:AA227)),0))</f>
        <v>0</v>
      </c>
      <c r="AC227" s="20">
        <f>IF($F227=AC$9,$I227/$I$207*AC$10,IF($F227&lt;AC$9,MIN($I227/$I$207,$I227-SUM($K227:AB227)),0))</f>
        <v>0</v>
      </c>
      <c r="AD227" s="20">
        <f>IF($F227=AD$9,$I227/$I$207*AD$10,IF($F227&lt;AD$9,MIN($I227/$I$207,$I227-SUM($K227:AC227)),0))</f>
        <v>0</v>
      </c>
      <c r="AE227" s="20">
        <f>IF($F227=AE$9,$I227/$I$207*AE$10,IF($F227&lt;AE$9,MIN($I227/$I$207,$I227-SUM($K227:AD227)),0))</f>
        <v>0</v>
      </c>
      <c r="AF227" s="20">
        <f>IF($F227=AF$9,$I227/$I$207*AF$10,IF($F227&lt;AF$9,MIN($I227/$I$207,$I227-SUM($K227:AE227)),0))</f>
        <v>0</v>
      </c>
      <c r="AG227" s="20">
        <f>IF($F227=AG$9,$I227/$I$207*AG$10,IF($F227&lt;AG$9,MIN($I227/$I$207,$I227-SUM($K227:AF227)),0))</f>
        <v>0</v>
      </c>
      <c r="AH227" s="20">
        <f>IF($F227=AH$9,$I227/$I$207*AH$10,IF($F227&lt;AH$9,MIN($I227/$I$207,$I227-SUM($K227:AG227)),0))</f>
        <v>0</v>
      </c>
      <c r="AI227" s="20">
        <f>IF($F227=AI$9,$I227/$I$207*AI$10,IF($F227&lt;AI$9,MIN($I227/$I$207,$I227-SUM($K227:AH227)),0))</f>
        <v>0</v>
      </c>
      <c r="AJ227" s="20">
        <f>IF($F227=AJ$9,$I227/$I$207*AJ$10,IF($F227&lt;AJ$9,MIN($I227/$I$207,$I227-SUM($K227:AI227)),0))</f>
        <v>0</v>
      </c>
      <c r="AK227" s="20">
        <f>IF($F227=AK$9,$I227/$I$207*AK$10,IF($F227&lt;AK$9,MIN($I227/$I$207,$I227-SUM($K227:AJ227)),0))</f>
        <v>0</v>
      </c>
      <c r="AL227" s="20">
        <f>IF($F227=AL$9,$I227/$I$207*AL$10,IF($F227&lt;AL$9,MIN($I227/$I$207,$I227-SUM($K227:AK227)),0))</f>
        <v>0</v>
      </c>
      <c r="AM227" s="20">
        <f>IF($F227=AM$9,$I227/$I$207*AM$10,IF($F227&lt;AM$9,MIN($I227/$I$207,$I227-SUM($K227:AL227)),0))</f>
        <v>0</v>
      </c>
      <c r="AN227" s="20">
        <f>IF($F227=AN$9,$I227/$I$207*AN$10,IF($F227&lt;AN$9,MIN($I227/$I$207,$I227-SUM($K227:AM227)),0))</f>
        <v>0</v>
      </c>
      <c r="AO227" s="28"/>
    </row>
    <row r="228" spans="3:41" ht="14.4" customHeight="1" outlineLevel="1" x14ac:dyDescent="0.3">
      <c r="F228" s="69" t="str">
        <v/>
      </c>
      <c r="H228" s="26" t="s">
        <v>245</v>
      </c>
      <c r="I228" s="128">
        <v>0</v>
      </c>
      <c r="K228" s="89">
        <v>0</v>
      </c>
      <c r="L228" s="20">
        <f>IF($F228=L$9,$I228/$I$207*L$10,IF($F228&lt;L$9,MIN($I228/$I$207,$I228-SUM($K228:K228)),0))</f>
        <v>0</v>
      </c>
      <c r="M228" s="20">
        <f>IF($F228=M$9,$I228/$I$207*M$10,IF($F228&lt;M$9,MIN($I228/$I$207,$I228-SUM($K228:L228)),0))</f>
        <v>0</v>
      </c>
      <c r="N228" s="20">
        <f>IF($F228=N$9,$I228/$I$207*N$10,IF($F228&lt;N$9,MIN($I228/$I$207,$I228-SUM($K228:M228)),0))</f>
        <v>0</v>
      </c>
      <c r="O228" s="20">
        <f>IF($F228=O$9,$I228/$I$207*O$10,IF($F228&lt;O$9,MIN($I228/$I$207,$I228-SUM($K228:N228)),0))</f>
        <v>0</v>
      </c>
      <c r="P228" s="20">
        <f>IF($F228=P$9,$I228/$I$207*P$10,IF($F228&lt;P$9,MIN($I228/$I$207,$I228-SUM($K228:O228)),0))</f>
        <v>0</v>
      </c>
      <c r="Q228" s="20">
        <f>IF($F228=Q$9,$I228/$I$207*Q$10,IF($F228&lt;Q$9,MIN($I228/$I$207,$I228-SUM($K228:P228)),0))</f>
        <v>0</v>
      </c>
      <c r="R228" s="20">
        <f>IF($F228=R$9,$I228/$I$207*R$10,IF($F228&lt;R$9,MIN($I228/$I$207,$I228-SUM($K228:Q228)),0))</f>
        <v>0</v>
      </c>
      <c r="S228" s="20">
        <f>IF($F228=S$9,$I228/$I$207*S$10,IF($F228&lt;S$9,MIN($I228/$I$207,$I228-SUM($K228:R228)),0))</f>
        <v>0</v>
      </c>
      <c r="T228" s="20">
        <f>IF($F228=T$9,$I228/$I$207*T$10,IF($F228&lt;T$9,MIN($I228/$I$207,$I228-SUM($K228:S228)),0))</f>
        <v>0</v>
      </c>
      <c r="U228" s="20">
        <f>IF($F228=U$9,$I228/$I$207*U$10,IF($F228&lt;U$9,MIN($I228/$I$207,$I228-SUM($K228:T228)),0))</f>
        <v>0</v>
      </c>
      <c r="V228" s="20">
        <f>IF($F228=V$9,$I228/$I$207*V$10,IF($F228&lt;V$9,MIN($I228/$I$207,$I228-SUM($K228:U228)),0))</f>
        <v>0</v>
      </c>
      <c r="W228" s="20">
        <f>IF($F228=W$9,$I228/$I$207*W$10,IF($F228&lt;W$9,MIN($I228/$I$207,$I228-SUM($K228:V228)),0))</f>
        <v>0</v>
      </c>
      <c r="X228" s="20">
        <f>IF($F228=X$9,$I228/$I$207*X$10,IF($F228&lt;X$9,MIN($I228/$I$207,$I228-SUM($K228:W228)),0))</f>
        <v>0</v>
      </c>
      <c r="Y228" s="20">
        <f>IF($F228=Y$9,$I228/$I$207*Y$10,IF($F228&lt;Y$9,MIN($I228/$I$207,$I228-SUM($K228:X228)),0))</f>
        <v>0</v>
      </c>
      <c r="Z228" s="20">
        <f>IF($F228=Z$9,$I228/$I$207*Z$10,IF($F228&lt;Z$9,MIN($I228/$I$207,$I228-SUM($K228:Y228)),0))</f>
        <v>0</v>
      </c>
      <c r="AA228" s="20">
        <f>IF($F228=AA$9,$I228/$I$207*AA$10,IF($F228&lt;AA$9,MIN($I228/$I$207,$I228-SUM($K228:Z228)),0))</f>
        <v>0</v>
      </c>
      <c r="AB228" s="20">
        <f>IF($F228=AB$9,$I228/$I$207*AB$10,IF($F228&lt;AB$9,MIN($I228/$I$207,$I228-SUM($K228:AA228)),0))</f>
        <v>0</v>
      </c>
      <c r="AC228" s="20">
        <f>IF($F228=AC$9,$I228/$I$207*AC$10,IF($F228&lt;AC$9,MIN($I228/$I$207,$I228-SUM($K228:AB228)),0))</f>
        <v>0</v>
      </c>
      <c r="AD228" s="20">
        <f>IF($F228=AD$9,$I228/$I$207*AD$10,IF($F228&lt;AD$9,MIN($I228/$I$207,$I228-SUM($K228:AC228)),0))</f>
        <v>0</v>
      </c>
      <c r="AE228" s="20">
        <f>IF($F228=AE$9,$I228/$I$207*AE$10,IF($F228&lt;AE$9,MIN($I228/$I$207,$I228-SUM($K228:AD228)),0))</f>
        <v>0</v>
      </c>
      <c r="AF228" s="20">
        <f>IF($F228=AF$9,$I228/$I$207*AF$10,IF($F228&lt;AF$9,MIN($I228/$I$207,$I228-SUM($K228:AE228)),0))</f>
        <v>0</v>
      </c>
      <c r="AG228" s="20">
        <f>IF($F228=AG$9,$I228/$I$207*AG$10,IF($F228&lt;AG$9,MIN($I228/$I$207,$I228-SUM($K228:AF228)),0))</f>
        <v>0</v>
      </c>
      <c r="AH228" s="20">
        <f>IF($F228=AH$9,$I228/$I$207*AH$10,IF($F228&lt;AH$9,MIN($I228/$I$207,$I228-SUM($K228:AG228)),0))</f>
        <v>0</v>
      </c>
      <c r="AI228" s="20">
        <f>IF($F228=AI$9,$I228/$I$207*AI$10,IF($F228&lt;AI$9,MIN($I228/$I$207,$I228-SUM($K228:AH228)),0))</f>
        <v>0</v>
      </c>
      <c r="AJ228" s="20">
        <f>IF($F228=AJ$9,$I228/$I$207*AJ$10,IF($F228&lt;AJ$9,MIN($I228/$I$207,$I228-SUM($K228:AI228)),0))</f>
        <v>0</v>
      </c>
      <c r="AK228" s="20">
        <f>IF($F228=AK$9,$I228/$I$207*AK$10,IF($F228&lt;AK$9,MIN($I228/$I$207,$I228-SUM($K228:AJ228)),0))</f>
        <v>0</v>
      </c>
      <c r="AL228" s="20">
        <f>IF($F228=AL$9,$I228/$I$207*AL$10,IF($F228&lt;AL$9,MIN($I228/$I$207,$I228-SUM($K228:AK228)),0))</f>
        <v>0</v>
      </c>
      <c r="AM228" s="20">
        <f>IF($F228=AM$9,$I228/$I$207*AM$10,IF($F228&lt;AM$9,MIN($I228/$I$207,$I228-SUM($K228:AL228)),0))</f>
        <v>0</v>
      </c>
      <c r="AN228" s="20">
        <f>IF($F228=AN$9,$I228/$I$207*AN$10,IF($F228&lt;AN$9,MIN($I228/$I$207,$I228-SUM($K228:AM228)),0))</f>
        <v>0</v>
      </c>
      <c r="AO228" s="28"/>
    </row>
    <row r="229" spans="3:41" ht="14.4" customHeight="1" outlineLevel="1" x14ac:dyDescent="0.3">
      <c r="F229" s="69" t="str">
        <v/>
      </c>
      <c r="H229" s="26" t="s">
        <v>245</v>
      </c>
      <c r="I229" s="128">
        <v>0</v>
      </c>
      <c r="K229" s="89">
        <v>0</v>
      </c>
      <c r="L229" s="20">
        <f>IF($F229=L$9,$I229/$I$207*L$10,IF($F229&lt;L$9,MIN($I229/$I$207,$I229-SUM($K229:K229)),0))</f>
        <v>0</v>
      </c>
      <c r="M229" s="20">
        <f>IF($F229=M$9,$I229/$I$207*M$10,IF($F229&lt;M$9,MIN($I229/$I$207,$I229-SUM($K229:L229)),0))</f>
        <v>0</v>
      </c>
      <c r="N229" s="20">
        <f>IF($F229=N$9,$I229/$I$207*N$10,IF($F229&lt;N$9,MIN($I229/$I$207,$I229-SUM($K229:M229)),0))</f>
        <v>0</v>
      </c>
      <c r="O229" s="20">
        <f>IF($F229=O$9,$I229/$I$207*O$10,IF($F229&lt;O$9,MIN($I229/$I$207,$I229-SUM($K229:N229)),0))</f>
        <v>0</v>
      </c>
      <c r="P229" s="20">
        <f>IF($F229=P$9,$I229/$I$207*P$10,IF($F229&lt;P$9,MIN($I229/$I$207,$I229-SUM($K229:O229)),0))</f>
        <v>0</v>
      </c>
      <c r="Q229" s="20">
        <f>IF($F229=Q$9,$I229/$I$207*Q$10,IF($F229&lt;Q$9,MIN($I229/$I$207,$I229-SUM($K229:P229)),0))</f>
        <v>0</v>
      </c>
      <c r="R229" s="20">
        <f>IF($F229=R$9,$I229/$I$207*R$10,IF($F229&lt;R$9,MIN($I229/$I$207,$I229-SUM($K229:Q229)),0))</f>
        <v>0</v>
      </c>
      <c r="S229" s="20">
        <f>IF($F229=S$9,$I229/$I$207*S$10,IF($F229&lt;S$9,MIN($I229/$I$207,$I229-SUM($K229:R229)),0))</f>
        <v>0</v>
      </c>
      <c r="T229" s="20">
        <f>IF($F229=T$9,$I229/$I$207*T$10,IF($F229&lt;T$9,MIN($I229/$I$207,$I229-SUM($K229:S229)),0))</f>
        <v>0</v>
      </c>
      <c r="U229" s="20">
        <f>IF($F229=U$9,$I229/$I$207*U$10,IF($F229&lt;U$9,MIN($I229/$I$207,$I229-SUM($K229:T229)),0))</f>
        <v>0</v>
      </c>
      <c r="V229" s="20">
        <f>IF($F229=V$9,$I229/$I$207*V$10,IF($F229&lt;V$9,MIN($I229/$I$207,$I229-SUM($K229:U229)),0))</f>
        <v>0</v>
      </c>
      <c r="W229" s="20">
        <f>IF($F229=W$9,$I229/$I$207*W$10,IF($F229&lt;W$9,MIN($I229/$I$207,$I229-SUM($K229:V229)),0))</f>
        <v>0</v>
      </c>
      <c r="X229" s="20">
        <f>IF($F229=X$9,$I229/$I$207*X$10,IF($F229&lt;X$9,MIN($I229/$I$207,$I229-SUM($K229:W229)),0))</f>
        <v>0</v>
      </c>
      <c r="Y229" s="20">
        <f>IF($F229=Y$9,$I229/$I$207*Y$10,IF($F229&lt;Y$9,MIN($I229/$I$207,$I229-SUM($K229:X229)),0))</f>
        <v>0</v>
      </c>
      <c r="Z229" s="20">
        <f>IF($F229=Z$9,$I229/$I$207*Z$10,IF($F229&lt;Z$9,MIN($I229/$I$207,$I229-SUM($K229:Y229)),0))</f>
        <v>0</v>
      </c>
      <c r="AA229" s="20">
        <f>IF($F229=AA$9,$I229/$I$207*AA$10,IF($F229&lt;AA$9,MIN($I229/$I$207,$I229-SUM($K229:Z229)),0))</f>
        <v>0</v>
      </c>
      <c r="AB229" s="20">
        <f>IF($F229=AB$9,$I229/$I$207*AB$10,IF($F229&lt;AB$9,MIN($I229/$I$207,$I229-SUM($K229:AA229)),0))</f>
        <v>0</v>
      </c>
      <c r="AC229" s="20">
        <f>IF($F229=AC$9,$I229/$I$207*AC$10,IF($F229&lt;AC$9,MIN($I229/$I$207,$I229-SUM($K229:AB229)),0))</f>
        <v>0</v>
      </c>
      <c r="AD229" s="20">
        <f>IF($F229=AD$9,$I229/$I$207*AD$10,IF($F229&lt;AD$9,MIN($I229/$I$207,$I229-SUM($K229:AC229)),0))</f>
        <v>0</v>
      </c>
      <c r="AE229" s="20">
        <f>IF($F229=AE$9,$I229/$I$207*AE$10,IF($F229&lt;AE$9,MIN($I229/$I$207,$I229-SUM($K229:AD229)),0))</f>
        <v>0</v>
      </c>
      <c r="AF229" s="20">
        <f>IF($F229=AF$9,$I229/$I$207*AF$10,IF($F229&lt;AF$9,MIN($I229/$I$207,$I229-SUM($K229:AE229)),0))</f>
        <v>0</v>
      </c>
      <c r="AG229" s="20">
        <f>IF($F229=AG$9,$I229/$I$207*AG$10,IF($F229&lt;AG$9,MIN($I229/$I$207,$I229-SUM($K229:AF229)),0))</f>
        <v>0</v>
      </c>
      <c r="AH229" s="20">
        <f>IF($F229=AH$9,$I229/$I$207*AH$10,IF($F229&lt;AH$9,MIN($I229/$I$207,$I229-SUM($K229:AG229)),0))</f>
        <v>0</v>
      </c>
      <c r="AI229" s="20">
        <f>IF($F229=AI$9,$I229/$I$207*AI$10,IF($F229&lt;AI$9,MIN($I229/$I$207,$I229-SUM($K229:AH229)),0))</f>
        <v>0</v>
      </c>
      <c r="AJ229" s="20">
        <f>IF($F229=AJ$9,$I229/$I$207*AJ$10,IF($F229&lt;AJ$9,MIN($I229/$I$207,$I229-SUM($K229:AI229)),0))</f>
        <v>0</v>
      </c>
      <c r="AK229" s="20">
        <f>IF($F229=AK$9,$I229/$I$207*AK$10,IF($F229&lt;AK$9,MIN($I229/$I$207,$I229-SUM($K229:AJ229)),0))</f>
        <v>0</v>
      </c>
      <c r="AL229" s="20">
        <f>IF($F229=AL$9,$I229/$I$207*AL$10,IF($F229&lt;AL$9,MIN($I229/$I$207,$I229-SUM($K229:AK229)),0))</f>
        <v>0</v>
      </c>
      <c r="AM229" s="20">
        <f>IF($F229=AM$9,$I229/$I$207*AM$10,IF($F229&lt;AM$9,MIN($I229/$I$207,$I229-SUM($K229:AL229)),0))</f>
        <v>0</v>
      </c>
      <c r="AN229" s="20">
        <f>IF($F229=AN$9,$I229/$I$207*AN$10,IF($F229&lt;AN$9,MIN($I229/$I$207,$I229-SUM($K229:AM229)),0))</f>
        <v>0</v>
      </c>
      <c r="AO229" s="28"/>
    </row>
    <row r="230" spans="3:41" ht="14.4" customHeight="1" outlineLevel="1" x14ac:dyDescent="0.3">
      <c r="F230" s="69" t="str">
        <v/>
      </c>
      <c r="H230" s="26" t="s">
        <v>245</v>
      </c>
      <c r="I230" s="128">
        <v>0</v>
      </c>
      <c r="K230" s="89">
        <v>0</v>
      </c>
      <c r="L230" s="20">
        <f>IF($F230=L$9,$I230/$I$207*L$10,IF($F230&lt;L$9,MIN($I230/$I$207,$I230-SUM($K230:K230)),0))</f>
        <v>0</v>
      </c>
      <c r="M230" s="20">
        <f>IF($F230=M$9,$I230/$I$207*M$10,IF($F230&lt;M$9,MIN($I230/$I$207,$I230-SUM($K230:L230)),0))</f>
        <v>0</v>
      </c>
      <c r="N230" s="20">
        <f>IF($F230=N$9,$I230/$I$207*N$10,IF($F230&lt;N$9,MIN($I230/$I$207,$I230-SUM($K230:M230)),0))</f>
        <v>0</v>
      </c>
      <c r="O230" s="20">
        <f>IF($F230=O$9,$I230/$I$207*O$10,IF($F230&lt;O$9,MIN($I230/$I$207,$I230-SUM($K230:N230)),0))</f>
        <v>0</v>
      </c>
      <c r="P230" s="20">
        <f>IF($F230=P$9,$I230/$I$207*P$10,IF($F230&lt;P$9,MIN($I230/$I$207,$I230-SUM($K230:O230)),0))</f>
        <v>0</v>
      </c>
      <c r="Q230" s="20">
        <f>IF($F230=Q$9,$I230/$I$207*Q$10,IF($F230&lt;Q$9,MIN($I230/$I$207,$I230-SUM($K230:P230)),0))</f>
        <v>0</v>
      </c>
      <c r="R230" s="20">
        <f>IF($F230=R$9,$I230/$I$207*R$10,IF($F230&lt;R$9,MIN($I230/$I$207,$I230-SUM($K230:Q230)),0))</f>
        <v>0</v>
      </c>
      <c r="S230" s="20">
        <f>IF($F230=S$9,$I230/$I$207*S$10,IF($F230&lt;S$9,MIN($I230/$I$207,$I230-SUM($K230:R230)),0))</f>
        <v>0</v>
      </c>
      <c r="T230" s="20">
        <f>IF($F230=T$9,$I230/$I$207*T$10,IF($F230&lt;T$9,MIN($I230/$I$207,$I230-SUM($K230:S230)),0))</f>
        <v>0</v>
      </c>
      <c r="U230" s="20">
        <f>IF($F230=U$9,$I230/$I$207*U$10,IF($F230&lt;U$9,MIN($I230/$I$207,$I230-SUM($K230:T230)),0))</f>
        <v>0</v>
      </c>
      <c r="V230" s="20">
        <f>IF($F230=V$9,$I230/$I$207*V$10,IF($F230&lt;V$9,MIN($I230/$I$207,$I230-SUM($K230:U230)),0))</f>
        <v>0</v>
      </c>
      <c r="W230" s="20">
        <f>IF($F230=W$9,$I230/$I$207*W$10,IF($F230&lt;W$9,MIN($I230/$I$207,$I230-SUM($K230:V230)),0))</f>
        <v>0</v>
      </c>
      <c r="X230" s="20">
        <f>IF($F230=X$9,$I230/$I$207*X$10,IF($F230&lt;X$9,MIN($I230/$I$207,$I230-SUM($K230:W230)),0))</f>
        <v>0</v>
      </c>
      <c r="Y230" s="20">
        <f>IF($F230=Y$9,$I230/$I$207*Y$10,IF($F230&lt;Y$9,MIN($I230/$I$207,$I230-SUM($K230:X230)),0))</f>
        <v>0</v>
      </c>
      <c r="Z230" s="20">
        <f>IF($F230=Z$9,$I230/$I$207*Z$10,IF($F230&lt;Z$9,MIN($I230/$I$207,$I230-SUM($K230:Y230)),0))</f>
        <v>0</v>
      </c>
      <c r="AA230" s="20">
        <f>IF($F230=AA$9,$I230/$I$207*AA$10,IF($F230&lt;AA$9,MIN($I230/$I$207,$I230-SUM($K230:Z230)),0))</f>
        <v>0</v>
      </c>
      <c r="AB230" s="20">
        <f>IF($F230=AB$9,$I230/$I$207*AB$10,IF($F230&lt;AB$9,MIN($I230/$I$207,$I230-SUM($K230:AA230)),0))</f>
        <v>0</v>
      </c>
      <c r="AC230" s="20">
        <f>IF($F230=AC$9,$I230/$I$207*AC$10,IF($F230&lt;AC$9,MIN($I230/$I$207,$I230-SUM($K230:AB230)),0))</f>
        <v>0</v>
      </c>
      <c r="AD230" s="20">
        <f>IF($F230=AD$9,$I230/$I$207*AD$10,IF($F230&lt;AD$9,MIN($I230/$I$207,$I230-SUM($K230:AC230)),0))</f>
        <v>0</v>
      </c>
      <c r="AE230" s="20">
        <f>IF($F230=AE$9,$I230/$I$207*AE$10,IF($F230&lt;AE$9,MIN($I230/$I$207,$I230-SUM($K230:AD230)),0))</f>
        <v>0</v>
      </c>
      <c r="AF230" s="20">
        <f>IF($F230=AF$9,$I230/$I$207*AF$10,IF($F230&lt;AF$9,MIN($I230/$I$207,$I230-SUM($K230:AE230)),0))</f>
        <v>0</v>
      </c>
      <c r="AG230" s="20">
        <f>IF($F230=AG$9,$I230/$I$207*AG$10,IF($F230&lt;AG$9,MIN($I230/$I$207,$I230-SUM($K230:AF230)),0))</f>
        <v>0</v>
      </c>
      <c r="AH230" s="20">
        <f>IF($F230=AH$9,$I230/$I$207*AH$10,IF($F230&lt;AH$9,MIN($I230/$I$207,$I230-SUM($K230:AG230)),0))</f>
        <v>0</v>
      </c>
      <c r="AI230" s="20">
        <f>IF($F230=AI$9,$I230/$I$207*AI$10,IF($F230&lt;AI$9,MIN($I230/$I$207,$I230-SUM($K230:AH230)),0))</f>
        <v>0</v>
      </c>
      <c r="AJ230" s="20">
        <f>IF($F230=AJ$9,$I230/$I$207*AJ$10,IF($F230&lt;AJ$9,MIN($I230/$I$207,$I230-SUM($K230:AI230)),0))</f>
        <v>0</v>
      </c>
      <c r="AK230" s="20">
        <f>IF($F230=AK$9,$I230/$I$207*AK$10,IF($F230&lt;AK$9,MIN($I230/$I$207,$I230-SUM($K230:AJ230)),0))</f>
        <v>0</v>
      </c>
      <c r="AL230" s="20">
        <f>IF($F230=AL$9,$I230/$I$207*AL$10,IF($F230&lt;AL$9,MIN($I230/$I$207,$I230-SUM($K230:AK230)),0))</f>
        <v>0</v>
      </c>
      <c r="AM230" s="20">
        <f>IF($F230=AM$9,$I230/$I$207*AM$10,IF($F230&lt;AM$9,MIN($I230/$I$207,$I230-SUM($K230:AL230)),0))</f>
        <v>0</v>
      </c>
      <c r="AN230" s="20">
        <f>IF($F230=AN$9,$I230/$I$207*AN$10,IF($F230&lt;AN$9,MIN($I230/$I$207,$I230-SUM($K230:AM230)),0))</f>
        <v>0</v>
      </c>
      <c r="AO230" s="28"/>
    </row>
    <row r="231" spans="3:41" ht="14.4" customHeight="1" outlineLevel="1" x14ac:dyDescent="0.3">
      <c r="F231" s="69" t="str">
        <v/>
      </c>
      <c r="H231" s="26" t="s">
        <v>245</v>
      </c>
      <c r="I231" s="128">
        <v>0</v>
      </c>
      <c r="K231" s="89">
        <v>0</v>
      </c>
      <c r="L231" s="20">
        <f>IF($F231=L$9,$I231/$I$207*L$10,IF($F231&lt;L$9,MIN($I231/$I$207,$I231-SUM($K231:K231)),0))</f>
        <v>0</v>
      </c>
      <c r="M231" s="20">
        <f>IF($F231=M$9,$I231/$I$207*M$10,IF($F231&lt;M$9,MIN($I231/$I$207,$I231-SUM($K231:L231)),0))</f>
        <v>0</v>
      </c>
      <c r="N231" s="20">
        <f>IF($F231=N$9,$I231/$I$207*N$10,IF($F231&lt;N$9,MIN($I231/$I$207,$I231-SUM($K231:M231)),0))</f>
        <v>0</v>
      </c>
      <c r="O231" s="20">
        <f>IF($F231=O$9,$I231/$I$207*O$10,IF($F231&lt;O$9,MIN($I231/$I$207,$I231-SUM($K231:N231)),0))</f>
        <v>0</v>
      </c>
      <c r="P231" s="20">
        <f>IF($F231=P$9,$I231/$I$207*P$10,IF($F231&lt;P$9,MIN($I231/$I$207,$I231-SUM($K231:O231)),0))</f>
        <v>0</v>
      </c>
      <c r="Q231" s="20">
        <f>IF($F231=Q$9,$I231/$I$207*Q$10,IF($F231&lt;Q$9,MIN($I231/$I$207,$I231-SUM($K231:P231)),0))</f>
        <v>0</v>
      </c>
      <c r="R231" s="20">
        <f>IF($F231=R$9,$I231/$I$207*R$10,IF($F231&lt;R$9,MIN($I231/$I$207,$I231-SUM($K231:Q231)),0))</f>
        <v>0</v>
      </c>
      <c r="S231" s="20">
        <f>IF($F231=S$9,$I231/$I$207*S$10,IF($F231&lt;S$9,MIN($I231/$I$207,$I231-SUM($K231:R231)),0))</f>
        <v>0</v>
      </c>
      <c r="T231" s="20">
        <f>IF($F231=T$9,$I231/$I$207*T$10,IF($F231&lt;T$9,MIN($I231/$I$207,$I231-SUM($K231:S231)),0))</f>
        <v>0</v>
      </c>
      <c r="U231" s="20">
        <f>IF($F231=U$9,$I231/$I$207*U$10,IF($F231&lt;U$9,MIN($I231/$I$207,$I231-SUM($K231:T231)),0))</f>
        <v>0</v>
      </c>
      <c r="V231" s="20">
        <f>IF($F231=V$9,$I231/$I$207*V$10,IF($F231&lt;V$9,MIN($I231/$I$207,$I231-SUM($K231:U231)),0))</f>
        <v>0</v>
      </c>
      <c r="W231" s="20">
        <f>IF($F231=W$9,$I231/$I$207*W$10,IF($F231&lt;W$9,MIN($I231/$I$207,$I231-SUM($K231:V231)),0))</f>
        <v>0</v>
      </c>
      <c r="X231" s="20">
        <f>IF($F231=X$9,$I231/$I$207*X$10,IF($F231&lt;X$9,MIN($I231/$I$207,$I231-SUM($K231:W231)),0))</f>
        <v>0</v>
      </c>
      <c r="Y231" s="20">
        <f>IF($F231=Y$9,$I231/$I$207*Y$10,IF($F231&lt;Y$9,MIN($I231/$I$207,$I231-SUM($K231:X231)),0))</f>
        <v>0</v>
      </c>
      <c r="Z231" s="20">
        <f>IF($F231=Z$9,$I231/$I$207*Z$10,IF($F231&lt;Z$9,MIN($I231/$I$207,$I231-SUM($K231:Y231)),0))</f>
        <v>0</v>
      </c>
      <c r="AA231" s="20">
        <f>IF($F231=AA$9,$I231/$I$207*AA$10,IF($F231&lt;AA$9,MIN($I231/$I$207,$I231-SUM($K231:Z231)),0))</f>
        <v>0</v>
      </c>
      <c r="AB231" s="20">
        <f>IF($F231=AB$9,$I231/$I$207*AB$10,IF($F231&lt;AB$9,MIN($I231/$I$207,$I231-SUM($K231:AA231)),0))</f>
        <v>0</v>
      </c>
      <c r="AC231" s="20">
        <f>IF($F231=AC$9,$I231/$I$207*AC$10,IF($F231&lt;AC$9,MIN($I231/$I$207,$I231-SUM($K231:AB231)),0))</f>
        <v>0</v>
      </c>
      <c r="AD231" s="20">
        <f>IF($F231=AD$9,$I231/$I$207*AD$10,IF($F231&lt;AD$9,MIN($I231/$I$207,$I231-SUM($K231:AC231)),0))</f>
        <v>0</v>
      </c>
      <c r="AE231" s="20">
        <f>IF($F231=AE$9,$I231/$I$207*AE$10,IF($F231&lt;AE$9,MIN($I231/$I$207,$I231-SUM($K231:AD231)),0))</f>
        <v>0</v>
      </c>
      <c r="AF231" s="20">
        <f>IF($F231=AF$9,$I231/$I$207*AF$10,IF($F231&lt;AF$9,MIN($I231/$I$207,$I231-SUM($K231:AE231)),0))</f>
        <v>0</v>
      </c>
      <c r="AG231" s="20">
        <f>IF($F231=AG$9,$I231/$I$207*AG$10,IF($F231&lt;AG$9,MIN($I231/$I$207,$I231-SUM($K231:AF231)),0))</f>
        <v>0</v>
      </c>
      <c r="AH231" s="20">
        <f>IF($F231=AH$9,$I231/$I$207*AH$10,IF($F231&lt;AH$9,MIN($I231/$I$207,$I231-SUM($K231:AG231)),0))</f>
        <v>0</v>
      </c>
      <c r="AI231" s="20">
        <f>IF($F231=AI$9,$I231/$I$207*AI$10,IF($F231&lt;AI$9,MIN($I231/$I$207,$I231-SUM($K231:AH231)),0))</f>
        <v>0</v>
      </c>
      <c r="AJ231" s="20">
        <f>IF($F231=AJ$9,$I231/$I$207*AJ$10,IF($F231&lt;AJ$9,MIN($I231/$I$207,$I231-SUM($K231:AI231)),0))</f>
        <v>0</v>
      </c>
      <c r="AK231" s="20">
        <f>IF($F231=AK$9,$I231/$I$207*AK$10,IF($F231&lt;AK$9,MIN($I231/$I$207,$I231-SUM($K231:AJ231)),0))</f>
        <v>0</v>
      </c>
      <c r="AL231" s="20">
        <f>IF($F231=AL$9,$I231/$I$207*AL$10,IF($F231&lt;AL$9,MIN($I231/$I$207,$I231-SUM($K231:AK231)),0))</f>
        <v>0</v>
      </c>
      <c r="AM231" s="20">
        <f>IF($F231=AM$9,$I231/$I$207*AM$10,IF($F231&lt;AM$9,MIN($I231/$I$207,$I231-SUM($K231:AL231)),0))</f>
        <v>0</v>
      </c>
      <c r="AN231" s="20">
        <f>IF($F231=AN$9,$I231/$I$207*AN$10,IF($F231&lt;AN$9,MIN($I231/$I$207,$I231-SUM($K231:AM231)),0))</f>
        <v>0</v>
      </c>
      <c r="AO231" s="28"/>
    </row>
    <row r="232" spans="3:41" ht="14.4" customHeight="1" outlineLevel="1" x14ac:dyDescent="0.3">
      <c r="F232" s="69" t="str">
        <v/>
      </c>
      <c r="H232" s="26" t="s">
        <v>245</v>
      </c>
      <c r="I232" s="128">
        <v>0</v>
      </c>
      <c r="K232" s="89">
        <v>0</v>
      </c>
      <c r="L232" s="20">
        <f>IF($F232=L$9,$I232/$I$207*L$10,IF($F232&lt;L$9,MIN($I232/$I$207,$I232-SUM($K232:K232)),0))</f>
        <v>0</v>
      </c>
      <c r="M232" s="20">
        <f>IF($F232=M$9,$I232/$I$207*M$10,IF($F232&lt;M$9,MIN($I232/$I$207,$I232-SUM($K232:L232)),0))</f>
        <v>0</v>
      </c>
      <c r="N232" s="20">
        <f>IF($F232=N$9,$I232/$I$207*N$10,IF($F232&lt;N$9,MIN($I232/$I$207,$I232-SUM($K232:M232)),0))</f>
        <v>0</v>
      </c>
      <c r="O232" s="20">
        <f>IF($F232=O$9,$I232/$I$207*O$10,IF($F232&lt;O$9,MIN($I232/$I$207,$I232-SUM($K232:N232)),0))</f>
        <v>0</v>
      </c>
      <c r="P232" s="20">
        <f>IF($F232=P$9,$I232/$I$207*P$10,IF($F232&lt;P$9,MIN($I232/$I$207,$I232-SUM($K232:O232)),0))</f>
        <v>0</v>
      </c>
      <c r="Q232" s="20">
        <f>IF($F232=Q$9,$I232/$I$207*Q$10,IF($F232&lt;Q$9,MIN($I232/$I$207,$I232-SUM($K232:P232)),0))</f>
        <v>0</v>
      </c>
      <c r="R232" s="20">
        <f>IF($F232=R$9,$I232/$I$207*R$10,IF($F232&lt;R$9,MIN($I232/$I$207,$I232-SUM($K232:Q232)),0))</f>
        <v>0</v>
      </c>
      <c r="S232" s="20">
        <f>IF($F232=S$9,$I232/$I$207*S$10,IF($F232&lt;S$9,MIN($I232/$I$207,$I232-SUM($K232:R232)),0))</f>
        <v>0</v>
      </c>
      <c r="T232" s="20">
        <f>IF($F232=T$9,$I232/$I$207*T$10,IF($F232&lt;T$9,MIN($I232/$I$207,$I232-SUM($K232:S232)),0))</f>
        <v>0</v>
      </c>
      <c r="U232" s="20">
        <f>IF($F232=U$9,$I232/$I$207*U$10,IF($F232&lt;U$9,MIN($I232/$I$207,$I232-SUM($K232:T232)),0))</f>
        <v>0</v>
      </c>
      <c r="V232" s="20">
        <f>IF($F232=V$9,$I232/$I$207*V$10,IF($F232&lt;V$9,MIN($I232/$I$207,$I232-SUM($K232:U232)),0))</f>
        <v>0</v>
      </c>
      <c r="W232" s="20">
        <f>IF($F232=W$9,$I232/$I$207*W$10,IF($F232&lt;W$9,MIN($I232/$I$207,$I232-SUM($K232:V232)),0))</f>
        <v>0</v>
      </c>
      <c r="X232" s="20">
        <f>IF($F232=X$9,$I232/$I$207*X$10,IF($F232&lt;X$9,MIN($I232/$I$207,$I232-SUM($K232:W232)),0))</f>
        <v>0</v>
      </c>
      <c r="Y232" s="20">
        <f>IF($F232=Y$9,$I232/$I$207*Y$10,IF($F232&lt;Y$9,MIN($I232/$I$207,$I232-SUM($K232:X232)),0))</f>
        <v>0</v>
      </c>
      <c r="Z232" s="20">
        <f>IF($F232=Z$9,$I232/$I$207*Z$10,IF($F232&lt;Z$9,MIN($I232/$I$207,$I232-SUM($K232:Y232)),0))</f>
        <v>0</v>
      </c>
      <c r="AA232" s="20">
        <f>IF($F232=AA$9,$I232/$I$207*AA$10,IF($F232&lt;AA$9,MIN($I232/$I$207,$I232-SUM($K232:Z232)),0))</f>
        <v>0</v>
      </c>
      <c r="AB232" s="20">
        <f>IF($F232=AB$9,$I232/$I$207*AB$10,IF($F232&lt;AB$9,MIN($I232/$I$207,$I232-SUM($K232:AA232)),0))</f>
        <v>0</v>
      </c>
      <c r="AC232" s="20">
        <f>IF($F232=AC$9,$I232/$I$207*AC$10,IF($F232&lt;AC$9,MIN($I232/$I$207,$I232-SUM($K232:AB232)),0))</f>
        <v>0</v>
      </c>
      <c r="AD232" s="20">
        <f>IF($F232=AD$9,$I232/$I$207*AD$10,IF($F232&lt;AD$9,MIN($I232/$I$207,$I232-SUM($K232:AC232)),0))</f>
        <v>0</v>
      </c>
      <c r="AE232" s="20">
        <f>IF($F232=AE$9,$I232/$I$207*AE$10,IF($F232&lt;AE$9,MIN($I232/$I$207,$I232-SUM($K232:AD232)),0))</f>
        <v>0</v>
      </c>
      <c r="AF232" s="20">
        <f>IF($F232=AF$9,$I232/$I$207*AF$10,IF($F232&lt;AF$9,MIN($I232/$I$207,$I232-SUM($K232:AE232)),0))</f>
        <v>0</v>
      </c>
      <c r="AG232" s="20">
        <f>IF($F232=AG$9,$I232/$I$207*AG$10,IF($F232&lt;AG$9,MIN($I232/$I$207,$I232-SUM($K232:AF232)),0))</f>
        <v>0</v>
      </c>
      <c r="AH232" s="20">
        <f>IF($F232=AH$9,$I232/$I$207*AH$10,IF($F232&lt;AH$9,MIN($I232/$I$207,$I232-SUM($K232:AG232)),0))</f>
        <v>0</v>
      </c>
      <c r="AI232" s="20">
        <f>IF($F232=AI$9,$I232/$I$207*AI$10,IF($F232&lt;AI$9,MIN($I232/$I$207,$I232-SUM($K232:AH232)),0))</f>
        <v>0</v>
      </c>
      <c r="AJ232" s="20">
        <f>IF($F232=AJ$9,$I232/$I$207*AJ$10,IF($F232&lt;AJ$9,MIN($I232/$I$207,$I232-SUM($K232:AI232)),0))</f>
        <v>0</v>
      </c>
      <c r="AK232" s="20">
        <f>IF($F232=AK$9,$I232/$I$207*AK$10,IF($F232&lt;AK$9,MIN($I232/$I$207,$I232-SUM($K232:AJ232)),0))</f>
        <v>0</v>
      </c>
      <c r="AL232" s="20">
        <f>IF($F232=AL$9,$I232/$I$207*AL$10,IF($F232&lt;AL$9,MIN($I232/$I$207,$I232-SUM($K232:AK232)),0))</f>
        <v>0</v>
      </c>
      <c r="AM232" s="20">
        <f>IF($F232=AM$9,$I232/$I$207*AM$10,IF($F232&lt;AM$9,MIN($I232/$I$207,$I232-SUM($K232:AL232)),0))</f>
        <v>0</v>
      </c>
      <c r="AN232" s="20">
        <f>IF($F232=AN$9,$I232/$I$207*AN$10,IF($F232&lt;AN$9,MIN($I232/$I$207,$I232-SUM($K232:AM232)),0))</f>
        <v>0</v>
      </c>
      <c r="AO232" s="28"/>
    </row>
    <row r="233" spans="3:41" ht="14.4" customHeight="1" outlineLevel="1" x14ac:dyDescent="0.3">
      <c r="F233" s="69" t="str">
        <v/>
      </c>
      <c r="H233" s="26" t="s">
        <v>245</v>
      </c>
      <c r="I233" s="128">
        <v>0</v>
      </c>
      <c r="K233" s="89">
        <v>0</v>
      </c>
      <c r="L233" s="20">
        <f>IF($F233=L$9,$I233/$I$207*L$10,IF($F233&lt;L$9,MIN($I233/$I$207,$I233-SUM($K233:K233)),0))</f>
        <v>0</v>
      </c>
      <c r="M233" s="20">
        <f>IF($F233=M$9,$I233/$I$207*M$10,IF($F233&lt;M$9,MIN($I233/$I$207,$I233-SUM($K233:L233)),0))</f>
        <v>0</v>
      </c>
      <c r="N233" s="20">
        <f>IF($F233=N$9,$I233/$I$207*N$10,IF($F233&lt;N$9,MIN($I233/$I$207,$I233-SUM($K233:M233)),0))</f>
        <v>0</v>
      </c>
      <c r="O233" s="20">
        <f>IF($F233=O$9,$I233/$I$207*O$10,IF($F233&lt;O$9,MIN($I233/$I$207,$I233-SUM($K233:N233)),0))</f>
        <v>0</v>
      </c>
      <c r="P233" s="20">
        <f>IF($F233=P$9,$I233/$I$207*P$10,IF($F233&lt;P$9,MIN($I233/$I$207,$I233-SUM($K233:O233)),0))</f>
        <v>0</v>
      </c>
      <c r="Q233" s="20">
        <f>IF($F233=Q$9,$I233/$I$207*Q$10,IF($F233&lt;Q$9,MIN($I233/$I$207,$I233-SUM($K233:P233)),0))</f>
        <v>0</v>
      </c>
      <c r="R233" s="20">
        <f>IF($F233=R$9,$I233/$I$207*R$10,IF($F233&lt;R$9,MIN($I233/$I$207,$I233-SUM($K233:Q233)),0))</f>
        <v>0</v>
      </c>
      <c r="S233" s="20">
        <f>IF($F233=S$9,$I233/$I$207*S$10,IF($F233&lt;S$9,MIN($I233/$I$207,$I233-SUM($K233:R233)),0))</f>
        <v>0</v>
      </c>
      <c r="T233" s="20">
        <f>IF($F233=T$9,$I233/$I$207*T$10,IF($F233&lt;T$9,MIN($I233/$I$207,$I233-SUM($K233:S233)),0))</f>
        <v>0</v>
      </c>
      <c r="U233" s="20">
        <f>IF($F233=U$9,$I233/$I$207*U$10,IF($F233&lt;U$9,MIN($I233/$I$207,$I233-SUM($K233:T233)),0))</f>
        <v>0</v>
      </c>
      <c r="V233" s="20">
        <f>IF($F233=V$9,$I233/$I$207*V$10,IF($F233&lt;V$9,MIN($I233/$I$207,$I233-SUM($K233:U233)),0))</f>
        <v>0</v>
      </c>
      <c r="W233" s="20">
        <f>IF($F233=W$9,$I233/$I$207*W$10,IF($F233&lt;W$9,MIN($I233/$I$207,$I233-SUM($K233:V233)),0))</f>
        <v>0</v>
      </c>
      <c r="X233" s="20">
        <f>IF($F233=X$9,$I233/$I$207*X$10,IF($F233&lt;X$9,MIN($I233/$I$207,$I233-SUM($K233:W233)),0))</f>
        <v>0</v>
      </c>
      <c r="Y233" s="20">
        <f>IF($F233=Y$9,$I233/$I$207*Y$10,IF($F233&lt;Y$9,MIN($I233/$I$207,$I233-SUM($K233:X233)),0))</f>
        <v>0</v>
      </c>
      <c r="Z233" s="20">
        <f>IF($F233=Z$9,$I233/$I$207*Z$10,IF($F233&lt;Z$9,MIN($I233/$I$207,$I233-SUM($K233:Y233)),0))</f>
        <v>0</v>
      </c>
      <c r="AA233" s="20">
        <f>IF($F233=AA$9,$I233/$I$207*AA$10,IF($F233&lt;AA$9,MIN($I233/$I$207,$I233-SUM($K233:Z233)),0))</f>
        <v>0</v>
      </c>
      <c r="AB233" s="20">
        <f>IF($F233=AB$9,$I233/$I$207*AB$10,IF($F233&lt;AB$9,MIN($I233/$I$207,$I233-SUM($K233:AA233)),0))</f>
        <v>0</v>
      </c>
      <c r="AC233" s="20">
        <f>IF($F233=AC$9,$I233/$I$207*AC$10,IF($F233&lt;AC$9,MIN($I233/$I$207,$I233-SUM($K233:AB233)),0))</f>
        <v>0</v>
      </c>
      <c r="AD233" s="20">
        <f>IF($F233=AD$9,$I233/$I$207*AD$10,IF($F233&lt;AD$9,MIN($I233/$I$207,$I233-SUM($K233:AC233)),0))</f>
        <v>0</v>
      </c>
      <c r="AE233" s="20">
        <f>IF($F233=AE$9,$I233/$I$207*AE$10,IF($F233&lt;AE$9,MIN($I233/$I$207,$I233-SUM($K233:AD233)),0))</f>
        <v>0</v>
      </c>
      <c r="AF233" s="20">
        <f>IF($F233=AF$9,$I233/$I$207*AF$10,IF($F233&lt;AF$9,MIN($I233/$I$207,$I233-SUM($K233:AE233)),0))</f>
        <v>0</v>
      </c>
      <c r="AG233" s="20">
        <f>IF($F233=AG$9,$I233/$I$207*AG$10,IF($F233&lt;AG$9,MIN($I233/$I$207,$I233-SUM($K233:AF233)),0))</f>
        <v>0</v>
      </c>
      <c r="AH233" s="20">
        <f>IF($F233=AH$9,$I233/$I$207*AH$10,IF($F233&lt;AH$9,MIN($I233/$I$207,$I233-SUM($K233:AG233)),0))</f>
        <v>0</v>
      </c>
      <c r="AI233" s="20">
        <f>IF($F233=AI$9,$I233/$I$207*AI$10,IF($F233&lt;AI$9,MIN($I233/$I$207,$I233-SUM($K233:AH233)),0))</f>
        <v>0</v>
      </c>
      <c r="AJ233" s="20">
        <f>IF($F233=AJ$9,$I233/$I$207*AJ$10,IF($F233&lt;AJ$9,MIN($I233/$I$207,$I233-SUM($K233:AI233)),0))</f>
        <v>0</v>
      </c>
      <c r="AK233" s="20">
        <f>IF($F233=AK$9,$I233/$I$207*AK$10,IF($F233&lt;AK$9,MIN($I233/$I$207,$I233-SUM($K233:AJ233)),0))</f>
        <v>0</v>
      </c>
      <c r="AL233" s="20">
        <f>IF($F233=AL$9,$I233/$I$207*AL$10,IF($F233&lt;AL$9,MIN($I233/$I$207,$I233-SUM($K233:AK233)),0))</f>
        <v>0</v>
      </c>
      <c r="AM233" s="20">
        <f>IF($F233=AM$9,$I233/$I$207*AM$10,IF($F233&lt;AM$9,MIN($I233/$I$207,$I233-SUM($K233:AL233)),0))</f>
        <v>0</v>
      </c>
      <c r="AN233" s="20">
        <f>IF($F233=AN$9,$I233/$I$207*AN$10,IF($F233&lt;AN$9,MIN($I233/$I$207,$I233-SUM($K233:AM233)),0))</f>
        <v>0</v>
      </c>
      <c r="AO233" s="28"/>
    </row>
    <row r="234" spans="3:41" ht="14.4" customHeight="1" outlineLevel="1" x14ac:dyDescent="0.3">
      <c r="F234" s="69" t="str">
        <v/>
      </c>
      <c r="H234" s="26" t="s">
        <v>245</v>
      </c>
      <c r="I234" s="128">
        <v>0</v>
      </c>
      <c r="K234" s="89">
        <v>0</v>
      </c>
      <c r="L234" s="20">
        <f>IF($F234=L$9,$I234/$I$207*L$10,IF($F234&lt;L$9,MIN($I234/$I$207,$I234-SUM($K234:K234)),0))</f>
        <v>0</v>
      </c>
      <c r="M234" s="20">
        <f>IF($F234=M$9,$I234/$I$207*M$10,IF($F234&lt;M$9,MIN($I234/$I$207,$I234-SUM($K234:L234)),0))</f>
        <v>0</v>
      </c>
      <c r="N234" s="20">
        <f>IF($F234=N$9,$I234/$I$207*N$10,IF($F234&lt;N$9,MIN($I234/$I$207,$I234-SUM($K234:M234)),0))</f>
        <v>0</v>
      </c>
      <c r="O234" s="20">
        <f>IF($F234=O$9,$I234/$I$207*O$10,IF($F234&lt;O$9,MIN($I234/$I$207,$I234-SUM($K234:N234)),0))</f>
        <v>0</v>
      </c>
      <c r="P234" s="20">
        <f>IF($F234=P$9,$I234/$I$207*P$10,IF($F234&lt;P$9,MIN($I234/$I$207,$I234-SUM($K234:O234)),0))</f>
        <v>0</v>
      </c>
      <c r="Q234" s="20">
        <f>IF($F234=Q$9,$I234/$I$207*Q$10,IF($F234&lt;Q$9,MIN($I234/$I$207,$I234-SUM($K234:P234)),0))</f>
        <v>0</v>
      </c>
      <c r="R234" s="20">
        <f>IF($F234=R$9,$I234/$I$207*R$10,IF($F234&lt;R$9,MIN($I234/$I$207,$I234-SUM($K234:Q234)),0))</f>
        <v>0</v>
      </c>
      <c r="S234" s="20">
        <f>IF($F234=S$9,$I234/$I$207*S$10,IF($F234&lt;S$9,MIN($I234/$I$207,$I234-SUM($K234:R234)),0))</f>
        <v>0</v>
      </c>
      <c r="T234" s="20">
        <f>IF($F234=T$9,$I234/$I$207*T$10,IF($F234&lt;T$9,MIN($I234/$I$207,$I234-SUM($K234:S234)),0))</f>
        <v>0</v>
      </c>
      <c r="U234" s="20">
        <f>IF($F234=U$9,$I234/$I$207*U$10,IF($F234&lt;U$9,MIN($I234/$I$207,$I234-SUM($K234:T234)),0))</f>
        <v>0</v>
      </c>
      <c r="V234" s="20">
        <f>IF($F234=V$9,$I234/$I$207*V$10,IF($F234&lt;V$9,MIN($I234/$I$207,$I234-SUM($K234:U234)),0))</f>
        <v>0</v>
      </c>
      <c r="W234" s="20">
        <f>IF($F234=W$9,$I234/$I$207*W$10,IF($F234&lt;W$9,MIN($I234/$I$207,$I234-SUM($K234:V234)),0))</f>
        <v>0</v>
      </c>
      <c r="X234" s="20">
        <f>IF($F234=X$9,$I234/$I$207*X$10,IF($F234&lt;X$9,MIN($I234/$I$207,$I234-SUM($K234:W234)),0))</f>
        <v>0</v>
      </c>
      <c r="Y234" s="20">
        <f>IF($F234=Y$9,$I234/$I$207*Y$10,IF($F234&lt;Y$9,MIN($I234/$I$207,$I234-SUM($K234:X234)),0))</f>
        <v>0</v>
      </c>
      <c r="Z234" s="20">
        <f>IF($F234=Z$9,$I234/$I$207*Z$10,IF($F234&lt;Z$9,MIN($I234/$I$207,$I234-SUM($K234:Y234)),0))</f>
        <v>0</v>
      </c>
      <c r="AA234" s="20">
        <f>IF($F234=AA$9,$I234/$I$207*AA$10,IF($F234&lt;AA$9,MIN($I234/$I$207,$I234-SUM($K234:Z234)),0))</f>
        <v>0</v>
      </c>
      <c r="AB234" s="20">
        <f>IF($F234=AB$9,$I234/$I$207*AB$10,IF($F234&lt;AB$9,MIN($I234/$I$207,$I234-SUM($K234:AA234)),0))</f>
        <v>0</v>
      </c>
      <c r="AC234" s="20">
        <f>IF($F234=AC$9,$I234/$I$207*AC$10,IF($F234&lt;AC$9,MIN($I234/$I$207,$I234-SUM($K234:AB234)),0))</f>
        <v>0</v>
      </c>
      <c r="AD234" s="20">
        <f>IF($F234=AD$9,$I234/$I$207*AD$10,IF($F234&lt;AD$9,MIN($I234/$I$207,$I234-SUM($K234:AC234)),0))</f>
        <v>0</v>
      </c>
      <c r="AE234" s="20">
        <f>IF($F234=AE$9,$I234/$I$207*AE$10,IF($F234&lt;AE$9,MIN($I234/$I$207,$I234-SUM($K234:AD234)),0))</f>
        <v>0</v>
      </c>
      <c r="AF234" s="20">
        <f>IF($F234=AF$9,$I234/$I$207*AF$10,IF($F234&lt;AF$9,MIN($I234/$I$207,$I234-SUM($K234:AE234)),0))</f>
        <v>0</v>
      </c>
      <c r="AG234" s="20">
        <f>IF($F234=AG$9,$I234/$I$207*AG$10,IF($F234&lt;AG$9,MIN($I234/$I$207,$I234-SUM($K234:AF234)),0))</f>
        <v>0</v>
      </c>
      <c r="AH234" s="20">
        <f>IF($F234=AH$9,$I234/$I$207*AH$10,IF($F234&lt;AH$9,MIN($I234/$I$207,$I234-SUM($K234:AG234)),0))</f>
        <v>0</v>
      </c>
      <c r="AI234" s="20">
        <f>IF($F234=AI$9,$I234/$I$207*AI$10,IF($F234&lt;AI$9,MIN($I234/$I$207,$I234-SUM($K234:AH234)),0))</f>
        <v>0</v>
      </c>
      <c r="AJ234" s="20">
        <f>IF($F234=AJ$9,$I234/$I$207*AJ$10,IF($F234&lt;AJ$9,MIN($I234/$I$207,$I234-SUM($K234:AI234)),0))</f>
        <v>0</v>
      </c>
      <c r="AK234" s="20">
        <f>IF($F234=AK$9,$I234/$I$207*AK$10,IF($F234&lt;AK$9,MIN($I234/$I$207,$I234-SUM($K234:AJ234)),0))</f>
        <v>0</v>
      </c>
      <c r="AL234" s="20">
        <f>IF($F234=AL$9,$I234/$I$207*AL$10,IF($F234&lt;AL$9,MIN($I234/$I$207,$I234-SUM($K234:AK234)),0))</f>
        <v>0</v>
      </c>
      <c r="AM234" s="20">
        <f>IF($F234=AM$9,$I234/$I$207*AM$10,IF($F234&lt;AM$9,MIN($I234/$I$207,$I234-SUM($K234:AL234)),0))</f>
        <v>0</v>
      </c>
      <c r="AN234" s="20">
        <f>IF($F234=AN$9,$I234/$I$207*AN$10,IF($F234&lt;AN$9,MIN($I234/$I$207,$I234-SUM($K234:AM234)),0))</f>
        <v>0</v>
      </c>
      <c r="AO234" s="28"/>
    </row>
    <row r="235" spans="3:41" ht="14.4" customHeight="1" outlineLevel="1" x14ac:dyDescent="0.3">
      <c r="F235" s="69" t="str">
        <v/>
      </c>
      <c r="H235" s="26" t="s">
        <v>245</v>
      </c>
      <c r="I235" s="128">
        <v>0</v>
      </c>
      <c r="K235" s="89">
        <v>0</v>
      </c>
      <c r="L235" s="20">
        <f>IF($F235=L$9,$I235/$I$207*L$10,IF($F235&lt;L$9,MIN($I235/$I$207,$I235-SUM($K235:K235)),0))</f>
        <v>0</v>
      </c>
      <c r="M235" s="20">
        <f>IF($F235=M$9,$I235/$I$207*M$10,IF($F235&lt;M$9,MIN($I235/$I$207,$I235-SUM($K235:L235)),0))</f>
        <v>0</v>
      </c>
      <c r="N235" s="20">
        <f>IF($F235=N$9,$I235/$I$207*N$10,IF($F235&lt;N$9,MIN($I235/$I$207,$I235-SUM($K235:M235)),0))</f>
        <v>0</v>
      </c>
      <c r="O235" s="20">
        <f>IF($F235=O$9,$I235/$I$207*O$10,IF($F235&lt;O$9,MIN($I235/$I$207,$I235-SUM($K235:N235)),0))</f>
        <v>0</v>
      </c>
      <c r="P235" s="20">
        <f>IF($F235=P$9,$I235/$I$207*P$10,IF($F235&lt;P$9,MIN($I235/$I$207,$I235-SUM($K235:O235)),0))</f>
        <v>0</v>
      </c>
      <c r="Q235" s="20">
        <f>IF($F235=Q$9,$I235/$I$207*Q$10,IF($F235&lt;Q$9,MIN($I235/$I$207,$I235-SUM($K235:P235)),0))</f>
        <v>0</v>
      </c>
      <c r="R235" s="20">
        <f>IF($F235=R$9,$I235/$I$207*R$10,IF($F235&lt;R$9,MIN($I235/$I$207,$I235-SUM($K235:Q235)),0))</f>
        <v>0</v>
      </c>
      <c r="S235" s="20">
        <f>IF($F235=S$9,$I235/$I$207*S$10,IF($F235&lt;S$9,MIN($I235/$I$207,$I235-SUM($K235:R235)),0))</f>
        <v>0</v>
      </c>
      <c r="T235" s="20">
        <f>IF($F235=T$9,$I235/$I$207*T$10,IF($F235&lt;T$9,MIN($I235/$I$207,$I235-SUM($K235:S235)),0))</f>
        <v>0</v>
      </c>
      <c r="U235" s="20">
        <f>IF($F235=U$9,$I235/$I$207*U$10,IF($F235&lt;U$9,MIN($I235/$I$207,$I235-SUM($K235:T235)),0))</f>
        <v>0</v>
      </c>
      <c r="V235" s="20">
        <f>IF($F235=V$9,$I235/$I$207*V$10,IF($F235&lt;V$9,MIN($I235/$I$207,$I235-SUM($K235:U235)),0))</f>
        <v>0</v>
      </c>
      <c r="W235" s="20">
        <f>IF($F235=W$9,$I235/$I$207*W$10,IF($F235&lt;W$9,MIN($I235/$I$207,$I235-SUM($K235:V235)),0))</f>
        <v>0</v>
      </c>
      <c r="X235" s="20">
        <f>IF($F235=X$9,$I235/$I$207*X$10,IF($F235&lt;X$9,MIN($I235/$I$207,$I235-SUM($K235:W235)),0))</f>
        <v>0</v>
      </c>
      <c r="Y235" s="20">
        <f>IF($F235=Y$9,$I235/$I$207*Y$10,IF($F235&lt;Y$9,MIN($I235/$I$207,$I235-SUM($K235:X235)),0))</f>
        <v>0</v>
      </c>
      <c r="Z235" s="20">
        <f>IF($F235=Z$9,$I235/$I$207*Z$10,IF($F235&lt;Z$9,MIN($I235/$I$207,$I235-SUM($K235:Y235)),0))</f>
        <v>0</v>
      </c>
      <c r="AA235" s="20">
        <f>IF($F235=AA$9,$I235/$I$207*AA$10,IF($F235&lt;AA$9,MIN($I235/$I$207,$I235-SUM($K235:Z235)),0))</f>
        <v>0</v>
      </c>
      <c r="AB235" s="20">
        <f>IF($F235=AB$9,$I235/$I$207*AB$10,IF($F235&lt;AB$9,MIN($I235/$I$207,$I235-SUM($K235:AA235)),0))</f>
        <v>0</v>
      </c>
      <c r="AC235" s="20">
        <f>IF($F235=AC$9,$I235/$I$207*AC$10,IF($F235&lt;AC$9,MIN($I235/$I$207,$I235-SUM($K235:AB235)),0))</f>
        <v>0</v>
      </c>
      <c r="AD235" s="20">
        <f>IF($F235=AD$9,$I235/$I$207*AD$10,IF($F235&lt;AD$9,MIN($I235/$I$207,$I235-SUM($K235:AC235)),0))</f>
        <v>0</v>
      </c>
      <c r="AE235" s="20">
        <f>IF($F235=AE$9,$I235/$I$207*AE$10,IF($F235&lt;AE$9,MIN($I235/$I$207,$I235-SUM($K235:AD235)),0))</f>
        <v>0</v>
      </c>
      <c r="AF235" s="20">
        <f>IF($F235=AF$9,$I235/$I$207*AF$10,IF($F235&lt;AF$9,MIN($I235/$I$207,$I235-SUM($K235:AE235)),0))</f>
        <v>0</v>
      </c>
      <c r="AG235" s="20">
        <f>IF($F235=AG$9,$I235/$I$207*AG$10,IF($F235&lt;AG$9,MIN($I235/$I$207,$I235-SUM($K235:AF235)),0))</f>
        <v>0</v>
      </c>
      <c r="AH235" s="20">
        <f>IF($F235=AH$9,$I235/$I$207*AH$10,IF($F235&lt;AH$9,MIN($I235/$I$207,$I235-SUM($K235:AG235)),0))</f>
        <v>0</v>
      </c>
      <c r="AI235" s="20">
        <f>IF($F235=AI$9,$I235/$I$207*AI$10,IF($F235&lt;AI$9,MIN($I235/$I$207,$I235-SUM($K235:AH235)),0))</f>
        <v>0</v>
      </c>
      <c r="AJ235" s="20">
        <f>IF($F235=AJ$9,$I235/$I$207*AJ$10,IF($F235&lt;AJ$9,MIN($I235/$I$207,$I235-SUM($K235:AI235)),0))</f>
        <v>0</v>
      </c>
      <c r="AK235" s="20">
        <f>IF($F235=AK$9,$I235/$I$207*AK$10,IF($F235&lt;AK$9,MIN($I235/$I$207,$I235-SUM($K235:AJ235)),0))</f>
        <v>0</v>
      </c>
      <c r="AL235" s="20">
        <f>IF($F235=AL$9,$I235/$I$207*AL$10,IF($F235&lt;AL$9,MIN($I235/$I$207,$I235-SUM($K235:AK235)),0))</f>
        <v>0</v>
      </c>
      <c r="AM235" s="20">
        <f>IF($F235=AM$9,$I235/$I$207*AM$10,IF($F235&lt;AM$9,MIN($I235/$I$207,$I235-SUM($K235:AL235)),0))</f>
        <v>0</v>
      </c>
      <c r="AN235" s="20">
        <f>IF($F235=AN$9,$I235/$I$207*AN$10,IF($F235&lt;AN$9,MIN($I235/$I$207,$I235-SUM($K235:AM235)),0))</f>
        <v>0</v>
      </c>
      <c r="AO235" s="28"/>
    </row>
    <row r="236" spans="3:41" ht="14.4" customHeight="1" outlineLevel="1" x14ac:dyDescent="0.3">
      <c r="F236" s="69" t="str">
        <v/>
      </c>
      <c r="H236" s="26" t="s">
        <v>245</v>
      </c>
      <c r="I236" s="128">
        <v>0</v>
      </c>
      <c r="K236" s="89">
        <v>0</v>
      </c>
      <c r="L236" s="20">
        <f>IF($F236=L$9,$I236/$I$207*L$10,IF($F236&lt;L$9,MIN($I236/$I$207,$I236-SUM($K236:K236)),0))</f>
        <v>0</v>
      </c>
      <c r="M236" s="20">
        <f>IF($F236=M$9,$I236/$I$207*M$10,IF($F236&lt;M$9,MIN($I236/$I$207,$I236-SUM($K236:L236)),0))</f>
        <v>0</v>
      </c>
      <c r="N236" s="20">
        <f>IF($F236=N$9,$I236/$I$207*N$10,IF($F236&lt;N$9,MIN($I236/$I$207,$I236-SUM($K236:M236)),0))</f>
        <v>0</v>
      </c>
      <c r="O236" s="20">
        <f>IF($F236=O$9,$I236/$I$207*O$10,IF($F236&lt;O$9,MIN($I236/$I$207,$I236-SUM($K236:N236)),0))</f>
        <v>0</v>
      </c>
      <c r="P236" s="20">
        <f>IF($F236=P$9,$I236/$I$207*P$10,IF($F236&lt;P$9,MIN($I236/$I$207,$I236-SUM($K236:O236)),0))</f>
        <v>0</v>
      </c>
      <c r="Q236" s="20">
        <f>IF($F236=Q$9,$I236/$I$207*Q$10,IF($F236&lt;Q$9,MIN($I236/$I$207,$I236-SUM($K236:P236)),0))</f>
        <v>0</v>
      </c>
      <c r="R236" s="20">
        <f>IF($F236=R$9,$I236/$I$207*R$10,IF($F236&lt;R$9,MIN($I236/$I$207,$I236-SUM($K236:Q236)),0))</f>
        <v>0</v>
      </c>
      <c r="S236" s="20">
        <f>IF($F236=S$9,$I236/$I$207*S$10,IF($F236&lt;S$9,MIN($I236/$I$207,$I236-SUM($K236:R236)),0))</f>
        <v>0</v>
      </c>
      <c r="T236" s="20">
        <f>IF($F236=T$9,$I236/$I$207*T$10,IF($F236&lt;T$9,MIN($I236/$I$207,$I236-SUM($K236:S236)),0))</f>
        <v>0</v>
      </c>
      <c r="U236" s="20">
        <f>IF($F236=U$9,$I236/$I$207*U$10,IF($F236&lt;U$9,MIN($I236/$I$207,$I236-SUM($K236:T236)),0))</f>
        <v>0</v>
      </c>
      <c r="V236" s="20">
        <f>IF($F236=V$9,$I236/$I$207*V$10,IF($F236&lt;V$9,MIN($I236/$I$207,$I236-SUM($K236:U236)),0))</f>
        <v>0</v>
      </c>
      <c r="W236" s="20">
        <f>IF($F236=W$9,$I236/$I$207*W$10,IF($F236&lt;W$9,MIN($I236/$I$207,$I236-SUM($K236:V236)),0))</f>
        <v>0</v>
      </c>
      <c r="X236" s="20">
        <f>IF($F236=X$9,$I236/$I$207*X$10,IF($F236&lt;X$9,MIN($I236/$I$207,$I236-SUM($K236:W236)),0))</f>
        <v>0</v>
      </c>
      <c r="Y236" s="20">
        <f>IF($F236=Y$9,$I236/$I$207*Y$10,IF($F236&lt;Y$9,MIN($I236/$I$207,$I236-SUM($K236:X236)),0))</f>
        <v>0</v>
      </c>
      <c r="Z236" s="20">
        <f>IF($F236=Z$9,$I236/$I$207*Z$10,IF($F236&lt;Z$9,MIN($I236/$I$207,$I236-SUM($K236:Y236)),0))</f>
        <v>0</v>
      </c>
      <c r="AA236" s="20">
        <f>IF($F236=AA$9,$I236/$I$207*AA$10,IF($F236&lt;AA$9,MIN($I236/$I$207,$I236-SUM($K236:Z236)),0))</f>
        <v>0</v>
      </c>
      <c r="AB236" s="20">
        <f>IF($F236=AB$9,$I236/$I$207*AB$10,IF($F236&lt;AB$9,MIN($I236/$I$207,$I236-SUM($K236:AA236)),0))</f>
        <v>0</v>
      </c>
      <c r="AC236" s="20">
        <f>IF($F236=AC$9,$I236/$I$207*AC$10,IF($F236&lt;AC$9,MIN($I236/$I$207,$I236-SUM($K236:AB236)),0))</f>
        <v>0</v>
      </c>
      <c r="AD236" s="20">
        <f>IF($F236=AD$9,$I236/$I$207*AD$10,IF($F236&lt;AD$9,MIN($I236/$I$207,$I236-SUM($K236:AC236)),0))</f>
        <v>0</v>
      </c>
      <c r="AE236" s="20">
        <f>IF($F236=AE$9,$I236/$I$207*AE$10,IF($F236&lt;AE$9,MIN($I236/$I$207,$I236-SUM($K236:AD236)),0))</f>
        <v>0</v>
      </c>
      <c r="AF236" s="20">
        <f>IF($F236=AF$9,$I236/$I$207*AF$10,IF($F236&lt;AF$9,MIN($I236/$I$207,$I236-SUM($K236:AE236)),0))</f>
        <v>0</v>
      </c>
      <c r="AG236" s="20">
        <f>IF($F236=AG$9,$I236/$I$207*AG$10,IF($F236&lt;AG$9,MIN($I236/$I$207,$I236-SUM($K236:AF236)),0))</f>
        <v>0</v>
      </c>
      <c r="AH236" s="20">
        <f>IF($F236=AH$9,$I236/$I$207*AH$10,IF($F236&lt;AH$9,MIN($I236/$I$207,$I236-SUM($K236:AG236)),0))</f>
        <v>0</v>
      </c>
      <c r="AI236" s="20">
        <f>IF($F236=AI$9,$I236/$I$207*AI$10,IF($F236&lt;AI$9,MIN($I236/$I$207,$I236-SUM($K236:AH236)),0))</f>
        <v>0</v>
      </c>
      <c r="AJ236" s="20">
        <f>IF($F236=AJ$9,$I236/$I$207*AJ$10,IF($F236&lt;AJ$9,MIN($I236/$I$207,$I236-SUM($K236:AI236)),0))</f>
        <v>0</v>
      </c>
      <c r="AK236" s="20">
        <f>IF($F236=AK$9,$I236/$I$207*AK$10,IF($F236&lt;AK$9,MIN($I236/$I$207,$I236-SUM($K236:AJ236)),0))</f>
        <v>0</v>
      </c>
      <c r="AL236" s="20">
        <f>IF($F236=AL$9,$I236/$I$207*AL$10,IF($F236&lt;AL$9,MIN($I236/$I$207,$I236-SUM($K236:AK236)),0))</f>
        <v>0</v>
      </c>
      <c r="AM236" s="20">
        <f>IF($F236=AM$9,$I236/$I$207*AM$10,IF($F236&lt;AM$9,MIN($I236/$I$207,$I236-SUM($K236:AL236)),0))</f>
        <v>0</v>
      </c>
      <c r="AN236" s="20">
        <f>IF($F236=AN$9,$I236/$I$207*AN$10,IF($F236&lt;AN$9,MIN($I236/$I$207,$I236-SUM($K236:AM236)),0))</f>
        <v>0</v>
      </c>
      <c r="AO236" s="28"/>
    </row>
    <row r="237" spans="3:41" ht="14.4" customHeight="1" outlineLevel="1" x14ac:dyDescent="0.3">
      <c r="F237" s="69" t="str">
        <v/>
      </c>
      <c r="H237" s="26" t="s">
        <v>245</v>
      </c>
      <c r="I237" s="128">
        <v>0</v>
      </c>
      <c r="K237" s="89">
        <v>0</v>
      </c>
      <c r="L237" s="20">
        <f>IF($F237=L$9,$I237/$I$207*L$10,IF($F237&lt;L$9,MIN($I237/$I$207,$I237-SUM($K237:K237)),0))</f>
        <v>0</v>
      </c>
      <c r="M237" s="20">
        <f>IF($F237=M$9,$I237/$I$207*M$10,IF($F237&lt;M$9,MIN($I237/$I$207,$I237-SUM($K237:L237)),0))</f>
        <v>0</v>
      </c>
      <c r="N237" s="20">
        <f>IF($F237=N$9,$I237/$I$207*N$10,IF($F237&lt;N$9,MIN($I237/$I$207,$I237-SUM($K237:M237)),0))</f>
        <v>0</v>
      </c>
      <c r="O237" s="20">
        <f>IF($F237=O$9,$I237/$I$207*O$10,IF($F237&lt;O$9,MIN($I237/$I$207,$I237-SUM($K237:N237)),0))</f>
        <v>0</v>
      </c>
      <c r="P237" s="20">
        <f>IF($F237=P$9,$I237/$I$207*P$10,IF($F237&lt;P$9,MIN($I237/$I$207,$I237-SUM($K237:O237)),0))</f>
        <v>0</v>
      </c>
      <c r="Q237" s="20">
        <f>IF($F237=Q$9,$I237/$I$207*Q$10,IF($F237&lt;Q$9,MIN($I237/$I$207,$I237-SUM($K237:P237)),0))</f>
        <v>0</v>
      </c>
      <c r="R237" s="20">
        <f>IF($F237=R$9,$I237/$I$207*R$10,IF($F237&lt;R$9,MIN($I237/$I$207,$I237-SUM($K237:Q237)),0))</f>
        <v>0</v>
      </c>
      <c r="S237" s="20">
        <f>IF($F237=S$9,$I237/$I$207*S$10,IF($F237&lt;S$9,MIN($I237/$I$207,$I237-SUM($K237:R237)),0))</f>
        <v>0</v>
      </c>
      <c r="T237" s="20">
        <f>IF($F237=T$9,$I237/$I$207*T$10,IF($F237&lt;T$9,MIN($I237/$I$207,$I237-SUM($K237:S237)),0))</f>
        <v>0</v>
      </c>
      <c r="U237" s="20">
        <f>IF($F237=U$9,$I237/$I$207*U$10,IF($F237&lt;U$9,MIN($I237/$I$207,$I237-SUM($K237:T237)),0))</f>
        <v>0</v>
      </c>
      <c r="V237" s="20">
        <f>IF($F237=V$9,$I237/$I$207*V$10,IF($F237&lt;V$9,MIN($I237/$I$207,$I237-SUM($K237:U237)),0))</f>
        <v>0</v>
      </c>
      <c r="W237" s="20">
        <f>IF($F237=W$9,$I237/$I$207*W$10,IF($F237&lt;W$9,MIN($I237/$I$207,$I237-SUM($K237:V237)),0))</f>
        <v>0</v>
      </c>
      <c r="X237" s="20">
        <f>IF($F237=X$9,$I237/$I$207*X$10,IF($F237&lt;X$9,MIN($I237/$I$207,$I237-SUM($K237:W237)),0))</f>
        <v>0</v>
      </c>
      <c r="Y237" s="20">
        <f>IF($F237=Y$9,$I237/$I$207*Y$10,IF($F237&lt;Y$9,MIN($I237/$I$207,$I237-SUM($K237:X237)),0))</f>
        <v>0</v>
      </c>
      <c r="Z237" s="20">
        <f>IF($F237=Z$9,$I237/$I$207*Z$10,IF($F237&lt;Z$9,MIN($I237/$I$207,$I237-SUM($K237:Y237)),0))</f>
        <v>0</v>
      </c>
      <c r="AA237" s="20">
        <f>IF($F237=AA$9,$I237/$I$207*AA$10,IF($F237&lt;AA$9,MIN($I237/$I$207,$I237-SUM($K237:Z237)),0))</f>
        <v>0</v>
      </c>
      <c r="AB237" s="20">
        <f>IF($F237=AB$9,$I237/$I$207*AB$10,IF($F237&lt;AB$9,MIN($I237/$I$207,$I237-SUM($K237:AA237)),0))</f>
        <v>0</v>
      </c>
      <c r="AC237" s="20">
        <f>IF($F237=AC$9,$I237/$I$207*AC$10,IF($F237&lt;AC$9,MIN($I237/$I$207,$I237-SUM($K237:AB237)),0))</f>
        <v>0</v>
      </c>
      <c r="AD237" s="20">
        <f>IF($F237=AD$9,$I237/$I$207*AD$10,IF($F237&lt;AD$9,MIN($I237/$I$207,$I237-SUM($K237:AC237)),0))</f>
        <v>0</v>
      </c>
      <c r="AE237" s="20">
        <f>IF($F237=AE$9,$I237/$I$207*AE$10,IF($F237&lt;AE$9,MIN($I237/$I$207,$I237-SUM($K237:AD237)),0))</f>
        <v>0</v>
      </c>
      <c r="AF237" s="20">
        <f>IF($F237=AF$9,$I237/$I$207*AF$10,IF($F237&lt;AF$9,MIN($I237/$I$207,$I237-SUM($K237:AE237)),0))</f>
        <v>0</v>
      </c>
      <c r="AG237" s="20">
        <f>IF($F237=AG$9,$I237/$I$207*AG$10,IF($F237&lt;AG$9,MIN($I237/$I$207,$I237-SUM($K237:AF237)),0))</f>
        <v>0</v>
      </c>
      <c r="AH237" s="20">
        <f>IF($F237=AH$9,$I237/$I$207*AH$10,IF($F237&lt;AH$9,MIN($I237/$I$207,$I237-SUM($K237:AG237)),0))</f>
        <v>0</v>
      </c>
      <c r="AI237" s="20">
        <f>IF($F237=AI$9,$I237/$I$207*AI$10,IF($F237&lt;AI$9,MIN($I237/$I$207,$I237-SUM($K237:AH237)),0))</f>
        <v>0</v>
      </c>
      <c r="AJ237" s="20">
        <f>IF($F237=AJ$9,$I237/$I$207*AJ$10,IF($F237&lt;AJ$9,MIN($I237/$I$207,$I237-SUM($K237:AI237)),0))</f>
        <v>0</v>
      </c>
      <c r="AK237" s="20">
        <f>IF($F237=AK$9,$I237/$I$207*AK$10,IF($F237&lt;AK$9,MIN($I237/$I$207,$I237-SUM($K237:AJ237)),0))</f>
        <v>0</v>
      </c>
      <c r="AL237" s="20">
        <f>IF($F237=AL$9,$I237/$I$207*AL$10,IF($F237&lt;AL$9,MIN($I237/$I$207,$I237-SUM($K237:AK237)),0))</f>
        <v>0</v>
      </c>
      <c r="AM237" s="20">
        <f>IF($F237=AM$9,$I237/$I$207*AM$10,IF($F237&lt;AM$9,MIN($I237/$I$207,$I237-SUM($K237:AL237)),0))</f>
        <v>0</v>
      </c>
      <c r="AN237" s="20">
        <f>IF($F237=AN$9,$I237/$I$207*AN$10,IF($F237&lt;AN$9,MIN($I237/$I$207,$I237-SUM($K237:AM237)),0))</f>
        <v>0</v>
      </c>
      <c r="AO237" s="28"/>
    </row>
    <row r="238" spans="3:41" ht="14.4" customHeight="1" outlineLevel="1" x14ac:dyDescent="0.3">
      <c r="F238" s="136"/>
      <c r="H238" s="26"/>
      <c r="I238" s="138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28"/>
    </row>
    <row r="239" spans="3:41" ht="14.4" customHeight="1" outlineLevel="1" x14ac:dyDescent="0.3">
      <c r="C239" s="2" t="s">
        <v>311</v>
      </c>
      <c r="F239" s="136"/>
      <c r="H239" s="26" t="s">
        <v>245</v>
      </c>
      <c r="I239" s="138"/>
      <c r="K239" s="36"/>
      <c r="L239" s="88">
        <f>SUM(L209:L237)</f>
        <v>0</v>
      </c>
      <c r="M239" s="88">
        <f t="shared" ref="M239:AN239" si="108">SUM(M209:M237)</f>
        <v>0</v>
      </c>
      <c r="N239" s="88">
        <f>SUM(N209:N237)</f>
        <v>30.767387066677959</v>
      </c>
      <c r="O239" s="88">
        <f t="shared" si="108"/>
        <v>36.920864480013549</v>
      </c>
      <c r="P239" s="88">
        <f t="shared" si="108"/>
        <v>36.920864480013549</v>
      </c>
      <c r="Q239" s="88">
        <f t="shared" si="108"/>
        <v>36.920864480013549</v>
      </c>
      <c r="R239" s="88">
        <f t="shared" si="108"/>
        <v>36.920864480013549</v>
      </c>
      <c r="S239" s="88">
        <f t="shared" si="108"/>
        <v>6.1534774133356223</v>
      </c>
      <c r="T239" s="88">
        <f t="shared" si="108"/>
        <v>0</v>
      </c>
      <c r="U239" s="88">
        <f t="shared" si="108"/>
        <v>0</v>
      </c>
      <c r="V239" s="88">
        <f t="shared" si="108"/>
        <v>0</v>
      </c>
      <c r="W239" s="88">
        <f t="shared" si="108"/>
        <v>0</v>
      </c>
      <c r="X239" s="88">
        <f t="shared" si="108"/>
        <v>0</v>
      </c>
      <c r="Y239" s="88">
        <f t="shared" si="108"/>
        <v>0</v>
      </c>
      <c r="Z239" s="88">
        <f t="shared" si="108"/>
        <v>0</v>
      </c>
      <c r="AA239" s="88">
        <f t="shared" si="108"/>
        <v>0</v>
      </c>
      <c r="AB239" s="88">
        <f t="shared" si="108"/>
        <v>0</v>
      </c>
      <c r="AC239" s="88">
        <f t="shared" si="108"/>
        <v>0</v>
      </c>
      <c r="AD239" s="88">
        <f t="shared" si="108"/>
        <v>0</v>
      </c>
      <c r="AE239" s="88">
        <f t="shared" si="108"/>
        <v>0</v>
      </c>
      <c r="AF239" s="88">
        <f t="shared" si="108"/>
        <v>0</v>
      </c>
      <c r="AG239" s="88">
        <f t="shared" si="108"/>
        <v>0</v>
      </c>
      <c r="AH239" s="88">
        <f t="shared" si="108"/>
        <v>0</v>
      </c>
      <c r="AI239" s="88">
        <f t="shared" si="108"/>
        <v>0</v>
      </c>
      <c r="AJ239" s="88">
        <f t="shared" si="108"/>
        <v>0</v>
      </c>
      <c r="AK239" s="88">
        <f t="shared" si="108"/>
        <v>0</v>
      </c>
      <c r="AL239" s="88">
        <f t="shared" si="108"/>
        <v>0</v>
      </c>
      <c r="AM239" s="88">
        <f t="shared" si="108"/>
        <v>0</v>
      </c>
      <c r="AN239" s="88">
        <f t="shared" si="108"/>
        <v>0</v>
      </c>
      <c r="AO239" s="28"/>
    </row>
    <row r="240" spans="3:41" ht="14.4" customHeight="1" outlineLevel="1" x14ac:dyDescent="0.3">
      <c r="C240" s="2"/>
      <c r="F240" s="136"/>
      <c r="H240" s="26"/>
      <c r="I240" s="138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28"/>
    </row>
    <row r="241" spans="3:41" ht="14.4" customHeight="1" outlineLevel="1" x14ac:dyDescent="0.3">
      <c r="C241" s="1" t="s">
        <v>303</v>
      </c>
      <c r="F241" s="136"/>
      <c r="H241" s="26" t="s">
        <v>245</v>
      </c>
      <c r="I241" s="138"/>
      <c r="K241" s="89">
        <v>0</v>
      </c>
      <c r="L241" s="20">
        <f>SUM($L$146:L146)-SUM($L$239:L239)</f>
        <v>0</v>
      </c>
      <c r="M241" s="20">
        <f>SUM($L$146:M146)-SUM($L$239:M239)</f>
        <v>0</v>
      </c>
      <c r="N241" s="20">
        <f>SUM($L$146:N146)-SUM($L$239:N239)</f>
        <v>153.83693533338979</v>
      </c>
      <c r="O241" s="20">
        <f>SUM($L$146:O146)-SUM($L$239:O239)</f>
        <v>116.91607085337625</v>
      </c>
      <c r="P241" s="20">
        <f>SUM($L$146:P146)-SUM($L$239:P239)</f>
        <v>79.995206373362706</v>
      </c>
      <c r="Q241" s="20">
        <f>SUM($L$146:Q146)-SUM($L$239:Q239)</f>
        <v>43.074341893349157</v>
      </c>
      <c r="R241" s="20">
        <f>SUM($L$146:R146)-SUM($L$239:R239)</f>
        <v>6.1534774133356223</v>
      </c>
      <c r="S241" s="20">
        <f>SUM($L$146:S146)-SUM($L$239:S239)</f>
        <v>0</v>
      </c>
      <c r="T241" s="20">
        <f>SUM($L$146:T146)-SUM($L$239:T239)</f>
        <v>0</v>
      </c>
      <c r="U241" s="20">
        <f>SUM($L$146:U146)-SUM($L$239:U239)</f>
        <v>0</v>
      </c>
      <c r="V241" s="20">
        <f>SUM($L$146:V146)-SUM($L$239:V239)</f>
        <v>0</v>
      </c>
      <c r="W241" s="20">
        <f>SUM($L$146:W146)-SUM($L$239:W239)</f>
        <v>0</v>
      </c>
      <c r="X241" s="20">
        <f>SUM($L$146:X146)-SUM($L$239:X239)</f>
        <v>0</v>
      </c>
      <c r="Y241" s="20">
        <f>SUM($L$146:Y146)-SUM($L$239:Y239)</f>
        <v>0</v>
      </c>
      <c r="Z241" s="20">
        <f>SUM($L$146:Z146)-SUM($L$239:Z239)</f>
        <v>0</v>
      </c>
      <c r="AA241" s="20">
        <f>SUM($L$146:AA146)-SUM($L$239:AA239)</f>
        <v>0</v>
      </c>
      <c r="AB241" s="20">
        <f>SUM($L$146:AB146)-SUM($L$239:AB239)</f>
        <v>0</v>
      </c>
      <c r="AC241" s="20">
        <f>SUM($L$146:AC146)-SUM($L$239:AC239)</f>
        <v>0</v>
      </c>
      <c r="AD241" s="20">
        <f>SUM($L$146:AD146)-SUM($L$239:AD239)</f>
        <v>0</v>
      </c>
      <c r="AE241" s="20">
        <f>SUM($L$146:AE146)-SUM($L$239:AE239)</f>
        <v>0</v>
      </c>
      <c r="AF241" s="20">
        <f>SUM($L$146:AF146)-SUM($L$239:AF239)</f>
        <v>0</v>
      </c>
      <c r="AG241" s="20">
        <f>SUM($L$146:AG146)-SUM($L$239:AG239)</f>
        <v>0</v>
      </c>
      <c r="AH241" s="20">
        <f>SUM($L$146:AH146)-SUM($L$239:AH239)</f>
        <v>0</v>
      </c>
      <c r="AI241" s="20">
        <f>SUM($L$146:AI146)-SUM($L$239:AI239)</f>
        <v>0</v>
      </c>
      <c r="AJ241" s="20">
        <f>SUM($L$146:AJ146)-SUM($L$239:AJ239)</f>
        <v>0</v>
      </c>
      <c r="AK241" s="20">
        <f>SUM($L$146:AK146)-SUM($L$239:AK239)</f>
        <v>0</v>
      </c>
      <c r="AL241" s="20">
        <f>SUM($L$146:AL146)-SUM($L$239:AL239)</f>
        <v>0</v>
      </c>
      <c r="AM241" s="20">
        <f>SUM($L$146:AM146)-SUM($L$239:AM239)</f>
        <v>0</v>
      </c>
      <c r="AN241" s="20">
        <f>SUM($L$146:AN146)-SUM($L$239:AN239)</f>
        <v>0</v>
      </c>
      <c r="AO241" s="28"/>
    </row>
    <row r="242" spans="3:41" ht="14.4" customHeight="1" outlineLevel="1" x14ac:dyDescent="0.3">
      <c r="F242" s="136"/>
      <c r="H242" s="26"/>
      <c r="I242" s="138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28"/>
    </row>
    <row r="243" spans="3:41" ht="14.4" customHeight="1" outlineLevel="1" x14ac:dyDescent="0.3">
      <c r="C243" s="1" t="s">
        <v>302</v>
      </c>
      <c r="H243" s="26" t="s">
        <v>245</v>
      </c>
      <c r="I243" s="138"/>
      <c r="K243" s="36"/>
      <c r="L243" s="20">
        <f t="shared" ref="L243:AN243" si="109">L239*(1-IFERROR($I$96/$I$103,0))</f>
        <v>0</v>
      </c>
      <c r="M243" s="20">
        <f t="shared" si="109"/>
        <v>0</v>
      </c>
      <c r="N243" s="20">
        <f t="shared" si="109"/>
        <v>26.693885275423721</v>
      </c>
      <c r="O243" s="20">
        <f t="shared" si="109"/>
        <v>32.032662330508465</v>
      </c>
      <c r="P243" s="20">
        <f t="shared" si="109"/>
        <v>32.032662330508465</v>
      </c>
      <c r="Q243" s="20">
        <f t="shared" si="109"/>
        <v>32.032662330508465</v>
      </c>
      <c r="R243" s="20">
        <f t="shared" si="109"/>
        <v>32.032662330508465</v>
      </c>
      <c r="S243" s="20">
        <f t="shared" si="109"/>
        <v>5.3387770550847709</v>
      </c>
      <c r="T243" s="20">
        <f t="shared" si="109"/>
        <v>0</v>
      </c>
      <c r="U243" s="20">
        <f t="shared" si="109"/>
        <v>0</v>
      </c>
      <c r="V243" s="20">
        <f t="shared" si="109"/>
        <v>0</v>
      </c>
      <c r="W243" s="20">
        <f t="shared" si="109"/>
        <v>0</v>
      </c>
      <c r="X243" s="20">
        <f t="shared" si="109"/>
        <v>0</v>
      </c>
      <c r="Y243" s="20">
        <f t="shared" si="109"/>
        <v>0</v>
      </c>
      <c r="Z243" s="20">
        <f t="shared" si="109"/>
        <v>0</v>
      </c>
      <c r="AA243" s="20">
        <f t="shared" si="109"/>
        <v>0</v>
      </c>
      <c r="AB243" s="20">
        <f t="shared" si="109"/>
        <v>0</v>
      </c>
      <c r="AC243" s="20">
        <f t="shared" si="109"/>
        <v>0</v>
      </c>
      <c r="AD243" s="20">
        <f t="shared" si="109"/>
        <v>0</v>
      </c>
      <c r="AE243" s="20">
        <f t="shared" si="109"/>
        <v>0</v>
      </c>
      <c r="AF243" s="20">
        <f t="shared" si="109"/>
        <v>0</v>
      </c>
      <c r="AG243" s="20">
        <f t="shared" si="109"/>
        <v>0</v>
      </c>
      <c r="AH243" s="20">
        <f t="shared" si="109"/>
        <v>0</v>
      </c>
      <c r="AI243" s="20">
        <f t="shared" si="109"/>
        <v>0</v>
      </c>
      <c r="AJ243" s="20">
        <f t="shared" si="109"/>
        <v>0</v>
      </c>
      <c r="AK243" s="20">
        <f t="shared" si="109"/>
        <v>0</v>
      </c>
      <c r="AL243" s="20">
        <f t="shared" si="109"/>
        <v>0</v>
      </c>
      <c r="AM243" s="20">
        <f t="shared" si="109"/>
        <v>0</v>
      </c>
      <c r="AN243" s="20">
        <f t="shared" si="109"/>
        <v>0</v>
      </c>
      <c r="AO243" s="28"/>
    </row>
    <row r="244" spans="3:41" ht="14.4" customHeight="1" outlineLevel="1" x14ac:dyDescent="0.3">
      <c r="I244" s="138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28"/>
    </row>
    <row r="245" spans="3:41" ht="14.4" customHeight="1" outlineLevel="1" x14ac:dyDescent="0.3">
      <c r="C245" s="1" t="s">
        <v>306</v>
      </c>
      <c r="H245" s="26" t="s">
        <v>245</v>
      </c>
      <c r="I245" s="138"/>
      <c r="K245" s="89">
        <v>0</v>
      </c>
      <c r="L245" s="20">
        <f t="shared" ref="L245:AN245" si="110">L241*(1-IFERROR($I$96/$I$103,0))</f>
        <v>0</v>
      </c>
      <c r="M245" s="20">
        <f t="shared" si="110"/>
        <v>0</v>
      </c>
      <c r="N245" s="20">
        <f t="shared" si="110"/>
        <v>133.46942637711859</v>
      </c>
      <c r="O245" s="20">
        <f t="shared" si="110"/>
        <v>101.43676404661015</v>
      </c>
      <c r="P245" s="20">
        <f t="shared" si="110"/>
        <v>69.404101716101692</v>
      </c>
      <c r="Q245" s="20">
        <f t="shared" si="110"/>
        <v>37.37143938559322</v>
      </c>
      <c r="R245" s="20">
        <f t="shared" si="110"/>
        <v>5.3387770550847709</v>
      </c>
      <c r="S245" s="20">
        <f t="shared" si="110"/>
        <v>0</v>
      </c>
      <c r="T245" s="20">
        <f t="shared" si="110"/>
        <v>0</v>
      </c>
      <c r="U245" s="20">
        <f t="shared" si="110"/>
        <v>0</v>
      </c>
      <c r="V245" s="20">
        <f t="shared" si="110"/>
        <v>0</v>
      </c>
      <c r="W245" s="20">
        <f t="shared" si="110"/>
        <v>0</v>
      </c>
      <c r="X245" s="20">
        <f t="shared" si="110"/>
        <v>0</v>
      </c>
      <c r="Y245" s="20">
        <f t="shared" si="110"/>
        <v>0</v>
      </c>
      <c r="Z245" s="20">
        <f t="shared" si="110"/>
        <v>0</v>
      </c>
      <c r="AA245" s="20">
        <f t="shared" si="110"/>
        <v>0</v>
      </c>
      <c r="AB245" s="20">
        <f t="shared" si="110"/>
        <v>0</v>
      </c>
      <c r="AC245" s="20">
        <f t="shared" si="110"/>
        <v>0</v>
      </c>
      <c r="AD245" s="20">
        <f t="shared" si="110"/>
        <v>0</v>
      </c>
      <c r="AE245" s="20">
        <f t="shared" si="110"/>
        <v>0</v>
      </c>
      <c r="AF245" s="20">
        <f t="shared" si="110"/>
        <v>0</v>
      </c>
      <c r="AG245" s="20">
        <f t="shared" si="110"/>
        <v>0</v>
      </c>
      <c r="AH245" s="20">
        <f t="shared" si="110"/>
        <v>0</v>
      </c>
      <c r="AI245" s="20">
        <f t="shared" si="110"/>
        <v>0</v>
      </c>
      <c r="AJ245" s="20">
        <f t="shared" si="110"/>
        <v>0</v>
      </c>
      <c r="AK245" s="20">
        <f t="shared" si="110"/>
        <v>0</v>
      </c>
      <c r="AL245" s="20">
        <f t="shared" si="110"/>
        <v>0</v>
      </c>
      <c r="AM245" s="20">
        <f t="shared" si="110"/>
        <v>0</v>
      </c>
      <c r="AN245" s="20">
        <f t="shared" si="110"/>
        <v>0</v>
      </c>
      <c r="AO245" s="28"/>
    </row>
    <row r="246" spans="3:41" ht="14.4" customHeight="1" outlineLevel="1" x14ac:dyDescent="0.3">
      <c r="H246" s="26"/>
      <c r="I246" s="138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28"/>
    </row>
    <row r="247" spans="3:41" ht="14.4" customHeight="1" outlineLevel="1" x14ac:dyDescent="0.3">
      <c r="C247" s="1" t="s">
        <v>412</v>
      </c>
      <c r="H247" s="26" t="s">
        <v>245</v>
      </c>
      <c r="I247" s="138"/>
      <c r="K247" s="36"/>
      <c r="L247" s="20">
        <f>IF(L$9=YEAR(Input!$H$12),YEARFRAC(Input!$H$12,Расчеты!L3,3)*Расчеты!$I$103,AVERAGE(Расчеты!K241,Расчеты!L241))</f>
        <v>0</v>
      </c>
      <c r="M247" s="20">
        <f>IF(M$9=YEAR(Input!$H$12),YEARFRAC(Input!$H$12,Расчеты!M3,3)*Расчеты!$I$103,AVERAGE(Расчеты!L241,Расчеты!M241))</f>
        <v>0</v>
      </c>
      <c r="N247" s="20">
        <f>IF(N$9=YEAR(Input!$H$12),YEARFRAC(Input!$H$12,Расчеты!N3,3)*Расчеты!$I$103,AVERAGE(Расчеты!M241,Расчеты!N241))</f>
        <v>154.25840638909773</v>
      </c>
      <c r="O247" s="20">
        <f>IF(O$9=YEAR(Input!$H$12),YEARFRAC(Input!$H$12,Расчеты!O3,3)*Расчеты!$I$103,AVERAGE(Расчеты!N241,Расчеты!O241))</f>
        <v>135.37650309338301</v>
      </c>
      <c r="P247" s="20">
        <f>IF(P$9=YEAR(Input!$H$12),YEARFRAC(Input!$H$12,Расчеты!P3,3)*Расчеты!$I$103,AVERAGE(Расчеты!O241,Расчеты!P241))</f>
        <v>98.455638613369473</v>
      </c>
      <c r="Q247" s="20">
        <f>IF(Q$9=YEAR(Input!$H$12),YEARFRAC(Input!$H$12,Расчеты!Q3,3)*Расчеты!$I$103,AVERAGE(Расчеты!P241,Расчеты!Q241))</f>
        <v>61.534774133355931</v>
      </c>
      <c r="R247" s="20">
        <f>IF(R$9=YEAR(Input!$H$12),YEARFRAC(Input!$H$12,Расчеты!R3,3)*Расчеты!$I$103,AVERAGE(Расчеты!Q241,Расчеты!R241))</f>
        <v>24.61390965334239</v>
      </c>
      <c r="S247" s="20">
        <f>IF(S$9=YEAR(Input!$H$12),YEARFRAC(Input!$H$12,Расчеты!S3,3)*Расчеты!$I$103,AVERAGE(Расчеты!R241,Расчеты!S241))</f>
        <v>3.0767387066678111</v>
      </c>
      <c r="T247" s="20">
        <f>IF(T$9=YEAR(Input!$H$12),YEARFRAC(Input!$H$12,Расчеты!T3,3)*Расчеты!$I$103,AVERAGE(Расчеты!S241,Расчеты!T241))</f>
        <v>0</v>
      </c>
      <c r="U247" s="20">
        <f>IF(U$9=YEAR(Input!$H$12),YEARFRAC(Input!$H$12,Расчеты!U3,3)*Расчеты!$I$103,AVERAGE(Расчеты!T241,Расчеты!U241))</f>
        <v>0</v>
      </c>
      <c r="V247" s="20">
        <f>IF(V$9=YEAR(Input!$H$12),YEARFRAC(Input!$H$12,Расчеты!V3,3)*Расчеты!$I$103,AVERAGE(Расчеты!U241,Расчеты!V241))</f>
        <v>0</v>
      </c>
      <c r="W247" s="20">
        <f>IF(W$9=YEAR(Input!$H$12),YEARFRAC(Input!$H$12,Расчеты!W3,3)*Расчеты!$I$103,AVERAGE(Расчеты!V241,Расчеты!W241))</f>
        <v>0</v>
      </c>
      <c r="X247" s="20">
        <f>IF(X$9=YEAR(Input!$H$12),YEARFRAC(Input!$H$12,Расчеты!X3,3)*Расчеты!$I$103,AVERAGE(Расчеты!W241,Расчеты!X241))</f>
        <v>0</v>
      </c>
      <c r="Y247" s="20">
        <f>IF(Y$9=YEAR(Input!$H$12),YEARFRAC(Input!$H$12,Расчеты!Y3,3)*Расчеты!$I$103,AVERAGE(Расчеты!X241,Расчеты!Y241))</f>
        <v>0</v>
      </c>
      <c r="Z247" s="20">
        <f>IF(Z$9=YEAR(Input!$H$12),YEARFRAC(Input!$H$12,Расчеты!Z3,3)*Расчеты!$I$103,AVERAGE(Расчеты!Y241,Расчеты!Z241))</f>
        <v>0</v>
      </c>
      <c r="AA247" s="20">
        <f>IF(AA$9=YEAR(Input!$H$12),YEARFRAC(Input!$H$12,Расчеты!AA3,3)*Расчеты!$I$103,AVERAGE(Расчеты!Z241,Расчеты!AA241))</f>
        <v>0</v>
      </c>
      <c r="AB247" s="20">
        <f>IF(AB$9=YEAR(Input!$H$12),YEARFRAC(Input!$H$12,Расчеты!AB3,3)*Расчеты!$I$103,AVERAGE(Расчеты!AA241,Расчеты!AB241))</f>
        <v>0</v>
      </c>
      <c r="AC247" s="20">
        <f>IF(AC$9=YEAR(Input!$H$12),YEARFRAC(Input!$H$12,Расчеты!AC3,3)*Расчеты!$I$103,AVERAGE(Расчеты!AB241,Расчеты!AC241))</f>
        <v>0</v>
      </c>
      <c r="AD247" s="20">
        <f>IF(AD$9=YEAR(Input!$H$12),YEARFRAC(Input!$H$12,Расчеты!AD3,3)*Расчеты!$I$103,AVERAGE(Расчеты!AC241,Расчеты!AD241))</f>
        <v>0</v>
      </c>
      <c r="AE247" s="20">
        <f>IF(AE$9=YEAR(Input!$H$12),YEARFRAC(Input!$H$12,Расчеты!AE3,3)*Расчеты!$I$103,AVERAGE(Расчеты!AD241,Расчеты!AE241))</f>
        <v>0</v>
      </c>
      <c r="AF247" s="20">
        <f>IF(AF$9=YEAR(Input!$H$12),YEARFRAC(Input!$H$12,Расчеты!AF3,3)*Расчеты!$I$103,AVERAGE(Расчеты!AE241,Расчеты!AF241))</f>
        <v>0</v>
      </c>
      <c r="AG247" s="20">
        <f>IF(AG$9=YEAR(Input!$H$12),YEARFRAC(Input!$H$12,Расчеты!AG3,3)*Расчеты!$I$103,AVERAGE(Расчеты!AF241,Расчеты!AG241))</f>
        <v>0</v>
      </c>
      <c r="AH247" s="20">
        <f>IF(AH$9=YEAR(Input!$H$12),YEARFRAC(Input!$H$12,Расчеты!AH3,3)*Расчеты!$I$103,AVERAGE(Расчеты!AG241,Расчеты!AH241))</f>
        <v>0</v>
      </c>
      <c r="AI247" s="20">
        <f>IF(AI$9=YEAR(Input!$H$12),YEARFRAC(Input!$H$12,Расчеты!AI3,3)*Расчеты!$I$103,AVERAGE(Расчеты!AH241,Расчеты!AI241))</f>
        <v>0</v>
      </c>
      <c r="AJ247" s="20">
        <f>IF(AJ$9=YEAR(Input!$H$12),YEARFRAC(Input!$H$12,Расчеты!AJ3,3)*Расчеты!$I$103,AVERAGE(Расчеты!AI241,Расчеты!AJ241))</f>
        <v>0</v>
      </c>
      <c r="AK247" s="20">
        <f>IF(AK$9=YEAR(Input!$H$12),YEARFRAC(Input!$H$12,Расчеты!AK3,3)*Расчеты!$I$103,AVERAGE(Расчеты!AJ241,Расчеты!AK241))</f>
        <v>0</v>
      </c>
      <c r="AL247" s="20">
        <f>IF(AL$9=YEAR(Input!$H$12),YEARFRAC(Input!$H$12,Расчеты!AL3,3)*Расчеты!$I$103,AVERAGE(Расчеты!AK241,Расчеты!AL241))</f>
        <v>0</v>
      </c>
      <c r="AM247" s="20">
        <f>IF(AM$9=YEAR(Input!$H$12),YEARFRAC(Input!$H$12,Расчеты!AM3,3)*Расчеты!$I$103,AVERAGE(Расчеты!AL241,Расчеты!AM241))</f>
        <v>0</v>
      </c>
      <c r="AN247" s="20">
        <f>IF(AN$9=YEAR(Input!$H$12),YEARFRAC(Input!$H$12,Расчеты!AN3,3)*Расчеты!$I$103,AVERAGE(Расчеты!AM241,Расчеты!AN241))</f>
        <v>0</v>
      </c>
      <c r="AO247" s="28"/>
    </row>
    <row r="248" spans="3:41" ht="14.4" customHeight="1" outlineLevel="1" x14ac:dyDescent="0.3">
      <c r="H248" s="26"/>
      <c r="I248" s="138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28"/>
    </row>
    <row r="249" spans="3:41" ht="14.4" customHeight="1" outlineLevel="1" x14ac:dyDescent="0.3">
      <c r="C249" s="1" t="s">
        <v>413</v>
      </c>
      <c r="H249" s="26" t="s">
        <v>245</v>
      </c>
      <c r="I249" s="138"/>
      <c r="K249" s="36"/>
      <c r="L249" s="20">
        <f>IF(L$9=YEAR(Input!$H$12),YEARFRAC(Input!$H$12,Расчеты!L3,3)*Расчеты!$I$87,AVERAGE(Расчеты!K245,Расчеты!L245))</f>
        <v>0</v>
      </c>
      <c r="M249" s="20">
        <f>IF(M$9=YEAR(Input!$H$12),YEARFRAC(Input!$H$12,Расчеты!M3,3)*Расчеты!$I$87,AVERAGE(Расчеты!L245,Расчеты!M245))</f>
        <v>0</v>
      </c>
      <c r="N249" s="20">
        <f>IF(N$9=YEAR(Input!$H$12),YEARFRAC(Input!$H$12,Расчеты!N3,3)*Расчеты!$I$87,AVERAGE(Расчеты!M245,Расчеты!N245))</f>
        <v>133.8350960384258</v>
      </c>
      <c r="O249" s="20">
        <f>IF(O$9=YEAR(Input!$H$12),YEARFRAC(Input!$H$12,Расчеты!O3,3)*Расчеты!$I$87,AVERAGE(Расчеты!N245,Расчеты!O245))</f>
        <v>117.45309521186437</v>
      </c>
      <c r="P249" s="20">
        <f>IF(P$9=YEAR(Input!$H$12),YEARFRAC(Input!$H$12,Расчеты!P3,3)*Расчеты!$I$87,AVERAGE(Расчеты!O245,Расчеты!P245))</f>
        <v>85.420432881355921</v>
      </c>
      <c r="Q249" s="20">
        <f>IF(Q$9=YEAR(Input!$H$12),YEARFRAC(Input!$H$12,Расчеты!Q3,3)*Расчеты!$I$87,AVERAGE(Расчеты!P245,Расчеты!Q245))</f>
        <v>53.387770550847456</v>
      </c>
      <c r="R249" s="20">
        <f>IF(R$9=YEAR(Input!$H$12),YEARFRAC(Input!$H$12,Расчеты!R3,3)*Расчеты!$I$87,AVERAGE(Расчеты!Q245,Расчеты!R245))</f>
        <v>21.355108220338995</v>
      </c>
      <c r="S249" s="20">
        <f>IF(S$9=YEAR(Input!$H$12),YEARFRAC(Input!$H$12,Расчеты!S3,3)*Расчеты!$I$87,AVERAGE(Расчеты!R245,Расчеты!S245))</f>
        <v>2.6693885275423854</v>
      </c>
      <c r="T249" s="20">
        <f>IF(T$9=YEAR(Input!$H$12),YEARFRAC(Input!$H$12,Расчеты!T3,3)*Расчеты!$I$87,AVERAGE(Расчеты!S245,Расчеты!T245))</f>
        <v>0</v>
      </c>
      <c r="U249" s="20">
        <f>IF(U$9=YEAR(Input!$H$12),YEARFRAC(Input!$H$12,Расчеты!U3,3)*Расчеты!$I$87,AVERAGE(Расчеты!T245,Расчеты!U245))</f>
        <v>0</v>
      </c>
      <c r="V249" s="20">
        <f>IF(V$9=YEAR(Input!$H$12),YEARFRAC(Input!$H$12,Расчеты!V3,3)*Расчеты!$I$87,AVERAGE(Расчеты!U245,Расчеты!V245))</f>
        <v>0</v>
      </c>
      <c r="W249" s="20">
        <f>IF(W$9=YEAR(Input!$H$12),YEARFRAC(Input!$H$12,Расчеты!W3,3)*Расчеты!$I$87,AVERAGE(Расчеты!V245,Расчеты!W245))</f>
        <v>0</v>
      </c>
      <c r="X249" s="20">
        <f>IF(X$9=YEAR(Input!$H$12),YEARFRAC(Input!$H$12,Расчеты!X3,3)*Расчеты!$I$87,AVERAGE(Расчеты!W245,Расчеты!X245))</f>
        <v>0</v>
      </c>
      <c r="Y249" s="20">
        <f>IF(Y$9=YEAR(Input!$H$12),YEARFRAC(Input!$H$12,Расчеты!Y3,3)*Расчеты!$I$87,AVERAGE(Расчеты!X245,Расчеты!Y245))</f>
        <v>0</v>
      </c>
      <c r="Z249" s="20">
        <f>IF(Z$9=YEAR(Input!$H$12),YEARFRAC(Input!$H$12,Расчеты!Z3,3)*Расчеты!$I$87,AVERAGE(Расчеты!Y245,Расчеты!Z245))</f>
        <v>0</v>
      </c>
      <c r="AA249" s="20">
        <f>IF(AA$9=YEAR(Input!$H$12),YEARFRAC(Input!$H$12,Расчеты!AA3,3)*Расчеты!$I$87,AVERAGE(Расчеты!Z245,Расчеты!AA245))</f>
        <v>0</v>
      </c>
      <c r="AB249" s="20">
        <f>IF(AB$9=YEAR(Input!$H$12),YEARFRAC(Input!$H$12,Расчеты!AB3,3)*Расчеты!$I$87,AVERAGE(Расчеты!AA245,Расчеты!AB245))</f>
        <v>0</v>
      </c>
      <c r="AC249" s="20">
        <f>IF(AC$9=YEAR(Input!$H$12),YEARFRAC(Input!$H$12,Расчеты!AC3,3)*Расчеты!$I$87,AVERAGE(Расчеты!AB245,Расчеты!AC245))</f>
        <v>0</v>
      </c>
      <c r="AD249" s="20">
        <f>IF(AD$9=YEAR(Input!$H$12),YEARFRAC(Input!$H$12,Расчеты!AD3,3)*Расчеты!$I$87,AVERAGE(Расчеты!AC245,Расчеты!AD245))</f>
        <v>0</v>
      </c>
      <c r="AE249" s="20">
        <f>IF(AE$9=YEAR(Input!$H$12),YEARFRAC(Input!$H$12,Расчеты!AE3,3)*Расчеты!$I$87,AVERAGE(Расчеты!AD245,Расчеты!AE245))</f>
        <v>0</v>
      </c>
      <c r="AF249" s="20">
        <f>IF(AF$9=YEAR(Input!$H$12),YEARFRAC(Input!$H$12,Расчеты!AF3,3)*Расчеты!$I$87,AVERAGE(Расчеты!AE245,Расчеты!AF245))</f>
        <v>0</v>
      </c>
      <c r="AG249" s="20">
        <f>IF(AG$9=YEAR(Input!$H$12),YEARFRAC(Input!$H$12,Расчеты!AG3,3)*Расчеты!$I$87,AVERAGE(Расчеты!AF245,Расчеты!AG245))</f>
        <v>0</v>
      </c>
      <c r="AH249" s="20">
        <f>IF(AH$9=YEAR(Input!$H$12),YEARFRAC(Input!$H$12,Расчеты!AH3,3)*Расчеты!$I$87,AVERAGE(Расчеты!AG245,Расчеты!AH245))</f>
        <v>0</v>
      </c>
      <c r="AI249" s="20">
        <f>IF(AI$9=YEAR(Input!$H$12),YEARFRAC(Input!$H$12,Расчеты!AI3,3)*Расчеты!$I$87,AVERAGE(Расчеты!AH245,Расчеты!AI245))</f>
        <v>0</v>
      </c>
      <c r="AJ249" s="20">
        <f>IF(AJ$9=YEAR(Input!$H$12),YEARFRAC(Input!$H$12,Расчеты!AJ3,3)*Расчеты!$I$87,AVERAGE(Расчеты!AI245,Расчеты!AJ245))</f>
        <v>0</v>
      </c>
      <c r="AK249" s="20">
        <f>IF(AK$9=YEAR(Input!$H$12),YEARFRAC(Input!$H$12,Расчеты!AK3,3)*Расчеты!$I$87,AVERAGE(Расчеты!AJ245,Расчеты!AK245))</f>
        <v>0</v>
      </c>
      <c r="AL249" s="20">
        <f>IF(AL$9=YEAR(Input!$H$12),YEARFRAC(Input!$H$12,Расчеты!AL3,3)*Расчеты!$I$87,AVERAGE(Расчеты!AK245,Расчеты!AL245))</f>
        <v>0</v>
      </c>
      <c r="AM249" s="20">
        <f>IF(AM$9=YEAR(Input!$H$12),YEARFRAC(Input!$H$12,Расчеты!AM3,3)*Расчеты!$I$87,AVERAGE(Расчеты!AL245,Расчеты!AM245))</f>
        <v>0</v>
      </c>
      <c r="AN249" s="20">
        <f>IF(AN$9=YEAR(Input!$H$12),YEARFRAC(Input!$H$12,Расчеты!AN3,3)*Расчеты!$I$87,AVERAGE(Расчеты!AM245,Расчеты!AN245))</f>
        <v>0</v>
      </c>
      <c r="AO249" s="28"/>
    </row>
    <row r="250" spans="3:41" ht="14.4" customHeight="1" outlineLevel="1" x14ac:dyDescent="0.3">
      <c r="H250" s="2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28"/>
    </row>
    <row r="251" spans="3:41" ht="14.4" customHeight="1" outlineLevel="1" x14ac:dyDescent="0.3">
      <c r="C251" s="2" t="s">
        <v>294</v>
      </c>
      <c r="D251" s="2"/>
      <c r="E251" s="2"/>
      <c r="F251" s="2"/>
      <c r="G251" s="2"/>
      <c r="H251" s="30"/>
      <c r="I251" s="90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28"/>
    </row>
    <row r="252" spans="3:41" ht="14.4" customHeight="1" outlineLevel="1" x14ac:dyDescent="0.3"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28"/>
    </row>
    <row r="253" spans="3:41" ht="14.4" customHeight="1" outlineLevel="1" x14ac:dyDescent="0.3">
      <c r="C253" s="1" t="s">
        <v>126</v>
      </c>
      <c r="H253" s="26" t="str">
        <f>Input!G72</f>
        <v>лет</v>
      </c>
      <c r="I253" s="135">
        <f>Input!H72</f>
        <v>10</v>
      </c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28"/>
    </row>
    <row r="254" spans="3:41" ht="14.4" customHeight="1" outlineLevel="1" x14ac:dyDescent="0.3">
      <c r="H254" s="2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28"/>
    </row>
    <row r="255" spans="3:41" ht="14.4" customHeight="1" outlineLevel="1" x14ac:dyDescent="0.3">
      <c r="F255" s="69" cm="1">
        <f t="array" ref="F255:F283">TRANSPOSE(L9:AN9)</f>
        <v>2024</v>
      </c>
      <c r="H255" s="26" t="s">
        <v>245</v>
      </c>
      <c r="I255" s="128" cm="1">
        <f t="array" ref="I255:I283">TRANSPOSE(L147:AN147)</f>
        <v>0</v>
      </c>
      <c r="K255" s="89">
        <v>0</v>
      </c>
      <c r="L255" s="20">
        <f>IF($F255=L$9,$I255/$I$253*L$10,IF($F255&lt;L$9,MIN($I255/$I$253,$I255-SUM($K255:K255)),0))</f>
        <v>0</v>
      </c>
      <c r="M255" s="20">
        <f>IF($F255=M$9,$I255/$I$253*M$10,IF($F255&lt;M$9,MIN($I255/$I$253,$I255-SUM($K255:L255)),0))</f>
        <v>0</v>
      </c>
      <c r="N255" s="20">
        <f>IF($F255=N$9,$I255/$I$253*N$10,IF($F255&lt;N$9,MIN($I255/$I$253,$I255-SUM($K255:M255)),0))</f>
        <v>0</v>
      </c>
      <c r="O255" s="20">
        <f>IF($F255=O$9,$I255/$I$253*O$10,IF($F255&lt;O$9,MIN($I255/$I$253,$I255-SUM($K255:N255)),0))</f>
        <v>0</v>
      </c>
      <c r="P255" s="20">
        <f>IF($F255=P$9,$I255/$I$253*P$10,IF($F255&lt;P$9,MIN($I255/$I$253,$I255-SUM($K255:O255)),0))</f>
        <v>0</v>
      </c>
      <c r="Q255" s="20">
        <f>IF($F255=Q$9,$I255/$I$253*Q$10,IF($F255&lt;Q$9,MIN($I255/$I$253,$I255-SUM($K255:P255)),0))</f>
        <v>0</v>
      </c>
      <c r="R255" s="20">
        <f>IF($F255=R$9,$I255/$I$253*R$10,IF($F255&lt;R$9,MIN($I255/$I$253,$I255-SUM($K255:Q255)),0))</f>
        <v>0</v>
      </c>
      <c r="S255" s="20">
        <f>IF($F255=S$9,$I255/$I$253*S$10,IF($F255&lt;S$9,MIN($I255/$I$253,$I255-SUM($K255:R255)),0))</f>
        <v>0</v>
      </c>
      <c r="T255" s="20">
        <f>IF($F255=T$9,$I255/$I$253*T$10,IF($F255&lt;T$9,MIN($I255/$I$253,$I255-SUM($K255:S255)),0))</f>
        <v>0</v>
      </c>
      <c r="U255" s="20">
        <f>IF($F255=U$9,$I255/$I$253*U$10,IF($F255&lt;U$9,MIN($I255/$I$253,$I255-SUM($K255:T255)),0))</f>
        <v>0</v>
      </c>
      <c r="V255" s="20">
        <f>IF($F255=V$9,$I255/$I$253*V$10,IF($F255&lt;V$9,MIN($I255/$I$253,$I255-SUM($K255:U255)),0))</f>
        <v>0</v>
      </c>
      <c r="W255" s="20">
        <f>IF($F255=W$9,$I255/$I$253*W$10,IF($F255&lt;W$9,MIN($I255/$I$253,$I255-SUM($K255:V255)),0))</f>
        <v>0</v>
      </c>
      <c r="X255" s="20">
        <f>IF($F255=X$9,$I255/$I$253*X$10,IF($F255&lt;X$9,MIN($I255/$I$253,$I255-SUM($K255:W255)),0))</f>
        <v>0</v>
      </c>
      <c r="Y255" s="20">
        <f>IF($F255=Y$9,$I255/$I$253*Y$10,IF($F255&lt;Y$9,MIN($I255/$I$253,$I255-SUM($K255:X255)),0))</f>
        <v>0</v>
      </c>
      <c r="Z255" s="20">
        <f>IF($F255=Z$9,$I255/$I$253*Z$10,IF($F255&lt;Z$9,MIN($I255/$I$253,$I255-SUM($K255:Y255)),0))</f>
        <v>0</v>
      </c>
      <c r="AA255" s="20">
        <f>IF($F255=AA$9,$I255/$I$253*AA$10,IF($F255&lt;AA$9,MIN($I255/$I$253,$I255-SUM($K255:Z255)),0))</f>
        <v>0</v>
      </c>
      <c r="AB255" s="20">
        <f>IF($F255=AB$9,$I255/$I$253*AB$10,IF($F255&lt;AB$9,MIN($I255/$I$253,$I255-SUM($K255:AA255)),0))</f>
        <v>0</v>
      </c>
      <c r="AC255" s="20">
        <f>IF($F255=AC$9,$I255/$I$253*AC$10,IF($F255&lt;AC$9,MIN($I255/$I$253,$I255-SUM($K255:AB255)),0))</f>
        <v>0</v>
      </c>
      <c r="AD255" s="20">
        <f>IF($F255=AD$9,$I255/$I$253*AD$10,IF($F255&lt;AD$9,MIN($I255/$I$253,$I255-SUM($K255:AC255)),0))</f>
        <v>0</v>
      </c>
      <c r="AE255" s="20">
        <f>IF($F255=AE$9,$I255/$I$253*AE$10,IF($F255&lt;AE$9,MIN($I255/$I$253,$I255-SUM($K255:AD255)),0))</f>
        <v>0</v>
      </c>
      <c r="AF255" s="20">
        <f>IF($F255=AF$9,$I255/$I$253*AF$10,IF($F255&lt;AF$9,MIN($I255/$I$253,$I255-SUM($K255:AE255)),0))</f>
        <v>0</v>
      </c>
      <c r="AG255" s="20">
        <f>IF($F255=AG$9,$I255/$I$253*AG$10,IF($F255&lt;AG$9,MIN($I255/$I$253,$I255-SUM($K255:AF255)),0))</f>
        <v>0</v>
      </c>
      <c r="AH255" s="20">
        <f>IF($F255=AH$9,$I255/$I$253*AH$10,IF($F255&lt;AH$9,MIN($I255/$I$253,$I255-SUM($K255:AG255)),0))</f>
        <v>0</v>
      </c>
      <c r="AI255" s="20">
        <f>IF($F255=AI$9,$I255/$I$253*AI$10,IF($F255&lt;AI$9,MIN($I255/$I$253,$I255-SUM($K255:AH255)),0))</f>
        <v>0</v>
      </c>
      <c r="AJ255" s="20">
        <f>IF($F255=AJ$9,$I255/$I$253*AJ$10,IF($F255&lt;AJ$9,MIN($I255/$I$253,$I255-SUM($K255:AI255)),0))</f>
        <v>0</v>
      </c>
      <c r="AK255" s="20">
        <f>IF($F255=AK$9,$I255/$I$253*AK$10,IF($F255&lt;AK$9,MIN($I255/$I$253,$I255-SUM($K255:AJ255)),0))</f>
        <v>0</v>
      </c>
      <c r="AL255" s="20">
        <f>IF($F255=AL$9,$I255/$I$253*AL$10,IF($F255&lt;AL$9,MIN($I255/$I$253,$I255-SUM($K255:AK255)),0))</f>
        <v>0</v>
      </c>
      <c r="AM255" s="20">
        <f>IF($F255=AM$9,$I255/$I$253*AM$10,IF($F255&lt;AM$9,MIN($I255/$I$253,$I255-SUM($K255:AL255)),0))</f>
        <v>0</v>
      </c>
      <c r="AN255" s="20">
        <f>IF($F255=AN$9,$I255/$I$253*AN$10,IF($F255&lt;AN$9,MIN($I255/$I$253,$I255-SUM($K255:AM255)),0))</f>
        <v>0</v>
      </c>
      <c r="AO255" s="28"/>
    </row>
    <row r="256" spans="3:41" ht="14.4" customHeight="1" outlineLevel="1" x14ac:dyDescent="0.3">
      <c r="F256" s="69">
        <v>2025</v>
      </c>
      <c r="H256" s="26" t="s">
        <v>245</v>
      </c>
      <c r="I256" s="128">
        <v>0</v>
      </c>
      <c r="K256" s="89">
        <v>0</v>
      </c>
      <c r="L256" s="20">
        <f>IF($F256=L$9,$I256/$I$253*L$10,IF($F256&lt;L$9,MIN($I256/$I$253,$I256-SUM($K256:K256)),0))</f>
        <v>0</v>
      </c>
      <c r="M256" s="20">
        <f>IF($F256=M$9,$I256/$I$253*M$10,IF($F256&lt;M$9,MIN($I256/$I$253,$I256-SUM($K256:L256)),0))</f>
        <v>0</v>
      </c>
      <c r="N256" s="20">
        <f>IF($F256=N$9,$I256/$I$253*N$10,IF($F256&lt;N$9,MIN($I256/$I$253,$I256-SUM($K256:M256)),0))</f>
        <v>0</v>
      </c>
      <c r="O256" s="20">
        <f>IF($F256=O$9,$I256/$I$253*O$10,IF($F256&lt;O$9,MIN($I256/$I$253,$I256-SUM($K256:N256)),0))</f>
        <v>0</v>
      </c>
      <c r="P256" s="20">
        <f>IF($F256=P$9,$I256/$I$253*P$10,IF($F256&lt;P$9,MIN($I256/$I$253,$I256-SUM($K256:O256)),0))</f>
        <v>0</v>
      </c>
      <c r="Q256" s="20">
        <f>IF($F256=Q$9,$I256/$I$253*Q$10,IF($F256&lt;Q$9,MIN($I256/$I$253,$I256-SUM($K256:P256)),0))</f>
        <v>0</v>
      </c>
      <c r="R256" s="20">
        <f>IF($F256=R$9,$I256/$I$253*R$10,IF($F256&lt;R$9,MIN($I256/$I$253,$I256-SUM($K256:Q256)),0))</f>
        <v>0</v>
      </c>
      <c r="S256" s="20">
        <f>IF($F256=S$9,$I256/$I$253*S$10,IF($F256&lt;S$9,MIN($I256/$I$253,$I256-SUM($K256:R256)),0))</f>
        <v>0</v>
      </c>
      <c r="T256" s="20">
        <f>IF($F256=T$9,$I256/$I$253*T$10,IF($F256&lt;T$9,MIN($I256/$I$253,$I256-SUM($K256:S256)),0))</f>
        <v>0</v>
      </c>
      <c r="U256" s="20">
        <f>IF($F256=U$9,$I256/$I$253*U$10,IF($F256&lt;U$9,MIN($I256/$I$253,$I256-SUM($K256:T256)),0))</f>
        <v>0</v>
      </c>
      <c r="V256" s="20">
        <f>IF($F256=V$9,$I256/$I$253*V$10,IF($F256&lt;V$9,MIN($I256/$I$253,$I256-SUM($K256:U256)),0))</f>
        <v>0</v>
      </c>
      <c r="W256" s="20">
        <f>IF($F256=W$9,$I256/$I$253*W$10,IF($F256&lt;W$9,MIN($I256/$I$253,$I256-SUM($K256:V256)),0))</f>
        <v>0</v>
      </c>
      <c r="X256" s="20">
        <f>IF($F256=X$9,$I256/$I$253*X$10,IF($F256&lt;X$9,MIN($I256/$I$253,$I256-SUM($K256:W256)),0))</f>
        <v>0</v>
      </c>
      <c r="Y256" s="20">
        <f>IF($F256=Y$9,$I256/$I$253*Y$10,IF($F256&lt;Y$9,MIN($I256/$I$253,$I256-SUM($K256:X256)),0))</f>
        <v>0</v>
      </c>
      <c r="Z256" s="20">
        <f>IF($F256=Z$9,$I256/$I$253*Z$10,IF($F256&lt;Z$9,MIN($I256/$I$253,$I256-SUM($K256:Y256)),0))</f>
        <v>0</v>
      </c>
      <c r="AA256" s="20">
        <f>IF($F256=AA$9,$I256/$I$253*AA$10,IF($F256&lt;AA$9,MIN($I256/$I$253,$I256-SUM($K256:Z256)),0))</f>
        <v>0</v>
      </c>
      <c r="AB256" s="20">
        <f>IF($F256=AB$9,$I256/$I$253*AB$10,IF($F256&lt;AB$9,MIN($I256/$I$253,$I256-SUM($K256:AA256)),0))</f>
        <v>0</v>
      </c>
      <c r="AC256" s="20">
        <f>IF($F256=AC$9,$I256/$I$253*AC$10,IF($F256&lt;AC$9,MIN($I256/$I$253,$I256-SUM($K256:AB256)),0))</f>
        <v>0</v>
      </c>
      <c r="AD256" s="20">
        <f>IF($F256=AD$9,$I256/$I$253*AD$10,IF($F256&lt;AD$9,MIN($I256/$I$253,$I256-SUM($K256:AC256)),0))</f>
        <v>0</v>
      </c>
      <c r="AE256" s="20">
        <f>IF($F256=AE$9,$I256/$I$253*AE$10,IF($F256&lt;AE$9,MIN($I256/$I$253,$I256-SUM($K256:AD256)),0))</f>
        <v>0</v>
      </c>
      <c r="AF256" s="20">
        <f>IF($F256=AF$9,$I256/$I$253*AF$10,IF($F256&lt;AF$9,MIN($I256/$I$253,$I256-SUM($K256:AE256)),0))</f>
        <v>0</v>
      </c>
      <c r="AG256" s="20">
        <f>IF($F256=AG$9,$I256/$I$253*AG$10,IF($F256&lt;AG$9,MIN($I256/$I$253,$I256-SUM($K256:AF256)),0))</f>
        <v>0</v>
      </c>
      <c r="AH256" s="20">
        <f>IF($F256=AH$9,$I256/$I$253*AH$10,IF($F256&lt;AH$9,MIN($I256/$I$253,$I256-SUM($K256:AG256)),0))</f>
        <v>0</v>
      </c>
      <c r="AI256" s="20">
        <f>IF($F256=AI$9,$I256/$I$253*AI$10,IF($F256&lt;AI$9,MIN($I256/$I$253,$I256-SUM($K256:AH256)),0))</f>
        <v>0</v>
      </c>
      <c r="AJ256" s="20">
        <f>IF($F256=AJ$9,$I256/$I$253*AJ$10,IF($F256&lt;AJ$9,MIN($I256/$I$253,$I256-SUM($K256:AI256)),0))</f>
        <v>0</v>
      </c>
      <c r="AK256" s="20">
        <f>IF($F256=AK$9,$I256/$I$253*AK$10,IF($F256&lt;AK$9,MIN($I256/$I$253,$I256-SUM($K256:AJ256)),0))</f>
        <v>0</v>
      </c>
      <c r="AL256" s="20">
        <f>IF($F256=AL$9,$I256/$I$253*AL$10,IF($F256&lt;AL$9,MIN($I256/$I$253,$I256-SUM($K256:AK256)),0))</f>
        <v>0</v>
      </c>
      <c r="AM256" s="20">
        <f>IF($F256=AM$9,$I256/$I$253*AM$10,IF($F256&lt;AM$9,MIN($I256/$I$253,$I256-SUM($K256:AL256)),0))</f>
        <v>0</v>
      </c>
      <c r="AN256" s="20">
        <f>IF($F256=AN$9,$I256/$I$253*AN$10,IF($F256&lt;AN$9,MIN($I256/$I$253,$I256-SUM($K256:AM256)),0))</f>
        <v>0</v>
      </c>
      <c r="AO256" s="28"/>
    </row>
    <row r="257" spans="6:41" ht="14.4" customHeight="1" outlineLevel="1" x14ac:dyDescent="0.3">
      <c r="F257" s="69">
        <v>2026</v>
      </c>
      <c r="H257" s="26" t="s">
        <v>245</v>
      </c>
      <c r="I257" s="128">
        <v>26.372046057152541</v>
      </c>
      <c r="K257" s="89">
        <v>0</v>
      </c>
      <c r="L257" s="20">
        <f>IF($F257=L$9,$I257/$I$253*L$10,IF($F257&lt;L$9,MIN($I257/$I$253,$I257-SUM($K257:K257)),0))</f>
        <v>0</v>
      </c>
      <c r="M257" s="20">
        <f>IF($F257=M$9,$I257/$I$253*M$10,IF($F257&lt;M$9,MIN($I257/$I$253,$I257-SUM($K257:L257)),0))</f>
        <v>0</v>
      </c>
      <c r="N257" s="20">
        <f>IF($F257=N$9,$I257/$I$253*N$10,IF($F257&lt;N$9,MIN($I257/$I$253,$I257-SUM($K257:M257)),0))</f>
        <v>2.1976705047627116</v>
      </c>
      <c r="O257" s="20">
        <f>IF($F257=O$9,$I257/$I$253*O$10,IF($F257&lt;O$9,MIN($I257/$I$253,$I257-SUM($K257:N257)),0))</f>
        <v>2.6372046057152541</v>
      </c>
      <c r="P257" s="20">
        <f>IF($F257=P$9,$I257/$I$253*P$10,IF($F257&lt;P$9,MIN($I257/$I$253,$I257-SUM($K257:O257)),0))</f>
        <v>2.6372046057152541</v>
      </c>
      <c r="Q257" s="20">
        <f>IF($F257=Q$9,$I257/$I$253*Q$10,IF($F257&lt;Q$9,MIN($I257/$I$253,$I257-SUM($K257:P257)),0))</f>
        <v>2.6372046057152541</v>
      </c>
      <c r="R257" s="20">
        <f>IF($F257=R$9,$I257/$I$253*R$10,IF($F257&lt;R$9,MIN($I257/$I$253,$I257-SUM($K257:Q257)),0))</f>
        <v>2.6372046057152541</v>
      </c>
      <c r="S257" s="20">
        <f>IF($F257=S$9,$I257/$I$253*S$10,IF($F257&lt;S$9,MIN($I257/$I$253,$I257-SUM($K257:R257)),0))</f>
        <v>2.6372046057152541</v>
      </c>
      <c r="T257" s="20">
        <f>IF($F257=T$9,$I257/$I$253*T$10,IF($F257&lt;T$9,MIN($I257/$I$253,$I257-SUM($K257:S257)),0))</f>
        <v>2.6372046057152541</v>
      </c>
      <c r="U257" s="20">
        <f>IF($F257=U$9,$I257/$I$253*U$10,IF($F257&lt;U$9,MIN($I257/$I$253,$I257-SUM($K257:T257)),0))</f>
        <v>2.6372046057152541</v>
      </c>
      <c r="V257" s="20">
        <f>IF($F257=V$9,$I257/$I$253*V$10,IF($F257&lt;V$9,MIN($I257/$I$253,$I257-SUM($K257:U257)),0))</f>
        <v>2.6372046057152541</v>
      </c>
      <c r="W257" s="20">
        <f>IF($F257=W$9,$I257/$I$253*W$10,IF($F257&lt;W$9,MIN($I257/$I$253,$I257-SUM($K257:V257)),0))</f>
        <v>2.6372046057152541</v>
      </c>
      <c r="X257" s="20">
        <f>IF($F257=X$9,$I257/$I$253*X$10,IF($F257&lt;X$9,MIN($I257/$I$253,$I257-SUM($K257:W257)),0))</f>
        <v>0.43953410095254242</v>
      </c>
      <c r="Y257" s="20">
        <f>IF($F257=Y$9,$I257/$I$253*Y$10,IF($F257&lt;Y$9,MIN($I257/$I$253,$I257-SUM($K257:X257)),0))</f>
        <v>0</v>
      </c>
      <c r="Z257" s="20">
        <f>IF($F257=Z$9,$I257/$I$253*Z$10,IF($F257&lt;Z$9,MIN($I257/$I$253,$I257-SUM($K257:Y257)),0))</f>
        <v>0</v>
      </c>
      <c r="AA257" s="20">
        <f>IF($F257=AA$9,$I257/$I$253*AA$10,IF($F257&lt;AA$9,MIN($I257/$I$253,$I257-SUM($K257:Z257)),0))</f>
        <v>0</v>
      </c>
      <c r="AB257" s="20">
        <f>IF($F257=AB$9,$I257/$I$253*AB$10,IF($F257&lt;AB$9,MIN($I257/$I$253,$I257-SUM($K257:AA257)),0))</f>
        <v>0</v>
      </c>
      <c r="AC257" s="20">
        <f>IF($F257=AC$9,$I257/$I$253*AC$10,IF($F257&lt;AC$9,MIN($I257/$I$253,$I257-SUM($K257:AB257)),0))</f>
        <v>0</v>
      </c>
      <c r="AD257" s="20">
        <f>IF($F257=AD$9,$I257/$I$253*AD$10,IF($F257&lt;AD$9,MIN($I257/$I$253,$I257-SUM($K257:AC257)),0))</f>
        <v>0</v>
      </c>
      <c r="AE257" s="20">
        <f>IF($F257=AE$9,$I257/$I$253*AE$10,IF($F257&lt;AE$9,MIN($I257/$I$253,$I257-SUM($K257:AD257)),0))</f>
        <v>0</v>
      </c>
      <c r="AF257" s="20">
        <f>IF($F257=AF$9,$I257/$I$253*AF$10,IF($F257&lt;AF$9,MIN($I257/$I$253,$I257-SUM($K257:AE257)),0))</f>
        <v>0</v>
      </c>
      <c r="AG257" s="20">
        <f>IF($F257=AG$9,$I257/$I$253*AG$10,IF($F257&lt;AG$9,MIN($I257/$I$253,$I257-SUM($K257:AF257)),0))</f>
        <v>0</v>
      </c>
      <c r="AH257" s="20">
        <f>IF($F257=AH$9,$I257/$I$253*AH$10,IF($F257&lt;AH$9,MIN($I257/$I$253,$I257-SUM($K257:AG257)),0))</f>
        <v>0</v>
      </c>
      <c r="AI257" s="20">
        <f>IF($F257=AI$9,$I257/$I$253*AI$10,IF($F257&lt;AI$9,MIN($I257/$I$253,$I257-SUM($K257:AH257)),0))</f>
        <v>0</v>
      </c>
      <c r="AJ257" s="20">
        <f>IF($F257=AJ$9,$I257/$I$253*AJ$10,IF($F257&lt;AJ$9,MIN($I257/$I$253,$I257-SUM($K257:AI257)),0))</f>
        <v>0</v>
      </c>
      <c r="AK257" s="20">
        <f>IF($F257=AK$9,$I257/$I$253*AK$10,IF($F257&lt;AK$9,MIN($I257/$I$253,$I257-SUM($K257:AJ257)),0))</f>
        <v>0</v>
      </c>
      <c r="AL257" s="20">
        <f>IF($F257=AL$9,$I257/$I$253*AL$10,IF($F257&lt;AL$9,MIN($I257/$I$253,$I257-SUM($K257:AK257)),0))</f>
        <v>0</v>
      </c>
      <c r="AM257" s="20">
        <f>IF($F257=AM$9,$I257/$I$253*AM$10,IF($F257&lt;AM$9,MIN($I257/$I$253,$I257-SUM($K257:AL257)),0))</f>
        <v>0</v>
      </c>
      <c r="AN257" s="20">
        <f>IF($F257=AN$9,$I257/$I$253*AN$10,IF($F257&lt;AN$9,MIN($I257/$I$253,$I257-SUM($K257:AM257)),0))</f>
        <v>0</v>
      </c>
      <c r="AO257" s="28"/>
    </row>
    <row r="258" spans="6:41" ht="14.4" customHeight="1" outlineLevel="1" x14ac:dyDescent="0.3">
      <c r="F258" s="69">
        <v>2027</v>
      </c>
      <c r="H258" s="26" t="s">
        <v>245</v>
      </c>
      <c r="I258" s="128">
        <v>0</v>
      </c>
      <c r="K258" s="89">
        <v>0</v>
      </c>
      <c r="L258" s="20">
        <f>IF($F258=L$9,$I258/$I$253*L$10,IF($F258&lt;L$9,MIN($I258/$I$253,$I258-SUM($K258:K258)),0))</f>
        <v>0</v>
      </c>
      <c r="M258" s="20">
        <f>IF($F258=M$9,$I258/$I$253*M$10,IF($F258&lt;M$9,MIN($I258/$I$253,$I258-SUM($K258:L258)),0))</f>
        <v>0</v>
      </c>
      <c r="N258" s="20">
        <f>IF($F258=N$9,$I258/$I$253*N$10,IF($F258&lt;N$9,MIN($I258/$I$253,$I258-SUM($K258:M258)),0))</f>
        <v>0</v>
      </c>
      <c r="O258" s="20">
        <f>IF($F258=O$9,$I258/$I$253*O$10,IF($F258&lt;O$9,MIN($I258/$I$253,$I258-SUM($K258:N258)),0))</f>
        <v>0</v>
      </c>
      <c r="P258" s="20">
        <f>IF($F258=P$9,$I258/$I$253*P$10,IF($F258&lt;P$9,MIN($I258/$I$253,$I258-SUM($K258:O258)),0))</f>
        <v>0</v>
      </c>
      <c r="Q258" s="20">
        <f>IF($F258=Q$9,$I258/$I$253*Q$10,IF($F258&lt;Q$9,MIN($I258/$I$253,$I258-SUM($K258:P258)),0))</f>
        <v>0</v>
      </c>
      <c r="R258" s="20">
        <f>IF($F258=R$9,$I258/$I$253*R$10,IF($F258&lt;R$9,MIN($I258/$I$253,$I258-SUM($K258:Q258)),0))</f>
        <v>0</v>
      </c>
      <c r="S258" s="20">
        <f>IF($F258=S$9,$I258/$I$253*S$10,IF($F258&lt;S$9,MIN($I258/$I$253,$I258-SUM($K258:R258)),0))</f>
        <v>0</v>
      </c>
      <c r="T258" s="20">
        <f>IF($F258=T$9,$I258/$I$253*T$10,IF($F258&lt;T$9,MIN($I258/$I$253,$I258-SUM($K258:S258)),0))</f>
        <v>0</v>
      </c>
      <c r="U258" s="20">
        <f>IF($F258=U$9,$I258/$I$253*U$10,IF($F258&lt;U$9,MIN($I258/$I$253,$I258-SUM($K258:T258)),0))</f>
        <v>0</v>
      </c>
      <c r="V258" s="20">
        <f>IF($F258=V$9,$I258/$I$253*V$10,IF($F258&lt;V$9,MIN($I258/$I$253,$I258-SUM($K258:U258)),0))</f>
        <v>0</v>
      </c>
      <c r="W258" s="20">
        <f>IF($F258=W$9,$I258/$I$253*W$10,IF($F258&lt;W$9,MIN($I258/$I$253,$I258-SUM($K258:V258)),0))</f>
        <v>0</v>
      </c>
      <c r="X258" s="20">
        <f>IF($F258=X$9,$I258/$I$253*X$10,IF($F258&lt;X$9,MIN($I258/$I$253,$I258-SUM($K258:W258)),0))</f>
        <v>0</v>
      </c>
      <c r="Y258" s="20">
        <f>IF($F258=Y$9,$I258/$I$253*Y$10,IF($F258&lt;Y$9,MIN($I258/$I$253,$I258-SUM($K258:X258)),0))</f>
        <v>0</v>
      </c>
      <c r="Z258" s="20">
        <f>IF($F258=Z$9,$I258/$I$253*Z$10,IF($F258&lt;Z$9,MIN($I258/$I$253,$I258-SUM($K258:Y258)),0))</f>
        <v>0</v>
      </c>
      <c r="AA258" s="20">
        <f>IF($F258=AA$9,$I258/$I$253*AA$10,IF($F258&lt;AA$9,MIN($I258/$I$253,$I258-SUM($K258:Z258)),0))</f>
        <v>0</v>
      </c>
      <c r="AB258" s="20">
        <f>IF($F258=AB$9,$I258/$I$253*AB$10,IF($F258&lt;AB$9,MIN($I258/$I$253,$I258-SUM($K258:AA258)),0))</f>
        <v>0</v>
      </c>
      <c r="AC258" s="20">
        <f>IF($F258=AC$9,$I258/$I$253*AC$10,IF($F258&lt;AC$9,MIN($I258/$I$253,$I258-SUM($K258:AB258)),0))</f>
        <v>0</v>
      </c>
      <c r="AD258" s="20">
        <f>IF($F258=AD$9,$I258/$I$253*AD$10,IF($F258&lt;AD$9,MIN($I258/$I$253,$I258-SUM($K258:AC258)),0))</f>
        <v>0</v>
      </c>
      <c r="AE258" s="20">
        <f>IF($F258=AE$9,$I258/$I$253*AE$10,IF($F258&lt;AE$9,MIN($I258/$I$253,$I258-SUM($K258:AD258)),0))</f>
        <v>0</v>
      </c>
      <c r="AF258" s="20">
        <f>IF($F258=AF$9,$I258/$I$253*AF$10,IF($F258&lt;AF$9,MIN($I258/$I$253,$I258-SUM($K258:AE258)),0))</f>
        <v>0</v>
      </c>
      <c r="AG258" s="20">
        <f>IF($F258=AG$9,$I258/$I$253*AG$10,IF($F258&lt;AG$9,MIN($I258/$I$253,$I258-SUM($K258:AF258)),0))</f>
        <v>0</v>
      </c>
      <c r="AH258" s="20">
        <f>IF($F258=AH$9,$I258/$I$253*AH$10,IF($F258&lt;AH$9,MIN($I258/$I$253,$I258-SUM($K258:AG258)),0))</f>
        <v>0</v>
      </c>
      <c r="AI258" s="20">
        <f>IF($F258=AI$9,$I258/$I$253*AI$10,IF($F258&lt;AI$9,MIN($I258/$I$253,$I258-SUM($K258:AH258)),0))</f>
        <v>0</v>
      </c>
      <c r="AJ258" s="20">
        <f>IF($F258=AJ$9,$I258/$I$253*AJ$10,IF($F258&lt;AJ$9,MIN($I258/$I$253,$I258-SUM($K258:AI258)),0))</f>
        <v>0</v>
      </c>
      <c r="AK258" s="20">
        <f>IF($F258=AK$9,$I258/$I$253*AK$10,IF($F258&lt;AK$9,MIN($I258/$I$253,$I258-SUM($K258:AJ258)),0))</f>
        <v>0</v>
      </c>
      <c r="AL258" s="20">
        <f>IF($F258=AL$9,$I258/$I$253*AL$10,IF($F258&lt;AL$9,MIN($I258/$I$253,$I258-SUM($K258:AK258)),0))</f>
        <v>0</v>
      </c>
      <c r="AM258" s="20">
        <f>IF($F258=AM$9,$I258/$I$253*AM$10,IF($F258&lt;AM$9,MIN($I258/$I$253,$I258-SUM($K258:AL258)),0))</f>
        <v>0</v>
      </c>
      <c r="AN258" s="20">
        <f>IF($F258=AN$9,$I258/$I$253*AN$10,IF($F258&lt;AN$9,MIN($I258/$I$253,$I258-SUM($K258:AM258)),0))</f>
        <v>0</v>
      </c>
      <c r="AO258" s="28"/>
    </row>
    <row r="259" spans="6:41" ht="14.4" customHeight="1" outlineLevel="1" x14ac:dyDescent="0.3">
      <c r="F259" s="69">
        <v>2028</v>
      </c>
      <c r="H259" s="26" t="s">
        <v>245</v>
      </c>
      <c r="I259" s="128">
        <v>0</v>
      </c>
      <c r="K259" s="89">
        <v>0</v>
      </c>
      <c r="L259" s="20">
        <f>IF($F259=L$9,$I259/$I$253*L$10,IF($F259&lt;L$9,MIN($I259/$I$253,$I259-SUM($K259:K259)),0))</f>
        <v>0</v>
      </c>
      <c r="M259" s="20">
        <f>IF($F259=M$9,$I259/$I$253*M$10,IF($F259&lt;M$9,MIN($I259/$I$253,$I259-SUM($K259:L259)),0))</f>
        <v>0</v>
      </c>
      <c r="N259" s="20">
        <f>IF($F259=N$9,$I259/$I$253*N$10,IF($F259&lt;N$9,MIN($I259/$I$253,$I259-SUM($K259:M259)),0))</f>
        <v>0</v>
      </c>
      <c r="O259" s="20">
        <f>IF($F259=O$9,$I259/$I$253*O$10,IF($F259&lt;O$9,MIN($I259/$I$253,$I259-SUM($K259:N259)),0))</f>
        <v>0</v>
      </c>
      <c r="P259" s="20">
        <f>IF($F259=P$9,$I259/$I$253*P$10,IF($F259&lt;P$9,MIN($I259/$I$253,$I259-SUM($K259:O259)),0))</f>
        <v>0</v>
      </c>
      <c r="Q259" s="20">
        <f>IF($F259=Q$9,$I259/$I$253*Q$10,IF($F259&lt;Q$9,MIN($I259/$I$253,$I259-SUM($K259:P259)),0))</f>
        <v>0</v>
      </c>
      <c r="R259" s="20">
        <f>IF($F259=R$9,$I259/$I$253*R$10,IF($F259&lt;R$9,MIN($I259/$I$253,$I259-SUM($K259:Q259)),0))</f>
        <v>0</v>
      </c>
      <c r="S259" s="20">
        <f>IF($F259=S$9,$I259/$I$253*S$10,IF($F259&lt;S$9,MIN($I259/$I$253,$I259-SUM($K259:R259)),0))</f>
        <v>0</v>
      </c>
      <c r="T259" s="20">
        <f>IF($F259=T$9,$I259/$I$253*T$10,IF($F259&lt;T$9,MIN($I259/$I$253,$I259-SUM($K259:S259)),0))</f>
        <v>0</v>
      </c>
      <c r="U259" s="20">
        <f>IF($F259=U$9,$I259/$I$253*U$10,IF($F259&lt;U$9,MIN($I259/$I$253,$I259-SUM($K259:T259)),0))</f>
        <v>0</v>
      </c>
      <c r="V259" s="20">
        <f>IF($F259=V$9,$I259/$I$253*V$10,IF($F259&lt;V$9,MIN($I259/$I$253,$I259-SUM($K259:U259)),0))</f>
        <v>0</v>
      </c>
      <c r="W259" s="20">
        <f>IF($F259=W$9,$I259/$I$253*W$10,IF($F259&lt;W$9,MIN($I259/$I$253,$I259-SUM($K259:V259)),0))</f>
        <v>0</v>
      </c>
      <c r="X259" s="20">
        <f>IF($F259=X$9,$I259/$I$253*X$10,IF($F259&lt;X$9,MIN($I259/$I$253,$I259-SUM($K259:W259)),0))</f>
        <v>0</v>
      </c>
      <c r="Y259" s="20">
        <f>IF($F259=Y$9,$I259/$I$253*Y$10,IF($F259&lt;Y$9,MIN($I259/$I$253,$I259-SUM($K259:X259)),0))</f>
        <v>0</v>
      </c>
      <c r="Z259" s="20">
        <f>IF($F259=Z$9,$I259/$I$253*Z$10,IF($F259&lt;Z$9,MIN($I259/$I$253,$I259-SUM($K259:Y259)),0))</f>
        <v>0</v>
      </c>
      <c r="AA259" s="20">
        <f>IF($F259=AA$9,$I259/$I$253*AA$10,IF($F259&lt;AA$9,MIN($I259/$I$253,$I259-SUM($K259:Z259)),0))</f>
        <v>0</v>
      </c>
      <c r="AB259" s="20">
        <f>IF($F259=AB$9,$I259/$I$253*AB$10,IF($F259&lt;AB$9,MIN($I259/$I$253,$I259-SUM($K259:AA259)),0))</f>
        <v>0</v>
      </c>
      <c r="AC259" s="20">
        <f>IF($F259=AC$9,$I259/$I$253*AC$10,IF($F259&lt;AC$9,MIN($I259/$I$253,$I259-SUM($K259:AB259)),0))</f>
        <v>0</v>
      </c>
      <c r="AD259" s="20">
        <f>IF($F259=AD$9,$I259/$I$253*AD$10,IF($F259&lt;AD$9,MIN($I259/$I$253,$I259-SUM($K259:AC259)),0))</f>
        <v>0</v>
      </c>
      <c r="AE259" s="20">
        <f>IF($F259=AE$9,$I259/$I$253*AE$10,IF($F259&lt;AE$9,MIN($I259/$I$253,$I259-SUM($K259:AD259)),0))</f>
        <v>0</v>
      </c>
      <c r="AF259" s="20">
        <f>IF($F259=AF$9,$I259/$I$253*AF$10,IF($F259&lt;AF$9,MIN($I259/$I$253,$I259-SUM($K259:AE259)),0))</f>
        <v>0</v>
      </c>
      <c r="AG259" s="20">
        <f>IF($F259=AG$9,$I259/$I$253*AG$10,IF($F259&lt;AG$9,MIN($I259/$I$253,$I259-SUM($K259:AF259)),0))</f>
        <v>0</v>
      </c>
      <c r="AH259" s="20">
        <f>IF($F259=AH$9,$I259/$I$253*AH$10,IF($F259&lt;AH$9,MIN($I259/$I$253,$I259-SUM($K259:AG259)),0))</f>
        <v>0</v>
      </c>
      <c r="AI259" s="20">
        <f>IF($F259=AI$9,$I259/$I$253*AI$10,IF($F259&lt;AI$9,MIN($I259/$I$253,$I259-SUM($K259:AH259)),0))</f>
        <v>0</v>
      </c>
      <c r="AJ259" s="20">
        <f>IF($F259=AJ$9,$I259/$I$253*AJ$10,IF($F259&lt;AJ$9,MIN($I259/$I$253,$I259-SUM($K259:AI259)),0))</f>
        <v>0</v>
      </c>
      <c r="AK259" s="20">
        <f>IF($F259=AK$9,$I259/$I$253*AK$10,IF($F259&lt;AK$9,MIN($I259/$I$253,$I259-SUM($K259:AJ259)),0))</f>
        <v>0</v>
      </c>
      <c r="AL259" s="20">
        <f>IF($F259=AL$9,$I259/$I$253*AL$10,IF($F259&lt;AL$9,MIN($I259/$I$253,$I259-SUM($K259:AK259)),0))</f>
        <v>0</v>
      </c>
      <c r="AM259" s="20">
        <f>IF($F259=AM$9,$I259/$I$253*AM$10,IF($F259&lt;AM$9,MIN($I259/$I$253,$I259-SUM($K259:AL259)),0))</f>
        <v>0</v>
      </c>
      <c r="AN259" s="20">
        <f>IF($F259=AN$9,$I259/$I$253*AN$10,IF($F259&lt;AN$9,MIN($I259/$I$253,$I259-SUM($K259:AM259)),0))</f>
        <v>0</v>
      </c>
      <c r="AO259" s="28"/>
    </row>
    <row r="260" spans="6:41" ht="14.4" customHeight="1" outlineLevel="1" x14ac:dyDescent="0.3">
      <c r="F260" s="69">
        <v>2029</v>
      </c>
      <c r="H260" s="26" t="s">
        <v>245</v>
      </c>
      <c r="I260" s="128">
        <v>0</v>
      </c>
      <c r="K260" s="89">
        <v>0</v>
      </c>
      <c r="L260" s="20">
        <f>IF($F260=L$9,$I260/$I$253*L$10,IF($F260&lt;L$9,MIN($I260/$I$253,$I260-SUM($K260:K260)),0))</f>
        <v>0</v>
      </c>
      <c r="M260" s="20">
        <f>IF($F260=M$9,$I260/$I$253*M$10,IF($F260&lt;M$9,MIN($I260/$I$253,$I260-SUM($K260:L260)),0))</f>
        <v>0</v>
      </c>
      <c r="N260" s="20">
        <f>IF($F260=N$9,$I260/$I$253*N$10,IF($F260&lt;N$9,MIN($I260/$I$253,$I260-SUM($K260:M260)),0))</f>
        <v>0</v>
      </c>
      <c r="O260" s="20">
        <f>IF($F260=O$9,$I260/$I$253*O$10,IF($F260&lt;O$9,MIN($I260/$I$253,$I260-SUM($K260:N260)),0))</f>
        <v>0</v>
      </c>
      <c r="P260" s="20">
        <f>IF($F260=P$9,$I260/$I$253*P$10,IF($F260&lt;P$9,MIN($I260/$I$253,$I260-SUM($K260:O260)),0))</f>
        <v>0</v>
      </c>
      <c r="Q260" s="20">
        <f>IF($F260=Q$9,$I260/$I$253*Q$10,IF($F260&lt;Q$9,MIN($I260/$I$253,$I260-SUM($K260:P260)),0))</f>
        <v>0</v>
      </c>
      <c r="R260" s="20">
        <f>IF($F260=R$9,$I260/$I$253*R$10,IF($F260&lt;R$9,MIN($I260/$I$253,$I260-SUM($K260:Q260)),0))</f>
        <v>0</v>
      </c>
      <c r="S260" s="20">
        <f>IF($F260=S$9,$I260/$I$253*S$10,IF($F260&lt;S$9,MIN($I260/$I$253,$I260-SUM($K260:R260)),0))</f>
        <v>0</v>
      </c>
      <c r="T260" s="20">
        <f>IF($F260=T$9,$I260/$I$253*T$10,IF($F260&lt;T$9,MIN($I260/$I$253,$I260-SUM($K260:S260)),0))</f>
        <v>0</v>
      </c>
      <c r="U260" s="20">
        <f>IF($F260=U$9,$I260/$I$253*U$10,IF($F260&lt;U$9,MIN($I260/$I$253,$I260-SUM($K260:T260)),0))</f>
        <v>0</v>
      </c>
      <c r="V260" s="20">
        <f>IF($F260=V$9,$I260/$I$253*V$10,IF($F260&lt;V$9,MIN($I260/$I$253,$I260-SUM($K260:U260)),0))</f>
        <v>0</v>
      </c>
      <c r="W260" s="20">
        <f>IF($F260=W$9,$I260/$I$253*W$10,IF($F260&lt;W$9,MIN($I260/$I$253,$I260-SUM($K260:V260)),0))</f>
        <v>0</v>
      </c>
      <c r="X260" s="20">
        <f>IF($F260=X$9,$I260/$I$253*X$10,IF($F260&lt;X$9,MIN($I260/$I$253,$I260-SUM($K260:W260)),0))</f>
        <v>0</v>
      </c>
      <c r="Y260" s="20">
        <f>IF($F260=Y$9,$I260/$I$253*Y$10,IF($F260&lt;Y$9,MIN($I260/$I$253,$I260-SUM($K260:X260)),0))</f>
        <v>0</v>
      </c>
      <c r="Z260" s="20">
        <f>IF($F260=Z$9,$I260/$I$253*Z$10,IF($F260&lt;Z$9,MIN($I260/$I$253,$I260-SUM($K260:Y260)),0))</f>
        <v>0</v>
      </c>
      <c r="AA260" s="20">
        <f>IF($F260=AA$9,$I260/$I$253*AA$10,IF($F260&lt;AA$9,MIN($I260/$I$253,$I260-SUM($K260:Z260)),0))</f>
        <v>0</v>
      </c>
      <c r="AB260" s="20">
        <f>IF($F260=AB$9,$I260/$I$253*AB$10,IF($F260&lt;AB$9,MIN($I260/$I$253,$I260-SUM($K260:AA260)),0))</f>
        <v>0</v>
      </c>
      <c r="AC260" s="20">
        <f>IF($F260=AC$9,$I260/$I$253*AC$10,IF($F260&lt;AC$9,MIN($I260/$I$253,$I260-SUM($K260:AB260)),0))</f>
        <v>0</v>
      </c>
      <c r="AD260" s="20">
        <f>IF($F260=AD$9,$I260/$I$253*AD$10,IF($F260&lt;AD$9,MIN($I260/$I$253,$I260-SUM($K260:AC260)),0))</f>
        <v>0</v>
      </c>
      <c r="AE260" s="20">
        <f>IF($F260=AE$9,$I260/$I$253*AE$10,IF($F260&lt;AE$9,MIN($I260/$I$253,$I260-SUM($K260:AD260)),0))</f>
        <v>0</v>
      </c>
      <c r="AF260" s="20">
        <f>IF($F260=AF$9,$I260/$I$253*AF$10,IF($F260&lt;AF$9,MIN($I260/$I$253,$I260-SUM($K260:AE260)),0))</f>
        <v>0</v>
      </c>
      <c r="AG260" s="20">
        <f>IF($F260=AG$9,$I260/$I$253*AG$10,IF($F260&lt;AG$9,MIN($I260/$I$253,$I260-SUM($K260:AF260)),0))</f>
        <v>0</v>
      </c>
      <c r="AH260" s="20">
        <f>IF($F260=AH$9,$I260/$I$253*AH$10,IF($F260&lt;AH$9,MIN($I260/$I$253,$I260-SUM($K260:AG260)),0))</f>
        <v>0</v>
      </c>
      <c r="AI260" s="20">
        <f>IF($F260=AI$9,$I260/$I$253*AI$10,IF($F260&lt;AI$9,MIN($I260/$I$253,$I260-SUM($K260:AH260)),0))</f>
        <v>0</v>
      </c>
      <c r="AJ260" s="20">
        <f>IF($F260=AJ$9,$I260/$I$253*AJ$10,IF($F260&lt;AJ$9,MIN($I260/$I$253,$I260-SUM($K260:AI260)),0))</f>
        <v>0</v>
      </c>
      <c r="AK260" s="20">
        <f>IF($F260=AK$9,$I260/$I$253*AK$10,IF($F260&lt;AK$9,MIN($I260/$I$253,$I260-SUM($K260:AJ260)),0))</f>
        <v>0</v>
      </c>
      <c r="AL260" s="20">
        <f>IF($F260=AL$9,$I260/$I$253*AL$10,IF($F260&lt;AL$9,MIN($I260/$I$253,$I260-SUM($K260:AK260)),0))</f>
        <v>0</v>
      </c>
      <c r="AM260" s="20">
        <f>IF($F260=AM$9,$I260/$I$253*AM$10,IF($F260&lt;AM$9,MIN($I260/$I$253,$I260-SUM($K260:AL260)),0))</f>
        <v>0</v>
      </c>
      <c r="AN260" s="20">
        <f>IF($F260=AN$9,$I260/$I$253*AN$10,IF($F260&lt;AN$9,MIN($I260/$I$253,$I260-SUM($K260:AM260)),0))</f>
        <v>0</v>
      </c>
      <c r="AO260" s="28"/>
    </row>
    <row r="261" spans="6:41" ht="14.4" customHeight="1" outlineLevel="1" x14ac:dyDescent="0.3">
      <c r="F261" s="69">
        <v>2030</v>
      </c>
      <c r="H261" s="26" t="s">
        <v>245</v>
      </c>
      <c r="I261" s="128">
        <v>0</v>
      </c>
      <c r="K261" s="89">
        <v>0</v>
      </c>
      <c r="L261" s="20">
        <f>IF($F261=L$9,$I261/$I$253*L$10,IF($F261&lt;L$9,MIN($I261/$I$253,$I261-SUM($K261:K261)),0))</f>
        <v>0</v>
      </c>
      <c r="M261" s="20">
        <f>IF($F261=M$9,$I261/$I$253*M$10,IF($F261&lt;M$9,MIN($I261/$I$253,$I261-SUM($K261:L261)),0))</f>
        <v>0</v>
      </c>
      <c r="N261" s="20">
        <f>IF($F261=N$9,$I261/$I$253*N$10,IF($F261&lt;N$9,MIN($I261/$I$253,$I261-SUM($K261:M261)),0))</f>
        <v>0</v>
      </c>
      <c r="O261" s="20">
        <f>IF($F261=O$9,$I261/$I$253*O$10,IF($F261&lt;O$9,MIN($I261/$I$253,$I261-SUM($K261:N261)),0))</f>
        <v>0</v>
      </c>
      <c r="P261" s="20">
        <f>IF($F261=P$9,$I261/$I$253*P$10,IF($F261&lt;P$9,MIN($I261/$I$253,$I261-SUM($K261:O261)),0))</f>
        <v>0</v>
      </c>
      <c r="Q261" s="20">
        <f>IF($F261=Q$9,$I261/$I$253*Q$10,IF($F261&lt;Q$9,MIN($I261/$I$253,$I261-SUM($K261:P261)),0))</f>
        <v>0</v>
      </c>
      <c r="R261" s="20">
        <f>IF($F261=R$9,$I261/$I$253*R$10,IF($F261&lt;R$9,MIN($I261/$I$253,$I261-SUM($K261:Q261)),0))</f>
        <v>0</v>
      </c>
      <c r="S261" s="20">
        <f>IF($F261=S$9,$I261/$I$253*S$10,IF($F261&lt;S$9,MIN($I261/$I$253,$I261-SUM($K261:R261)),0))</f>
        <v>0</v>
      </c>
      <c r="T261" s="20">
        <f>IF($F261=T$9,$I261/$I$253*T$10,IF($F261&lt;T$9,MIN($I261/$I$253,$I261-SUM($K261:S261)),0))</f>
        <v>0</v>
      </c>
      <c r="U261" s="20">
        <f>IF($F261=U$9,$I261/$I$253*U$10,IF($F261&lt;U$9,MIN($I261/$I$253,$I261-SUM($K261:T261)),0))</f>
        <v>0</v>
      </c>
      <c r="V261" s="20">
        <f>IF($F261=V$9,$I261/$I$253*V$10,IF($F261&lt;V$9,MIN($I261/$I$253,$I261-SUM($K261:U261)),0))</f>
        <v>0</v>
      </c>
      <c r="W261" s="20">
        <f>IF($F261=W$9,$I261/$I$253*W$10,IF($F261&lt;W$9,MIN($I261/$I$253,$I261-SUM($K261:V261)),0))</f>
        <v>0</v>
      </c>
      <c r="X261" s="20">
        <f>IF($F261=X$9,$I261/$I$253*X$10,IF($F261&lt;X$9,MIN($I261/$I$253,$I261-SUM($K261:W261)),0))</f>
        <v>0</v>
      </c>
      <c r="Y261" s="20">
        <f>IF($F261=Y$9,$I261/$I$253*Y$10,IF($F261&lt;Y$9,MIN($I261/$I$253,$I261-SUM($K261:X261)),0))</f>
        <v>0</v>
      </c>
      <c r="Z261" s="20">
        <f>IF($F261=Z$9,$I261/$I$253*Z$10,IF($F261&lt;Z$9,MIN($I261/$I$253,$I261-SUM($K261:Y261)),0))</f>
        <v>0</v>
      </c>
      <c r="AA261" s="20">
        <f>IF($F261=AA$9,$I261/$I$253*AA$10,IF($F261&lt;AA$9,MIN($I261/$I$253,$I261-SUM($K261:Z261)),0))</f>
        <v>0</v>
      </c>
      <c r="AB261" s="20">
        <f>IF($F261=AB$9,$I261/$I$253*AB$10,IF($F261&lt;AB$9,MIN($I261/$I$253,$I261-SUM($K261:AA261)),0))</f>
        <v>0</v>
      </c>
      <c r="AC261" s="20">
        <f>IF($F261=AC$9,$I261/$I$253*AC$10,IF($F261&lt;AC$9,MIN($I261/$I$253,$I261-SUM($K261:AB261)),0))</f>
        <v>0</v>
      </c>
      <c r="AD261" s="20">
        <f>IF($F261=AD$9,$I261/$I$253*AD$10,IF($F261&lt;AD$9,MIN($I261/$I$253,$I261-SUM($K261:AC261)),0))</f>
        <v>0</v>
      </c>
      <c r="AE261" s="20">
        <f>IF($F261=AE$9,$I261/$I$253*AE$10,IF($F261&lt;AE$9,MIN($I261/$I$253,$I261-SUM($K261:AD261)),0))</f>
        <v>0</v>
      </c>
      <c r="AF261" s="20">
        <f>IF($F261=AF$9,$I261/$I$253*AF$10,IF($F261&lt;AF$9,MIN($I261/$I$253,$I261-SUM($K261:AE261)),0))</f>
        <v>0</v>
      </c>
      <c r="AG261" s="20">
        <f>IF($F261=AG$9,$I261/$I$253*AG$10,IF($F261&lt;AG$9,MIN($I261/$I$253,$I261-SUM($K261:AF261)),0))</f>
        <v>0</v>
      </c>
      <c r="AH261" s="20">
        <f>IF($F261=AH$9,$I261/$I$253*AH$10,IF($F261&lt;AH$9,MIN($I261/$I$253,$I261-SUM($K261:AG261)),0))</f>
        <v>0</v>
      </c>
      <c r="AI261" s="20">
        <f>IF($F261=AI$9,$I261/$I$253*AI$10,IF($F261&lt;AI$9,MIN($I261/$I$253,$I261-SUM($K261:AH261)),0))</f>
        <v>0</v>
      </c>
      <c r="AJ261" s="20">
        <f>IF($F261=AJ$9,$I261/$I$253*AJ$10,IF($F261&lt;AJ$9,MIN($I261/$I$253,$I261-SUM($K261:AI261)),0))</f>
        <v>0</v>
      </c>
      <c r="AK261" s="20">
        <f>IF($F261=AK$9,$I261/$I$253*AK$10,IF($F261&lt;AK$9,MIN($I261/$I$253,$I261-SUM($K261:AJ261)),0))</f>
        <v>0</v>
      </c>
      <c r="AL261" s="20">
        <f>IF($F261=AL$9,$I261/$I$253*AL$10,IF($F261&lt;AL$9,MIN($I261/$I$253,$I261-SUM($K261:AK261)),0))</f>
        <v>0</v>
      </c>
      <c r="AM261" s="20">
        <f>IF($F261=AM$9,$I261/$I$253*AM$10,IF($F261&lt;AM$9,MIN($I261/$I$253,$I261-SUM($K261:AL261)),0))</f>
        <v>0</v>
      </c>
      <c r="AN261" s="20">
        <f>IF($F261=AN$9,$I261/$I$253*AN$10,IF($F261&lt;AN$9,MIN($I261/$I$253,$I261-SUM($K261:AM261)),0))</f>
        <v>0</v>
      </c>
      <c r="AO261" s="28"/>
    </row>
    <row r="262" spans="6:41" ht="14.4" customHeight="1" outlineLevel="1" x14ac:dyDescent="0.3">
      <c r="F262" s="69">
        <v>2031</v>
      </c>
      <c r="H262" s="26" t="s">
        <v>245</v>
      </c>
      <c r="I262" s="128">
        <v>0</v>
      </c>
      <c r="K262" s="89">
        <v>0</v>
      </c>
      <c r="L262" s="20">
        <f>IF($F262=L$9,$I262/$I$253*L$10,IF($F262&lt;L$9,MIN($I262/$I$253,$I262-SUM($K262:K262)),0))</f>
        <v>0</v>
      </c>
      <c r="M262" s="20">
        <f>IF($F262=M$9,$I262/$I$253*M$10,IF($F262&lt;M$9,MIN($I262/$I$253,$I262-SUM($K262:L262)),0))</f>
        <v>0</v>
      </c>
      <c r="N262" s="20">
        <f>IF($F262=N$9,$I262/$I$253*N$10,IF($F262&lt;N$9,MIN($I262/$I$253,$I262-SUM($K262:M262)),0))</f>
        <v>0</v>
      </c>
      <c r="O262" s="20">
        <f>IF($F262=O$9,$I262/$I$253*O$10,IF($F262&lt;O$9,MIN($I262/$I$253,$I262-SUM($K262:N262)),0))</f>
        <v>0</v>
      </c>
      <c r="P262" s="20">
        <f>IF($F262=P$9,$I262/$I$253*P$10,IF($F262&lt;P$9,MIN($I262/$I$253,$I262-SUM($K262:O262)),0))</f>
        <v>0</v>
      </c>
      <c r="Q262" s="20">
        <f>IF($F262=Q$9,$I262/$I$253*Q$10,IF($F262&lt;Q$9,MIN($I262/$I$253,$I262-SUM($K262:P262)),0))</f>
        <v>0</v>
      </c>
      <c r="R262" s="20">
        <f>IF($F262=R$9,$I262/$I$253*R$10,IF($F262&lt;R$9,MIN($I262/$I$253,$I262-SUM($K262:Q262)),0))</f>
        <v>0</v>
      </c>
      <c r="S262" s="20">
        <f>IF($F262=S$9,$I262/$I$253*S$10,IF($F262&lt;S$9,MIN($I262/$I$253,$I262-SUM($K262:R262)),0))</f>
        <v>0</v>
      </c>
      <c r="T262" s="20">
        <f>IF($F262=T$9,$I262/$I$253*T$10,IF($F262&lt;T$9,MIN($I262/$I$253,$I262-SUM($K262:S262)),0))</f>
        <v>0</v>
      </c>
      <c r="U262" s="20">
        <f>IF($F262=U$9,$I262/$I$253*U$10,IF($F262&lt;U$9,MIN($I262/$I$253,$I262-SUM($K262:T262)),0))</f>
        <v>0</v>
      </c>
      <c r="V262" s="20">
        <f>IF($F262=V$9,$I262/$I$253*V$10,IF($F262&lt;V$9,MIN($I262/$I$253,$I262-SUM($K262:U262)),0))</f>
        <v>0</v>
      </c>
      <c r="W262" s="20">
        <f>IF($F262=W$9,$I262/$I$253*W$10,IF($F262&lt;W$9,MIN($I262/$I$253,$I262-SUM($K262:V262)),0))</f>
        <v>0</v>
      </c>
      <c r="X262" s="20">
        <f>IF($F262=X$9,$I262/$I$253*X$10,IF($F262&lt;X$9,MIN($I262/$I$253,$I262-SUM($K262:W262)),0))</f>
        <v>0</v>
      </c>
      <c r="Y262" s="20">
        <f>IF($F262=Y$9,$I262/$I$253*Y$10,IF($F262&lt;Y$9,MIN($I262/$I$253,$I262-SUM($K262:X262)),0))</f>
        <v>0</v>
      </c>
      <c r="Z262" s="20">
        <f>IF($F262=Z$9,$I262/$I$253*Z$10,IF($F262&lt;Z$9,MIN($I262/$I$253,$I262-SUM($K262:Y262)),0))</f>
        <v>0</v>
      </c>
      <c r="AA262" s="20">
        <f>IF($F262=AA$9,$I262/$I$253*AA$10,IF($F262&lt;AA$9,MIN($I262/$I$253,$I262-SUM($K262:Z262)),0))</f>
        <v>0</v>
      </c>
      <c r="AB262" s="20">
        <f>IF($F262=AB$9,$I262/$I$253*AB$10,IF($F262&lt;AB$9,MIN($I262/$I$253,$I262-SUM($K262:AA262)),0))</f>
        <v>0</v>
      </c>
      <c r="AC262" s="20">
        <f>IF($F262=AC$9,$I262/$I$253*AC$10,IF($F262&lt;AC$9,MIN($I262/$I$253,$I262-SUM($K262:AB262)),0))</f>
        <v>0</v>
      </c>
      <c r="AD262" s="20">
        <f>IF($F262=AD$9,$I262/$I$253*AD$10,IF($F262&lt;AD$9,MIN($I262/$I$253,$I262-SUM($K262:AC262)),0))</f>
        <v>0</v>
      </c>
      <c r="AE262" s="20">
        <f>IF($F262=AE$9,$I262/$I$253*AE$10,IF($F262&lt;AE$9,MIN($I262/$I$253,$I262-SUM($K262:AD262)),0))</f>
        <v>0</v>
      </c>
      <c r="AF262" s="20">
        <f>IF($F262=AF$9,$I262/$I$253*AF$10,IF($F262&lt;AF$9,MIN($I262/$I$253,$I262-SUM($K262:AE262)),0))</f>
        <v>0</v>
      </c>
      <c r="AG262" s="20">
        <f>IF($F262=AG$9,$I262/$I$253*AG$10,IF($F262&lt;AG$9,MIN($I262/$I$253,$I262-SUM($K262:AF262)),0))</f>
        <v>0</v>
      </c>
      <c r="AH262" s="20">
        <f>IF($F262=AH$9,$I262/$I$253*AH$10,IF($F262&lt;AH$9,MIN($I262/$I$253,$I262-SUM($K262:AG262)),0))</f>
        <v>0</v>
      </c>
      <c r="AI262" s="20">
        <f>IF($F262=AI$9,$I262/$I$253*AI$10,IF($F262&lt;AI$9,MIN($I262/$I$253,$I262-SUM($K262:AH262)),0))</f>
        <v>0</v>
      </c>
      <c r="AJ262" s="20">
        <f>IF($F262=AJ$9,$I262/$I$253*AJ$10,IF($F262&lt;AJ$9,MIN($I262/$I$253,$I262-SUM($K262:AI262)),0))</f>
        <v>0</v>
      </c>
      <c r="AK262" s="20">
        <f>IF($F262=AK$9,$I262/$I$253*AK$10,IF($F262&lt;AK$9,MIN($I262/$I$253,$I262-SUM($K262:AJ262)),0))</f>
        <v>0</v>
      </c>
      <c r="AL262" s="20">
        <f>IF($F262=AL$9,$I262/$I$253*AL$10,IF($F262&lt;AL$9,MIN($I262/$I$253,$I262-SUM($K262:AK262)),0))</f>
        <v>0</v>
      </c>
      <c r="AM262" s="20">
        <f>IF($F262=AM$9,$I262/$I$253*AM$10,IF($F262&lt;AM$9,MIN($I262/$I$253,$I262-SUM($K262:AL262)),0))</f>
        <v>0</v>
      </c>
      <c r="AN262" s="20">
        <f>IF($F262=AN$9,$I262/$I$253*AN$10,IF($F262&lt;AN$9,MIN($I262/$I$253,$I262-SUM($K262:AM262)),0))</f>
        <v>0</v>
      </c>
      <c r="AO262" s="28"/>
    </row>
    <row r="263" spans="6:41" ht="14.4" customHeight="1" outlineLevel="1" x14ac:dyDescent="0.3">
      <c r="F263" s="69">
        <v>2032</v>
      </c>
      <c r="H263" s="26" t="s">
        <v>245</v>
      </c>
      <c r="I263" s="128">
        <v>0</v>
      </c>
      <c r="K263" s="89">
        <v>0</v>
      </c>
      <c r="L263" s="20">
        <f>IF($F263=L$9,$I263/$I$253*L$10,IF($F263&lt;L$9,MIN($I263/$I$253,$I263-SUM($K263:K263)),0))</f>
        <v>0</v>
      </c>
      <c r="M263" s="20">
        <f>IF($F263=M$9,$I263/$I$253*M$10,IF($F263&lt;M$9,MIN($I263/$I$253,$I263-SUM($K263:L263)),0))</f>
        <v>0</v>
      </c>
      <c r="N263" s="20">
        <f>IF($F263=N$9,$I263/$I$253*N$10,IF($F263&lt;N$9,MIN($I263/$I$253,$I263-SUM($K263:M263)),0))</f>
        <v>0</v>
      </c>
      <c r="O263" s="20">
        <f>IF($F263=O$9,$I263/$I$253*O$10,IF($F263&lt;O$9,MIN($I263/$I$253,$I263-SUM($K263:N263)),0))</f>
        <v>0</v>
      </c>
      <c r="P263" s="20">
        <f>IF($F263=P$9,$I263/$I$253*P$10,IF($F263&lt;P$9,MIN($I263/$I$253,$I263-SUM($K263:O263)),0))</f>
        <v>0</v>
      </c>
      <c r="Q263" s="20">
        <f>IF($F263=Q$9,$I263/$I$253*Q$10,IF($F263&lt;Q$9,MIN($I263/$I$253,$I263-SUM($K263:P263)),0))</f>
        <v>0</v>
      </c>
      <c r="R263" s="20">
        <f>IF($F263=R$9,$I263/$I$253*R$10,IF($F263&lt;R$9,MIN($I263/$I$253,$I263-SUM($K263:Q263)),0))</f>
        <v>0</v>
      </c>
      <c r="S263" s="20">
        <f>IF($F263=S$9,$I263/$I$253*S$10,IF($F263&lt;S$9,MIN($I263/$I$253,$I263-SUM($K263:R263)),0))</f>
        <v>0</v>
      </c>
      <c r="T263" s="20">
        <f>IF($F263=T$9,$I263/$I$253*T$10,IF($F263&lt;T$9,MIN($I263/$I$253,$I263-SUM($K263:S263)),0))</f>
        <v>0</v>
      </c>
      <c r="U263" s="20">
        <f>IF($F263=U$9,$I263/$I$253*U$10,IF($F263&lt;U$9,MIN($I263/$I$253,$I263-SUM($K263:T263)),0))</f>
        <v>0</v>
      </c>
      <c r="V263" s="20">
        <f>IF($F263=V$9,$I263/$I$253*V$10,IF($F263&lt;V$9,MIN($I263/$I$253,$I263-SUM($K263:U263)),0))</f>
        <v>0</v>
      </c>
      <c r="W263" s="20">
        <f>IF($F263=W$9,$I263/$I$253*W$10,IF($F263&lt;W$9,MIN($I263/$I$253,$I263-SUM($K263:V263)),0))</f>
        <v>0</v>
      </c>
      <c r="X263" s="20">
        <f>IF($F263=X$9,$I263/$I$253*X$10,IF($F263&lt;X$9,MIN($I263/$I$253,$I263-SUM($K263:W263)),0))</f>
        <v>0</v>
      </c>
      <c r="Y263" s="20">
        <f>IF($F263=Y$9,$I263/$I$253*Y$10,IF($F263&lt;Y$9,MIN($I263/$I$253,$I263-SUM($K263:X263)),0))</f>
        <v>0</v>
      </c>
      <c r="Z263" s="20">
        <f>IF($F263=Z$9,$I263/$I$253*Z$10,IF($F263&lt;Z$9,MIN($I263/$I$253,$I263-SUM($K263:Y263)),0))</f>
        <v>0</v>
      </c>
      <c r="AA263" s="20">
        <f>IF($F263=AA$9,$I263/$I$253*AA$10,IF($F263&lt;AA$9,MIN($I263/$I$253,$I263-SUM($K263:Z263)),0))</f>
        <v>0</v>
      </c>
      <c r="AB263" s="20">
        <f>IF($F263=AB$9,$I263/$I$253*AB$10,IF($F263&lt;AB$9,MIN($I263/$I$253,$I263-SUM($K263:AA263)),0))</f>
        <v>0</v>
      </c>
      <c r="AC263" s="20">
        <f>IF($F263=AC$9,$I263/$I$253*AC$10,IF($F263&lt;AC$9,MIN($I263/$I$253,$I263-SUM($K263:AB263)),0))</f>
        <v>0</v>
      </c>
      <c r="AD263" s="20">
        <f>IF($F263=AD$9,$I263/$I$253*AD$10,IF($F263&lt;AD$9,MIN($I263/$I$253,$I263-SUM($K263:AC263)),0))</f>
        <v>0</v>
      </c>
      <c r="AE263" s="20">
        <f>IF($F263=AE$9,$I263/$I$253*AE$10,IF($F263&lt;AE$9,MIN($I263/$I$253,$I263-SUM($K263:AD263)),0))</f>
        <v>0</v>
      </c>
      <c r="AF263" s="20">
        <f>IF($F263=AF$9,$I263/$I$253*AF$10,IF($F263&lt;AF$9,MIN($I263/$I$253,$I263-SUM($K263:AE263)),0))</f>
        <v>0</v>
      </c>
      <c r="AG263" s="20">
        <f>IF($F263=AG$9,$I263/$I$253*AG$10,IF($F263&lt;AG$9,MIN($I263/$I$253,$I263-SUM($K263:AF263)),0))</f>
        <v>0</v>
      </c>
      <c r="AH263" s="20">
        <f>IF($F263=AH$9,$I263/$I$253*AH$10,IF($F263&lt;AH$9,MIN($I263/$I$253,$I263-SUM($K263:AG263)),0))</f>
        <v>0</v>
      </c>
      <c r="AI263" s="20">
        <f>IF($F263=AI$9,$I263/$I$253*AI$10,IF($F263&lt;AI$9,MIN($I263/$I$253,$I263-SUM($K263:AH263)),0))</f>
        <v>0</v>
      </c>
      <c r="AJ263" s="20">
        <f>IF($F263=AJ$9,$I263/$I$253*AJ$10,IF($F263&lt;AJ$9,MIN($I263/$I$253,$I263-SUM($K263:AI263)),0))</f>
        <v>0</v>
      </c>
      <c r="AK263" s="20">
        <f>IF($F263=AK$9,$I263/$I$253*AK$10,IF($F263&lt;AK$9,MIN($I263/$I$253,$I263-SUM($K263:AJ263)),0))</f>
        <v>0</v>
      </c>
      <c r="AL263" s="20">
        <f>IF($F263=AL$9,$I263/$I$253*AL$10,IF($F263&lt;AL$9,MIN($I263/$I$253,$I263-SUM($K263:AK263)),0))</f>
        <v>0</v>
      </c>
      <c r="AM263" s="20">
        <f>IF($F263=AM$9,$I263/$I$253*AM$10,IF($F263&lt;AM$9,MIN($I263/$I$253,$I263-SUM($K263:AL263)),0))</f>
        <v>0</v>
      </c>
      <c r="AN263" s="20">
        <f>IF($F263=AN$9,$I263/$I$253*AN$10,IF($F263&lt;AN$9,MIN($I263/$I$253,$I263-SUM($K263:AM263)),0))</f>
        <v>0</v>
      </c>
      <c r="AO263" s="28"/>
    </row>
    <row r="264" spans="6:41" ht="14.4" customHeight="1" outlineLevel="1" x14ac:dyDescent="0.3">
      <c r="F264" s="69">
        <v>2033</v>
      </c>
      <c r="H264" s="26" t="s">
        <v>245</v>
      </c>
      <c r="I264" s="128">
        <v>0</v>
      </c>
      <c r="K264" s="89">
        <v>0</v>
      </c>
      <c r="L264" s="20">
        <f>IF($F264=L$9,$I264/$I$253*L$10,IF($F264&lt;L$9,MIN($I264/$I$253,$I264-SUM($K264:K264)),0))</f>
        <v>0</v>
      </c>
      <c r="M264" s="20">
        <f>IF($F264=M$9,$I264/$I$253*M$10,IF($F264&lt;M$9,MIN($I264/$I$253,$I264-SUM($K264:L264)),0))</f>
        <v>0</v>
      </c>
      <c r="N264" s="20">
        <f>IF($F264=N$9,$I264/$I$253*N$10,IF($F264&lt;N$9,MIN($I264/$I$253,$I264-SUM($K264:M264)),0))</f>
        <v>0</v>
      </c>
      <c r="O264" s="20">
        <f>IF($F264=O$9,$I264/$I$253*O$10,IF($F264&lt;O$9,MIN($I264/$I$253,$I264-SUM($K264:N264)),0))</f>
        <v>0</v>
      </c>
      <c r="P264" s="20">
        <f>IF($F264=P$9,$I264/$I$253*P$10,IF($F264&lt;P$9,MIN($I264/$I$253,$I264-SUM($K264:O264)),0))</f>
        <v>0</v>
      </c>
      <c r="Q264" s="20">
        <f>IF($F264=Q$9,$I264/$I$253*Q$10,IF($F264&lt;Q$9,MIN($I264/$I$253,$I264-SUM($K264:P264)),0))</f>
        <v>0</v>
      </c>
      <c r="R264" s="20">
        <f>IF($F264=R$9,$I264/$I$253*R$10,IF($F264&lt;R$9,MIN($I264/$I$253,$I264-SUM($K264:Q264)),0))</f>
        <v>0</v>
      </c>
      <c r="S264" s="20">
        <f>IF($F264=S$9,$I264/$I$253*S$10,IF($F264&lt;S$9,MIN($I264/$I$253,$I264-SUM($K264:R264)),0))</f>
        <v>0</v>
      </c>
      <c r="T264" s="20">
        <f>IF($F264=T$9,$I264/$I$253*T$10,IF($F264&lt;T$9,MIN($I264/$I$253,$I264-SUM($K264:S264)),0))</f>
        <v>0</v>
      </c>
      <c r="U264" s="20">
        <f>IF($F264=U$9,$I264/$I$253*U$10,IF($F264&lt;U$9,MIN($I264/$I$253,$I264-SUM($K264:T264)),0))</f>
        <v>0</v>
      </c>
      <c r="V264" s="20">
        <f>IF($F264=V$9,$I264/$I$253*V$10,IF($F264&lt;V$9,MIN($I264/$I$253,$I264-SUM($K264:U264)),0))</f>
        <v>0</v>
      </c>
      <c r="W264" s="20">
        <f>IF($F264=W$9,$I264/$I$253*W$10,IF($F264&lt;W$9,MIN($I264/$I$253,$I264-SUM($K264:V264)),0))</f>
        <v>0</v>
      </c>
      <c r="X264" s="20">
        <f>IF($F264=X$9,$I264/$I$253*X$10,IF($F264&lt;X$9,MIN($I264/$I$253,$I264-SUM($K264:W264)),0))</f>
        <v>0</v>
      </c>
      <c r="Y264" s="20">
        <f>IF($F264=Y$9,$I264/$I$253*Y$10,IF($F264&lt;Y$9,MIN($I264/$I$253,$I264-SUM($K264:X264)),0))</f>
        <v>0</v>
      </c>
      <c r="Z264" s="20">
        <f>IF($F264=Z$9,$I264/$I$253*Z$10,IF($F264&lt;Z$9,MIN($I264/$I$253,$I264-SUM($K264:Y264)),0))</f>
        <v>0</v>
      </c>
      <c r="AA264" s="20">
        <f>IF($F264=AA$9,$I264/$I$253*AA$10,IF($F264&lt;AA$9,MIN($I264/$I$253,$I264-SUM($K264:Z264)),0))</f>
        <v>0</v>
      </c>
      <c r="AB264" s="20">
        <f>IF($F264=AB$9,$I264/$I$253*AB$10,IF($F264&lt;AB$9,MIN($I264/$I$253,$I264-SUM($K264:AA264)),0))</f>
        <v>0</v>
      </c>
      <c r="AC264" s="20">
        <f>IF($F264=AC$9,$I264/$I$253*AC$10,IF($F264&lt;AC$9,MIN($I264/$I$253,$I264-SUM($K264:AB264)),0))</f>
        <v>0</v>
      </c>
      <c r="AD264" s="20">
        <f>IF($F264=AD$9,$I264/$I$253*AD$10,IF($F264&lt;AD$9,MIN($I264/$I$253,$I264-SUM($K264:AC264)),0))</f>
        <v>0</v>
      </c>
      <c r="AE264" s="20">
        <f>IF($F264=AE$9,$I264/$I$253*AE$10,IF($F264&lt;AE$9,MIN($I264/$I$253,$I264-SUM($K264:AD264)),0))</f>
        <v>0</v>
      </c>
      <c r="AF264" s="20">
        <f>IF($F264=AF$9,$I264/$I$253*AF$10,IF($F264&lt;AF$9,MIN($I264/$I$253,$I264-SUM($K264:AE264)),0))</f>
        <v>0</v>
      </c>
      <c r="AG264" s="20">
        <f>IF($F264=AG$9,$I264/$I$253*AG$10,IF($F264&lt;AG$9,MIN($I264/$I$253,$I264-SUM($K264:AF264)),0))</f>
        <v>0</v>
      </c>
      <c r="AH264" s="20">
        <f>IF($F264=AH$9,$I264/$I$253*AH$10,IF($F264&lt;AH$9,MIN($I264/$I$253,$I264-SUM($K264:AG264)),0))</f>
        <v>0</v>
      </c>
      <c r="AI264" s="20">
        <f>IF($F264=AI$9,$I264/$I$253*AI$10,IF($F264&lt;AI$9,MIN($I264/$I$253,$I264-SUM($K264:AH264)),0))</f>
        <v>0</v>
      </c>
      <c r="AJ264" s="20">
        <f>IF($F264=AJ$9,$I264/$I$253*AJ$10,IF($F264&lt;AJ$9,MIN($I264/$I$253,$I264-SUM($K264:AI264)),0))</f>
        <v>0</v>
      </c>
      <c r="AK264" s="20">
        <f>IF($F264=AK$9,$I264/$I$253*AK$10,IF($F264&lt;AK$9,MIN($I264/$I$253,$I264-SUM($K264:AJ264)),0))</f>
        <v>0</v>
      </c>
      <c r="AL264" s="20">
        <f>IF($F264=AL$9,$I264/$I$253*AL$10,IF($F264&lt;AL$9,MIN($I264/$I$253,$I264-SUM($K264:AK264)),0))</f>
        <v>0</v>
      </c>
      <c r="AM264" s="20">
        <f>IF($F264=AM$9,$I264/$I$253*AM$10,IF($F264&lt;AM$9,MIN($I264/$I$253,$I264-SUM($K264:AL264)),0))</f>
        <v>0</v>
      </c>
      <c r="AN264" s="20">
        <f>IF($F264=AN$9,$I264/$I$253*AN$10,IF($F264&lt;AN$9,MIN($I264/$I$253,$I264-SUM($K264:AM264)),0))</f>
        <v>0</v>
      </c>
      <c r="AO264" s="28"/>
    </row>
    <row r="265" spans="6:41" ht="14.4" customHeight="1" outlineLevel="1" x14ac:dyDescent="0.3">
      <c r="F265" s="69">
        <v>2034</v>
      </c>
      <c r="H265" s="26" t="s">
        <v>245</v>
      </c>
      <c r="I265" s="128">
        <v>0</v>
      </c>
      <c r="K265" s="89">
        <v>0</v>
      </c>
      <c r="L265" s="20">
        <f>IF($F265=L$9,$I265/$I$253*L$10,IF($F265&lt;L$9,MIN($I265/$I$253,$I265-SUM($K265:K265)),0))</f>
        <v>0</v>
      </c>
      <c r="M265" s="20">
        <f>IF($F265=M$9,$I265/$I$253*M$10,IF($F265&lt;M$9,MIN($I265/$I$253,$I265-SUM($K265:L265)),0))</f>
        <v>0</v>
      </c>
      <c r="N265" s="20">
        <f>IF($F265=N$9,$I265/$I$253*N$10,IF($F265&lt;N$9,MIN($I265/$I$253,$I265-SUM($K265:M265)),0))</f>
        <v>0</v>
      </c>
      <c r="O265" s="20">
        <f>IF($F265=O$9,$I265/$I$253*O$10,IF($F265&lt;O$9,MIN($I265/$I$253,$I265-SUM($K265:N265)),0))</f>
        <v>0</v>
      </c>
      <c r="P265" s="20">
        <f>IF($F265=P$9,$I265/$I$253*P$10,IF($F265&lt;P$9,MIN($I265/$I$253,$I265-SUM($K265:O265)),0))</f>
        <v>0</v>
      </c>
      <c r="Q265" s="20">
        <f>IF($F265=Q$9,$I265/$I$253*Q$10,IF($F265&lt;Q$9,MIN($I265/$I$253,$I265-SUM($K265:P265)),0))</f>
        <v>0</v>
      </c>
      <c r="R265" s="20">
        <f>IF($F265=R$9,$I265/$I$253*R$10,IF($F265&lt;R$9,MIN($I265/$I$253,$I265-SUM($K265:Q265)),0))</f>
        <v>0</v>
      </c>
      <c r="S265" s="20">
        <f>IF($F265=S$9,$I265/$I$253*S$10,IF($F265&lt;S$9,MIN($I265/$I$253,$I265-SUM($K265:R265)),0))</f>
        <v>0</v>
      </c>
      <c r="T265" s="20">
        <f>IF($F265=T$9,$I265/$I$253*T$10,IF($F265&lt;T$9,MIN($I265/$I$253,$I265-SUM($K265:S265)),0))</f>
        <v>0</v>
      </c>
      <c r="U265" s="20">
        <f>IF($F265=U$9,$I265/$I$253*U$10,IF($F265&lt;U$9,MIN($I265/$I$253,$I265-SUM($K265:T265)),0))</f>
        <v>0</v>
      </c>
      <c r="V265" s="20">
        <f>IF($F265=V$9,$I265/$I$253*V$10,IF($F265&lt;V$9,MIN($I265/$I$253,$I265-SUM($K265:U265)),0))</f>
        <v>0</v>
      </c>
      <c r="W265" s="20">
        <f>IF($F265=W$9,$I265/$I$253*W$10,IF($F265&lt;W$9,MIN($I265/$I$253,$I265-SUM($K265:V265)),0))</f>
        <v>0</v>
      </c>
      <c r="X265" s="20">
        <f>IF($F265=X$9,$I265/$I$253*X$10,IF($F265&lt;X$9,MIN($I265/$I$253,$I265-SUM($K265:W265)),0))</f>
        <v>0</v>
      </c>
      <c r="Y265" s="20">
        <f>IF($F265=Y$9,$I265/$I$253*Y$10,IF($F265&lt;Y$9,MIN($I265/$I$253,$I265-SUM($K265:X265)),0))</f>
        <v>0</v>
      </c>
      <c r="Z265" s="20">
        <f>IF($F265=Z$9,$I265/$I$253*Z$10,IF($F265&lt;Z$9,MIN($I265/$I$253,$I265-SUM($K265:Y265)),0))</f>
        <v>0</v>
      </c>
      <c r="AA265" s="20">
        <f>IF($F265=AA$9,$I265/$I$253*AA$10,IF($F265&lt;AA$9,MIN($I265/$I$253,$I265-SUM($K265:Z265)),0))</f>
        <v>0</v>
      </c>
      <c r="AB265" s="20">
        <f>IF($F265=AB$9,$I265/$I$253*AB$10,IF($F265&lt;AB$9,MIN($I265/$I$253,$I265-SUM($K265:AA265)),0))</f>
        <v>0</v>
      </c>
      <c r="AC265" s="20">
        <f>IF($F265=AC$9,$I265/$I$253*AC$10,IF($F265&lt;AC$9,MIN($I265/$I$253,$I265-SUM($K265:AB265)),0))</f>
        <v>0</v>
      </c>
      <c r="AD265" s="20">
        <f>IF($F265=AD$9,$I265/$I$253*AD$10,IF($F265&lt;AD$9,MIN($I265/$I$253,$I265-SUM($K265:AC265)),0))</f>
        <v>0</v>
      </c>
      <c r="AE265" s="20">
        <f>IF($F265=AE$9,$I265/$I$253*AE$10,IF($F265&lt;AE$9,MIN($I265/$I$253,$I265-SUM($K265:AD265)),0))</f>
        <v>0</v>
      </c>
      <c r="AF265" s="20">
        <f>IF($F265=AF$9,$I265/$I$253*AF$10,IF($F265&lt;AF$9,MIN($I265/$I$253,$I265-SUM($K265:AE265)),0))</f>
        <v>0</v>
      </c>
      <c r="AG265" s="20">
        <f>IF($F265=AG$9,$I265/$I$253*AG$10,IF($F265&lt;AG$9,MIN($I265/$I$253,$I265-SUM($K265:AF265)),0))</f>
        <v>0</v>
      </c>
      <c r="AH265" s="20">
        <f>IF($F265=AH$9,$I265/$I$253*AH$10,IF($F265&lt;AH$9,MIN($I265/$I$253,$I265-SUM($K265:AG265)),0))</f>
        <v>0</v>
      </c>
      <c r="AI265" s="20">
        <f>IF($F265=AI$9,$I265/$I$253*AI$10,IF($F265&lt;AI$9,MIN($I265/$I$253,$I265-SUM($K265:AH265)),0))</f>
        <v>0</v>
      </c>
      <c r="AJ265" s="20">
        <f>IF($F265=AJ$9,$I265/$I$253*AJ$10,IF($F265&lt;AJ$9,MIN($I265/$I$253,$I265-SUM($K265:AI265)),0))</f>
        <v>0</v>
      </c>
      <c r="AK265" s="20">
        <f>IF($F265=AK$9,$I265/$I$253*AK$10,IF($F265&lt;AK$9,MIN($I265/$I$253,$I265-SUM($K265:AJ265)),0))</f>
        <v>0</v>
      </c>
      <c r="AL265" s="20">
        <f>IF($F265=AL$9,$I265/$I$253*AL$10,IF($F265&lt;AL$9,MIN($I265/$I$253,$I265-SUM($K265:AK265)),0))</f>
        <v>0</v>
      </c>
      <c r="AM265" s="20">
        <f>IF($F265=AM$9,$I265/$I$253*AM$10,IF($F265&lt;AM$9,MIN($I265/$I$253,$I265-SUM($K265:AL265)),0))</f>
        <v>0</v>
      </c>
      <c r="AN265" s="20">
        <f>IF($F265=AN$9,$I265/$I$253*AN$10,IF($F265&lt;AN$9,MIN($I265/$I$253,$I265-SUM($K265:AM265)),0))</f>
        <v>0</v>
      </c>
      <c r="AO265" s="28"/>
    </row>
    <row r="266" spans="6:41" ht="14.4" customHeight="1" outlineLevel="1" x14ac:dyDescent="0.3">
      <c r="F266" s="69">
        <v>2035</v>
      </c>
      <c r="H266" s="26" t="s">
        <v>245</v>
      </c>
      <c r="I266" s="128">
        <v>0</v>
      </c>
      <c r="K266" s="89">
        <v>0</v>
      </c>
      <c r="L266" s="20">
        <f>IF($F266=L$9,$I266/$I$253*L$10,IF($F266&lt;L$9,MIN($I266/$I$253,$I266-SUM($K266:K266)),0))</f>
        <v>0</v>
      </c>
      <c r="M266" s="20">
        <f>IF($F266=M$9,$I266/$I$253*M$10,IF($F266&lt;M$9,MIN($I266/$I$253,$I266-SUM($K266:L266)),0))</f>
        <v>0</v>
      </c>
      <c r="N266" s="20">
        <f>IF($F266=N$9,$I266/$I$253*N$10,IF($F266&lt;N$9,MIN($I266/$I$253,$I266-SUM($K266:M266)),0))</f>
        <v>0</v>
      </c>
      <c r="O266" s="20">
        <f>IF($F266=O$9,$I266/$I$253*O$10,IF($F266&lt;O$9,MIN($I266/$I$253,$I266-SUM($K266:N266)),0))</f>
        <v>0</v>
      </c>
      <c r="P266" s="20">
        <f>IF($F266=P$9,$I266/$I$253*P$10,IF($F266&lt;P$9,MIN($I266/$I$253,$I266-SUM($K266:O266)),0))</f>
        <v>0</v>
      </c>
      <c r="Q266" s="20">
        <f>IF($F266=Q$9,$I266/$I$253*Q$10,IF($F266&lt;Q$9,MIN($I266/$I$253,$I266-SUM($K266:P266)),0))</f>
        <v>0</v>
      </c>
      <c r="R266" s="20">
        <f>IF($F266=R$9,$I266/$I$253*R$10,IF($F266&lt;R$9,MIN($I266/$I$253,$I266-SUM($K266:Q266)),0))</f>
        <v>0</v>
      </c>
      <c r="S266" s="20">
        <f>IF($F266=S$9,$I266/$I$253*S$10,IF($F266&lt;S$9,MIN($I266/$I$253,$I266-SUM($K266:R266)),0))</f>
        <v>0</v>
      </c>
      <c r="T266" s="20">
        <f>IF($F266=T$9,$I266/$I$253*T$10,IF($F266&lt;T$9,MIN($I266/$I$253,$I266-SUM($K266:S266)),0))</f>
        <v>0</v>
      </c>
      <c r="U266" s="20">
        <f>IF($F266=U$9,$I266/$I$253*U$10,IF($F266&lt;U$9,MIN($I266/$I$253,$I266-SUM($K266:T266)),0))</f>
        <v>0</v>
      </c>
      <c r="V266" s="20">
        <f>IF($F266=V$9,$I266/$I$253*V$10,IF($F266&lt;V$9,MIN($I266/$I$253,$I266-SUM($K266:U266)),0))</f>
        <v>0</v>
      </c>
      <c r="W266" s="20">
        <f>IF($F266=W$9,$I266/$I$253*W$10,IF($F266&lt;W$9,MIN($I266/$I$253,$I266-SUM($K266:V266)),0))</f>
        <v>0</v>
      </c>
      <c r="X266" s="20">
        <f>IF($F266=X$9,$I266/$I$253*X$10,IF($F266&lt;X$9,MIN($I266/$I$253,$I266-SUM($K266:W266)),0))</f>
        <v>0</v>
      </c>
      <c r="Y266" s="20">
        <f>IF($F266=Y$9,$I266/$I$253*Y$10,IF($F266&lt;Y$9,MIN($I266/$I$253,$I266-SUM($K266:X266)),0))</f>
        <v>0</v>
      </c>
      <c r="Z266" s="20">
        <f>IF($F266=Z$9,$I266/$I$253*Z$10,IF($F266&lt;Z$9,MIN($I266/$I$253,$I266-SUM($K266:Y266)),0))</f>
        <v>0</v>
      </c>
      <c r="AA266" s="20">
        <f>IF($F266=AA$9,$I266/$I$253*AA$10,IF($F266&lt;AA$9,MIN($I266/$I$253,$I266-SUM($K266:Z266)),0))</f>
        <v>0</v>
      </c>
      <c r="AB266" s="20">
        <f>IF($F266=AB$9,$I266/$I$253*AB$10,IF($F266&lt;AB$9,MIN($I266/$I$253,$I266-SUM($K266:AA266)),0))</f>
        <v>0</v>
      </c>
      <c r="AC266" s="20">
        <f>IF($F266=AC$9,$I266/$I$253*AC$10,IF($F266&lt;AC$9,MIN($I266/$I$253,$I266-SUM($K266:AB266)),0))</f>
        <v>0</v>
      </c>
      <c r="AD266" s="20">
        <f>IF($F266=AD$9,$I266/$I$253*AD$10,IF($F266&lt;AD$9,MIN($I266/$I$253,$I266-SUM($K266:AC266)),0))</f>
        <v>0</v>
      </c>
      <c r="AE266" s="20">
        <f>IF($F266=AE$9,$I266/$I$253*AE$10,IF($F266&lt;AE$9,MIN($I266/$I$253,$I266-SUM($K266:AD266)),0))</f>
        <v>0</v>
      </c>
      <c r="AF266" s="20">
        <f>IF($F266=AF$9,$I266/$I$253*AF$10,IF($F266&lt;AF$9,MIN($I266/$I$253,$I266-SUM($K266:AE266)),0))</f>
        <v>0</v>
      </c>
      <c r="AG266" s="20">
        <f>IF($F266=AG$9,$I266/$I$253*AG$10,IF($F266&lt;AG$9,MIN($I266/$I$253,$I266-SUM($K266:AF266)),0))</f>
        <v>0</v>
      </c>
      <c r="AH266" s="20">
        <f>IF($F266=AH$9,$I266/$I$253*AH$10,IF($F266&lt;AH$9,MIN($I266/$I$253,$I266-SUM($K266:AG266)),0))</f>
        <v>0</v>
      </c>
      <c r="AI266" s="20">
        <f>IF($F266=AI$9,$I266/$I$253*AI$10,IF($F266&lt;AI$9,MIN($I266/$I$253,$I266-SUM($K266:AH266)),0))</f>
        <v>0</v>
      </c>
      <c r="AJ266" s="20">
        <f>IF($F266=AJ$9,$I266/$I$253*AJ$10,IF($F266&lt;AJ$9,MIN($I266/$I$253,$I266-SUM($K266:AI266)),0))</f>
        <v>0</v>
      </c>
      <c r="AK266" s="20">
        <f>IF($F266=AK$9,$I266/$I$253*AK$10,IF($F266&lt;AK$9,MIN($I266/$I$253,$I266-SUM($K266:AJ266)),0))</f>
        <v>0</v>
      </c>
      <c r="AL266" s="20">
        <f>IF($F266=AL$9,$I266/$I$253*AL$10,IF($F266&lt;AL$9,MIN($I266/$I$253,$I266-SUM($K266:AK266)),0))</f>
        <v>0</v>
      </c>
      <c r="AM266" s="20">
        <f>IF($F266=AM$9,$I266/$I$253*AM$10,IF($F266&lt;AM$9,MIN($I266/$I$253,$I266-SUM($K266:AL266)),0))</f>
        <v>0</v>
      </c>
      <c r="AN266" s="20">
        <f>IF($F266=AN$9,$I266/$I$253*AN$10,IF($F266&lt;AN$9,MIN($I266/$I$253,$I266-SUM($K266:AM266)),0))</f>
        <v>0</v>
      </c>
      <c r="AO266" s="28"/>
    </row>
    <row r="267" spans="6:41" ht="14.4" customHeight="1" outlineLevel="1" x14ac:dyDescent="0.3">
      <c r="F267" s="69">
        <v>2036</v>
      </c>
      <c r="H267" s="26" t="s">
        <v>245</v>
      </c>
      <c r="I267" s="128">
        <v>0</v>
      </c>
      <c r="K267" s="89">
        <v>0</v>
      </c>
      <c r="L267" s="20">
        <f>IF($F267=L$9,$I267/$I$253*L$10,IF($F267&lt;L$9,MIN($I267/$I$253,$I267-SUM($K267:K267)),0))</f>
        <v>0</v>
      </c>
      <c r="M267" s="20">
        <f>IF($F267=M$9,$I267/$I$253*M$10,IF($F267&lt;M$9,MIN($I267/$I$253,$I267-SUM($K267:L267)),0))</f>
        <v>0</v>
      </c>
      <c r="N267" s="20">
        <f>IF($F267=N$9,$I267/$I$253*N$10,IF($F267&lt;N$9,MIN($I267/$I$253,$I267-SUM($K267:M267)),0))</f>
        <v>0</v>
      </c>
      <c r="O267" s="20">
        <f>IF($F267=O$9,$I267/$I$253*O$10,IF($F267&lt;O$9,MIN($I267/$I$253,$I267-SUM($K267:N267)),0))</f>
        <v>0</v>
      </c>
      <c r="P267" s="20">
        <f>IF($F267=P$9,$I267/$I$253*P$10,IF($F267&lt;P$9,MIN($I267/$I$253,$I267-SUM($K267:O267)),0))</f>
        <v>0</v>
      </c>
      <c r="Q267" s="20">
        <f>IF($F267=Q$9,$I267/$I$253*Q$10,IF($F267&lt;Q$9,MIN($I267/$I$253,$I267-SUM($K267:P267)),0))</f>
        <v>0</v>
      </c>
      <c r="R267" s="20">
        <f>IF($F267=R$9,$I267/$I$253*R$10,IF($F267&lt;R$9,MIN($I267/$I$253,$I267-SUM($K267:Q267)),0))</f>
        <v>0</v>
      </c>
      <c r="S267" s="20">
        <f>IF($F267=S$9,$I267/$I$253*S$10,IF($F267&lt;S$9,MIN($I267/$I$253,$I267-SUM($K267:R267)),0))</f>
        <v>0</v>
      </c>
      <c r="T267" s="20">
        <f>IF($F267=T$9,$I267/$I$253*T$10,IF($F267&lt;T$9,MIN($I267/$I$253,$I267-SUM($K267:S267)),0))</f>
        <v>0</v>
      </c>
      <c r="U267" s="20">
        <f>IF($F267=U$9,$I267/$I$253*U$10,IF($F267&lt;U$9,MIN($I267/$I$253,$I267-SUM($K267:T267)),0))</f>
        <v>0</v>
      </c>
      <c r="V267" s="20">
        <f>IF($F267=V$9,$I267/$I$253*V$10,IF($F267&lt;V$9,MIN($I267/$I$253,$I267-SUM($K267:U267)),0))</f>
        <v>0</v>
      </c>
      <c r="W267" s="20">
        <f>IF($F267=W$9,$I267/$I$253*W$10,IF($F267&lt;W$9,MIN($I267/$I$253,$I267-SUM($K267:V267)),0))</f>
        <v>0</v>
      </c>
      <c r="X267" s="20">
        <f>IF($F267=X$9,$I267/$I$253*X$10,IF($F267&lt;X$9,MIN($I267/$I$253,$I267-SUM($K267:W267)),0))</f>
        <v>0</v>
      </c>
      <c r="Y267" s="20">
        <f>IF($F267=Y$9,$I267/$I$253*Y$10,IF($F267&lt;Y$9,MIN($I267/$I$253,$I267-SUM($K267:X267)),0))</f>
        <v>0</v>
      </c>
      <c r="Z267" s="20">
        <f>IF($F267=Z$9,$I267/$I$253*Z$10,IF($F267&lt;Z$9,MIN($I267/$I$253,$I267-SUM($K267:Y267)),0))</f>
        <v>0</v>
      </c>
      <c r="AA267" s="20">
        <f>IF($F267=AA$9,$I267/$I$253*AA$10,IF($F267&lt;AA$9,MIN($I267/$I$253,$I267-SUM($K267:Z267)),0))</f>
        <v>0</v>
      </c>
      <c r="AB267" s="20">
        <f>IF($F267=AB$9,$I267/$I$253*AB$10,IF($F267&lt;AB$9,MIN($I267/$I$253,$I267-SUM($K267:AA267)),0))</f>
        <v>0</v>
      </c>
      <c r="AC267" s="20">
        <f>IF($F267=AC$9,$I267/$I$253*AC$10,IF($F267&lt;AC$9,MIN($I267/$I$253,$I267-SUM($K267:AB267)),0))</f>
        <v>0</v>
      </c>
      <c r="AD267" s="20">
        <f>IF($F267=AD$9,$I267/$I$253*AD$10,IF($F267&lt;AD$9,MIN($I267/$I$253,$I267-SUM($K267:AC267)),0))</f>
        <v>0</v>
      </c>
      <c r="AE267" s="20">
        <f>IF($F267=AE$9,$I267/$I$253*AE$10,IF($F267&lt;AE$9,MIN($I267/$I$253,$I267-SUM($K267:AD267)),0))</f>
        <v>0</v>
      </c>
      <c r="AF267" s="20">
        <f>IF($F267=AF$9,$I267/$I$253*AF$10,IF($F267&lt;AF$9,MIN($I267/$I$253,$I267-SUM($K267:AE267)),0))</f>
        <v>0</v>
      </c>
      <c r="AG267" s="20">
        <f>IF($F267=AG$9,$I267/$I$253*AG$10,IF($F267&lt;AG$9,MIN($I267/$I$253,$I267-SUM($K267:AF267)),0))</f>
        <v>0</v>
      </c>
      <c r="AH267" s="20">
        <f>IF($F267=AH$9,$I267/$I$253*AH$10,IF($F267&lt;AH$9,MIN($I267/$I$253,$I267-SUM($K267:AG267)),0))</f>
        <v>0</v>
      </c>
      <c r="AI267" s="20">
        <f>IF($F267=AI$9,$I267/$I$253*AI$10,IF($F267&lt;AI$9,MIN($I267/$I$253,$I267-SUM($K267:AH267)),0))</f>
        <v>0</v>
      </c>
      <c r="AJ267" s="20">
        <f>IF($F267=AJ$9,$I267/$I$253*AJ$10,IF($F267&lt;AJ$9,MIN($I267/$I$253,$I267-SUM($K267:AI267)),0))</f>
        <v>0</v>
      </c>
      <c r="AK267" s="20">
        <f>IF($F267=AK$9,$I267/$I$253*AK$10,IF($F267&lt;AK$9,MIN($I267/$I$253,$I267-SUM($K267:AJ267)),0))</f>
        <v>0</v>
      </c>
      <c r="AL267" s="20">
        <f>IF($F267=AL$9,$I267/$I$253*AL$10,IF($F267&lt;AL$9,MIN($I267/$I$253,$I267-SUM($K267:AK267)),0))</f>
        <v>0</v>
      </c>
      <c r="AM267" s="20">
        <f>IF($F267=AM$9,$I267/$I$253*AM$10,IF($F267&lt;AM$9,MIN($I267/$I$253,$I267-SUM($K267:AL267)),0))</f>
        <v>0</v>
      </c>
      <c r="AN267" s="20">
        <f>IF($F267=AN$9,$I267/$I$253*AN$10,IF($F267&lt;AN$9,MIN($I267/$I$253,$I267-SUM($K267:AM267)),0))</f>
        <v>0</v>
      </c>
      <c r="AO267" s="28"/>
    </row>
    <row r="268" spans="6:41" ht="14.4" customHeight="1" outlineLevel="1" x14ac:dyDescent="0.3">
      <c r="F268" s="69">
        <v>2037</v>
      </c>
      <c r="H268" s="26" t="s">
        <v>245</v>
      </c>
      <c r="I268" s="128">
        <v>0</v>
      </c>
      <c r="K268" s="89">
        <v>0</v>
      </c>
      <c r="L268" s="20">
        <f>IF($F268=L$9,$I268/$I$253*L$10,IF($F268&lt;L$9,MIN($I268/$I$253,$I268-SUM($K268:K268)),0))</f>
        <v>0</v>
      </c>
      <c r="M268" s="20">
        <f>IF($F268=M$9,$I268/$I$253*M$10,IF($F268&lt;M$9,MIN($I268/$I$253,$I268-SUM($K268:L268)),0))</f>
        <v>0</v>
      </c>
      <c r="N268" s="20">
        <f>IF($F268=N$9,$I268/$I$253*N$10,IF($F268&lt;N$9,MIN($I268/$I$253,$I268-SUM($K268:M268)),0))</f>
        <v>0</v>
      </c>
      <c r="O268" s="20">
        <f>IF($F268=O$9,$I268/$I$253*O$10,IF($F268&lt;O$9,MIN($I268/$I$253,$I268-SUM($K268:N268)),0))</f>
        <v>0</v>
      </c>
      <c r="P268" s="20">
        <f>IF($F268=P$9,$I268/$I$253*P$10,IF($F268&lt;P$9,MIN($I268/$I$253,$I268-SUM($K268:O268)),0))</f>
        <v>0</v>
      </c>
      <c r="Q268" s="20">
        <f>IF($F268=Q$9,$I268/$I$253*Q$10,IF($F268&lt;Q$9,MIN($I268/$I$253,$I268-SUM($K268:P268)),0))</f>
        <v>0</v>
      </c>
      <c r="R268" s="20">
        <f>IF($F268=R$9,$I268/$I$253*R$10,IF($F268&lt;R$9,MIN($I268/$I$253,$I268-SUM($K268:Q268)),0))</f>
        <v>0</v>
      </c>
      <c r="S268" s="20">
        <f>IF($F268=S$9,$I268/$I$253*S$10,IF($F268&lt;S$9,MIN($I268/$I$253,$I268-SUM($K268:R268)),0))</f>
        <v>0</v>
      </c>
      <c r="T268" s="20">
        <f>IF($F268=T$9,$I268/$I$253*T$10,IF($F268&lt;T$9,MIN($I268/$I$253,$I268-SUM($K268:S268)),0))</f>
        <v>0</v>
      </c>
      <c r="U268" s="20">
        <f>IF($F268=U$9,$I268/$I$253*U$10,IF($F268&lt;U$9,MIN($I268/$I$253,$I268-SUM($K268:T268)),0))</f>
        <v>0</v>
      </c>
      <c r="V268" s="20">
        <f>IF($F268=V$9,$I268/$I$253*V$10,IF($F268&lt;V$9,MIN($I268/$I$253,$I268-SUM($K268:U268)),0))</f>
        <v>0</v>
      </c>
      <c r="W268" s="20">
        <f>IF($F268=W$9,$I268/$I$253*W$10,IF($F268&lt;W$9,MIN($I268/$I$253,$I268-SUM($K268:V268)),0))</f>
        <v>0</v>
      </c>
      <c r="X268" s="20">
        <f>IF($F268=X$9,$I268/$I$253*X$10,IF($F268&lt;X$9,MIN($I268/$I$253,$I268-SUM($K268:W268)),0))</f>
        <v>0</v>
      </c>
      <c r="Y268" s="20">
        <f>IF($F268=Y$9,$I268/$I$253*Y$10,IF($F268&lt;Y$9,MIN($I268/$I$253,$I268-SUM($K268:X268)),0))</f>
        <v>0</v>
      </c>
      <c r="Z268" s="20">
        <f>IF($F268=Z$9,$I268/$I$253*Z$10,IF($F268&lt;Z$9,MIN($I268/$I$253,$I268-SUM($K268:Y268)),0))</f>
        <v>0</v>
      </c>
      <c r="AA268" s="20">
        <f>IF($F268=AA$9,$I268/$I$253*AA$10,IF($F268&lt;AA$9,MIN($I268/$I$253,$I268-SUM($K268:Z268)),0))</f>
        <v>0</v>
      </c>
      <c r="AB268" s="20">
        <f>IF($F268=AB$9,$I268/$I$253*AB$10,IF($F268&lt;AB$9,MIN($I268/$I$253,$I268-SUM($K268:AA268)),0))</f>
        <v>0</v>
      </c>
      <c r="AC268" s="20">
        <f>IF($F268=AC$9,$I268/$I$253*AC$10,IF($F268&lt;AC$9,MIN($I268/$I$253,$I268-SUM($K268:AB268)),0))</f>
        <v>0</v>
      </c>
      <c r="AD268" s="20">
        <f>IF($F268=AD$9,$I268/$I$253*AD$10,IF($F268&lt;AD$9,MIN($I268/$I$253,$I268-SUM($K268:AC268)),0))</f>
        <v>0</v>
      </c>
      <c r="AE268" s="20">
        <f>IF($F268=AE$9,$I268/$I$253*AE$10,IF($F268&lt;AE$9,MIN($I268/$I$253,$I268-SUM($K268:AD268)),0))</f>
        <v>0</v>
      </c>
      <c r="AF268" s="20">
        <f>IF($F268=AF$9,$I268/$I$253*AF$10,IF($F268&lt;AF$9,MIN($I268/$I$253,$I268-SUM($K268:AE268)),0))</f>
        <v>0</v>
      </c>
      <c r="AG268" s="20">
        <f>IF($F268=AG$9,$I268/$I$253*AG$10,IF($F268&lt;AG$9,MIN($I268/$I$253,$I268-SUM($K268:AF268)),0))</f>
        <v>0</v>
      </c>
      <c r="AH268" s="20">
        <f>IF($F268=AH$9,$I268/$I$253*AH$10,IF($F268&lt;AH$9,MIN($I268/$I$253,$I268-SUM($K268:AG268)),0))</f>
        <v>0</v>
      </c>
      <c r="AI268" s="20">
        <f>IF($F268=AI$9,$I268/$I$253*AI$10,IF($F268&lt;AI$9,MIN($I268/$I$253,$I268-SUM($K268:AH268)),0))</f>
        <v>0</v>
      </c>
      <c r="AJ268" s="20">
        <f>IF($F268=AJ$9,$I268/$I$253*AJ$10,IF($F268&lt;AJ$9,MIN($I268/$I$253,$I268-SUM($K268:AI268)),0))</f>
        <v>0</v>
      </c>
      <c r="AK268" s="20">
        <f>IF($F268=AK$9,$I268/$I$253*AK$10,IF($F268&lt;AK$9,MIN($I268/$I$253,$I268-SUM($K268:AJ268)),0))</f>
        <v>0</v>
      </c>
      <c r="AL268" s="20">
        <f>IF($F268=AL$9,$I268/$I$253*AL$10,IF($F268&lt;AL$9,MIN($I268/$I$253,$I268-SUM($K268:AK268)),0))</f>
        <v>0</v>
      </c>
      <c r="AM268" s="20">
        <f>IF($F268=AM$9,$I268/$I$253*AM$10,IF($F268&lt;AM$9,MIN($I268/$I$253,$I268-SUM($K268:AL268)),0))</f>
        <v>0</v>
      </c>
      <c r="AN268" s="20">
        <f>IF($F268=AN$9,$I268/$I$253*AN$10,IF($F268&lt;AN$9,MIN($I268/$I$253,$I268-SUM($K268:AM268)),0))</f>
        <v>0</v>
      </c>
      <c r="AO268" s="28"/>
    </row>
    <row r="269" spans="6:41" ht="14.4" customHeight="1" outlineLevel="1" x14ac:dyDescent="0.3">
      <c r="F269" s="69">
        <v>2038</v>
      </c>
      <c r="H269" s="26" t="s">
        <v>245</v>
      </c>
      <c r="I269" s="128">
        <v>0</v>
      </c>
      <c r="K269" s="89">
        <v>0</v>
      </c>
      <c r="L269" s="20">
        <f>IF($F269=L$9,$I269/$I$253*L$10,IF($F269&lt;L$9,MIN($I269/$I$253,$I269-SUM($K269:K269)),0))</f>
        <v>0</v>
      </c>
      <c r="M269" s="20">
        <f>IF($F269=M$9,$I269/$I$253*M$10,IF($F269&lt;M$9,MIN($I269/$I$253,$I269-SUM($K269:L269)),0))</f>
        <v>0</v>
      </c>
      <c r="N269" s="20">
        <f>IF($F269=N$9,$I269/$I$253*N$10,IF($F269&lt;N$9,MIN($I269/$I$253,$I269-SUM($K269:M269)),0))</f>
        <v>0</v>
      </c>
      <c r="O269" s="20">
        <f>IF($F269=O$9,$I269/$I$253*O$10,IF($F269&lt;O$9,MIN($I269/$I$253,$I269-SUM($K269:N269)),0))</f>
        <v>0</v>
      </c>
      <c r="P269" s="20">
        <f>IF($F269=P$9,$I269/$I$253*P$10,IF($F269&lt;P$9,MIN($I269/$I$253,$I269-SUM($K269:O269)),0))</f>
        <v>0</v>
      </c>
      <c r="Q269" s="20">
        <f>IF($F269=Q$9,$I269/$I$253*Q$10,IF($F269&lt;Q$9,MIN($I269/$I$253,$I269-SUM($K269:P269)),0))</f>
        <v>0</v>
      </c>
      <c r="R269" s="20">
        <f>IF($F269=R$9,$I269/$I$253*R$10,IF($F269&lt;R$9,MIN($I269/$I$253,$I269-SUM($K269:Q269)),0))</f>
        <v>0</v>
      </c>
      <c r="S269" s="20">
        <f>IF($F269=S$9,$I269/$I$253*S$10,IF($F269&lt;S$9,MIN($I269/$I$253,$I269-SUM($K269:R269)),0))</f>
        <v>0</v>
      </c>
      <c r="T269" s="20">
        <f>IF($F269=T$9,$I269/$I$253*T$10,IF($F269&lt;T$9,MIN($I269/$I$253,$I269-SUM($K269:S269)),0))</f>
        <v>0</v>
      </c>
      <c r="U269" s="20">
        <f>IF($F269=U$9,$I269/$I$253*U$10,IF($F269&lt;U$9,MIN($I269/$I$253,$I269-SUM($K269:T269)),0))</f>
        <v>0</v>
      </c>
      <c r="V269" s="20">
        <f>IF($F269=V$9,$I269/$I$253*V$10,IF($F269&lt;V$9,MIN($I269/$I$253,$I269-SUM($K269:U269)),0))</f>
        <v>0</v>
      </c>
      <c r="W269" s="20">
        <f>IF($F269=W$9,$I269/$I$253*W$10,IF($F269&lt;W$9,MIN($I269/$I$253,$I269-SUM($K269:V269)),0))</f>
        <v>0</v>
      </c>
      <c r="X269" s="20">
        <f>IF($F269=X$9,$I269/$I$253*X$10,IF($F269&lt;X$9,MIN($I269/$I$253,$I269-SUM($K269:W269)),0))</f>
        <v>0</v>
      </c>
      <c r="Y269" s="20">
        <f>IF($F269=Y$9,$I269/$I$253*Y$10,IF($F269&lt;Y$9,MIN($I269/$I$253,$I269-SUM($K269:X269)),0))</f>
        <v>0</v>
      </c>
      <c r="Z269" s="20">
        <f>IF($F269=Z$9,$I269/$I$253*Z$10,IF($F269&lt;Z$9,MIN($I269/$I$253,$I269-SUM($K269:Y269)),0))</f>
        <v>0</v>
      </c>
      <c r="AA269" s="20">
        <f>IF($F269=AA$9,$I269/$I$253*AA$10,IF($F269&lt;AA$9,MIN($I269/$I$253,$I269-SUM($K269:Z269)),0))</f>
        <v>0</v>
      </c>
      <c r="AB269" s="20">
        <f>IF($F269=AB$9,$I269/$I$253*AB$10,IF($F269&lt;AB$9,MIN($I269/$I$253,$I269-SUM($K269:AA269)),0))</f>
        <v>0</v>
      </c>
      <c r="AC269" s="20">
        <f>IF($F269=AC$9,$I269/$I$253*AC$10,IF($F269&lt;AC$9,MIN($I269/$I$253,$I269-SUM($K269:AB269)),0))</f>
        <v>0</v>
      </c>
      <c r="AD269" s="20">
        <f>IF($F269=AD$9,$I269/$I$253*AD$10,IF($F269&lt;AD$9,MIN($I269/$I$253,$I269-SUM($K269:AC269)),0))</f>
        <v>0</v>
      </c>
      <c r="AE269" s="20">
        <f>IF($F269=AE$9,$I269/$I$253*AE$10,IF($F269&lt;AE$9,MIN($I269/$I$253,$I269-SUM($K269:AD269)),0))</f>
        <v>0</v>
      </c>
      <c r="AF269" s="20">
        <f>IF($F269=AF$9,$I269/$I$253*AF$10,IF($F269&lt;AF$9,MIN($I269/$I$253,$I269-SUM($K269:AE269)),0))</f>
        <v>0</v>
      </c>
      <c r="AG269" s="20">
        <f>IF($F269=AG$9,$I269/$I$253*AG$10,IF($F269&lt;AG$9,MIN($I269/$I$253,$I269-SUM($K269:AF269)),0))</f>
        <v>0</v>
      </c>
      <c r="AH269" s="20">
        <f>IF($F269=AH$9,$I269/$I$253*AH$10,IF($F269&lt;AH$9,MIN($I269/$I$253,$I269-SUM($K269:AG269)),0))</f>
        <v>0</v>
      </c>
      <c r="AI269" s="20">
        <f>IF($F269=AI$9,$I269/$I$253*AI$10,IF($F269&lt;AI$9,MIN($I269/$I$253,$I269-SUM($K269:AH269)),0))</f>
        <v>0</v>
      </c>
      <c r="AJ269" s="20">
        <f>IF($F269=AJ$9,$I269/$I$253*AJ$10,IF($F269&lt;AJ$9,MIN($I269/$I$253,$I269-SUM($K269:AI269)),0))</f>
        <v>0</v>
      </c>
      <c r="AK269" s="20">
        <f>IF($F269=AK$9,$I269/$I$253*AK$10,IF($F269&lt;AK$9,MIN($I269/$I$253,$I269-SUM($K269:AJ269)),0))</f>
        <v>0</v>
      </c>
      <c r="AL269" s="20">
        <f>IF($F269=AL$9,$I269/$I$253*AL$10,IF($F269&lt;AL$9,MIN($I269/$I$253,$I269-SUM($K269:AK269)),0))</f>
        <v>0</v>
      </c>
      <c r="AM269" s="20">
        <f>IF($F269=AM$9,$I269/$I$253*AM$10,IF($F269&lt;AM$9,MIN($I269/$I$253,$I269-SUM($K269:AL269)),0))</f>
        <v>0</v>
      </c>
      <c r="AN269" s="20">
        <f>IF($F269=AN$9,$I269/$I$253*AN$10,IF($F269&lt;AN$9,MIN($I269/$I$253,$I269-SUM($K269:AM269)),0))</f>
        <v>0</v>
      </c>
      <c r="AO269" s="28"/>
    </row>
    <row r="270" spans="6:41" ht="14.4" customHeight="1" outlineLevel="1" x14ac:dyDescent="0.3">
      <c r="F270" s="69">
        <v>2039</v>
      </c>
      <c r="H270" s="26" t="s">
        <v>245</v>
      </c>
      <c r="I270" s="128">
        <v>0</v>
      </c>
      <c r="K270" s="89">
        <v>0</v>
      </c>
      <c r="L270" s="20">
        <f>IF($F270=L$9,$I270/$I$253*L$10,IF($F270&lt;L$9,MIN($I270/$I$253,$I270-SUM($K270:K270)),0))</f>
        <v>0</v>
      </c>
      <c r="M270" s="20">
        <f>IF($F270=M$9,$I270/$I$253*M$10,IF($F270&lt;M$9,MIN($I270/$I$253,$I270-SUM($K270:L270)),0))</f>
        <v>0</v>
      </c>
      <c r="N270" s="20">
        <f>IF($F270=N$9,$I270/$I$253*N$10,IF($F270&lt;N$9,MIN($I270/$I$253,$I270-SUM($K270:M270)),0))</f>
        <v>0</v>
      </c>
      <c r="O270" s="20">
        <f>IF($F270=O$9,$I270/$I$253*O$10,IF($F270&lt;O$9,MIN($I270/$I$253,$I270-SUM($K270:N270)),0))</f>
        <v>0</v>
      </c>
      <c r="P270" s="20">
        <f>IF($F270=P$9,$I270/$I$253*P$10,IF($F270&lt;P$9,MIN($I270/$I$253,$I270-SUM($K270:O270)),0))</f>
        <v>0</v>
      </c>
      <c r="Q270" s="20">
        <f>IF($F270=Q$9,$I270/$I$253*Q$10,IF($F270&lt;Q$9,MIN($I270/$I$253,$I270-SUM($K270:P270)),0))</f>
        <v>0</v>
      </c>
      <c r="R270" s="20">
        <f>IF($F270=R$9,$I270/$I$253*R$10,IF($F270&lt;R$9,MIN($I270/$I$253,$I270-SUM($K270:Q270)),0))</f>
        <v>0</v>
      </c>
      <c r="S270" s="20">
        <f>IF($F270=S$9,$I270/$I$253*S$10,IF($F270&lt;S$9,MIN($I270/$I$253,$I270-SUM($K270:R270)),0))</f>
        <v>0</v>
      </c>
      <c r="T270" s="20">
        <f>IF($F270=T$9,$I270/$I$253*T$10,IF($F270&lt;T$9,MIN($I270/$I$253,$I270-SUM($K270:S270)),0))</f>
        <v>0</v>
      </c>
      <c r="U270" s="20">
        <f>IF($F270=U$9,$I270/$I$253*U$10,IF($F270&lt;U$9,MIN($I270/$I$253,$I270-SUM($K270:T270)),0))</f>
        <v>0</v>
      </c>
      <c r="V270" s="20">
        <f>IF($F270=V$9,$I270/$I$253*V$10,IF($F270&lt;V$9,MIN($I270/$I$253,$I270-SUM($K270:U270)),0))</f>
        <v>0</v>
      </c>
      <c r="W270" s="20">
        <f>IF($F270=W$9,$I270/$I$253*W$10,IF($F270&lt;W$9,MIN($I270/$I$253,$I270-SUM($K270:V270)),0))</f>
        <v>0</v>
      </c>
      <c r="X270" s="20">
        <f>IF($F270=X$9,$I270/$I$253*X$10,IF($F270&lt;X$9,MIN($I270/$I$253,$I270-SUM($K270:W270)),0))</f>
        <v>0</v>
      </c>
      <c r="Y270" s="20">
        <f>IF($F270=Y$9,$I270/$I$253*Y$10,IF($F270&lt;Y$9,MIN($I270/$I$253,$I270-SUM($K270:X270)),0))</f>
        <v>0</v>
      </c>
      <c r="Z270" s="20">
        <f>IF($F270=Z$9,$I270/$I$253*Z$10,IF($F270&lt;Z$9,MIN($I270/$I$253,$I270-SUM($K270:Y270)),0))</f>
        <v>0</v>
      </c>
      <c r="AA270" s="20">
        <f>IF($F270=AA$9,$I270/$I$253*AA$10,IF($F270&lt;AA$9,MIN($I270/$I$253,$I270-SUM($K270:Z270)),0))</f>
        <v>0</v>
      </c>
      <c r="AB270" s="20">
        <f>IF($F270=AB$9,$I270/$I$253*AB$10,IF($F270&lt;AB$9,MIN($I270/$I$253,$I270-SUM($K270:AA270)),0))</f>
        <v>0</v>
      </c>
      <c r="AC270" s="20">
        <f>IF($F270=AC$9,$I270/$I$253*AC$10,IF($F270&lt;AC$9,MIN($I270/$I$253,$I270-SUM($K270:AB270)),0))</f>
        <v>0</v>
      </c>
      <c r="AD270" s="20">
        <f>IF($F270=AD$9,$I270/$I$253*AD$10,IF($F270&lt;AD$9,MIN($I270/$I$253,$I270-SUM($K270:AC270)),0))</f>
        <v>0</v>
      </c>
      <c r="AE270" s="20">
        <f>IF($F270=AE$9,$I270/$I$253*AE$10,IF($F270&lt;AE$9,MIN($I270/$I$253,$I270-SUM($K270:AD270)),0))</f>
        <v>0</v>
      </c>
      <c r="AF270" s="20">
        <f>IF($F270=AF$9,$I270/$I$253*AF$10,IF($F270&lt;AF$9,MIN($I270/$I$253,$I270-SUM($K270:AE270)),0))</f>
        <v>0</v>
      </c>
      <c r="AG270" s="20">
        <f>IF($F270=AG$9,$I270/$I$253*AG$10,IF($F270&lt;AG$9,MIN($I270/$I$253,$I270-SUM($K270:AF270)),0))</f>
        <v>0</v>
      </c>
      <c r="AH270" s="20">
        <f>IF($F270=AH$9,$I270/$I$253*AH$10,IF($F270&lt;AH$9,MIN($I270/$I$253,$I270-SUM($K270:AG270)),0))</f>
        <v>0</v>
      </c>
      <c r="AI270" s="20">
        <f>IF($F270=AI$9,$I270/$I$253*AI$10,IF($F270&lt;AI$9,MIN($I270/$I$253,$I270-SUM($K270:AH270)),0))</f>
        <v>0</v>
      </c>
      <c r="AJ270" s="20">
        <f>IF($F270=AJ$9,$I270/$I$253*AJ$10,IF($F270&lt;AJ$9,MIN($I270/$I$253,$I270-SUM($K270:AI270)),0))</f>
        <v>0</v>
      </c>
      <c r="AK270" s="20">
        <f>IF($F270=AK$9,$I270/$I$253*AK$10,IF($F270&lt;AK$9,MIN($I270/$I$253,$I270-SUM($K270:AJ270)),0))</f>
        <v>0</v>
      </c>
      <c r="AL270" s="20">
        <f>IF($F270=AL$9,$I270/$I$253*AL$10,IF($F270&lt;AL$9,MIN($I270/$I$253,$I270-SUM($K270:AK270)),0))</f>
        <v>0</v>
      </c>
      <c r="AM270" s="20">
        <f>IF($F270=AM$9,$I270/$I$253*AM$10,IF($F270&lt;AM$9,MIN($I270/$I$253,$I270-SUM($K270:AL270)),0))</f>
        <v>0</v>
      </c>
      <c r="AN270" s="20">
        <f>IF($F270=AN$9,$I270/$I$253*AN$10,IF($F270&lt;AN$9,MIN($I270/$I$253,$I270-SUM($K270:AM270)),0))</f>
        <v>0</v>
      </c>
      <c r="AO270" s="28"/>
    </row>
    <row r="271" spans="6:41" ht="14.4" customHeight="1" outlineLevel="1" x14ac:dyDescent="0.3">
      <c r="F271" s="69">
        <v>2040</v>
      </c>
      <c r="H271" s="26" t="s">
        <v>245</v>
      </c>
      <c r="I271" s="128">
        <v>0</v>
      </c>
      <c r="K271" s="89">
        <v>0</v>
      </c>
      <c r="L271" s="20">
        <f>IF($F271=L$9,$I271/$I$253*L$10,IF($F271&lt;L$9,MIN($I271/$I$253,$I271-SUM($K271:K271)),0))</f>
        <v>0</v>
      </c>
      <c r="M271" s="20">
        <f>IF($F271=M$9,$I271/$I$253*M$10,IF($F271&lt;M$9,MIN($I271/$I$253,$I271-SUM($K271:L271)),0))</f>
        <v>0</v>
      </c>
      <c r="N271" s="20">
        <f>IF($F271=N$9,$I271/$I$253*N$10,IF($F271&lt;N$9,MIN($I271/$I$253,$I271-SUM($K271:M271)),0))</f>
        <v>0</v>
      </c>
      <c r="O271" s="20">
        <f>IF($F271=O$9,$I271/$I$253*O$10,IF($F271&lt;O$9,MIN($I271/$I$253,$I271-SUM($K271:N271)),0))</f>
        <v>0</v>
      </c>
      <c r="P271" s="20">
        <f>IF($F271=P$9,$I271/$I$253*P$10,IF($F271&lt;P$9,MIN($I271/$I$253,$I271-SUM($K271:O271)),0))</f>
        <v>0</v>
      </c>
      <c r="Q271" s="20">
        <f>IF($F271=Q$9,$I271/$I$253*Q$10,IF($F271&lt;Q$9,MIN($I271/$I$253,$I271-SUM($K271:P271)),0))</f>
        <v>0</v>
      </c>
      <c r="R271" s="20">
        <f>IF($F271=R$9,$I271/$I$253*R$10,IF($F271&lt;R$9,MIN($I271/$I$253,$I271-SUM($K271:Q271)),0))</f>
        <v>0</v>
      </c>
      <c r="S271" s="20">
        <f>IF($F271=S$9,$I271/$I$253*S$10,IF($F271&lt;S$9,MIN($I271/$I$253,$I271-SUM($K271:R271)),0))</f>
        <v>0</v>
      </c>
      <c r="T271" s="20">
        <f>IF($F271=T$9,$I271/$I$253*T$10,IF($F271&lt;T$9,MIN($I271/$I$253,$I271-SUM($K271:S271)),0))</f>
        <v>0</v>
      </c>
      <c r="U271" s="20">
        <f>IF($F271=U$9,$I271/$I$253*U$10,IF($F271&lt;U$9,MIN($I271/$I$253,$I271-SUM($K271:T271)),0))</f>
        <v>0</v>
      </c>
      <c r="V271" s="20">
        <f>IF($F271=V$9,$I271/$I$253*V$10,IF($F271&lt;V$9,MIN($I271/$I$253,$I271-SUM($K271:U271)),0))</f>
        <v>0</v>
      </c>
      <c r="W271" s="20">
        <f>IF($F271=W$9,$I271/$I$253*W$10,IF($F271&lt;W$9,MIN($I271/$I$253,$I271-SUM($K271:V271)),0))</f>
        <v>0</v>
      </c>
      <c r="X271" s="20">
        <f>IF($F271=X$9,$I271/$I$253*X$10,IF($F271&lt;X$9,MIN($I271/$I$253,$I271-SUM($K271:W271)),0))</f>
        <v>0</v>
      </c>
      <c r="Y271" s="20">
        <f>IF($F271=Y$9,$I271/$I$253*Y$10,IF($F271&lt;Y$9,MIN($I271/$I$253,$I271-SUM($K271:X271)),0))</f>
        <v>0</v>
      </c>
      <c r="Z271" s="20">
        <f>IF($F271=Z$9,$I271/$I$253*Z$10,IF($F271&lt;Z$9,MIN($I271/$I$253,$I271-SUM($K271:Y271)),0))</f>
        <v>0</v>
      </c>
      <c r="AA271" s="20">
        <f>IF($F271=AA$9,$I271/$I$253*AA$10,IF($F271&lt;AA$9,MIN($I271/$I$253,$I271-SUM($K271:Z271)),0))</f>
        <v>0</v>
      </c>
      <c r="AB271" s="20">
        <f>IF($F271=AB$9,$I271/$I$253*AB$10,IF($F271&lt;AB$9,MIN($I271/$I$253,$I271-SUM($K271:AA271)),0))</f>
        <v>0</v>
      </c>
      <c r="AC271" s="20">
        <f>IF($F271=AC$9,$I271/$I$253*AC$10,IF($F271&lt;AC$9,MIN($I271/$I$253,$I271-SUM($K271:AB271)),0))</f>
        <v>0</v>
      </c>
      <c r="AD271" s="20">
        <f>IF($F271=AD$9,$I271/$I$253*AD$10,IF($F271&lt;AD$9,MIN($I271/$I$253,$I271-SUM($K271:AC271)),0))</f>
        <v>0</v>
      </c>
      <c r="AE271" s="20">
        <f>IF($F271=AE$9,$I271/$I$253*AE$10,IF($F271&lt;AE$9,MIN($I271/$I$253,$I271-SUM($K271:AD271)),0))</f>
        <v>0</v>
      </c>
      <c r="AF271" s="20">
        <f>IF($F271=AF$9,$I271/$I$253*AF$10,IF($F271&lt;AF$9,MIN($I271/$I$253,$I271-SUM($K271:AE271)),0))</f>
        <v>0</v>
      </c>
      <c r="AG271" s="20">
        <f>IF($F271=AG$9,$I271/$I$253*AG$10,IF($F271&lt;AG$9,MIN($I271/$I$253,$I271-SUM($K271:AF271)),0))</f>
        <v>0</v>
      </c>
      <c r="AH271" s="20">
        <f>IF($F271=AH$9,$I271/$I$253*AH$10,IF($F271&lt;AH$9,MIN($I271/$I$253,$I271-SUM($K271:AG271)),0))</f>
        <v>0</v>
      </c>
      <c r="AI271" s="20">
        <f>IF($F271=AI$9,$I271/$I$253*AI$10,IF($F271&lt;AI$9,MIN($I271/$I$253,$I271-SUM($K271:AH271)),0))</f>
        <v>0</v>
      </c>
      <c r="AJ271" s="20">
        <f>IF($F271=AJ$9,$I271/$I$253*AJ$10,IF($F271&lt;AJ$9,MIN($I271/$I$253,$I271-SUM($K271:AI271)),0))</f>
        <v>0</v>
      </c>
      <c r="AK271" s="20">
        <f>IF($F271=AK$9,$I271/$I$253*AK$10,IF($F271&lt;AK$9,MIN($I271/$I$253,$I271-SUM($K271:AJ271)),0))</f>
        <v>0</v>
      </c>
      <c r="AL271" s="20">
        <f>IF($F271=AL$9,$I271/$I$253*AL$10,IF($F271&lt;AL$9,MIN($I271/$I$253,$I271-SUM($K271:AK271)),0))</f>
        <v>0</v>
      </c>
      <c r="AM271" s="20">
        <f>IF($F271=AM$9,$I271/$I$253*AM$10,IF($F271&lt;AM$9,MIN($I271/$I$253,$I271-SUM($K271:AL271)),0))</f>
        <v>0</v>
      </c>
      <c r="AN271" s="20">
        <f>IF($F271=AN$9,$I271/$I$253*AN$10,IF($F271&lt;AN$9,MIN($I271/$I$253,$I271-SUM($K271:AM271)),0))</f>
        <v>0</v>
      </c>
      <c r="AO271" s="28"/>
    </row>
    <row r="272" spans="6:41" ht="14.4" customHeight="1" outlineLevel="1" x14ac:dyDescent="0.3">
      <c r="F272" s="69">
        <v>2041</v>
      </c>
      <c r="H272" s="26" t="s">
        <v>245</v>
      </c>
      <c r="I272" s="128">
        <v>0</v>
      </c>
      <c r="K272" s="89">
        <v>0</v>
      </c>
      <c r="L272" s="20">
        <f>IF($F272=L$9,$I272/$I$253*L$10,IF($F272&lt;L$9,MIN($I272/$I$253,$I272-SUM($K272:K272)),0))</f>
        <v>0</v>
      </c>
      <c r="M272" s="20">
        <f>IF($F272=M$9,$I272/$I$253*M$10,IF($F272&lt;M$9,MIN($I272/$I$253,$I272-SUM($K272:L272)),0))</f>
        <v>0</v>
      </c>
      <c r="N272" s="20">
        <f>IF($F272=N$9,$I272/$I$253*N$10,IF($F272&lt;N$9,MIN($I272/$I$253,$I272-SUM($K272:M272)),0))</f>
        <v>0</v>
      </c>
      <c r="O272" s="20">
        <f>IF($F272=O$9,$I272/$I$253*O$10,IF($F272&lt;O$9,MIN($I272/$I$253,$I272-SUM($K272:N272)),0))</f>
        <v>0</v>
      </c>
      <c r="P272" s="20">
        <f>IF($F272=P$9,$I272/$I$253*P$10,IF($F272&lt;P$9,MIN($I272/$I$253,$I272-SUM($K272:O272)),0))</f>
        <v>0</v>
      </c>
      <c r="Q272" s="20">
        <f>IF($F272=Q$9,$I272/$I$253*Q$10,IF($F272&lt;Q$9,MIN($I272/$I$253,$I272-SUM($K272:P272)),0))</f>
        <v>0</v>
      </c>
      <c r="R272" s="20">
        <f>IF($F272=R$9,$I272/$I$253*R$10,IF($F272&lt;R$9,MIN($I272/$I$253,$I272-SUM($K272:Q272)),0))</f>
        <v>0</v>
      </c>
      <c r="S272" s="20">
        <f>IF($F272=S$9,$I272/$I$253*S$10,IF($F272&lt;S$9,MIN($I272/$I$253,$I272-SUM($K272:R272)),0))</f>
        <v>0</v>
      </c>
      <c r="T272" s="20">
        <f>IF($F272=T$9,$I272/$I$253*T$10,IF($F272&lt;T$9,MIN($I272/$I$253,$I272-SUM($K272:S272)),0))</f>
        <v>0</v>
      </c>
      <c r="U272" s="20">
        <f>IF($F272=U$9,$I272/$I$253*U$10,IF($F272&lt;U$9,MIN($I272/$I$253,$I272-SUM($K272:T272)),0))</f>
        <v>0</v>
      </c>
      <c r="V272" s="20">
        <f>IF($F272=V$9,$I272/$I$253*V$10,IF($F272&lt;V$9,MIN($I272/$I$253,$I272-SUM($K272:U272)),0))</f>
        <v>0</v>
      </c>
      <c r="W272" s="20">
        <f>IF($F272=W$9,$I272/$I$253*W$10,IF($F272&lt;W$9,MIN($I272/$I$253,$I272-SUM($K272:V272)),0))</f>
        <v>0</v>
      </c>
      <c r="X272" s="20">
        <f>IF($F272=X$9,$I272/$I$253*X$10,IF($F272&lt;X$9,MIN($I272/$I$253,$I272-SUM($K272:W272)),0))</f>
        <v>0</v>
      </c>
      <c r="Y272" s="20">
        <f>IF($F272=Y$9,$I272/$I$253*Y$10,IF($F272&lt;Y$9,MIN($I272/$I$253,$I272-SUM($K272:X272)),0))</f>
        <v>0</v>
      </c>
      <c r="Z272" s="20">
        <f>IF($F272=Z$9,$I272/$I$253*Z$10,IF($F272&lt;Z$9,MIN($I272/$I$253,$I272-SUM($K272:Y272)),0))</f>
        <v>0</v>
      </c>
      <c r="AA272" s="20">
        <f>IF($F272=AA$9,$I272/$I$253*AA$10,IF($F272&lt;AA$9,MIN($I272/$I$253,$I272-SUM($K272:Z272)),0))</f>
        <v>0</v>
      </c>
      <c r="AB272" s="20">
        <f>IF($F272=AB$9,$I272/$I$253*AB$10,IF($F272&lt;AB$9,MIN($I272/$I$253,$I272-SUM($K272:AA272)),0))</f>
        <v>0</v>
      </c>
      <c r="AC272" s="20">
        <f>IF($F272=AC$9,$I272/$I$253*AC$10,IF($F272&lt;AC$9,MIN($I272/$I$253,$I272-SUM($K272:AB272)),0))</f>
        <v>0</v>
      </c>
      <c r="AD272" s="20">
        <f>IF($F272=AD$9,$I272/$I$253*AD$10,IF($F272&lt;AD$9,MIN($I272/$I$253,$I272-SUM($K272:AC272)),0))</f>
        <v>0</v>
      </c>
      <c r="AE272" s="20">
        <f>IF($F272=AE$9,$I272/$I$253*AE$10,IF($F272&lt;AE$9,MIN($I272/$I$253,$I272-SUM($K272:AD272)),0))</f>
        <v>0</v>
      </c>
      <c r="AF272" s="20">
        <f>IF($F272=AF$9,$I272/$I$253*AF$10,IF($F272&lt;AF$9,MIN($I272/$I$253,$I272-SUM($K272:AE272)),0))</f>
        <v>0</v>
      </c>
      <c r="AG272" s="20">
        <f>IF($F272=AG$9,$I272/$I$253*AG$10,IF($F272&lt;AG$9,MIN($I272/$I$253,$I272-SUM($K272:AF272)),0))</f>
        <v>0</v>
      </c>
      <c r="AH272" s="20">
        <f>IF($F272=AH$9,$I272/$I$253*AH$10,IF($F272&lt;AH$9,MIN($I272/$I$253,$I272-SUM($K272:AG272)),0))</f>
        <v>0</v>
      </c>
      <c r="AI272" s="20">
        <f>IF($F272=AI$9,$I272/$I$253*AI$10,IF($F272&lt;AI$9,MIN($I272/$I$253,$I272-SUM($K272:AH272)),0))</f>
        <v>0</v>
      </c>
      <c r="AJ272" s="20">
        <f>IF($F272=AJ$9,$I272/$I$253*AJ$10,IF($F272&lt;AJ$9,MIN($I272/$I$253,$I272-SUM($K272:AI272)),0))</f>
        <v>0</v>
      </c>
      <c r="AK272" s="20">
        <f>IF($F272=AK$9,$I272/$I$253*AK$10,IF($F272&lt;AK$9,MIN($I272/$I$253,$I272-SUM($K272:AJ272)),0))</f>
        <v>0</v>
      </c>
      <c r="AL272" s="20">
        <f>IF($F272=AL$9,$I272/$I$253*AL$10,IF($F272&lt;AL$9,MIN($I272/$I$253,$I272-SUM($K272:AK272)),0))</f>
        <v>0</v>
      </c>
      <c r="AM272" s="20">
        <f>IF($F272=AM$9,$I272/$I$253*AM$10,IF($F272&lt;AM$9,MIN($I272/$I$253,$I272-SUM($K272:AL272)),0))</f>
        <v>0</v>
      </c>
      <c r="AN272" s="20">
        <f>IF($F272=AN$9,$I272/$I$253*AN$10,IF($F272&lt;AN$9,MIN($I272/$I$253,$I272-SUM($K272:AM272)),0))</f>
        <v>0</v>
      </c>
      <c r="AO272" s="28"/>
    </row>
    <row r="273" spans="3:41" ht="14.4" customHeight="1" outlineLevel="1" x14ac:dyDescent="0.3">
      <c r="F273" s="69" t="str">
        <v/>
      </c>
      <c r="H273" s="26" t="s">
        <v>245</v>
      </c>
      <c r="I273" s="128">
        <v>0</v>
      </c>
      <c r="K273" s="89">
        <v>0</v>
      </c>
      <c r="L273" s="20">
        <f>IF($F273=L$9,$I273/$I$253*L$10,IF($F273&lt;L$9,MIN($I273/$I$253,$I273-SUM($K273:K273)),0))</f>
        <v>0</v>
      </c>
      <c r="M273" s="20">
        <f>IF($F273=M$9,$I273/$I$253*M$10,IF($F273&lt;M$9,MIN($I273/$I$253,$I273-SUM($K273:L273)),0))</f>
        <v>0</v>
      </c>
      <c r="N273" s="20">
        <f>IF($F273=N$9,$I273/$I$253*N$10,IF($F273&lt;N$9,MIN($I273/$I$253,$I273-SUM($K273:M273)),0))</f>
        <v>0</v>
      </c>
      <c r="O273" s="20">
        <f>IF($F273=O$9,$I273/$I$253*O$10,IF($F273&lt;O$9,MIN($I273/$I$253,$I273-SUM($K273:N273)),0))</f>
        <v>0</v>
      </c>
      <c r="P273" s="20">
        <f>IF($F273=P$9,$I273/$I$253*P$10,IF($F273&lt;P$9,MIN($I273/$I$253,$I273-SUM($K273:O273)),0))</f>
        <v>0</v>
      </c>
      <c r="Q273" s="20">
        <f>IF($F273=Q$9,$I273/$I$253*Q$10,IF($F273&lt;Q$9,MIN($I273/$I$253,$I273-SUM($K273:P273)),0))</f>
        <v>0</v>
      </c>
      <c r="R273" s="20">
        <f>IF($F273=R$9,$I273/$I$253*R$10,IF($F273&lt;R$9,MIN($I273/$I$253,$I273-SUM($K273:Q273)),0))</f>
        <v>0</v>
      </c>
      <c r="S273" s="20">
        <f>IF($F273=S$9,$I273/$I$253*S$10,IF($F273&lt;S$9,MIN($I273/$I$253,$I273-SUM($K273:R273)),0))</f>
        <v>0</v>
      </c>
      <c r="T273" s="20">
        <f>IF($F273=T$9,$I273/$I$253*T$10,IF($F273&lt;T$9,MIN($I273/$I$253,$I273-SUM($K273:S273)),0))</f>
        <v>0</v>
      </c>
      <c r="U273" s="20">
        <f>IF($F273=U$9,$I273/$I$253*U$10,IF($F273&lt;U$9,MIN($I273/$I$253,$I273-SUM($K273:T273)),0))</f>
        <v>0</v>
      </c>
      <c r="V273" s="20">
        <f>IF($F273=V$9,$I273/$I$253*V$10,IF($F273&lt;V$9,MIN($I273/$I$253,$I273-SUM($K273:U273)),0))</f>
        <v>0</v>
      </c>
      <c r="W273" s="20">
        <f>IF($F273=W$9,$I273/$I$253*W$10,IF($F273&lt;W$9,MIN($I273/$I$253,$I273-SUM($K273:V273)),0))</f>
        <v>0</v>
      </c>
      <c r="X273" s="20">
        <f>IF($F273=X$9,$I273/$I$253*X$10,IF($F273&lt;X$9,MIN($I273/$I$253,$I273-SUM($K273:W273)),0))</f>
        <v>0</v>
      </c>
      <c r="Y273" s="20">
        <f>IF($F273=Y$9,$I273/$I$253*Y$10,IF($F273&lt;Y$9,MIN($I273/$I$253,$I273-SUM($K273:X273)),0))</f>
        <v>0</v>
      </c>
      <c r="Z273" s="20">
        <f>IF($F273=Z$9,$I273/$I$253*Z$10,IF($F273&lt;Z$9,MIN($I273/$I$253,$I273-SUM($K273:Y273)),0))</f>
        <v>0</v>
      </c>
      <c r="AA273" s="20">
        <f>IF($F273=AA$9,$I273/$I$253*AA$10,IF($F273&lt;AA$9,MIN($I273/$I$253,$I273-SUM($K273:Z273)),0))</f>
        <v>0</v>
      </c>
      <c r="AB273" s="20">
        <f>IF($F273=AB$9,$I273/$I$253*AB$10,IF($F273&lt;AB$9,MIN($I273/$I$253,$I273-SUM($K273:AA273)),0))</f>
        <v>0</v>
      </c>
      <c r="AC273" s="20">
        <f>IF($F273=AC$9,$I273/$I$253*AC$10,IF($F273&lt;AC$9,MIN($I273/$I$253,$I273-SUM($K273:AB273)),0))</f>
        <v>0</v>
      </c>
      <c r="AD273" s="20">
        <f>IF($F273=AD$9,$I273/$I$253*AD$10,IF($F273&lt;AD$9,MIN($I273/$I$253,$I273-SUM($K273:AC273)),0))</f>
        <v>0</v>
      </c>
      <c r="AE273" s="20">
        <f>IF($F273=AE$9,$I273/$I$253*AE$10,IF($F273&lt;AE$9,MIN($I273/$I$253,$I273-SUM($K273:AD273)),0))</f>
        <v>0</v>
      </c>
      <c r="AF273" s="20">
        <f>IF($F273=AF$9,$I273/$I$253*AF$10,IF($F273&lt;AF$9,MIN($I273/$I$253,$I273-SUM($K273:AE273)),0))</f>
        <v>0</v>
      </c>
      <c r="AG273" s="20">
        <f>IF($F273=AG$9,$I273/$I$253*AG$10,IF($F273&lt;AG$9,MIN($I273/$I$253,$I273-SUM($K273:AF273)),0))</f>
        <v>0</v>
      </c>
      <c r="AH273" s="20">
        <f>IF($F273=AH$9,$I273/$I$253*AH$10,IF($F273&lt;AH$9,MIN($I273/$I$253,$I273-SUM($K273:AG273)),0))</f>
        <v>0</v>
      </c>
      <c r="AI273" s="20">
        <f>IF($F273=AI$9,$I273/$I$253*AI$10,IF($F273&lt;AI$9,MIN($I273/$I$253,$I273-SUM($K273:AH273)),0))</f>
        <v>0</v>
      </c>
      <c r="AJ273" s="20">
        <f>IF($F273=AJ$9,$I273/$I$253*AJ$10,IF($F273&lt;AJ$9,MIN($I273/$I$253,$I273-SUM($K273:AI273)),0))</f>
        <v>0</v>
      </c>
      <c r="AK273" s="20">
        <f>IF($F273=AK$9,$I273/$I$253*AK$10,IF($F273&lt;AK$9,MIN($I273/$I$253,$I273-SUM($K273:AJ273)),0))</f>
        <v>0</v>
      </c>
      <c r="AL273" s="20">
        <f>IF($F273=AL$9,$I273/$I$253*AL$10,IF($F273&lt;AL$9,MIN($I273/$I$253,$I273-SUM($K273:AK273)),0))</f>
        <v>0</v>
      </c>
      <c r="AM273" s="20">
        <f>IF($F273=AM$9,$I273/$I$253*AM$10,IF($F273&lt;AM$9,MIN($I273/$I$253,$I273-SUM($K273:AL273)),0))</f>
        <v>0</v>
      </c>
      <c r="AN273" s="20">
        <f>IF($F273=AN$9,$I273/$I$253*AN$10,IF($F273&lt;AN$9,MIN($I273/$I$253,$I273-SUM($K273:AM273)),0))</f>
        <v>0</v>
      </c>
      <c r="AO273" s="28"/>
    </row>
    <row r="274" spans="3:41" ht="14.4" customHeight="1" outlineLevel="1" x14ac:dyDescent="0.3">
      <c r="F274" s="69" t="str">
        <v/>
      </c>
      <c r="H274" s="26" t="s">
        <v>245</v>
      </c>
      <c r="I274" s="128">
        <v>0</v>
      </c>
      <c r="K274" s="89">
        <v>0</v>
      </c>
      <c r="L274" s="20">
        <f>IF($F274=L$9,$I274/$I$253*L$10,IF($F274&lt;L$9,MIN($I274/$I$253,$I274-SUM($K274:K274)),0))</f>
        <v>0</v>
      </c>
      <c r="M274" s="20">
        <f>IF($F274=M$9,$I274/$I$253*M$10,IF($F274&lt;M$9,MIN($I274/$I$253,$I274-SUM($K274:L274)),0))</f>
        <v>0</v>
      </c>
      <c r="N274" s="20">
        <f>IF($F274=N$9,$I274/$I$253*N$10,IF($F274&lt;N$9,MIN($I274/$I$253,$I274-SUM($K274:M274)),0))</f>
        <v>0</v>
      </c>
      <c r="O274" s="20">
        <f>IF($F274=O$9,$I274/$I$253*O$10,IF($F274&lt;O$9,MIN($I274/$I$253,$I274-SUM($K274:N274)),0))</f>
        <v>0</v>
      </c>
      <c r="P274" s="20">
        <f>IF($F274=P$9,$I274/$I$253*P$10,IF($F274&lt;P$9,MIN($I274/$I$253,$I274-SUM($K274:O274)),0))</f>
        <v>0</v>
      </c>
      <c r="Q274" s="20">
        <f>IF($F274=Q$9,$I274/$I$253*Q$10,IF($F274&lt;Q$9,MIN($I274/$I$253,$I274-SUM($K274:P274)),0))</f>
        <v>0</v>
      </c>
      <c r="R274" s="20">
        <f>IF($F274=R$9,$I274/$I$253*R$10,IF($F274&lt;R$9,MIN($I274/$I$253,$I274-SUM($K274:Q274)),0))</f>
        <v>0</v>
      </c>
      <c r="S274" s="20">
        <f>IF($F274=S$9,$I274/$I$253*S$10,IF($F274&lt;S$9,MIN($I274/$I$253,$I274-SUM($K274:R274)),0))</f>
        <v>0</v>
      </c>
      <c r="T274" s="20">
        <f>IF($F274=T$9,$I274/$I$253*T$10,IF($F274&lt;T$9,MIN($I274/$I$253,$I274-SUM($K274:S274)),0))</f>
        <v>0</v>
      </c>
      <c r="U274" s="20">
        <f>IF($F274=U$9,$I274/$I$253*U$10,IF($F274&lt;U$9,MIN($I274/$I$253,$I274-SUM($K274:T274)),0))</f>
        <v>0</v>
      </c>
      <c r="V274" s="20">
        <f>IF($F274=V$9,$I274/$I$253*V$10,IF($F274&lt;V$9,MIN($I274/$I$253,$I274-SUM($K274:U274)),0))</f>
        <v>0</v>
      </c>
      <c r="W274" s="20">
        <f>IF($F274=W$9,$I274/$I$253*W$10,IF($F274&lt;W$9,MIN($I274/$I$253,$I274-SUM($K274:V274)),0))</f>
        <v>0</v>
      </c>
      <c r="X274" s="20">
        <f>IF($F274=X$9,$I274/$I$253*X$10,IF($F274&lt;X$9,MIN($I274/$I$253,$I274-SUM($K274:W274)),0))</f>
        <v>0</v>
      </c>
      <c r="Y274" s="20">
        <f>IF($F274=Y$9,$I274/$I$253*Y$10,IF($F274&lt;Y$9,MIN($I274/$I$253,$I274-SUM($K274:X274)),0))</f>
        <v>0</v>
      </c>
      <c r="Z274" s="20">
        <f>IF($F274=Z$9,$I274/$I$253*Z$10,IF($F274&lt;Z$9,MIN($I274/$I$253,$I274-SUM($K274:Y274)),0))</f>
        <v>0</v>
      </c>
      <c r="AA274" s="20">
        <f>IF($F274=AA$9,$I274/$I$253*AA$10,IF($F274&lt;AA$9,MIN($I274/$I$253,$I274-SUM($K274:Z274)),0))</f>
        <v>0</v>
      </c>
      <c r="AB274" s="20">
        <f>IF($F274=AB$9,$I274/$I$253*AB$10,IF($F274&lt;AB$9,MIN($I274/$I$253,$I274-SUM($K274:AA274)),0))</f>
        <v>0</v>
      </c>
      <c r="AC274" s="20">
        <f>IF($F274=AC$9,$I274/$I$253*AC$10,IF($F274&lt;AC$9,MIN($I274/$I$253,$I274-SUM($K274:AB274)),0))</f>
        <v>0</v>
      </c>
      <c r="AD274" s="20">
        <f>IF($F274=AD$9,$I274/$I$253*AD$10,IF($F274&lt;AD$9,MIN($I274/$I$253,$I274-SUM($K274:AC274)),0))</f>
        <v>0</v>
      </c>
      <c r="AE274" s="20">
        <f>IF($F274=AE$9,$I274/$I$253*AE$10,IF($F274&lt;AE$9,MIN($I274/$I$253,$I274-SUM($K274:AD274)),0))</f>
        <v>0</v>
      </c>
      <c r="AF274" s="20">
        <f>IF($F274=AF$9,$I274/$I$253*AF$10,IF($F274&lt;AF$9,MIN($I274/$I$253,$I274-SUM($K274:AE274)),0))</f>
        <v>0</v>
      </c>
      <c r="AG274" s="20">
        <f>IF($F274=AG$9,$I274/$I$253*AG$10,IF($F274&lt;AG$9,MIN($I274/$I$253,$I274-SUM($K274:AF274)),0))</f>
        <v>0</v>
      </c>
      <c r="AH274" s="20">
        <f>IF($F274=AH$9,$I274/$I$253*AH$10,IF($F274&lt;AH$9,MIN($I274/$I$253,$I274-SUM($K274:AG274)),0))</f>
        <v>0</v>
      </c>
      <c r="AI274" s="20">
        <f>IF($F274=AI$9,$I274/$I$253*AI$10,IF($F274&lt;AI$9,MIN($I274/$I$253,$I274-SUM($K274:AH274)),0))</f>
        <v>0</v>
      </c>
      <c r="AJ274" s="20">
        <f>IF($F274=AJ$9,$I274/$I$253*AJ$10,IF($F274&lt;AJ$9,MIN($I274/$I$253,$I274-SUM($K274:AI274)),0))</f>
        <v>0</v>
      </c>
      <c r="AK274" s="20">
        <f>IF($F274=AK$9,$I274/$I$253*AK$10,IF($F274&lt;AK$9,MIN($I274/$I$253,$I274-SUM($K274:AJ274)),0))</f>
        <v>0</v>
      </c>
      <c r="AL274" s="20">
        <f>IF($F274=AL$9,$I274/$I$253*AL$10,IF($F274&lt;AL$9,MIN($I274/$I$253,$I274-SUM($K274:AK274)),0))</f>
        <v>0</v>
      </c>
      <c r="AM274" s="20">
        <f>IF($F274=AM$9,$I274/$I$253*AM$10,IF($F274&lt;AM$9,MIN($I274/$I$253,$I274-SUM($K274:AL274)),0))</f>
        <v>0</v>
      </c>
      <c r="AN274" s="20">
        <f>IF($F274=AN$9,$I274/$I$253*AN$10,IF($F274&lt;AN$9,MIN($I274/$I$253,$I274-SUM($K274:AM274)),0))</f>
        <v>0</v>
      </c>
      <c r="AO274" s="28"/>
    </row>
    <row r="275" spans="3:41" ht="14.4" customHeight="1" outlineLevel="1" x14ac:dyDescent="0.3">
      <c r="F275" s="69" t="str">
        <v/>
      </c>
      <c r="H275" s="26" t="s">
        <v>245</v>
      </c>
      <c r="I275" s="128">
        <v>0</v>
      </c>
      <c r="K275" s="89">
        <v>0</v>
      </c>
      <c r="L275" s="20">
        <f>IF($F275=L$9,$I275/$I$253*L$10,IF($F275&lt;L$9,MIN($I275/$I$253,$I275-SUM($K275:K275)),0))</f>
        <v>0</v>
      </c>
      <c r="M275" s="20">
        <f>IF($F275=M$9,$I275/$I$253*M$10,IF($F275&lt;M$9,MIN($I275/$I$253,$I275-SUM($K275:L275)),0))</f>
        <v>0</v>
      </c>
      <c r="N275" s="20">
        <f>IF($F275=N$9,$I275/$I$253*N$10,IF($F275&lt;N$9,MIN($I275/$I$253,$I275-SUM($K275:M275)),0))</f>
        <v>0</v>
      </c>
      <c r="O275" s="20">
        <f>IF($F275=O$9,$I275/$I$253*O$10,IF($F275&lt;O$9,MIN($I275/$I$253,$I275-SUM($K275:N275)),0))</f>
        <v>0</v>
      </c>
      <c r="P275" s="20">
        <f>IF($F275=P$9,$I275/$I$253*P$10,IF($F275&lt;P$9,MIN($I275/$I$253,$I275-SUM($K275:O275)),0))</f>
        <v>0</v>
      </c>
      <c r="Q275" s="20">
        <f>IF($F275=Q$9,$I275/$I$253*Q$10,IF($F275&lt;Q$9,MIN($I275/$I$253,$I275-SUM($K275:P275)),0))</f>
        <v>0</v>
      </c>
      <c r="R275" s="20">
        <f>IF($F275=R$9,$I275/$I$253*R$10,IF($F275&lt;R$9,MIN($I275/$I$253,$I275-SUM($K275:Q275)),0))</f>
        <v>0</v>
      </c>
      <c r="S275" s="20">
        <f>IF($F275=S$9,$I275/$I$253*S$10,IF($F275&lt;S$9,MIN($I275/$I$253,$I275-SUM($K275:R275)),0))</f>
        <v>0</v>
      </c>
      <c r="T275" s="20">
        <f>IF($F275=T$9,$I275/$I$253*T$10,IF($F275&lt;T$9,MIN($I275/$I$253,$I275-SUM($K275:S275)),0))</f>
        <v>0</v>
      </c>
      <c r="U275" s="20">
        <f>IF($F275=U$9,$I275/$I$253*U$10,IF($F275&lt;U$9,MIN($I275/$I$253,$I275-SUM($K275:T275)),0))</f>
        <v>0</v>
      </c>
      <c r="V275" s="20">
        <f>IF($F275=V$9,$I275/$I$253*V$10,IF($F275&lt;V$9,MIN($I275/$I$253,$I275-SUM($K275:U275)),0))</f>
        <v>0</v>
      </c>
      <c r="W275" s="20">
        <f>IF($F275=W$9,$I275/$I$253*W$10,IF($F275&lt;W$9,MIN($I275/$I$253,$I275-SUM($K275:V275)),0))</f>
        <v>0</v>
      </c>
      <c r="X275" s="20">
        <f>IF($F275=X$9,$I275/$I$253*X$10,IF($F275&lt;X$9,MIN($I275/$I$253,$I275-SUM($K275:W275)),0))</f>
        <v>0</v>
      </c>
      <c r="Y275" s="20">
        <f>IF($F275=Y$9,$I275/$I$253*Y$10,IF($F275&lt;Y$9,MIN($I275/$I$253,$I275-SUM($K275:X275)),0))</f>
        <v>0</v>
      </c>
      <c r="Z275" s="20">
        <f>IF($F275=Z$9,$I275/$I$253*Z$10,IF($F275&lt;Z$9,MIN($I275/$I$253,$I275-SUM($K275:Y275)),0))</f>
        <v>0</v>
      </c>
      <c r="AA275" s="20">
        <f>IF($F275=AA$9,$I275/$I$253*AA$10,IF($F275&lt;AA$9,MIN($I275/$I$253,$I275-SUM($K275:Z275)),0))</f>
        <v>0</v>
      </c>
      <c r="AB275" s="20">
        <f>IF($F275=AB$9,$I275/$I$253*AB$10,IF($F275&lt;AB$9,MIN($I275/$I$253,$I275-SUM($K275:AA275)),0))</f>
        <v>0</v>
      </c>
      <c r="AC275" s="20">
        <f>IF($F275=AC$9,$I275/$I$253*AC$10,IF($F275&lt;AC$9,MIN($I275/$I$253,$I275-SUM($K275:AB275)),0))</f>
        <v>0</v>
      </c>
      <c r="AD275" s="20">
        <f>IF($F275=AD$9,$I275/$I$253*AD$10,IF($F275&lt;AD$9,MIN($I275/$I$253,$I275-SUM($K275:AC275)),0))</f>
        <v>0</v>
      </c>
      <c r="AE275" s="20">
        <f>IF($F275=AE$9,$I275/$I$253*AE$10,IF($F275&lt;AE$9,MIN($I275/$I$253,$I275-SUM($K275:AD275)),0))</f>
        <v>0</v>
      </c>
      <c r="AF275" s="20">
        <f>IF($F275=AF$9,$I275/$I$253*AF$10,IF($F275&lt;AF$9,MIN($I275/$I$253,$I275-SUM($K275:AE275)),0))</f>
        <v>0</v>
      </c>
      <c r="AG275" s="20">
        <f>IF($F275=AG$9,$I275/$I$253*AG$10,IF($F275&lt;AG$9,MIN($I275/$I$253,$I275-SUM($K275:AF275)),0))</f>
        <v>0</v>
      </c>
      <c r="AH275" s="20">
        <f>IF($F275=AH$9,$I275/$I$253*AH$10,IF($F275&lt;AH$9,MIN($I275/$I$253,$I275-SUM($K275:AG275)),0))</f>
        <v>0</v>
      </c>
      <c r="AI275" s="20">
        <f>IF($F275=AI$9,$I275/$I$253*AI$10,IF($F275&lt;AI$9,MIN($I275/$I$253,$I275-SUM($K275:AH275)),0))</f>
        <v>0</v>
      </c>
      <c r="AJ275" s="20">
        <f>IF($F275=AJ$9,$I275/$I$253*AJ$10,IF($F275&lt;AJ$9,MIN($I275/$I$253,$I275-SUM($K275:AI275)),0))</f>
        <v>0</v>
      </c>
      <c r="AK275" s="20">
        <f>IF($F275=AK$9,$I275/$I$253*AK$10,IF($F275&lt;AK$9,MIN($I275/$I$253,$I275-SUM($K275:AJ275)),0))</f>
        <v>0</v>
      </c>
      <c r="AL275" s="20">
        <f>IF($F275=AL$9,$I275/$I$253*AL$10,IF($F275&lt;AL$9,MIN($I275/$I$253,$I275-SUM($K275:AK275)),0))</f>
        <v>0</v>
      </c>
      <c r="AM275" s="20">
        <f>IF($F275=AM$9,$I275/$I$253*AM$10,IF($F275&lt;AM$9,MIN($I275/$I$253,$I275-SUM($K275:AL275)),0))</f>
        <v>0</v>
      </c>
      <c r="AN275" s="20">
        <f>IF($F275=AN$9,$I275/$I$253*AN$10,IF($F275&lt;AN$9,MIN($I275/$I$253,$I275-SUM($K275:AM275)),0))</f>
        <v>0</v>
      </c>
      <c r="AO275" s="28"/>
    </row>
    <row r="276" spans="3:41" ht="14.4" customHeight="1" outlineLevel="1" x14ac:dyDescent="0.3">
      <c r="F276" s="69" t="str">
        <v/>
      </c>
      <c r="H276" s="26" t="s">
        <v>245</v>
      </c>
      <c r="I276" s="128">
        <v>0</v>
      </c>
      <c r="K276" s="89">
        <v>0</v>
      </c>
      <c r="L276" s="20">
        <f>IF($F276=L$9,$I276/$I$253*L$10,IF($F276&lt;L$9,MIN($I276/$I$253,$I276-SUM($K276:K276)),0))</f>
        <v>0</v>
      </c>
      <c r="M276" s="20">
        <f>IF($F276=M$9,$I276/$I$253*M$10,IF($F276&lt;M$9,MIN($I276/$I$253,$I276-SUM($K276:L276)),0))</f>
        <v>0</v>
      </c>
      <c r="N276" s="20">
        <f>IF($F276=N$9,$I276/$I$253*N$10,IF($F276&lt;N$9,MIN($I276/$I$253,$I276-SUM($K276:M276)),0))</f>
        <v>0</v>
      </c>
      <c r="O276" s="20">
        <f>IF($F276=O$9,$I276/$I$253*O$10,IF($F276&lt;O$9,MIN($I276/$I$253,$I276-SUM($K276:N276)),0))</f>
        <v>0</v>
      </c>
      <c r="P276" s="20">
        <f>IF($F276=P$9,$I276/$I$253*P$10,IF($F276&lt;P$9,MIN($I276/$I$253,$I276-SUM($K276:O276)),0))</f>
        <v>0</v>
      </c>
      <c r="Q276" s="20">
        <f>IF($F276=Q$9,$I276/$I$253*Q$10,IF($F276&lt;Q$9,MIN($I276/$I$253,$I276-SUM($K276:P276)),0))</f>
        <v>0</v>
      </c>
      <c r="R276" s="20">
        <f>IF($F276=R$9,$I276/$I$253*R$10,IF($F276&lt;R$9,MIN($I276/$I$253,$I276-SUM($K276:Q276)),0))</f>
        <v>0</v>
      </c>
      <c r="S276" s="20">
        <f>IF($F276=S$9,$I276/$I$253*S$10,IF($F276&lt;S$9,MIN($I276/$I$253,$I276-SUM($K276:R276)),0))</f>
        <v>0</v>
      </c>
      <c r="T276" s="20">
        <f>IF($F276=T$9,$I276/$I$253*T$10,IF($F276&lt;T$9,MIN($I276/$I$253,$I276-SUM($K276:S276)),0))</f>
        <v>0</v>
      </c>
      <c r="U276" s="20">
        <f>IF($F276=U$9,$I276/$I$253*U$10,IF($F276&lt;U$9,MIN($I276/$I$253,$I276-SUM($K276:T276)),0))</f>
        <v>0</v>
      </c>
      <c r="V276" s="20">
        <f>IF($F276=V$9,$I276/$I$253*V$10,IF($F276&lt;V$9,MIN($I276/$I$253,$I276-SUM($K276:U276)),0))</f>
        <v>0</v>
      </c>
      <c r="W276" s="20">
        <f>IF($F276=W$9,$I276/$I$253*W$10,IF($F276&lt;W$9,MIN($I276/$I$253,$I276-SUM($K276:V276)),0))</f>
        <v>0</v>
      </c>
      <c r="X276" s="20">
        <f>IF($F276=X$9,$I276/$I$253*X$10,IF($F276&lt;X$9,MIN($I276/$I$253,$I276-SUM($K276:W276)),0))</f>
        <v>0</v>
      </c>
      <c r="Y276" s="20">
        <f>IF($F276=Y$9,$I276/$I$253*Y$10,IF($F276&lt;Y$9,MIN($I276/$I$253,$I276-SUM($K276:X276)),0))</f>
        <v>0</v>
      </c>
      <c r="Z276" s="20">
        <f>IF($F276=Z$9,$I276/$I$253*Z$10,IF($F276&lt;Z$9,MIN($I276/$I$253,$I276-SUM($K276:Y276)),0))</f>
        <v>0</v>
      </c>
      <c r="AA276" s="20">
        <f>IF($F276=AA$9,$I276/$I$253*AA$10,IF($F276&lt;AA$9,MIN($I276/$I$253,$I276-SUM($K276:Z276)),0))</f>
        <v>0</v>
      </c>
      <c r="AB276" s="20">
        <f>IF($F276=AB$9,$I276/$I$253*AB$10,IF($F276&lt;AB$9,MIN($I276/$I$253,$I276-SUM($K276:AA276)),0))</f>
        <v>0</v>
      </c>
      <c r="AC276" s="20">
        <f>IF($F276=AC$9,$I276/$I$253*AC$10,IF($F276&lt;AC$9,MIN($I276/$I$253,$I276-SUM($K276:AB276)),0))</f>
        <v>0</v>
      </c>
      <c r="AD276" s="20">
        <f>IF($F276=AD$9,$I276/$I$253*AD$10,IF($F276&lt;AD$9,MIN($I276/$I$253,$I276-SUM($K276:AC276)),0))</f>
        <v>0</v>
      </c>
      <c r="AE276" s="20">
        <f>IF($F276=AE$9,$I276/$I$253*AE$10,IF($F276&lt;AE$9,MIN($I276/$I$253,$I276-SUM($K276:AD276)),0))</f>
        <v>0</v>
      </c>
      <c r="AF276" s="20">
        <f>IF($F276=AF$9,$I276/$I$253*AF$10,IF($F276&lt;AF$9,MIN($I276/$I$253,$I276-SUM($K276:AE276)),0))</f>
        <v>0</v>
      </c>
      <c r="AG276" s="20">
        <f>IF($F276=AG$9,$I276/$I$253*AG$10,IF($F276&lt;AG$9,MIN($I276/$I$253,$I276-SUM($K276:AF276)),0))</f>
        <v>0</v>
      </c>
      <c r="AH276" s="20">
        <f>IF($F276=AH$9,$I276/$I$253*AH$10,IF($F276&lt;AH$9,MIN($I276/$I$253,$I276-SUM($K276:AG276)),0))</f>
        <v>0</v>
      </c>
      <c r="AI276" s="20">
        <f>IF($F276=AI$9,$I276/$I$253*AI$10,IF($F276&lt;AI$9,MIN($I276/$I$253,$I276-SUM($K276:AH276)),0))</f>
        <v>0</v>
      </c>
      <c r="AJ276" s="20">
        <f>IF($F276=AJ$9,$I276/$I$253*AJ$10,IF($F276&lt;AJ$9,MIN($I276/$I$253,$I276-SUM($K276:AI276)),0))</f>
        <v>0</v>
      </c>
      <c r="AK276" s="20">
        <f>IF($F276=AK$9,$I276/$I$253*AK$10,IF($F276&lt;AK$9,MIN($I276/$I$253,$I276-SUM($K276:AJ276)),0))</f>
        <v>0</v>
      </c>
      <c r="AL276" s="20">
        <f>IF($F276=AL$9,$I276/$I$253*AL$10,IF($F276&lt;AL$9,MIN($I276/$I$253,$I276-SUM($K276:AK276)),0))</f>
        <v>0</v>
      </c>
      <c r="AM276" s="20">
        <f>IF($F276=AM$9,$I276/$I$253*AM$10,IF($F276&lt;AM$9,MIN($I276/$I$253,$I276-SUM($K276:AL276)),0))</f>
        <v>0</v>
      </c>
      <c r="AN276" s="20">
        <f>IF($F276=AN$9,$I276/$I$253*AN$10,IF($F276&lt;AN$9,MIN($I276/$I$253,$I276-SUM($K276:AM276)),0))</f>
        <v>0</v>
      </c>
      <c r="AO276" s="28"/>
    </row>
    <row r="277" spans="3:41" ht="14.4" customHeight="1" outlineLevel="1" x14ac:dyDescent="0.3">
      <c r="F277" s="69" t="str">
        <v/>
      </c>
      <c r="H277" s="26" t="s">
        <v>245</v>
      </c>
      <c r="I277" s="128">
        <v>0</v>
      </c>
      <c r="K277" s="89">
        <v>0</v>
      </c>
      <c r="L277" s="20">
        <f>IF($F277=L$9,$I277/$I$253*L$10,IF($F277&lt;L$9,MIN($I277/$I$253,$I277-SUM($K277:K277)),0))</f>
        <v>0</v>
      </c>
      <c r="M277" s="20">
        <f>IF($F277=M$9,$I277/$I$253*M$10,IF($F277&lt;M$9,MIN($I277/$I$253,$I277-SUM($K277:L277)),0))</f>
        <v>0</v>
      </c>
      <c r="N277" s="20">
        <f>IF($F277=N$9,$I277/$I$253*N$10,IF($F277&lt;N$9,MIN($I277/$I$253,$I277-SUM($K277:M277)),0))</f>
        <v>0</v>
      </c>
      <c r="O277" s="20">
        <f>IF($F277=O$9,$I277/$I$253*O$10,IF($F277&lt;O$9,MIN($I277/$I$253,$I277-SUM($K277:N277)),0))</f>
        <v>0</v>
      </c>
      <c r="P277" s="20">
        <f>IF($F277=P$9,$I277/$I$253*P$10,IF($F277&lt;P$9,MIN($I277/$I$253,$I277-SUM($K277:O277)),0))</f>
        <v>0</v>
      </c>
      <c r="Q277" s="20">
        <f>IF($F277=Q$9,$I277/$I$253*Q$10,IF($F277&lt;Q$9,MIN($I277/$I$253,$I277-SUM($K277:P277)),0))</f>
        <v>0</v>
      </c>
      <c r="R277" s="20">
        <f>IF($F277=R$9,$I277/$I$253*R$10,IF($F277&lt;R$9,MIN($I277/$I$253,$I277-SUM($K277:Q277)),0))</f>
        <v>0</v>
      </c>
      <c r="S277" s="20">
        <f>IF($F277=S$9,$I277/$I$253*S$10,IF($F277&lt;S$9,MIN($I277/$I$253,$I277-SUM($K277:R277)),0))</f>
        <v>0</v>
      </c>
      <c r="T277" s="20">
        <f>IF($F277=T$9,$I277/$I$253*T$10,IF($F277&lt;T$9,MIN($I277/$I$253,$I277-SUM($K277:S277)),0))</f>
        <v>0</v>
      </c>
      <c r="U277" s="20">
        <f>IF($F277=U$9,$I277/$I$253*U$10,IF($F277&lt;U$9,MIN($I277/$I$253,$I277-SUM($K277:T277)),0))</f>
        <v>0</v>
      </c>
      <c r="V277" s="20">
        <f>IF($F277=V$9,$I277/$I$253*V$10,IF($F277&lt;V$9,MIN($I277/$I$253,$I277-SUM($K277:U277)),0))</f>
        <v>0</v>
      </c>
      <c r="W277" s="20">
        <f>IF($F277=W$9,$I277/$I$253*W$10,IF($F277&lt;W$9,MIN($I277/$I$253,$I277-SUM($K277:V277)),0))</f>
        <v>0</v>
      </c>
      <c r="X277" s="20">
        <f>IF($F277=X$9,$I277/$I$253*X$10,IF($F277&lt;X$9,MIN($I277/$I$253,$I277-SUM($K277:W277)),0))</f>
        <v>0</v>
      </c>
      <c r="Y277" s="20">
        <f>IF($F277=Y$9,$I277/$I$253*Y$10,IF($F277&lt;Y$9,MIN($I277/$I$253,$I277-SUM($K277:X277)),0))</f>
        <v>0</v>
      </c>
      <c r="Z277" s="20">
        <f>IF($F277=Z$9,$I277/$I$253*Z$10,IF($F277&lt;Z$9,MIN($I277/$I$253,$I277-SUM($K277:Y277)),0))</f>
        <v>0</v>
      </c>
      <c r="AA277" s="20">
        <f>IF($F277=AA$9,$I277/$I$253*AA$10,IF($F277&lt;AA$9,MIN($I277/$I$253,$I277-SUM($K277:Z277)),0))</f>
        <v>0</v>
      </c>
      <c r="AB277" s="20">
        <f>IF($F277=AB$9,$I277/$I$253*AB$10,IF($F277&lt;AB$9,MIN($I277/$I$253,$I277-SUM($K277:AA277)),0))</f>
        <v>0</v>
      </c>
      <c r="AC277" s="20">
        <f>IF($F277=AC$9,$I277/$I$253*AC$10,IF($F277&lt;AC$9,MIN($I277/$I$253,$I277-SUM($K277:AB277)),0))</f>
        <v>0</v>
      </c>
      <c r="AD277" s="20">
        <f>IF($F277=AD$9,$I277/$I$253*AD$10,IF($F277&lt;AD$9,MIN($I277/$I$253,$I277-SUM($K277:AC277)),0))</f>
        <v>0</v>
      </c>
      <c r="AE277" s="20">
        <f>IF($F277=AE$9,$I277/$I$253*AE$10,IF($F277&lt;AE$9,MIN($I277/$I$253,$I277-SUM($K277:AD277)),0))</f>
        <v>0</v>
      </c>
      <c r="AF277" s="20">
        <f>IF($F277=AF$9,$I277/$I$253*AF$10,IF($F277&lt;AF$9,MIN($I277/$I$253,$I277-SUM($K277:AE277)),0))</f>
        <v>0</v>
      </c>
      <c r="AG277" s="20">
        <f>IF($F277=AG$9,$I277/$I$253*AG$10,IF($F277&lt;AG$9,MIN($I277/$I$253,$I277-SUM($K277:AF277)),0))</f>
        <v>0</v>
      </c>
      <c r="AH277" s="20">
        <f>IF($F277=AH$9,$I277/$I$253*AH$10,IF($F277&lt;AH$9,MIN($I277/$I$253,$I277-SUM($K277:AG277)),0))</f>
        <v>0</v>
      </c>
      <c r="AI277" s="20">
        <f>IF($F277=AI$9,$I277/$I$253*AI$10,IF($F277&lt;AI$9,MIN($I277/$I$253,$I277-SUM($K277:AH277)),0))</f>
        <v>0</v>
      </c>
      <c r="AJ277" s="20">
        <f>IF($F277=AJ$9,$I277/$I$253*AJ$10,IF($F277&lt;AJ$9,MIN($I277/$I$253,$I277-SUM($K277:AI277)),0))</f>
        <v>0</v>
      </c>
      <c r="AK277" s="20">
        <f>IF($F277=AK$9,$I277/$I$253*AK$10,IF($F277&lt;AK$9,MIN($I277/$I$253,$I277-SUM($K277:AJ277)),0))</f>
        <v>0</v>
      </c>
      <c r="AL277" s="20">
        <f>IF($F277=AL$9,$I277/$I$253*AL$10,IF($F277&lt;AL$9,MIN($I277/$I$253,$I277-SUM($K277:AK277)),0))</f>
        <v>0</v>
      </c>
      <c r="AM277" s="20">
        <f>IF($F277=AM$9,$I277/$I$253*AM$10,IF($F277&lt;AM$9,MIN($I277/$I$253,$I277-SUM($K277:AL277)),0))</f>
        <v>0</v>
      </c>
      <c r="AN277" s="20">
        <f>IF($F277=AN$9,$I277/$I$253*AN$10,IF($F277&lt;AN$9,MIN($I277/$I$253,$I277-SUM($K277:AM277)),0))</f>
        <v>0</v>
      </c>
      <c r="AO277" s="28"/>
    </row>
    <row r="278" spans="3:41" ht="14.4" customHeight="1" outlineLevel="1" x14ac:dyDescent="0.3">
      <c r="F278" s="69" t="str">
        <v/>
      </c>
      <c r="H278" s="26" t="s">
        <v>245</v>
      </c>
      <c r="I278" s="128">
        <v>0</v>
      </c>
      <c r="K278" s="89">
        <v>0</v>
      </c>
      <c r="L278" s="20">
        <f>IF($F278=L$9,$I278/$I$253*L$10,IF($F278&lt;L$9,MIN($I278/$I$253,$I278-SUM($K278:K278)),0))</f>
        <v>0</v>
      </c>
      <c r="M278" s="20">
        <f>IF($F278=M$9,$I278/$I$253*M$10,IF($F278&lt;M$9,MIN($I278/$I$253,$I278-SUM($K278:L278)),0))</f>
        <v>0</v>
      </c>
      <c r="N278" s="20">
        <f>IF($F278=N$9,$I278/$I$253*N$10,IF($F278&lt;N$9,MIN($I278/$I$253,$I278-SUM($K278:M278)),0))</f>
        <v>0</v>
      </c>
      <c r="O278" s="20">
        <f>IF($F278=O$9,$I278/$I$253*O$10,IF($F278&lt;O$9,MIN($I278/$I$253,$I278-SUM($K278:N278)),0))</f>
        <v>0</v>
      </c>
      <c r="P278" s="20">
        <f>IF($F278=P$9,$I278/$I$253*P$10,IF($F278&lt;P$9,MIN($I278/$I$253,$I278-SUM($K278:O278)),0))</f>
        <v>0</v>
      </c>
      <c r="Q278" s="20">
        <f>IF($F278=Q$9,$I278/$I$253*Q$10,IF($F278&lt;Q$9,MIN($I278/$I$253,$I278-SUM($K278:P278)),0))</f>
        <v>0</v>
      </c>
      <c r="R278" s="20">
        <f>IF($F278=R$9,$I278/$I$253*R$10,IF($F278&lt;R$9,MIN($I278/$I$253,$I278-SUM($K278:Q278)),0))</f>
        <v>0</v>
      </c>
      <c r="S278" s="20">
        <f>IF($F278=S$9,$I278/$I$253*S$10,IF($F278&lt;S$9,MIN($I278/$I$253,$I278-SUM($K278:R278)),0))</f>
        <v>0</v>
      </c>
      <c r="T278" s="20">
        <f>IF($F278=T$9,$I278/$I$253*T$10,IF($F278&lt;T$9,MIN($I278/$I$253,$I278-SUM($K278:S278)),0))</f>
        <v>0</v>
      </c>
      <c r="U278" s="20">
        <f>IF($F278=U$9,$I278/$I$253*U$10,IF($F278&lt;U$9,MIN($I278/$I$253,$I278-SUM($K278:T278)),0))</f>
        <v>0</v>
      </c>
      <c r="V278" s="20">
        <f>IF($F278=V$9,$I278/$I$253*V$10,IF($F278&lt;V$9,MIN($I278/$I$253,$I278-SUM($K278:U278)),0))</f>
        <v>0</v>
      </c>
      <c r="W278" s="20">
        <f>IF($F278=W$9,$I278/$I$253*W$10,IF($F278&lt;W$9,MIN($I278/$I$253,$I278-SUM($K278:V278)),0))</f>
        <v>0</v>
      </c>
      <c r="X278" s="20">
        <f>IF($F278=X$9,$I278/$I$253*X$10,IF($F278&lt;X$9,MIN($I278/$I$253,$I278-SUM($K278:W278)),0))</f>
        <v>0</v>
      </c>
      <c r="Y278" s="20">
        <f>IF($F278=Y$9,$I278/$I$253*Y$10,IF($F278&lt;Y$9,MIN($I278/$I$253,$I278-SUM($K278:X278)),0))</f>
        <v>0</v>
      </c>
      <c r="Z278" s="20">
        <f>IF($F278=Z$9,$I278/$I$253*Z$10,IF($F278&lt;Z$9,MIN($I278/$I$253,$I278-SUM($K278:Y278)),0))</f>
        <v>0</v>
      </c>
      <c r="AA278" s="20">
        <f>IF($F278=AA$9,$I278/$I$253*AA$10,IF($F278&lt;AA$9,MIN($I278/$I$253,$I278-SUM($K278:Z278)),0))</f>
        <v>0</v>
      </c>
      <c r="AB278" s="20">
        <f>IF($F278=AB$9,$I278/$I$253*AB$10,IF($F278&lt;AB$9,MIN($I278/$I$253,$I278-SUM($K278:AA278)),0))</f>
        <v>0</v>
      </c>
      <c r="AC278" s="20">
        <f>IF($F278=AC$9,$I278/$I$253*AC$10,IF($F278&lt;AC$9,MIN($I278/$I$253,$I278-SUM($K278:AB278)),0))</f>
        <v>0</v>
      </c>
      <c r="AD278" s="20">
        <f>IF($F278=AD$9,$I278/$I$253*AD$10,IF($F278&lt;AD$9,MIN($I278/$I$253,$I278-SUM($K278:AC278)),0))</f>
        <v>0</v>
      </c>
      <c r="AE278" s="20">
        <f>IF($F278=AE$9,$I278/$I$253*AE$10,IF($F278&lt;AE$9,MIN($I278/$I$253,$I278-SUM($K278:AD278)),0))</f>
        <v>0</v>
      </c>
      <c r="AF278" s="20">
        <f>IF($F278=AF$9,$I278/$I$253*AF$10,IF($F278&lt;AF$9,MIN($I278/$I$253,$I278-SUM($K278:AE278)),0))</f>
        <v>0</v>
      </c>
      <c r="AG278" s="20">
        <f>IF($F278=AG$9,$I278/$I$253*AG$10,IF($F278&lt;AG$9,MIN($I278/$I$253,$I278-SUM($K278:AF278)),0))</f>
        <v>0</v>
      </c>
      <c r="AH278" s="20">
        <f>IF($F278=AH$9,$I278/$I$253*AH$10,IF($F278&lt;AH$9,MIN($I278/$I$253,$I278-SUM($K278:AG278)),0))</f>
        <v>0</v>
      </c>
      <c r="AI278" s="20">
        <f>IF($F278=AI$9,$I278/$I$253*AI$10,IF($F278&lt;AI$9,MIN($I278/$I$253,$I278-SUM($K278:AH278)),0))</f>
        <v>0</v>
      </c>
      <c r="AJ278" s="20">
        <f>IF($F278=AJ$9,$I278/$I$253*AJ$10,IF($F278&lt;AJ$9,MIN($I278/$I$253,$I278-SUM($K278:AI278)),0))</f>
        <v>0</v>
      </c>
      <c r="AK278" s="20">
        <f>IF($F278=AK$9,$I278/$I$253*AK$10,IF($F278&lt;AK$9,MIN($I278/$I$253,$I278-SUM($K278:AJ278)),0))</f>
        <v>0</v>
      </c>
      <c r="AL278" s="20">
        <f>IF($F278=AL$9,$I278/$I$253*AL$10,IF($F278&lt;AL$9,MIN($I278/$I$253,$I278-SUM($K278:AK278)),0))</f>
        <v>0</v>
      </c>
      <c r="AM278" s="20">
        <f>IF($F278=AM$9,$I278/$I$253*AM$10,IF($F278&lt;AM$9,MIN($I278/$I$253,$I278-SUM($K278:AL278)),0))</f>
        <v>0</v>
      </c>
      <c r="AN278" s="20">
        <f>IF($F278=AN$9,$I278/$I$253*AN$10,IF($F278&lt;AN$9,MIN($I278/$I$253,$I278-SUM($K278:AM278)),0))</f>
        <v>0</v>
      </c>
      <c r="AO278" s="28"/>
    </row>
    <row r="279" spans="3:41" ht="14.4" customHeight="1" outlineLevel="1" x14ac:dyDescent="0.3">
      <c r="F279" s="69" t="str">
        <v/>
      </c>
      <c r="H279" s="26" t="s">
        <v>245</v>
      </c>
      <c r="I279" s="128">
        <v>0</v>
      </c>
      <c r="K279" s="89">
        <v>0</v>
      </c>
      <c r="L279" s="20">
        <f>IF($F279=L$9,$I279/$I$253*L$10,IF($F279&lt;L$9,MIN($I279/$I$253,$I279-SUM($K279:K279)),0))</f>
        <v>0</v>
      </c>
      <c r="M279" s="20">
        <f>IF($F279=M$9,$I279/$I$253*M$10,IF($F279&lt;M$9,MIN($I279/$I$253,$I279-SUM($K279:L279)),0))</f>
        <v>0</v>
      </c>
      <c r="N279" s="20">
        <f>IF($F279=N$9,$I279/$I$253*N$10,IF($F279&lt;N$9,MIN($I279/$I$253,$I279-SUM($K279:M279)),0))</f>
        <v>0</v>
      </c>
      <c r="O279" s="20">
        <f>IF($F279=O$9,$I279/$I$253*O$10,IF($F279&lt;O$9,MIN($I279/$I$253,$I279-SUM($K279:N279)),0))</f>
        <v>0</v>
      </c>
      <c r="P279" s="20">
        <f>IF($F279=P$9,$I279/$I$253*P$10,IF($F279&lt;P$9,MIN($I279/$I$253,$I279-SUM($K279:O279)),0))</f>
        <v>0</v>
      </c>
      <c r="Q279" s="20">
        <f>IF($F279=Q$9,$I279/$I$253*Q$10,IF($F279&lt;Q$9,MIN($I279/$I$253,$I279-SUM($K279:P279)),0))</f>
        <v>0</v>
      </c>
      <c r="R279" s="20">
        <f>IF($F279=R$9,$I279/$I$253*R$10,IF($F279&lt;R$9,MIN($I279/$I$253,$I279-SUM($K279:Q279)),0))</f>
        <v>0</v>
      </c>
      <c r="S279" s="20">
        <f>IF($F279=S$9,$I279/$I$253*S$10,IF($F279&lt;S$9,MIN($I279/$I$253,$I279-SUM($K279:R279)),0))</f>
        <v>0</v>
      </c>
      <c r="T279" s="20">
        <f>IF($F279=T$9,$I279/$I$253*T$10,IF($F279&lt;T$9,MIN($I279/$I$253,$I279-SUM($K279:S279)),0))</f>
        <v>0</v>
      </c>
      <c r="U279" s="20">
        <f>IF($F279=U$9,$I279/$I$253*U$10,IF($F279&lt;U$9,MIN($I279/$I$253,$I279-SUM($K279:T279)),0))</f>
        <v>0</v>
      </c>
      <c r="V279" s="20">
        <f>IF($F279=V$9,$I279/$I$253*V$10,IF($F279&lt;V$9,MIN($I279/$I$253,$I279-SUM($K279:U279)),0))</f>
        <v>0</v>
      </c>
      <c r="W279" s="20">
        <f>IF($F279=W$9,$I279/$I$253*W$10,IF($F279&lt;W$9,MIN($I279/$I$253,$I279-SUM($K279:V279)),0))</f>
        <v>0</v>
      </c>
      <c r="X279" s="20">
        <f>IF($F279=X$9,$I279/$I$253*X$10,IF($F279&lt;X$9,MIN($I279/$I$253,$I279-SUM($K279:W279)),0))</f>
        <v>0</v>
      </c>
      <c r="Y279" s="20">
        <f>IF($F279=Y$9,$I279/$I$253*Y$10,IF($F279&lt;Y$9,MIN($I279/$I$253,$I279-SUM($K279:X279)),0))</f>
        <v>0</v>
      </c>
      <c r="Z279" s="20">
        <f>IF($F279=Z$9,$I279/$I$253*Z$10,IF($F279&lt;Z$9,MIN($I279/$I$253,$I279-SUM($K279:Y279)),0))</f>
        <v>0</v>
      </c>
      <c r="AA279" s="20">
        <f>IF($F279=AA$9,$I279/$I$253*AA$10,IF($F279&lt;AA$9,MIN($I279/$I$253,$I279-SUM($K279:Z279)),0))</f>
        <v>0</v>
      </c>
      <c r="AB279" s="20">
        <f>IF($F279=AB$9,$I279/$I$253*AB$10,IF($F279&lt;AB$9,MIN($I279/$I$253,$I279-SUM($K279:AA279)),0))</f>
        <v>0</v>
      </c>
      <c r="AC279" s="20">
        <f>IF($F279=AC$9,$I279/$I$253*AC$10,IF($F279&lt;AC$9,MIN($I279/$I$253,$I279-SUM($K279:AB279)),0))</f>
        <v>0</v>
      </c>
      <c r="AD279" s="20">
        <f>IF($F279=AD$9,$I279/$I$253*AD$10,IF($F279&lt;AD$9,MIN($I279/$I$253,$I279-SUM($K279:AC279)),0))</f>
        <v>0</v>
      </c>
      <c r="AE279" s="20">
        <f>IF($F279=AE$9,$I279/$I$253*AE$10,IF($F279&lt;AE$9,MIN($I279/$I$253,$I279-SUM($K279:AD279)),0))</f>
        <v>0</v>
      </c>
      <c r="AF279" s="20">
        <f>IF($F279=AF$9,$I279/$I$253*AF$10,IF($F279&lt;AF$9,MIN($I279/$I$253,$I279-SUM($K279:AE279)),0))</f>
        <v>0</v>
      </c>
      <c r="AG279" s="20">
        <f>IF($F279=AG$9,$I279/$I$253*AG$10,IF($F279&lt;AG$9,MIN($I279/$I$253,$I279-SUM($K279:AF279)),0))</f>
        <v>0</v>
      </c>
      <c r="AH279" s="20">
        <f>IF($F279=AH$9,$I279/$I$253*AH$10,IF($F279&lt;AH$9,MIN($I279/$I$253,$I279-SUM($K279:AG279)),0))</f>
        <v>0</v>
      </c>
      <c r="AI279" s="20">
        <f>IF($F279=AI$9,$I279/$I$253*AI$10,IF($F279&lt;AI$9,MIN($I279/$I$253,$I279-SUM($K279:AH279)),0))</f>
        <v>0</v>
      </c>
      <c r="AJ279" s="20">
        <f>IF($F279=AJ$9,$I279/$I$253*AJ$10,IF($F279&lt;AJ$9,MIN($I279/$I$253,$I279-SUM($K279:AI279)),0))</f>
        <v>0</v>
      </c>
      <c r="AK279" s="20">
        <f>IF($F279=AK$9,$I279/$I$253*AK$10,IF($F279&lt;AK$9,MIN($I279/$I$253,$I279-SUM($K279:AJ279)),0))</f>
        <v>0</v>
      </c>
      <c r="AL279" s="20">
        <f>IF($F279=AL$9,$I279/$I$253*AL$10,IF($F279&lt;AL$9,MIN($I279/$I$253,$I279-SUM($K279:AK279)),0))</f>
        <v>0</v>
      </c>
      <c r="AM279" s="20">
        <f>IF($F279=AM$9,$I279/$I$253*AM$10,IF($F279&lt;AM$9,MIN($I279/$I$253,$I279-SUM($K279:AL279)),0))</f>
        <v>0</v>
      </c>
      <c r="AN279" s="20">
        <f>IF($F279=AN$9,$I279/$I$253*AN$10,IF($F279&lt;AN$9,MIN($I279/$I$253,$I279-SUM($K279:AM279)),0))</f>
        <v>0</v>
      </c>
      <c r="AO279" s="28"/>
    </row>
    <row r="280" spans="3:41" ht="14.4" customHeight="1" outlineLevel="1" x14ac:dyDescent="0.3">
      <c r="F280" s="69" t="str">
        <v/>
      </c>
      <c r="H280" s="26" t="s">
        <v>245</v>
      </c>
      <c r="I280" s="128">
        <v>0</v>
      </c>
      <c r="K280" s="89">
        <v>0</v>
      </c>
      <c r="L280" s="20">
        <f>IF($F280=L$9,$I280/$I$253*L$10,IF($F280&lt;L$9,MIN($I280/$I$253,$I280-SUM($K280:K280)),0))</f>
        <v>0</v>
      </c>
      <c r="M280" s="20">
        <f>IF($F280=M$9,$I280/$I$253*M$10,IF($F280&lt;M$9,MIN($I280/$I$253,$I280-SUM($K280:L280)),0))</f>
        <v>0</v>
      </c>
      <c r="N280" s="20">
        <f>IF($F280=N$9,$I280/$I$253*N$10,IF($F280&lt;N$9,MIN($I280/$I$253,$I280-SUM($K280:M280)),0))</f>
        <v>0</v>
      </c>
      <c r="O280" s="20">
        <f>IF($F280=O$9,$I280/$I$253*O$10,IF($F280&lt;O$9,MIN($I280/$I$253,$I280-SUM($K280:N280)),0))</f>
        <v>0</v>
      </c>
      <c r="P280" s="20">
        <f>IF($F280=P$9,$I280/$I$253*P$10,IF($F280&lt;P$9,MIN($I280/$I$253,$I280-SUM($K280:O280)),0))</f>
        <v>0</v>
      </c>
      <c r="Q280" s="20">
        <f>IF($F280=Q$9,$I280/$I$253*Q$10,IF($F280&lt;Q$9,MIN($I280/$I$253,$I280-SUM($K280:P280)),0))</f>
        <v>0</v>
      </c>
      <c r="R280" s="20">
        <f>IF($F280=R$9,$I280/$I$253*R$10,IF($F280&lt;R$9,MIN($I280/$I$253,$I280-SUM($K280:Q280)),0))</f>
        <v>0</v>
      </c>
      <c r="S280" s="20">
        <f>IF($F280=S$9,$I280/$I$253*S$10,IF($F280&lt;S$9,MIN($I280/$I$253,$I280-SUM($K280:R280)),0))</f>
        <v>0</v>
      </c>
      <c r="T280" s="20">
        <f>IF($F280=T$9,$I280/$I$253*T$10,IF($F280&lt;T$9,MIN($I280/$I$253,$I280-SUM($K280:S280)),0))</f>
        <v>0</v>
      </c>
      <c r="U280" s="20">
        <f>IF($F280=U$9,$I280/$I$253*U$10,IF($F280&lt;U$9,MIN($I280/$I$253,$I280-SUM($K280:T280)),0))</f>
        <v>0</v>
      </c>
      <c r="V280" s="20">
        <f>IF($F280=V$9,$I280/$I$253*V$10,IF($F280&lt;V$9,MIN($I280/$I$253,$I280-SUM($K280:U280)),0))</f>
        <v>0</v>
      </c>
      <c r="W280" s="20">
        <f>IF($F280=W$9,$I280/$I$253*W$10,IF($F280&lt;W$9,MIN($I280/$I$253,$I280-SUM($K280:V280)),0))</f>
        <v>0</v>
      </c>
      <c r="X280" s="20">
        <f>IF($F280=X$9,$I280/$I$253*X$10,IF($F280&lt;X$9,MIN($I280/$I$253,$I280-SUM($K280:W280)),0))</f>
        <v>0</v>
      </c>
      <c r="Y280" s="20">
        <f>IF($F280=Y$9,$I280/$I$253*Y$10,IF($F280&lt;Y$9,MIN($I280/$I$253,$I280-SUM($K280:X280)),0))</f>
        <v>0</v>
      </c>
      <c r="Z280" s="20">
        <f>IF($F280=Z$9,$I280/$I$253*Z$10,IF($F280&lt;Z$9,MIN($I280/$I$253,$I280-SUM($K280:Y280)),0))</f>
        <v>0</v>
      </c>
      <c r="AA280" s="20">
        <f>IF($F280=AA$9,$I280/$I$253*AA$10,IF($F280&lt;AA$9,MIN($I280/$I$253,$I280-SUM($K280:Z280)),0))</f>
        <v>0</v>
      </c>
      <c r="AB280" s="20">
        <f>IF($F280=AB$9,$I280/$I$253*AB$10,IF($F280&lt;AB$9,MIN($I280/$I$253,$I280-SUM($K280:AA280)),0))</f>
        <v>0</v>
      </c>
      <c r="AC280" s="20">
        <f>IF($F280=AC$9,$I280/$I$253*AC$10,IF($F280&lt;AC$9,MIN($I280/$I$253,$I280-SUM($K280:AB280)),0))</f>
        <v>0</v>
      </c>
      <c r="AD280" s="20">
        <f>IF($F280=AD$9,$I280/$I$253*AD$10,IF($F280&lt;AD$9,MIN($I280/$I$253,$I280-SUM($K280:AC280)),0))</f>
        <v>0</v>
      </c>
      <c r="AE280" s="20">
        <f>IF($F280=AE$9,$I280/$I$253*AE$10,IF($F280&lt;AE$9,MIN($I280/$I$253,$I280-SUM($K280:AD280)),0))</f>
        <v>0</v>
      </c>
      <c r="AF280" s="20">
        <f>IF($F280=AF$9,$I280/$I$253*AF$10,IF($F280&lt;AF$9,MIN($I280/$I$253,$I280-SUM($K280:AE280)),0))</f>
        <v>0</v>
      </c>
      <c r="AG280" s="20">
        <f>IF($F280=AG$9,$I280/$I$253*AG$10,IF($F280&lt;AG$9,MIN($I280/$I$253,$I280-SUM($K280:AF280)),0))</f>
        <v>0</v>
      </c>
      <c r="AH280" s="20">
        <f>IF($F280=AH$9,$I280/$I$253*AH$10,IF($F280&lt;AH$9,MIN($I280/$I$253,$I280-SUM($K280:AG280)),0))</f>
        <v>0</v>
      </c>
      <c r="AI280" s="20">
        <f>IF($F280=AI$9,$I280/$I$253*AI$10,IF($F280&lt;AI$9,MIN($I280/$I$253,$I280-SUM($K280:AH280)),0))</f>
        <v>0</v>
      </c>
      <c r="AJ280" s="20">
        <f>IF($F280=AJ$9,$I280/$I$253*AJ$10,IF($F280&lt;AJ$9,MIN($I280/$I$253,$I280-SUM($K280:AI280)),0))</f>
        <v>0</v>
      </c>
      <c r="AK280" s="20">
        <f>IF($F280=AK$9,$I280/$I$253*AK$10,IF($F280&lt;AK$9,MIN($I280/$I$253,$I280-SUM($K280:AJ280)),0))</f>
        <v>0</v>
      </c>
      <c r="AL280" s="20">
        <f>IF($F280=AL$9,$I280/$I$253*AL$10,IF($F280&lt;AL$9,MIN($I280/$I$253,$I280-SUM($K280:AK280)),0))</f>
        <v>0</v>
      </c>
      <c r="AM280" s="20">
        <f>IF($F280=AM$9,$I280/$I$253*AM$10,IF($F280&lt;AM$9,MIN($I280/$I$253,$I280-SUM($K280:AL280)),0))</f>
        <v>0</v>
      </c>
      <c r="AN280" s="20">
        <f>IF($F280=AN$9,$I280/$I$253*AN$10,IF($F280&lt;AN$9,MIN($I280/$I$253,$I280-SUM($K280:AM280)),0))</f>
        <v>0</v>
      </c>
      <c r="AO280" s="28"/>
    </row>
    <row r="281" spans="3:41" ht="14.4" customHeight="1" outlineLevel="1" x14ac:dyDescent="0.3">
      <c r="F281" s="69" t="str">
        <v/>
      </c>
      <c r="H281" s="26" t="s">
        <v>245</v>
      </c>
      <c r="I281" s="128">
        <v>0</v>
      </c>
      <c r="K281" s="89">
        <v>0</v>
      </c>
      <c r="L281" s="20">
        <f>IF($F281=L$9,$I281/$I$253*L$10,IF($F281&lt;L$9,MIN($I281/$I$253,$I281-SUM($K281:K281)),0))</f>
        <v>0</v>
      </c>
      <c r="M281" s="20">
        <f>IF($F281=M$9,$I281/$I$253*M$10,IF($F281&lt;M$9,MIN($I281/$I$253,$I281-SUM($K281:L281)),0))</f>
        <v>0</v>
      </c>
      <c r="N281" s="20">
        <f>IF($F281=N$9,$I281/$I$253*N$10,IF($F281&lt;N$9,MIN($I281/$I$253,$I281-SUM($K281:M281)),0))</f>
        <v>0</v>
      </c>
      <c r="O281" s="20">
        <f>IF($F281=O$9,$I281/$I$253*O$10,IF($F281&lt;O$9,MIN($I281/$I$253,$I281-SUM($K281:N281)),0))</f>
        <v>0</v>
      </c>
      <c r="P281" s="20">
        <f>IF($F281=P$9,$I281/$I$253*P$10,IF($F281&lt;P$9,MIN($I281/$I$253,$I281-SUM($K281:O281)),0))</f>
        <v>0</v>
      </c>
      <c r="Q281" s="20">
        <f>IF($F281=Q$9,$I281/$I$253*Q$10,IF($F281&lt;Q$9,MIN($I281/$I$253,$I281-SUM($K281:P281)),0))</f>
        <v>0</v>
      </c>
      <c r="R281" s="20">
        <f>IF($F281=R$9,$I281/$I$253*R$10,IF($F281&lt;R$9,MIN($I281/$I$253,$I281-SUM($K281:Q281)),0))</f>
        <v>0</v>
      </c>
      <c r="S281" s="20">
        <f>IF($F281=S$9,$I281/$I$253*S$10,IF($F281&lt;S$9,MIN($I281/$I$253,$I281-SUM($K281:R281)),0))</f>
        <v>0</v>
      </c>
      <c r="T281" s="20">
        <f>IF($F281=T$9,$I281/$I$253*T$10,IF($F281&lt;T$9,MIN($I281/$I$253,$I281-SUM($K281:S281)),0))</f>
        <v>0</v>
      </c>
      <c r="U281" s="20">
        <f>IF($F281=U$9,$I281/$I$253*U$10,IF($F281&lt;U$9,MIN($I281/$I$253,$I281-SUM($K281:T281)),0))</f>
        <v>0</v>
      </c>
      <c r="V281" s="20">
        <f>IF($F281=V$9,$I281/$I$253*V$10,IF($F281&lt;V$9,MIN($I281/$I$253,$I281-SUM($K281:U281)),0))</f>
        <v>0</v>
      </c>
      <c r="W281" s="20">
        <f>IF($F281=W$9,$I281/$I$253*W$10,IF($F281&lt;W$9,MIN($I281/$I$253,$I281-SUM($K281:V281)),0))</f>
        <v>0</v>
      </c>
      <c r="X281" s="20">
        <f>IF($F281=X$9,$I281/$I$253*X$10,IF($F281&lt;X$9,MIN($I281/$I$253,$I281-SUM($K281:W281)),0))</f>
        <v>0</v>
      </c>
      <c r="Y281" s="20">
        <f>IF($F281=Y$9,$I281/$I$253*Y$10,IF($F281&lt;Y$9,MIN($I281/$I$253,$I281-SUM($K281:X281)),0))</f>
        <v>0</v>
      </c>
      <c r="Z281" s="20">
        <f>IF($F281=Z$9,$I281/$I$253*Z$10,IF($F281&lt;Z$9,MIN($I281/$I$253,$I281-SUM($K281:Y281)),0))</f>
        <v>0</v>
      </c>
      <c r="AA281" s="20">
        <f>IF($F281=AA$9,$I281/$I$253*AA$10,IF($F281&lt;AA$9,MIN($I281/$I$253,$I281-SUM($K281:Z281)),0))</f>
        <v>0</v>
      </c>
      <c r="AB281" s="20">
        <f>IF($F281=AB$9,$I281/$I$253*AB$10,IF($F281&lt;AB$9,MIN($I281/$I$253,$I281-SUM($K281:AA281)),0))</f>
        <v>0</v>
      </c>
      <c r="AC281" s="20">
        <f>IF($F281=AC$9,$I281/$I$253*AC$10,IF($F281&lt;AC$9,MIN($I281/$I$253,$I281-SUM($K281:AB281)),0))</f>
        <v>0</v>
      </c>
      <c r="AD281" s="20">
        <f>IF($F281=AD$9,$I281/$I$253*AD$10,IF($F281&lt;AD$9,MIN($I281/$I$253,$I281-SUM($K281:AC281)),0))</f>
        <v>0</v>
      </c>
      <c r="AE281" s="20">
        <f>IF($F281=AE$9,$I281/$I$253*AE$10,IF($F281&lt;AE$9,MIN($I281/$I$253,$I281-SUM($K281:AD281)),0))</f>
        <v>0</v>
      </c>
      <c r="AF281" s="20">
        <f>IF($F281=AF$9,$I281/$I$253*AF$10,IF($F281&lt;AF$9,MIN($I281/$I$253,$I281-SUM($K281:AE281)),0))</f>
        <v>0</v>
      </c>
      <c r="AG281" s="20">
        <f>IF($F281=AG$9,$I281/$I$253*AG$10,IF($F281&lt;AG$9,MIN($I281/$I$253,$I281-SUM($K281:AF281)),0))</f>
        <v>0</v>
      </c>
      <c r="AH281" s="20">
        <f>IF($F281=AH$9,$I281/$I$253*AH$10,IF($F281&lt;AH$9,MIN($I281/$I$253,$I281-SUM($K281:AG281)),0))</f>
        <v>0</v>
      </c>
      <c r="AI281" s="20">
        <f>IF($F281=AI$9,$I281/$I$253*AI$10,IF($F281&lt;AI$9,MIN($I281/$I$253,$I281-SUM($K281:AH281)),0))</f>
        <v>0</v>
      </c>
      <c r="AJ281" s="20">
        <f>IF($F281=AJ$9,$I281/$I$253*AJ$10,IF($F281&lt;AJ$9,MIN($I281/$I$253,$I281-SUM($K281:AI281)),0))</f>
        <v>0</v>
      </c>
      <c r="AK281" s="20">
        <f>IF($F281=AK$9,$I281/$I$253*AK$10,IF($F281&lt;AK$9,MIN($I281/$I$253,$I281-SUM($K281:AJ281)),0))</f>
        <v>0</v>
      </c>
      <c r="AL281" s="20">
        <f>IF($F281=AL$9,$I281/$I$253*AL$10,IF($F281&lt;AL$9,MIN($I281/$I$253,$I281-SUM($K281:AK281)),0))</f>
        <v>0</v>
      </c>
      <c r="AM281" s="20">
        <f>IF($F281=AM$9,$I281/$I$253*AM$10,IF($F281&lt;AM$9,MIN($I281/$I$253,$I281-SUM($K281:AL281)),0))</f>
        <v>0</v>
      </c>
      <c r="AN281" s="20">
        <f>IF($F281=AN$9,$I281/$I$253*AN$10,IF($F281&lt;AN$9,MIN($I281/$I$253,$I281-SUM($K281:AM281)),0))</f>
        <v>0</v>
      </c>
      <c r="AO281" s="28"/>
    </row>
    <row r="282" spans="3:41" ht="14.4" customHeight="1" outlineLevel="1" x14ac:dyDescent="0.3">
      <c r="F282" s="69" t="str">
        <v/>
      </c>
      <c r="H282" s="26" t="s">
        <v>245</v>
      </c>
      <c r="I282" s="128">
        <v>0</v>
      </c>
      <c r="K282" s="89">
        <v>0</v>
      </c>
      <c r="L282" s="20">
        <f>IF($F282=L$9,$I282/$I$253*L$10,IF($F282&lt;L$9,MIN($I282/$I$253,$I282-SUM($K282:K282)),0))</f>
        <v>0</v>
      </c>
      <c r="M282" s="20">
        <f>IF($F282=M$9,$I282/$I$253*M$10,IF($F282&lt;M$9,MIN($I282/$I$253,$I282-SUM($K282:L282)),0))</f>
        <v>0</v>
      </c>
      <c r="N282" s="20">
        <f>IF($F282=N$9,$I282/$I$253*N$10,IF($F282&lt;N$9,MIN($I282/$I$253,$I282-SUM($K282:M282)),0))</f>
        <v>0</v>
      </c>
      <c r="O282" s="20">
        <f>IF($F282=O$9,$I282/$I$253*O$10,IF($F282&lt;O$9,MIN($I282/$I$253,$I282-SUM($K282:N282)),0))</f>
        <v>0</v>
      </c>
      <c r="P282" s="20">
        <f>IF($F282=P$9,$I282/$I$253*P$10,IF($F282&lt;P$9,MIN($I282/$I$253,$I282-SUM($K282:O282)),0))</f>
        <v>0</v>
      </c>
      <c r="Q282" s="20">
        <f>IF($F282=Q$9,$I282/$I$253*Q$10,IF($F282&lt;Q$9,MIN($I282/$I$253,$I282-SUM($K282:P282)),0))</f>
        <v>0</v>
      </c>
      <c r="R282" s="20">
        <f>IF($F282=R$9,$I282/$I$253*R$10,IF($F282&lt;R$9,MIN($I282/$I$253,$I282-SUM($K282:Q282)),0))</f>
        <v>0</v>
      </c>
      <c r="S282" s="20">
        <f>IF($F282=S$9,$I282/$I$253*S$10,IF($F282&lt;S$9,MIN($I282/$I$253,$I282-SUM($K282:R282)),0))</f>
        <v>0</v>
      </c>
      <c r="T282" s="20">
        <f>IF($F282=T$9,$I282/$I$253*T$10,IF($F282&lt;T$9,MIN($I282/$I$253,$I282-SUM($K282:S282)),0))</f>
        <v>0</v>
      </c>
      <c r="U282" s="20">
        <f>IF($F282=U$9,$I282/$I$253*U$10,IF($F282&lt;U$9,MIN($I282/$I$253,$I282-SUM($K282:T282)),0))</f>
        <v>0</v>
      </c>
      <c r="V282" s="20">
        <f>IF($F282=V$9,$I282/$I$253*V$10,IF($F282&lt;V$9,MIN($I282/$I$253,$I282-SUM($K282:U282)),0))</f>
        <v>0</v>
      </c>
      <c r="W282" s="20">
        <f>IF($F282=W$9,$I282/$I$253*W$10,IF($F282&lt;W$9,MIN($I282/$I$253,$I282-SUM($K282:V282)),0))</f>
        <v>0</v>
      </c>
      <c r="X282" s="20">
        <f>IF($F282=X$9,$I282/$I$253*X$10,IF($F282&lt;X$9,MIN($I282/$I$253,$I282-SUM($K282:W282)),0))</f>
        <v>0</v>
      </c>
      <c r="Y282" s="20">
        <f>IF($F282=Y$9,$I282/$I$253*Y$10,IF($F282&lt;Y$9,MIN($I282/$I$253,$I282-SUM($K282:X282)),0))</f>
        <v>0</v>
      </c>
      <c r="Z282" s="20">
        <f>IF($F282=Z$9,$I282/$I$253*Z$10,IF($F282&lt;Z$9,MIN($I282/$I$253,$I282-SUM($K282:Y282)),0))</f>
        <v>0</v>
      </c>
      <c r="AA282" s="20">
        <f>IF($F282=AA$9,$I282/$I$253*AA$10,IF($F282&lt;AA$9,MIN($I282/$I$253,$I282-SUM($K282:Z282)),0))</f>
        <v>0</v>
      </c>
      <c r="AB282" s="20">
        <f>IF($F282=AB$9,$I282/$I$253*AB$10,IF($F282&lt;AB$9,MIN($I282/$I$253,$I282-SUM($K282:AA282)),0))</f>
        <v>0</v>
      </c>
      <c r="AC282" s="20">
        <f>IF($F282=AC$9,$I282/$I$253*AC$10,IF($F282&lt;AC$9,MIN($I282/$I$253,$I282-SUM($K282:AB282)),0))</f>
        <v>0</v>
      </c>
      <c r="AD282" s="20">
        <f>IF($F282=AD$9,$I282/$I$253*AD$10,IF($F282&lt;AD$9,MIN($I282/$I$253,$I282-SUM($K282:AC282)),0))</f>
        <v>0</v>
      </c>
      <c r="AE282" s="20">
        <f>IF($F282=AE$9,$I282/$I$253*AE$10,IF($F282&lt;AE$9,MIN($I282/$I$253,$I282-SUM($K282:AD282)),0))</f>
        <v>0</v>
      </c>
      <c r="AF282" s="20">
        <f>IF($F282=AF$9,$I282/$I$253*AF$10,IF($F282&lt;AF$9,MIN($I282/$I$253,$I282-SUM($K282:AE282)),0))</f>
        <v>0</v>
      </c>
      <c r="AG282" s="20">
        <f>IF($F282=AG$9,$I282/$I$253*AG$10,IF($F282&lt;AG$9,MIN($I282/$I$253,$I282-SUM($K282:AF282)),0))</f>
        <v>0</v>
      </c>
      <c r="AH282" s="20">
        <f>IF($F282=AH$9,$I282/$I$253*AH$10,IF($F282&lt;AH$9,MIN($I282/$I$253,$I282-SUM($K282:AG282)),0))</f>
        <v>0</v>
      </c>
      <c r="AI282" s="20">
        <f>IF($F282=AI$9,$I282/$I$253*AI$10,IF($F282&lt;AI$9,MIN($I282/$I$253,$I282-SUM($K282:AH282)),0))</f>
        <v>0</v>
      </c>
      <c r="AJ282" s="20">
        <f>IF($F282=AJ$9,$I282/$I$253*AJ$10,IF($F282&lt;AJ$9,MIN($I282/$I$253,$I282-SUM($K282:AI282)),0))</f>
        <v>0</v>
      </c>
      <c r="AK282" s="20">
        <f>IF($F282=AK$9,$I282/$I$253*AK$10,IF($F282&lt;AK$9,MIN($I282/$I$253,$I282-SUM($K282:AJ282)),0))</f>
        <v>0</v>
      </c>
      <c r="AL282" s="20">
        <f>IF($F282=AL$9,$I282/$I$253*AL$10,IF($F282&lt;AL$9,MIN($I282/$I$253,$I282-SUM($K282:AK282)),0))</f>
        <v>0</v>
      </c>
      <c r="AM282" s="20">
        <f>IF($F282=AM$9,$I282/$I$253*AM$10,IF($F282&lt;AM$9,MIN($I282/$I$253,$I282-SUM($K282:AL282)),0))</f>
        <v>0</v>
      </c>
      <c r="AN282" s="20">
        <f>IF($F282=AN$9,$I282/$I$253*AN$10,IF($F282&lt;AN$9,MIN($I282/$I$253,$I282-SUM($K282:AM282)),0))</f>
        <v>0</v>
      </c>
      <c r="AO282" s="28"/>
    </row>
    <row r="283" spans="3:41" ht="14.4" customHeight="1" outlineLevel="1" x14ac:dyDescent="0.3">
      <c r="F283" s="69" t="str">
        <v/>
      </c>
      <c r="H283" s="26" t="s">
        <v>245</v>
      </c>
      <c r="I283" s="128">
        <v>0</v>
      </c>
      <c r="K283" s="89">
        <v>0</v>
      </c>
      <c r="L283" s="20">
        <f>IF($F283=L$9,$I283/$I$253*L$10,IF($F283&lt;L$9,MIN($I283/$I$253,$I283-SUM($K283:K283)),0))</f>
        <v>0</v>
      </c>
      <c r="M283" s="20">
        <f>IF($F283=M$9,$I283/$I$253*M$10,IF($F283&lt;M$9,MIN($I283/$I$253,$I283-SUM($K283:L283)),0))</f>
        <v>0</v>
      </c>
      <c r="N283" s="20">
        <f>IF($F283=N$9,$I283/$I$253*N$10,IF($F283&lt;N$9,MIN($I283/$I$253,$I283-SUM($K283:M283)),0))</f>
        <v>0</v>
      </c>
      <c r="O283" s="20">
        <f>IF($F283=O$9,$I283/$I$253*O$10,IF($F283&lt;O$9,MIN($I283/$I$253,$I283-SUM($K283:N283)),0))</f>
        <v>0</v>
      </c>
      <c r="P283" s="20">
        <f>IF($F283=P$9,$I283/$I$253*P$10,IF($F283&lt;P$9,MIN($I283/$I$253,$I283-SUM($K283:O283)),0))</f>
        <v>0</v>
      </c>
      <c r="Q283" s="20">
        <f>IF($F283=Q$9,$I283/$I$253*Q$10,IF($F283&lt;Q$9,MIN($I283/$I$253,$I283-SUM($K283:P283)),0))</f>
        <v>0</v>
      </c>
      <c r="R283" s="20">
        <f>IF($F283=R$9,$I283/$I$253*R$10,IF($F283&lt;R$9,MIN($I283/$I$253,$I283-SUM($K283:Q283)),0))</f>
        <v>0</v>
      </c>
      <c r="S283" s="20">
        <f>IF($F283=S$9,$I283/$I$253*S$10,IF($F283&lt;S$9,MIN($I283/$I$253,$I283-SUM($K283:R283)),0))</f>
        <v>0</v>
      </c>
      <c r="T283" s="20">
        <f>IF($F283=T$9,$I283/$I$253*T$10,IF($F283&lt;T$9,MIN($I283/$I$253,$I283-SUM($K283:S283)),0))</f>
        <v>0</v>
      </c>
      <c r="U283" s="20">
        <f>IF($F283=U$9,$I283/$I$253*U$10,IF($F283&lt;U$9,MIN($I283/$I$253,$I283-SUM($K283:T283)),0))</f>
        <v>0</v>
      </c>
      <c r="V283" s="20">
        <f>IF($F283=V$9,$I283/$I$253*V$10,IF($F283&lt;V$9,MIN($I283/$I$253,$I283-SUM($K283:U283)),0))</f>
        <v>0</v>
      </c>
      <c r="W283" s="20">
        <f>IF($F283=W$9,$I283/$I$253*W$10,IF($F283&lt;W$9,MIN($I283/$I$253,$I283-SUM($K283:V283)),0))</f>
        <v>0</v>
      </c>
      <c r="X283" s="20">
        <f>IF($F283=X$9,$I283/$I$253*X$10,IF($F283&lt;X$9,MIN($I283/$I$253,$I283-SUM($K283:W283)),0))</f>
        <v>0</v>
      </c>
      <c r="Y283" s="20">
        <f>IF($F283=Y$9,$I283/$I$253*Y$10,IF($F283&lt;Y$9,MIN($I283/$I$253,$I283-SUM($K283:X283)),0))</f>
        <v>0</v>
      </c>
      <c r="Z283" s="20">
        <f>IF($F283=Z$9,$I283/$I$253*Z$10,IF($F283&lt;Z$9,MIN($I283/$I$253,$I283-SUM($K283:Y283)),0))</f>
        <v>0</v>
      </c>
      <c r="AA283" s="20">
        <f>IF($F283=AA$9,$I283/$I$253*AA$10,IF($F283&lt;AA$9,MIN($I283/$I$253,$I283-SUM($K283:Z283)),0))</f>
        <v>0</v>
      </c>
      <c r="AB283" s="20">
        <f>IF($F283=AB$9,$I283/$I$253*AB$10,IF($F283&lt;AB$9,MIN($I283/$I$253,$I283-SUM($K283:AA283)),0))</f>
        <v>0</v>
      </c>
      <c r="AC283" s="20">
        <f>IF($F283=AC$9,$I283/$I$253*AC$10,IF($F283&lt;AC$9,MIN($I283/$I$253,$I283-SUM($K283:AB283)),0))</f>
        <v>0</v>
      </c>
      <c r="AD283" s="20">
        <f>IF($F283=AD$9,$I283/$I$253*AD$10,IF($F283&lt;AD$9,MIN($I283/$I$253,$I283-SUM($K283:AC283)),0))</f>
        <v>0</v>
      </c>
      <c r="AE283" s="20">
        <f>IF($F283=AE$9,$I283/$I$253*AE$10,IF($F283&lt;AE$9,MIN($I283/$I$253,$I283-SUM($K283:AD283)),0))</f>
        <v>0</v>
      </c>
      <c r="AF283" s="20">
        <f>IF($F283=AF$9,$I283/$I$253*AF$10,IF($F283&lt;AF$9,MIN($I283/$I$253,$I283-SUM($K283:AE283)),0))</f>
        <v>0</v>
      </c>
      <c r="AG283" s="20">
        <f>IF($F283=AG$9,$I283/$I$253*AG$10,IF($F283&lt;AG$9,MIN($I283/$I$253,$I283-SUM($K283:AF283)),0))</f>
        <v>0</v>
      </c>
      <c r="AH283" s="20">
        <f>IF($F283=AH$9,$I283/$I$253*AH$10,IF($F283&lt;AH$9,MIN($I283/$I$253,$I283-SUM($K283:AG283)),0))</f>
        <v>0</v>
      </c>
      <c r="AI283" s="20">
        <f>IF($F283=AI$9,$I283/$I$253*AI$10,IF($F283&lt;AI$9,MIN($I283/$I$253,$I283-SUM($K283:AH283)),0))</f>
        <v>0</v>
      </c>
      <c r="AJ283" s="20">
        <f>IF($F283=AJ$9,$I283/$I$253*AJ$10,IF($F283&lt;AJ$9,MIN($I283/$I$253,$I283-SUM($K283:AI283)),0))</f>
        <v>0</v>
      </c>
      <c r="AK283" s="20">
        <f>IF($F283=AK$9,$I283/$I$253*AK$10,IF($F283&lt;AK$9,MIN($I283/$I$253,$I283-SUM($K283:AJ283)),0))</f>
        <v>0</v>
      </c>
      <c r="AL283" s="20">
        <f>IF($F283=AL$9,$I283/$I$253*AL$10,IF($F283&lt;AL$9,MIN($I283/$I$253,$I283-SUM($K283:AK283)),0))</f>
        <v>0</v>
      </c>
      <c r="AM283" s="20">
        <f>IF($F283=AM$9,$I283/$I$253*AM$10,IF($F283&lt;AM$9,MIN($I283/$I$253,$I283-SUM($K283:AL283)),0))</f>
        <v>0</v>
      </c>
      <c r="AN283" s="20">
        <f>IF($F283=AN$9,$I283/$I$253*AN$10,IF($F283&lt;AN$9,MIN($I283/$I$253,$I283-SUM($K283:AM283)),0))</f>
        <v>0</v>
      </c>
      <c r="AO283" s="28"/>
    </row>
    <row r="284" spans="3:41" ht="14.4" customHeight="1" outlineLevel="1" x14ac:dyDescent="0.3">
      <c r="F284" s="136"/>
      <c r="I284" s="138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28"/>
    </row>
    <row r="285" spans="3:41" ht="14.4" customHeight="1" outlineLevel="1" x14ac:dyDescent="0.3">
      <c r="C285" s="2" t="s">
        <v>311</v>
      </c>
      <c r="F285" s="136"/>
      <c r="H285" s="26" t="s">
        <v>245</v>
      </c>
      <c r="I285" s="138"/>
      <c r="L285" s="88">
        <f>SUM(L255:L283)</f>
        <v>0</v>
      </c>
      <c r="M285" s="88">
        <f t="shared" ref="M285:AN285" si="111">SUM(M255:M283)</f>
        <v>0</v>
      </c>
      <c r="N285" s="88">
        <f t="shared" si="111"/>
        <v>2.1976705047627116</v>
      </c>
      <c r="O285" s="88">
        <f t="shared" si="111"/>
        <v>2.6372046057152541</v>
      </c>
      <c r="P285" s="88">
        <f t="shared" si="111"/>
        <v>2.6372046057152541</v>
      </c>
      <c r="Q285" s="88">
        <f t="shared" si="111"/>
        <v>2.6372046057152541</v>
      </c>
      <c r="R285" s="88">
        <f t="shared" si="111"/>
        <v>2.6372046057152541</v>
      </c>
      <c r="S285" s="88">
        <f t="shared" si="111"/>
        <v>2.6372046057152541</v>
      </c>
      <c r="T285" s="88">
        <f t="shared" si="111"/>
        <v>2.6372046057152541</v>
      </c>
      <c r="U285" s="88">
        <f t="shared" si="111"/>
        <v>2.6372046057152541</v>
      </c>
      <c r="V285" s="88">
        <f t="shared" si="111"/>
        <v>2.6372046057152541</v>
      </c>
      <c r="W285" s="88">
        <f t="shared" si="111"/>
        <v>2.6372046057152541</v>
      </c>
      <c r="X285" s="88">
        <f t="shared" si="111"/>
        <v>0.43953410095254242</v>
      </c>
      <c r="Y285" s="88">
        <f t="shared" si="111"/>
        <v>0</v>
      </c>
      <c r="Z285" s="88">
        <f t="shared" si="111"/>
        <v>0</v>
      </c>
      <c r="AA285" s="88">
        <f t="shared" si="111"/>
        <v>0</v>
      </c>
      <c r="AB285" s="88">
        <f t="shared" si="111"/>
        <v>0</v>
      </c>
      <c r="AC285" s="88">
        <f t="shared" si="111"/>
        <v>0</v>
      </c>
      <c r="AD285" s="88">
        <f t="shared" si="111"/>
        <v>0</v>
      </c>
      <c r="AE285" s="88">
        <f t="shared" si="111"/>
        <v>0</v>
      </c>
      <c r="AF285" s="88">
        <f t="shared" si="111"/>
        <v>0</v>
      </c>
      <c r="AG285" s="88">
        <f t="shared" si="111"/>
        <v>0</v>
      </c>
      <c r="AH285" s="88">
        <f t="shared" si="111"/>
        <v>0</v>
      </c>
      <c r="AI285" s="88">
        <f t="shared" si="111"/>
        <v>0</v>
      </c>
      <c r="AJ285" s="88">
        <f t="shared" si="111"/>
        <v>0</v>
      </c>
      <c r="AK285" s="88">
        <f t="shared" si="111"/>
        <v>0</v>
      </c>
      <c r="AL285" s="88">
        <f t="shared" si="111"/>
        <v>0</v>
      </c>
      <c r="AM285" s="88">
        <f t="shared" si="111"/>
        <v>0</v>
      </c>
      <c r="AN285" s="88">
        <f t="shared" si="111"/>
        <v>0</v>
      </c>
      <c r="AO285" s="28"/>
    </row>
    <row r="286" spans="3:41" ht="14.4" customHeight="1" outlineLevel="1" x14ac:dyDescent="0.3">
      <c r="C286" s="2"/>
      <c r="F286" s="136"/>
      <c r="H286" s="26"/>
      <c r="I286" s="138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28"/>
    </row>
    <row r="287" spans="3:41" ht="14.4" customHeight="1" outlineLevel="1" x14ac:dyDescent="0.3">
      <c r="C287" s="1" t="s">
        <v>303</v>
      </c>
      <c r="H287" s="26" t="s">
        <v>245</v>
      </c>
      <c r="K287" s="89">
        <v>0</v>
      </c>
      <c r="L287" s="20">
        <f>SUM($L$147:L147)-SUM($L$285:L285)</f>
        <v>0</v>
      </c>
      <c r="M287" s="20">
        <f>SUM($L$147:M147)-SUM($L$285:M285)</f>
        <v>0</v>
      </c>
      <c r="N287" s="20">
        <f>SUM($L$147:N147)-SUM($L$285:N285)</f>
        <v>24.174375552389829</v>
      </c>
      <c r="O287" s="20">
        <f>SUM($L$147:O147)-SUM($L$285:O285)</f>
        <v>21.537170946674575</v>
      </c>
      <c r="P287" s="20">
        <f>SUM($L$147:P147)-SUM($L$285:P285)</f>
        <v>18.899966340959324</v>
      </c>
      <c r="Q287" s="20">
        <f>SUM($L$147:Q147)-SUM($L$285:Q285)</f>
        <v>16.262761735244069</v>
      </c>
      <c r="R287" s="20">
        <f>SUM($L$147:R147)-SUM($L$285:R285)</f>
        <v>13.625557129528813</v>
      </c>
      <c r="S287" s="20">
        <f>SUM($L$147:S147)-SUM($L$285:S285)</f>
        <v>10.988352523813559</v>
      </c>
      <c r="T287" s="20">
        <f>SUM($L$147:T147)-SUM($L$285:T285)</f>
        <v>8.3511479180983059</v>
      </c>
      <c r="U287" s="20">
        <f>SUM($L$147:U147)-SUM($L$285:U285)</f>
        <v>5.7139433123830514</v>
      </c>
      <c r="V287" s="20">
        <f>SUM($L$147:V147)-SUM($L$285:V285)</f>
        <v>3.0767387066677969</v>
      </c>
      <c r="W287" s="20">
        <f>SUM($L$147:W147)-SUM($L$285:W285)</f>
        <v>0.43953410095254242</v>
      </c>
      <c r="X287" s="20">
        <f>SUM($L$147:X147)-SUM($L$285:X285)</f>
        <v>0</v>
      </c>
      <c r="Y287" s="20">
        <f>SUM($L$147:Y147)-SUM($L$285:Y285)</f>
        <v>0</v>
      </c>
      <c r="Z287" s="20">
        <f>SUM($L$147:Z147)-SUM($L$285:Z285)</f>
        <v>0</v>
      </c>
      <c r="AA287" s="20">
        <f>SUM($L$147:AA147)-SUM($L$285:AA285)</f>
        <v>0</v>
      </c>
      <c r="AB287" s="20">
        <f>SUM($L$147:AB147)-SUM($L$285:AB285)</f>
        <v>0</v>
      </c>
      <c r="AC287" s="20">
        <f>SUM($L$147:AC147)-SUM($L$285:AC285)</f>
        <v>0</v>
      </c>
      <c r="AD287" s="20">
        <f>SUM($L$147:AD147)-SUM($L$285:AD285)</f>
        <v>0</v>
      </c>
      <c r="AE287" s="20">
        <f>SUM($L$147:AE147)-SUM($L$285:AE285)</f>
        <v>0</v>
      </c>
      <c r="AF287" s="20">
        <f>SUM($L$147:AF147)-SUM($L$285:AF285)</f>
        <v>0</v>
      </c>
      <c r="AG287" s="20">
        <f>SUM($L$147:AG147)-SUM($L$285:AG285)</f>
        <v>0</v>
      </c>
      <c r="AH287" s="20">
        <f>SUM($L$147:AH147)-SUM($L$285:AH285)</f>
        <v>0</v>
      </c>
      <c r="AI287" s="20">
        <f>SUM($L$147:AI147)-SUM($L$285:AI285)</f>
        <v>0</v>
      </c>
      <c r="AJ287" s="20">
        <f>SUM($L$147:AJ147)-SUM($L$285:AJ285)</f>
        <v>0</v>
      </c>
      <c r="AK287" s="20">
        <f>SUM($L$147:AK147)-SUM($L$285:AK285)</f>
        <v>0</v>
      </c>
      <c r="AL287" s="20">
        <f>SUM($L$147:AL147)-SUM($L$285:AL285)</f>
        <v>0</v>
      </c>
      <c r="AM287" s="20">
        <f>SUM($L$147:AM147)-SUM($L$285:AM285)</f>
        <v>0</v>
      </c>
      <c r="AN287" s="20">
        <f>SUM($L$147:AN147)-SUM($L$285:AN285)</f>
        <v>0</v>
      </c>
      <c r="AO287" s="28"/>
    </row>
    <row r="288" spans="3:41" ht="14.4" customHeight="1" outlineLevel="1" x14ac:dyDescent="0.3">
      <c r="H288" s="2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28"/>
    </row>
    <row r="289" spans="3:41" ht="14.4" customHeight="1" outlineLevel="1" x14ac:dyDescent="0.3">
      <c r="C289" s="1" t="s">
        <v>302</v>
      </c>
      <c r="H289" s="26" t="s">
        <v>245</v>
      </c>
      <c r="K289" s="36"/>
      <c r="L289" s="20">
        <f t="shared" ref="L289:AN289" si="112">L285*(1-IFERROR($I$97/$I$104,0))</f>
        <v>0</v>
      </c>
      <c r="M289" s="20">
        <f t="shared" si="112"/>
        <v>0</v>
      </c>
      <c r="N289" s="20">
        <f t="shared" si="112"/>
        <v>1.9067060911016946</v>
      </c>
      <c r="O289" s="20">
        <f t="shared" si="112"/>
        <v>2.2880473093220335</v>
      </c>
      <c r="P289" s="20">
        <f t="shared" si="112"/>
        <v>2.2880473093220335</v>
      </c>
      <c r="Q289" s="20">
        <f t="shared" si="112"/>
        <v>2.2880473093220335</v>
      </c>
      <c r="R289" s="20">
        <f t="shared" si="112"/>
        <v>2.2880473093220335</v>
      </c>
      <c r="S289" s="20">
        <f t="shared" si="112"/>
        <v>2.2880473093220335</v>
      </c>
      <c r="T289" s="20">
        <f t="shared" si="112"/>
        <v>2.2880473093220335</v>
      </c>
      <c r="U289" s="20">
        <f t="shared" si="112"/>
        <v>2.2880473093220335</v>
      </c>
      <c r="V289" s="20">
        <f t="shared" si="112"/>
        <v>2.2880473093220335</v>
      </c>
      <c r="W289" s="20">
        <f t="shared" si="112"/>
        <v>2.2880473093220335</v>
      </c>
      <c r="X289" s="20">
        <f t="shared" si="112"/>
        <v>0.38134121822033901</v>
      </c>
      <c r="Y289" s="20">
        <f t="shared" si="112"/>
        <v>0</v>
      </c>
      <c r="Z289" s="20">
        <f t="shared" si="112"/>
        <v>0</v>
      </c>
      <c r="AA289" s="20">
        <f t="shared" si="112"/>
        <v>0</v>
      </c>
      <c r="AB289" s="20">
        <f t="shared" si="112"/>
        <v>0</v>
      </c>
      <c r="AC289" s="20">
        <f t="shared" si="112"/>
        <v>0</v>
      </c>
      <c r="AD289" s="20">
        <f t="shared" si="112"/>
        <v>0</v>
      </c>
      <c r="AE289" s="20">
        <f t="shared" si="112"/>
        <v>0</v>
      </c>
      <c r="AF289" s="20">
        <f t="shared" si="112"/>
        <v>0</v>
      </c>
      <c r="AG289" s="20">
        <f t="shared" si="112"/>
        <v>0</v>
      </c>
      <c r="AH289" s="20">
        <f t="shared" si="112"/>
        <v>0</v>
      </c>
      <c r="AI289" s="20">
        <f t="shared" si="112"/>
        <v>0</v>
      </c>
      <c r="AJ289" s="20">
        <f t="shared" si="112"/>
        <v>0</v>
      </c>
      <c r="AK289" s="20">
        <f t="shared" si="112"/>
        <v>0</v>
      </c>
      <c r="AL289" s="20">
        <f t="shared" si="112"/>
        <v>0</v>
      </c>
      <c r="AM289" s="20">
        <f t="shared" si="112"/>
        <v>0</v>
      </c>
      <c r="AN289" s="20">
        <f t="shared" si="112"/>
        <v>0</v>
      </c>
      <c r="AO289" s="28"/>
    </row>
    <row r="290" spans="3:41" ht="14.4" customHeight="1" outlineLevel="1" x14ac:dyDescent="0.3"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28"/>
    </row>
    <row r="291" spans="3:41" ht="14.4" customHeight="1" outlineLevel="1" x14ac:dyDescent="0.3">
      <c r="C291" s="1" t="s">
        <v>306</v>
      </c>
      <c r="H291" s="26" t="s">
        <v>245</v>
      </c>
      <c r="K291" s="89">
        <v>0</v>
      </c>
      <c r="L291" s="20">
        <f t="shared" ref="L291:AN291" si="113">L287*(1-IFERROR($I$97/$I$104,0))</f>
        <v>0</v>
      </c>
      <c r="M291" s="20">
        <f t="shared" si="113"/>
        <v>0</v>
      </c>
      <c r="N291" s="20">
        <f t="shared" si="113"/>
        <v>20.973767002118642</v>
      </c>
      <c r="O291" s="20">
        <f t="shared" si="113"/>
        <v>18.68571969279661</v>
      </c>
      <c r="P291" s="20">
        <f t="shared" si="113"/>
        <v>16.397672383474578</v>
      </c>
      <c r="Q291" s="20">
        <f t="shared" si="113"/>
        <v>14.109625074152543</v>
      </c>
      <c r="R291" s="20">
        <f t="shared" si="113"/>
        <v>11.821577764830508</v>
      </c>
      <c r="S291" s="20">
        <f t="shared" si="113"/>
        <v>9.5335304555084743</v>
      </c>
      <c r="T291" s="20">
        <f t="shared" si="113"/>
        <v>7.2454831461864408</v>
      </c>
      <c r="U291" s="20">
        <f t="shared" si="113"/>
        <v>4.9574358368644074</v>
      </c>
      <c r="V291" s="20">
        <f t="shared" si="113"/>
        <v>2.669388527542373</v>
      </c>
      <c r="W291" s="20">
        <f t="shared" si="113"/>
        <v>0.38134121822033901</v>
      </c>
      <c r="X291" s="20">
        <f t="shared" si="113"/>
        <v>0</v>
      </c>
      <c r="Y291" s="20">
        <f t="shared" si="113"/>
        <v>0</v>
      </c>
      <c r="Z291" s="20">
        <f t="shared" si="113"/>
        <v>0</v>
      </c>
      <c r="AA291" s="20">
        <f t="shared" si="113"/>
        <v>0</v>
      </c>
      <c r="AB291" s="20">
        <f t="shared" si="113"/>
        <v>0</v>
      </c>
      <c r="AC291" s="20">
        <f t="shared" si="113"/>
        <v>0</v>
      </c>
      <c r="AD291" s="20">
        <f t="shared" si="113"/>
        <v>0</v>
      </c>
      <c r="AE291" s="20">
        <f t="shared" si="113"/>
        <v>0</v>
      </c>
      <c r="AF291" s="20">
        <f t="shared" si="113"/>
        <v>0</v>
      </c>
      <c r="AG291" s="20">
        <f t="shared" si="113"/>
        <v>0</v>
      </c>
      <c r="AH291" s="20">
        <f t="shared" si="113"/>
        <v>0</v>
      </c>
      <c r="AI291" s="20">
        <f t="shared" si="113"/>
        <v>0</v>
      </c>
      <c r="AJ291" s="20">
        <f t="shared" si="113"/>
        <v>0</v>
      </c>
      <c r="AK291" s="20">
        <f t="shared" si="113"/>
        <v>0</v>
      </c>
      <c r="AL291" s="20">
        <f t="shared" si="113"/>
        <v>0</v>
      </c>
      <c r="AM291" s="20">
        <f t="shared" si="113"/>
        <v>0</v>
      </c>
      <c r="AN291" s="20">
        <f t="shared" si="113"/>
        <v>0</v>
      </c>
      <c r="AO291" s="28"/>
    </row>
    <row r="292" spans="3:41" ht="14.4" customHeight="1" outlineLevel="1" x14ac:dyDescent="0.3">
      <c r="H292" s="2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28"/>
    </row>
    <row r="293" spans="3:41" ht="14.4" customHeight="1" outlineLevel="1" x14ac:dyDescent="0.3">
      <c r="C293" s="2" t="s">
        <v>296</v>
      </c>
      <c r="H293" s="2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28"/>
    </row>
    <row r="294" spans="3:41" ht="14.4" customHeight="1" outlineLevel="1" x14ac:dyDescent="0.3">
      <c r="H294" s="2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28"/>
    </row>
    <row r="295" spans="3:41" ht="14.4" customHeight="1" outlineLevel="1" x14ac:dyDescent="0.3">
      <c r="C295" s="1" t="s">
        <v>126</v>
      </c>
      <c r="H295" s="26" t="s">
        <v>33</v>
      </c>
      <c r="K295" s="36"/>
      <c r="L295" s="130">
        <f>IF(L29=1,(IFERROR((INDEX(M9:$AN$9,MATCH(1,M29:$AN$29,0))),YEAR(Input!$H$14)))-Расчеты!L9,0)</f>
        <v>0</v>
      </c>
      <c r="M295" s="130">
        <f>IF(M29=1,(IFERROR((INDEX(N9:$AN$9,MATCH(1,N29:$AN$29,0))),YEAR(Input!$H$14)))-Расчеты!M9,0)</f>
        <v>0</v>
      </c>
      <c r="N295" s="130">
        <f>IF(N29=1,(IFERROR((INDEX(O9:$AN$9,MATCH(1,O29:$AN$29,0))),YEAR(Input!$H$14)))-Расчеты!N9,0)</f>
        <v>0</v>
      </c>
      <c r="O295" s="130">
        <f>IF(O29=1,(IFERROR((INDEX(P9:$AN$9,MATCH(1,P29:$AN$29,0))),YEAR(Input!$H$14)))-Расчеты!O9,0)</f>
        <v>0</v>
      </c>
      <c r="P295" s="130">
        <f>IF(P29=1,(IFERROR((INDEX(Q9:$AN$9,MATCH(1,Q29:$AN$29,0))),YEAR(Input!$H$14)))-Расчеты!P9,0)</f>
        <v>0</v>
      </c>
      <c r="Q295" s="130">
        <f>IF(Q29=1,(IFERROR((INDEX(R9:$AN$9,MATCH(1,R29:$AN$29,0))),YEAR(Input!$H$14)))-Расчеты!Q9,0)</f>
        <v>0</v>
      </c>
      <c r="R295" s="130">
        <f>IF(R29=1,(IFERROR((INDEX(S9:$AN$9,MATCH(1,S29:$AN$29,0))),YEAR(Input!$H$14)))-Расчеты!R9,0)</f>
        <v>0</v>
      </c>
      <c r="S295" s="130">
        <f>IF(S29=1,(IFERROR((INDEX(T9:$AN$9,MATCH(1,T29:$AN$29,0))),YEAR(Input!$H$14)))-Расчеты!S9,0)</f>
        <v>4</v>
      </c>
      <c r="T295" s="130">
        <f>IF(T29=1,(IFERROR((INDEX(U9:$AN$9,MATCH(1,U29:$AN$29,0))),YEAR(Input!$H$14)))-Расчеты!T9,0)</f>
        <v>0</v>
      </c>
      <c r="U295" s="130">
        <f>IF(U29=1,(IFERROR((INDEX(V9:$AN$9,MATCH(1,V29:$AN$29,0))),YEAR(Input!$H$14)))-Расчеты!U9,0)</f>
        <v>0</v>
      </c>
      <c r="V295" s="130">
        <f>IF(V29=1,(IFERROR((INDEX(W9:$AN$9,MATCH(1,W29:$AN$29,0))),YEAR(Input!$H$14)))-Расчеты!V9,0)</f>
        <v>0</v>
      </c>
      <c r="W295" s="130">
        <f>IF(W29=1,(IFERROR((INDEX(X9:$AN$9,MATCH(1,X29:$AN$29,0))),YEAR(Input!$H$14)))-Расчеты!W9,0)</f>
        <v>6</v>
      </c>
      <c r="X295" s="130">
        <f>IF(X29=1,(IFERROR((INDEX(Y9:$AN$9,MATCH(1,Y29:$AN$29,0))),YEAR(Input!$H$14)))-Расчеты!X9,0)</f>
        <v>0</v>
      </c>
      <c r="Y295" s="130">
        <f>IF(Y29=1,(IFERROR((INDEX(Z9:$AN$9,MATCH(1,Z29:$AN$29,0))),YEAR(Input!$H$14)))-Расчеты!Y9,0)</f>
        <v>0</v>
      </c>
      <c r="Z295" s="130">
        <f>IF(Z29=1,(IFERROR((INDEX(AA9:$AN$9,MATCH(1,AA29:$AN$29,0))),YEAR(Input!$H$14)))-Расчеты!Z9,0)</f>
        <v>0</v>
      </c>
      <c r="AA295" s="130">
        <f>IF(AA29=1,(IFERROR((INDEX(AB9:$AN$9,MATCH(1,AB29:$AN$29,0))),YEAR(Input!$H$14)))-Расчеты!AA9,0)</f>
        <v>0</v>
      </c>
      <c r="AB295" s="130">
        <f>IF(AB29=1,(IFERROR((INDEX(AC9:$AN$9,MATCH(1,AC29:$AN$29,0))),YEAR(Input!$H$14)))-Расчеты!AB9,0)</f>
        <v>0</v>
      </c>
      <c r="AC295" s="130">
        <f>IF(AC29=1,(IFERROR((INDEX(AD9:$AN$9,MATCH(1,AD29:$AN$29,0))),YEAR(Input!$H$14)))-Расчеты!AC9,0)</f>
        <v>0</v>
      </c>
      <c r="AD295" s="130">
        <f>IF(AD29=1,(IFERROR((INDEX(AE9:$AN$9,MATCH(1,AE29:$AN$29,0))),YEAR(Input!$H$14)))-Расчеты!AD9,0)</f>
        <v>0</v>
      </c>
      <c r="AE295" s="130">
        <f>IF(AE29=1,(IFERROR((INDEX(AF9:$AN$9,MATCH(1,AF29:$AN$29,0))),YEAR(Input!$H$14)))-Расчеты!AE9,0)</f>
        <v>0</v>
      </c>
      <c r="AF295" s="130">
        <f>IF(AF29=1,(IFERROR((INDEX(AG9:$AN$9,MATCH(1,AG29:$AN$29,0))),YEAR(Input!$H$14)))-Расчеты!AF9,0)</f>
        <v>0</v>
      </c>
      <c r="AG295" s="130">
        <f>IF(AG29=1,(IFERROR((INDEX(AH9:$AN$9,MATCH(1,AH29:$AN$29,0))),YEAR(Input!$H$14)))-Расчеты!AG9,0)</f>
        <v>0</v>
      </c>
      <c r="AH295" s="130">
        <f>IF(AH29=1,(IFERROR((INDEX(AI9:$AN$9,MATCH(1,AI29:$AN$29,0))),YEAR(Input!$H$14)))-Расчеты!AH9,0)</f>
        <v>0</v>
      </c>
      <c r="AI295" s="130">
        <f>IF(AI29=1,(IFERROR((INDEX(AJ9:$AN$9,MATCH(1,AJ29:$AN$29,0))),YEAR(Input!$H$14)))-Расчеты!AI9,0)</f>
        <v>0</v>
      </c>
      <c r="AJ295" s="130">
        <f>IF(AJ29=1,(IFERROR((INDEX(AK9:$AN$9,MATCH(1,AK29:$AN$29,0))),YEAR(Input!$H$14)))-Расчеты!AJ9,0)</f>
        <v>0</v>
      </c>
      <c r="AK295" s="130">
        <f>IF(AK29=1,(IFERROR((INDEX(AL9:$AN$9,MATCH(1,AL29:$AN$29,0))),YEAR(Input!$H$14)))-Расчеты!AK9,0)</f>
        <v>0</v>
      </c>
      <c r="AL295" s="130">
        <f>IF(AL29=1,(IFERROR((INDEX(AM9:$AN$9,MATCH(1,AM29:$AN$29,0))),YEAR(Input!$H$14)))-Расчеты!AL9,0)</f>
        <v>0</v>
      </c>
      <c r="AM295" s="130">
        <f>IF(AM29=1,(IFERROR((INDEX(AN9:$AN$9,MATCH(1,AN29:$AN$29,0))),YEAR(Input!$H$14)))-Расчеты!AM9,0)</f>
        <v>0</v>
      </c>
      <c r="AN295" s="130">
        <f>IF(AN29=1,(IFERROR((INDEX($AN9:AO$9,MATCH(1,$AN29:AO$29,0))),YEAR(Input!$H$14)))-Расчеты!AN9,0)</f>
        <v>0</v>
      </c>
      <c r="AO295" s="28"/>
    </row>
    <row r="296" spans="3:41" ht="14.4" customHeight="1" outlineLevel="1" x14ac:dyDescent="0.3">
      <c r="H296" s="2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28"/>
    </row>
    <row r="297" spans="3:41" ht="14.4" customHeight="1" outlineLevel="1" x14ac:dyDescent="0.3">
      <c r="F297" s="69" cm="1">
        <f t="array" ref="F297:F325">TRANSPOSE(L9:AN9)</f>
        <v>2024</v>
      </c>
      <c r="H297" s="26" t="s">
        <v>245</v>
      </c>
      <c r="I297" s="128" cm="1">
        <f t="array" ref="I297:I325">TRANSPOSE(L114:AN114)</f>
        <v>0</v>
      </c>
      <c r="J297" s="139" cm="1">
        <f t="array" ref="J297:J325">TRANSPOSE(L295:AN295)</f>
        <v>0</v>
      </c>
      <c r="K297" s="89">
        <v>0</v>
      </c>
      <c r="L297" s="20">
        <f>IFERROR(IF($F297&lt;=L$9,MIN($I297/$J297,$I297-SUM($K297:K297)),0),0)</f>
        <v>0</v>
      </c>
      <c r="M297" s="20">
        <f>IFERROR(IF($F297&lt;=M$9,MIN($I297/$J297,$I297-SUM($K297:L297)),0),0)</f>
        <v>0</v>
      </c>
      <c r="N297" s="20">
        <f>IFERROR(IF($F297&lt;=N$9,MIN($I297/$J297,$I297-SUM($K297:M297)),0),0)</f>
        <v>0</v>
      </c>
      <c r="O297" s="20">
        <f>IFERROR(IF($F297&lt;=O$9,MIN($I297/$J297,$I297-SUM($K297:N297)),0),0)</f>
        <v>0</v>
      </c>
      <c r="P297" s="20">
        <f>IFERROR(IF($F297&lt;=P$9,MIN($I297/$J297,$I297-SUM($K297:O297)),0),0)</f>
        <v>0</v>
      </c>
      <c r="Q297" s="20">
        <f>IFERROR(IF($F297&lt;=Q$9,MIN($I297/$J297,$I297-SUM($K297:P297)),0),0)</f>
        <v>0</v>
      </c>
      <c r="R297" s="20">
        <f>IFERROR(IF($F297&lt;=R$9,MIN($I297/$J297,$I297-SUM($K297:Q297)),0),0)</f>
        <v>0</v>
      </c>
      <c r="S297" s="20">
        <f>IFERROR(IF($F297&lt;=S$9,MIN($I297/$J297,$I297-SUM($K297:R297)),0),0)</f>
        <v>0</v>
      </c>
      <c r="T297" s="20">
        <f>IFERROR(IF($F297&lt;=T$9,MIN($I297/$J297,$I297-SUM($K297:S297)),0),0)</f>
        <v>0</v>
      </c>
      <c r="U297" s="20">
        <f>IFERROR(IF($F297&lt;=U$9,MIN($I297/$J297,$I297-SUM($K297:T297)),0),0)</f>
        <v>0</v>
      </c>
      <c r="V297" s="20">
        <f>IFERROR(IF($F297&lt;=V$9,MIN($I297/$J297,$I297-SUM($K297:U297)),0),0)</f>
        <v>0</v>
      </c>
      <c r="W297" s="20">
        <f>IFERROR(IF($F297&lt;=W$9,MIN($I297/$J297,$I297-SUM($K297:V297)),0),0)</f>
        <v>0</v>
      </c>
      <c r="X297" s="20">
        <f>IFERROR(IF($F297&lt;=X$9,MIN($I297/$J297,$I297-SUM($K297:W297)),0),0)</f>
        <v>0</v>
      </c>
      <c r="Y297" s="20">
        <f>IFERROR(IF($F297&lt;=Y$9,MIN($I297/$J297,$I297-SUM($K297:X297)),0),0)</f>
        <v>0</v>
      </c>
      <c r="Z297" s="20">
        <f>IFERROR(IF($F297&lt;=Z$9,MIN($I297/$J297,$I297-SUM($K297:Y297)),0),0)</f>
        <v>0</v>
      </c>
      <c r="AA297" s="20">
        <f>IFERROR(IF($F297&lt;=AA$9,MIN($I297/$J297,$I297-SUM($K297:Z297)),0),0)</f>
        <v>0</v>
      </c>
      <c r="AB297" s="20">
        <f>IFERROR(IF($F297&lt;=AB$9,MIN($I297/$J297,$I297-SUM($K297:AA297)),0),0)</f>
        <v>0</v>
      </c>
      <c r="AC297" s="20">
        <f>IFERROR(IF($F297&lt;=AC$9,MIN($I297/$J297,$I297-SUM($K297:AB297)),0),0)</f>
        <v>0</v>
      </c>
      <c r="AD297" s="20">
        <f>IFERROR(IF($F297&lt;=AD$9,MIN($I297/$J297,$I297-SUM($K297:AC297)),0),0)</f>
        <v>0</v>
      </c>
      <c r="AE297" s="20">
        <f>IFERROR(IF($F297&lt;=AE$9,MIN($I297/$J297,$I297-SUM($K297:AD297)),0),0)</f>
        <v>0</v>
      </c>
      <c r="AF297" s="20">
        <f>IFERROR(IF($F297&lt;=AF$9,MIN($I297/$J297,$I297-SUM($K297:AE297)),0),0)</f>
        <v>0</v>
      </c>
      <c r="AG297" s="20">
        <f>IFERROR(IF($F297&lt;=AG$9,MIN($I297/$J297,$I297-SUM($K297:AF297)),0),0)</f>
        <v>0</v>
      </c>
      <c r="AH297" s="20">
        <f>IFERROR(IF($F297&lt;=AH$9,MIN($I297/$J297,$I297-SUM($K297:AG297)),0),0)</f>
        <v>0</v>
      </c>
      <c r="AI297" s="20">
        <f>IFERROR(IF($F297&lt;=AI$9,MIN($I297/$J297,$I297-SUM($K297:AH297)),0),0)</f>
        <v>0</v>
      </c>
      <c r="AJ297" s="20">
        <f>IFERROR(IF($F297&lt;=AJ$9,MIN($I297/$J297,$I297-SUM($K297:AI297)),0),0)</f>
        <v>0</v>
      </c>
      <c r="AK297" s="20">
        <f>IFERROR(IF($F297&lt;=AK$9,MIN($I297/$J297,$I297-SUM($K297:AJ297)),0),0)</f>
        <v>0</v>
      </c>
      <c r="AL297" s="20">
        <f>IFERROR(IF($F297&lt;=AL$9,MIN($I297/$J297,$I297-SUM($K297:AK297)),0),0)</f>
        <v>0</v>
      </c>
      <c r="AM297" s="20">
        <f>IFERROR(IF($F297&lt;=AM$9,MIN($I297/$J297,$I297-SUM($K297:AL297)),0),0)</f>
        <v>0</v>
      </c>
      <c r="AN297" s="20">
        <f>IFERROR(IF($F297&lt;=AN$9,MIN($I297/$J297,$I297-SUM($K297:AM297)),0),0)</f>
        <v>0</v>
      </c>
      <c r="AO297" s="28"/>
    </row>
    <row r="298" spans="3:41" ht="14.4" customHeight="1" outlineLevel="1" x14ac:dyDescent="0.3">
      <c r="F298" s="69">
        <v>2025</v>
      </c>
      <c r="H298" s="26" t="s">
        <v>245</v>
      </c>
      <c r="I298" s="128">
        <v>0</v>
      </c>
      <c r="J298" s="139">
        <v>0</v>
      </c>
      <c r="K298" s="89">
        <v>0</v>
      </c>
      <c r="L298" s="20">
        <f>IFERROR(IF($F298&lt;=L$9,MIN($I298/$J298,$I298-SUM($K298:K298)),0),0)</f>
        <v>0</v>
      </c>
      <c r="M298" s="20">
        <f>IFERROR(IF($F298&lt;=M$9,MIN($I298/$J298,$I298-SUM($K298:L298)),0),0)</f>
        <v>0</v>
      </c>
      <c r="N298" s="20">
        <f>IFERROR(IF($F298&lt;=N$9,MIN($I298/$J298,$I298-SUM($K298:M298)),0),0)</f>
        <v>0</v>
      </c>
      <c r="O298" s="20">
        <f>IFERROR(IF($F298&lt;=O$9,MIN($I298/$J298,$I298-SUM($K298:N298)),0),0)</f>
        <v>0</v>
      </c>
      <c r="P298" s="20">
        <f>IFERROR(IF($F298&lt;=P$9,MIN($I298/$J298,$I298-SUM($K298:O298)),0),0)</f>
        <v>0</v>
      </c>
      <c r="Q298" s="20">
        <f>IFERROR(IF($F298&lt;=Q$9,MIN($I298/$J298,$I298-SUM($K298:P298)),0),0)</f>
        <v>0</v>
      </c>
      <c r="R298" s="20">
        <f>IFERROR(IF($F298&lt;=R$9,MIN($I298/$J298,$I298-SUM($K298:Q298)),0),0)</f>
        <v>0</v>
      </c>
      <c r="S298" s="20">
        <f>IFERROR(IF($F298&lt;=S$9,MIN($I298/$J298,$I298-SUM($K298:R298)),0),0)</f>
        <v>0</v>
      </c>
      <c r="T298" s="20">
        <f>IFERROR(IF($F298&lt;=T$9,MIN($I298/$J298,$I298-SUM($K298:S298)),0),0)</f>
        <v>0</v>
      </c>
      <c r="U298" s="20">
        <f>IFERROR(IF($F298&lt;=U$9,MIN($I298/$J298,$I298-SUM($K298:T298)),0),0)</f>
        <v>0</v>
      </c>
      <c r="V298" s="20">
        <f>IFERROR(IF($F298&lt;=V$9,MIN($I298/$J298,$I298-SUM($K298:U298)),0),0)</f>
        <v>0</v>
      </c>
      <c r="W298" s="20">
        <f>IFERROR(IF($F298&lt;=W$9,MIN($I298/$J298,$I298-SUM($K298:V298)),0),0)</f>
        <v>0</v>
      </c>
      <c r="X298" s="20">
        <f>IFERROR(IF($F298&lt;=X$9,MIN($I298/$J298,$I298-SUM($K298:W298)),0),0)</f>
        <v>0</v>
      </c>
      <c r="Y298" s="20">
        <f>IFERROR(IF($F298&lt;=Y$9,MIN($I298/$J298,$I298-SUM($K298:X298)),0),0)</f>
        <v>0</v>
      </c>
      <c r="Z298" s="20">
        <f>IFERROR(IF($F298&lt;=Z$9,MIN($I298/$J298,$I298-SUM($K298:Y298)),0),0)</f>
        <v>0</v>
      </c>
      <c r="AA298" s="20">
        <f>IFERROR(IF($F298&lt;=AA$9,MIN($I298/$J298,$I298-SUM($K298:Z298)),0),0)</f>
        <v>0</v>
      </c>
      <c r="AB298" s="20">
        <f>IFERROR(IF($F298&lt;=AB$9,MIN($I298/$J298,$I298-SUM($K298:AA298)),0),0)</f>
        <v>0</v>
      </c>
      <c r="AC298" s="20">
        <f>IFERROR(IF($F298&lt;=AC$9,MIN($I298/$J298,$I298-SUM($K298:AB298)),0),0)</f>
        <v>0</v>
      </c>
      <c r="AD298" s="20">
        <f>IFERROR(IF($F298&lt;=AD$9,MIN($I298/$J298,$I298-SUM($K298:AC298)),0),0)</f>
        <v>0</v>
      </c>
      <c r="AE298" s="20">
        <f>IFERROR(IF($F298&lt;=AE$9,MIN($I298/$J298,$I298-SUM($K298:AD298)),0),0)</f>
        <v>0</v>
      </c>
      <c r="AF298" s="20">
        <f>IFERROR(IF($F298&lt;=AF$9,MIN($I298/$J298,$I298-SUM($K298:AE298)),0),0)</f>
        <v>0</v>
      </c>
      <c r="AG298" s="20">
        <f>IFERROR(IF($F298&lt;=AG$9,MIN($I298/$J298,$I298-SUM($K298:AF298)),0),0)</f>
        <v>0</v>
      </c>
      <c r="AH298" s="20">
        <f>IFERROR(IF($F298&lt;=AH$9,MIN($I298/$J298,$I298-SUM($K298:AG298)),0),0)</f>
        <v>0</v>
      </c>
      <c r="AI298" s="20">
        <f>IFERROR(IF($F298&lt;=AI$9,MIN($I298/$J298,$I298-SUM($K298:AH298)),0),0)</f>
        <v>0</v>
      </c>
      <c r="AJ298" s="20">
        <f>IFERROR(IF($F298&lt;=AJ$9,MIN($I298/$J298,$I298-SUM($K298:AI298)),0),0)</f>
        <v>0</v>
      </c>
      <c r="AK298" s="20">
        <f>IFERROR(IF($F298&lt;=AK$9,MIN($I298/$J298,$I298-SUM($K298:AJ298)),0),0)</f>
        <v>0</v>
      </c>
      <c r="AL298" s="20">
        <f>IFERROR(IF($F298&lt;=AL$9,MIN($I298/$J298,$I298-SUM($K298:AK298)),0),0)</f>
        <v>0</v>
      </c>
      <c r="AM298" s="20">
        <f>IFERROR(IF($F298&lt;=AM$9,MIN($I298/$J298,$I298-SUM($K298:AL298)),0),0)</f>
        <v>0</v>
      </c>
      <c r="AN298" s="20">
        <f>IFERROR(IF($F298&lt;=AN$9,MIN($I298/$J298,$I298-SUM($K298:AM298)),0),0)</f>
        <v>0</v>
      </c>
      <c r="AO298" s="28"/>
    </row>
    <row r="299" spans="3:41" ht="14.4" customHeight="1" outlineLevel="1" x14ac:dyDescent="0.3">
      <c r="F299" s="69">
        <v>2026</v>
      </c>
      <c r="H299" s="26" t="s">
        <v>245</v>
      </c>
      <c r="I299" s="128">
        <v>0</v>
      </c>
      <c r="J299" s="139">
        <v>0</v>
      </c>
      <c r="K299" s="89">
        <v>0</v>
      </c>
      <c r="L299" s="20">
        <f>IFERROR(IF($F299&lt;=L$9,MIN($I299/$J299,$I299-SUM($K299:K299)),0),0)</f>
        <v>0</v>
      </c>
      <c r="M299" s="20">
        <f>IFERROR(IF($F299&lt;=M$9,MIN($I299/$J299,$I299-SUM($K299:L299)),0),0)</f>
        <v>0</v>
      </c>
      <c r="N299" s="20">
        <f>IFERROR(IF($F299&lt;=N$9,MIN($I299/$J299,$I299-SUM($K299:M299)),0),0)</f>
        <v>0</v>
      </c>
      <c r="O299" s="20">
        <f>IFERROR(IF($F299&lt;=O$9,MIN($I299/$J299,$I299-SUM($K299:N299)),0),0)</f>
        <v>0</v>
      </c>
      <c r="P299" s="20">
        <f>IFERROR(IF($F299&lt;=P$9,MIN($I299/$J299,$I299-SUM($K299:O299)),0),0)</f>
        <v>0</v>
      </c>
      <c r="Q299" s="20">
        <f>IFERROR(IF($F299&lt;=Q$9,MIN($I299/$J299,$I299-SUM($K299:P299)),0),0)</f>
        <v>0</v>
      </c>
      <c r="R299" s="20">
        <f>IFERROR(IF($F299&lt;=R$9,MIN($I299/$J299,$I299-SUM($K299:Q299)),0),0)</f>
        <v>0</v>
      </c>
      <c r="S299" s="20">
        <f>IFERROR(IF($F299&lt;=S$9,MIN($I299/$J299,$I299-SUM($K299:R299)),0),0)</f>
        <v>0</v>
      </c>
      <c r="T299" s="20">
        <f>IFERROR(IF($F299&lt;=T$9,MIN($I299/$J299,$I299-SUM($K299:S299)),0),0)</f>
        <v>0</v>
      </c>
      <c r="U299" s="20">
        <f>IFERROR(IF($F299&lt;=U$9,MIN($I299/$J299,$I299-SUM($K299:T299)),0),0)</f>
        <v>0</v>
      </c>
      <c r="V299" s="20">
        <f>IFERROR(IF($F299&lt;=V$9,MIN($I299/$J299,$I299-SUM($K299:U299)),0),0)</f>
        <v>0</v>
      </c>
      <c r="W299" s="20">
        <f>IFERROR(IF($F299&lt;=W$9,MIN($I299/$J299,$I299-SUM($K299:V299)),0),0)</f>
        <v>0</v>
      </c>
      <c r="X299" s="20">
        <f>IFERROR(IF($F299&lt;=X$9,MIN($I299/$J299,$I299-SUM($K299:W299)),0),0)</f>
        <v>0</v>
      </c>
      <c r="Y299" s="20">
        <f>IFERROR(IF($F299&lt;=Y$9,MIN($I299/$J299,$I299-SUM($K299:X299)),0),0)</f>
        <v>0</v>
      </c>
      <c r="Z299" s="20">
        <f>IFERROR(IF($F299&lt;=Z$9,MIN($I299/$J299,$I299-SUM($K299:Y299)),0),0)</f>
        <v>0</v>
      </c>
      <c r="AA299" s="20">
        <f>IFERROR(IF($F299&lt;=AA$9,MIN($I299/$J299,$I299-SUM($K299:Z299)),0),0)</f>
        <v>0</v>
      </c>
      <c r="AB299" s="20">
        <f>IFERROR(IF($F299&lt;=AB$9,MIN($I299/$J299,$I299-SUM($K299:AA299)),0),0)</f>
        <v>0</v>
      </c>
      <c r="AC299" s="20">
        <f>IFERROR(IF($F299&lt;=AC$9,MIN($I299/$J299,$I299-SUM($K299:AB299)),0),0)</f>
        <v>0</v>
      </c>
      <c r="AD299" s="20">
        <f>IFERROR(IF($F299&lt;=AD$9,MIN($I299/$J299,$I299-SUM($K299:AC299)),0),0)</f>
        <v>0</v>
      </c>
      <c r="AE299" s="20">
        <f>IFERROR(IF($F299&lt;=AE$9,MIN($I299/$J299,$I299-SUM($K299:AD299)),0),0)</f>
        <v>0</v>
      </c>
      <c r="AF299" s="20">
        <f>IFERROR(IF($F299&lt;=AF$9,MIN($I299/$J299,$I299-SUM($K299:AE299)),0),0)</f>
        <v>0</v>
      </c>
      <c r="AG299" s="20">
        <f>IFERROR(IF($F299&lt;=AG$9,MIN($I299/$J299,$I299-SUM($K299:AF299)),0),0)</f>
        <v>0</v>
      </c>
      <c r="AH299" s="20">
        <f>IFERROR(IF($F299&lt;=AH$9,MIN($I299/$J299,$I299-SUM($K299:AG299)),0),0)</f>
        <v>0</v>
      </c>
      <c r="AI299" s="20">
        <f>IFERROR(IF($F299&lt;=AI$9,MIN($I299/$J299,$I299-SUM($K299:AH299)),0),0)</f>
        <v>0</v>
      </c>
      <c r="AJ299" s="20">
        <f>IFERROR(IF($F299&lt;=AJ$9,MIN($I299/$J299,$I299-SUM($K299:AI299)),0),0)</f>
        <v>0</v>
      </c>
      <c r="AK299" s="20">
        <f>IFERROR(IF($F299&lt;=AK$9,MIN($I299/$J299,$I299-SUM($K299:AJ299)),0),0)</f>
        <v>0</v>
      </c>
      <c r="AL299" s="20">
        <f>IFERROR(IF($F299&lt;=AL$9,MIN($I299/$J299,$I299-SUM($K299:AK299)),0),0)</f>
        <v>0</v>
      </c>
      <c r="AM299" s="20">
        <f>IFERROR(IF($F299&lt;=AM$9,MIN($I299/$J299,$I299-SUM($K299:AL299)),0),0)</f>
        <v>0</v>
      </c>
      <c r="AN299" s="20">
        <f>IFERROR(IF($F299&lt;=AN$9,MIN($I299/$J299,$I299-SUM($K299:AM299)),0),0)</f>
        <v>0</v>
      </c>
      <c r="AO299" s="28"/>
    </row>
    <row r="300" spans="3:41" ht="14.4" customHeight="1" outlineLevel="1" x14ac:dyDescent="0.3">
      <c r="F300" s="69">
        <v>2027</v>
      </c>
      <c r="H300" s="26" t="s">
        <v>245</v>
      </c>
      <c r="I300" s="128">
        <v>0</v>
      </c>
      <c r="J300" s="139">
        <v>0</v>
      </c>
      <c r="K300" s="89">
        <v>0</v>
      </c>
      <c r="L300" s="20">
        <f>IFERROR(IF($F300&lt;=L$9,MIN($I300/$J300,$I300-SUM($K300:K300)),0),0)</f>
        <v>0</v>
      </c>
      <c r="M300" s="20">
        <f>IFERROR(IF($F300&lt;=M$9,MIN($I300/$J300,$I300-SUM($K300:L300)),0),0)</f>
        <v>0</v>
      </c>
      <c r="N300" s="20">
        <f>IFERROR(IF($F300&lt;=N$9,MIN($I300/$J300,$I300-SUM($K300:M300)),0),0)</f>
        <v>0</v>
      </c>
      <c r="O300" s="20">
        <f>IFERROR(IF($F300&lt;=O$9,MIN($I300/$J300,$I300-SUM($K300:N300)),0),0)</f>
        <v>0</v>
      </c>
      <c r="P300" s="20">
        <f>IFERROR(IF($F300&lt;=P$9,MIN($I300/$J300,$I300-SUM($K300:O300)),0),0)</f>
        <v>0</v>
      </c>
      <c r="Q300" s="20">
        <f>IFERROR(IF($F300&lt;=Q$9,MIN($I300/$J300,$I300-SUM($K300:P300)),0),0)</f>
        <v>0</v>
      </c>
      <c r="R300" s="20">
        <f>IFERROR(IF($F300&lt;=R$9,MIN($I300/$J300,$I300-SUM($K300:Q300)),0),0)</f>
        <v>0</v>
      </c>
      <c r="S300" s="20">
        <f>IFERROR(IF($F300&lt;=S$9,MIN($I300/$J300,$I300-SUM($K300:R300)),0),0)</f>
        <v>0</v>
      </c>
      <c r="T300" s="20">
        <f>IFERROR(IF($F300&lt;=T$9,MIN($I300/$J300,$I300-SUM($K300:S300)),0),0)</f>
        <v>0</v>
      </c>
      <c r="U300" s="20">
        <f>IFERROR(IF($F300&lt;=U$9,MIN($I300/$J300,$I300-SUM($K300:T300)),0),0)</f>
        <v>0</v>
      </c>
      <c r="V300" s="20">
        <f>IFERROR(IF($F300&lt;=V$9,MIN($I300/$J300,$I300-SUM($K300:U300)),0),0)</f>
        <v>0</v>
      </c>
      <c r="W300" s="20">
        <f>IFERROR(IF($F300&lt;=W$9,MIN($I300/$J300,$I300-SUM($K300:V300)),0),0)</f>
        <v>0</v>
      </c>
      <c r="X300" s="20">
        <f>IFERROR(IF($F300&lt;=X$9,MIN($I300/$J300,$I300-SUM($K300:W300)),0),0)</f>
        <v>0</v>
      </c>
      <c r="Y300" s="20">
        <f>IFERROR(IF($F300&lt;=Y$9,MIN($I300/$J300,$I300-SUM($K300:X300)),0),0)</f>
        <v>0</v>
      </c>
      <c r="Z300" s="20">
        <f>IFERROR(IF($F300&lt;=Z$9,MIN($I300/$J300,$I300-SUM($K300:Y300)),0),0)</f>
        <v>0</v>
      </c>
      <c r="AA300" s="20">
        <f>IFERROR(IF($F300&lt;=AA$9,MIN($I300/$J300,$I300-SUM($K300:Z300)),0),0)</f>
        <v>0</v>
      </c>
      <c r="AB300" s="20">
        <f>IFERROR(IF($F300&lt;=AB$9,MIN($I300/$J300,$I300-SUM($K300:AA300)),0),0)</f>
        <v>0</v>
      </c>
      <c r="AC300" s="20">
        <f>IFERROR(IF($F300&lt;=AC$9,MIN($I300/$J300,$I300-SUM($K300:AB300)),0),0)</f>
        <v>0</v>
      </c>
      <c r="AD300" s="20">
        <f>IFERROR(IF($F300&lt;=AD$9,MIN($I300/$J300,$I300-SUM($K300:AC300)),0),0)</f>
        <v>0</v>
      </c>
      <c r="AE300" s="20">
        <f>IFERROR(IF($F300&lt;=AE$9,MIN($I300/$J300,$I300-SUM($K300:AD300)),0),0)</f>
        <v>0</v>
      </c>
      <c r="AF300" s="20">
        <f>IFERROR(IF($F300&lt;=AF$9,MIN($I300/$J300,$I300-SUM($K300:AE300)),0),0)</f>
        <v>0</v>
      </c>
      <c r="AG300" s="20">
        <f>IFERROR(IF($F300&lt;=AG$9,MIN($I300/$J300,$I300-SUM($K300:AF300)),0),0)</f>
        <v>0</v>
      </c>
      <c r="AH300" s="20">
        <f>IFERROR(IF($F300&lt;=AH$9,MIN($I300/$J300,$I300-SUM($K300:AG300)),0),0)</f>
        <v>0</v>
      </c>
      <c r="AI300" s="20">
        <f>IFERROR(IF($F300&lt;=AI$9,MIN($I300/$J300,$I300-SUM($K300:AH300)),0),0)</f>
        <v>0</v>
      </c>
      <c r="AJ300" s="20">
        <f>IFERROR(IF($F300&lt;=AJ$9,MIN($I300/$J300,$I300-SUM($K300:AI300)),0),0)</f>
        <v>0</v>
      </c>
      <c r="AK300" s="20">
        <f>IFERROR(IF($F300&lt;=AK$9,MIN($I300/$J300,$I300-SUM($K300:AJ300)),0),0)</f>
        <v>0</v>
      </c>
      <c r="AL300" s="20">
        <f>IFERROR(IF($F300&lt;=AL$9,MIN($I300/$J300,$I300-SUM($K300:AK300)),0),0)</f>
        <v>0</v>
      </c>
      <c r="AM300" s="20">
        <f>IFERROR(IF($F300&lt;=AM$9,MIN($I300/$J300,$I300-SUM($K300:AL300)),0),0)</f>
        <v>0</v>
      </c>
      <c r="AN300" s="20">
        <f>IFERROR(IF($F300&lt;=AN$9,MIN($I300/$J300,$I300-SUM($K300:AM300)),0),0)</f>
        <v>0</v>
      </c>
      <c r="AO300" s="28"/>
    </row>
    <row r="301" spans="3:41" ht="14.4" customHeight="1" outlineLevel="1" x14ac:dyDescent="0.3">
      <c r="F301" s="69">
        <v>2028</v>
      </c>
      <c r="H301" s="26" t="s">
        <v>245</v>
      </c>
      <c r="I301" s="128">
        <v>0</v>
      </c>
      <c r="J301" s="139">
        <v>0</v>
      </c>
      <c r="K301" s="89">
        <v>0</v>
      </c>
      <c r="L301" s="20">
        <f>IFERROR(IF($F301&lt;=L$9,MIN($I301/$J301,$I301-SUM($K301:K301)),0),0)</f>
        <v>0</v>
      </c>
      <c r="M301" s="20">
        <f>IFERROR(IF($F301&lt;=M$9,MIN($I301/$J301,$I301-SUM($K301:L301)),0),0)</f>
        <v>0</v>
      </c>
      <c r="N301" s="20">
        <f>IFERROR(IF($F301&lt;=N$9,MIN($I301/$J301,$I301-SUM($K301:M301)),0),0)</f>
        <v>0</v>
      </c>
      <c r="O301" s="20">
        <f>IFERROR(IF($F301&lt;=O$9,MIN($I301/$J301,$I301-SUM($K301:N301)),0),0)</f>
        <v>0</v>
      </c>
      <c r="P301" s="20">
        <f>IFERROR(IF($F301&lt;=P$9,MIN($I301/$J301,$I301-SUM($K301:O301)),0),0)</f>
        <v>0</v>
      </c>
      <c r="Q301" s="20">
        <f>IFERROR(IF($F301&lt;=Q$9,MIN($I301/$J301,$I301-SUM($K301:P301)),0),0)</f>
        <v>0</v>
      </c>
      <c r="R301" s="20">
        <f>IFERROR(IF($F301&lt;=R$9,MIN($I301/$J301,$I301-SUM($K301:Q301)),0),0)</f>
        <v>0</v>
      </c>
      <c r="S301" s="20">
        <f>IFERROR(IF($F301&lt;=S$9,MIN($I301/$J301,$I301-SUM($K301:R301)),0),0)</f>
        <v>0</v>
      </c>
      <c r="T301" s="20">
        <f>IFERROR(IF($F301&lt;=T$9,MIN($I301/$J301,$I301-SUM($K301:S301)),0),0)</f>
        <v>0</v>
      </c>
      <c r="U301" s="20">
        <f>IFERROR(IF($F301&lt;=U$9,MIN($I301/$J301,$I301-SUM($K301:T301)),0),0)</f>
        <v>0</v>
      </c>
      <c r="V301" s="20">
        <f>IFERROR(IF($F301&lt;=V$9,MIN($I301/$J301,$I301-SUM($K301:U301)),0),0)</f>
        <v>0</v>
      </c>
      <c r="W301" s="20">
        <f>IFERROR(IF($F301&lt;=W$9,MIN($I301/$J301,$I301-SUM($K301:V301)),0),0)</f>
        <v>0</v>
      </c>
      <c r="X301" s="20">
        <f>IFERROR(IF($F301&lt;=X$9,MIN($I301/$J301,$I301-SUM($K301:W301)),0),0)</f>
        <v>0</v>
      </c>
      <c r="Y301" s="20">
        <f>IFERROR(IF($F301&lt;=Y$9,MIN($I301/$J301,$I301-SUM($K301:X301)),0),0)</f>
        <v>0</v>
      </c>
      <c r="Z301" s="20">
        <f>IFERROR(IF($F301&lt;=Z$9,MIN($I301/$J301,$I301-SUM($K301:Y301)),0),0)</f>
        <v>0</v>
      </c>
      <c r="AA301" s="20">
        <f>IFERROR(IF($F301&lt;=AA$9,MIN($I301/$J301,$I301-SUM($K301:Z301)),0),0)</f>
        <v>0</v>
      </c>
      <c r="AB301" s="20">
        <f>IFERROR(IF($F301&lt;=AB$9,MIN($I301/$J301,$I301-SUM($K301:AA301)),0),0)</f>
        <v>0</v>
      </c>
      <c r="AC301" s="20">
        <f>IFERROR(IF($F301&lt;=AC$9,MIN($I301/$J301,$I301-SUM($K301:AB301)),0),0)</f>
        <v>0</v>
      </c>
      <c r="AD301" s="20">
        <f>IFERROR(IF($F301&lt;=AD$9,MIN($I301/$J301,$I301-SUM($K301:AC301)),0),0)</f>
        <v>0</v>
      </c>
      <c r="AE301" s="20">
        <f>IFERROR(IF($F301&lt;=AE$9,MIN($I301/$J301,$I301-SUM($K301:AD301)),0),0)</f>
        <v>0</v>
      </c>
      <c r="AF301" s="20">
        <f>IFERROR(IF($F301&lt;=AF$9,MIN($I301/$J301,$I301-SUM($K301:AE301)),0),0)</f>
        <v>0</v>
      </c>
      <c r="AG301" s="20">
        <f>IFERROR(IF($F301&lt;=AG$9,MIN($I301/$J301,$I301-SUM($K301:AF301)),0),0)</f>
        <v>0</v>
      </c>
      <c r="AH301" s="20">
        <f>IFERROR(IF($F301&lt;=AH$9,MIN($I301/$J301,$I301-SUM($K301:AG301)),0),0)</f>
        <v>0</v>
      </c>
      <c r="AI301" s="20">
        <f>IFERROR(IF($F301&lt;=AI$9,MIN($I301/$J301,$I301-SUM($K301:AH301)),0),0)</f>
        <v>0</v>
      </c>
      <c r="AJ301" s="20">
        <f>IFERROR(IF($F301&lt;=AJ$9,MIN($I301/$J301,$I301-SUM($K301:AI301)),0),0)</f>
        <v>0</v>
      </c>
      <c r="AK301" s="20">
        <f>IFERROR(IF($F301&lt;=AK$9,MIN($I301/$J301,$I301-SUM($K301:AJ301)),0),0)</f>
        <v>0</v>
      </c>
      <c r="AL301" s="20">
        <f>IFERROR(IF($F301&lt;=AL$9,MIN($I301/$J301,$I301-SUM($K301:AK301)),0),0)</f>
        <v>0</v>
      </c>
      <c r="AM301" s="20">
        <f>IFERROR(IF($F301&lt;=AM$9,MIN($I301/$J301,$I301-SUM($K301:AL301)),0),0)</f>
        <v>0</v>
      </c>
      <c r="AN301" s="20">
        <f>IFERROR(IF($F301&lt;=AN$9,MIN($I301/$J301,$I301-SUM($K301:AM301)),0),0)</f>
        <v>0</v>
      </c>
      <c r="AO301" s="28"/>
    </row>
    <row r="302" spans="3:41" ht="14.4" customHeight="1" outlineLevel="1" x14ac:dyDescent="0.3">
      <c r="F302" s="69">
        <v>2029</v>
      </c>
      <c r="H302" s="26" t="s">
        <v>245</v>
      </c>
      <c r="I302" s="128">
        <v>0</v>
      </c>
      <c r="J302" s="139">
        <v>0</v>
      </c>
      <c r="K302" s="89">
        <v>0</v>
      </c>
      <c r="L302" s="20">
        <f>IFERROR(IF($F302&lt;=L$9,MIN($I302/$J302,$I302-SUM($K302:K302)),0),0)</f>
        <v>0</v>
      </c>
      <c r="M302" s="20">
        <f>IFERROR(IF($F302&lt;=M$9,MIN($I302/$J302,$I302-SUM($K302:L302)),0),0)</f>
        <v>0</v>
      </c>
      <c r="N302" s="20">
        <f>IFERROR(IF($F302&lt;=N$9,MIN($I302/$J302,$I302-SUM($K302:M302)),0),0)</f>
        <v>0</v>
      </c>
      <c r="O302" s="20">
        <f>IFERROR(IF($F302&lt;=O$9,MIN($I302/$J302,$I302-SUM($K302:N302)),0),0)</f>
        <v>0</v>
      </c>
      <c r="P302" s="20">
        <f>IFERROR(IF($F302&lt;=P$9,MIN($I302/$J302,$I302-SUM($K302:O302)),0),0)</f>
        <v>0</v>
      </c>
      <c r="Q302" s="20">
        <f>IFERROR(IF($F302&lt;=Q$9,MIN($I302/$J302,$I302-SUM($K302:P302)),0),0)</f>
        <v>0</v>
      </c>
      <c r="R302" s="20">
        <f>IFERROR(IF($F302&lt;=R$9,MIN($I302/$J302,$I302-SUM($K302:Q302)),0),0)</f>
        <v>0</v>
      </c>
      <c r="S302" s="20">
        <f>IFERROR(IF($F302&lt;=S$9,MIN($I302/$J302,$I302-SUM($K302:R302)),0),0)</f>
        <v>0</v>
      </c>
      <c r="T302" s="20">
        <f>IFERROR(IF($F302&lt;=T$9,MIN($I302/$J302,$I302-SUM($K302:S302)),0),0)</f>
        <v>0</v>
      </c>
      <c r="U302" s="20">
        <f>IFERROR(IF($F302&lt;=U$9,MIN($I302/$J302,$I302-SUM($K302:T302)),0),0)</f>
        <v>0</v>
      </c>
      <c r="V302" s="20">
        <f>IFERROR(IF($F302&lt;=V$9,MIN($I302/$J302,$I302-SUM($K302:U302)),0),0)</f>
        <v>0</v>
      </c>
      <c r="W302" s="20">
        <f>IFERROR(IF($F302&lt;=W$9,MIN($I302/$J302,$I302-SUM($K302:V302)),0),0)</f>
        <v>0</v>
      </c>
      <c r="X302" s="20">
        <f>IFERROR(IF($F302&lt;=X$9,MIN($I302/$J302,$I302-SUM($K302:W302)),0),0)</f>
        <v>0</v>
      </c>
      <c r="Y302" s="20">
        <f>IFERROR(IF($F302&lt;=Y$9,MIN($I302/$J302,$I302-SUM($K302:X302)),0),0)</f>
        <v>0</v>
      </c>
      <c r="Z302" s="20">
        <f>IFERROR(IF($F302&lt;=Z$9,MIN($I302/$J302,$I302-SUM($K302:Y302)),0),0)</f>
        <v>0</v>
      </c>
      <c r="AA302" s="20">
        <f>IFERROR(IF($F302&lt;=AA$9,MIN($I302/$J302,$I302-SUM($K302:Z302)),0),0)</f>
        <v>0</v>
      </c>
      <c r="AB302" s="20">
        <f>IFERROR(IF($F302&lt;=AB$9,MIN($I302/$J302,$I302-SUM($K302:AA302)),0),0)</f>
        <v>0</v>
      </c>
      <c r="AC302" s="20">
        <f>IFERROR(IF($F302&lt;=AC$9,MIN($I302/$J302,$I302-SUM($K302:AB302)),0),0)</f>
        <v>0</v>
      </c>
      <c r="AD302" s="20">
        <f>IFERROR(IF($F302&lt;=AD$9,MIN($I302/$J302,$I302-SUM($K302:AC302)),0),0)</f>
        <v>0</v>
      </c>
      <c r="AE302" s="20">
        <f>IFERROR(IF($F302&lt;=AE$9,MIN($I302/$J302,$I302-SUM($K302:AD302)),0),0)</f>
        <v>0</v>
      </c>
      <c r="AF302" s="20">
        <f>IFERROR(IF($F302&lt;=AF$9,MIN($I302/$J302,$I302-SUM($K302:AE302)),0),0)</f>
        <v>0</v>
      </c>
      <c r="AG302" s="20">
        <f>IFERROR(IF($F302&lt;=AG$9,MIN($I302/$J302,$I302-SUM($K302:AF302)),0),0)</f>
        <v>0</v>
      </c>
      <c r="AH302" s="20">
        <f>IFERROR(IF($F302&lt;=AH$9,MIN($I302/$J302,$I302-SUM($K302:AG302)),0),0)</f>
        <v>0</v>
      </c>
      <c r="AI302" s="20">
        <f>IFERROR(IF($F302&lt;=AI$9,MIN($I302/$J302,$I302-SUM($K302:AH302)),0),0)</f>
        <v>0</v>
      </c>
      <c r="AJ302" s="20">
        <f>IFERROR(IF($F302&lt;=AJ$9,MIN($I302/$J302,$I302-SUM($K302:AI302)),0),0)</f>
        <v>0</v>
      </c>
      <c r="AK302" s="20">
        <f>IFERROR(IF($F302&lt;=AK$9,MIN($I302/$J302,$I302-SUM($K302:AJ302)),0),0)</f>
        <v>0</v>
      </c>
      <c r="AL302" s="20">
        <f>IFERROR(IF($F302&lt;=AL$9,MIN($I302/$J302,$I302-SUM($K302:AK302)),0),0)</f>
        <v>0</v>
      </c>
      <c r="AM302" s="20">
        <f>IFERROR(IF($F302&lt;=AM$9,MIN($I302/$J302,$I302-SUM($K302:AL302)),0),0)</f>
        <v>0</v>
      </c>
      <c r="AN302" s="20">
        <f>IFERROR(IF($F302&lt;=AN$9,MIN($I302/$J302,$I302-SUM($K302:AM302)),0),0)</f>
        <v>0</v>
      </c>
      <c r="AO302" s="28"/>
    </row>
    <row r="303" spans="3:41" ht="14.4" customHeight="1" outlineLevel="1" x14ac:dyDescent="0.3">
      <c r="F303" s="69">
        <v>2030</v>
      </c>
      <c r="H303" s="26" t="s">
        <v>245</v>
      </c>
      <c r="I303" s="128">
        <v>0</v>
      </c>
      <c r="J303" s="139">
        <v>0</v>
      </c>
      <c r="K303" s="89">
        <v>0</v>
      </c>
      <c r="L303" s="20">
        <f>IFERROR(IF($F303&lt;=L$9,MIN($I303/$J303,$I303-SUM($K303:K303)),0),0)</f>
        <v>0</v>
      </c>
      <c r="M303" s="20">
        <f>IFERROR(IF($F303&lt;=M$9,MIN($I303/$J303,$I303-SUM($K303:L303)),0),0)</f>
        <v>0</v>
      </c>
      <c r="N303" s="20">
        <f>IFERROR(IF($F303&lt;=N$9,MIN($I303/$J303,$I303-SUM($K303:M303)),0),0)</f>
        <v>0</v>
      </c>
      <c r="O303" s="20">
        <f>IFERROR(IF($F303&lt;=O$9,MIN($I303/$J303,$I303-SUM($K303:N303)),0),0)</f>
        <v>0</v>
      </c>
      <c r="P303" s="20">
        <f>IFERROR(IF($F303&lt;=P$9,MIN($I303/$J303,$I303-SUM($K303:O303)),0),0)</f>
        <v>0</v>
      </c>
      <c r="Q303" s="20">
        <f>IFERROR(IF($F303&lt;=Q$9,MIN($I303/$J303,$I303-SUM($K303:P303)),0),0)</f>
        <v>0</v>
      </c>
      <c r="R303" s="20">
        <f>IFERROR(IF($F303&lt;=R$9,MIN($I303/$J303,$I303-SUM($K303:Q303)),0),0)</f>
        <v>0</v>
      </c>
      <c r="S303" s="20">
        <f>IFERROR(IF($F303&lt;=S$9,MIN($I303/$J303,$I303-SUM($K303:R303)),0),0)</f>
        <v>0</v>
      </c>
      <c r="T303" s="20">
        <f>IFERROR(IF($F303&lt;=T$9,MIN($I303/$J303,$I303-SUM($K303:S303)),0),0)</f>
        <v>0</v>
      </c>
      <c r="U303" s="20">
        <f>IFERROR(IF($F303&lt;=U$9,MIN($I303/$J303,$I303-SUM($K303:T303)),0),0)</f>
        <v>0</v>
      </c>
      <c r="V303" s="20">
        <f>IFERROR(IF($F303&lt;=V$9,MIN($I303/$J303,$I303-SUM($K303:U303)),0),0)</f>
        <v>0</v>
      </c>
      <c r="W303" s="20">
        <f>IFERROR(IF($F303&lt;=W$9,MIN($I303/$J303,$I303-SUM($K303:V303)),0),0)</f>
        <v>0</v>
      </c>
      <c r="X303" s="20">
        <f>IFERROR(IF($F303&lt;=X$9,MIN($I303/$J303,$I303-SUM($K303:W303)),0),0)</f>
        <v>0</v>
      </c>
      <c r="Y303" s="20">
        <f>IFERROR(IF($F303&lt;=Y$9,MIN($I303/$J303,$I303-SUM($K303:X303)),0),0)</f>
        <v>0</v>
      </c>
      <c r="Z303" s="20">
        <f>IFERROR(IF($F303&lt;=Z$9,MIN($I303/$J303,$I303-SUM($K303:Y303)),0),0)</f>
        <v>0</v>
      </c>
      <c r="AA303" s="20">
        <f>IFERROR(IF($F303&lt;=AA$9,MIN($I303/$J303,$I303-SUM($K303:Z303)),0),0)</f>
        <v>0</v>
      </c>
      <c r="AB303" s="20">
        <f>IFERROR(IF($F303&lt;=AB$9,MIN($I303/$J303,$I303-SUM($K303:AA303)),0),0)</f>
        <v>0</v>
      </c>
      <c r="AC303" s="20">
        <f>IFERROR(IF($F303&lt;=AC$9,MIN($I303/$J303,$I303-SUM($K303:AB303)),0),0)</f>
        <v>0</v>
      </c>
      <c r="AD303" s="20">
        <f>IFERROR(IF($F303&lt;=AD$9,MIN($I303/$J303,$I303-SUM($K303:AC303)),0),0)</f>
        <v>0</v>
      </c>
      <c r="AE303" s="20">
        <f>IFERROR(IF($F303&lt;=AE$9,MIN($I303/$J303,$I303-SUM($K303:AD303)),0),0)</f>
        <v>0</v>
      </c>
      <c r="AF303" s="20">
        <f>IFERROR(IF($F303&lt;=AF$9,MIN($I303/$J303,$I303-SUM($K303:AE303)),0),0)</f>
        <v>0</v>
      </c>
      <c r="AG303" s="20">
        <f>IFERROR(IF($F303&lt;=AG$9,MIN($I303/$J303,$I303-SUM($K303:AF303)),0),0)</f>
        <v>0</v>
      </c>
      <c r="AH303" s="20">
        <f>IFERROR(IF($F303&lt;=AH$9,MIN($I303/$J303,$I303-SUM($K303:AG303)),0),0)</f>
        <v>0</v>
      </c>
      <c r="AI303" s="20">
        <f>IFERROR(IF($F303&lt;=AI$9,MIN($I303/$J303,$I303-SUM($K303:AH303)),0),0)</f>
        <v>0</v>
      </c>
      <c r="AJ303" s="20">
        <f>IFERROR(IF($F303&lt;=AJ$9,MIN($I303/$J303,$I303-SUM($K303:AI303)),0),0)</f>
        <v>0</v>
      </c>
      <c r="AK303" s="20">
        <f>IFERROR(IF($F303&lt;=AK$9,MIN($I303/$J303,$I303-SUM($K303:AJ303)),0),0)</f>
        <v>0</v>
      </c>
      <c r="AL303" s="20">
        <f>IFERROR(IF($F303&lt;=AL$9,MIN($I303/$J303,$I303-SUM($K303:AK303)),0),0)</f>
        <v>0</v>
      </c>
      <c r="AM303" s="20">
        <f>IFERROR(IF($F303&lt;=AM$9,MIN($I303/$J303,$I303-SUM($K303:AL303)),0),0)</f>
        <v>0</v>
      </c>
      <c r="AN303" s="20">
        <f>IFERROR(IF($F303&lt;=AN$9,MIN($I303/$J303,$I303-SUM($K303:AM303)),0),0)</f>
        <v>0</v>
      </c>
      <c r="AO303" s="28"/>
    </row>
    <row r="304" spans="3:41" ht="14.4" customHeight="1" outlineLevel="1" x14ac:dyDescent="0.3">
      <c r="F304" s="69">
        <v>2031</v>
      </c>
      <c r="H304" s="26" t="s">
        <v>245</v>
      </c>
      <c r="I304" s="128">
        <v>4.4741680494018574</v>
      </c>
      <c r="J304" s="139">
        <v>4</v>
      </c>
      <c r="K304" s="89">
        <v>0</v>
      </c>
      <c r="L304" s="20">
        <f>IFERROR(IF($F304&lt;=L$9,MIN($I304/$J304,$I304-SUM($K304:K304)),0),0)</f>
        <v>0</v>
      </c>
      <c r="M304" s="20">
        <f>IFERROR(IF($F304&lt;=M$9,MIN($I304/$J304,$I304-SUM($K304:L304)),0),0)</f>
        <v>0</v>
      </c>
      <c r="N304" s="20">
        <f>IFERROR(IF($F304&lt;=N$9,MIN($I304/$J304,$I304-SUM($K304:M304)),0),0)</f>
        <v>0</v>
      </c>
      <c r="O304" s="20">
        <f>IFERROR(IF($F304&lt;=O$9,MIN($I304/$J304,$I304-SUM($K304:N304)),0),0)</f>
        <v>0</v>
      </c>
      <c r="P304" s="20">
        <f>IFERROR(IF($F304&lt;=P$9,MIN($I304/$J304,$I304-SUM($K304:O304)),0),0)</f>
        <v>0</v>
      </c>
      <c r="Q304" s="20">
        <f>IFERROR(IF($F304&lt;=Q$9,MIN($I304/$J304,$I304-SUM($K304:P304)),0),0)</f>
        <v>0</v>
      </c>
      <c r="R304" s="20">
        <f>IFERROR(IF($F304&lt;=R$9,MIN($I304/$J304,$I304-SUM($K304:Q304)),0),0)</f>
        <v>0</v>
      </c>
      <c r="S304" s="20">
        <f>IFERROR(IF($F304&lt;=S$9,MIN($I304/$J304,$I304-SUM($K304:R304)),0),0)</f>
        <v>1.1185420123504644</v>
      </c>
      <c r="T304" s="20">
        <f>IFERROR(IF($F304&lt;=T$9,MIN($I304/$J304,$I304-SUM($K304:S304)),0),0)</f>
        <v>1.1185420123504644</v>
      </c>
      <c r="U304" s="20">
        <f>IFERROR(IF($F304&lt;=U$9,MIN($I304/$J304,$I304-SUM($K304:T304)),0),0)</f>
        <v>1.1185420123504644</v>
      </c>
      <c r="V304" s="20">
        <f>IFERROR(IF($F304&lt;=V$9,MIN($I304/$J304,$I304-SUM($K304:U304)),0),0)</f>
        <v>1.1185420123504644</v>
      </c>
      <c r="W304" s="20">
        <f>IFERROR(IF($F304&lt;=W$9,MIN($I304/$J304,$I304-SUM($K304:V304)),0),0)</f>
        <v>0</v>
      </c>
      <c r="X304" s="20">
        <f>IFERROR(IF($F304&lt;=X$9,MIN($I304/$J304,$I304-SUM($K304:W304)),0),0)</f>
        <v>0</v>
      </c>
      <c r="Y304" s="20">
        <f>IFERROR(IF($F304&lt;=Y$9,MIN($I304/$J304,$I304-SUM($K304:X304)),0),0)</f>
        <v>0</v>
      </c>
      <c r="Z304" s="20">
        <f>IFERROR(IF($F304&lt;=Z$9,MIN($I304/$J304,$I304-SUM($K304:Y304)),0),0)</f>
        <v>0</v>
      </c>
      <c r="AA304" s="20">
        <f>IFERROR(IF($F304&lt;=AA$9,MIN($I304/$J304,$I304-SUM($K304:Z304)),0),0)</f>
        <v>0</v>
      </c>
      <c r="AB304" s="20">
        <f>IFERROR(IF($F304&lt;=AB$9,MIN($I304/$J304,$I304-SUM($K304:AA304)),0),0)</f>
        <v>0</v>
      </c>
      <c r="AC304" s="20">
        <f>IFERROR(IF($F304&lt;=AC$9,MIN($I304/$J304,$I304-SUM($K304:AB304)),0),0)</f>
        <v>0</v>
      </c>
      <c r="AD304" s="20">
        <f>IFERROR(IF($F304&lt;=AD$9,MIN($I304/$J304,$I304-SUM($K304:AC304)),0),0)</f>
        <v>0</v>
      </c>
      <c r="AE304" s="20">
        <f>IFERROR(IF($F304&lt;=AE$9,MIN($I304/$J304,$I304-SUM($K304:AD304)),0),0)</f>
        <v>0</v>
      </c>
      <c r="AF304" s="20">
        <f>IFERROR(IF($F304&lt;=AF$9,MIN($I304/$J304,$I304-SUM($K304:AE304)),0),0)</f>
        <v>0</v>
      </c>
      <c r="AG304" s="20">
        <f>IFERROR(IF($F304&lt;=AG$9,MIN($I304/$J304,$I304-SUM($K304:AF304)),0),0)</f>
        <v>0</v>
      </c>
      <c r="AH304" s="20">
        <f>IFERROR(IF($F304&lt;=AH$9,MIN($I304/$J304,$I304-SUM($K304:AG304)),0),0)</f>
        <v>0</v>
      </c>
      <c r="AI304" s="20">
        <f>IFERROR(IF($F304&lt;=AI$9,MIN($I304/$J304,$I304-SUM($K304:AH304)),0),0)</f>
        <v>0</v>
      </c>
      <c r="AJ304" s="20">
        <f>IFERROR(IF($F304&lt;=AJ$9,MIN($I304/$J304,$I304-SUM($K304:AI304)),0),0)</f>
        <v>0</v>
      </c>
      <c r="AK304" s="20">
        <f>IFERROR(IF($F304&lt;=AK$9,MIN($I304/$J304,$I304-SUM($K304:AJ304)),0),0)</f>
        <v>0</v>
      </c>
      <c r="AL304" s="20">
        <f>IFERROR(IF($F304&lt;=AL$9,MIN($I304/$J304,$I304-SUM($K304:AK304)),0),0)</f>
        <v>0</v>
      </c>
      <c r="AM304" s="20">
        <f>IFERROR(IF($F304&lt;=AM$9,MIN($I304/$J304,$I304-SUM($K304:AL304)),0),0)</f>
        <v>0</v>
      </c>
      <c r="AN304" s="20">
        <f>IFERROR(IF($F304&lt;=AN$9,MIN($I304/$J304,$I304-SUM($K304:AM304)),0),0)</f>
        <v>0</v>
      </c>
      <c r="AO304" s="28"/>
    </row>
    <row r="305" spans="6:41" ht="14.4" customHeight="1" outlineLevel="1" x14ac:dyDescent="0.3">
      <c r="F305" s="69">
        <v>2032</v>
      </c>
      <c r="H305" s="26" t="s">
        <v>245</v>
      </c>
      <c r="I305" s="128">
        <v>0</v>
      </c>
      <c r="J305" s="139">
        <v>0</v>
      </c>
      <c r="K305" s="89">
        <v>0</v>
      </c>
      <c r="L305" s="20">
        <f>IFERROR(IF($F305&lt;=L$9,MIN($I305/$J305,$I305-SUM($K305:K305)),0),0)</f>
        <v>0</v>
      </c>
      <c r="M305" s="20">
        <f>IFERROR(IF($F305&lt;=M$9,MIN($I305/$J305,$I305-SUM($K305:L305)),0),0)</f>
        <v>0</v>
      </c>
      <c r="N305" s="20">
        <f>IFERROR(IF($F305&lt;=N$9,MIN($I305/$J305,$I305-SUM($K305:M305)),0),0)</f>
        <v>0</v>
      </c>
      <c r="O305" s="20">
        <f>IFERROR(IF($F305&lt;=O$9,MIN($I305/$J305,$I305-SUM($K305:N305)),0),0)</f>
        <v>0</v>
      </c>
      <c r="P305" s="20">
        <f>IFERROR(IF($F305&lt;=P$9,MIN($I305/$J305,$I305-SUM($K305:O305)),0),0)</f>
        <v>0</v>
      </c>
      <c r="Q305" s="20">
        <f>IFERROR(IF($F305&lt;=Q$9,MIN($I305/$J305,$I305-SUM($K305:P305)),0),0)</f>
        <v>0</v>
      </c>
      <c r="R305" s="20">
        <f>IFERROR(IF($F305&lt;=R$9,MIN($I305/$J305,$I305-SUM($K305:Q305)),0),0)</f>
        <v>0</v>
      </c>
      <c r="S305" s="20">
        <f>IFERROR(IF($F305&lt;=S$9,MIN($I305/$J305,$I305-SUM($K305:R305)),0),0)</f>
        <v>0</v>
      </c>
      <c r="T305" s="20">
        <f>IFERROR(IF($F305&lt;=T$9,MIN($I305/$J305,$I305-SUM($K305:S305)),0),0)</f>
        <v>0</v>
      </c>
      <c r="U305" s="20">
        <f>IFERROR(IF($F305&lt;=U$9,MIN($I305/$J305,$I305-SUM($K305:T305)),0),0)</f>
        <v>0</v>
      </c>
      <c r="V305" s="20">
        <f>IFERROR(IF($F305&lt;=V$9,MIN($I305/$J305,$I305-SUM($K305:U305)),0),0)</f>
        <v>0</v>
      </c>
      <c r="W305" s="20">
        <f>IFERROR(IF($F305&lt;=W$9,MIN($I305/$J305,$I305-SUM($K305:V305)),0),0)</f>
        <v>0</v>
      </c>
      <c r="X305" s="20">
        <f>IFERROR(IF($F305&lt;=X$9,MIN($I305/$J305,$I305-SUM($K305:W305)),0),0)</f>
        <v>0</v>
      </c>
      <c r="Y305" s="20">
        <f>IFERROR(IF($F305&lt;=Y$9,MIN($I305/$J305,$I305-SUM($K305:X305)),0),0)</f>
        <v>0</v>
      </c>
      <c r="Z305" s="20">
        <f>IFERROR(IF($F305&lt;=Z$9,MIN($I305/$J305,$I305-SUM($K305:Y305)),0),0)</f>
        <v>0</v>
      </c>
      <c r="AA305" s="20">
        <f>IFERROR(IF($F305&lt;=AA$9,MIN($I305/$J305,$I305-SUM($K305:Z305)),0),0)</f>
        <v>0</v>
      </c>
      <c r="AB305" s="20">
        <f>IFERROR(IF($F305&lt;=AB$9,MIN($I305/$J305,$I305-SUM($K305:AA305)),0),0)</f>
        <v>0</v>
      </c>
      <c r="AC305" s="20">
        <f>IFERROR(IF($F305&lt;=AC$9,MIN($I305/$J305,$I305-SUM($K305:AB305)),0),0)</f>
        <v>0</v>
      </c>
      <c r="AD305" s="20">
        <f>IFERROR(IF($F305&lt;=AD$9,MIN($I305/$J305,$I305-SUM($K305:AC305)),0),0)</f>
        <v>0</v>
      </c>
      <c r="AE305" s="20">
        <f>IFERROR(IF($F305&lt;=AE$9,MIN($I305/$J305,$I305-SUM($K305:AD305)),0),0)</f>
        <v>0</v>
      </c>
      <c r="AF305" s="20">
        <f>IFERROR(IF($F305&lt;=AF$9,MIN($I305/$J305,$I305-SUM($K305:AE305)),0),0)</f>
        <v>0</v>
      </c>
      <c r="AG305" s="20">
        <f>IFERROR(IF($F305&lt;=AG$9,MIN($I305/$J305,$I305-SUM($K305:AF305)),0),0)</f>
        <v>0</v>
      </c>
      <c r="AH305" s="20">
        <f>IFERROR(IF($F305&lt;=AH$9,MIN($I305/$J305,$I305-SUM($K305:AG305)),0),0)</f>
        <v>0</v>
      </c>
      <c r="AI305" s="20">
        <f>IFERROR(IF($F305&lt;=AI$9,MIN($I305/$J305,$I305-SUM($K305:AH305)),0),0)</f>
        <v>0</v>
      </c>
      <c r="AJ305" s="20">
        <f>IFERROR(IF($F305&lt;=AJ$9,MIN($I305/$J305,$I305-SUM($K305:AI305)),0),0)</f>
        <v>0</v>
      </c>
      <c r="AK305" s="20">
        <f>IFERROR(IF($F305&lt;=AK$9,MIN($I305/$J305,$I305-SUM($K305:AJ305)),0),0)</f>
        <v>0</v>
      </c>
      <c r="AL305" s="20">
        <f>IFERROR(IF($F305&lt;=AL$9,MIN($I305/$J305,$I305-SUM($K305:AK305)),0),0)</f>
        <v>0</v>
      </c>
      <c r="AM305" s="20">
        <f>IFERROR(IF($F305&lt;=AM$9,MIN($I305/$J305,$I305-SUM($K305:AL305)),0),0)</f>
        <v>0</v>
      </c>
      <c r="AN305" s="20">
        <f>IFERROR(IF($F305&lt;=AN$9,MIN($I305/$J305,$I305-SUM($K305:AM305)),0),0)</f>
        <v>0</v>
      </c>
      <c r="AO305" s="28"/>
    </row>
    <row r="306" spans="6:41" ht="14.4" customHeight="1" outlineLevel="1" x14ac:dyDescent="0.3">
      <c r="F306" s="69">
        <v>2033</v>
      </c>
      <c r="H306" s="26" t="s">
        <v>245</v>
      </c>
      <c r="I306" s="128">
        <v>0</v>
      </c>
      <c r="J306" s="139">
        <v>0</v>
      </c>
      <c r="K306" s="89">
        <v>0</v>
      </c>
      <c r="L306" s="20">
        <f>IFERROR(IF($F306&lt;=L$9,MIN($I306/$J306,$I306-SUM($K306:K306)),0),0)</f>
        <v>0</v>
      </c>
      <c r="M306" s="20">
        <f>IFERROR(IF($F306&lt;=M$9,MIN($I306/$J306,$I306-SUM($K306:L306)),0),0)</f>
        <v>0</v>
      </c>
      <c r="N306" s="20">
        <f>IFERROR(IF($F306&lt;=N$9,MIN($I306/$J306,$I306-SUM($K306:M306)),0),0)</f>
        <v>0</v>
      </c>
      <c r="O306" s="20">
        <f>IFERROR(IF($F306&lt;=O$9,MIN($I306/$J306,$I306-SUM($K306:N306)),0),0)</f>
        <v>0</v>
      </c>
      <c r="P306" s="20">
        <f>IFERROR(IF($F306&lt;=P$9,MIN($I306/$J306,$I306-SUM($K306:O306)),0),0)</f>
        <v>0</v>
      </c>
      <c r="Q306" s="20">
        <f>IFERROR(IF($F306&lt;=Q$9,MIN($I306/$J306,$I306-SUM($K306:P306)),0),0)</f>
        <v>0</v>
      </c>
      <c r="R306" s="20">
        <f>IFERROR(IF($F306&lt;=R$9,MIN($I306/$J306,$I306-SUM($K306:Q306)),0),0)</f>
        <v>0</v>
      </c>
      <c r="S306" s="20">
        <f>IFERROR(IF($F306&lt;=S$9,MIN($I306/$J306,$I306-SUM($K306:R306)),0),0)</f>
        <v>0</v>
      </c>
      <c r="T306" s="20">
        <f>IFERROR(IF($F306&lt;=T$9,MIN($I306/$J306,$I306-SUM($K306:S306)),0),0)</f>
        <v>0</v>
      </c>
      <c r="U306" s="20">
        <f>IFERROR(IF($F306&lt;=U$9,MIN($I306/$J306,$I306-SUM($K306:T306)),0),0)</f>
        <v>0</v>
      </c>
      <c r="V306" s="20">
        <f>IFERROR(IF($F306&lt;=V$9,MIN($I306/$J306,$I306-SUM($K306:U306)),0),0)</f>
        <v>0</v>
      </c>
      <c r="W306" s="20">
        <f>IFERROR(IF($F306&lt;=W$9,MIN($I306/$J306,$I306-SUM($K306:V306)),0),0)</f>
        <v>0</v>
      </c>
      <c r="X306" s="20">
        <f>IFERROR(IF($F306&lt;=X$9,MIN($I306/$J306,$I306-SUM($K306:W306)),0),0)</f>
        <v>0</v>
      </c>
      <c r="Y306" s="20">
        <f>IFERROR(IF($F306&lt;=Y$9,MIN($I306/$J306,$I306-SUM($K306:X306)),0),0)</f>
        <v>0</v>
      </c>
      <c r="Z306" s="20">
        <f>IFERROR(IF($F306&lt;=Z$9,MIN($I306/$J306,$I306-SUM($K306:Y306)),0),0)</f>
        <v>0</v>
      </c>
      <c r="AA306" s="20">
        <f>IFERROR(IF($F306&lt;=AA$9,MIN($I306/$J306,$I306-SUM($K306:Z306)),0),0)</f>
        <v>0</v>
      </c>
      <c r="AB306" s="20">
        <f>IFERROR(IF($F306&lt;=AB$9,MIN($I306/$J306,$I306-SUM($K306:AA306)),0),0)</f>
        <v>0</v>
      </c>
      <c r="AC306" s="20">
        <f>IFERROR(IF($F306&lt;=AC$9,MIN($I306/$J306,$I306-SUM($K306:AB306)),0),0)</f>
        <v>0</v>
      </c>
      <c r="AD306" s="20">
        <f>IFERROR(IF($F306&lt;=AD$9,MIN($I306/$J306,$I306-SUM($K306:AC306)),0),0)</f>
        <v>0</v>
      </c>
      <c r="AE306" s="20">
        <f>IFERROR(IF($F306&lt;=AE$9,MIN($I306/$J306,$I306-SUM($K306:AD306)),0),0)</f>
        <v>0</v>
      </c>
      <c r="AF306" s="20">
        <f>IFERROR(IF($F306&lt;=AF$9,MIN($I306/$J306,$I306-SUM($K306:AE306)),0),0)</f>
        <v>0</v>
      </c>
      <c r="AG306" s="20">
        <f>IFERROR(IF($F306&lt;=AG$9,MIN($I306/$J306,$I306-SUM($K306:AF306)),0),0)</f>
        <v>0</v>
      </c>
      <c r="AH306" s="20">
        <f>IFERROR(IF($F306&lt;=AH$9,MIN($I306/$J306,$I306-SUM($K306:AG306)),0),0)</f>
        <v>0</v>
      </c>
      <c r="AI306" s="20">
        <f>IFERROR(IF($F306&lt;=AI$9,MIN($I306/$J306,$I306-SUM($K306:AH306)),0),0)</f>
        <v>0</v>
      </c>
      <c r="AJ306" s="20">
        <f>IFERROR(IF($F306&lt;=AJ$9,MIN($I306/$J306,$I306-SUM($K306:AI306)),0),0)</f>
        <v>0</v>
      </c>
      <c r="AK306" s="20">
        <f>IFERROR(IF($F306&lt;=AK$9,MIN($I306/$J306,$I306-SUM($K306:AJ306)),0),0)</f>
        <v>0</v>
      </c>
      <c r="AL306" s="20">
        <f>IFERROR(IF($F306&lt;=AL$9,MIN($I306/$J306,$I306-SUM($K306:AK306)),0),0)</f>
        <v>0</v>
      </c>
      <c r="AM306" s="20">
        <f>IFERROR(IF($F306&lt;=AM$9,MIN($I306/$J306,$I306-SUM($K306:AL306)),0),0)</f>
        <v>0</v>
      </c>
      <c r="AN306" s="20">
        <f>IFERROR(IF($F306&lt;=AN$9,MIN($I306/$J306,$I306-SUM($K306:AM306)),0),0)</f>
        <v>0</v>
      </c>
      <c r="AO306" s="28"/>
    </row>
    <row r="307" spans="6:41" ht="14.4" customHeight="1" outlineLevel="1" x14ac:dyDescent="0.3">
      <c r="F307" s="69">
        <v>2034</v>
      </c>
      <c r="H307" s="26" t="s">
        <v>245</v>
      </c>
      <c r="I307" s="128">
        <v>0</v>
      </c>
      <c r="J307" s="139">
        <v>0</v>
      </c>
      <c r="K307" s="89">
        <v>0</v>
      </c>
      <c r="L307" s="20">
        <f>IFERROR(IF($F307&lt;=L$9,MIN($I307/$J307,$I307-SUM($K307:K307)),0),0)</f>
        <v>0</v>
      </c>
      <c r="M307" s="20">
        <f>IFERROR(IF($F307&lt;=M$9,MIN($I307/$J307,$I307-SUM($K307:L307)),0),0)</f>
        <v>0</v>
      </c>
      <c r="N307" s="20">
        <f>IFERROR(IF($F307&lt;=N$9,MIN($I307/$J307,$I307-SUM($K307:M307)),0),0)</f>
        <v>0</v>
      </c>
      <c r="O307" s="20">
        <f>IFERROR(IF($F307&lt;=O$9,MIN($I307/$J307,$I307-SUM($K307:N307)),0),0)</f>
        <v>0</v>
      </c>
      <c r="P307" s="20">
        <f>IFERROR(IF($F307&lt;=P$9,MIN($I307/$J307,$I307-SUM($K307:O307)),0),0)</f>
        <v>0</v>
      </c>
      <c r="Q307" s="20">
        <f>IFERROR(IF($F307&lt;=Q$9,MIN($I307/$J307,$I307-SUM($K307:P307)),0),0)</f>
        <v>0</v>
      </c>
      <c r="R307" s="20">
        <f>IFERROR(IF($F307&lt;=R$9,MIN($I307/$J307,$I307-SUM($K307:Q307)),0),0)</f>
        <v>0</v>
      </c>
      <c r="S307" s="20">
        <f>IFERROR(IF($F307&lt;=S$9,MIN($I307/$J307,$I307-SUM($K307:R307)),0),0)</f>
        <v>0</v>
      </c>
      <c r="T307" s="20">
        <f>IFERROR(IF($F307&lt;=T$9,MIN($I307/$J307,$I307-SUM($K307:S307)),0),0)</f>
        <v>0</v>
      </c>
      <c r="U307" s="20">
        <f>IFERROR(IF($F307&lt;=U$9,MIN($I307/$J307,$I307-SUM($K307:T307)),0),0)</f>
        <v>0</v>
      </c>
      <c r="V307" s="20">
        <f>IFERROR(IF($F307&lt;=V$9,MIN($I307/$J307,$I307-SUM($K307:U307)),0),0)</f>
        <v>0</v>
      </c>
      <c r="W307" s="20">
        <f>IFERROR(IF($F307&lt;=W$9,MIN($I307/$J307,$I307-SUM($K307:V307)),0),0)</f>
        <v>0</v>
      </c>
      <c r="X307" s="20">
        <f>IFERROR(IF($F307&lt;=X$9,MIN($I307/$J307,$I307-SUM($K307:W307)),0),0)</f>
        <v>0</v>
      </c>
      <c r="Y307" s="20">
        <f>IFERROR(IF($F307&lt;=Y$9,MIN($I307/$J307,$I307-SUM($K307:X307)),0),0)</f>
        <v>0</v>
      </c>
      <c r="Z307" s="20">
        <f>IFERROR(IF($F307&lt;=Z$9,MIN($I307/$J307,$I307-SUM($K307:Y307)),0),0)</f>
        <v>0</v>
      </c>
      <c r="AA307" s="20">
        <f>IFERROR(IF($F307&lt;=AA$9,MIN($I307/$J307,$I307-SUM($K307:Z307)),0),0)</f>
        <v>0</v>
      </c>
      <c r="AB307" s="20">
        <f>IFERROR(IF($F307&lt;=AB$9,MIN($I307/$J307,$I307-SUM($K307:AA307)),0),0)</f>
        <v>0</v>
      </c>
      <c r="AC307" s="20">
        <f>IFERROR(IF($F307&lt;=AC$9,MIN($I307/$J307,$I307-SUM($K307:AB307)),0),0)</f>
        <v>0</v>
      </c>
      <c r="AD307" s="20">
        <f>IFERROR(IF($F307&lt;=AD$9,MIN($I307/$J307,$I307-SUM($K307:AC307)),0),0)</f>
        <v>0</v>
      </c>
      <c r="AE307" s="20">
        <f>IFERROR(IF($F307&lt;=AE$9,MIN($I307/$J307,$I307-SUM($K307:AD307)),0),0)</f>
        <v>0</v>
      </c>
      <c r="AF307" s="20">
        <f>IFERROR(IF($F307&lt;=AF$9,MIN($I307/$J307,$I307-SUM($K307:AE307)),0),0)</f>
        <v>0</v>
      </c>
      <c r="AG307" s="20">
        <f>IFERROR(IF($F307&lt;=AG$9,MIN($I307/$J307,$I307-SUM($K307:AF307)),0),0)</f>
        <v>0</v>
      </c>
      <c r="AH307" s="20">
        <f>IFERROR(IF($F307&lt;=AH$9,MIN($I307/$J307,$I307-SUM($K307:AG307)),0),0)</f>
        <v>0</v>
      </c>
      <c r="AI307" s="20">
        <f>IFERROR(IF($F307&lt;=AI$9,MIN($I307/$J307,$I307-SUM($K307:AH307)),0),0)</f>
        <v>0</v>
      </c>
      <c r="AJ307" s="20">
        <f>IFERROR(IF($F307&lt;=AJ$9,MIN($I307/$J307,$I307-SUM($K307:AI307)),0),0)</f>
        <v>0</v>
      </c>
      <c r="AK307" s="20">
        <f>IFERROR(IF($F307&lt;=AK$9,MIN($I307/$J307,$I307-SUM($K307:AJ307)),0),0)</f>
        <v>0</v>
      </c>
      <c r="AL307" s="20">
        <f>IFERROR(IF($F307&lt;=AL$9,MIN($I307/$J307,$I307-SUM($K307:AK307)),0),0)</f>
        <v>0</v>
      </c>
      <c r="AM307" s="20">
        <f>IFERROR(IF($F307&lt;=AM$9,MIN($I307/$J307,$I307-SUM($K307:AL307)),0),0)</f>
        <v>0</v>
      </c>
      <c r="AN307" s="20">
        <f>IFERROR(IF($F307&lt;=AN$9,MIN($I307/$J307,$I307-SUM($K307:AM307)),0),0)</f>
        <v>0</v>
      </c>
      <c r="AO307" s="28"/>
    </row>
    <row r="308" spans="6:41" ht="14.4" customHeight="1" outlineLevel="1" x14ac:dyDescent="0.3">
      <c r="F308" s="69">
        <v>2035</v>
      </c>
      <c r="H308" s="26" t="s">
        <v>245</v>
      </c>
      <c r="I308" s="128">
        <v>5.2341437914712667</v>
      </c>
      <c r="J308" s="139">
        <v>6</v>
      </c>
      <c r="K308" s="89">
        <v>0</v>
      </c>
      <c r="L308" s="20">
        <f>IFERROR(IF($F308&lt;=L$9,MIN($I308/$J308,$I308-SUM($K308:K308)),0),0)</f>
        <v>0</v>
      </c>
      <c r="M308" s="20">
        <f>IFERROR(IF($F308&lt;=M$9,MIN($I308/$J308,$I308-SUM($K308:L308)),0),0)</f>
        <v>0</v>
      </c>
      <c r="N308" s="20">
        <f>IFERROR(IF($F308&lt;=N$9,MIN($I308/$J308,$I308-SUM($K308:M308)),0),0)</f>
        <v>0</v>
      </c>
      <c r="O308" s="20">
        <f>IFERROR(IF($F308&lt;=O$9,MIN($I308/$J308,$I308-SUM($K308:N308)),0),0)</f>
        <v>0</v>
      </c>
      <c r="P308" s="20">
        <f>IFERROR(IF($F308&lt;=P$9,MIN($I308/$J308,$I308-SUM($K308:O308)),0),0)</f>
        <v>0</v>
      </c>
      <c r="Q308" s="20">
        <f>IFERROR(IF($F308&lt;=Q$9,MIN($I308/$J308,$I308-SUM($K308:P308)),0),0)</f>
        <v>0</v>
      </c>
      <c r="R308" s="20">
        <f>IFERROR(IF($F308&lt;=R$9,MIN($I308/$J308,$I308-SUM($K308:Q308)),0),0)</f>
        <v>0</v>
      </c>
      <c r="S308" s="20">
        <f>IFERROR(IF($F308&lt;=S$9,MIN($I308/$J308,$I308-SUM($K308:R308)),0),0)</f>
        <v>0</v>
      </c>
      <c r="T308" s="20">
        <f>IFERROR(IF($F308&lt;=T$9,MIN($I308/$J308,$I308-SUM($K308:S308)),0),0)</f>
        <v>0</v>
      </c>
      <c r="U308" s="20">
        <f>IFERROR(IF($F308&lt;=U$9,MIN($I308/$J308,$I308-SUM($K308:T308)),0),0)</f>
        <v>0</v>
      </c>
      <c r="V308" s="20">
        <f>IFERROR(IF($F308&lt;=V$9,MIN($I308/$J308,$I308-SUM($K308:U308)),0),0)</f>
        <v>0</v>
      </c>
      <c r="W308" s="20">
        <f>IFERROR(IF($F308&lt;=W$9,MIN($I308/$J308,$I308-SUM($K308:V308)),0),0)</f>
        <v>0.87235729857854449</v>
      </c>
      <c r="X308" s="20">
        <f>IFERROR(IF($F308&lt;=X$9,MIN($I308/$J308,$I308-SUM($K308:W308)),0),0)</f>
        <v>0.87235729857854449</v>
      </c>
      <c r="Y308" s="20">
        <f>IFERROR(IF($F308&lt;=Y$9,MIN($I308/$J308,$I308-SUM($K308:X308)),0),0)</f>
        <v>0.87235729857854449</v>
      </c>
      <c r="Z308" s="20">
        <f>IFERROR(IF($F308&lt;=Z$9,MIN($I308/$J308,$I308-SUM($K308:Y308)),0),0)</f>
        <v>0.87235729857854449</v>
      </c>
      <c r="AA308" s="20">
        <f>IFERROR(IF($F308&lt;=AA$9,MIN($I308/$J308,$I308-SUM($K308:Z308)),0),0)</f>
        <v>0.87235729857854449</v>
      </c>
      <c r="AB308" s="20">
        <f>IFERROR(IF($F308&lt;=AB$9,MIN($I308/$J308,$I308-SUM($K308:AA308)),0),0)</f>
        <v>0.87235729857854416</v>
      </c>
      <c r="AC308" s="20">
        <f>IFERROR(IF($F308&lt;=AC$9,MIN($I308/$J308,$I308-SUM($K308:AB308)),0),0)</f>
        <v>0</v>
      </c>
      <c r="AD308" s="20">
        <f>IFERROR(IF($F308&lt;=AD$9,MIN($I308/$J308,$I308-SUM($K308:AC308)),0),0)</f>
        <v>0</v>
      </c>
      <c r="AE308" s="20">
        <f>IFERROR(IF($F308&lt;=AE$9,MIN($I308/$J308,$I308-SUM($K308:AD308)),0),0)</f>
        <v>0</v>
      </c>
      <c r="AF308" s="20">
        <f>IFERROR(IF($F308&lt;=AF$9,MIN($I308/$J308,$I308-SUM($K308:AE308)),0),0)</f>
        <v>0</v>
      </c>
      <c r="AG308" s="20">
        <f>IFERROR(IF($F308&lt;=AG$9,MIN($I308/$J308,$I308-SUM($K308:AF308)),0),0)</f>
        <v>0</v>
      </c>
      <c r="AH308" s="20">
        <f>IFERROR(IF($F308&lt;=AH$9,MIN($I308/$J308,$I308-SUM($K308:AG308)),0),0)</f>
        <v>0</v>
      </c>
      <c r="AI308" s="20">
        <f>IFERROR(IF($F308&lt;=AI$9,MIN($I308/$J308,$I308-SUM($K308:AH308)),0),0)</f>
        <v>0</v>
      </c>
      <c r="AJ308" s="20">
        <f>IFERROR(IF($F308&lt;=AJ$9,MIN($I308/$J308,$I308-SUM($K308:AI308)),0),0)</f>
        <v>0</v>
      </c>
      <c r="AK308" s="20">
        <f>IFERROR(IF($F308&lt;=AK$9,MIN($I308/$J308,$I308-SUM($K308:AJ308)),0),0)</f>
        <v>0</v>
      </c>
      <c r="AL308" s="20">
        <f>IFERROR(IF($F308&lt;=AL$9,MIN($I308/$J308,$I308-SUM($K308:AK308)),0),0)</f>
        <v>0</v>
      </c>
      <c r="AM308" s="20">
        <f>IFERROR(IF($F308&lt;=AM$9,MIN($I308/$J308,$I308-SUM($K308:AL308)),0),0)</f>
        <v>0</v>
      </c>
      <c r="AN308" s="20">
        <f>IFERROR(IF($F308&lt;=AN$9,MIN($I308/$J308,$I308-SUM($K308:AM308)),0),0)</f>
        <v>0</v>
      </c>
      <c r="AO308" s="28"/>
    </row>
    <row r="309" spans="6:41" ht="14.4" customHeight="1" outlineLevel="1" x14ac:dyDescent="0.3">
      <c r="F309" s="69">
        <v>2036</v>
      </c>
      <c r="H309" s="26" t="s">
        <v>245</v>
      </c>
      <c r="I309" s="128">
        <v>0</v>
      </c>
      <c r="J309" s="139">
        <v>0</v>
      </c>
      <c r="K309" s="89">
        <v>0</v>
      </c>
      <c r="L309" s="20">
        <f>IFERROR(IF($F309&lt;=L$9,MIN($I309/$J309,$I309-SUM($K309:K309)),0),0)</f>
        <v>0</v>
      </c>
      <c r="M309" s="20">
        <f>IFERROR(IF($F309&lt;=M$9,MIN($I309/$J309,$I309-SUM($K309:L309)),0),0)</f>
        <v>0</v>
      </c>
      <c r="N309" s="20">
        <f>IFERROR(IF($F309&lt;=N$9,MIN($I309/$J309,$I309-SUM($K309:M309)),0),0)</f>
        <v>0</v>
      </c>
      <c r="O309" s="20">
        <f>IFERROR(IF($F309&lt;=O$9,MIN($I309/$J309,$I309-SUM($K309:N309)),0),0)</f>
        <v>0</v>
      </c>
      <c r="P309" s="20">
        <f>IFERROR(IF($F309&lt;=P$9,MIN($I309/$J309,$I309-SUM($K309:O309)),0),0)</f>
        <v>0</v>
      </c>
      <c r="Q309" s="20">
        <f>IFERROR(IF($F309&lt;=Q$9,MIN($I309/$J309,$I309-SUM($K309:P309)),0),0)</f>
        <v>0</v>
      </c>
      <c r="R309" s="20">
        <f>IFERROR(IF($F309&lt;=R$9,MIN($I309/$J309,$I309-SUM($K309:Q309)),0),0)</f>
        <v>0</v>
      </c>
      <c r="S309" s="20">
        <f>IFERROR(IF($F309&lt;=S$9,MIN($I309/$J309,$I309-SUM($K309:R309)),0),0)</f>
        <v>0</v>
      </c>
      <c r="T309" s="20">
        <f>IFERROR(IF($F309&lt;=T$9,MIN($I309/$J309,$I309-SUM($K309:S309)),0),0)</f>
        <v>0</v>
      </c>
      <c r="U309" s="20">
        <f>IFERROR(IF($F309&lt;=U$9,MIN($I309/$J309,$I309-SUM($K309:T309)),0),0)</f>
        <v>0</v>
      </c>
      <c r="V309" s="20">
        <f>IFERROR(IF($F309&lt;=V$9,MIN($I309/$J309,$I309-SUM($K309:U309)),0),0)</f>
        <v>0</v>
      </c>
      <c r="W309" s="20">
        <f>IFERROR(IF($F309&lt;=W$9,MIN($I309/$J309,$I309-SUM($K309:V309)),0),0)</f>
        <v>0</v>
      </c>
      <c r="X309" s="20">
        <f>IFERROR(IF($F309&lt;=X$9,MIN($I309/$J309,$I309-SUM($K309:W309)),0),0)</f>
        <v>0</v>
      </c>
      <c r="Y309" s="20">
        <f>IFERROR(IF($F309&lt;=Y$9,MIN($I309/$J309,$I309-SUM($K309:X309)),0),0)</f>
        <v>0</v>
      </c>
      <c r="Z309" s="20">
        <f>IFERROR(IF($F309&lt;=Z$9,MIN($I309/$J309,$I309-SUM($K309:Y309)),0),0)</f>
        <v>0</v>
      </c>
      <c r="AA309" s="20">
        <f>IFERROR(IF($F309&lt;=AA$9,MIN($I309/$J309,$I309-SUM($K309:Z309)),0),0)</f>
        <v>0</v>
      </c>
      <c r="AB309" s="20">
        <f>IFERROR(IF($F309&lt;=AB$9,MIN($I309/$J309,$I309-SUM($K309:AA309)),0),0)</f>
        <v>0</v>
      </c>
      <c r="AC309" s="20">
        <f>IFERROR(IF($F309&lt;=AC$9,MIN($I309/$J309,$I309-SUM($K309:AB309)),0),0)</f>
        <v>0</v>
      </c>
      <c r="AD309" s="20">
        <f>IFERROR(IF($F309&lt;=AD$9,MIN($I309/$J309,$I309-SUM($K309:AC309)),0),0)</f>
        <v>0</v>
      </c>
      <c r="AE309" s="20">
        <f>IFERROR(IF($F309&lt;=AE$9,MIN($I309/$J309,$I309-SUM($K309:AD309)),0),0)</f>
        <v>0</v>
      </c>
      <c r="AF309" s="20">
        <f>IFERROR(IF($F309&lt;=AF$9,MIN($I309/$J309,$I309-SUM($K309:AE309)),0),0)</f>
        <v>0</v>
      </c>
      <c r="AG309" s="20">
        <f>IFERROR(IF($F309&lt;=AG$9,MIN($I309/$J309,$I309-SUM($K309:AF309)),0),0)</f>
        <v>0</v>
      </c>
      <c r="AH309" s="20">
        <f>IFERROR(IF($F309&lt;=AH$9,MIN($I309/$J309,$I309-SUM($K309:AG309)),0),0)</f>
        <v>0</v>
      </c>
      <c r="AI309" s="20">
        <f>IFERROR(IF($F309&lt;=AI$9,MIN($I309/$J309,$I309-SUM($K309:AH309)),0),0)</f>
        <v>0</v>
      </c>
      <c r="AJ309" s="20">
        <f>IFERROR(IF($F309&lt;=AJ$9,MIN($I309/$J309,$I309-SUM($K309:AI309)),0),0)</f>
        <v>0</v>
      </c>
      <c r="AK309" s="20">
        <f>IFERROR(IF($F309&lt;=AK$9,MIN($I309/$J309,$I309-SUM($K309:AJ309)),0),0)</f>
        <v>0</v>
      </c>
      <c r="AL309" s="20">
        <f>IFERROR(IF($F309&lt;=AL$9,MIN($I309/$J309,$I309-SUM($K309:AK309)),0),0)</f>
        <v>0</v>
      </c>
      <c r="AM309" s="20">
        <f>IFERROR(IF($F309&lt;=AM$9,MIN($I309/$J309,$I309-SUM($K309:AL309)),0),0)</f>
        <v>0</v>
      </c>
      <c r="AN309" s="20">
        <f>IFERROR(IF($F309&lt;=AN$9,MIN($I309/$J309,$I309-SUM($K309:AM309)),0),0)</f>
        <v>0</v>
      </c>
      <c r="AO309" s="28"/>
    </row>
    <row r="310" spans="6:41" ht="14.4" customHeight="1" outlineLevel="1" x14ac:dyDescent="0.3">
      <c r="F310" s="69">
        <v>2037</v>
      </c>
      <c r="H310" s="26" t="s">
        <v>245</v>
      </c>
      <c r="I310" s="128">
        <v>0</v>
      </c>
      <c r="J310" s="139">
        <v>0</v>
      </c>
      <c r="K310" s="89">
        <v>0</v>
      </c>
      <c r="L310" s="20">
        <f>IFERROR(IF($F310&lt;=L$9,MIN($I310/$J310,$I310-SUM($K310:K310)),0),0)</f>
        <v>0</v>
      </c>
      <c r="M310" s="20">
        <f>IFERROR(IF($F310&lt;=M$9,MIN($I310/$J310,$I310-SUM($K310:L310)),0),0)</f>
        <v>0</v>
      </c>
      <c r="N310" s="20">
        <f>IFERROR(IF($F310&lt;=N$9,MIN($I310/$J310,$I310-SUM($K310:M310)),0),0)</f>
        <v>0</v>
      </c>
      <c r="O310" s="20">
        <f>IFERROR(IF($F310&lt;=O$9,MIN($I310/$J310,$I310-SUM($K310:N310)),0),0)</f>
        <v>0</v>
      </c>
      <c r="P310" s="20">
        <f>IFERROR(IF($F310&lt;=P$9,MIN($I310/$J310,$I310-SUM($K310:O310)),0),0)</f>
        <v>0</v>
      </c>
      <c r="Q310" s="20">
        <f>IFERROR(IF($F310&lt;=Q$9,MIN($I310/$J310,$I310-SUM($K310:P310)),0),0)</f>
        <v>0</v>
      </c>
      <c r="R310" s="20">
        <f>IFERROR(IF($F310&lt;=R$9,MIN($I310/$J310,$I310-SUM($K310:Q310)),0),0)</f>
        <v>0</v>
      </c>
      <c r="S310" s="20">
        <f>IFERROR(IF($F310&lt;=S$9,MIN($I310/$J310,$I310-SUM($K310:R310)),0),0)</f>
        <v>0</v>
      </c>
      <c r="T310" s="20">
        <f>IFERROR(IF($F310&lt;=T$9,MIN($I310/$J310,$I310-SUM($K310:S310)),0),0)</f>
        <v>0</v>
      </c>
      <c r="U310" s="20">
        <f>IFERROR(IF($F310&lt;=U$9,MIN($I310/$J310,$I310-SUM($K310:T310)),0),0)</f>
        <v>0</v>
      </c>
      <c r="V310" s="20">
        <f>IFERROR(IF($F310&lt;=V$9,MIN($I310/$J310,$I310-SUM($K310:U310)),0),0)</f>
        <v>0</v>
      </c>
      <c r="W310" s="20">
        <f>IFERROR(IF($F310&lt;=W$9,MIN($I310/$J310,$I310-SUM($K310:V310)),0),0)</f>
        <v>0</v>
      </c>
      <c r="X310" s="20">
        <f>IFERROR(IF($F310&lt;=X$9,MIN($I310/$J310,$I310-SUM($K310:W310)),0),0)</f>
        <v>0</v>
      </c>
      <c r="Y310" s="20">
        <f>IFERROR(IF($F310&lt;=Y$9,MIN($I310/$J310,$I310-SUM($K310:X310)),0),0)</f>
        <v>0</v>
      </c>
      <c r="Z310" s="20">
        <f>IFERROR(IF($F310&lt;=Z$9,MIN($I310/$J310,$I310-SUM($K310:Y310)),0),0)</f>
        <v>0</v>
      </c>
      <c r="AA310" s="20">
        <f>IFERROR(IF($F310&lt;=AA$9,MIN($I310/$J310,$I310-SUM($K310:Z310)),0),0)</f>
        <v>0</v>
      </c>
      <c r="AB310" s="20">
        <f>IFERROR(IF($F310&lt;=AB$9,MIN($I310/$J310,$I310-SUM($K310:AA310)),0),0)</f>
        <v>0</v>
      </c>
      <c r="AC310" s="20">
        <f>IFERROR(IF($F310&lt;=AC$9,MIN($I310/$J310,$I310-SUM($K310:AB310)),0),0)</f>
        <v>0</v>
      </c>
      <c r="AD310" s="20">
        <f>IFERROR(IF($F310&lt;=AD$9,MIN($I310/$J310,$I310-SUM($K310:AC310)),0),0)</f>
        <v>0</v>
      </c>
      <c r="AE310" s="20">
        <f>IFERROR(IF($F310&lt;=AE$9,MIN($I310/$J310,$I310-SUM($K310:AD310)),0),0)</f>
        <v>0</v>
      </c>
      <c r="AF310" s="20">
        <f>IFERROR(IF($F310&lt;=AF$9,MIN($I310/$J310,$I310-SUM($K310:AE310)),0),0)</f>
        <v>0</v>
      </c>
      <c r="AG310" s="20">
        <f>IFERROR(IF($F310&lt;=AG$9,MIN($I310/$J310,$I310-SUM($K310:AF310)),0),0)</f>
        <v>0</v>
      </c>
      <c r="AH310" s="20">
        <f>IFERROR(IF($F310&lt;=AH$9,MIN($I310/$J310,$I310-SUM($K310:AG310)),0),0)</f>
        <v>0</v>
      </c>
      <c r="AI310" s="20">
        <f>IFERROR(IF($F310&lt;=AI$9,MIN($I310/$J310,$I310-SUM($K310:AH310)),0),0)</f>
        <v>0</v>
      </c>
      <c r="AJ310" s="20">
        <f>IFERROR(IF($F310&lt;=AJ$9,MIN($I310/$J310,$I310-SUM($K310:AI310)),0),0)</f>
        <v>0</v>
      </c>
      <c r="AK310" s="20">
        <f>IFERROR(IF($F310&lt;=AK$9,MIN($I310/$J310,$I310-SUM($K310:AJ310)),0),0)</f>
        <v>0</v>
      </c>
      <c r="AL310" s="20">
        <f>IFERROR(IF($F310&lt;=AL$9,MIN($I310/$J310,$I310-SUM($K310:AK310)),0),0)</f>
        <v>0</v>
      </c>
      <c r="AM310" s="20">
        <f>IFERROR(IF($F310&lt;=AM$9,MIN($I310/$J310,$I310-SUM($K310:AL310)),0),0)</f>
        <v>0</v>
      </c>
      <c r="AN310" s="20">
        <f>IFERROR(IF($F310&lt;=AN$9,MIN($I310/$J310,$I310-SUM($K310:AM310)),0),0)</f>
        <v>0</v>
      </c>
      <c r="AO310" s="28"/>
    </row>
    <row r="311" spans="6:41" ht="14.4" customHeight="1" outlineLevel="1" x14ac:dyDescent="0.3">
      <c r="F311" s="69">
        <v>2038</v>
      </c>
      <c r="H311" s="26" t="s">
        <v>245</v>
      </c>
      <c r="I311" s="128">
        <v>0</v>
      </c>
      <c r="J311" s="139">
        <v>0</v>
      </c>
      <c r="K311" s="89">
        <v>0</v>
      </c>
      <c r="L311" s="20">
        <f>IFERROR(IF($F311&lt;=L$9,MIN($I311/$J311,$I311-SUM($K311:K311)),0),0)</f>
        <v>0</v>
      </c>
      <c r="M311" s="20">
        <f>IFERROR(IF($F311&lt;=M$9,MIN($I311/$J311,$I311-SUM($K311:L311)),0),0)</f>
        <v>0</v>
      </c>
      <c r="N311" s="20">
        <f>IFERROR(IF($F311&lt;=N$9,MIN($I311/$J311,$I311-SUM($K311:M311)),0),0)</f>
        <v>0</v>
      </c>
      <c r="O311" s="20">
        <f>IFERROR(IF($F311&lt;=O$9,MIN($I311/$J311,$I311-SUM($K311:N311)),0),0)</f>
        <v>0</v>
      </c>
      <c r="P311" s="20">
        <f>IFERROR(IF($F311&lt;=P$9,MIN($I311/$J311,$I311-SUM($K311:O311)),0),0)</f>
        <v>0</v>
      </c>
      <c r="Q311" s="20">
        <f>IFERROR(IF($F311&lt;=Q$9,MIN($I311/$J311,$I311-SUM($K311:P311)),0),0)</f>
        <v>0</v>
      </c>
      <c r="R311" s="20">
        <f>IFERROR(IF($F311&lt;=R$9,MIN($I311/$J311,$I311-SUM($K311:Q311)),0),0)</f>
        <v>0</v>
      </c>
      <c r="S311" s="20">
        <f>IFERROR(IF($F311&lt;=S$9,MIN($I311/$J311,$I311-SUM($K311:R311)),0),0)</f>
        <v>0</v>
      </c>
      <c r="T311" s="20">
        <f>IFERROR(IF($F311&lt;=T$9,MIN($I311/$J311,$I311-SUM($K311:S311)),0),0)</f>
        <v>0</v>
      </c>
      <c r="U311" s="20">
        <f>IFERROR(IF($F311&lt;=U$9,MIN($I311/$J311,$I311-SUM($K311:T311)),0),0)</f>
        <v>0</v>
      </c>
      <c r="V311" s="20">
        <f>IFERROR(IF($F311&lt;=V$9,MIN($I311/$J311,$I311-SUM($K311:U311)),0),0)</f>
        <v>0</v>
      </c>
      <c r="W311" s="20">
        <f>IFERROR(IF($F311&lt;=W$9,MIN($I311/$J311,$I311-SUM($K311:V311)),0),0)</f>
        <v>0</v>
      </c>
      <c r="X311" s="20">
        <f>IFERROR(IF($F311&lt;=X$9,MIN($I311/$J311,$I311-SUM($K311:W311)),0),0)</f>
        <v>0</v>
      </c>
      <c r="Y311" s="20">
        <f>IFERROR(IF($F311&lt;=Y$9,MIN($I311/$J311,$I311-SUM($K311:X311)),0),0)</f>
        <v>0</v>
      </c>
      <c r="Z311" s="20">
        <f>IFERROR(IF($F311&lt;=Z$9,MIN($I311/$J311,$I311-SUM($K311:Y311)),0),0)</f>
        <v>0</v>
      </c>
      <c r="AA311" s="20">
        <f>IFERROR(IF($F311&lt;=AA$9,MIN($I311/$J311,$I311-SUM($K311:Z311)),0),0)</f>
        <v>0</v>
      </c>
      <c r="AB311" s="20">
        <f>IFERROR(IF($F311&lt;=AB$9,MIN($I311/$J311,$I311-SUM($K311:AA311)),0),0)</f>
        <v>0</v>
      </c>
      <c r="AC311" s="20">
        <f>IFERROR(IF($F311&lt;=AC$9,MIN($I311/$J311,$I311-SUM($K311:AB311)),0),0)</f>
        <v>0</v>
      </c>
      <c r="AD311" s="20">
        <f>IFERROR(IF($F311&lt;=AD$9,MIN($I311/$J311,$I311-SUM($K311:AC311)),0),0)</f>
        <v>0</v>
      </c>
      <c r="AE311" s="20">
        <f>IFERROR(IF($F311&lt;=AE$9,MIN($I311/$J311,$I311-SUM($K311:AD311)),0),0)</f>
        <v>0</v>
      </c>
      <c r="AF311" s="20">
        <f>IFERROR(IF($F311&lt;=AF$9,MIN($I311/$J311,$I311-SUM($K311:AE311)),0),0)</f>
        <v>0</v>
      </c>
      <c r="AG311" s="20">
        <f>IFERROR(IF($F311&lt;=AG$9,MIN($I311/$J311,$I311-SUM($K311:AF311)),0),0)</f>
        <v>0</v>
      </c>
      <c r="AH311" s="20">
        <f>IFERROR(IF($F311&lt;=AH$9,MIN($I311/$J311,$I311-SUM($K311:AG311)),0),0)</f>
        <v>0</v>
      </c>
      <c r="AI311" s="20">
        <f>IFERROR(IF($F311&lt;=AI$9,MIN($I311/$J311,$I311-SUM($K311:AH311)),0),0)</f>
        <v>0</v>
      </c>
      <c r="AJ311" s="20">
        <f>IFERROR(IF($F311&lt;=AJ$9,MIN($I311/$J311,$I311-SUM($K311:AI311)),0),0)</f>
        <v>0</v>
      </c>
      <c r="AK311" s="20">
        <f>IFERROR(IF($F311&lt;=AK$9,MIN($I311/$J311,$I311-SUM($K311:AJ311)),0),0)</f>
        <v>0</v>
      </c>
      <c r="AL311" s="20">
        <f>IFERROR(IF($F311&lt;=AL$9,MIN($I311/$J311,$I311-SUM($K311:AK311)),0),0)</f>
        <v>0</v>
      </c>
      <c r="AM311" s="20">
        <f>IFERROR(IF($F311&lt;=AM$9,MIN($I311/$J311,$I311-SUM($K311:AL311)),0),0)</f>
        <v>0</v>
      </c>
      <c r="AN311" s="20">
        <f>IFERROR(IF($F311&lt;=AN$9,MIN($I311/$J311,$I311-SUM($K311:AM311)),0),0)</f>
        <v>0</v>
      </c>
      <c r="AO311" s="28"/>
    </row>
    <row r="312" spans="6:41" ht="14.4" customHeight="1" outlineLevel="1" x14ac:dyDescent="0.3">
      <c r="F312" s="69">
        <v>2039</v>
      </c>
      <c r="H312" s="26" t="s">
        <v>245</v>
      </c>
      <c r="I312" s="128">
        <v>0</v>
      </c>
      <c r="J312" s="139">
        <v>0</v>
      </c>
      <c r="K312" s="89">
        <v>0</v>
      </c>
      <c r="L312" s="20">
        <f>IFERROR(IF($F312&lt;=L$9,MIN($I312/$J312,$I312-SUM($K312:K312)),0),0)</f>
        <v>0</v>
      </c>
      <c r="M312" s="20">
        <f>IFERROR(IF($F312&lt;=M$9,MIN($I312/$J312,$I312-SUM($K312:L312)),0),0)</f>
        <v>0</v>
      </c>
      <c r="N312" s="20">
        <f>IFERROR(IF($F312&lt;=N$9,MIN($I312/$J312,$I312-SUM($K312:M312)),0),0)</f>
        <v>0</v>
      </c>
      <c r="O312" s="20">
        <f>IFERROR(IF($F312&lt;=O$9,MIN($I312/$J312,$I312-SUM($K312:N312)),0),0)</f>
        <v>0</v>
      </c>
      <c r="P312" s="20">
        <f>IFERROR(IF($F312&lt;=P$9,MIN($I312/$J312,$I312-SUM($K312:O312)),0),0)</f>
        <v>0</v>
      </c>
      <c r="Q312" s="20">
        <f>IFERROR(IF($F312&lt;=Q$9,MIN($I312/$J312,$I312-SUM($K312:P312)),0),0)</f>
        <v>0</v>
      </c>
      <c r="R312" s="20">
        <f>IFERROR(IF($F312&lt;=R$9,MIN($I312/$J312,$I312-SUM($K312:Q312)),0),0)</f>
        <v>0</v>
      </c>
      <c r="S312" s="20">
        <f>IFERROR(IF($F312&lt;=S$9,MIN($I312/$J312,$I312-SUM($K312:R312)),0),0)</f>
        <v>0</v>
      </c>
      <c r="T312" s="20">
        <f>IFERROR(IF($F312&lt;=T$9,MIN($I312/$J312,$I312-SUM($K312:S312)),0),0)</f>
        <v>0</v>
      </c>
      <c r="U312" s="20">
        <f>IFERROR(IF($F312&lt;=U$9,MIN($I312/$J312,$I312-SUM($K312:T312)),0),0)</f>
        <v>0</v>
      </c>
      <c r="V312" s="20">
        <f>IFERROR(IF($F312&lt;=V$9,MIN($I312/$J312,$I312-SUM($K312:U312)),0),0)</f>
        <v>0</v>
      </c>
      <c r="W312" s="20">
        <f>IFERROR(IF($F312&lt;=W$9,MIN($I312/$J312,$I312-SUM($K312:V312)),0),0)</f>
        <v>0</v>
      </c>
      <c r="X312" s="20">
        <f>IFERROR(IF($F312&lt;=X$9,MIN($I312/$J312,$I312-SUM($K312:W312)),0),0)</f>
        <v>0</v>
      </c>
      <c r="Y312" s="20">
        <f>IFERROR(IF($F312&lt;=Y$9,MIN($I312/$J312,$I312-SUM($K312:X312)),0),0)</f>
        <v>0</v>
      </c>
      <c r="Z312" s="20">
        <f>IFERROR(IF($F312&lt;=Z$9,MIN($I312/$J312,$I312-SUM($K312:Y312)),0),0)</f>
        <v>0</v>
      </c>
      <c r="AA312" s="20">
        <f>IFERROR(IF($F312&lt;=AA$9,MIN($I312/$J312,$I312-SUM($K312:Z312)),0),0)</f>
        <v>0</v>
      </c>
      <c r="AB312" s="20">
        <f>IFERROR(IF($F312&lt;=AB$9,MIN($I312/$J312,$I312-SUM($K312:AA312)),0),0)</f>
        <v>0</v>
      </c>
      <c r="AC312" s="20">
        <f>IFERROR(IF($F312&lt;=AC$9,MIN($I312/$J312,$I312-SUM($K312:AB312)),0),0)</f>
        <v>0</v>
      </c>
      <c r="AD312" s="20">
        <f>IFERROR(IF($F312&lt;=AD$9,MIN($I312/$J312,$I312-SUM($K312:AC312)),0),0)</f>
        <v>0</v>
      </c>
      <c r="AE312" s="20">
        <f>IFERROR(IF($F312&lt;=AE$9,MIN($I312/$J312,$I312-SUM($K312:AD312)),0),0)</f>
        <v>0</v>
      </c>
      <c r="AF312" s="20">
        <f>IFERROR(IF($F312&lt;=AF$9,MIN($I312/$J312,$I312-SUM($K312:AE312)),0),0)</f>
        <v>0</v>
      </c>
      <c r="AG312" s="20">
        <f>IFERROR(IF($F312&lt;=AG$9,MIN($I312/$J312,$I312-SUM($K312:AF312)),0),0)</f>
        <v>0</v>
      </c>
      <c r="AH312" s="20">
        <f>IFERROR(IF($F312&lt;=AH$9,MIN($I312/$J312,$I312-SUM($K312:AG312)),0),0)</f>
        <v>0</v>
      </c>
      <c r="AI312" s="20">
        <f>IFERROR(IF($F312&lt;=AI$9,MIN($I312/$J312,$I312-SUM($K312:AH312)),0),0)</f>
        <v>0</v>
      </c>
      <c r="AJ312" s="20">
        <f>IFERROR(IF($F312&lt;=AJ$9,MIN($I312/$J312,$I312-SUM($K312:AI312)),0),0)</f>
        <v>0</v>
      </c>
      <c r="AK312" s="20">
        <f>IFERROR(IF($F312&lt;=AK$9,MIN($I312/$J312,$I312-SUM($K312:AJ312)),0),0)</f>
        <v>0</v>
      </c>
      <c r="AL312" s="20">
        <f>IFERROR(IF($F312&lt;=AL$9,MIN($I312/$J312,$I312-SUM($K312:AK312)),0),0)</f>
        <v>0</v>
      </c>
      <c r="AM312" s="20">
        <f>IFERROR(IF($F312&lt;=AM$9,MIN($I312/$J312,$I312-SUM($K312:AL312)),0),0)</f>
        <v>0</v>
      </c>
      <c r="AN312" s="20">
        <f>IFERROR(IF($F312&lt;=AN$9,MIN($I312/$J312,$I312-SUM($K312:AM312)),0),0)</f>
        <v>0</v>
      </c>
      <c r="AO312" s="28"/>
    </row>
    <row r="313" spans="6:41" ht="14.4" customHeight="1" outlineLevel="1" x14ac:dyDescent="0.3">
      <c r="F313" s="69">
        <v>2040</v>
      </c>
      <c r="H313" s="26" t="s">
        <v>245</v>
      </c>
      <c r="I313" s="128">
        <v>0</v>
      </c>
      <c r="J313" s="139">
        <v>0</v>
      </c>
      <c r="K313" s="89">
        <v>0</v>
      </c>
      <c r="L313" s="20">
        <f>IFERROR(IF($F313&lt;=L$9,MIN($I313/$J313,$I313-SUM($K313:K313)),0),0)</f>
        <v>0</v>
      </c>
      <c r="M313" s="20">
        <f>IFERROR(IF($F313&lt;=M$9,MIN($I313/$J313,$I313-SUM($K313:L313)),0),0)</f>
        <v>0</v>
      </c>
      <c r="N313" s="20">
        <f>IFERROR(IF($F313&lt;=N$9,MIN($I313/$J313,$I313-SUM($K313:M313)),0),0)</f>
        <v>0</v>
      </c>
      <c r="O313" s="20">
        <f>IFERROR(IF($F313&lt;=O$9,MIN($I313/$J313,$I313-SUM($K313:N313)),0),0)</f>
        <v>0</v>
      </c>
      <c r="P313" s="20">
        <f>IFERROR(IF($F313&lt;=P$9,MIN($I313/$J313,$I313-SUM($K313:O313)),0),0)</f>
        <v>0</v>
      </c>
      <c r="Q313" s="20">
        <f>IFERROR(IF($F313&lt;=Q$9,MIN($I313/$J313,$I313-SUM($K313:P313)),0),0)</f>
        <v>0</v>
      </c>
      <c r="R313" s="20">
        <f>IFERROR(IF($F313&lt;=R$9,MIN($I313/$J313,$I313-SUM($K313:Q313)),0),0)</f>
        <v>0</v>
      </c>
      <c r="S313" s="20">
        <f>IFERROR(IF($F313&lt;=S$9,MIN($I313/$J313,$I313-SUM($K313:R313)),0),0)</f>
        <v>0</v>
      </c>
      <c r="T313" s="20">
        <f>IFERROR(IF($F313&lt;=T$9,MIN($I313/$J313,$I313-SUM($K313:S313)),0),0)</f>
        <v>0</v>
      </c>
      <c r="U313" s="20">
        <f>IFERROR(IF($F313&lt;=U$9,MIN($I313/$J313,$I313-SUM($K313:T313)),0),0)</f>
        <v>0</v>
      </c>
      <c r="V313" s="20">
        <f>IFERROR(IF($F313&lt;=V$9,MIN($I313/$J313,$I313-SUM($K313:U313)),0),0)</f>
        <v>0</v>
      </c>
      <c r="W313" s="20">
        <f>IFERROR(IF($F313&lt;=W$9,MIN($I313/$J313,$I313-SUM($K313:V313)),0),0)</f>
        <v>0</v>
      </c>
      <c r="X313" s="20">
        <f>IFERROR(IF($F313&lt;=X$9,MIN($I313/$J313,$I313-SUM($K313:W313)),0),0)</f>
        <v>0</v>
      </c>
      <c r="Y313" s="20">
        <f>IFERROR(IF($F313&lt;=Y$9,MIN($I313/$J313,$I313-SUM($K313:X313)),0),0)</f>
        <v>0</v>
      </c>
      <c r="Z313" s="20">
        <f>IFERROR(IF($F313&lt;=Z$9,MIN($I313/$J313,$I313-SUM($K313:Y313)),0),0)</f>
        <v>0</v>
      </c>
      <c r="AA313" s="20">
        <f>IFERROR(IF($F313&lt;=AA$9,MIN($I313/$J313,$I313-SUM($K313:Z313)),0),0)</f>
        <v>0</v>
      </c>
      <c r="AB313" s="20">
        <f>IFERROR(IF($F313&lt;=AB$9,MIN($I313/$J313,$I313-SUM($K313:AA313)),0),0)</f>
        <v>0</v>
      </c>
      <c r="AC313" s="20">
        <f>IFERROR(IF($F313&lt;=AC$9,MIN($I313/$J313,$I313-SUM($K313:AB313)),0),0)</f>
        <v>0</v>
      </c>
      <c r="AD313" s="20">
        <f>IFERROR(IF($F313&lt;=AD$9,MIN($I313/$J313,$I313-SUM($K313:AC313)),0),0)</f>
        <v>0</v>
      </c>
      <c r="AE313" s="20">
        <f>IFERROR(IF($F313&lt;=AE$9,MIN($I313/$J313,$I313-SUM($K313:AD313)),0),0)</f>
        <v>0</v>
      </c>
      <c r="AF313" s="20">
        <f>IFERROR(IF($F313&lt;=AF$9,MIN($I313/$J313,$I313-SUM($K313:AE313)),0),0)</f>
        <v>0</v>
      </c>
      <c r="AG313" s="20">
        <f>IFERROR(IF($F313&lt;=AG$9,MIN($I313/$J313,$I313-SUM($K313:AF313)),0),0)</f>
        <v>0</v>
      </c>
      <c r="AH313" s="20">
        <f>IFERROR(IF($F313&lt;=AH$9,MIN($I313/$J313,$I313-SUM($K313:AG313)),0),0)</f>
        <v>0</v>
      </c>
      <c r="AI313" s="20">
        <f>IFERROR(IF($F313&lt;=AI$9,MIN($I313/$J313,$I313-SUM($K313:AH313)),0),0)</f>
        <v>0</v>
      </c>
      <c r="AJ313" s="20">
        <f>IFERROR(IF($F313&lt;=AJ$9,MIN($I313/$J313,$I313-SUM($K313:AI313)),0),0)</f>
        <v>0</v>
      </c>
      <c r="AK313" s="20">
        <f>IFERROR(IF($F313&lt;=AK$9,MIN($I313/$J313,$I313-SUM($K313:AJ313)),0),0)</f>
        <v>0</v>
      </c>
      <c r="AL313" s="20">
        <f>IFERROR(IF($F313&lt;=AL$9,MIN($I313/$J313,$I313-SUM($K313:AK313)),0),0)</f>
        <v>0</v>
      </c>
      <c r="AM313" s="20">
        <f>IFERROR(IF($F313&lt;=AM$9,MIN($I313/$J313,$I313-SUM($K313:AL313)),0),0)</f>
        <v>0</v>
      </c>
      <c r="AN313" s="20">
        <f>IFERROR(IF($F313&lt;=AN$9,MIN($I313/$J313,$I313-SUM($K313:AM313)),0),0)</f>
        <v>0</v>
      </c>
      <c r="AO313" s="28"/>
    </row>
    <row r="314" spans="6:41" ht="14.4" customHeight="1" outlineLevel="1" x14ac:dyDescent="0.3">
      <c r="F314" s="69">
        <v>2041</v>
      </c>
      <c r="H314" s="26" t="s">
        <v>245</v>
      </c>
      <c r="I314" s="128">
        <v>0</v>
      </c>
      <c r="J314" s="139">
        <v>0</v>
      </c>
      <c r="K314" s="89">
        <v>0</v>
      </c>
      <c r="L314" s="20">
        <f>IFERROR(IF($F314&lt;=L$9,MIN($I314/$J314,$I314-SUM($K314:K314)),0),0)</f>
        <v>0</v>
      </c>
      <c r="M314" s="20">
        <f>IFERROR(IF($F314&lt;=M$9,MIN($I314/$J314,$I314-SUM($K314:L314)),0),0)</f>
        <v>0</v>
      </c>
      <c r="N314" s="20">
        <f>IFERROR(IF($F314&lt;=N$9,MIN($I314/$J314,$I314-SUM($K314:M314)),0),0)</f>
        <v>0</v>
      </c>
      <c r="O314" s="20">
        <f>IFERROR(IF($F314&lt;=O$9,MIN($I314/$J314,$I314-SUM($K314:N314)),0),0)</f>
        <v>0</v>
      </c>
      <c r="P314" s="20">
        <f>IFERROR(IF($F314&lt;=P$9,MIN($I314/$J314,$I314-SUM($K314:O314)),0),0)</f>
        <v>0</v>
      </c>
      <c r="Q314" s="20">
        <f>IFERROR(IF($F314&lt;=Q$9,MIN($I314/$J314,$I314-SUM($K314:P314)),0),0)</f>
        <v>0</v>
      </c>
      <c r="R314" s="20">
        <f>IFERROR(IF($F314&lt;=R$9,MIN($I314/$J314,$I314-SUM($K314:Q314)),0),0)</f>
        <v>0</v>
      </c>
      <c r="S314" s="20">
        <f>IFERROR(IF($F314&lt;=S$9,MIN($I314/$J314,$I314-SUM($K314:R314)),0),0)</f>
        <v>0</v>
      </c>
      <c r="T314" s="20">
        <f>IFERROR(IF($F314&lt;=T$9,MIN($I314/$J314,$I314-SUM($K314:S314)),0),0)</f>
        <v>0</v>
      </c>
      <c r="U314" s="20">
        <f>IFERROR(IF($F314&lt;=U$9,MIN($I314/$J314,$I314-SUM($K314:T314)),0),0)</f>
        <v>0</v>
      </c>
      <c r="V314" s="20">
        <f>IFERROR(IF($F314&lt;=V$9,MIN($I314/$J314,$I314-SUM($K314:U314)),0),0)</f>
        <v>0</v>
      </c>
      <c r="W314" s="20">
        <f>IFERROR(IF($F314&lt;=W$9,MIN($I314/$J314,$I314-SUM($K314:V314)),0),0)</f>
        <v>0</v>
      </c>
      <c r="X314" s="20">
        <f>IFERROR(IF($F314&lt;=X$9,MIN($I314/$J314,$I314-SUM($K314:W314)),0),0)</f>
        <v>0</v>
      </c>
      <c r="Y314" s="20">
        <f>IFERROR(IF($F314&lt;=Y$9,MIN($I314/$J314,$I314-SUM($K314:X314)),0),0)</f>
        <v>0</v>
      </c>
      <c r="Z314" s="20">
        <f>IFERROR(IF($F314&lt;=Z$9,MIN($I314/$J314,$I314-SUM($K314:Y314)),0),0)</f>
        <v>0</v>
      </c>
      <c r="AA314" s="20">
        <f>IFERROR(IF($F314&lt;=AA$9,MIN($I314/$J314,$I314-SUM($K314:Z314)),0),0)</f>
        <v>0</v>
      </c>
      <c r="AB314" s="20">
        <f>IFERROR(IF($F314&lt;=AB$9,MIN($I314/$J314,$I314-SUM($K314:AA314)),0),0)</f>
        <v>0</v>
      </c>
      <c r="AC314" s="20">
        <f>IFERROR(IF($F314&lt;=AC$9,MIN($I314/$J314,$I314-SUM($K314:AB314)),0),0)</f>
        <v>0</v>
      </c>
      <c r="AD314" s="20">
        <f>IFERROR(IF($F314&lt;=AD$9,MIN($I314/$J314,$I314-SUM($K314:AC314)),0),0)</f>
        <v>0</v>
      </c>
      <c r="AE314" s="20">
        <f>IFERROR(IF($F314&lt;=AE$9,MIN($I314/$J314,$I314-SUM($K314:AD314)),0),0)</f>
        <v>0</v>
      </c>
      <c r="AF314" s="20">
        <f>IFERROR(IF($F314&lt;=AF$9,MIN($I314/$J314,$I314-SUM($K314:AE314)),0),0)</f>
        <v>0</v>
      </c>
      <c r="AG314" s="20">
        <f>IFERROR(IF($F314&lt;=AG$9,MIN($I314/$J314,$I314-SUM($K314:AF314)),0),0)</f>
        <v>0</v>
      </c>
      <c r="AH314" s="20">
        <f>IFERROR(IF($F314&lt;=AH$9,MIN($I314/$J314,$I314-SUM($K314:AG314)),0),0)</f>
        <v>0</v>
      </c>
      <c r="AI314" s="20">
        <f>IFERROR(IF($F314&lt;=AI$9,MIN($I314/$J314,$I314-SUM($K314:AH314)),0),0)</f>
        <v>0</v>
      </c>
      <c r="AJ314" s="20">
        <f>IFERROR(IF($F314&lt;=AJ$9,MIN($I314/$J314,$I314-SUM($K314:AI314)),0),0)</f>
        <v>0</v>
      </c>
      <c r="AK314" s="20">
        <f>IFERROR(IF($F314&lt;=AK$9,MIN($I314/$J314,$I314-SUM($K314:AJ314)),0),0)</f>
        <v>0</v>
      </c>
      <c r="AL314" s="20">
        <f>IFERROR(IF($F314&lt;=AL$9,MIN($I314/$J314,$I314-SUM($K314:AK314)),0),0)</f>
        <v>0</v>
      </c>
      <c r="AM314" s="20">
        <f>IFERROR(IF($F314&lt;=AM$9,MIN($I314/$J314,$I314-SUM($K314:AL314)),0),0)</f>
        <v>0</v>
      </c>
      <c r="AN314" s="20">
        <f>IFERROR(IF($F314&lt;=AN$9,MIN($I314/$J314,$I314-SUM($K314:AM314)),0),0)</f>
        <v>0</v>
      </c>
      <c r="AO314" s="28"/>
    </row>
    <row r="315" spans="6:41" ht="14.4" customHeight="1" outlineLevel="1" x14ac:dyDescent="0.3">
      <c r="F315" s="69" t="str">
        <v/>
      </c>
      <c r="H315" s="26" t="s">
        <v>245</v>
      </c>
      <c r="I315" s="128">
        <v>0</v>
      </c>
      <c r="J315" s="139">
        <v>0</v>
      </c>
      <c r="K315" s="89">
        <v>0</v>
      </c>
      <c r="L315" s="20">
        <f>IFERROR(IF($F315&lt;=L$9,MIN($I315/$J315,$I315-SUM($K315:K315)),0),0)</f>
        <v>0</v>
      </c>
      <c r="M315" s="20">
        <f>IFERROR(IF($F315&lt;=M$9,MIN($I315/$J315,$I315-SUM($K315:L315)),0),0)</f>
        <v>0</v>
      </c>
      <c r="N315" s="20">
        <f>IFERROR(IF($F315&lt;=N$9,MIN($I315/$J315,$I315-SUM($K315:M315)),0),0)</f>
        <v>0</v>
      </c>
      <c r="O315" s="20">
        <f>IFERROR(IF($F315&lt;=O$9,MIN($I315/$J315,$I315-SUM($K315:N315)),0),0)</f>
        <v>0</v>
      </c>
      <c r="P315" s="20">
        <f>IFERROR(IF($F315&lt;=P$9,MIN($I315/$J315,$I315-SUM($K315:O315)),0),0)</f>
        <v>0</v>
      </c>
      <c r="Q315" s="20">
        <f>IFERROR(IF($F315&lt;=Q$9,MIN($I315/$J315,$I315-SUM($K315:P315)),0),0)</f>
        <v>0</v>
      </c>
      <c r="R315" s="20">
        <f>IFERROR(IF($F315&lt;=R$9,MIN($I315/$J315,$I315-SUM($K315:Q315)),0),0)</f>
        <v>0</v>
      </c>
      <c r="S315" s="20">
        <f>IFERROR(IF($F315&lt;=S$9,MIN($I315/$J315,$I315-SUM($K315:R315)),0),0)</f>
        <v>0</v>
      </c>
      <c r="T315" s="20">
        <f>IFERROR(IF($F315&lt;=T$9,MIN($I315/$J315,$I315-SUM($K315:S315)),0),0)</f>
        <v>0</v>
      </c>
      <c r="U315" s="20">
        <f>IFERROR(IF($F315&lt;=U$9,MIN($I315/$J315,$I315-SUM($K315:T315)),0),0)</f>
        <v>0</v>
      </c>
      <c r="V315" s="20">
        <f>IFERROR(IF($F315&lt;=V$9,MIN($I315/$J315,$I315-SUM($K315:U315)),0),0)</f>
        <v>0</v>
      </c>
      <c r="W315" s="20">
        <f>IFERROR(IF($F315&lt;=W$9,MIN($I315/$J315,$I315-SUM($K315:V315)),0),0)</f>
        <v>0</v>
      </c>
      <c r="X315" s="20">
        <f>IFERROR(IF($F315&lt;=X$9,MIN($I315/$J315,$I315-SUM($K315:W315)),0),0)</f>
        <v>0</v>
      </c>
      <c r="Y315" s="20">
        <f>IFERROR(IF($F315&lt;=Y$9,MIN($I315/$J315,$I315-SUM($K315:X315)),0),0)</f>
        <v>0</v>
      </c>
      <c r="Z315" s="20">
        <f>IFERROR(IF($F315&lt;=Z$9,MIN($I315/$J315,$I315-SUM($K315:Y315)),0),0)</f>
        <v>0</v>
      </c>
      <c r="AA315" s="20">
        <f>IFERROR(IF($F315&lt;=AA$9,MIN($I315/$J315,$I315-SUM($K315:Z315)),0),0)</f>
        <v>0</v>
      </c>
      <c r="AB315" s="20">
        <f>IFERROR(IF($F315&lt;=AB$9,MIN($I315/$J315,$I315-SUM($K315:AA315)),0),0)</f>
        <v>0</v>
      </c>
      <c r="AC315" s="20">
        <f>IFERROR(IF($F315&lt;=AC$9,MIN($I315/$J315,$I315-SUM($K315:AB315)),0),0)</f>
        <v>0</v>
      </c>
      <c r="AD315" s="20">
        <f>IFERROR(IF($F315&lt;=AD$9,MIN($I315/$J315,$I315-SUM($K315:AC315)),0),0)</f>
        <v>0</v>
      </c>
      <c r="AE315" s="20">
        <f>IFERROR(IF($F315&lt;=AE$9,MIN($I315/$J315,$I315-SUM($K315:AD315)),0),0)</f>
        <v>0</v>
      </c>
      <c r="AF315" s="20">
        <f>IFERROR(IF($F315&lt;=AF$9,MIN($I315/$J315,$I315-SUM($K315:AE315)),0),0)</f>
        <v>0</v>
      </c>
      <c r="AG315" s="20">
        <f>IFERROR(IF($F315&lt;=AG$9,MIN($I315/$J315,$I315-SUM($K315:AF315)),0),0)</f>
        <v>0</v>
      </c>
      <c r="AH315" s="20">
        <f>IFERROR(IF($F315&lt;=AH$9,MIN($I315/$J315,$I315-SUM($K315:AG315)),0),0)</f>
        <v>0</v>
      </c>
      <c r="AI315" s="20">
        <f>IFERROR(IF($F315&lt;=AI$9,MIN($I315/$J315,$I315-SUM($K315:AH315)),0),0)</f>
        <v>0</v>
      </c>
      <c r="AJ315" s="20">
        <f>IFERROR(IF($F315&lt;=AJ$9,MIN($I315/$J315,$I315-SUM($K315:AI315)),0),0)</f>
        <v>0</v>
      </c>
      <c r="AK315" s="20">
        <f>IFERROR(IF($F315&lt;=AK$9,MIN($I315/$J315,$I315-SUM($K315:AJ315)),0),0)</f>
        <v>0</v>
      </c>
      <c r="AL315" s="20">
        <f>IFERROR(IF($F315&lt;=AL$9,MIN($I315/$J315,$I315-SUM($K315:AK315)),0),0)</f>
        <v>0</v>
      </c>
      <c r="AM315" s="20">
        <f>IFERROR(IF($F315&lt;=AM$9,MIN($I315/$J315,$I315-SUM($K315:AL315)),0),0)</f>
        <v>0</v>
      </c>
      <c r="AN315" s="20">
        <f>IFERROR(IF($F315&lt;=AN$9,MIN($I315/$J315,$I315-SUM($K315:AM315)),0),0)</f>
        <v>0</v>
      </c>
      <c r="AO315" s="28"/>
    </row>
    <row r="316" spans="6:41" ht="14.4" customHeight="1" outlineLevel="1" x14ac:dyDescent="0.3">
      <c r="F316" s="69" t="str">
        <v/>
      </c>
      <c r="H316" s="26" t="s">
        <v>245</v>
      </c>
      <c r="I316" s="128">
        <v>0</v>
      </c>
      <c r="J316" s="139">
        <v>0</v>
      </c>
      <c r="K316" s="89">
        <v>0</v>
      </c>
      <c r="L316" s="20">
        <f>IFERROR(IF($F316&lt;=L$9,MIN($I316/$J316,$I316-SUM($K316:K316)),0),0)</f>
        <v>0</v>
      </c>
      <c r="M316" s="20">
        <f>IFERROR(IF($F316&lt;=M$9,MIN($I316/$J316,$I316-SUM($K316:L316)),0),0)</f>
        <v>0</v>
      </c>
      <c r="N316" s="20">
        <f>IFERROR(IF($F316&lt;=N$9,MIN($I316/$J316,$I316-SUM($K316:M316)),0),0)</f>
        <v>0</v>
      </c>
      <c r="O316" s="20">
        <f>IFERROR(IF($F316&lt;=O$9,MIN($I316/$J316,$I316-SUM($K316:N316)),0),0)</f>
        <v>0</v>
      </c>
      <c r="P316" s="20">
        <f>IFERROR(IF($F316&lt;=P$9,MIN($I316/$J316,$I316-SUM($K316:O316)),0),0)</f>
        <v>0</v>
      </c>
      <c r="Q316" s="20">
        <f>IFERROR(IF($F316&lt;=Q$9,MIN($I316/$J316,$I316-SUM($K316:P316)),0),0)</f>
        <v>0</v>
      </c>
      <c r="R316" s="20">
        <f>IFERROR(IF($F316&lt;=R$9,MIN($I316/$J316,$I316-SUM($K316:Q316)),0),0)</f>
        <v>0</v>
      </c>
      <c r="S316" s="20">
        <f>IFERROR(IF($F316&lt;=S$9,MIN($I316/$J316,$I316-SUM($K316:R316)),0),0)</f>
        <v>0</v>
      </c>
      <c r="T316" s="20">
        <f>IFERROR(IF($F316&lt;=T$9,MIN($I316/$J316,$I316-SUM($K316:S316)),0),0)</f>
        <v>0</v>
      </c>
      <c r="U316" s="20">
        <f>IFERROR(IF($F316&lt;=U$9,MIN($I316/$J316,$I316-SUM($K316:T316)),0),0)</f>
        <v>0</v>
      </c>
      <c r="V316" s="20">
        <f>IFERROR(IF($F316&lt;=V$9,MIN($I316/$J316,$I316-SUM($K316:U316)),0),0)</f>
        <v>0</v>
      </c>
      <c r="W316" s="20">
        <f>IFERROR(IF($F316&lt;=W$9,MIN($I316/$J316,$I316-SUM($K316:V316)),0),0)</f>
        <v>0</v>
      </c>
      <c r="X316" s="20">
        <f>IFERROR(IF($F316&lt;=X$9,MIN($I316/$J316,$I316-SUM($K316:W316)),0),0)</f>
        <v>0</v>
      </c>
      <c r="Y316" s="20">
        <f>IFERROR(IF($F316&lt;=Y$9,MIN($I316/$J316,$I316-SUM($K316:X316)),0),0)</f>
        <v>0</v>
      </c>
      <c r="Z316" s="20">
        <f>IFERROR(IF($F316&lt;=Z$9,MIN($I316/$J316,$I316-SUM($K316:Y316)),0),0)</f>
        <v>0</v>
      </c>
      <c r="AA316" s="20">
        <f>IFERROR(IF($F316&lt;=AA$9,MIN($I316/$J316,$I316-SUM($K316:Z316)),0),0)</f>
        <v>0</v>
      </c>
      <c r="AB316" s="20">
        <f>IFERROR(IF($F316&lt;=AB$9,MIN($I316/$J316,$I316-SUM($K316:AA316)),0),0)</f>
        <v>0</v>
      </c>
      <c r="AC316" s="20">
        <f>IFERROR(IF($F316&lt;=AC$9,MIN($I316/$J316,$I316-SUM($K316:AB316)),0),0)</f>
        <v>0</v>
      </c>
      <c r="AD316" s="20">
        <f>IFERROR(IF($F316&lt;=AD$9,MIN($I316/$J316,$I316-SUM($K316:AC316)),0),0)</f>
        <v>0</v>
      </c>
      <c r="AE316" s="20">
        <f>IFERROR(IF($F316&lt;=AE$9,MIN($I316/$J316,$I316-SUM($K316:AD316)),0),0)</f>
        <v>0</v>
      </c>
      <c r="AF316" s="20">
        <f>IFERROR(IF($F316&lt;=AF$9,MIN($I316/$J316,$I316-SUM($K316:AE316)),0),0)</f>
        <v>0</v>
      </c>
      <c r="AG316" s="20">
        <f>IFERROR(IF($F316&lt;=AG$9,MIN($I316/$J316,$I316-SUM($K316:AF316)),0),0)</f>
        <v>0</v>
      </c>
      <c r="AH316" s="20">
        <f>IFERROR(IF($F316&lt;=AH$9,MIN($I316/$J316,$I316-SUM($K316:AG316)),0),0)</f>
        <v>0</v>
      </c>
      <c r="AI316" s="20">
        <f>IFERROR(IF($F316&lt;=AI$9,MIN($I316/$J316,$I316-SUM($K316:AH316)),0),0)</f>
        <v>0</v>
      </c>
      <c r="AJ316" s="20">
        <f>IFERROR(IF($F316&lt;=AJ$9,MIN($I316/$J316,$I316-SUM($K316:AI316)),0),0)</f>
        <v>0</v>
      </c>
      <c r="AK316" s="20">
        <f>IFERROR(IF($F316&lt;=AK$9,MIN($I316/$J316,$I316-SUM($K316:AJ316)),0),0)</f>
        <v>0</v>
      </c>
      <c r="AL316" s="20">
        <f>IFERROR(IF($F316&lt;=AL$9,MIN($I316/$J316,$I316-SUM($K316:AK316)),0),0)</f>
        <v>0</v>
      </c>
      <c r="AM316" s="20">
        <f>IFERROR(IF($F316&lt;=AM$9,MIN($I316/$J316,$I316-SUM($K316:AL316)),0),0)</f>
        <v>0</v>
      </c>
      <c r="AN316" s="20">
        <f>IFERROR(IF($F316&lt;=AN$9,MIN($I316/$J316,$I316-SUM($K316:AM316)),0),0)</f>
        <v>0</v>
      </c>
      <c r="AO316" s="28"/>
    </row>
    <row r="317" spans="6:41" ht="14.4" customHeight="1" outlineLevel="1" x14ac:dyDescent="0.3">
      <c r="F317" s="69" t="str">
        <v/>
      </c>
      <c r="H317" s="26" t="s">
        <v>245</v>
      </c>
      <c r="I317" s="128">
        <v>0</v>
      </c>
      <c r="J317" s="139">
        <v>0</v>
      </c>
      <c r="K317" s="89">
        <v>0</v>
      </c>
      <c r="L317" s="20">
        <f>IFERROR(IF($F317&lt;=L$9,MIN($I317/$J317,$I317-SUM($K317:K317)),0),0)</f>
        <v>0</v>
      </c>
      <c r="M317" s="20">
        <f>IFERROR(IF($F317&lt;=M$9,MIN($I317/$J317,$I317-SUM($K317:L317)),0),0)</f>
        <v>0</v>
      </c>
      <c r="N317" s="20">
        <f>IFERROR(IF($F317&lt;=N$9,MIN($I317/$J317,$I317-SUM($K317:M317)),0),0)</f>
        <v>0</v>
      </c>
      <c r="O317" s="20">
        <f>IFERROR(IF($F317&lt;=O$9,MIN($I317/$J317,$I317-SUM($K317:N317)),0),0)</f>
        <v>0</v>
      </c>
      <c r="P317" s="20">
        <f>IFERROR(IF($F317&lt;=P$9,MIN($I317/$J317,$I317-SUM($K317:O317)),0),0)</f>
        <v>0</v>
      </c>
      <c r="Q317" s="20">
        <f>IFERROR(IF($F317&lt;=Q$9,MIN($I317/$J317,$I317-SUM($K317:P317)),0),0)</f>
        <v>0</v>
      </c>
      <c r="R317" s="20">
        <f>IFERROR(IF($F317&lt;=R$9,MIN($I317/$J317,$I317-SUM($K317:Q317)),0),0)</f>
        <v>0</v>
      </c>
      <c r="S317" s="20">
        <f>IFERROR(IF($F317&lt;=S$9,MIN($I317/$J317,$I317-SUM($K317:R317)),0),0)</f>
        <v>0</v>
      </c>
      <c r="T317" s="20">
        <f>IFERROR(IF($F317&lt;=T$9,MIN($I317/$J317,$I317-SUM($K317:S317)),0),0)</f>
        <v>0</v>
      </c>
      <c r="U317" s="20">
        <f>IFERROR(IF($F317&lt;=U$9,MIN($I317/$J317,$I317-SUM($K317:T317)),0),0)</f>
        <v>0</v>
      </c>
      <c r="V317" s="20">
        <f>IFERROR(IF($F317&lt;=V$9,MIN($I317/$J317,$I317-SUM($K317:U317)),0),0)</f>
        <v>0</v>
      </c>
      <c r="W317" s="20">
        <f>IFERROR(IF($F317&lt;=W$9,MIN($I317/$J317,$I317-SUM($K317:V317)),0),0)</f>
        <v>0</v>
      </c>
      <c r="X317" s="20">
        <f>IFERROR(IF($F317&lt;=X$9,MIN($I317/$J317,$I317-SUM($K317:W317)),0),0)</f>
        <v>0</v>
      </c>
      <c r="Y317" s="20">
        <f>IFERROR(IF($F317&lt;=Y$9,MIN($I317/$J317,$I317-SUM($K317:X317)),0),0)</f>
        <v>0</v>
      </c>
      <c r="Z317" s="20">
        <f>IFERROR(IF($F317&lt;=Z$9,MIN($I317/$J317,$I317-SUM($K317:Y317)),0),0)</f>
        <v>0</v>
      </c>
      <c r="AA317" s="20">
        <f>IFERROR(IF($F317&lt;=AA$9,MIN($I317/$J317,$I317-SUM($K317:Z317)),0),0)</f>
        <v>0</v>
      </c>
      <c r="AB317" s="20">
        <f>IFERROR(IF($F317&lt;=AB$9,MIN($I317/$J317,$I317-SUM($K317:AA317)),0),0)</f>
        <v>0</v>
      </c>
      <c r="AC317" s="20">
        <f>IFERROR(IF($F317&lt;=AC$9,MIN($I317/$J317,$I317-SUM($K317:AB317)),0),0)</f>
        <v>0</v>
      </c>
      <c r="AD317" s="20">
        <f>IFERROR(IF($F317&lt;=AD$9,MIN($I317/$J317,$I317-SUM($K317:AC317)),0),0)</f>
        <v>0</v>
      </c>
      <c r="AE317" s="20">
        <f>IFERROR(IF($F317&lt;=AE$9,MIN($I317/$J317,$I317-SUM($K317:AD317)),0),0)</f>
        <v>0</v>
      </c>
      <c r="AF317" s="20">
        <f>IFERROR(IF($F317&lt;=AF$9,MIN($I317/$J317,$I317-SUM($K317:AE317)),0),0)</f>
        <v>0</v>
      </c>
      <c r="AG317" s="20">
        <f>IFERROR(IF($F317&lt;=AG$9,MIN($I317/$J317,$I317-SUM($K317:AF317)),0),0)</f>
        <v>0</v>
      </c>
      <c r="AH317" s="20">
        <f>IFERROR(IF($F317&lt;=AH$9,MIN($I317/$J317,$I317-SUM($K317:AG317)),0),0)</f>
        <v>0</v>
      </c>
      <c r="AI317" s="20">
        <f>IFERROR(IF($F317&lt;=AI$9,MIN($I317/$J317,$I317-SUM($K317:AH317)),0),0)</f>
        <v>0</v>
      </c>
      <c r="AJ317" s="20">
        <f>IFERROR(IF($F317&lt;=AJ$9,MIN($I317/$J317,$I317-SUM($K317:AI317)),0),0)</f>
        <v>0</v>
      </c>
      <c r="AK317" s="20">
        <f>IFERROR(IF($F317&lt;=AK$9,MIN($I317/$J317,$I317-SUM($K317:AJ317)),0),0)</f>
        <v>0</v>
      </c>
      <c r="AL317" s="20">
        <f>IFERROR(IF($F317&lt;=AL$9,MIN($I317/$J317,$I317-SUM($K317:AK317)),0),0)</f>
        <v>0</v>
      </c>
      <c r="AM317" s="20">
        <f>IFERROR(IF($F317&lt;=AM$9,MIN($I317/$J317,$I317-SUM($K317:AL317)),0),0)</f>
        <v>0</v>
      </c>
      <c r="AN317" s="20">
        <f>IFERROR(IF($F317&lt;=AN$9,MIN($I317/$J317,$I317-SUM($K317:AM317)),0),0)</f>
        <v>0</v>
      </c>
      <c r="AO317" s="28"/>
    </row>
    <row r="318" spans="6:41" ht="14.4" customHeight="1" outlineLevel="1" x14ac:dyDescent="0.3">
      <c r="F318" s="69" t="str">
        <v/>
      </c>
      <c r="H318" s="26" t="s">
        <v>245</v>
      </c>
      <c r="I318" s="128">
        <v>0</v>
      </c>
      <c r="J318" s="139">
        <v>0</v>
      </c>
      <c r="K318" s="89">
        <v>0</v>
      </c>
      <c r="L318" s="20">
        <f>IFERROR(IF($F318&lt;=L$9,MIN($I318/$J318,$I318-SUM($K318:K318)),0),0)</f>
        <v>0</v>
      </c>
      <c r="M318" s="20">
        <f>IFERROR(IF($F318&lt;=M$9,MIN($I318/$J318,$I318-SUM($K318:L318)),0),0)</f>
        <v>0</v>
      </c>
      <c r="N318" s="20">
        <f>IFERROR(IF($F318&lt;=N$9,MIN($I318/$J318,$I318-SUM($K318:M318)),0),0)</f>
        <v>0</v>
      </c>
      <c r="O318" s="20">
        <f>IFERROR(IF($F318&lt;=O$9,MIN($I318/$J318,$I318-SUM($K318:N318)),0),0)</f>
        <v>0</v>
      </c>
      <c r="P318" s="20">
        <f>IFERROR(IF($F318&lt;=P$9,MIN($I318/$J318,$I318-SUM($K318:O318)),0),0)</f>
        <v>0</v>
      </c>
      <c r="Q318" s="20">
        <f>IFERROR(IF($F318&lt;=Q$9,MIN($I318/$J318,$I318-SUM($K318:P318)),0),0)</f>
        <v>0</v>
      </c>
      <c r="R318" s="20">
        <f>IFERROR(IF($F318&lt;=R$9,MIN($I318/$J318,$I318-SUM($K318:Q318)),0),0)</f>
        <v>0</v>
      </c>
      <c r="S318" s="20">
        <f>IFERROR(IF($F318&lt;=S$9,MIN($I318/$J318,$I318-SUM($K318:R318)),0),0)</f>
        <v>0</v>
      </c>
      <c r="T318" s="20">
        <f>IFERROR(IF($F318&lt;=T$9,MIN($I318/$J318,$I318-SUM($K318:S318)),0),0)</f>
        <v>0</v>
      </c>
      <c r="U318" s="20">
        <f>IFERROR(IF($F318&lt;=U$9,MIN($I318/$J318,$I318-SUM($K318:T318)),0),0)</f>
        <v>0</v>
      </c>
      <c r="V318" s="20">
        <f>IFERROR(IF($F318&lt;=V$9,MIN($I318/$J318,$I318-SUM($K318:U318)),0),0)</f>
        <v>0</v>
      </c>
      <c r="W318" s="20">
        <f>IFERROR(IF($F318&lt;=W$9,MIN($I318/$J318,$I318-SUM($K318:V318)),0),0)</f>
        <v>0</v>
      </c>
      <c r="X318" s="20">
        <f>IFERROR(IF($F318&lt;=X$9,MIN($I318/$J318,$I318-SUM($K318:W318)),0),0)</f>
        <v>0</v>
      </c>
      <c r="Y318" s="20">
        <f>IFERROR(IF($F318&lt;=Y$9,MIN($I318/$J318,$I318-SUM($K318:X318)),0),0)</f>
        <v>0</v>
      </c>
      <c r="Z318" s="20">
        <f>IFERROR(IF($F318&lt;=Z$9,MIN($I318/$J318,$I318-SUM($K318:Y318)),0),0)</f>
        <v>0</v>
      </c>
      <c r="AA318" s="20">
        <f>IFERROR(IF($F318&lt;=AA$9,MIN($I318/$J318,$I318-SUM($K318:Z318)),0),0)</f>
        <v>0</v>
      </c>
      <c r="AB318" s="20">
        <f>IFERROR(IF($F318&lt;=AB$9,MIN($I318/$J318,$I318-SUM($K318:AA318)),0),0)</f>
        <v>0</v>
      </c>
      <c r="AC318" s="20">
        <f>IFERROR(IF($F318&lt;=AC$9,MIN($I318/$J318,$I318-SUM($K318:AB318)),0),0)</f>
        <v>0</v>
      </c>
      <c r="AD318" s="20">
        <f>IFERROR(IF($F318&lt;=AD$9,MIN($I318/$J318,$I318-SUM($K318:AC318)),0),0)</f>
        <v>0</v>
      </c>
      <c r="AE318" s="20">
        <f>IFERROR(IF($F318&lt;=AE$9,MIN($I318/$J318,$I318-SUM($K318:AD318)),0),0)</f>
        <v>0</v>
      </c>
      <c r="AF318" s="20">
        <f>IFERROR(IF($F318&lt;=AF$9,MIN($I318/$J318,$I318-SUM($K318:AE318)),0),0)</f>
        <v>0</v>
      </c>
      <c r="AG318" s="20">
        <f>IFERROR(IF($F318&lt;=AG$9,MIN($I318/$J318,$I318-SUM($K318:AF318)),0),0)</f>
        <v>0</v>
      </c>
      <c r="AH318" s="20">
        <f>IFERROR(IF($F318&lt;=AH$9,MIN($I318/$J318,$I318-SUM($K318:AG318)),0),0)</f>
        <v>0</v>
      </c>
      <c r="AI318" s="20">
        <f>IFERROR(IF($F318&lt;=AI$9,MIN($I318/$J318,$I318-SUM($K318:AH318)),0),0)</f>
        <v>0</v>
      </c>
      <c r="AJ318" s="20">
        <f>IFERROR(IF($F318&lt;=AJ$9,MIN($I318/$J318,$I318-SUM($K318:AI318)),0),0)</f>
        <v>0</v>
      </c>
      <c r="AK318" s="20">
        <f>IFERROR(IF($F318&lt;=AK$9,MIN($I318/$J318,$I318-SUM($K318:AJ318)),0),0)</f>
        <v>0</v>
      </c>
      <c r="AL318" s="20">
        <f>IFERROR(IF($F318&lt;=AL$9,MIN($I318/$J318,$I318-SUM($K318:AK318)),0),0)</f>
        <v>0</v>
      </c>
      <c r="AM318" s="20">
        <f>IFERROR(IF($F318&lt;=AM$9,MIN($I318/$J318,$I318-SUM($K318:AL318)),0),0)</f>
        <v>0</v>
      </c>
      <c r="AN318" s="20">
        <f>IFERROR(IF($F318&lt;=AN$9,MIN($I318/$J318,$I318-SUM($K318:AM318)),0),0)</f>
        <v>0</v>
      </c>
      <c r="AO318" s="28"/>
    </row>
    <row r="319" spans="6:41" ht="14.4" customHeight="1" outlineLevel="1" x14ac:dyDescent="0.3">
      <c r="F319" s="69" t="str">
        <v/>
      </c>
      <c r="H319" s="26" t="s">
        <v>245</v>
      </c>
      <c r="I319" s="128">
        <v>0</v>
      </c>
      <c r="J319" s="139">
        <v>0</v>
      </c>
      <c r="K319" s="89">
        <v>0</v>
      </c>
      <c r="L319" s="20">
        <f>IFERROR(IF($F319&lt;=L$9,MIN($I319/$J319,$I319-SUM($K319:K319)),0),0)</f>
        <v>0</v>
      </c>
      <c r="M319" s="20">
        <f>IFERROR(IF($F319&lt;=M$9,MIN($I319/$J319,$I319-SUM($K319:L319)),0),0)</f>
        <v>0</v>
      </c>
      <c r="N319" s="20">
        <f>IFERROR(IF($F319&lt;=N$9,MIN($I319/$J319,$I319-SUM($K319:M319)),0),0)</f>
        <v>0</v>
      </c>
      <c r="O319" s="20">
        <f>IFERROR(IF($F319&lt;=O$9,MIN($I319/$J319,$I319-SUM($K319:N319)),0),0)</f>
        <v>0</v>
      </c>
      <c r="P319" s="20">
        <f>IFERROR(IF($F319&lt;=P$9,MIN($I319/$J319,$I319-SUM($K319:O319)),0),0)</f>
        <v>0</v>
      </c>
      <c r="Q319" s="20">
        <f>IFERROR(IF($F319&lt;=Q$9,MIN($I319/$J319,$I319-SUM($K319:P319)),0),0)</f>
        <v>0</v>
      </c>
      <c r="R319" s="20">
        <f>IFERROR(IF($F319&lt;=R$9,MIN($I319/$J319,$I319-SUM($K319:Q319)),0),0)</f>
        <v>0</v>
      </c>
      <c r="S319" s="20">
        <f>IFERROR(IF($F319&lt;=S$9,MIN($I319/$J319,$I319-SUM($K319:R319)),0),0)</f>
        <v>0</v>
      </c>
      <c r="T319" s="20">
        <f>IFERROR(IF($F319&lt;=T$9,MIN($I319/$J319,$I319-SUM($K319:S319)),0),0)</f>
        <v>0</v>
      </c>
      <c r="U319" s="20">
        <f>IFERROR(IF($F319&lt;=U$9,MIN($I319/$J319,$I319-SUM($K319:T319)),0),0)</f>
        <v>0</v>
      </c>
      <c r="V319" s="20">
        <f>IFERROR(IF($F319&lt;=V$9,MIN($I319/$J319,$I319-SUM($K319:U319)),0),0)</f>
        <v>0</v>
      </c>
      <c r="W319" s="20">
        <f>IFERROR(IF($F319&lt;=W$9,MIN($I319/$J319,$I319-SUM($K319:V319)),0),0)</f>
        <v>0</v>
      </c>
      <c r="X319" s="20">
        <f>IFERROR(IF($F319&lt;=X$9,MIN($I319/$J319,$I319-SUM($K319:W319)),0),0)</f>
        <v>0</v>
      </c>
      <c r="Y319" s="20">
        <f>IFERROR(IF($F319&lt;=Y$9,MIN($I319/$J319,$I319-SUM($K319:X319)),0),0)</f>
        <v>0</v>
      </c>
      <c r="Z319" s="20">
        <f>IFERROR(IF($F319&lt;=Z$9,MIN($I319/$J319,$I319-SUM($K319:Y319)),0),0)</f>
        <v>0</v>
      </c>
      <c r="AA319" s="20">
        <f>IFERROR(IF($F319&lt;=AA$9,MIN($I319/$J319,$I319-SUM($K319:Z319)),0),0)</f>
        <v>0</v>
      </c>
      <c r="AB319" s="20">
        <f>IFERROR(IF($F319&lt;=AB$9,MIN($I319/$J319,$I319-SUM($K319:AA319)),0),0)</f>
        <v>0</v>
      </c>
      <c r="AC319" s="20">
        <f>IFERROR(IF($F319&lt;=AC$9,MIN($I319/$J319,$I319-SUM($K319:AB319)),0),0)</f>
        <v>0</v>
      </c>
      <c r="AD319" s="20">
        <f>IFERROR(IF($F319&lt;=AD$9,MIN($I319/$J319,$I319-SUM($K319:AC319)),0),0)</f>
        <v>0</v>
      </c>
      <c r="AE319" s="20">
        <f>IFERROR(IF($F319&lt;=AE$9,MIN($I319/$J319,$I319-SUM($K319:AD319)),0),0)</f>
        <v>0</v>
      </c>
      <c r="AF319" s="20">
        <f>IFERROR(IF($F319&lt;=AF$9,MIN($I319/$J319,$I319-SUM($K319:AE319)),0),0)</f>
        <v>0</v>
      </c>
      <c r="AG319" s="20">
        <f>IFERROR(IF($F319&lt;=AG$9,MIN($I319/$J319,$I319-SUM($K319:AF319)),0),0)</f>
        <v>0</v>
      </c>
      <c r="AH319" s="20">
        <f>IFERROR(IF($F319&lt;=AH$9,MIN($I319/$J319,$I319-SUM($K319:AG319)),0),0)</f>
        <v>0</v>
      </c>
      <c r="AI319" s="20">
        <f>IFERROR(IF($F319&lt;=AI$9,MIN($I319/$J319,$I319-SUM($K319:AH319)),0),0)</f>
        <v>0</v>
      </c>
      <c r="AJ319" s="20">
        <f>IFERROR(IF($F319&lt;=AJ$9,MIN($I319/$J319,$I319-SUM($K319:AI319)),0),0)</f>
        <v>0</v>
      </c>
      <c r="AK319" s="20">
        <f>IFERROR(IF($F319&lt;=AK$9,MIN($I319/$J319,$I319-SUM($K319:AJ319)),0),0)</f>
        <v>0</v>
      </c>
      <c r="AL319" s="20">
        <f>IFERROR(IF($F319&lt;=AL$9,MIN($I319/$J319,$I319-SUM($K319:AK319)),0),0)</f>
        <v>0</v>
      </c>
      <c r="AM319" s="20">
        <f>IFERROR(IF($F319&lt;=AM$9,MIN($I319/$J319,$I319-SUM($K319:AL319)),0),0)</f>
        <v>0</v>
      </c>
      <c r="AN319" s="20">
        <f>IFERROR(IF($F319&lt;=AN$9,MIN($I319/$J319,$I319-SUM($K319:AM319)),0),0)</f>
        <v>0</v>
      </c>
      <c r="AO319" s="28"/>
    </row>
    <row r="320" spans="6:41" ht="14.4" customHeight="1" outlineLevel="1" x14ac:dyDescent="0.3">
      <c r="F320" s="69" t="str">
        <v/>
      </c>
      <c r="H320" s="26" t="s">
        <v>245</v>
      </c>
      <c r="I320" s="128">
        <v>0</v>
      </c>
      <c r="J320" s="139">
        <v>0</v>
      </c>
      <c r="K320" s="89">
        <v>0</v>
      </c>
      <c r="L320" s="20">
        <f>IFERROR(IF($F320&lt;=L$9,MIN($I320/$J320,$I320-SUM($K320:K320)),0),0)</f>
        <v>0</v>
      </c>
      <c r="M320" s="20">
        <f>IFERROR(IF($F320&lt;=M$9,MIN($I320/$J320,$I320-SUM($K320:L320)),0),0)</f>
        <v>0</v>
      </c>
      <c r="N320" s="20">
        <f>IFERROR(IF($F320&lt;=N$9,MIN($I320/$J320,$I320-SUM($K320:M320)),0),0)</f>
        <v>0</v>
      </c>
      <c r="O320" s="20">
        <f>IFERROR(IF($F320&lt;=O$9,MIN($I320/$J320,$I320-SUM($K320:N320)),0),0)</f>
        <v>0</v>
      </c>
      <c r="P320" s="20">
        <f>IFERROR(IF($F320&lt;=P$9,MIN($I320/$J320,$I320-SUM($K320:O320)),0),0)</f>
        <v>0</v>
      </c>
      <c r="Q320" s="20">
        <f>IFERROR(IF($F320&lt;=Q$9,MIN($I320/$J320,$I320-SUM($K320:P320)),0),0)</f>
        <v>0</v>
      </c>
      <c r="R320" s="20">
        <f>IFERROR(IF($F320&lt;=R$9,MIN($I320/$J320,$I320-SUM($K320:Q320)),0),0)</f>
        <v>0</v>
      </c>
      <c r="S320" s="20">
        <f>IFERROR(IF($F320&lt;=S$9,MIN($I320/$J320,$I320-SUM($K320:R320)),0),0)</f>
        <v>0</v>
      </c>
      <c r="T320" s="20">
        <f>IFERROR(IF($F320&lt;=T$9,MIN($I320/$J320,$I320-SUM($K320:S320)),0),0)</f>
        <v>0</v>
      </c>
      <c r="U320" s="20">
        <f>IFERROR(IF($F320&lt;=U$9,MIN($I320/$J320,$I320-SUM($K320:T320)),0),0)</f>
        <v>0</v>
      </c>
      <c r="V320" s="20">
        <f>IFERROR(IF($F320&lt;=V$9,MIN($I320/$J320,$I320-SUM($K320:U320)),0),0)</f>
        <v>0</v>
      </c>
      <c r="W320" s="20">
        <f>IFERROR(IF($F320&lt;=W$9,MIN($I320/$J320,$I320-SUM($K320:V320)),0),0)</f>
        <v>0</v>
      </c>
      <c r="X320" s="20">
        <f>IFERROR(IF($F320&lt;=X$9,MIN($I320/$J320,$I320-SUM($K320:W320)),0),0)</f>
        <v>0</v>
      </c>
      <c r="Y320" s="20">
        <f>IFERROR(IF($F320&lt;=Y$9,MIN($I320/$J320,$I320-SUM($K320:X320)),0),0)</f>
        <v>0</v>
      </c>
      <c r="Z320" s="20">
        <f>IFERROR(IF($F320&lt;=Z$9,MIN($I320/$J320,$I320-SUM($K320:Y320)),0),0)</f>
        <v>0</v>
      </c>
      <c r="AA320" s="20">
        <f>IFERROR(IF($F320&lt;=AA$9,MIN($I320/$J320,$I320-SUM($K320:Z320)),0),0)</f>
        <v>0</v>
      </c>
      <c r="AB320" s="20">
        <f>IFERROR(IF($F320&lt;=AB$9,MIN($I320/$J320,$I320-SUM($K320:AA320)),0),0)</f>
        <v>0</v>
      </c>
      <c r="AC320" s="20">
        <f>IFERROR(IF($F320&lt;=AC$9,MIN($I320/$J320,$I320-SUM($K320:AB320)),0),0)</f>
        <v>0</v>
      </c>
      <c r="AD320" s="20">
        <f>IFERROR(IF($F320&lt;=AD$9,MIN($I320/$J320,$I320-SUM($K320:AC320)),0),0)</f>
        <v>0</v>
      </c>
      <c r="AE320" s="20">
        <f>IFERROR(IF($F320&lt;=AE$9,MIN($I320/$J320,$I320-SUM($K320:AD320)),0),0)</f>
        <v>0</v>
      </c>
      <c r="AF320" s="20">
        <f>IFERROR(IF($F320&lt;=AF$9,MIN($I320/$J320,$I320-SUM($K320:AE320)),0),0)</f>
        <v>0</v>
      </c>
      <c r="AG320" s="20">
        <f>IFERROR(IF($F320&lt;=AG$9,MIN($I320/$J320,$I320-SUM($K320:AF320)),0),0)</f>
        <v>0</v>
      </c>
      <c r="AH320" s="20">
        <f>IFERROR(IF($F320&lt;=AH$9,MIN($I320/$J320,$I320-SUM($K320:AG320)),0),0)</f>
        <v>0</v>
      </c>
      <c r="AI320" s="20">
        <f>IFERROR(IF($F320&lt;=AI$9,MIN($I320/$J320,$I320-SUM($K320:AH320)),0),0)</f>
        <v>0</v>
      </c>
      <c r="AJ320" s="20">
        <f>IFERROR(IF($F320&lt;=AJ$9,MIN($I320/$J320,$I320-SUM($K320:AI320)),0),0)</f>
        <v>0</v>
      </c>
      <c r="AK320" s="20">
        <f>IFERROR(IF($F320&lt;=AK$9,MIN($I320/$J320,$I320-SUM($K320:AJ320)),0),0)</f>
        <v>0</v>
      </c>
      <c r="AL320" s="20">
        <f>IFERROR(IF($F320&lt;=AL$9,MIN($I320/$J320,$I320-SUM($K320:AK320)),0),0)</f>
        <v>0</v>
      </c>
      <c r="AM320" s="20">
        <f>IFERROR(IF($F320&lt;=AM$9,MIN($I320/$J320,$I320-SUM($K320:AL320)),0),0)</f>
        <v>0</v>
      </c>
      <c r="AN320" s="20">
        <f>IFERROR(IF($F320&lt;=AN$9,MIN($I320/$J320,$I320-SUM($K320:AM320)),0),0)</f>
        <v>0</v>
      </c>
      <c r="AO320" s="28"/>
    </row>
    <row r="321" spans="1:41" ht="14.4" customHeight="1" outlineLevel="1" x14ac:dyDescent="0.3">
      <c r="F321" s="69" t="str">
        <v/>
      </c>
      <c r="H321" s="26" t="s">
        <v>245</v>
      </c>
      <c r="I321" s="128">
        <v>0</v>
      </c>
      <c r="J321" s="139">
        <v>0</v>
      </c>
      <c r="K321" s="89">
        <v>0</v>
      </c>
      <c r="L321" s="20">
        <f>IFERROR(IF($F321&lt;=L$9,MIN($I321/$J321,$I321-SUM($K321:K321)),0),0)</f>
        <v>0</v>
      </c>
      <c r="M321" s="20">
        <f>IFERROR(IF($F321&lt;=M$9,MIN($I321/$J321,$I321-SUM($K321:L321)),0),0)</f>
        <v>0</v>
      </c>
      <c r="N321" s="20">
        <f>IFERROR(IF($F321&lt;=N$9,MIN($I321/$J321,$I321-SUM($K321:M321)),0),0)</f>
        <v>0</v>
      </c>
      <c r="O321" s="20">
        <f>IFERROR(IF($F321&lt;=O$9,MIN($I321/$J321,$I321-SUM($K321:N321)),0),0)</f>
        <v>0</v>
      </c>
      <c r="P321" s="20">
        <f>IFERROR(IF($F321&lt;=P$9,MIN($I321/$J321,$I321-SUM($K321:O321)),0),0)</f>
        <v>0</v>
      </c>
      <c r="Q321" s="20">
        <f>IFERROR(IF($F321&lt;=Q$9,MIN($I321/$J321,$I321-SUM($K321:P321)),0),0)</f>
        <v>0</v>
      </c>
      <c r="R321" s="20">
        <f>IFERROR(IF($F321&lt;=R$9,MIN($I321/$J321,$I321-SUM($K321:Q321)),0),0)</f>
        <v>0</v>
      </c>
      <c r="S321" s="20">
        <f>IFERROR(IF($F321&lt;=S$9,MIN($I321/$J321,$I321-SUM($K321:R321)),0),0)</f>
        <v>0</v>
      </c>
      <c r="T321" s="20">
        <f>IFERROR(IF($F321&lt;=T$9,MIN($I321/$J321,$I321-SUM($K321:S321)),0),0)</f>
        <v>0</v>
      </c>
      <c r="U321" s="20">
        <f>IFERROR(IF($F321&lt;=U$9,MIN($I321/$J321,$I321-SUM($K321:T321)),0),0)</f>
        <v>0</v>
      </c>
      <c r="V321" s="20">
        <f>IFERROR(IF($F321&lt;=V$9,MIN($I321/$J321,$I321-SUM($K321:U321)),0),0)</f>
        <v>0</v>
      </c>
      <c r="W321" s="20">
        <f>IFERROR(IF($F321&lt;=W$9,MIN($I321/$J321,$I321-SUM($K321:V321)),0),0)</f>
        <v>0</v>
      </c>
      <c r="X321" s="20">
        <f>IFERROR(IF($F321&lt;=X$9,MIN($I321/$J321,$I321-SUM($K321:W321)),0),0)</f>
        <v>0</v>
      </c>
      <c r="Y321" s="20">
        <f>IFERROR(IF($F321&lt;=Y$9,MIN($I321/$J321,$I321-SUM($K321:X321)),0),0)</f>
        <v>0</v>
      </c>
      <c r="Z321" s="20">
        <f>IFERROR(IF($F321&lt;=Z$9,MIN($I321/$J321,$I321-SUM($K321:Y321)),0),0)</f>
        <v>0</v>
      </c>
      <c r="AA321" s="20">
        <f>IFERROR(IF($F321&lt;=AA$9,MIN($I321/$J321,$I321-SUM($K321:Z321)),0),0)</f>
        <v>0</v>
      </c>
      <c r="AB321" s="20">
        <f>IFERROR(IF($F321&lt;=AB$9,MIN($I321/$J321,$I321-SUM($K321:AA321)),0),0)</f>
        <v>0</v>
      </c>
      <c r="AC321" s="20">
        <f>IFERROR(IF($F321&lt;=AC$9,MIN($I321/$J321,$I321-SUM($K321:AB321)),0),0)</f>
        <v>0</v>
      </c>
      <c r="AD321" s="20">
        <f>IFERROR(IF($F321&lt;=AD$9,MIN($I321/$J321,$I321-SUM($K321:AC321)),0),0)</f>
        <v>0</v>
      </c>
      <c r="AE321" s="20">
        <f>IFERROR(IF($F321&lt;=AE$9,MIN($I321/$J321,$I321-SUM($K321:AD321)),0),0)</f>
        <v>0</v>
      </c>
      <c r="AF321" s="20">
        <f>IFERROR(IF($F321&lt;=AF$9,MIN($I321/$J321,$I321-SUM($K321:AE321)),0),0)</f>
        <v>0</v>
      </c>
      <c r="AG321" s="20">
        <f>IFERROR(IF($F321&lt;=AG$9,MIN($I321/$J321,$I321-SUM($K321:AF321)),0),0)</f>
        <v>0</v>
      </c>
      <c r="AH321" s="20">
        <f>IFERROR(IF($F321&lt;=AH$9,MIN($I321/$J321,$I321-SUM($K321:AG321)),0),0)</f>
        <v>0</v>
      </c>
      <c r="AI321" s="20">
        <f>IFERROR(IF($F321&lt;=AI$9,MIN($I321/$J321,$I321-SUM($K321:AH321)),0),0)</f>
        <v>0</v>
      </c>
      <c r="AJ321" s="20">
        <f>IFERROR(IF($F321&lt;=AJ$9,MIN($I321/$J321,$I321-SUM($K321:AI321)),0),0)</f>
        <v>0</v>
      </c>
      <c r="AK321" s="20">
        <f>IFERROR(IF($F321&lt;=AK$9,MIN($I321/$J321,$I321-SUM($K321:AJ321)),0),0)</f>
        <v>0</v>
      </c>
      <c r="AL321" s="20">
        <f>IFERROR(IF($F321&lt;=AL$9,MIN($I321/$J321,$I321-SUM($K321:AK321)),0),0)</f>
        <v>0</v>
      </c>
      <c r="AM321" s="20">
        <f>IFERROR(IF($F321&lt;=AM$9,MIN($I321/$J321,$I321-SUM($K321:AL321)),0),0)</f>
        <v>0</v>
      </c>
      <c r="AN321" s="20">
        <f>IFERROR(IF($F321&lt;=AN$9,MIN($I321/$J321,$I321-SUM($K321:AM321)),0),0)</f>
        <v>0</v>
      </c>
      <c r="AO321" s="28"/>
    </row>
    <row r="322" spans="1:41" ht="14.4" customHeight="1" outlineLevel="1" x14ac:dyDescent="0.3">
      <c r="F322" s="69" t="str">
        <v/>
      </c>
      <c r="H322" s="26" t="s">
        <v>245</v>
      </c>
      <c r="I322" s="128">
        <v>0</v>
      </c>
      <c r="J322" s="139">
        <v>0</v>
      </c>
      <c r="K322" s="89">
        <v>0</v>
      </c>
      <c r="L322" s="20">
        <f>IFERROR(IF($F322&lt;=L$9,MIN($I322/$J322,$I322-SUM($K322:K322)),0),0)</f>
        <v>0</v>
      </c>
      <c r="M322" s="20">
        <f>IFERROR(IF($F322&lt;=M$9,MIN($I322/$J322,$I322-SUM($K322:L322)),0),0)</f>
        <v>0</v>
      </c>
      <c r="N322" s="20">
        <f>IFERROR(IF($F322&lt;=N$9,MIN($I322/$J322,$I322-SUM($K322:M322)),0),0)</f>
        <v>0</v>
      </c>
      <c r="O322" s="20">
        <f>IFERROR(IF($F322&lt;=O$9,MIN($I322/$J322,$I322-SUM($K322:N322)),0),0)</f>
        <v>0</v>
      </c>
      <c r="P322" s="20">
        <f>IFERROR(IF($F322&lt;=P$9,MIN($I322/$J322,$I322-SUM($K322:O322)),0),0)</f>
        <v>0</v>
      </c>
      <c r="Q322" s="20">
        <f>IFERROR(IF($F322&lt;=Q$9,MIN($I322/$J322,$I322-SUM($K322:P322)),0),0)</f>
        <v>0</v>
      </c>
      <c r="R322" s="20">
        <f>IFERROR(IF($F322&lt;=R$9,MIN($I322/$J322,$I322-SUM($K322:Q322)),0),0)</f>
        <v>0</v>
      </c>
      <c r="S322" s="20">
        <f>IFERROR(IF($F322&lt;=S$9,MIN($I322/$J322,$I322-SUM($K322:R322)),0),0)</f>
        <v>0</v>
      </c>
      <c r="T322" s="20">
        <f>IFERROR(IF($F322&lt;=T$9,MIN($I322/$J322,$I322-SUM($K322:S322)),0),0)</f>
        <v>0</v>
      </c>
      <c r="U322" s="20">
        <f>IFERROR(IF($F322&lt;=U$9,MIN($I322/$J322,$I322-SUM($K322:T322)),0),0)</f>
        <v>0</v>
      </c>
      <c r="V322" s="20">
        <f>IFERROR(IF($F322&lt;=V$9,MIN($I322/$J322,$I322-SUM($K322:U322)),0),0)</f>
        <v>0</v>
      </c>
      <c r="W322" s="20">
        <f>IFERROR(IF($F322&lt;=W$9,MIN($I322/$J322,$I322-SUM($K322:V322)),0),0)</f>
        <v>0</v>
      </c>
      <c r="X322" s="20">
        <f>IFERROR(IF($F322&lt;=X$9,MIN($I322/$J322,$I322-SUM($K322:W322)),0),0)</f>
        <v>0</v>
      </c>
      <c r="Y322" s="20">
        <f>IFERROR(IF($F322&lt;=Y$9,MIN($I322/$J322,$I322-SUM($K322:X322)),0),0)</f>
        <v>0</v>
      </c>
      <c r="Z322" s="20">
        <f>IFERROR(IF($F322&lt;=Z$9,MIN($I322/$J322,$I322-SUM($K322:Y322)),0),0)</f>
        <v>0</v>
      </c>
      <c r="AA322" s="20">
        <f>IFERROR(IF($F322&lt;=AA$9,MIN($I322/$J322,$I322-SUM($K322:Z322)),0),0)</f>
        <v>0</v>
      </c>
      <c r="AB322" s="20">
        <f>IFERROR(IF($F322&lt;=AB$9,MIN($I322/$J322,$I322-SUM($K322:AA322)),0),0)</f>
        <v>0</v>
      </c>
      <c r="AC322" s="20">
        <f>IFERROR(IF($F322&lt;=AC$9,MIN($I322/$J322,$I322-SUM($K322:AB322)),0),0)</f>
        <v>0</v>
      </c>
      <c r="AD322" s="20">
        <f>IFERROR(IF($F322&lt;=AD$9,MIN($I322/$J322,$I322-SUM($K322:AC322)),0),0)</f>
        <v>0</v>
      </c>
      <c r="AE322" s="20">
        <f>IFERROR(IF($F322&lt;=AE$9,MIN($I322/$J322,$I322-SUM($K322:AD322)),0),0)</f>
        <v>0</v>
      </c>
      <c r="AF322" s="20">
        <f>IFERROR(IF($F322&lt;=AF$9,MIN($I322/$J322,$I322-SUM($K322:AE322)),0),0)</f>
        <v>0</v>
      </c>
      <c r="AG322" s="20">
        <f>IFERROR(IF($F322&lt;=AG$9,MIN($I322/$J322,$I322-SUM($K322:AF322)),0),0)</f>
        <v>0</v>
      </c>
      <c r="AH322" s="20">
        <f>IFERROR(IF($F322&lt;=AH$9,MIN($I322/$J322,$I322-SUM($K322:AG322)),0),0)</f>
        <v>0</v>
      </c>
      <c r="AI322" s="20">
        <f>IFERROR(IF($F322&lt;=AI$9,MIN($I322/$J322,$I322-SUM($K322:AH322)),0),0)</f>
        <v>0</v>
      </c>
      <c r="AJ322" s="20">
        <f>IFERROR(IF($F322&lt;=AJ$9,MIN($I322/$J322,$I322-SUM($K322:AI322)),0),0)</f>
        <v>0</v>
      </c>
      <c r="AK322" s="20">
        <f>IFERROR(IF($F322&lt;=AK$9,MIN($I322/$J322,$I322-SUM($K322:AJ322)),0),0)</f>
        <v>0</v>
      </c>
      <c r="AL322" s="20">
        <f>IFERROR(IF($F322&lt;=AL$9,MIN($I322/$J322,$I322-SUM($K322:AK322)),0),0)</f>
        <v>0</v>
      </c>
      <c r="AM322" s="20">
        <f>IFERROR(IF($F322&lt;=AM$9,MIN($I322/$J322,$I322-SUM($K322:AL322)),0),0)</f>
        <v>0</v>
      </c>
      <c r="AN322" s="20">
        <f>IFERROR(IF($F322&lt;=AN$9,MIN($I322/$J322,$I322-SUM($K322:AM322)),0),0)</f>
        <v>0</v>
      </c>
      <c r="AO322" s="28"/>
    </row>
    <row r="323" spans="1:41" ht="14.4" customHeight="1" outlineLevel="1" x14ac:dyDescent="0.3">
      <c r="F323" s="69" t="str">
        <v/>
      </c>
      <c r="H323" s="26" t="s">
        <v>245</v>
      </c>
      <c r="I323" s="128">
        <v>0</v>
      </c>
      <c r="J323" s="139">
        <v>0</v>
      </c>
      <c r="K323" s="89">
        <v>0</v>
      </c>
      <c r="L323" s="20">
        <f>IFERROR(IF($F323&lt;=L$9,MIN($I323/$J323,$I323-SUM($K323:K323)),0),0)</f>
        <v>0</v>
      </c>
      <c r="M323" s="20">
        <f>IFERROR(IF($F323&lt;=M$9,MIN($I323/$J323,$I323-SUM($K323:L323)),0),0)</f>
        <v>0</v>
      </c>
      <c r="N323" s="20">
        <f>IFERROR(IF($F323&lt;=N$9,MIN($I323/$J323,$I323-SUM($K323:M323)),0),0)</f>
        <v>0</v>
      </c>
      <c r="O323" s="20">
        <f>IFERROR(IF($F323&lt;=O$9,MIN($I323/$J323,$I323-SUM($K323:N323)),0),0)</f>
        <v>0</v>
      </c>
      <c r="P323" s="20">
        <f>IFERROR(IF($F323&lt;=P$9,MIN($I323/$J323,$I323-SUM($K323:O323)),0),0)</f>
        <v>0</v>
      </c>
      <c r="Q323" s="20">
        <f>IFERROR(IF($F323&lt;=Q$9,MIN($I323/$J323,$I323-SUM($K323:P323)),0),0)</f>
        <v>0</v>
      </c>
      <c r="R323" s="20">
        <f>IFERROR(IF($F323&lt;=R$9,MIN($I323/$J323,$I323-SUM($K323:Q323)),0),0)</f>
        <v>0</v>
      </c>
      <c r="S323" s="20">
        <f>IFERROR(IF($F323&lt;=S$9,MIN($I323/$J323,$I323-SUM($K323:R323)),0),0)</f>
        <v>0</v>
      </c>
      <c r="T323" s="20">
        <f>IFERROR(IF($F323&lt;=T$9,MIN($I323/$J323,$I323-SUM($K323:S323)),0),0)</f>
        <v>0</v>
      </c>
      <c r="U323" s="20">
        <f>IFERROR(IF($F323&lt;=U$9,MIN($I323/$J323,$I323-SUM($K323:T323)),0),0)</f>
        <v>0</v>
      </c>
      <c r="V323" s="20">
        <f>IFERROR(IF($F323&lt;=V$9,MIN($I323/$J323,$I323-SUM($K323:U323)),0),0)</f>
        <v>0</v>
      </c>
      <c r="W323" s="20">
        <f>IFERROR(IF($F323&lt;=W$9,MIN($I323/$J323,$I323-SUM($K323:V323)),0),0)</f>
        <v>0</v>
      </c>
      <c r="X323" s="20">
        <f>IFERROR(IF($F323&lt;=X$9,MIN($I323/$J323,$I323-SUM($K323:W323)),0),0)</f>
        <v>0</v>
      </c>
      <c r="Y323" s="20">
        <f>IFERROR(IF($F323&lt;=Y$9,MIN($I323/$J323,$I323-SUM($K323:X323)),0),0)</f>
        <v>0</v>
      </c>
      <c r="Z323" s="20">
        <f>IFERROR(IF($F323&lt;=Z$9,MIN($I323/$J323,$I323-SUM($K323:Y323)),0),0)</f>
        <v>0</v>
      </c>
      <c r="AA323" s="20">
        <f>IFERROR(IF($F323&lt;=AA$9,MIN($I323/$J323,$I323-SUM($K323:Z323)),0),0)</f>
        <v>0</v>
      </c>
      <c r="AB323" s="20">
        <f>IFERROR(IF($F323&lt;=AB$9,MIN($I323/$J323,$I323-SUM($K323:AA323)),0),0)</f>
        <v>0</v>
      </c>
      <c r="AC323" s="20">
        <f>IFERROR(IF($F323&lt;=AC$9,MIN($I323/$J323,$I323-SUM($K323:AB323)),0),0)</f>
        <v>0</v>
      </c>
      <c r="AD323" s="20">
        <f>IFERROR(IF($F323&lt;=AD$9,MIN($I323/$J323,$I323-SUM($K323:AC323)),0),0)</f>
        <v>0</v>
      </c>
      <c r="AE323" s="20">
        <f>IFERROR(IF($F323&lt;=AE$9,MIN($I323/$J323,$I323-SUM($K323:AD323)),0),0)</f>
        <v>0</v>
      </c>
      <c r="AF323" s="20">
        <f>IFERROR(IF($F323&lt;=AF$9,MIN($I323/$J323,$I323-SUM($K323:AE323)),0),0)</f>
        <v>0</v>
      </c>
      <c r="AG323" s="20">
        <f>IFERROR(IF($F323&lt;=AG$9,MIN($I323/$J323,$I323-SUM($K323:AF323)),0),0)</f>
        <v>0</v>
      </c>
      <c r="AH323" s="20">
        <f>IFERROR(IF($F323&lt;=AH$9,MIN($I323/$J323,$I323-SUM($K323:AG323)),0),0)</f>
        <v>0</v>
      </c>
      <c r="AI323" s="20">
        <f>IFERROR(IF($F323&lt;=AI$9,MIN($I323/$J323,$I323-SUM($K323:AH323)),0),0)</f>
        <v>0</v>
      </c>
      <c r="AJ323" s="20">
        <f>IFERROR(IF($F323&lt;=AJ$9,MIN($I323/$J323,$I323-SUM($K323:AI323)),0),0)</f>
        <v>0</v>
      </c>
      <c r="AK323" s="20">
        <f>IFERROR(IF($F323&lt;=AK$9,MIN($I323/$J323,$I323-SUM($K323:AJ323)),0),0)</f>
        <v>0</v>
      </c>
      <c r="AL323" s="20">
        <f>IFERROR(IF($F323&lt;=AL$9,MIN($I323/$J323,$I323-SUM($K323:AK323)),0),0)</f>
        <v>0</v>
      </c>
      <c r="AM323" s="20">
        <f>IFERROR(IF($F323&lt;=AM$9,MIN($I323/$J323,$I323-SUM($K323:AL323)),0),0)</f>
        <v>0</v>
      </c>
      <c r="AN323" s="20">
        <f>IFERROR(IF($F323&lt;=AN$9,MIN($I323/$J323,$I323-SUM($K323:AM323)),0),0)</f>
        <v>0</v>
      </c>
      <c r="AO323" s="28"/>
    </row>
    <row r="324" spans="1:41" ht="14.4" customHeight="1" outlineLevel="1" x14ac:dyDescent="0.3">
      <c r="F324" s="69" t="str">
        <v/>
      </c>
      <c r="H324" s="26" t="s">
        <v>245</v>
      </c>
      <c r="I324" s="128">
        <v>0</v>
      </c>
      <c r="J324" s="139">
        <v>0</v>
      </c>
      <c r="K324" s="89">
        <v>0</v>
      </c>
      <c r="L324" s="20">
        <f>IFERROR(IF($F324&lt;=L$9,MIN($I324/$J324,$I324-SUM($K324:K324)),0),0)</f>
        <v>0</v>
      </c>
      <c r="M324" s="20">
        <f>IFERROR(IF($F324&lt;=M$9,MIN($I324/$J324,$I324-SUM($K324:L324)),0),0)</f>
        <v>0</v>
      </c>
      <c r="N324" s="20">
        <f>IFERROR(IF($F324&lt;=N$9,MIN($I324/$J324,$I324-SUM($K324:M324)),0),0)</f>
        <v>0</v>
      </c>
      <c r="O324" s="20">
        <f>IFERROR(IF($F324&lt;=O$9,MIN($I324/$J324,$I324-SUM($K324:N324)),0),0)</f>
        <v>0</v>
      </c>
      <c r="P324" s="20">
        <f>IFERROR(IF($F324&lt;=P$9,MIN($I324/$J324,$I324-SUM($K324:O324)),0),0)</f>
        <v>0</v>
      </c>
      <c r="Q324" s="20">
        <f>IFERROR(IF($F324&lt;=Q$9,MIN($I324/$J324,$I324-SUM($K324:P324)),0),0)</f>
        <v>0</v>
      </c>
      <c r="R324" s="20">
        <f>IFERROR(IF($F324&lt;=R$9,MIN($I324/$J324,$I324-SUM($K324:Q324)),0),0)</f>
        <v>0</v>
      </c>
      <c r="S324" s="20">
        <f>IFERROR(IF($F324&lt;=S$9,MIN($I324/$J324,$I324-SUM($K324:R324)),0),0)</f>
        <v>0</v>
      </c>
      <c r="T324" s="20">
        <f>IFERROR(IF($F324&lt;=T$9,MIN($I324/$J324,$I324-SUM($K324:S324)),0),0)</f>
        <v>0</v>
      </c>
      <c r="U324" s="20">
        <f>IFERROR(IF($F324&lt;=U$9,MIN($I324/$J324,$I324-SUM($K324:T324)),0),0)</f>
        <v>0</v>
      </c>
      <c r="V324" s="20">
        <f>IFERROR(IF($F324&lt;=V$9,MIN($I324/$J324,$I324-SUM($K324:U324)),0),0)</f>
        <v>0</v>
      </c>
      <c r="W324" s="20">
        <f>IFERROR(IF($F324&lt;=W$9,MIN($I324/$J324,$I324-SUM($K324:V324)),0),0)</f>
        <v>0</v>
      </c>
      <c r="X324" s="20">
        <f>IFERROR(IF($F324&lt;=X$9,MIN($I324/$J324,$I324-SUM($K324:W324)),0),0)</f>
        <v>0</v>
      </c>
      <c r="Y324" s="20">
        <f>IFERROR(IF($F324&lt;=Y$9,MIN($I324/$J324,$I324-SUM($K324:X324)),0),0)</f>
        <v>0</v>
      </c>
      <c r="Z324" s="20">
        <f>IFERROR(IF($F324&lt;=Z$9,MIN($I324/$J324,$I324-SUM($K324:Y324)),0),0)</f>
        <v>0</v>
      </c>
      <c r="AA324" s="20">
        <f>IFERROR(IF($F324&lt;=AA$9,MIN($I324/$J324,$I324-SUM($K324:Z324)),0),0)</f>
        <v>0</v>
      </c>
      <c r="AB324" s="20">
        <f>IFERROR(IF($F324&lt;=AB$9,MIN($I324/$J324,$I324-SUM($K324:AA324)),0),0)</f>
        <v>0</v>
      </c>
      <c r="AC324" s="20">
        <f>IFERROR(IF($F324&lt;=AC$9,MIN($I324/$J324,$I324-SUM($K324:AB324)),0),0)</f>
        <v>0</v>
      </c>
      <c r="AD324" s="20">
        <f>IFERROR(IF($F324&lt;=AD$9,MIN($I324/$J324,$I324-SUM($K324:AC324)),0),0)</f>
        <v>0</v>
      </c>
      <c r="AE324" s="20">
        <f>IFERROR(IF($F324&lt;=AE$9,MIN($I324/$J324,$I324-SUM($K324:AD324)),0),0)</f>
        <v>0</v>
      </c>
      <c r="AF324" s="20">
        <f>IFERROR(IF($F324&lt;=AF$9,MIN($I324/$J324,$I324-SUM($K324:AE324)),0),0)</f>
        <v>0</v>
      </c>
      <c r="AG324" s="20">
        <f>IFERROR(IF($F324&lt;=AG$9,MIN($I324/$J324,$I324-SUM($K324:AF324)),0),0)</f>
        <v>0</v>
      </c>
      <c r="AH324" s="20">
        <f>IFERROR(IF($F324&lt;=AH$9,MIN($I324/$J324,$I324-SUM($K324:AG324)),0),0)</f>
        <v>0</v>
      </c>
      <c r="AI324" s="20">
        <f>IFERROR(IF($F324&lt;=AI$9,MIN($I324/$J324,$I324-SUM($K324:AH324)),0),0)</f>
        <v>0</v>
      </c>
      <c r="AJ324" s="20">
        <f>IFERROR(IF($F324&lt;=AJ$9,MIN($I324/$J324,$I324-SUM($K324:AI324)),0),0)</f>
        <v>0</v>
      </c>
      <c r="AK324" s="20">
        <f>IFERROR(IF($F324&lt;=AK$9,MIN($I324/$J324,$I324-SUM($K324:AJ324)),0),0)</f>
        <v>0</v>
      </c>
      <c r="AL324" s="20">
        <f>IFERROR(IF($F324&lt;=AL$9,MIN($I324/$J324,$I324-SUM($K324:AK324)),0),0)</f>
        <v>0</v>
      </c>
      <c r="AM324" s="20">
        <f>IFERROR(IF($F324&lt;=AM$9,MIN($I324/$J324,$I324-SUM($K324:AL324)),0),0)</f>
        <v>0</v>
      </c>
      <c r="AN324" s="20">
        <f>IFERROR(IF($F324&lt;=AN$9,MIN($I324/$J324,$I324-SUM($K324:AM324)),0),0)</f>
        <v>0</v>
      </c>
      <c r="AO324" s="28"/>
    </row>
    <row r="325" spans="1:41" ht="14.4" customHeight="1" outlineLevel="1" x14ac:dyDescent="0.3">
      <c r="F325" s="69" t="str">
        <v/>
      </c>
      <c r="H325" s="26" t="s">
        <v>245</v>
      </c>
      <c r="I325" s="128">
        <v>0</v>
      </c>
      <c r="J325" s="139">
        <v>0</v>
      </c>
      <c r="K325" s="89">
        <v>0</v>
      </c>
      <c r="L325" s="20">
        <f>IFERROR(IF($F325&lt;=L$9,MIN($I325/$J325,$I325-SUM($K325:K325)),0),0)</f>
        <v>0</v>
      </c>
      <c r="M325" s="20">
        <f>IFERROR(IF($F325&lt;=M$9,MIN($I325/$J325,$I325-SUM($K325:L325)),0),0)</f>
        <v>0</v>
      </c>
      <c r="N325" s="20">
        <f>IFERROR(IF($F325&lt;=N$9,MIN($I325/$J325,$I325-SUM($K325:M325)),0),0)</f>
        <v>0</v>
      </c>
      <c r="O325" s="20">
        <f>IFERROR(IF($F325&lt;=O$9,MIN($I325/$J325,$I325-SUM($K325:N325)),0),0)</f>
        <v>0</v>
      </c>
      <c r="P325" s="20">
        <f>IFERROR(IF($F325&lt;=P$9,MIN($I325/$J325,$I325-SUM($K325:O325)),0),0)</f>
        <v>0</v>
      </c>
      <c r="Q325" s="20">
        <f>IFERROR(IF($F325&lt;=Q$9,MIN($I325/$J325,$I325-SUM($K325:P325)),0),0)</f>
        <v>0</v>
      </c>
      <c r="R325" s="20">
        <f>IFERROR(IF($F325&lt;=R$9,MIN($I325/$J325,$I325-SUM($K325:Q325)),0),0)</f>
        <v>0</v>
      </c>
      <c r="S325" s="20">
        <f>IFERROR(IF($F325&lt;=S$9,MIN($I325/$J325,$I325-SUM($K325:R325)),0),0)</f>
        <v>0</v>
      </c>
      <c r="T325" s="20">
        <f>IFERROR(IF($F325&lt;=T$9,MIN($I325/$J325,$I325-SUM($K325:S325)),0),0)</f>
        <v>0</v>
      </c>
      <c r="U325" s="20">
        <f>IFERROR(IF($F325&lt;=U$9,MIN($I325/$J325,$I325-SUM($K325:T325)),0),0)</f>
        <v>0</v>
      </c>
      <c r="V325" s="20">
        <f>IFERROR(IF($F325&lt;=V$9,MIN($I325/$J325,$I325-SUM($K325:U325)),0),0)</f>
        <v>0</v>
      </c>
      <c r="W325" s="20">
        <f>IFERROR(IF($F325&lt;=W$9,MIN($I325/$J325,$I325-SUM($K325:V325)),0),0)</f>
        <v>0</v>
      </c>
      <c r="X325" s="20">
        <f>IFERROR(IF($F325&lt;=X$9,MIN($I325/$J325,$I325-SUM($K325:W325)),0),0)</f>
        <v>0</v>
      </c>
      <c r="Y325" s="20">
        <f>IFERROR(IF($F325&lt;=Y$9,MIN($I325/$J325,$I325-SUM($K325:X325)),0),0)</f>
        <v>0</v>
      </c>
      <c r="Z325" s="20">
        <f>IFERROR(IF($F325&lt;=Z$9,MIN($I325/$J325,$I325-SUM($K325:Y325)),0),0)</f>
        <v>0</v>
      </c>
      <c r="AA325" s="20">
        <f>IFERROR(IF($F325&lt;=AA$9,MIN($I325/$J325,$I325-SUM($K325:Z325)),0),0)</f>
        <v>0</v>
      </c>
      <c r="AB325" s="20">
        <f>IFERROR(IF($F325&lt;=AB$9,MIN($I325/$J325,$I325-SUM($K325:AA325)),0),0)</f>
        <v>0</v>
      </c>
      <c r="AC325" s="20">
        <f>IFERROR(IF($F325&lt;=AC$9,MIN($I325/$J325,$I325-SUM($K325:AB325)),0),0)</f>
        <v>0</v>
      </c>
      <c r="AD325" s="20">
        <f>IFERROR(IF($F325&lt;=AD$9,MIN($I325/$J325,$I325-SUM($K325:AC325)),0),0)</f>
        <v>0</v>
      </c>
      <c r="AE325" s="20">
        <f>IFERROR(IF($F325&lt;=AE$9,MIN($I325/$J325,$I325-SUM($K325:AD325)),0),0)</f>
        <v>0</v>
      </c>
      <c r="AF325" s="20">
        <f>IFERROR(IF($F325&lt;=AF$9,MIN($I325/$J325,$I325-SUM($K325:AE325)),0),0)</f>
        <v>0</v>
      </c>
      <c r="AG325" s="20">
        <f>IFERROR(IF($F325&lt;=AG$9,MIN($I325/$J325,$I325-SUM($K325:AF325)),0),0)</f>
        <v>0</v>
      </c>
      <c r="AH325" s="20">
        <f>IFERROR(IF($F325&lt;=AH$9,MIN($I325/$J325,$I325-SUM($K325:AG325)),0),0)</f>
        <v>0</v>
      </c>
      <c r="AI325" s="20">
        <f>IFERROR(IF($F325&lt;=AI$9,MIN($I325/$J325,$I325-SUM($K325:AH325)),0),0)</f>
        <v>0</v>
      </c>
      <c r="AJ325" s="20">
        <f>IFERROR(IF($F325&lt;=AJ$9,MIN($I325/$J325,$I325-SUM($K325:AI325)),0),0)</f>
        <v>0</v>
      </c>
      <c r="AK325" s="20">
        <f>IFERROR(IF($F325&lt;=AK$9,MIN($I325/$J325,$I325-SUM($K325:AJ325)),0),0)</f>
        <v>0</v>
      </c>
      <c r="AL325" s="20">
        <f>IFERROR(IF($F325&lt;=AL$9,MIN($I325/$J325,$I325-SUM($K325:AK325)),0),0)</f>
        <v>0</v>
      </c>
      <c r="AM325" s="20">
        <f>IFERROR(IF($F325&lt;=AM$9,MIN($I325/$J325,$I325-SUM($K325:AL325)),0),0)</f>
        <v>0</v>
      </c>
      <c r="AN325" s="20">
        <f>IFERROR(IF($F325&lt;=AN$9,MIN($I325/$J325,$I325-SUM($K325:AM325)),0),0)</f>
        <v>0</v>
      </c>
      <c r="AO325" s="28"/>
    </row>
    <row r="326" spans="1:41" ht="14.4" customHeight="1" outlineLevel="1" x14ac:dyDescent="0.3">
      <c r="H326" s="2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28"/>
    </row>
    <row r="327" spans="1:41" s="2" customFormat="1" ht="14.4" customHeight="1" outlineLevel="1" x14ac:dyDescent="0.3">
      <c r="A327" s="32"/>
      <c r="B327" s="32"/>
      <c r="C327" s="2" t="s">
        <v>144</v>
      </c>
      <c r="H327" s="30" t="s">
        <v>245</v>
      </c>
      <c r="K327" s="90"/>
      <c r="L327" s="88">
        <f>SUM(L297:L325)</f>
        <v>0</v>
      </c>
      <c r="M327" s="88">
        <f t="shared" ref="M327:AN327" si="114">SUM(M297:M325)</f>
        <v>0</v>
      </c>
      <c r="N327" s="88">
        <f t="shared" si="114"/>
        <v>0</v>
      </c>
      <c r="O327" s="88">
        <f t="shared" si="114"/>
        <v>0</v>
      </c>
      <c r="P327" s="88">
        <f t="shared" si="114"/>
        <v>0</v>
      </c>
      <c r="Q327" s="88">
        <f t="shared" si="114"/>
        <v>0</v>
      </c>
      <c r="R327" s="88">
        <f t="shared" si="114"/>
        <v>0</v>
      </c>
      <c r="S327" s="88">
        <f t="shared" si="114"/>
        <v>1.1185420123504644</v>
      </c>
      <c r="T327" s="88">
        <f t="shared" si="114"/>
        <v>1.1185420123504644</v>
      </c>
      <c r="U327" s="88">
        <f t="shared" si="114"/>
        <v>1.1185420123504644</v>
      </c>
      <c r="V327" s="88">
        <f t="shared" si="114"/>
        <v>1.1185420123504644</v>
      </c>
      <c r="W327" s="88">
        <f t="shared" si="114"/>
        <v>0.87235729857854449</v>
      </c>
      <c r="X327" s="88">
        <f t="shared" si="114"/>
        <v>0.87235729857854449</v>
      </c>
      <c r="Y327" s="88">
        <f t="shared" si="114"/>
        <v>0.87235729857854449</v>
      </c>
      <c r="Z327" s="88">
        <f t="shared" si="114"/>
        <v>0.87235729857854449</v>
      </c>
      <c r="AA327" s="88">
        <f t="shared" si="114"/>
        <v>0.87235729857854449</v>
      </c>
      <c r="AB327" s="88">
        <f t="shared" si="114"/>
        <v>0.87235729857854416</v>
      </c>
      <c r="AC327" s="88">
        <f t="shared" si="114"/>
        <v>0</v>
      </c>
      <c r="AD327" s="88">
        <f t="shared" si="114"/>
        <v>0</v>
      </c>
      <c r="AE327" s="88">
        <f t="shared" si="114"/>
        <v>0</v>
      </c>
      <c r="AF327" s="88">
        <f t="shared" si="114"/>
        <v>0</v>
      </c>
      <c r="AG327" s="88">
        <f t="shared" si="114"/>
        <v>0</v>
      </c>
      <c r="AH327" s="88">
        <f t="shared" si="114"/>
        <v>0</v>
      </c>
      <c r="AI327" s="88">
        <f t="shared" si="114"/>
        <v>0</v>
      </c>
      <c r="AJ327" s="88">
        <f t="shared" si="114"/>
        <v>0</v>
      </c>
      <c r="AK327" s="88">
        <f t="shared" si="114"/>
        <v>0</v>
      </c>
      <c r="AL327" s="88">
        <f t="shared" si="114"/>
        <v>0</v>
      </c>
      <c r="AM327" s="88">
        <f t="shared" si="114"/>
        <v>0</v>
      </c>
      <c r="AN327" s="88">
        <f t="shared" si="114"/>
        <v>0</v>
      </c>
      <c r="AO327" s="127"/>
    </row>
    <row r="328" spans="1:41" ht="14.4" customHeight="1" outlineLevel="1" x14ac:dyDescent="0.3">
      <c r="H328" s="2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28"/>
    </row>
    <row r="329" spans="1:41" ht="14.4" customHeight="1" outlineLevel="1" x14ac:dyDescent="0.3">
      <c r="C329" s="1" t="s">
        <v>297</v>
      </c>
      <c r="H329" s="26" t="s">
        <v>245</v>
      </c>
      <c r="K329" s="89">
        <v>0</v>
      </c>
      <c r="L329" s="20">
        <f>SUM($L$114:L114)-SUM($L$327:L327)</f>
        <v>0</v>
      </c>
      <c r="M329" s="20">
        <f>SUM($L$114:M114)-SUM($L$327:M327)</f>
        <v>0</v>
      </c>
      <c r="N329" s="20">
        <f>SUM($L$114:N114)-SUM($L$327:N327)</f>
        <v>0</v>
      </c>
      <c r="O329" s="20">
        <f>SUM($L$114:O114)-SUM($L$327:O327)</f>
        <v>0</v>
      </c>
      <c r="P329" s="20">
        <f>SUM($L$114:P114)-SUM($L$327:P327)</f>
        <v>0</v>
      </c>
      <c r="Q329" s="20">
        <f>SUM($L$114:Q114)-SUM($L$327:Q327)</f>
        <v>0</v>
      </c>
      <c r="R329" s="20">
        <f>SUM($L$114:R114)-SUM($L$327:R327)</f>
        <v>0</v>
      </c>
      <c r="S329" s="20">
        <f>SUM($L$114:S114)-SUM($L$327:S327)</f>
        <v>3.3556260370513931</v>
      </c>
      <c r="T329" s="20">
        <f>SUM($L$114:T114)-SUM($L$327:T327)</f>
        <v>2.2370840247009287</v>
      </c>
      <c r="U329" s="20">
        <f>SUM($L$114:U114)-SUM($L$327:U327)</f>
        <v>1.1185420123504644</v>
      </c>
      <c r="V329" s="20">
        <f>SUM($L$114:V114)-SUM($L$327:V327)</f>
        <v>0</v>
      </c>
      <c r="W329" s="20">
        <f>SUM($L$114:W114)-SUM($L$327:W327)</f>
        <v>4.3617864928927226</v>
      </c>
      <c r="X329" s="20">
        <f>SUM($L$114:X114)-SUM($L$327:X327)</f>
        <v>3.4894291943141784</v>
      </c>
      <c r="Y329" s="20">
        <f>SUM($L$114:Y114)-SUM($L$327:Y327)</f>
        <v>2.6170718957356343</v>
      </c>
      <c r="Z329" s="20">
        <f>SUM($L$114:Z114)-SUM($L$327:Z327)</f>
        <v>1.7447145971570901</v>
      </c>
      <c r="AA329" s="20">
        <f>SUM($L$114:AA114)-SUM($L$327:AA327)</f>
        <v>0.87235729857854594</v>
      </c>
      <c r="AB329" s="20">
        <f>SUM($L$114:AB114)-SUM($L$327:AB327)</f>
        <v>0</v>
      </c>
      <c r="AC329" s="20">
        <f>SUM($L$114:AC114)-SUM($L$327:AC327)</f>
        <v>0</v>
      </c>
      <c r="AD329" s="20">
        <f>SUM($L$114:AD114)-SUM($L$327:AD327)</f>
        <v>0</v>
      </c>
      <c r="AE329" s="20">
        <f>SUM($L$114:AE114)-SUM($L$327:AE327)</f>
        <v>0</v>
      </c>
      <c r="AF329" s="20">
        <f>SUM($L$114:AF114)-SUM($L$327:AF327)</f>
        <v>0</v>
      </c>
      <c r="AG329" s="20">
        <f>SUM($L$114:AG114)-SUM($L$327:AG327)</f>
        <v>0</v>
      </c>
      <c r="AH329" s="20">
        <f>SUM($L$114:AH114)-SUM($L$327:AH327)</f>
        <v>0</v>
      </c>
      <c r="AI329" s="20">
        <f>SUM($L$114:AI114)-SUM($L$327:AI327)</f>
        <v>0</v>
      </c>
      <c r="AJ329" s="20">
        <f>SUM($L$114:AJ114)-SUM($L$327:AJ327)</f>
        <v>0</v>
      </c>
      <c r="AK329" s="20">
        <f>SUM($L$114:AK114)-SUM($L$327:AK327)</f>
        <v>0</v>
      </c>
      <c r="AL329" s="20">
        <f>SUM($L$114:AL114)-SUM($L$327:AL327)</f>
        <v>0</v>
      </c>
      <c r="AM329" s="20">
        <f>SUM($L$114:AM114)-SUM($L$327:AM327)</f>
        <v>0</v>
      </c>
      <c r="AN329" s="20">
        <f>SUM($L$114:AN114)-SUM($L$327:AN327)</f>
        <v>0</v>
      </c>
      <c r="AO329" s="28"/>
    </row>
    <row r="330" spans="1:41" ht="14.4" customHeight="1" outlineLevel="1" x14ac:dyDescent="0.3">
      <c r="H330" s="2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28"/>
    </row>
    <row r="331" spans="1:41" ht="14.4" customHeight="1" outlineLevel="1" x14ac:dyDescent="0.3">
      <c r="C331" s="1" t="s">
        <v>411</v>
      </c>
      <c r="H331" s="26" t="s">
        <v>245</v>
      </c>
      <c r="K331" s="36"/>
      <c r="L331" s="20">
        <f>AVERAGE(K329,L329)</f>
        <v>0</v>
      </c>
      <c r="M331" s="20">
        <f t="shared" ref="M331:AN331" si="115">AVERAGE(L329,M329)</f>
        <v>0</v>
      </c>
      <c r="N331" s="20">
        <f t="shared" si="115"/>
        <v>0</v>
      </c>
      <c r="O331" s="20">
        <f t="shared" si="115"/>
        <v>0</v>
      </c>
      <c r="P331" s="20">
        <f t="shared" si="115"/>
        <v>0</v>
      </c>
      <c r="Q331" s="20">
        <f t="shared" si="115"/>
        <v>0</v>
      </c>
      <c r="R331" s="20">
        <f t="shared" si="115"/>
        <v>0</v>
      </c>
      <c r="S331" s="20">
        <f>AVERAGE(R329,S329)</f>
        <v>1.6778130185256965</v>
      </c>
      <c r="T331" s="20">
        <f t="shared" si="115"/>
        <v>2.7963550308761609</v>
      </c>
      <c r="U331" s="20">
        <f t="shared" si="115"/>
        <v>1.6778130185256965</v>
      </c>
      <c r="V331" s="20">
        <f t="shared" si="115"/>
        <v>0.55927100617523218</v>
      </c>
      <c r="W331" s="20">
        <f t="shared" si="115"/>
        <v>2.1808932464463613</v>
      </c>
      <c r="X331" s="20">
        <f t="shared" si="115"/>
        <v>3.9256078436034505</v>
      </c>
      <c r="Y331" s="20">
        <f t="shared" si="115"/>
        <v>3.0532505450249063</v>
      </c>
      <c r="Z331" s="20">
        <f t="shared" si="115"/>
        <v>2.1808932464463622</v>
      </c>
      <c r="AA331" s="20">
        <f t="shared" si="115"/>
        <v>1.308535947867818</v>
      </c>
      <c r="AB331" s="20">
        <f t="shared" si="115"/>
        <v>0.43617864928927297</v>
      </c>
      <c r="AC331" s="20">
        <f t="shared" si="115"/>
        <v>0</v>
      </c>
      <c r="AD331" s="20">
        <f t="shared" si="115"/>
        <v>0</v>
      </c>
      <c r="AE331" s="20">
        <f t="shared" si="115"/>
        <v>0</v>
      </c>
      <c r="AF331" s="20">
        <f t="shared" si="115"/>
        <v>0</v>
      </c>
      <c r="AG331" s="20">
        <f t="shared" si="115"/>
        <v>0</v>
      </c>
      <c r="AH331" s="20">
        <f t="shared" si="115"/>
        <v>0</v>
      </c>
      <c r="AI331" s="20">
        <f t="shared" si="115"/>
        <v>0</v>
      </c>
      <c r="AJ331" s="20">
        <f t="shared" si="115"/>
        <v>0</v>
      </c>
      <c r="AK331" s="20">
        <f t="shared" si="115"/>
        <v>0</v>
      </c>
      <c r="AL331" s="20">
        <f t="shared" si="115"/>
        <v>0</v>
      </c>
      <c r="AM331" s="20">
        <f t="shared" si="115"/>
        <v>0</v>
      </c>
      <c r="AN331" s="20">
        <f t="shared" si="115"/>
        <v>0</v>
      </c>
      <c r="AO331" s="28"/>
    </row>
    <row r="332" spans="1:41" ht="14.4" customHeight="1" outlineLevel="1" x14ac:dyDescent="0.3">
      <c r="H332" s="2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28"/>
    </row>
    <row r="333" spans="1:41" ht="14.4" customHeight="1" outlineLevel="1" x14ac:dyDescent="0.3">
      <c r="C333" s="2" t="s">
        <v>298</v>
      </c>
      <c r="H333" s="2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28"/>
    </row>
    <row r="334" spans="1:41" ht="14.4" customHeight="1" outlineLevel="1" x14ac:dyDescent="0.3">
      <c r="H334" s="2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28"/>
    </row>
    <row r="335" spans="1:41" ht="14.4" customHeight="1" outlineLevel="1" x14ac:dyDescent="0.3">
      <c r="C335" s="1" t="s">
        <v>126</v>
      </c>
      <c r="H335" s="26" t="s">
        <v>33</v>
      </c>
      <c r="K335" s="36"/>
      <c r="L335" s="130">
        <f>IF(L23=1,(IFERROR((INDEX(M9:$AN$9,MATCH(1,M23:$AN$23,0))),YEAR(Input!$H$14)))-Расчеты!L9,0)</f>
        <v>0</v>
      </c>
      <c r="M335" s="130">
        <f>IF(M23=1,(IFERROR((INDEX(N9:$AN$9,MATCH(1,N23:$AN$23,0))),YEAR(Input!$H$14)))-Расчеты!M9,0)</f>
        <v>0</v>
      </c>
      <c r="N335" s="130">
        <f>IF(N23=1,(IFERROR((INDEX(O9:$AN$9,MATCH(1,O23:$AN$23,0))),YEAR(Input!$H$14)))-Расчеты!N9,0)</f>
        <v>0</v>
      </c>
      <c r="O335" s="130">
        <f>IF(O23=1,(IFERROR((INDEX(P9:$AN$9,MATCH(1,P23:$AN$23,0))),YEAR(Input!$H$14)))-Расчеты!O9,0)</f>
        <v>0</v>
      </c>
      <c r="P335" s="130">
        <f>IF(P23=1,(IFERROR((INDEX(Q9:$AN$9,MATCH(1,Q23:$AN$23,0))),YEAR(Input!$H$14)))-Расчеты!P9,0)</f>
        <v>0</v>
      </c>
      <c r="Q335" s="130">
        <f>IF(Q23=1,(IFERROR((INDEX(R9:$AN$9,MATCH(1,R23:$AN$23,0))),YEAR(Input!$H$14)))-Расчеты!Q9,0)</f>
        <v>0</v>
      </c>
      <c r="R335" s="130">
        <f>IF(R23=1,(IFERROR((INDEX(S9:$AN$9,MATCH(1,S23:$AN$23,0))),YEAR(Input!$H$14)))-Расчеты!R9,0)</f>
        <v>0</v>
      </c>
      <c r="S335" s="130">
        <f>IF(S23=1,(IFERROR((INDEX(T9:$AN$9,MATCH(1,T23:$AN$23,0))),YEAR(Input!$H$14)))-Расчеты!S9,0)</f>
        <v>0</v>
      </c>
      <c r="T335" s="130">
        <f>IF(T23=1,(IFERROR((INDEX(U9:$AN$9,MATCH(1,U23:$AN$23,0))),YEAR(Input!$H$14)))-Расчеты!T9,0)</f>
        <v>0</v>
      </c>
      <c r="U335" s="130">
        <f>IF(U23=1,(IFERROR((INDEX(V9:$AN$9,MATCH(1,V23:$AN$23,0))),YEAR(Input!$H$14)))-Расчеты!U9,0)</f>
        <v>0</v>
      </c>
      <c r="V335" s="130">
        <f>IF(V23=1,(IFERROR((INDEX(W9:$AN$9,MATCH(1,W23:$AN$23,0))),YEAR(Input!$H$14)))-Расчеты!V9,0)</f>
        <v>0</v>
      </c>
      <c r="W335" s="130">
        <f>IF(W23=1,(IFERROR((INDEX(X9:$AN$9,MATCH(1,X23:$AN$23,0))),YEAR(Input!$H$14)))-Расчеты!W9,0)</f>
        <v>0</v>
      </c>
      <c r="X335" s="130">
        <f>IF(X23=1,(IFERROR((INDEX(Y9:$AN$9,MATCH(1,Y23:$AN$23,0))),YEAR(Input!$H$14)))-Расчеты!X9,0)</f>
        <v>0</v>
      </c>
      <c r="Y335" s="130">
        <f>IF(Y23=1,(IFERROR((INDEX(Z9:$AN$9,MATCH(1,Z23:$AN$23,0))),YEAR(Input!$H$14)))-Расчеты!Y9,0)</f>
        <v>0</v>
      </c>
      <c r="Z335" s="130">
        <f>IF(Z23=1,(IFERROR((INDEX(AA9:$AN$9,MATCH(1,AA23:$AN$23,0))),YEAR(Input!$H$14)))-Расчеты!Z9,0)</f>
        <v>3</v>
      </c>
      <c r="AA335" s="130">
        <f>IF(AA23=1,(IFERROR((INDEX(AB9:$AN$9,MATCH(1,AB23:$AN$23,0))),YEAR(Input!$H$14)))-Расчеты!AA9,0)</f>
        <v>0</v>
      </c>
      <c r="AB335" s="130">
        <f>IF(AB23=1,(IFERROR((INDEX(AC9:$AN$9,MATCH(1,AC23:$AN$23,0))),YEAR(Input!$H$14)))-Расчеты!AB9,0)</f>
        <v>0</v>
      </c>
      <c r="AC335" s="130">
        <f>IF(AC23=1,(IFERROR((INDEX(AD9:$AN$9,MATCH(1,AD23:$AN$23,0))),YEAR(Input!$H$14)))-Расчеты!AC9,0)</f>
        <v>0</v>
      </c>
      <c r="AD335" s="130">
        <f>IF(AD23=1,(IFERROR((INDEX(AE9:$AN$9,MATCH(1,AE23:$AN$23,0))),YEAR(Input!$H$14)))-Расчеты!AD9,0)</f>
        <v>0</v>
      </c>
      <c r="AE335" s="130">
        <f>IF(AE23=1,(IFERROR((INDEX(AF9:$AN$9,MATCH(1,AF23:$AN$23,0))),YEAR(Input!$H$14)))-Расчеты!AE9,0)</f>
        <v>0</v>
      </c>
      <c r="AF335" s="130">
        <f>IF(AF23=1,(IFERROR((INDEX(AG9:$AN$9,MATCH(1,AG23:$AN$23,0))),YEAR(Input!$H$14)))-Расчеты!AF9,0)</f>
        <v>0</v>
      </c>
      <c r="AG335" s="130">
        <f>IF(AG23=1,(IFERROR((INDEX(AH9:$AN$9,MATCH(1,AH23:$AN$23,0))),YEAR(Input!$H$14)))-Расчеты!AG9,0)</f>
        <v>0</v>
      </c>
      <c r="AH335" s="130">
        <f>IF(AH23=1,(IFERROR((INDEX(AI9:$AN$9,MATCH(1,AI23:$AN$23,0))),YEAR(Input!$H$14)))-Расчеты!AH9,0)</f>
        <v>0</v>
      </c>
      <c r="AI335" s="130">
        <f>IF(AI23=1,(IFERROR((INDEX(AJ9:$AN$9,MATCH(1,AJ23:$AN$23,0))),YEAR(Input!$H$14)))-Расчеты!AI9,0)</f>
        <v>0</v>
      </c>
      <c r="AJ335" s="130">
        <f>IF(AJ23=1,(IFERROR((INDEX(AK9:$AN$9,MATCH(1,AK23:$AN$23,0))),YEAR(Input!$H$14)))-Расчеты!AJ9,0)</f>
        <v>0</v>
      </c>
      <c r="AK335" s="130">
        <f>IF(AK23=1,(IFERROR((INDEX(AL9:$AN$9,MATCH(1,AL23:$AN$23,0))),YEAR(Input!$H$14)))-Расчеты!AK9,0)</f>
        <v>0</v>
      </c>
      <c r="AL335" s="130">
        <f>IF(AL23=1,(IFERROR((INDEX(AM9:$AN$9,MATCH(1,AM23:$AN$23,0))),YEAR(Input!$H$14)))-Расчеты!AL9,0)</f>
        <v>0</v>
      </c>
      <c r="AM335" s="130">
        <f>IF(AM23=1,(IFERROR((INDEX(AN9:$AN$9,MATCH(1,AN23:$AN$23,0))),YEAR(Input!$H$14)))-Расчеты!AM9,0)</f>
        <v>0</v>
      </c>
      <c r="AN335" s="130">
        <f>IF(AN23=1,(IFERROR((INDEX($AN9:AO$9,MATCH(1,$AN23:AO$23,0))),YEAR(Input!$H$14)))-Расчеты!AN9,0)</f>
        <v>0</v>
      </c>
      <c r="AO335" s="28"/>
    </row>
    <row r="336" spans="1:41" ht="14.4" customHeight="1" outlineLevel="1" x14ac:dyDescent="0.3">
      <c r="H336" s="2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28"/>
    </row>
    <row r="337" spans="6:41" ht="14.4" customHeight="1" outlineLevel="1" x14ac:dyDescent="0.3">
      <c r="F337" s="69" cm="1">
        <f t="array" ref="F337:F365">TRANSPOSE(L9:AN9)</f>
        <v>2024</v>
      </c>
      <c r="H337" s="26" t="s">
        <v>245</v>
      </c>
      <c r="I337" s="128" cm="1">
        <f t="array" ref="I337:I365">TRANSPOSE(L124:AN124)</f>
        <v>0</v>
      </c>
      <c r="J337" s="117" cm="1">
        <f t="array" ref="J337:J365">TRANSPOSE(L335:AN335)</f>
        <v>0</v>
      </c>
      <c r="K337" s="89">
        <v>0</v>
      </c>
      <c r="L337" s="20">
        <f>IFERROR(IF($F337&lt;=L$9,MIN($I337/$J337,$I337-SUM($K337:K337)),0),0)</f>
        <v>0</v>
      </c>
      <c r="M337" s="20">
        <f>IFERROR(IF($F337&lt;=M$9,MIN($I337/$J337,$I337-SUM($K337:L337)),0),0)</f>
        <v>0</v>
      </c>
      <c r="N337" s="20">
        <f>IFERROR(IF($F337&lt;=N$9,MIN($I337/$J337,$I337-SUM($K337:M337)),0),0)</f>
        <v>0</v>
      </c>
      <c r="O337" s="20">
        <f>IFERROR(IF($F337&lt;=O$9,MIN($I337/$J337,$I337-SUM($K337:N337)),0),0)</f>
        <v>0</v>
      </c>
      <c r="P337" s="20">
        <f>IFERROR(IF($F337&lt;=P$9,MIN($I337/$J337,$I337-SUM($K337:O337)),0),0)</f>
        <v>0</v>
      </c>
      <c r="Q337" s="20">
        <f>IFERROR(IF($F337&lt;=Q$9,MIN($I337/$J337,$I337-SUM($K337:P337)),0),0)</f>
        <v>0</v>
      </c>
      <c r="R337" s="20">
        <f>IFERROR(IF($F337&lt;=R$9,MIN($I337/$J337,$I337-SUM($K337:Q337)),0),0)</f>
        <v>0</v>
      </c>
      <c r="S337" s="20">
        <f>IFERROR(IF($F337&lt;=S$9,MIN($I337/$J337,$I337-SUM($K337:R337)),0),0)</f>
        <v>0</v>
      </c>
      <c r="T337" s="20">
        <f>IFERROR(IF($F337&lt;=T$9,MIN($I337/$J337,$I337-SUM($K337:S337)),0),0)</f>
        <v>0</v>
      </c>
      <c r="U337" s="20">
        <f>IFERROR(IF($F337&lt;=U$9,MIN($I337/$J337,$I337-SUM($K337:T337)),0),0)</f>
        <v>0</v>
      </c>
      <c r="V337" s="20">
        <f>IFERROR(IF($F337&lt;=V$9,MIN($I337/$J337,$I337-SUM($K337:U337)),0),0)</f>
        <v>0</v>
      </c>
      <c r="W337" s="20">
        <f>IFERROR(IF($F337&lt;=W$9,MIN($I337/$J337,$I337-SUM($K337:V337)),0),0)</f>
        <v>0</v>
      </c>
      <c r="X337" s="20">
        <f>IFERROR(IF($F337&lt;=X$9,MIN($I337/$J337,$I337-SUM($K337:W337)),0),0)</f>
        <v>0</v>
      </c>
      <c r="Y337" s="20">
        <f>IFERROR(IF($F337&lt;=Y$9,MIN($I337/$J337,$I337-SUM($K337:X337)),0),0)</f>
        <v>0</v>
      </c>
      <c r="Z337" s="20">
        <f>IFERROR(IF($F337&lt;=Z$9,MIN($I337/$J337,$I337-SUM($K337:Y337)),0),0)</f>
        <v>0</v>
      </c>
      <c r="AA337" s="20">
        <f>IFERROR(IF($F337&lt;=AA$9,MIN($I337/$J337,$I337-SUM($K337:Z337)),0),0)</f>
        <v>0</v>
      </c>
      <c r="AB337" s="20">
        <f>IFERROR(IF($F337&lt;=AB$9,MIN($I337/$J337,$I337-SUM($K337:AA337)),0),0)</f>
        <v>0</v>
      </c>
      <c r="AC337" s="20">
        <f>IFERROR(IF($F337&lt;=AC$9,MIN($I337/$J337,$I337-SUM($K337:AB337)),0),0)</f>
        <v>0</v>
      </c>
      <c r="AD337" s="20">
        <f>IFERROR(IF($F337&lt;=AD$9,MIN($I337/$J337,$I337-SUM($K337:AC337)),0),0)</f>
        <v>0</v>
      </c>
      <c r="AE337" s="20">
        <f>IFERROR(IF($F337&lt;=AE$9,MIN($I337/$J337,$I337-SUM($K337:AD337)),0),0)</f>
        <v>0</v>
      </c>
      <c r="AF337" s="20">
        <f>IFERROR(IF($F337&lt;=AF$9,MIN($I337/$J337,$I337-SUM($K337:AE337)),0),0)</f>
        <v>0</v>
      </c>
      <c r="AG337" s="20">
        <f>IFERROR(IF($F337&lt;=AG$9,MIN($I337/$J337,$I337-SUM($K337:AF337)),0),0)</f>
        <v>0</v>
      </c>
      <c r="AH337" s="20">
        <f>IFERROR(IF($F337&lt;=AH$9,MIN($I337/$J337,$I337-SUM($K337:AG337)),0),0)</f>
        <v>0</v>
      </c>
      <c r="AI337" s="20">
        <f>IFERROR(IF($F337&lt;=AI$9,MIN($I337/$J337,$I337-SUM($K337:AH337)),0),0)</f>
        <v>0</v>
      </c>
      <c r="AJ337" s="20">
        <f>IFERROR(IF($F337&lt;=AJ$9,MIN($I337/$J337,$I337-SUM($K337:AI337)),0),0)</f>
        <v>0</v>
      </c>
      <c r="AK337" s="20">
        <f>IFERROR(IF($F337&lt;=AK$9,MIN($I337/$J337,$I337-SUM($K337:AJ337)),0),0)</f>
        <v>0</v>
      </c>
      <c r="AL337" s="20">
        <f>IFERROR(IF($F337&lt;=AL$9,MIN($I337/$J337,$I337-SUM($K337:AK337)),0),0)</f>
        <v>0</v>
      </c>
      <c r="AM337" s="20">
        <f>IFERROR(IF($F337&lt;=AM$9,MIN($I337/$J337,$I337-SUM($K337:AL337)),0),0)</f>
        <v>0</v>
      </c>
      <c r="AN337" s="20">
        <f>IFERROR(IF($F337&lt;=AN$9,MIN($I337/$J337,$I337-SUM($K337:AM337)),0),0)</f>
        <v>0</v>
      </c>
      <c r="AO337" s="28"/>
    </row>
    <row r="338" spans="6:41" ht="14.4" customHeight="1" outlineLevel="1" x14ac:dyDescent="0.3">
      <c r="F338" s="69">
        <v>2025</v>
      </c>
      <c r="H338" s="26" t="s">
        <v>245</v>
      </c>
      <c r="I338" s="128">
        <v>0</v>
      </c>
      <c r="J338" s="117">
        <v>0</v>
      </c>
      <c r="K338" s="89">
        <v>0</v>
      </c>
      <c r="L338" s="20">
        <f>IFERROR(IF($F338&lt;=L$9,MIN($I338/$J338,$I338-SUM($K338:K338)),0),0)</f>
        <v>0</v>
      </c>
      <c r="M338" s="20">
        <f>IFERROR(IF($F338&lt;=M$9,MIN($I338/$J338,$I338-SUM($K338:L338)),0),0)</f>
        <v>0</v>
      </c>
      <c r="N338" s="20">
        <f>IFERROR(IF($F338&lt;=N$9,MIN($I338/$J338,$I338-SUM($K338:M338)),0),0)</f>
        <v>0</v>
      </c>
      <c r="O338" s="20">
        <f>IFERROR(IF($F338&lt;=O$9,MIN($I338/$J338,$I338-SUM($K338:N338)),0),0)</f>
        <v>0</v>
      </c>
      <c r="P338" s="20">
        <f>IFERROR(IF($F338&lt;=P$9,MIN($I338/$J338,$I338-SUM($K338:O338)),0),0)</f>
        <v>0</v>
      </c>
      <c r="Q338" s="20">
        <f>IFERROR(IF($F338&lt;=Q$9,MIN($I338/$J338,$I338-SUM($K338:P338)),0),0)</f>
        <v>0</v>
      </c>
      <c r="R338" s="20">
        <f>IFERROR(IF($F338&lt;=R$9,MIN($I338/$J338,$I338-SUM($K338:Q338)),0),0)</f>
        <v>0</v>
      </c>
      <c r="S338" s="20">
        <f>IFERROR(IF($F338&lt;=S$9,MIN($I338/$J338,$I338-SUM($K338:R338)),0),0)</f>
        <v>0</v>
      </c>
      <c r="T338" s="20">
        <f>IFERROR(IF($F338&lt;=T$9,MIN($I338/$J338,$I338-SUM($K338:S338)),0),0)</f>
        <v>0</v>
      </c>
      <c r="U338" s="20">
        <f>IFERROR(IF($F338&lt;=U$9,MIN($I338/$J338,$I338-SUM($K338:T338)),0),0)</f>
        <v>0</v>
      </c>
      <c r="V338" s="20">
        <f>IFERROR(IF($F338&lt;=V$9,MIN($I338/$J338,$I338-SUM($K338:U338)),0),0)</f>
        <v>0</v>
      </c>
      <c r="W338" s="20">
        <f>IFERROR(IF($F338&lt;=W$9,MIN($I338/$J338,$I338-SUM($K338:V338)),0),0)</f>
        <v>0</v>
      </c>
      <c r="X338" s="20">
        <f>IFERROR(IF($F338&lt;=X$9,MIN($I338/$J338,$I338-SUM($K338:W338)),0),0)</f>
        <v>0</v>
      </c>
      <c r="Y338" s="20">
        <f>IFERROR(IF($F338&lt;=Y$9,MIN($I338/$J338,$I338-SUM($K338:X338)),0),0)</f>
        <v>0</v>
      </c>
      <c r="Z338" s="20">
        <f>IFERROR(IF($F338&lt;=Z$9,MIN($I338/$J338,$I338-SUM($K338:Y338)),0),0)</f>
        <v>0</v>
      </c>
      <c r="AA338" s="20">
        <f>IFERROR(IF($F338&lt;=AA$9,MIN($I338/$J338,$I338-SUM($K338:Z338)),0),0)</f>
        <v>0</v>
      </c>
      <c r="AB338" s="20">
        <f>IFERROR(IF($F338&lt;=AB$9,MIN($I338/$J338,$I338-SUM($K338:AA338)),0),0)</f>
        <v>0</v>
      </c>
      <c r="AC338" s="20">
        <f>IFERROR(IF($F338&lt;=AC$9,MIN($I338/$J338,$I338-SUM($K338:AB338)),0),0)</f>
        <v>0</v>
      </c>
      <c r="AD338" s="20">
        <f>IFERROR(IF($F338&lt;=AD$9,MIN($I338/$J338,$I338-SUM($K338:AC338)),0),0)</f>
        <v>0</v>
      </c>
      <c r="AE338" s="20">
        <f>IFERROR(IF($F338&lt;=AE$9,MIN($I338/$J338,$I338-SUM($K338:AD338)),0),0)</f>
        <v>0</v>
      </c>
      <c r="AF338" s="20">
        <f>IFERROR(IF($F338&lt;=AF$9,MIN($I338/$J338,$I338-SUM($K338:AE338)),0),0)</f>
        <v>0</v>
      </c>
      <c r="AG338" s="20">
        <f>IFERROR(IF($F338&lt;=AG$9,MIN($I338/$J338,$I338-SUM($K338:AF338)),0),0)</f>
        <v>0</v>
      </c>
      <c r="AH338" s="20">
        <f>IFERROR(IF($F338&lt;=AH$9,MIN($I338/$J338,$I338-SUM($K338:AG338)),0),0)</f>
        <v>0</v>
      </c>
      <c r="AI338" s="20">
        <f>IFERROR(IF($F338&lt;=AI$9,MIN($I338/$J338,$I338-SUM($K338:AH338)),0),0)</f>
        <v>0</v>
      </c>
      <c r="AJ338" s="20">
        <f>IFERROR(IF($F338&lt;=AJ$9,MIN($I338/$J338,$I338-SUM($K338:AI338)),0),0)</f>
        <v>0</v>
      </c>
      <c r="AK338" s="20">
        <f>IFERROR(IF($F338&lt;=AK$9,MIN($I338/$J338,$I338-SUM($K338:AJ338)),0),0)</f>
        <v>0</v>
      </c>
      <c r="AL338" s="20">
        <f>IFERROR(IF($F338&lt;=AL$9,MIN($I338/$J338,$I338-SUM($K338:AK338)),0),0)</f>
        <v>0</v>
      </c>
      <c r="AM338" s="20">
        <f>IFERROR(IF($F338&lt;=AM$9,MIN($I338/$J338,$I338-SUM($K338:AL338)),0),0)</f>
        <v>0</v>
      </c>
      <c r="AN338" s="20">
        <f>IFERROR(IF($F338&lt;=AN$9,MIN($I338/$J338,$I338-SUM($K338:AM338)),0),0)</f>
        <v>0</v>
      </c>
      <c r="AO338" s="28"/>
    </row>
    <row r="339" spans="6:41" ht="14.4" customHeight="1" outlineLevel="1" x14ac:dyDescent="0.3">
      <c r="F339" s="69">
        <v>2026</v>
      </c>
      <c r="H339" s="26" t="s">
        <v>245</v>
      </c>
      <c r="I339" s="128">
        <v>0</v>
      </c>
      <c r="J339" s="117">
        <v>0</v>
      </c>
      <c r="K339" s="89">
        <v>0</v>
      </c>
      <c r="L339" s="20">
        <f>IFERROR(IF($F339&lt;=L$9,MIN($I339/$J339,$I339-SUM($K339:K339)),0),0)</f>
        <v>0</v>
      </c>
      <c r="M339" s="20">
        <f>IFERROR(IF($F339&lt;=M$9,MIN($I339/$J339,$I339-SUM($K339:L339)),0),0)</f>
        <v>0</v>
      </c>
      <c r="N339" s="20">
        <f>IFERROR(IF($F339&lt;=N$9,MIN($I339/$J339,$I339-SUM($K339:M339)),0),0)</f>
        <v>0</v>
      </c>
      <c r="O339" s="20">
        <f>IFERROR(IF($F339&lt;=O$9,MIN($I339/$J339,$I339-SUM($K339:N339)),0),0)</f>
        <v>0</v>
      </c>
      <c r="P339" s="20">
        <f>IFERROR(IF($F339&lt;=P$9,MIN($I339/$J339,$I339-SUM($K339:O339)),0),0)</f>
        <v>0</v>
      </c>
      <c r="Q339" s="20">
        <f>IFERROR(IF($F339&lt;=Q$9,MIN($I339/$J339,$I339-SUM($K339:P339)),0),0)</f>
        <v>0</v>
      </c>
      <c r="R339" s="20">
        <f>IFERROR(IF($F339&lt;=R$9,MIN($I339/$J339,$I339-SUM($K339:Q339)),0),0)</f>
        <v>0</v>
      </c>
      <c r="S339" s="20">
        <f>IFERROR(IF($F339&lt;=S$9,MIN($I339/$J339,$I339-SUM($K339:R339)),0),0)</f>
        <v>0</v>
      </c>
      <c r="T339" s="20">
        <f>IFERROR(IF($F339&lt;=T$9,MIN($I339/$J339,$I339-SUM($K339:S339)),0),0)</f>
        <v>0</v>
      </c>
      <c r="U339" s="20">
        <f>IFERROR(IF($F339&lt;=U$9,MIN($I339/$J339,$I339-SUM($K339:T339)),0),0)</f>
        <v>0</v>
      </c>
      <c r="V339" s="20">
        <f>IFERROR(IF($F339&lt;=V$9,MIN($I339/$J339,$I339-SUM($K339:U339)),0),0)</f>
        <v>0</v>
      </c>
      <c r="W339" s="20">
        <f>IFERROR(IF($F339&lt;=W$9,MIN($I339/$J339,$I339-SUM($K339:V339)),0),0)</f>
        <v>0</v>
      </c>
      <c r="X339" s="20">
        <f>IFERROR(IF($F339&lt;=X$9,MIN($I339/$J339,$I339-SUM($K339:W339)),0),0)</f>
        <v>0</v>
      </c>
      <c r="Y339" s="20">
        <f>IFERROR(IF($F339&lt;=Y$9,MIN($I339/$J339,$I339-SUM($K339:X339)),0),0)</f>
        <v>0</v>
      </c>
      <c r="Z339" s="20">
        <f>IFERROR(IF($F339&lt;=Z$9,MIN($I339/$J339,$I339-SUM($K339:Y339)),0),0)</f>
        <v>0</v>
      </c>
      <c r="AA339" s="20">
        <f>IFERROR(IF($F339&lt;=AA$9,MIN($I339/$J339,$I339-SUM($K339:Z339)),0),0)</f>
        <v>0</v>
      </c>
      <c r="AB339" s="20">
        <f>IFERROR(IF($F339&lt;=AB$9,MIN($I339/$J339,$I339-SUM($K339:AA339)),0),0)</f>
        <v>0</v>
      </c>
      <c r="AC339" s="20">
        <f>IFERROR(IF($F339&lt;=AC$9,MIN($I339/$J339,$I339-SUM($K339:AB339)),0),0)</f>
        <v>0</v>
      </c>
      <c r="AD339" s="20">
        <f>IFERROR(IF($F339&lt;=AD$9,MIN($I339/$J339,$I339-SUM($K339:AC339)),0),0)</f>
        <v>0</v>
      </c>
      <c r="AE339" s="20">
        <f>IFERROR(IF($F339&lt;=AE$9,MIN($I339/$J339,$I339-SUM($K339:AD339)),0),0)</f>
        <v>0</v>
      </c>
      <c r="AF339" s="20">
        <f>IFERROR(IF($F339&lt;=AF$9,MIN($I339/$J339,$I339-SUM($K339:AE339)),0),0)</f>
        <v>0</v>
      </c>
      <c r="AG339" s="20">
        <f>IFERROR(IF($F339&lt;=AG$9,MIN($I339/$J339,$I339-SUM($K339:AF339)),0),0)</f>
        <v>0</v>
      </c>
      <c r="AH339" s="20">
        <f>IFERROR(IF($F339&lt;=AH$9,MIN($I339/$J339,$I339-SUM($K339:AG339)),0),0)</f>
        <v>0</v>
      </c>
      <c r="AI339" s="20">
        <f>IFERROR(IF($F339&lt;=AI$9,MIN($I339/$J339,$I339-SUM($K339:AH339)),0),0)</f>
        <v>0</v>
      </c>
      <c r="AJ339" s="20">
        <f>IFERROR(IF($F339&lt;=AJ$9,MIN($I339/$J339,$I339-SUM($K339:AI339)),0),0)</f>
        <v>0</v>
      </c>
      <c r="AK339" s="20">
        <f>IFERROR(IF($F339&lt;=AK$9,MIN($I339/$J339,$I339-SUM($K339:AJ339)),0),0)</f>
        <v>0</v>
      </c>
      <c r="AL339" s="20">
        <f>IFERROR(IF($F339&lt;=AL$9,MIN($I339/$J339,$I339-SUM($K339:AK339)),0),0)</f>
        <v>0</v>
      </c>
      <c r="AM339" s="20">
        <f>IFERROR(IF($F339&lt;=AM$9,MIN($I339/$J339,$I339-SUM($K339:AL339)),0),0)</f>
        <v>0</v>
      </c>
      <c r="AN339" s="20">
        <f>IFERROR(IF($F339&lt;=AN$9,MIN($I339/$J339,$I339-SUM($K339:AM339)),0),0)</f>
        <v>0</v>
      </c>
      <c r="AO339" s="28"/>
    </row>
    <row r="340" spans="6:41" ht="14.4" customHeight="1" outlineLevel="1" x14ac:dyDescent="0.3">
      <c r="F340" s="69">
        <v>2027</v>
      </c>
      <c r="H340" s="26" t="s">
        <v>245</v>
      </c>
      <c r="I340" s="128">
        <v>0</v>
      </c>
      <c r="J340" s="117">
        <v>0</v>
      </c>
      <c r="K340" s="89">
        <v>0</v>
      </c>
      <c r="L340" s="20">
        <f>IFERROR(IF($F340&lt;=L$9,MIN($I340/$J340,$I340-SUM($K340:K340)),0),0)</f>
        <v>0</v>
      </c>
      <c r="M340" s="20">
        <f>IFERROR(IF($F340&lt;=M$9,MIN($I340/$J340,$I340-SUM($K340:L340)),0),0)</f>
        <v>0</v>
      </c>
      <c r="N340" s="20">
        <f>IFERROR(IF($F340&lt;=N$9,MIN($I340/$J340,$I340-SUM($K340:M340)),0),0)</f>
        <v>0</v>
      </c>
      <c r="O340" s="20">
        <f>IFERROR(IF($F340&lt;=O$9,MIN($I340/$J340,$I340-SUM($K340:N340)),0),0)</f>
        <v>0</v>
      </c>
      <c r="P340" s="20">
        <f>IFERROR(IF($F340&lt;=P$9,MIN($I340/$J340,$I340-SUM($K340:O340)),0),0)</f>
        <v>0</v>
      </c>
      <c r="Q340" s="20">
        <f>IFERROR(IF($F340&lt;=Q$9,MIN($I340/$J340,$I340-SUM($K340:P340)),0),0)</f>
        <v>0</v>
      </c>
      <c r="R340" s="20">
        <f>IFERROR(IF($F340&lt;=R$9,MIN($I340/$J340,$I340-SUM($K340:Q340)),0),0)</f>
        <v>0</v>
      </c>
      <c r="S340" s="20">
        <f>IFERROR(IF($F340&lt;=S$9,MIN($I340/$J340,$I340-SUM($K340:R340)),0),0)</f>
        <v>0</v>
      </c>
      <c r="T340" s="20">
        <f>IFERROR(IF($F340&lt;=T$9,MIN($I340/$J340,$I340-SUM($K340:S340)),0),0)</f>
        <v>0</v>
      </c>
      <c r="U340" s="20">
        <f>IFERROR(IF($F340&lt;=U$9,MIN($I340/$J340,$I340-SUM($K340:T340)),0),0)</f>
        <v>0</v>
      </c>
      <c r="V340" s="20">
        <f>IFERROR(IF($F340&lt;=V$9,MIN($I340/$J340,$I340-SUM($K340:U340)),0),0)</f>
        <v>0</v>
      </c>
      <c r="W340" s="20">
        <f>IFERROR(IF($F340&lt;=W$9,MIN($I340/$J340,$I340-SUM($K340:V340)),0),0)</f>
        <v>0</v>
      </c>
      <c r="X340" s="20">
        <f>IFERROR(IF($F340&lt;=X$9,MIN($I340/$J340,$I340-SUM($K340:W340)),0),0)</f>
        <v>0</v>
      </c>
      <c r="Y340" s="20">
        <f>IFERROR(IF($F340&lt;=Y$9,MIN($I340/$J340,$I340-SUM($K340:X340)),0),0)</f>
        <v>0</v>
      </c>
      <c r="Z340" s="20">
        <f>IFERROR(IF($F340&lt;=Z$9,MIN($I340/$J340,$I340-SUM($K340:Y340)),0),0)</f>
        <v>0</v>
      </c>
      <c r="AA340" s="20">
        <f>IFERROR(IF($F340&lt;=AA$9,MIN($I340/$J340,$I340-SUM($K340:Z340)),0),0)</f>
        <v>0</v>
      </c>
      <c r="AB340" s="20">
        <f>IFERROR(IF($F340&lt;=AB$9,MIN($I340/$J340,$I340-SUM($K340:AA340)),0),0)</f>
        <v>0</v>
      </c>
      <c r="AC340" s="20">
        <f>IFERROR(IF($F340&lt;=AC$9,MIN($I340/$J340,$I340-SUM($K340:AB340)),0),0)</f>
        <v>0</v>
      </c>
      <c r="AD340" s="20">
        <f>IFERROR(IF($F340&lt;=AD$9,MIN($I340/$J340,$I340-SUM($K340:AC340)),0),0)</f>
        <v>0</v>
      </c>
      <c r="AE340" s="20">
        <f>IFERROR(IF($F340&lt;=AE$9,MIN($I340/$J340,$I340-SUM($K340:AD340)),0),0)</f>
        <v>0</v>
      </c>
      <c r="AF340" s="20">
        <f>IFERROR(IF($F340&lt;=AF$9,MIN($I340/$J340,$I340-SUM($K340:AE340)),0),0)</f>
        <v>0</v>
      </c>
      <c r="AG340" s="20">
        <f>IFERROR(IF($F340&lt;=AG$9,MIN($I340/$J340,$I340-SUM($K340:AF340)),0),0)</f>
        <v>0</v>
      </c>
      <c r="AH340" s="20">
        <f>IFERROR(IF($F340&lt;=AH$9,MIN($I340/$J340,$I340-SUM($K340:AG340)),0),0)</f>
        <v>0</v>
      </c>
      <c r="AI340" s="20">
        <f>IFERROR(IF($F340&lt;=AI$9,MIN($I340/$J340,$I340-SUM($K340:AH340)),0),0)</f>
        <v>0</v>
      </c>
      <c r="AJ340" s="20">
        <f>IFERROR(IF($F340&lt;=AJ$9,MIN($I340/$J340,$I340-SUM($K340:AI340)),0),0)</f>
        <v>0</v>
      </c>
      <c r="AK340" s="20">
        <f>IFERROR(IF($F340&lt;=AK$9,MIN($I340/$J340,$I340-SUM($K340:AJ340)),0),0)</f>
        <v>0</v>
      </c>
      <c r="AL340" s="20">
        <f>IFERROR(IF($F340&lt;=AL$9,MIN($I340/$J340,$I340-SUM($K340:AK340)),0),0)</f>
        <v>0</v>
      </c>
      <c r="AM340" s="20">
        <f>IFERROR(IF($F340&lt;=AM$9,MIN($I340/$J340,$I340-SUM($K340:AL340)),0),0)</f>
        <v>0</v>
      </c>
      <c r="AN340" s="20">
        <f>IFERROR(IF($F340&lt;=AN$9,MIN($I340/$J340,$I340-SUM($K340:AM340)),0),0)</f>
        <v>0</v>
      </c>
      <c r="AO340" s="28"/>
    </row>
    <row r="341" spans="6:41" ht="14.4" customHeight="1" outlineLevel="1" x14ac:dyDescent="0.3">
      <c r="F341" s="69">
        <v>2028</v>
      </c>
      <c r="H341" s="26" t="s">
        <v>245</v>
      </c>
      <c r="I341" s="128">
        <v>0</v>
      </c>
      <c r="J341" s="117">
        <v>0</v>
      </c>
      <c r="K341" s="89">
        <v>0</v>
      </c>
      <c r="L341" s="20">
        <f>IFERROR(IF($F341&lt;=L$9,MIN($I341/$J341,$I341-SUM($K341:K341)),0),0)</f>
        <v>0</v>
      </c>
      <c r="M341" s="20">
        <f>IFERROR(IF($F341&lt;=M$9,MIN($I341/$J341,$I341-SUM($K341:L341)),0),0)</f>
        <v>0</v>
      </c>
      <c r="N341" s="20">
        <f>IFERROR(IF($F341&lt;=N$9,MIN($I341/$J341,$I341-SUM($K341:M341)),0),0)</f>
        <v>0</v>
      </c>
      <c r="O341" s="20">
        <f>IFERROR(IF($F341&lt;=O$9,MIN($I341/$J341,$I341-SUM($K341:N341)),0),0)</f>
        <v>0</v>
      </c>
      <c r="P341" s="20">
        <f>IFERROR(IF($F341&lt;=P$9,MIN($I341/$J341,$I341-SUM($K341:O341)),0),0)</f>
        <v>0</v>
      </c>
      <c r="Q341" s="20">
        <f>IFERROR(IF($F341&lt;=Q$9,MIN($I341/$J341,$I341-SUM($K341:P341)),0),0)</f>
        <v>0</v>
      </c>
      <c r="R341" s="20">
        <f>IFERROR(IF($F341&lt;=R$9,MIN($I341/$J341,$I341-SUM($K341:Q341)),0),0)</f>
        <v>0</v>
      </c>
      <c r="S341" s="20">
        <f>IFERROR(IF($F341&lt;=S$9,MIN($I341/$J341,$I341-SUM($K341:R341)),0),0)</f>
        <v>0</v>
      </c>
      <c r="T341" s="20">
        <f>IFERROR(IF($F341&lt;=T$9,MIN($I341/$J341,$I341-SUM($K341:S341)),0),0)</f>
        <v>0</v>
      </c>
      <c r="U341" s="20">
        <f>IFERROR(IF($F341&lt;=U$9,MIN($I341/$J341,$I341-SUM($K341:T341)),0),0)</f>
        <v>0</v>
      </c>
      <c r="V341" s="20">
        <f>IFERROR(IF($F341&lt;=V$9,MIN($I341/$J341,$I341-SUM($K341:U341)),0),0)</f>
        <v>0</v>
      </c>
      <c r="W341" s="20">
        <f>IFERROR(IF($F341&lt;=W$9,MIN($I341/$J341,$I341-SUM($K341:V341)),0),0)</f>
        <v>0</v>
      </c>
      <c r="X341" s="20">
        <f>IFERROR(IF($F341&lt;=X$9,MIN($I341/$J341,$I341-SUM($K341:W341)),0),0)</f>
        <v>0</v>
      </c>
      <c r="Y341" s="20">
        <f>IFERROR(IF($F341&lt;=Y$9,MIN($I341/$J341,$I341-SUM($K341:X341)),0),0)</f>
        <v>0</v>
      </c>
      <c r="Z341" s="20">
        <f>IFERROR(IF($F341&lt;=Z$9,MIN($I341/$J341,$I341-SUM($K341:Y341)),0),0)</f>
        <v>0</v>
      </c>
      <c r="AA341" s="20">
        <f>IFERROR(IF($F341&lt;=AA$9,MIN($I341/$J341,$I341-SUM($K341:Z341)),0),0)</f>
        <v>0</v>
      </c>
      <c r="AB341" s="20">
        <f>IFERROR(IF($F341&lt;=AB$9,MIN($I341/$J341,$I341-SUM($K341:AA341)),0),0)</f>
        <v>0</v>
      </c>
      <c r="AC341" s="20">
        <f>IFERROR(IF($F341&lt;=AC$9,MIN($I341/$J341,$I341-SUM($K341:AB341)),0),0)</f>
        <v>0</v>
      </c>
      <c r="AD341" s="20">
        <f>IFERROR(IF($F341&lt;=AD$9,MIN($I341/$J341,$I341-SUM($K341:AC341)),0),0)</f>
        <v>0</v>
      </c>
      <c r="AE341" s="20">
        <f>IFERROR(IF($F341&lt;=AE$9,MIN($I341/$J341,$I341-SUM($K341:AD341)),0),0)</f>
        <v>0</v>
      </c>
      <c r="AF341" s="20">
        <f>IFERROR(IF($F341&lt;=AF$9,MIN($I341/$J341,$I341-SUM($K341:AE341)),0),0)</f>
        <v>0</v>
      </c>
      <c r="AG341" s="20">
        <f>IFERROR(IF($F341&lt;=AG$9,MIN($I341/$J341,$I341-SUM($K341:AF341)),0),0)</f>
        <v>0</v>
      </c>
      <c r="AH341" s="20">
        <f>IFERROR(IF($F341&lt;=AH$9,MIN($I341/$J341,$I341-SUM($K341:AG341)),0),0)</f>
        <v>0</v>
      </c>
      <c r="AI341" s="20">
        <f>IFERROR(IF($F341&lt;=AI$9,MIN($I341/$J341,$I341-SUM($K341:AH341)),0),0)</f>
        <v>0</v>
      </c>
      <c r="AJ341" s="20">
        <f>IFERROR(IF($F341&lt;=AJ$9,MIN($I341/$J341,$I341-SUM($K341:AI341)),0),0)</f>
        <v>0</v>
      </c>
      <c r="AK341" s="20">
        <f>IFERROR(IF($F341&lt;=AK$9,MIN($I341/$J341,$I341-SUM($K341:AJ341)),0),0)</f>
        <v>0</v>
      </c>
      <c r="AL341" s="20">
        <f>IFERROR(IF($F341&lt;=AL$9,MIN($I341/$J341,$I341-SUM($K341:AK341)),0),0)</f>
        <v>0</v>
      </c>
      <c r="AM341" s="20">
        <f>IFERROR(IF($F341&lt;=AM$9,MIN($I341/$J341,$I341-SUM($K341:AL341)),0),0)</f>
        <v>0</v>
      </c>
      <c r="AN341" s="20">
        <f>IFERROR(IF($F341&lt;=AN$9,MIN($I341/$J341,$I341-SUM($K341:AM341)),0),0)</f>
        <v>0</v>
      </c>
      <c r="AO341" s="28"/>
    </row>
    <row r="342" spans="6:41" ht="14.4" customHeight="1" outlineLevel="1" x14ac:dyDescent="0.3">
      <c r="F342" s="69">
        <v>2029</v>
      </c>
      <c r="H342" s="26" t="s">
        <v>245</v>
      </c>
      <c r="I342" s="128">
        <v>0</v>
      </c>
      <c r="J342" s="117">
        <v>0</v>
      </c>
      <c r="K342" s="89">
        <v>0</v>
      </c>
      <c r="L342" s="20">
        <f>IFERROR(IF($F342&lt;=L$9,MIN($I342/$J342,$I342-SUM($K342:K342)),0),0)</f>
        <v>0</v>
      </c>
      <c r="M342" s="20">
        <f>IFERROR(IF($F342&lt;=M$9,MIN($I342/$J342,$I342-SUM($K342:L342)),0),0)</f>
        <v>0</v>
      </c>
      <c r="N342" s="20">
        <f>IFERROR(IF($F342&lt;=N$9,MIN($I342/$J342,$I342-SUM($K342:M342)),0),0)</f>
        <v>0</v>
      </c>
      <c r="O342" s="20">
        <f>IFERROR(IF($F342&lt;=O$9,MIN($I342/$J342,$I342-SUM($K342:N342)),0),0)</f>
        <v>0</v>
      </c>
      <c r="P342" s="20">
        <f>IFERROR(IF($F342&lt;=P$9,MIN($I342/$J342,$I342-SUM($K342:O342)),0),0)</f>
        <v>0</v>
      </c>
      <c r="Q342" s="20">
        <f>IFERROR(IF($F342&lt;=Q$9,MIN($I342/$J342,$I342-SUM($K342:P342)),0),0)</f>
        <v>0</v>
      </c>
      <c r="R342" s="20">
        <f>IFERROR(IF($F342&lt;=R$9,MIN($I342/$J342,$I342-SUM($K342:Q342)),0),0)</f>
        <v>0</v>
      </c>
      <c r="S342" s="20">
        <f>IFERROR(IF($F342&lt;=S$9,MIN($I342/$J342,$I342-SUM($K342:R342)),0),0)</f>
        <v>0</v>
      </c>
      <c r="T342" s="20">
        <f>IFERROR(IF($F342&lt;=T$9,MIN($I342/$J342,$I342-SUM($K342:S342)),0),0)</f>
        <v>0</v>
      </c>
      <c r="U342" s="20">
        <f>IFERROR(IF($F342&lt;=U$9,MIN($I342/$J342,$I342-SUM($K342:T342)),0),0)</f>
        <v>0</v>
      </c>
      <c r="V342" s="20">
        <f>IFERROR(IF($F342&lt;=V$9,MIN($I342/$J342,$I342-SUM($K342:U342)),0),0)</f>
        <v>0</v>
      </c>
      <c r="W342" s="20">
        <f>IFERROR(IF($F342&lt;=W$9,MIN($I342/$J342,$I342-SUM($K342:V342)),0),0)</f>
        <v>0</v>
      </c>
      <c r="X342" s="20">
        <f>IFERROR(IF($F342&lt;=X$9,MIN($I342/$J342,$I342-SUM($K342:W342)),0),0)</f>
        <v>0</v>
      </c>
      <c r="Y342" s="20">
        <f>IFERROR(IF($F342&lt;=Y$9,MIN($I342/$J342,$I342-SUM($K342:X342)),0),0)</f>
        <v>0</v>
      </c>
      <c r="Z342" s="20">
        <f>IFERROR(IF($F342&lt;=Z$9,MIN($I342/$J342,$I342-SUM($K342:Y342)),0),0)</f>
        <v>0</v>
      </c>
      <c r="AA342" s="20">
        <f>IFERROR(IF($F342&lt;=AA$9,MIN($I342/$J342,$I342-SUM($K342:Z342)),0),0)</f>
        <v>0</v>
      </c>
      <c r="AB342" s="20">
        <f>IFERROR(IF($F342&lt;=AB$9,MIN($I342/$J342,$I342-SUM($K342:AA342)),0),0)</f>
        <v>0</v>
      </c>
      <c r="AC342" s="20">
        <f>IFERROR(IF($F342&lt;=AC$9,MIN($I342/$J342,$I342-SUM($K342:AB342)),0),0)</f>
        <v>0</v>
      </c>
      <c r="AD342" s="20">
        <f>IFERROR(IF($F342&lt;=AD$9,MIN($I342/$J342,$I342-SUM($K342:AC342)),0),0)</f>
        <v>0</v>
      </c>
      <c r="AE342" s="20">
        <f>IFERROR(IF($F342&lt;=AE$9,MIN($I342/$J342,$I342-SUM($K342:AD342)),0),0)</f>
        <v>0</v>
      </c>
      <c r="AF342" s="20">
        <f>IFERROR(IF($F342&lt;=AF$9,MIN($I342/$J342,$I342-SUM($K342:AE342)),0),0)</f>
        <v>0</v>
      </c>
      <c r="AG342" s="20">
        <f>IFERROR(IF($F342&lt;=AG$9,MIN($I342/$J342,$I342-SUM($K342:AF342)),0),0)</f>
        <v>0</v>
      </c>
      <c r="AH342" s="20">
        <f>IFERROR(IF($F342&lt;=AH$9,MIN($I342/$J342,$I342-SUM($K342:AG342)),0),0)</f>
        <v>0</v>
      </c>
      <c r="AI342" s="20">
        <f>IFERROR(IF($F342&lt;=AI$9,MIN($I342/$J342,$I342-SUM($K342:AH342)),0),0)</f>
        <v>0</v>
      </c>
      <c r="AJ342" s="20">
        <f>IFERROR(IF($F342&lt;=AJ$9,MIN($I342/$J342,$I342-SUM($K342:AI342)),0),0)</f>
        <v>0</v>
      </c>
      <c r="AK342" s="20">
        <f>IFERROR(IF($F342&lt;=AK$9,MIN($I342/$J342,$I342-SUM($K342:AJ342)),0),0)</f>
        <v>0</v>
      </c>
      <c r="AL342" s="20">
        <f>IFERROR(IF($F342&lt;=AL$9,MIN($I342/$J342,$I342-SUM($K342:AK342)),0),0)</f>
        <v>0</v>
      </c>
      <c r="AM342" s="20">
        <f>IFERROR(IF($F342&lt;=AM$9,MIN($I342/$J342,$I342-SUM($K342:AL342)),0),0)</f>
        <v>0</v>
      </c>
      <c r="AN342" s="20">
        <f>IFERROR(IF($F342&lt;=AN$9,MIN($I342/$J342,$I342-SUM($K342:AM342)),0),0)</f>
        <v>0</v>
      </c>
      <c r="AO342" s="28"/>
    </row>
    <row r="343" spans="6:41" ht="14.4" customHeight="1" outlineLevel="1" x14ac:dyDescent="0.3">
      <c r="F343" s="69">
        <v>2030</v>
      </c>
      <c r="H343" s="26" t="s">
        <v>245</v>
      </c>
      <c r="I343" s="128">
        <v>0</v>
      </c>
      <c r="J343" s="117">
        <v>0</v>
      </c>
      <c r="K343" s="89">
        <v>0</v>
      </c>
      <c r="L343" s="20">
        <f>IFERROR(IF($F343&lt;=L$9,MIN($I343/$J343,$I343-SUM($K343:K343)),0),0)</f>
        <v>0</v>
      </c>
      <c r="M343" s="20">
        <f>IFERROR(IF($F343&lt;=M$9,MIN($I343/$J343,$I343-SUM($K343:L343)),0),0)</f>
        <v>0</v>
      </c>
      <c r="N343" s="20">
        <f>IFERROR(IF($F343&lt;=N$9,MIN($I343/$J343,$I343-SUM($K343:M343)),0),0)</f>
        <v>0</v>
      </c>
      <c r="O343" s="20">
        <f>IFERROR(IF($F343&lt;=O$9,MIN($I343/$J343,$I343-SUM($K343:N343)),0),0)</f>
        <v>0</v>
      </c>
      <c r="P343" s="20">
        <f>IFERROR(IF($F343&lt;=P$9,MIN($I343/$J343,$I343-SUM($K343:O343)),0),0)</f>
        <v>0</v>
      </c>
      <c r="Q343" s="20">
        <f>IFERROR(IF($F343&lt;=Q$9,MIN($I343/$J343,$I343-SUM($K343:P343)),0),0)</f>
        <v>0</v>
      </c>
      <c r="R343" s="20">
        <f>IFERROR(IF($F343&lt;=R$9,MIN($I343/$J343,$I343-SUM($K343:Q343)),0),0)</f>
        <v>0</v>
      </c>
      <c r="S343" s="20">
        <f>IFERROR(IF($F343&lt;=S$9,MIN($I343/$J343,$I343-SUM($K343:R343)),0),0)</f>
        <v>0</v>
      </c>
      <c r="T343" s="20">
        <f>IFERROR(IF($F343&lt;=T$9,MIN($I343/$J343,$I343-SUM($K343:S343)),0),0)</f>
        <v>0</v>
      </c>
      <c r="U343" s="20">
        <f>IFERROR(IF($F343&lt;=U$9,MIN($I343/$J343,$I343-SUM($K343:T343)),0),0)</f>
        <v>0</v>
      </c>
      <c r="V343" s="20">
        <f>IFERROR(IF($F343&lt;=V$9,MIN($I343/$J343,$I343-SUM($K343:U343)),0),0)</f>
        <v>0</v>
      </c>
      <c r="W343" s="20">
        <f>IFERROR(IF($F343&lt;=W$9,MIN($I343/$J343,$I343-SUM($K343:V343)),0),0)</f>
        <v>0</v>
      </c>
      <c r="X343" s="20">
        <f>IFERROR(IF($F343&lt;=X$9,MIN($I343/$J343,$I343-SUM($K343:W343)),0),0)</f>
        <v>0</v>
      </c>
      <c r="Y343" s="20">
        <f>IFERROR(IF($F343&lt;=Y$9,MIN($I343/$J343,$I343-SUM($K343:X343)),0),0)</f>
        <v>0</v>
      </c>
      <c r="Z343" s="20">
        <f>IFERROR(IF($F343&lt;=Z$9,MIN($I343/$J343,$I343-SUM($K343:Y343)),0),0)</f>
        <v>0</v>
      </c>
      <c r="AA343" s="20">
        <f>IFERROR(IF($F343&lt;=AA$9,MIN($I343/$J343,$I343-SUM($K343:Z343)),0),0)</f>
        <v>0</v>
      </c>
      <c r="AB343" s="20">
        <f>IFERROR(IF($F343&lt;=AB$9,MIN($I343/$J343,$I343-SUM($K343:AA343)),0),0)</f>
        <v>0</v>
      </c>
      <c r="AC343" s="20">
        <f>IFERROR(IF($F343&lt;=AC$9,MIN($I343/$J343,$I343-SUM($K343:AB343)),0),0)</f>
        <v>0</v>
      </c>
      <c r="AD343" s="20">
        <f>IFERROR(IF($F343&lt;=AD$9,MIN($I343/$J343,$I343-SUM($K343:AC343)),0),0)</f>
        <v>0</v>
      </c>
      <c r="AE343" s="20">
        <f>IFERROR(IF($F343&lt;=AE$9,MIN($I343/$J343,$I343-SUM($K343:AD343)),0),0)</f>
        <v>0</v>
      </c>
      <c r="AF343" s="20">
        <f>IFERROR(IF($F343&lt;=AF$9,MIN($I343/$J343,$I343-SUM($K343:AE343)),0),0)</f>
        <v>0</v>
      </c>
      <c r="AG343" s="20">
        <f>IFERROR(IF($F343&lt;=AG$9,MIN($I343/$J343,$I343-SUM($K343:AF343)),0),0)</f>
        <v>0</v>
      </c>
      <c r="AH343" s="20">
        <f>IFERROR(IF($F343&lt;=AH$9,MIN($I343/$J343,$I343-SUM($K343:AG343)),0),0)</f>
        <v>0</v>
      </c>
      <c r="AI343" s="20">
        <f>IFERROR(IF($F343&lt;=AI$9,MIN($I343/$J343,$I343-SUM($K343:AH343)),0),0)</f>
        <v>0</v>
      </c>
      <c r="AJ343" s="20">
        <f>IFERROR(IF($F343&lt;=AJ$9,MIN($I343/$J343,$I343-SUM($K343:AI343)),0),0)</f>
        <v>0</v>
      </c>
      <c r="AK343" s="20">
        <f>IFERROR(IF($F343&lt;=AK$9,MIN($I343/$J343,$I343-SUM($K343:AJ343)),0),0)</f>
        <v>0</v>
      </c>
      <c r="AL343" s="20">
        <f>IFERROR(IF($F343&lt;=AL$9,MIN($I343/$J343,$I343-SUM($K343:AK343)),0),0)</f>
        <v>0</v>
      </c>
      <c r="AM343" s="20">
        <f>IFERROR(IF($F343&lt;=AM$9,MIN($I343/$J343,$I343-SUM($K343:AL343)),0),0)</f>
        <v>0</v>
      </c>
      <c r="AN343" s="20">
        <f>IFERROR(IF($F343&lt;=AN$9,MIN($I343/$J343,$I343-SUM($K343:AM343)),0),0)</f>
        <v>0</v>
      </c>
      <c r="AO343" s="28"/>
    </row>
    <row r="344" spans="6:41" ht="14.4" customHeight="1" outlineLevel="1" x14ac:dyDescent="0.3">
      <c r="F344" s="69">
        <v>2031</v>
      </c>
      <c r="H344" s="26" t="s">
        <v>245</v>
      </c>
      <c r="I344" s="128">
        <v>0</v>
      </c>
      <c r="J344" s="117">
        <v>0</v>
      </c>
      <c r="K344" s="89">
        <v>0</v>
      </c>
      <c r="L344" s="20">
        <f>IFERROR(IF($F344&lt;=L$9,MIN($I344/$J344,$I344-SUM($K344:K344)),0),0)</f>
        <v>0</v>
      </c>
      <c r="M344" s="20">
        <f>IFERROR(IF($F344&lt;=M$9,MIN($I344/$J344,$I344-SUM($K344:L344)),0),0)</f>
        <v>0</v>
      </c>
      <c r="N344" s="20">
        <f>IFERROR(IF($F344&lt;=N$9,MIN($I344/$J344,$I344-SUM($K344:M344)),0),0)</f>
        <v>0</v>
      </c>
      <c r="O344" s="20">
        <f>IFERROR(IF($F344&lt;=O$9,MIN($I344/$J344,$I344-SUM($K344:N344)),0),0)</f>
        <v>0</v>
      </c>
      <c r="P344" s="20">
        <f>IFERROR(IF($F344&lt;=P$9,MIN($I344/$J344,$I344-SUM($K344:O344)),0),0)</f>
        <v>0</v>
      </c>
      <c r="Q344" s="20">
        <f>IFERROR(IF($F344&lt;=Q$9,MIN($I344/$J344,$I344-SUM($K344:P344)),0),0)</f>
        <v>0</v>
      </c>
      <c r="R344" s="20">
        <f>IFERROR(IF($F344&lt;=R$9,MIN($I344/$J344,$I344-SUM($K344:Q344)),0),0)</f>
        <v>0</v>
      </c>
      <c r="S344" s="20">
        <f>IFERROR(IF($F344&lt;=S$9,MIN($I344/$J344,$I344-SUM($K344:R344)),0),0)</f>
        <v>0</v>
      </c>
      <c r="T344" s="20">
        <f>IFERROR(IF($F344&lt;=T$9,MIN($I344/$J344,$I344-SUM($K344:S344)),0),0)</f>
        <v>0</v>
      </c>
      <c r="U344" s="20">
        <f>IFERROR(IF($F344&lt;=U$9,MIN($I344/$J344,$I344-SUM($K344:T344)),0),0)</f>
        <v>0</v>
      </c>
      <c r="V344" s="20">
        <f>IFERROR(IF($F344&lt;=V$9,MIN($I344/$J344,$I344-SUM($K344:U344)),0),0)</f>
        <v>0</v>
      </c>
      <c r="W344" s="20">
        <f>IFERROR(IF($F344&lt;=W$9,MIN($I344/$J344,$I344-SUM($K344:V344)),0),0)</f>
        <v>0</v>
      </c>
      <c r="X344" s="20">
        <f>IFERROR(IF($F344&lt;=X$9,MIN($I344/$J344,$I344-SUM($K344:W344)),0),0)</f>
        <v>0</v>
      </c>
      <c r="Y344" s="20">
        <f>IFERROR(IF($F344&lt;=Y$9,MIN($I344/$J344,$I344-SUM($K344:X344)),0),0)</f>
        <v>0</v>
      </c>
      <c r="Z344" s="20">
        <f>IFERROR(IF($F344&lt;=Z$9,MIN($I344/$J344,$I344-SUM($K344:Y344)),0),0)</f>
        <v>0</v>
      </c>
      <c r="AA344" s="20">
        <f>IFERROR(IF($F344&lt;=AA$9,MIN($I344/$J344,$I344-SUM($K344:Z344)),0),0)</f>
        <v>0</v>
      </c>
      <c r="AB344" s="20">
        <f>IFERROR(IF($F344&lt;=AB$9,MIN($I344/$J344,$I344-SUM($K344:AA344)),0),0)</f>
        <v>0</v>
      </c>
      <c r="AC344" s="20">
        <f>IFERROR(IF($F344&lt;=AC$9,MIN($I344/$J344,$I344-SUM($K344:AB344)),0),0)</f>
        <v>0</v>
      </c>
      <c r="AD344" s="20">
        <f>IFERROR(IF($F344&lt;=AD$9,MIN($I344/$J344,$I344-SUM($K344:AC344)),0),0)</f>
        <v>0</v>
      </c>
      <c r="AE344" s="20">
        <f>IFERROR(IF($F344&lt;=AE$9,MIN($I344/$J344,$I344-SUM($K344:AD344)),0),0)</f>
        <v>0</v>
      </c>
      <c r="AF344" s="20">
        <f>IFERROR(IF($F344&lt;=AF$9,MIN($I344/$J344,$I344-SUM($K344:AE344)),0),0)</f>
        <v>0</v>
      </c>
      <c r="AG344" s="20">
        <f>IFERROR(IF($F344&lt;=AG$9,MIN($I344/$J344,$I344-SUM($K344:AF344)),0),0)</f>
        <v>0</v>
      </c>
      <c r="AH344" s="20">
        <f>IFERROR(IF($F344&lt;=AH$9,MIN($I344/$J344,$I344-SUM($K344:AG344)),0),0)</f>
        <v>0</v>
      </c>
      <c r="AI344" s="20">
        <f>IFERROR(IF($F344&lt;=AI$9,MIN($I344/$J344,$I344-SUM($K344:AH344)),0),0)</f>
        <v>0</v>
      </c>
      <c r="AJ344" s="20">
        <f>IFERROR(IF($F344&lt;=AJ$9,MIN($I344/$J344,$I344-SUM($K344:AI344)),0),0)</f>
        <v>0</v>
      </c>
      <c r="AK344" s="20">
        <f>IFERROR(IF($F344&lt;=AK$9,MIN($I344/$J344,$I344-SUM($K344:AJ344)),0),0)</f>
        <v>0</v>
      </c>
      <c r="AL344" s="20">
        <f>IFERROR(IF($F344&lt;=AL$9,MIN($I344/$J344,$I344-SUM($K344:AK344)),0),0)</f>
        <v>0</v>
      </c>
      <c r="AM344" s="20">
        <f>IFERROR(IF($F344&lt;=AM$9,MIN($I344/$J344,$I344-SUM($K344:AL344)),0),0)</f>
        <v>0</v>
      </c>
      <c r="AN344" s="20">
        <f>IFERROR(IF($F344&lt;=AN$9,MIN($I344/$J344,$I344-SUM($K344:AM344)),0),0)</f>
        <v>0</v>
      </c>
      <c r="AO344" s="28"/>
    </row>
    <row r="345" spans="6:41" ht="14.4" customHeight="1" outlineLevel="1" x14ac:dyDescent="0.3">
      <c r="F345" s="69">
        <v>2032</v>
      </c>
      <c r="H345" s="26" t="s">
        <v>245</v>
      </c>
      <c r="I345" s="128">
        <v>0</v>
      </c>
      <c r="J345" s="117">
        <v>0</v>
      </c>
      <c r="K345" s="89">
        <v>0</v>
      </c>
      <c r="L345" s="20">
        <f>IFERROR(IF($F345&lt;=L$9,MIN($I345/$J345,$I345-SUM($K345:K345)),0),0)</f>
        <v>0</v>
      </c>
      <c r="M345" s="20">
        <f>IFERROR(IF($F345&lt;=M$9,MIN($I345/$J345,$I345-SUM($K345:L345)),0),0)</f>
        <v>0</v>
      </c>
      <c r="N345" s="20">
        <f>IFERROR(IF($F345&lt;=N$9,MIN($I345/$J345,$I345-SUM($K345:M345)),0),0)</f>
        <v>0</v>
      </c>
      <c r="O345" s="20">
        <f>IFERROR(IF($F345&lt;=O$9,MIN($I345/$J345,$I345-SUM($K345:N345)),0),0)</f>
        <v>0</v>
      </c>
      <c r="P345" s="20">
        <f>IFERROR(IF($F345&lt;=P$9,MIN($I345/$J345,$I345-SUM($K345:O345)),0),0)</f>
        <v>0</v>
      </c>
      <c r="Q345" s="20">
        <f>IFERROR(IF($F345&lt;=Q$9,MIN($I345/$J345,$I345-SUM($K345:P345)),0),0)</f>
        <v>0</v>
      </c>
      <c r="R345" s="20">
        <f>IFERROR(IF($F345&lt;=R$9,MIN($I345/$J345,$I345-SUM($K345:Q345)),0),0)</f>
        <v>0</v>
      </c>
      <c r="S345" s="20">
        <f>IFERROR(IF($F345&lt;=S$9,MIN($I345/$J345,$I345-SUM($K345:R345)),0),0)</f>
        <v>0</v>
      </c>
      <c r="T345" s="20">
        <f>IFERROR(IF($F345&lt;=T$9,MIN($I345/$J345,$I345-SUM($K345:S345)),0),0)</f>
        <v>0</v>
      </c>
      <c r="U345" s="20">
        <f>IFERROR(IF($F345&lt;=U$9,MIN($I345/$J345,$I345-SUM($K345:T345)),0),0)</f>
        <v>0</v>
      </c>
      <c r="V345" s="20">
        <f>IFERROR(IF($F345&lt;=V$9,MIN($I345/$J345,$I345-SUM($K345:U345)),0),0)</f>
        <v>0</v>
      </c>
      <c r="W345" s="20">
        <f>IFERROR(IF($F345&lt;=W$9,MIN($I345/$J345,$I345-SUM($K345:V345)),0),0)</f>
        <v>0</v>
      </c>
      <c r="X345" s="20">
        <f>IFERROR(IF($F345&lt;=X$9,MIN($I345/$J345,$I345-SUM($K345:W345)),0),0)</f>
        <v>0</v>
      </c>
      <c r="Y345" s="20">
        <f>IFERROR(IF($F345&lt;=Y$9,MIN($I345/$J345,$I345-SUM($K345:X345)),0),0)</f>
        <v>0</v>
      </c>
      <c r="Z345" s="20">
        <f>IFERROR(IF($F345&lt;=Z$9,MIN($I345/$J345,$I345-SUM($K345:Y345)),0),0)</f>
        <v>0</v>
      </c>
      <c r="AA345" s="20">
        <f>IFERROR(IF($F345&lt;=AA$9,MIN($I345/$J345,$I345-SUM($K345:Z345)),0),0)</f>
        <v>0</v>
      </c>
      <c r="AB345" s="20">
        <f>IFERROR(IF($F345&lt;=AB$9,MIN($I345/$J345,$I345-SUM($K345:AA345)),0),0)</f>
        <v>0</v>
      </c>
      <c r="AC345" s="20">
        <f>IFERROR(IF($F345&lt;=AC$9,MIN($I345/$J345,$I345-SUM($K345:AB345)),0),0)</f>
        <v>0</v>
      </c>
      <c r="AD345" s="20">
        <f>IFERROR(IF($F345&lt;=AD$9,MIN($I345/$J345,$I345-SUM($K345:AC345)),0),0)</f>
        <v>0</v>
      </c>
      <c r="AE345" s="20">
        <f>IFERROR(IF($F345&lt;=AE$9,MIN($I345/$J345,$I345-SUM($K345:AD345)),0),0)</f>
        <v>0</v>
      </c>
      <c r="AF345" s="20">
        <f>IFERROR(IF($F345&lt;=AF$9,MIN($I345/$J345,$I345-SUM($K345:AE345)),0),0)</f>
        <v>0</v>
      </c>
      <c r="AG345" s="20">
        <f>IFERROR(IF($F345&lt;=AG$9,MIN($I345/$J345,$I345-SUM($K345:AF345)),0),0)</f>
        <v>0</v>
      </c>
      <c r="AH345" s="20">
        <f>IFERROR(IF($F345&lt;=AH$9,MIN($I345/$J345,$I345-SUM($K345:AG345)),0),0)</f>
        <v>0</v>
      </c>
      <c r="AI345" s="20">
        <f>IFERROR(IF($F345&lt;=AI$9,MIN($I345/$J345,$I345-SUM($K345:AH345)),0),0)</f>
        <v>0</v>
      </c>
      <c r="AJ345" s="20">
        <f>IFERROR(IF($F345&lt;=AJ$9,MIN($I345/$J345,$I345-SUM($K345:AI345)),0),0)</f>
        <v>0</v>
      </c>
      <c r="AK345" s="20">
        <f>IFERROR(IF($F345&lt;=AK$9,MIN($I345/$J345,$I345-SUM($K345:AJ345)),0),0)</f>
        <v>0</v>
      </c>
      <c r="AL345" s="20">
        <f>IFERROR(IF($F345&lt;=AL$9,MIN($I345/$J345,$I345-SUM($K345:AK345)),0),0)</f>
        <v>0</v>
      </c>
      <c r="AM345" s="20">
        <f>IFERROR(IF($F345&lt;=AM$9,MIN($I345/$J345,$I345-SUM($K345:AL345)),0),0)</f>
        <v>0</v>
      </c>
      <c r="AN345" s="20">
        <f>IFERROR(IF($F345&lt;=AN$9,MIN($I345/$J345,$I345-SUM($K345:AM345)),0),0)</f>
        <v>0</v>
      </c>
      <c r="AO345" s="28"/>
    </row>
    <row r="346" spans="6:41" ht="14.4" customHeight="1" outlineLevel="1" x14ac:dyDescent="0.3">
      <c r="F346" s="69">
        <v>2033</v>
      </c>
      <c r="H346" s="26" t="s">
        <v>245</v>
      </c>
      <c r="I346" s="128">
        <v>0</v>
      </c>
      <c r="J346" s="117">
        <v>0</v>
      </c>
      <c r="K346" s="89">
        <v>0</v>
      </c>
      <c r="L346" s="20">
        <f>IFERROR(IF($F346&lt;=L$9,MIN($I346/$J346,$I346-SUM($K346:K346)),0),0)</f>
        <v>0</v>
      </c>
      <c r="M346" s="20">
        <f>IFERROR(IF($F346&lt;=M$9,MIN($I346/$J346,$I346-SUM($K346:L346)),0),0)</f>
        <v>0</v>
      </c>
      <c r="N346" s="20">
        <f>IFERROR(IF($F346&lt;=N$9,MIN($I346/$J346,$I346-SUM($K346:M346)),0),0)</f>
        <v>0</v>
      </c>
      <c r="O346" s="20">
        <f>IFERROR(IF($F346&lt;=O$9,MIN($I346/$J346,$I346-SUM($K346:N346)),0),0)</f>
        <v>0</v>
      </c>
      <c r="P346" s="20">
        <f>IFERROR(IF($F346&lt;=P$9,MIN($I346/$J346,$I346-SUM($K346:O346)),0),0)</f>
        <v>0</v>
      </c>
      <c r="Q346" s="20">
        <f>IFERROR(IF($F346&lt;=Q$9,MIN($I346/$J346,$I346-SUM($K346:P346)),0),0)</f>
        <v>0</v>
      </c>
      <c r="R346" s="20">
        <f>IFERROR(IF($F346&lt;=R$9,MIN($I346/$J346,$I346-SUM($K346:Q346)),0),0)</f>
        <v>0</v>
      </c>
      <c r="S346" s="20">
        <f>IFERROR(IF($F346&lt;=S$9,MIN($I346/$J346,$I346-SUM($K346:R346)),0),0)</f>
        <v>0</v>
      </c>
      <c r="T346" s="20">
        <f>IFERROR(IF($F346&lt;=T$9,MIN($I346/$J346,$I346-SUM($K346:S346)),0),0)</f>
        <v>0</v>
      </c>
      <c r="U346" s="20">
        <f>IFERROR(IF($F346&lt;=U$9,MIN($I346/$J346,$I346-SUM($K346:T346)),0),0)</f>
        <v>0</v>
      </c>
      <c r="V346" s="20">
        <f>IFERROR(IF($F346&lt;=V$9,MIN($I346/$J346,$I346-SUM($K346:U346)),0),0)</f>
        <v>0</v>
      </c>
      <c r="W346" s="20">
        <f>IFERROR(IF($F346&lt;=W$9,MIN($I346/$J346,$I346-SUM($K346:V346)),0),0)</f>
        <v>0</v>
      </c>
      <c r="X346" s="20">
        <f>IFERROR(IF($F346&lt;=X$9,MIN($I346/$J346,$I346-SUM($K346:W346)),0),0)</f>
        <v>0</v>
      </c>
      <c r="Y346" s="20">
        <f>IFERROR(IF($F346&lt;=Y$9,MIN($I346/$J346,$I346-SUM($K346:X346)),0),0)</f>
        <v>0</v>
      </c>
      <c r="Z346" s="20">
        <f>IFERROR(IF($F346&lt;=Z$9,MIN($I346/$J346,$I346-SUM($K346:Y346)),0),0)</f>
        <v>0</v>
      </c>
      <c r="AA346" s="20">
        <f>IFERROR(IF($F346&lt;=AA$9,MIN($I346/$J346,$I346-SUM($K346:Z346)),0),0)</f>
        <v>0</v>
      </c>
      <c r="AB346" s="20">
        <f>IFERROR(IF($F346&lt;=AB$9,MIN($I346/$J346,$I346-SUM($K346:AA346)),0),0)</f>
        <v>0</v>
      </c>
      <c r="AC346" s="20">
        <f>IFERROR(IF($F346&lt;=AC$9,MIN($I346/$J346,$I346-SUM($K346:AB346)),0),0)</f>
        <v>0</v>
      </c>
      <c r="AD346" s="20">
        <f>IFERROR(IF($F346&lt;=AD$9,MIN($I346/$J346,$I346-SUM($K346:AC346)),0),0)</f>
        <v>0</v>
      </c>
      <c r="AE346" s="20">
        <f>IFERROR(IF($F346&lt;=AE$9,MIN($I346/$J346,$I346-SUM($K346:AD346)),0),0)</f>
        <v>0</v>
      </c>
      <c r="AF346" s="20">
        <f>IFERROR(IF($F346&lt;=AF$9,MIN($I346/$J346,$I346-SUM($K346:AE346)),0),0)</f>
        <v>0</v>
      </c>
      <c r="AG346" s="20">
        <f>IFERROR(IF($F346&lt;=AG$9,MIN($I346/$J346,$I346-SUM($K346:AF346)),0),0)</f>
        <v>0</v>
      </c>
      <c r="AH346" s="20">
        <f>IFERROR(IF($F346&lt;=AH$9,MIN($I346/$J346,$I346-SUM($K346:AG346)),0),0)</f>
        <v>0</v>
      </c>
      <c r="AI346" s="20">
        <f>IFERROR(IF($F346&lt;=AI$9,MIN($I346/$J346,$I346-SUM($K346:AH346)),0),0)</f>
        <v>0</v>
      </c>
      <c r="AJ346" s="20">
        <f>IFERROR(IF($F346&lt;=AJ$9,MIN($I346/$J346,$I346-SUM($K346:AI346)),0),0)</f>
        <v>0</v>
      </c>
      <c r="AK346" s="20">
        <f>IFERROR(IF($F346&lt;=AK$9,MIN($I346/$J346,$I346-SUM($K346:AJ346)),0),0)</f>
        <v>0</v>
      </c>
      <c r="AL346" s="20">
        <f>IFERROR(IF($F346&lt;=AL$9,MIN($I346/$J346,$I346-SUM($K346:AK346)),0),0)</f>
        <v>0</v>
      </c>
      <c r="AM346" s="20">
        <f>IFERROR(IF($F346&lt;=AM$9,MIN($I346/$J346,$I346-SUM($K346:AL346)),0),0)</f>
        <v>0</v>
      </c>
      <c r="AN346" s="20">
        <f>IFERROR(IF($F346&lt;=AN$9,MIN($I346/$J346,$I346-SUM($K346:AM346)),0),0)</f>
        <v>0</v>
      </c>
      <c r="AO346" s="28"/>
    </row>
    <row r="347" spans="6:41" ht="14.4" customHeight="1" outlineLevel="1" x14ac:dyDescent="0.3">
      <c r="F347" s="69">
        <v>2034</v>
      </c>
      <c r="H347" s="26" t="s">
        <v>245</v>
      </c>
      <c r="I347" s="128">
        <v>0</v>
      </c>
      <c r="J347" s="117">
        <v>0</v>
      </c>
      <c r="K347" s="89">
        <v>0</v>
      </c>
      <c r="L347" s="20">
        <f>IFERROR(IF($F347&lt;=L$9,MIN($I347/$J347,$I347-SUM($K347:K347)),0),0)</f>
        <v>0</v>
      </c>
      <c r="M347" s="20">
        <f>IFERROR(IF($F347&lt;=M$9,MIN($I347/$J347,$I347-SUM($K347:L347)),0),0)</f>
        <v>0</v>
      </c>
      <c r="N347" s="20">
        <f>IFERROR(IF($F347&lt;=N$9,MIN($I347/$J347,$I347-SUM($K347:M347)),0),0)</f>
        <v>0</v>
      </c>
      <c r="O347" s="20">
        <f>IFERROR(IF($F347&lt;=O$9,MIN($I347/$J347,$I347-SUM($K347:N347)),0),0)</f>
        <v>0</v>
      </c>
      <c r="P347" s="20">
        <f>IFERROR(IF($F347&lt;=P$9,MIN($I347/$J347,$I347-SUM($K347:O347)),0),0)</f>
        <v>0</v>
      </c>
      <c r="Q347" s="20">
        <f>IFERROR(IF($F347&lt;=Q$9,MIN($I347/$J347,$I347-SUM($K347:P347)),0),0)</f>
        <v>0</v>
      </c>
      <c r="R347" s="20">
        <f>IFERROR(IF($F347&lt;=R$9,MIN($I347/$J347,$I347-SUM($K347:Q347)),0),0)</f>
        <v>0</v>
      </c>
      <c r="S347" s="20">
        <f>IFERROR(IF($F347&lt;=S$9,MIN($I347/$J347,$I347-SUM($K347:R347)),0),0)</f>
        <v>0</v>
      </c>
      <c r="T347" s="20">
        <f>IFERROR(IF($F347&lt;=T$9,MIN($I347/$J347,$I347-SUM($K347:S347)),0),0)</f>
        <v>0</v>
      </c>
      <c r="U347" s="20">
        <f>IFERROR(IF($F347&lt;=U$9,MIN($I347/$J347,$I347-SUM($K347:T347)),0),0)</f>
        <v>0</v>
      </c>
      <c r="V347" s="20">
        <f>IFERROR(IF($F347&lt;=V$9,MIN($I347/$J347,$I347-SUM($K347:U347)),0),0)</f>
        <v>0</v>
      </c>
      <c r="W347" s="20">
        <f>IFERROR(IF($F347&lt;=W$9,MIN($I347/$J347,$I347-SUM($K347:V347)),0),0)</f>
        <v>0</v>
      </c>
      <c r="X347" s="20">
        <f>IFERROR(IF($F347&lt;=X$9,MIN($I347/$J347,$I347-SUM($K347:W347)),0),0)</f>
        <v>0</v>
      </c>
      <c r="Y347" s="20">
        <f>IFERROR(IF($F347&lt;=Y$9,MIN($I347/$J347,$I347-SUM($K347:X347)),0),0)</f>
        <v>0</v>
      </c>
      <c r="Z347" s="20">
        <f>IFERROR(IF($F347&lt;=Z$9,MIN($I347/$J347,$I347-SUM($K347:Y347)),0),0)</f>
        <v>0</v>
      </c>
      <c r="AA347" s="20">
        <f>IFERROR(IF($F347&lt;=AA$9,MIN($I347/$J347,$I347-SUM($K347:Z347)),0),0)</f>
        <v>0</v>
      </c>
      <c r="AB347" s="20">
        <f>IFERROR(IF($F347&lt;=AB$9,MIN($I347/$J347,$I347-SUM($K347:AA347)),0),0)</f>
        <v>0</v>
      </c>
      <c r="AC347" s="20">
        <f>IFERROR(IF($F347&lt;=AC$9,MIN($I347/$J347,$I347-SUM($K347:AB347)),0),0)</f>
        <v>0</v>
      </c>
      <c r="AD347" s="20">
        <f>IFERROR(IF($F347&lt;=AD$9,MIN($I347/$J347,$I347-SUM($K347:AC347)),0),0)</f>
        <v>0</v>
      </c>
      <c r="AE347" s="20">
        <f>IFERROR(IF($F347&lt;=AE$9,MIN($I347/$J347,$I347-SUM($K347:AD347)),0),0)</f>
        <v>0</v>
      </c>
      <c r="AF347" s="20">
        <f>IFERROR(IF($F347&lt;=AF$9,MIN($I347/$J347,$I347-SUM($K347:AE347)),0),0)</f>
        <v>0</v>
      </c>
      <c r="AG347" s="20">
        <f>IFERROR(IF($F347&lt;=AG$9,MIN($I347/$J347,$I347-SUM($K347:AF347)),0),0)</f>
        <v>0</v>
      </c>
      <c r="AH347" s="20">
        <f>IFERROR(IF($F347&lt;=AH$9,MIN($I347/$J347,$I347-SUM($K347:AG347)),0),0)</f>
        <v>0</v>
      </c>
      <c r="AI347" s="20">
        <f>IFERROR(IF($F347&lt;=AI$9,MIN($I347/$J347,$I347-SUM($K347:AH347)),0),0)</f>
        <v>0</v>
      </c>
      <c r="AJ347" s="20">
        <f>IFERROR(IF($F347&lt;=AJ$9,MIN($I347/$J347,$I347-SUM($K347:AI347)),0),0)</f>
        <v>0</v>
      </c>
      <c r="AK347" s="20">
        <f>IFERROR(IF($F347&lt;=AK$9,MIN($I347/$J347,$I347-SUM($K347:AJ347)),0),0)</f>
        <v>0</v>
      </c>
      <c r="AL347" s="20">
        <f>IFERROR(IF($F347&lt;=AL$9,MIN($I347/$J347,$I347-SUM($K347:AK347)),0),0)</f>
        <v>0</v>
      </c>
      <c r="AM347" s="20">
        <f>IFERROR(IF($F347&lt;=AM$9,MIN($I347/$J347,$I347-SUM($K347:AL347)),0),0)</f>
        <v>0</v>
      </c>
      <c r="AN347" s="20">
        <f>IFERROR(IF($F347&lt;=AN$9,MIN($I347/$J347,$I347-SUM($K347:AM347)),0),0)</f>
        <v>0</v>
      </c>
      <c r="AO347" s="28"/>
    </row>
    <row r="348" spans="6:41" ht="14.4" customHeight="1" outlineLevel="1" x14ac:dyDescent="0.3">
      <c r="F348" s="69">
        <v>2035</v>
      </c>
      <c r="H348" s="26" t="s">
        <v>245</v>
      </c>
      <c r="I348" s="128">
        <v>0</v>
      </c>
      <c r="J348" s="117">
        <v>0</v>
      </c>
      <c r="K348" s="89">
        <v>0</v>
      </c>
      <c r="L348" s="20">
        <f>IFERROR(IF($F348&lt;=L$9,MIN($I348/$J348,$I348-SUM($K348:K348)),0),0)</f>
        <v>0</v>
      </c>
      <c r="M348" s="20">
        <f>IFERROR(IF($F348&lt;=M$9,MIN($I348/$J348,$I348-SUM($K348:L348)),0),0)</f>
        <v>0</v>
      </c>
      <c r="N348" s="20">
        <f>IFERROR(IF($F348&lt;=N$9,MIN($I348/$J348,$I348-SUM($K348:M348)),0),0)</f>
        <v>0</v>
      </c>
      <c r="O348" s="20">
        <f>IFERROR(IF($F348&lt;=O$9,MIN($I348/$J348,$I348-SUM($K348:N348)),0),0)</f>
        <v>0</v>
      </c>
      <c r="P348" s="20">
        <f>IFERROR(IF($F348&lt;=P$9,MIN($I348/$J348,$I348-SUM($K348:O348)),0),0)</f>
        <v>0</v>
      </c>
      <c r="Q348" s="20">
        <f>IFERROR(IF($F348&lt;=Q$9,MIN($I348/$J348,$I348-SUM($K348:P348)),0),0)</f>
        <v>0</v>
      </c>
      <c r="R348" s="20">
        <f>IFERROR(IF($F348&lt;=R$9,MIN($I348/$J348,$I348-SUM($K348:Q348)),0),0)</f>
        <v>0</v>
      </c>
      <c r="S348" s="20">
        <f>IFERROR(IF($F348&lt;=S$9,MIN($I348/$J348,$I348-SUM($K348:R348)),0),0)</f>
        <v>0</v>
      </c>
      <c r="T348" s="20">
        <f>IFERROR(IF($F348&lt;=T$9,MIN($I348/$J348,$I348-SUM($K348:S348)),0),0)</f>
        <v>0</v>
      </c>
      <c r="U348" s="20">
        <f>IFERROR(IF($F348&lt;=U$9,MIN($I348/$J348,$I348-SUM($K348:T348)),0),0)</f>
        <v>0</v>
      </c>
      <c r="V348" s="20">
        <f>IFERROR(IF($F348&lt;=V$9,MIN($I348/$J348,$I348-SUM($K348:U348)),0),0)</f>
        <v>0</v>
      </c>
      <c r="W348" s="20">
        <f>IFERROR(IF($F348&lt;=W$9,MIN($I348/$J348,$I348-SUM($K348:V348)),0),0)</f>
        <v>0</v>
      </c>
      <c r="X348" s="20">
        <f>IFERROR(IF($F348&lt;=X$9,MIN($I348/$J348,$I348-SUM($K348:W348)),0),0)</f>
        <v>0</v>
      </c>
      <c r="Y348" s="20">
        <f>IFERROR(IF($F348&lt;=Y$9,MIN($I348/$J348,$I348-SUM($K348:X348)),0),0)</f>
        <v>0</v>
      </c>
      <c r="Z348" s="20">
        <f>IFERROR(IF($F348&lt;=Z$9,MIN($I348/$J348,$I348-SUM($K348:Y348)),0),0)</f>
        <v>0</v>
      </c>
      <c r="AA348" s="20">
        <f>IFERROR(IF($F348&lt;=AA$9,MIN($I348/$J348,$I348-SUM($K348:Z348)),0),0)</f>
        <v>0</v>
      </c>
      <c r="AB348" s="20">
        <f>IFERROR(IF($F348&lt;=AB$9,MIN($I348/$J348,$I348-SUM($K348:AA348)),0),0)</f>
        <v>0</v>
      </c>
      <c r="AC348" s="20">
        <f>IFERROR(IF($F348&lt;=AC$9,MIN($I348/$J348,$I348-SUM($K348:AB348)),0),0)</f>
        <v>0</v>
      </c>
      <c r="AD348" s="20">
        <f>IFERROR(IF($F348&lt;=AD$9,MIN($I348/$J348,$I348-SUM($K348:AC348)),0),0)</f>
        <v>0</v>
      </c>
      <c r="AE348" s="20">
        <f>IFERROR(IF($F348&lt;=AE$9,MIN($I348/$J348,$I348-SUM($K348:AD348)),0),0)</f>
        <v>0</v>
      </c>
      <c r="AF348" s="20">
        <f>IFERROR(IF($F348&lt;=AF$9,MIN($I348/$J348,$I348-SUM($K348:AE348)),0),0)</f>
        <v>0</v>
      </c>
      <c r="AG348" s="20">
        <f>IFERROR(IF($F348&lt;=AG$9,MIN($I348/$J348,$I348-SUM($K348:AF348)),0),0)</f>
        <v>0</v>
      </c>
      <c r="AH348" s="20">
        <f>IFERROR(IF($F348&lt;=AH$9,MIN($I348/$J348,$I348-SUM($K348:AG348)),0),0)</f>
        <v>0</v>
      </c>
      <c r="AI348" s="20">
        <f>IFERROR(IF($F348&lt;=AI$9,MIN($I348/$J348,$I348-SUM($K348:AH348)),0),0)</f>
        <v>0</v>
      </c>
      <c r="AJ348" s="20">
        <f>IFERROR(IF($F348&lt;=AJ$9,MIN($I348/$J348,$I348-SUM($K348:AI348)),0),0)</f>
        <v>0</v>
      </c>
      <c r="AK348" s="20">
        <f>IFERROR(IF($F348&lt;=AK$9,MIN($I348/$J348,$I348-SUM($K348:AJ348)),0),0)</f>
        <v>0</v>
      </c>
      <c r="AL348" s="20">
        <f>IFERROR(IF($F348&lt;=AL$9,MIN($I348/$J348,$I348-SUM($K348:AK348)),0),0)</f>
        <v>0</v>
      </c>
      <c r="AM348" s="20">
        <f>IFERROR(IF($F348&lt;=AM$9,MIN($I348/$J348,$I348-SUM($K348:AL348)),0),0)</f>
        <v>0</v>
      </c>
      <c r="AN348" s="20">
        <f>IFERROR(IF($F348&lt;=AN$9,MIN($I348/$J348,$I348-SUM($K348:AM348)),0),0)</f>
        <v>0</v>
      </c>
      <c r="AO348" s="28"/>
    </row>
    <row r="349" spans="6:41" ht="14.4" customHeight="1" outlineLevel="1" x14ac:dyDescent="0.3">
      <c r="F349" s="69">
        <v>2036</v>
      </c>
      <c r="H349" s="26" t="s">
        <v>245</v>
      </c>
      <c r="I349" s="128">
        <v>0</v>
      </c>
      <c r="J349" s="117">
        <v>0</v>
      </c>
      <c r="K349" s="89">
        <v>0</v>
      </c>
      <c r="L349" s="20">
        <f>IFERROR(IF($F349&lt;=L$9,MIN($I349/$J349,$I349-SUM($K349:K349)),0),0)</f>
        <v>0</v>
      </c>
      <c r="M349" s="20">
        <f>IFERROR(IF($F349&lt;=M$9,MIN($I349/$J349,$I349-SUM($K349:L349)),0),0)</f>
        <v>0</v>
      </c>
      <c r="N349" s="20">
        <f>IFERROR(IF($F349&lt;=N$9,MIN($I349/$J349,$I349-SUM($K349:M349)),0),0)</f>
        <v>0</v>
      </c>
      <c r="O349" s="20">
        <f>IFERROR(IF($F349&lt;=O$9,MIN($I349/$J349,$I349-SUM($K349:N349)),0),0)</f>
        <v>0</v>
      </c>
      <c r="P349" s="20">
        <f>IFERROR(IF($F349&lt;=P$9,MIN($I349/$J349,$I349-SUM($K349:O349)),0),0)</f>
        <v>0</v>
      </c>
      <c r="Q349" s="20">
        <f>IFERROR(IF($F349&lt;=Q$9,MIN($I349/$J349,$I349-SUM($K349:P349)),0),0)</f>
        <v>0</v>
      </c>
      <c r="R349" s="20">
        <f>IFERROR(IF($F349&lt;=R$9,MIN($I349/$J349,$I349-SUM($K349:Q349)),0),0)</f>
        <v>0</v>
      </c>
      <c r="S349" s="20">
        <f>IFERROR(IF($F349&lt;=S$9,MIN($I349/$J349,$I349-SUM($K349:R349)),0),0)</f>
        <v>0</v>
      </c>
      <c r="T349" s="20">
        <f>IFERROR(IF($F349&lt;=T$9,MIN($I349/$J349,$I349-SUM($K349:S349)),0),0)</f>
        <v>0</v>
      </c>
      <c r="U349" s="20">
        <f>IFERROR(IF($F349&lt;=U$9,MIN($I349/$J349,$I349-SUM($K349:T349)),0),0)</f>
        <v>0</v>
      </c>
      <c r="V349" s="20">
        <f>IFERROR(IF($F349&lt;=V$9,MIN($I349/$J349,$I349-SUM($K349:U349)),0),0)</f>
        <v>0</v>
      </c>
      <c r="W349" s="20">
        <f>IFERROR(IF($F349&lt;=W$9,MIN($I349/$J349,$I349-SUM($K349:V349)),0),0)</f>
        <v>0</v>
      </c>
      <c r="X349" s="20">
        <f>IFERROR(IF($F349&lt;=X$9,MIN($I349/$J349,$I349-SUM($K349:W349)),0),0)</f>
        <v>0</v>
      </c>
      <c r="Y349" s="20">
        <f>IFERROR(IF($F349&lt;=Y$9,MIN($I349/$J349,$I349-SUM($K349:X349)),0),0)</f>
        <v>0</v>
      </c>
      <c r="Z349" s="20">
        <f>IFERROR(IF($F349&lt;=Z$9,MIN($I349/$J349,$I349-SUM($K349:Y349)),0),0)</f>
        <v>0</v>
      </c>
      <c r="AA349" s="20">
        <f>IFERROR(IF($F349&lt;=AA$9,MIN($I349/$J349,$I349-SUM($K349:Z349)),0),0)</f>
        <v>0</v>
      </c>
      <c r="AB349" s="20">
        <f>IFERROR(IF($F349&lt;=AB$9,MIN($I349/$J349,$I349-SUM($K349:AA349)),0),0)</f>
        <v>0</v>
      </c>
      <c r="AC349" s="20">
        <f>IFERROR(IF($F349&lt;=AC$9,MIN($I349/$J349,$I349-SUM($K349:AB349)),0),0)</f>
        <v>0</v>
      </c>
      <c r="AD349" s="20">
        <f>IFERROR(IF($F349&lt;=AD$9,MIN($I349/$J349,$I349-SUM($K349:AC349)),0),0)</f>
        <v>0</v>
      </c>
      <c r="AE349" s="20">
        <f>IFERROR(IF($F349&lt;=AE$9,MIN($I349/$J349,$I349-SUM($K349:AD349)),0),0)</f>
        <v>0</v>
      </c>
      <c r="AF349" s="20">
        <f>IFERROR(IF($F349&lt;=AF$9,MIN($I349/$J349,$I349-SUM($K349:AE349)),0),0)</f>
        <v>0</v>
      </c>
      <c r="AG349" s="20">
        <f>IFERROR(IF($F349&lt;=AG$9,MIN($I349/$J349,$I349-SUM($K349:AF349)),0),0)</f>
        <v>0</v>
      </c>
      <c r="AH349" s="20">
        <f>IFERROR(IF($F349&lt;=AH$9,MIN($I349/$J349,$I349-SUM($K349:AG349)),0),0)</f>
        <v>0</v>
      </c>
      <c r="AI349" s="20">
        <f>IFERROR(IF($F349&lt;=AI$9,MIN($I349/$J349,$I349-SUM($K349:AH349)),0),0)</f>
        <v>0</v>
      </c>
      <c r="AJ349" s="20">
        <f>IFERROR(IF($F349&lt;=AJ$9,MIN($I349/$J349,$I349-SUM($K349:AI349)),0),0)</f>
        <v>0</v>
      </c>
      <c r="AK349" s="20">
        <f>IFERROR(IF($F349&lt;=AK$9,MIN($I349/$J349,$I349-SUM($K349:AJ349)),0),0)</f>
        <v>0</v>
      </c>
      <c r="AL349" s="20">
        <f>IFERROR(IF($F349&lt;=AL$9,MIN($I349/$J349,$I349-SUM($K349:AK349)),0),0)</f>
        <v>0</v>
      </c>
      <c r="AM349" s="20">
        <f>IFERROR(IF($F349&lt;=AM$9,MIN($I349/$J349,$I349-SUM($K349:AL349)),0),0)</f>
        <v>0</v>
      </c>
      <c r="AN349" s="20">
        <f>IFERROR(IF($F349&lt;=AN$9,MIN($I349/$J349,$I349-SUM($K349:AM349)),0),0)</f>
        <v>0</v>
      </c>
      <c r="AO349" s="28"/>
    </row>
    <row r="350" spans="6:41" ht="14.4" customHeight="1" outlineLevel="1" x14ac:dyDescent="0.3">
      <c r="F350" s="69">
        <v>2037</v>
      </c>
      <c r="H350" s="26" t="s">
        <v>245</v>
      </c>
      <c r="I350" s="128">
        <v>0</v>
      </c>
      <c r="J350" s="117">
        <v>0</v>
      </c>
      <c r="K350" s="89">
        <v>0</v>
      </c>
      <c r="L350" s="20">
        <f>IFERROR(IF($F350&lt;=L$9,MIN($I350/$J350,$I350-SUM($K350:K350)),0),0)</f>
        <v>0</v>
      </c>
      <c r="M350" s="20">
        <f>IFERROR(IF($F350&lt;=M$9,MIN($I350/$J350,$I350-SUM($K350:L350)),0),0)</f>
        <v>0</v>
      </c>
      <c r="N350" s="20">
        <f>IFERROR(IF($F350&lt;=N$9,MIN($I350/$J350,$I350-SUM($K350:M350)),0),0)</f>
        <v>0</v>
      </c>
      <c r="O350" s="20">
        <f>IFERROR(IF($F350&lt;=O$9,MIN($I350/$J350,$I350-SUM($K350:N350)),0),0)</f>
        <v>0</v>
      </c>
      <c r="P350" s="20">
        <f>IFERROR(IF($F350&lt;=P$9,MIN($I350/$J350,$I350-SUM($K350:O350)),0),0)</f>
        <v>0</v>
      </c>
      <c r="Q350" s="20">
        <f>IFERROR(IF($F350&lt;=Q$9,MIN($I350/$J350,$I350-SUM($K350:P350)),0),0)</f>
        <v>0</v>
      </c>
      <c r="R350" s="20">
        <f>IFERROR(IF($F350&lt;=R$9,MIN($I350/$J350,$I350-SUM($K350:Q350)),0),0)</f>
        <v>0</v>
      </c>
      <c r="S350" s="20">
        <f>IFERROR(IF($F350&lt;=S$9,MIN($I350/$J350,$I350-SUM($K350:R350)),0),0)</f>
        <v>0</v>
      </c>
      <c r="T350" s="20">
        <f>IFERROR(IF($F350&lt;=T$9,MIN($I350/$J350,$I350-SUM($K350:S350)),0),0)</f>
        <v>0</v>
      </c>
      <c r="U350" s="20">
        <f>IFERROR(IF($F350&lt;=U$9,MIN($I350/$J350,$I350-SUM($K350:T350)),0),0)</f>
        <v>0</v>
      </c>
      <c r="V350" s="20">
        <f>IFERROR(IF($F350&lt;=V$9,MIN($I350/$J350,$I350-SUM($K350:U350)),0),0)</f>
        <v>0</v>
      </c>
      <c r="W350" s="20">
        <f>IFERROR(IF($F350&lt;=W$9,MIN($I350/$J350,$I350-SUM($K350:V350)),0),0)</f>
        <v>0</v>
      </c>
      <c r="X350" s="20">
        <f>IFERROR(IF($F350&lt;=X$9,MIN($I350/$J350,$I350-SUM($K350:W350)),0),0)</f>
        <v>0</v>
      </c>
      <c r="Y350" s="20">
        <f>IFERROR(IF($F350&lt;=Y$9,MIN($I350/$J350,$I350-SUM($K350:X350)),0),0)</f>
        <v>0</v>
      </c>
      <c r="Z350" s="20">
        <f>IFERROR(IF($F350&lt;=Z$9,MIN($I350/$J350,$I350-SUM($K350:Y350)),0),0)</f>
        <v>0</v>
      </c>
      <c r="AA350" s="20">
        <f>IFERROR(IF($F350&lt;=AA$9,MIN($I350/$J350,$I350-SUM($K350:Z350)),0),0)</f>
        <v>0</v>
      </c>
      <c r="AB350" s="20">
        <f>IFERROR(IF($F350&lt;=AB$9,MIN($I350/$J350,$I350-SUM($K350:AA350)),0),0)</f>
        <v>0</v>
      </c>
      <c r="AC350" s="20">
        <f>IFERROR(IF($F350&lt;=AC$9,MIN($I350/$J350,$I350-SUM($K350:AB350)),0),0)</f>
        <v>0</v>
      </c>
      <c r="AD350" s="20">
        <f>IFERROR(IF($F350&lt;=AD$9,MIN($I350/$J350,$I350-SUM($K350:AC350)),0),0)</f>
        <v>0</v>
      </c>
      <c r="AE350" s="20">
        <f>IFERROR(IF($F350&lt;=AE$9,MIN($I350/$J350,$I350-SUM($K350:AD350)),0),0)</f>
        <v>0</v>
      </c>
      <c r="AF350" s="20">
        <f>IFERROR(IF($F350&lt;=AF$9,MIN($I350/$J350,$I350-SUM($K350:AE350)),0),0)</f>
        <v>0</v>
      </c>
      <c r="AG350" s="20">
        <f>IFERROR(IF($F350&lt;=AG$9,MIN($I350/$J350,$I350-SUM($K350:AF350)),0),0)</f>
        <v>0</v>
      </c>
      <c r="AH350" s="20">
        <f>IFERROR(IF($F350&lt;=AH$9,MIN($I350/$J350,$I350-SUM($K350:AG350)),0),0)</f>
        <v>0</v>
      </c>
      <c r="AI350" s="20">
        <f>IFERROR(IF($F350&lt;=AI$9,MIN($I350/$J350,$I350-SUM($K350:AH350)),0),0)</f>
        <v>0</v>
      </c>
      <c r="AJ350" s="20">
        <f>IFERROR(IF($F350&lt;=AJ$9,MIN($I350/$J350,$I350-SUM($K350:AI350)),0),0)</f>
        <v>0</v>
      </c>
      <c r="AK350" s="20">
        <f>IFERROR(IF($F350&lt;=AK$9,MIN($I350/$J350,$I350-SUM($K350:AJ350)),0),0)</f>
        <v>0</v>
      </c>
      <c r="AL350" s="20">
        <f>IFERROR(IF($F350&lt;=AL$9,MIN($I350/$J350,$I350-SUM($K350:AK350)),0),0)</f>
        <v>0</v>
      </c>
      <c r="AM350" s="20">
        <f>IFERROR(IF($F350&lt;=AM$9,MIN($I350/$J350,$I350-SUM($K350:AL350)),0),0)</f>
        <v>0</v>
      </c>
      <c r="AN350" s="20">
        <f>IFERROR(IF($F350&lt;=AN$9,MIN($I350/$J350,$I350-SUM($K350:AM350)),0),0)</f>
        <v>0</v>
      </c>
      <c r="AO350" s="28"/>
    </row>
    <row r="351" spans="6:41" ht="14.4" customHeight="1" outlineLevel="1" x14ac:dyDescent="0.3">
      <c r="F351" s="69">
        <v>2038</v>
      </c>
      <c r="H351" s="26" t="s">
        <v>245</v>
      </c>
      <c r="I351" s="128">
        <v>35.32619953109721</v>
      </c>
      <c r="J351" s="117">
        <v>3</v>
      </c>
      <c r="K351" s="89">
        <v>0</v>
      </c>
      <c r="L351" s="20">
        <f>IFERROR(IF($F351&lt;=L$9,MIN($I351/$J351,$I351-SUM($K351:K351)),0),0)</f>
        <v>0</v>
      </c>
      <c r="M351" s="20">
        <f>IFERROR(IF($F351&lt;=M$9,MIN($I351/$J351,$I351-SUM($K351:L351)),0),0)</f>
        <v>0</v>
      </c>
      <c r="N351" s="20">
        <f>IFERROR(IF($F351&lt;=N$9,MIN($I351/$J351,$I351-SUM($K351:M351)),0),0)</f>
        <v>0</v>
      </c>
      <c r="O351" s="20">
        <f>IFERROR(IF($F351&lt;=O$9,MIN($I351/$J351,$I351-SUM($K351:N351)),0),0)</f>
        <v>0</v>
      </c>
      <c r="P351" s="20">
        <f>IFERROR(IF($F351&lt;=P$9,MIN($I351/$J351,$I351-SUM($K351:O351)),0),0)</f>
        <v>0</v>
      </c>
      <c r="Q351" s="20">
        <f>IFERROR(IF($F351&lt;=Q$9,MIN($I351/$J351,$I351-SUM($K351:P351)),0),0)</f>
        <v>0</v>
      </c>
      <c r="R351" s="20">
        <f>IFERROR(IF($F351&lt;=R$9,MIN($I351/$J351,$I351-SUM($K351:Q351)),0),0)</f>
        <v>0</v>
      </c>
      <c r="S351" s="20">
        <f>IFERROR(IF($F351&lt;=S$9,MIN($I351/$J351,$I351-SUM($K351:R351)),0),0)</f>
        <v>0</v>
      </c>
      <c r="T351" s="20">
        <f>IFERROR(IF($F351&lt;=T$9,MIN($I351/$J351,$I351-SUM($K351:S351)),0),0)</f>
        <v>0</v>
      </c>
      <c r="U351" s="20">
        <f>IFERROR(IF($F351&lt;=U$9,MIN($I351/$J351,$I351-SUM($K351:T351)),0),0)</f>
        <v>0</v>
      </c>
      <c r="V351" s="20">
        <f>IFERROR(IF($F351&lt;=V$9,MIN($I351/$J351,$I351-SUM($K351:U351)),0),0)</f>
        <v>0</v>
      </c>
      <c r="W351" s="20">
        <f>IFERROR(IF($F351&lt;=W$9,MIN($I351/$J351,$I351-SUM($K351:V351)),0),0)</f>
        <v>0</v>
      </c>
      <c r="X351" s="20">
        <f>IFERROR(IF($F351&lt;=X$9,MIN($I351/$J351,$I351-SUM($K351:W351)),0),0)</f>
        <v>0</v>
      </c>
      <c r="Y351" s="20">
        <f>IFERROR(IF($F351&lt;=Y$9,MIN($I351/$J351,$I351-SUM($K351:X351)),0),0)</f>
        <v>0</v>
      </c>
      <c r="Z351" s="20">
        <f>IFERROR(IF($F351&lt;=Z$9,MIN($I351/$J351,$I351-SUM($K351:Y351)),0),0)</f>
        <v>11.77539984369907</v>
      </c>
      <c r="AA351" s="20">
        <f>IFERROR(IF($F351&lt;=AA$9,MIN($I351/$J351,$I351-SUM($K351:Z351)),0),0)</f>
        <v>11.77539984369907</v>
      </c>
      <c r="AB351" s="20">
        <f>IFERROR(IF($F351&lt;=AB$9,MIN($I351/$J351,$I351-SUM($K351:AA351)),0),0)</f>
        <v>11.77539984369907</v>
      </c>
      <c r="AC351" s="20">
        <f>IFERROR(IF($F351&lt;=AC$9,MIN($I351/$J351,$I351-SUM($K351:AB351)),0),0)</f>
        <v>0</v>
      </c>
      <c r="AD351" s="20">
        <f>IFERROR(IF($F351&lt;=AD$9,MIN($I351/$J351,$I351-SUM($K351:AC351)),0),0)</f>
        <v>0</v>
      </c>
      <c r="AE351" s="20">
        <f>IFERROR(IF($F351&lt;=AE$9,MIN($I351/$J351,$I351-SUM($K351:AD351)),0),0)</f>
        <v>0</v>
      </c>
      <c r="AF351" s="20">
        <f>IFERROR(IF($F351&lt;=AF$9,MIN($I351/$J351,$I351-SUM($K351:AE351)),0),0)</f>
        <v>0</v>
      </c>
      <c r="AG351" s="20">
        <f>IFERROR(IF($F351&lt;=AG$9,MIN($I351/$J351,$I351-SUM($K351:AF351)),0),0)</f>
        <v>0</v>
      </c>
      <c r="AH351" s="20">
        <f>IFERROR(IF($F351&lt;=AH$9,MIN($I351/$J351,$I351-SUM($K351:AG351)),0),0)</f>
        <v>0</v>
      </c>
      <c r="AI351" s="20">
        <f>IFERROR(IF($F351&lt;=AI$9,MIN($I351/$J351,$I351-SUM($K351:AH351)),0),0)</f>
        <v>0</v>
      </c>
      <c r="AJ351" s="20">
        <f>IFERROR(IF($F351&lt;=AJ$9,MIN($I351/$J351,$I351-SUM($K351:AI351)),0),0)</f>
        <v>0</v>
      </c>
      <c r="AK351" s="20">
        <f>IFERROR(IF($F351&lt;=AK$9,MIN($I351/$J351,$I351-SUM($K351:AJ351)),0),0)</f>
        <v>0</v>
      </c>
      <c r="AL351" s="20">
        <f>IFERROR(IF($F351&lt;=AL$9,MIN($I351/$J351,$I351-SUM($K351:AK351)),0),0)</f>
        <v>0</v>
      </c>
      <c r="AM351" s="20">
        <f>IFERROR(IF($F351&lt;=AM$9,MIN($I351/$J351,$I351-SUM($K351:AL351)),0),0)</f>
        <v>0</v>
      </c>
      <c r="AN351" s="20">
        <f>IFERROR(IF($F351&lt;=AN$9,MIN($I351/$J351,$I351-SUM($K351:AM351)),0),0)</f>
        <v>0</v>
      </c>
      <c r="AO351" s="28"/>
    </row>
    <row r="352" spans="6:41" ht="14.4" customHeight="1" outlineLevel="1" x14ac:dyDescent="0.3">
      <c r="F352" s="69">
        <v>2039</v>
      </c>
      <c r="H352" s="26" t="s">
        <v>245</v>
      </c>
      <c r="I352" s="128">
        <v>0</v>
      </c>
      <c r="J352" s="117">
        <v>0</v>
      </c>
      <c r="K352" s="89">
        <v>0</v>
      </c>
      <c r="L352" s="20">
        <f>IFERROR(IF($F352&lt;=L$9,MIN($I352/$J352,$I352-SUM($K352:K352)),0),0)</f>
        <v>0</v>
      </c>
      <c r="M352" s="20">
        <f>IFERROR(IF($F352&lt;=M$9,MIN($I352/$J352,$I352-SUM($K352:L352)),0),0)</f>
        <v>0</v>
      </c>
      <c r="N352" s="20">
        <f>IFERROR(IF($F352&lt;=N$9,MIN($I352/$J352,$I352-SUM($K352:M352)),0),0)</f>
        <v>0</v>
      </c>
      <c r="O352" s="20">
        <f>IFERROR(IF($F352&lt;=O$9,MIN($I352/$J352,$I352-SUM($K352:N352)),0),0)</f>
        <v>0</v>
      </c>
      <c r="P352" s="20">
        <f>IFERROR(IF($F352&lt;=P$9,MIN($I352/$J352,$I352-SUM($K352:O352)),0),0)</f>
        <v>0</v>
      </c>
      <c r="Q352" s="20">
        <f>IFERROR(IF($F352&lt;=Q$9,MIN($I352/$J352,$I352-SUM($K352:P352)),0),0)</f>
        <v>0</v>
      </c>
      <c r="R352" s="20">
        <f>IFERROR(IF($F352&lt;=R$9,MIN($I352/$J352,$I352-SUM($K352:Q352)),0),0)</f>
        <v>0</v>
      </c>
      <c r="S352" s="20">
        <f>IFERROR(IF($F352&lt;=S$9,MIN($I352/$J352,$I352-SUM($K352:R352)),0),0)</f>
        <v>0</v>
      </c>
      <c r="T352" s="20">
        <f>IFERROR(IF($F352&lt;=T$9,MIN($I352/$J352,$I352-SUM($K352:S352)),0),0)</f>
        <v>0</v>
      </c>
      <c r="U352" s="20">
        <f>IFERROR(IF($F352&lt;=U$9,MIN($I352/$J352,$I352-SUM($K352:T352)),0),0)</f>
        <v>0</v>
      </c>
      <c r="V352" s="20">
        <f>IFERROR(IF($F352&lt;=V$9,MIN($I352/$J352,$I352-SUM($K352:U352)),0),0)</f>
        <v>0</v>
      </c>
      <c r="W352" s="20">
        <f>IFERROR(IF($F352&lt;=W$9,MIN($I352/$J352,$I352-SUM($K352:V352)),0),0)</f>
        <v>0</v>
      </c>
      <c r="X352" s="20">
        <f>IFERROR(IF($F352&lt;=X$9,MIN($I352/$J352,$I352-SUM($K352:W352)),0),0)</f>
        <v>0</v>
      </c>
      <c r="Y352" s="20">
        <f>IFERROR(IF($F352&lt;=Y$9,MIN($I352/$J352,$I352-SUM($K352:X352)),0),0)</f>
        <v>0</v>
      </c>
      <c r="Z352" s="20">
        <f>IFERROR(IF($F352&lt;=Z$9,MIN($I352/$J352,$I352-SUM($K352:Y352)),0),0)</f>
        <v>0</v>
      </c>
      <c r="AA352" s="20">
        <f>IFERROR(IF($F352&lt;=AA$9,MIN($I352/$J352,$I352-SUM($K352:Z352)),0),0)</f>
        <v>0</v>
      </c>
      <c r="AB352" s="20">
        <f>IFERROR(IF($F352&lt;=AB$9,MIN($I352/$J352,$I352-SUM($K352:AA352)),0),0)</f>
        <v>0</v>
      </c>
      <c r="AC352" s="20">
        <f>IFERROR(IF($F352&lt;=AC$9,MIN($I352/$J352,$I352-SUM($K352:AB352)),0),0)</f>
        <v>0</v>
      </c>
      <c r="AD352" s="20">
        <f>IFERROR(IF($F352&lt;=AD$9,MIN($I352/$J352,$I352-SUM($K352:AC352)),0),0)</f>
        <v>0</v>
      </c>
      <c r="AE352" s="20">
        <f>IFERROR(IF($F352&lt;=AE$9,MIN($I352/$J352,$I352-SUM($K352:AD352)),0),0)</f>
        <v>0</v>
      </c>
      <c r="AF352" s="20">
        <f>IFERROR(IF($F352&lt;=AF$9,MIN($I352/$J352,$I352-SUM($K352:AE352)),0),0)</f>
        <v>0</v>
      </c>
      <c r="AG352" s="20">
        <f>IFERROR(IF($F352&lt;=AG$9,MIN($I352/$J352,$I352-SUM($K352:AF352)),0),0)</f>
        <v>0</v>
      </c>
      <c r="AH352" s="20">
        <f>IFERROR(IF($F352&lt;=AH$9,MIN($I352/$J352,$I352-SUM($K352:AG352)),0),0)</f>
        <v>0</v>
      </c>
      <c r="AI352" s="20">
        <f>IFERROR(IF($F352&lt;=AI$9,MIN($I352/$J352,$I352-SUM($K352:AH352)),0),0)</f>
        <v>0</v>
      </c>
      <c r="AJ352" s="20">
        <f>IFERROR(IF($F352&lt;=AJ$9,MIN($I352/$J352,$I352-SUM($K352:AI352)),0),0)</f>
        <v>0</v>
      </c>
      <c r="AK352" s="20">
        <f>IFERROR(IF($F352&lt;=AK$9,MIN($I352/$J352,$I352-SUM($K352:AJ352)),0),0)</f>
        <v>0</v>
      </c>
      <c r="AL352" s="20">
        <f>IFERROR(IF($F352&lt;=AL$9,MIN($I352/$J352,$I352-SUM($K352:AK352)),0),0)</f>
        <v>0</v>
      </c>
      <c r="AM352" s="20">
        <f>IFERROR(IF($F352&lt;=AM$9,MIN($I352/$J352,$I352-SUM($K352:AL352)),0),0)</f>
        <v>0</v>
      </c>
      <c r="AN352" s="20">
        <f>IFERROR(IF($F352&lt;=AN$9,MIN($I352/$J352,$I352-SUM($K352:AM352)),0),0)</f>
        <v>0</v>
      </c>
      <c r="AO352" s="28"/>
    </row>
    <row r="353" spans="3:41" ht="14.4" customHeight="1" outlineLevel="1" x14ac:dyDescent="0.3">
      <c r="F353" s="69">
        <v>2040</v>
      </c>
      <c r="H353" s="26" t="s">
        <v>245</v>
      </c>
      <c r="I353" s="128">
        <v>0</v>
      </c>
      <c r="J353" s="117">
        <v>0</v>
      </c>
      <c r="K353" s="89">
        <v>0</v>
      </c>
      <c r="L353" s="20">
        <f>IFERROR(IF($F353&lt;=L$9,MIN($I353/$J353,$I353-SUM($K353:K353)),0),0)</f>
        <v>0</v>
      </c>
      <c r="M353" s="20">
        <f>IFERROR(IF($F353&lt;=M$9,MIN($I353/$J353,$I353-SUM($K353:L353)),0),0)</f>
        <v>0</v>
      </c>
      <c r="N353" s="20">
        <f>IFERROR(IF($F353&lt;=N$9,MIN($I353/$J353,$I353-SUM($K353:M353)),0),0)</f>
        <v>0</v>
      </c>
      <c r="O353" s="20">
        <f>IFERROR(IF($F353&lt;=O$9,MIN($I353/$J353,$I353-SUM($K353:N353)),0),0)</f>
        <v>0</v>
      </c>
      <c r="P353" s="20">
        <f>IFERROR(IF($F353&lt;=P$9,MIN($I353/$J353,$I353-SUM($K353:O353)),0),0)</f>
        <v>0</v>
      </c>
      <c r="Q353" s="20">
        <f>IFERROR(IF($F353&lt;=Q$9,MIN($I353/$J353,$I353-SUM($K353:P353)),0),0)</f>
        <v>0</v>
      </c>
      <c r="R353" s="20">
        <f>IFERROR(IF($F353&lt;=R$9,MIN($I353/$J353,$I353-SUM($K353:Q353)),0),0)</f>
        <v>0</v>
      </c>
      <c r="S353" s="20">
        <f>IFERROR(IF($F353&lt;=S$9,MIN($I353/$J353,$I353-SUM($K353:R353)),0),0)</f>
        <v>0</v>
      </c>
      <c r="T353" s="20">
        <f>IFERROR(IF($F353&lt;=T$9,MIN($I353/$J353,$I353-SUM($K353:S353)),0),0)</f>
        <v>0</v>
      </c>
      <c r="U353" s="20">
        <f>IFERROR(IF($F353&lt;=U$9,MIN($I353/$J353,$I353-SUM($K353:T353)),0),0)</f>
        <v>0</v>
      </c>
      <c r="V353" s="20">
        <f>IFERROR(IF($F353&lt;=V$9,MIN($I353/$J353,$I353-SUM($K353:U353)),0),0)</f>
        <v>0</v>
      </c>
      <c r="W353" s="20">
        <f>IFERROR(IF($F353&lt;=W$9,MIN($I353/$J353,$I353-SUM($K353:V353)),0),0)</f>
        <v>0</v>
      </c>
      <c r="X353" s="20">
        <f>IFERROR(IF($F353&lt;=X$9,MIN($I353/$J353,$I353-SUM($K353:W353)),0),0)</f>
        <v>0</v>
      </c>
      <c r="Y353" s="20">
        <f>IFERROR(IF($F353&lt;=Y$9,MIN($I353/$J353,$I353-SUM($K353:X353)),0),0)</f>
        <v>0</v>
      </c>
      <c r="Z353" s="20">
        <f>IFERROR(IF($F353&lt;=Z$9,MIN($I353/$J353,$I353-SUM($K353:Y353)),0),0)</f>
        <v>0</v>
      </c>
      <c r="AA353" s="20">
        <f>IFERROR(IF($F353&lt;=AA$9,MIN($I353/$J353,$I353-SUM($K353:Z353)),0),0)</f>
        <v>0</v>
      </c>
      <c r="AB353" s="20">
        <f>IFERROR(IF($F353&lt;=AB$9,MIN($I353/$J353,$I353-SUM($K353:AA353)),0),0)</f>
        <v>0</v>
      </c>
      <c r="AC353" s="20">
        <f>IFERROR(IF($F353&lt;=AC$9,MIN($I353/$J353,$I353-SUM($K353:AB353)),0),0)</f>
        <v>0</v>
      </c>
      <c r="AD353" s="20">
        <f>IFERROR(IF($F353&lt;=AD$9,MIN($I353/$J353,$I353-SUM($K353:AC353)),0),0)</f>
        <v>0</v>
      </c>
      <c r="AE353" s="20">
        <f>IFERROR(IF($F353&lt;=AE$9,MIN($I353/$J353,$I353-SUM($K353:AD353)),0),0)</f>
        <v>0</v>
      </c>
      <c r="AF353" s="20">
        <f>IFERROR(IF($F353&lt;=AF$9,MIN($I353/$J353,$I353-SUM($K353:AE353)),0),0)</f>
        <v>0</v>
      </c>
      <c r="AG353" s="20">
        <f>IFERROR(IF($F353&lt;=AG$9,MIN($I353/$J353,$I353-SUM($K353:AF353)),0),0)</f>
        <v>0</v>
      </c>
      <c r="AH353" s="20">
        <f>IFERROR(IF($F353&lt;=AH$9,MIN($I353/$J353,$I353-SUM($K353:AG353)),0),0)</f>
        <v>0</v>
      </c>
      <c r="AI353" s="20">
        <f>IFERROR(IF($F353&lt;=AI$9,MIN($I353/$J353,$I353-SUM($K353:AH353)),0),0)</f>
        <v>0</v>
      </c>
      <c r="AJ353" s="20">
        <f>IFERROR(IF($F353&lt;=AJ$9,MIN($I353/$J353,$I353-SUM($K353:AI353)),0),0)</f>
        <v>0</v>
      </c>
      <c r="AK353" s="20">
        <f>IFERROR(IF($F353&lt;=AK$9,MIN($I353/$J353,$I353-SUM($K353:AJ353)),0),0)</f>
        <v>0</v>
      </c>
      <c r="AL353" s="20">
        <f>IFERROR(IF($F353&lt;=AL$9,MIN($I353/$J353,$I353-SUM($K353:AK353)),0),0)</f>
        <v>0</v>
      </c>
      <c r="AM353" s="20">
        <f>IFERROR(IF($F353&lt;=AM$9,MIN($I353/$J353,$I353-SUM($K353:AL353)),0),0)</f>
        <v>0</v>
      </c>
      <c r="AN353" s="20">
        <f>IFERROR(IF($F353&lt;=AN$9,MIN($I353/$J353,$I353-SUM($K353:AM353)),0),0)</f>
        <v>0</v>
      </c>
      <c r="AO353" s="28"/>
    </row>
    <row r="354" spans="3:41" ht="14.4" customHeight="1" outlineLevel="1" x14ac:dyDescent="0.3">
      <c r="F354" s="69">
        <v>2041</v>
      </c>
      <c r="H354" s="26" t="s">
        <v>245</v>
      </c>
      <c r="I354" s="128">
        <v>0</v>
      </c>
      <c r="J354" s="117">
        <v>0</v>
      </c>
      <c r="K354" s="89">
        <v>0</v>
      </c>
      <c r="L354" s="20">
        <f>IFERROR(IF($F354&lt;=L$9,MIN($I354/$J354,$I354-SUM($K354:K354)),0),0)</f>
        <v>0</v>
      </c>
      <c r="M354" s="20">
        <f>IFERROR(IF($F354&lt;=M$9,MIN($I354/$J354,$I354-SUM($K354:L354)),0),0)</f>
        <v>0</v>
      </c>
      <c r="N354" s="20">
        <f>IFERROR(IF($F354&lt;=N$9,MIN($I354/$J354,$I354-SUM($K354:M354)),0),0)</f>
        <v>0</v>
      </c>
      <c r="O354" s="20">
        <f>IFERROR(IF($F354&lt;=O$9,MIN($I354/$J354,$I354-SUM($K354:N354)),0),0)</f>
        <v>0</v>
      </c>
      <c r="P354" s="20">
        <f>IFERROR(IF($F354&lt;=P$9,MIN($I354/$J354,$I354-SUM($K354:O354)),0),0)</f>
        <v>0</v>
      </c>
      <c r="Q354" s="20">
        <f>IFERROR(IF($F354&lt;=Q$9,MIN($I354/$J354,$I354-SUM($K354:P354)),0),0)</f>
        <v>0</v>
      </c>
      <c r="R354" s="20">
        <f>IFERROR(IF($F354&lt;=R$9,MIN($I354/$J354,$I354-SUM($K354:Q354)),0),0)</f>
        <v>0</v>
      </c>
      <c r="S354" s="20">
        <f>IFERROR(IF($F354&lt;=S$9,MIN($I354/$J354,$I354-SUM($K354:R354)),0),0)</f>
        <v>0</v>
      </c>
      <c r="T354" s="20">
        <f>IFERROR(IF($F354&lt;=T$9,MIN($I354/$J354,$I354-SUM($K354:S354)),0),0)</f>
        <v>0</v>
      </c>
      <c r="U354" s="20">
        <f>IFERROR(IF($F354&lt;=U$9,MIN($I354/$J354,$I354-SUM($K354:T354)),0),0)</f>
        <v>0</v>
      </c>
      <c r="V354" s="20">
        <f>IFERROR(IF($F354&lt;=V$9,MIN($I354/$J354,$I354-SUM($K354:U354)),0),0)</f>
        <v>0</v>
      </c>
      <c r="W354" s="20">
        <f>IFERROR(IF($F354&lt;=W$9,MIN($I354/$J354,$I354-SUM($K354:V354)),0),0)</f>
        <v>0</v>
      </c>
      <c r="X354" s="20">
        <f>IFERROR(IF($F354&lt;=X$9,MIN($I354/$J354,$I354-SUM($K354:W354)),0),0)</f>
        <v>0</v>
      </c>
      <c r="Y354" s="20">
        <f>IFERROR(IF($F354&lt;=Y$9,MIN($I354/$J354,$I354-SUM($K354:X354)),0),0)</f>
        <v>0</v>
      </c>
      <c r="Z354" s="20">
        <f>IFERROR(IF($F354&lt;=Z$9,MIN($I354/$J354,$I354-SUM($K354:Y354)),0),0)</f>
        <v>0</v>
      </c>
      <c r="AA354" s="20">
        <f>IFERROR(IF($F354&lt;=AA$9,MIN($I354/$J354,$I354-SUM($K354:Z354)),0),0)</f>
        <v>0</v>
      </c>
      <c r="AB354" s="20">
        <f>IFERROR(IF($F354&lt;=AB$9,MIN($I354/$J354,$I354-SUM($K354:AA354)),0),0)</f>
        <v>0</v>
      </c>
      <c r="AC354" s="20">
        <f>IFERROR(IF($F354&lt;=AC$9,MIN($I354/$J354,$I354-SUM($K354:AB354)),0),0)</f>
        <v>0</v>
      </c>
      <c r="AD354" s="20">
        <f>IFERROR(IF($F354&lt;=AD$9,MIN($I354/$J354,$I354-SUM($K354:AC354)),0),0)</f>
        <v>0</v>
      </c>
      <c r="AE354" s="20">
        <f>IFERROR(IF($F354&lt;=AE$9,MIN($I354/$J354,$I354-SUM($K354:AD354)),0),0)</f>
        <v>0</v>
      </c>
      <c r="AF354" s="20">
        <f>IFERROR(IF($F354&lt;=AF$9,MIN($I354/$J354,$I354-SUM($K354:AE354)),0),0)</f>
        <v>0</v>
      </c>
      <c r="AG354" s="20">
        <f>IFERROR(IF($F354&lt;=AG$9,MIN($I354/$J354,$I354-SUM($K354:AF354)),0),0)</f>
        <v>0</v>
      </c>
      <c r="AH354" s="20">
        <f>IFERROR(IF($F354&lt;=AH$9,MIN($I354/$J354,$I354-SUM($K354:AG354)),0),0)</f>
        <v>0</v>
      </c>
      <c r="AI354" s="20">
        <f>IFERROR(IF($F354&lt;=AI$9,MIN($I354/$J354,$I354-SUM($K354:AH354)),0),0)</f>
        <v>0</v>
      </c>
      <c r="AJ354" s="20">
        <f>IFERROR(IF($F354&lt;=AJ$9,MIN($I354/$J354,$I354-SUM($K354:AI354)),0),0)</f>
        <v>0</v>
      </c>
      <c r="AK354" s="20">
        <f>IFERROR(IF($F354&lt;=AK$9,MIN($I354/$J354,$I354-SUM($K354:AJ354)),0),0)</f>
        <v>0</v>
      </c>
      <c r="AL354" s="20">
        <f>IFERROR(IF($F354&lt;=AL$9,MIN($I354/$J354,$I354-SUM($K354:AK354)),0),0)</f>
        <v>0</v>
      </c>
      <c r="AM354" s="20">
        <f>IFERROR(IF($F354&lt;=AM$9,MIN($I354/$J354,$I354-SUM($K354:AL354)),0),0)</f>
        <v>0</v>
      </c>
      <c r="AN354" s="20">
        <f>IFERROR(IF($F354&lt;=AN$9,MIN($I354/$J354,$I354-SUM($K354:AM354)),0),0)</f>
        <v>0</v>
      </c>
      <c r="AO354" s="28"/>
    </row>
    <row r="355" spans="3:41" ht="14.4" customHeight="1" outlineLevel="1" x14ac:dyDescent="0.3">
      <c r="F355" s="69" t="str">
        <v/>
      </c>
      <c r="H355" s="26" t="s">
        <v>245</v>
      </c>
      <c r="I355" s="128">
        <v>0</v>
      </c>
      <c r="J355" s="117">
        <v>0</v>
      </c>
      <c r="K355" s="89">
        <v>0</v>
      </c>
      <c r="L355" s="20">
        <f>IFERROR(IF($F355&lt;=L$9,MIN($I355/$J355,$I355-SUM($K355:K355)),0),0)</f>
        <v>0</v>
      </c>
      <c r="M355" s="20">
        <f>IFERROR(IF($F355&lt;=M$9,MIN($I355/$J355,$I355-SUM($K355:L355)),0),0)</f>
        <v>0</v>
      </c>
      <c r="N355" s="20">
        <f>IFERROR(IF($F355&lt;=N$9,MIN($I355/$J355,$I355-SUM($K355:M355)),0),0)</f>
        <v>0</v>
      </c>
      <c r="O355" s="20">
        <f>IFERROR(IF($F355&lt;=O$9,MIN($I355/$J355,$I355-SUM($K355:N355)),0),0)</f>
        <v>0</v>
      </c>
      <c r="P355" s="20">
        <f>IFERROR(IF($F355&lt;=P$9,MIN($I355/$J355,$I355-SUM($K355:O355)),0),0)</f>
        <v>0</v>
      </c>
      <c r="Q355" s="20">
        <f>IFERROR(IF($F355&lt;=Q$9,MIN($I355/$J355,$I355-SUM($K355:P355)),0),0)</f>
        <v>0</v>
      </c>
      <c r="R355" s="20">
        <f>IFERROR(IF($F355&lt;=R$9,MIN($I355/$J355,$I355-SUM($K355:Q355)),0),0)</f>
        <v>0</v>
      </c>
      <c r="S355" s="20">
        <f>IFERROR(IF($F355&lt;=S$9,MIN($I355/$J355,$I355-SUM($K355:R355)),0),0)</f>
        <v>0</v>
      </c>
      <c r="T355" s="20">
        <f>IFERROR(IF($F355&lt;=T$9,MIN($I355/$J355,$I355-SUM($K355:S355)),0),0)</f>
        <v>0</v>
      </c>
      <c r="U355" s="20">
        <f>IFERROR(IF($F355&lt;=U$9,MIN($I355/$J355,$I355-SUM($K355:T355)),0),0)</f>
        <v>0</v>
      </c>
      <c r="V355" s="20">
        <f>IFERROR(IF($F355&lt;=V$9,MIN($I355/$J355,$I355-SUM($K355:U355)),0),0)</f>
        <v>0</v>
      </c>
      <c r="W355" s="20">
        <f>IFERROR(IF($F355&lt;=W$9,MIN($I355/$J355,$I355-SUM($K355:V355)),0),0)</f>
        <v>0</v>
      </c>
      <c r="X355" s="20">
        <f>IFERROR(IF($F355&lt;=X$9,MIN($I355/$J355,$I355-SUM($K355:W355)),0),0)</f>
        <v>0</v>
      </c>
      <c r="Y355" s="20">
        <f>IFERROR(IF($F355&lt;=Y$9,MIN($I355/$J355,$I355-SUM($K355:X355)),0),0)</f>
        <v>0</v>
      </c>
      <c r="Z355" s="20">
        <f>IFERROR(IF($F355&lt;=Z$9,MIN($I355/$J355,$I355-SUM($K355:Y355)),0),0)</f>
        <v>0</v>
      </c>
      <c r="AA355" s="20">
        <f>IFERROR(IF($F355&lt;=AA$9,MIN($I355/$J355,$I355-SUM($K355:Z355)),0),0)</f>
        <v>0</v>
      </c>
      <c r="AB355" s="20">
        <f>IFERROR(IF($F355&lt;=AB$9,MIN($I355/$J355,$I355-SUM($K355:AA355)),0),0)</f>
        <v>0</v>
      </c>
      <c r="AC355" s="20">
        <f>IFERROR(IF($F355&lt;=AC$9,MIN($I355/$J355,$I355-SUM($K355:AB355)),0),0)</f>
        <v>0</v>
      </c>
      <c r="AD355" s="20">
        <f>IFERROR(IF($F355&lt;=AD$9,MIN($I355/$J355,$I355-SUM($K355:AC355)),0),0)</f>
        <v>0</v>
      </c>
      <c r="AE355" s="20">
        <f>IFERROR(IF($F355&lt;=AE$9,MIN($I355/$J355,$I355-SUM($K355:AD355)),0),0)</f>
        <v>0</v>
      </c>
      <c r="AF355" s="20">
        <f>IFERROR(IF($F355&lt;=AF$9,MIN($I355/$J355,$I355-SUM($K355:AE355)),0),0)</f>
        <v>0</v>
      </c>
      <c r="AG355" s="20">
        <f>IFERROR(IF($F355&lt;=AG$9,MIN($I355/$J355,$I355-SUM($K355:AF355)),0),0)</f>
        <v>0</v>
      </c>
      <c r="AH355" s="20">
        <f>IFERROR(IF($F355&lt;=AH$9,MIN($I355/$J355,$I355-SUM($K355:AG355)),0),0)</f>
        <v>0</v>
      </c>
      <c r="AI355" s="20">
        <f>IFERROR(IF($F355&lt;=AI$9,MIN($I355/$J355,$I355-SUM($K355:AH355)),0),0)</f>
        <v>0</v>
      </c>
      <c r="AJ355" s="20">
        <f>IFERROR(IF($F355&lt;=AJ$9,MIN($I355/$J355,$I355-SUM($K355:AI355)),0),0)</f>
        <v>0</v>
      </c>
      <c r="AK355" s="20">
        <f>IFERROR(IF($F355&lt;=AK$9,MIN($I355/$J355,$I355-SUM($K355:AJ355)),0),0)</f>
        <v>0</v>
      </c>
      <c r="AL355" s="20">
        <f>IFERROR(IF($F355&lt;=AL$9,MIN($I355/$J355,$I355-SUM($K355:AK355)),0),0)</f>
        <v>0</v>
      </c>
      <c r="AM355" s="20">
        <f>IFERROR(IF($F355&lt;=AM$9,MIN($I355/$J355,$I355-SUM($K355:AL355)),0),0)</f>
        <v>0</v>
      </c>
      <c r="AN355" s="20">
        <f>IFERROR(IF($F355&lt;=AN$9,MIN($I355/$J355,$I355-SUM($K355:AM355)),0),0)</f>
        <v>0</v>
      </c>
      <c r="AO355" s="28"/>
    </row>
    <row r="356" spans="3:41" ht="14.4" customHeight="1" outlineLevel="1" x14ac:dyDescent="0.3">
      <c r="F356" s="69" t="str">
        <v/>
      </c>
      <c r="H356" s="26" t="s">
        <v>245</v>
      </c>
      <c r="I356" s="128">
        <v>0</v>
      </c>
      <c r="J356" s="117">
        <v>0</v>
      </c>
      <c r="K356" s="89">
        <v>0</v>
      </c>
      <c r="L356" s="20">
        <f>IFERROR(IF($F356&lt;=L$9,MIN($I356/$J356,$I356-SUM($K356:K356)),0),0)</f>
        <v>0</v>
      </c>
      <c r="M356" s="20">
        <f>IFERROR(IF($F356&lt;=M$9,MIN($I356/$J356,$I356-SUM($K356:L356)),0),0)</f>
        <v>0</v>
      </c>
      <c r="N356" s="20">
        <f>IFERROR(IF($F356&lt;=N$9,MIN($I356/$J356,$I356-SUM($K356:M356)),0),0)</f>
        <v>0</v>
      </c>
      <c r="O356" s="20">
        <f>IFERROR(IF($F356&lt;=O$9,MIN($I356/$J356,$I356-SUM($K356:N356)),0),0)</f>
        <v>0</v>
      </c>
      <c r="P356" s="20">
        <f>IFERROR(IF($F356&lt;=P$9,MIN($I356/$J356,$I356-SUM($K356:O356)),0),0)</f>
        <v>0</v>
      </c>
      <c r="Q356" s="20">
        <f>IFERROR(IF($F356&lt;=Q$9,MIN($I356/$J356,$I356-SUM($K356:P356)),0),0)</f>
        <v>0</v>
      </c>
      <c r="R356" s="20">
        <f>IFERROR(IF($F356&lt;=R$9,MIN($I356/$J356,$I356-SUM($K356:Q356)),0),0)</f>
        <v>0</v>
      </c>
      <c r="S356" s="20">
        <f>IFERROR(IF($F356&lt;=S$9,MIN($I356/$J356,$I356-SUM($K356:R356)),0),0)</f>
        <v>0</v>
      </c>
      <c r="T356" s="20">
        <f>IFERROR(IF($F356&lt;=T$9,MIN($I356/$J356,$I356-SUM($K356:S356)),0),0)</f>
        <v>0</v>
      </c>
      <c r="U356" s="20">
        <f>IFERROR(IF($F356&lt;=U$9,MIN($I356/$J356,$I356-SUM($K356:T356)),0),0)</f>
        <v>0</v>
      </c>
      <c r="V356" s="20">
        <f>IFERROR(IF($F356&lt;=V$9,MIN($I356/$J356,$I356-SUM($K356:U356)),0),0)</f>
        <v>0</v>
      </c>
      <c r="W356" s="20">
        <f>IFERROR(IF($F356&lt;=W$9,MIN($I356/$J356,$I356-SUM($K356:V356)),0),0)</f>
        <v>0</v>
      </c>
      <c r="X356" s="20">
        <f>IFERROR(IF($F356&lt;=X$9,MIN($I356/$J356,$I356-SUM($K356:W356)),0),0)</f>
        <v>0</v>
      </c>
      <c r="Y356" s="20">
        <f>IFERROR(IF($F356&lt;=Y$9,MIN($I356/$J356,$I356-SUM($K356:X356)),0),0)</f>
        <v>0</v>
      </c>
      <c r="Z356" s="20">
        <f>IFERROR(IF($F356&lt;=Z$9,MIN($I356/$J356,$I356-SUM($K356:Y356)),0),0)</f>
        <v>0</v>
      </c>
      <c r="AA356" s="20">
        <f>IFERROR(IF($F356&lt;=AA$9,MIN($I356/$J356,$I356-SUM($K356:Z356)),0),0)</f>
        <v>0</v>
      </c>
      <c r="AB356" s="20">
        <f>IFERROR(IF($F356&lt;=AB$9,MIN($I356/$J356,$I356-SUM($K356:AA356)),0),0)</f>
        <v>0</v>
      </c>
      <c r="AC356" s="20">
        <f>IFERROR(IF($F356&lt;=AC$9,MIN($I356/$J356,$I356-SUM($K356:AB356)),0),0)</f>
        <v>0</v>
      </c>
      <c r="AD356" s="20">
        <f>IFERROR(IF($F356&lt;=AD$9,MIN($I356/$J356,$I356-SUM($K356:AC356)),0),0)</f>
        <v>0</v>
      </c>
      <c r="AE356" s="20">
        <f>IFERROR(IF($F356&lt;=AE$9,MIN($I356/$J356,$I356-SUM($K356:AD356)),0),0)</f>
        <v>0</v>
      </c>
      <c r="AF356" s="20">
        <f>IFERROR(IF($F356&lt;=AF$9,MIN($I356/$J356,$I356-SUM($K356:AE356)),0),0)</f>
        <v>0</v>
      </c>
      <c r="AG356" s="20">
        <f>IFERROR(IF($F356&lt;=AG$9,MIN($I356/$J356,$I356-SUM($K356:AF356)),0),0)</f>
        <v>0</v>
      </c>
      <c r="AH356" s="20">
        <f>IFERROR(IF($F356&lt;=AH$9,MIN($I356/$J356,$I356-SUM($K356:AG356)),0),0)</f>
        <v>0</v>
      </c>
      <c r="AI356" s="20">
        <f>IFERROR(IF($F356&lt;=AI$9,MIN($I356/$J356,$I356-SUM($K356:AH356)),0),0)</f>
        <v>0</v>
      </c>
      <c r="AJ356" s="20">
        <f>IFERROR(IF($F356&lt;=AJ$9,MIN($I356/$J356,$I356-SUM($K356:AI356)),0),0)</f>
        <v>0</v>
      </c>
      <c r="AK356" s="20">
        <f>IFERROR(IF($F356&lt;=AK$9,MIN($I356/$J356,$I356-SUM($K356:AJ356)),0),0)</f>
        <v>0</v>
      </c>
      <c r="AL356" s="20">
        <f>IFERROR(IF($F356&lt;=AL$9,MIN($I356/$J356,$I356-SUM($K356:AK356)),0),0)</f>
        <v>0</v>
      </c>
      <c r="AM356" s="20">
        <f>IFERROR(IF($F356&lt;=AM$9,MIN($I356/$J356,$I356-SUM($K356:AL356)),0),0)</f>
        <v>0</v>
      </c>
      <c r="AN356" s="20">
        <f>IFERROR(IF($F356&lt;=AN$9,MIN($I356/$J356,$I356-SUM($K356:AM356)),0),0)</f>
        <v>0</v>
      </c>
      <c r="AO356" s="28"/>
    </row>
    <row r="357" spans="3:41" ht="14.4" customHeight="1" outlineLevel="1" x14ac:dyDescent="0.3">
      <c r="F357" s="69" t="str">
        <v/>
      </c>
      <c r="H357" s="26" t="s">
        <v>245</v>
      </c>
      <c r="I357" s="128">
        <v>0</v>
      </c>
      <c r="J357" s="117">
        <v>0</v>
      </c>
      <c r="K357" s="89">
        <v>0</v>
      </c>
      <c r="L357" s="20">
        <f>IFERROR(IF($F357&lt;=L$9,MIN($I357/$J357,$I357-SUM($K357:K357)),0),0)</f>
        <v>0</v>
      </c>
      <c r="M357" s="20">
        <f>IFERROR(IF($F357&lt;=M$9,MIN($I357/$J357,$I357-SUM($K357:L357)),0),0)</f>
        <v>0</v>
      </c>
      <c r="N357" s="20">
        <f>IFERROR(IF($F357&lt;=N$9,MIN($I357/$J357,$I357-SUM($K357:M357)),0),0)</f>
        <v>0</v>
      </c>
      <c r="O357" s="20">
        <f>IFERROR(IF($F357&lt;=O$9,MIN($I357/$J357,$I357-SUM($K357:N357)),0),0)</f>
        <v>0</v>
      </c>
      <c r="P357" s="20">
        <f>IFERROR(IF($F357&lt;=P$9,MIN($I357/$J357,$I357-SUM($K357:O357)),0),0)</f>
        <v>0</v>
      </c>
      <c r="Q357" s="20">
        <f>IFERROR(IF($F357&lt;=Q$9,MIN($I357/$J357,$I357-SUM($K357:P357)),0),0)</f>
        <v>0</v>
      </c>
      <c r="R357" s="20">
        <f>IFERROR(IF($F357&lt;=R$9,MIN($I357/$J357,$I357-SUM($K357:Q357)),0),0)</f>
        <v>0</v>
      </c>
      <c r="S357" s="20">
        <f>IFERROR(IF($F357&lt;=S$9,MIN($I357/$J357,$I357-SUM($K357:R357)),0),0)</f>
        <v>0</v>
      </c>
      <c r="T357" s="20">
        <f>IFERROR(IF($F357&lt;=T$9,MIN($I357/$J357,$I357-SUM($K357:S357)),0),0)</f>
        <v>0</v>
      </c>
      <c r="U357" s="20">
        <f>IFERROR(IF($F357&lt;=U$9,MIN($I357/$J357,$I357-SUM($K357:T357)),0),0)</f>
        <v>0</v>
      </c>
      <c r="V357" s="20">
        <f>IFERROR(IF($F357&lt;=V$9,MIN($I357/$J357,$I357-SUM($K357:U357)),0),0)</f>
        <v>0</v>
      </c>
      <c r="W357" s="20">
        <f>IFERROR(IF($F357&lt;=W$9,MIN($I357/$J357,$I357-SUM($K357:V357)),0),0)</f>
        <v>0</v>
      </c>
      <c r="X357" s="20">
        <f>IFERROR(IF($F357&lt;=X$9,MIN($I357/$J357,$I357-SUM($K357:W357)),0),0)</f>
        <v>0</v>
      </c>
      <c r="Y357" s="20">
        <f>IFERROR(IF($F357&lt;=Y$9,MIN($I357/$J357,$I357-SUM($K357:X357)),0),0)</f>
        <v>0</v>
      </c>
      <c r="Z357" s="20">
        <f>IFERROR(IF($F357&lt;=Z$9,MIN($I357/$J357,$I357-SUM($K357:Y357)),0),0)</f>
        <v>0</v>
      </c>
      <c r="AA357" s="20">
        <f>IFERROR(IF($F357&lt;=AA$9,MIN($I357/$J357,$I357-SUM($K357:Z357)),0),0)</f>
        <v>0</v>
      </c>
      <c r="AB357" s="20">
        <f>IFERROR(IF($F357&lt;=AB$9,MIN($I357/$J357,$I357-SUM($K357:AA357)),0),0)</f>
        <v>0</v>
      </c>
      <c r="AC357" s="20">
        <f>IFERROR(IF($F357&lt;=AC$9,MIN($I357/$J357,$I357-SUM($K357:AB357)),0),0)</f>
        <v>0</v>
      </c>
      <c r="AD357" s="20">
        <f>IFERROR(IF($F357&lt;=AD$9,MIN($I357/$J357,$I357-SUM($K357:AC357)),0),0)</f>
        <v>0</v>
      </c>
      <c r="AE357" s="20">
        <f>IFERROR(IF($F357&lt;=AE$9,MIN($I357/$J357,$I357-SUM($K357:AD357)),0),0)</f>
        <v>0</v>
      </c>
      <c r="AF357" s="20">
        <f>IFERROR(IF($F357&lt;=AF$9,MIN($I357/$J357,$I357-SUM($K357:AE357)),0),0)</f>
        <v>0</v>
      </c>
      <c r="AG357" s="20">
        <f>IFERROR(IF($F357&lt;=AG$9,MIN($I357/$J357,$I357-SUM($K357:AF357)),0),0)</f>
        <v>0</v>
      </c>
      <c r="AH357" s="20">
        <f>IFERROR(IF($F357&lt;=AH$9,MIN($I357/$J357,$I357-SUM($K357:AG357)),0),0)</f>
        <v>0</v>
      </c>
      <c r="AI357" s="20">
        <f>IFERROR(IF($F357&lt;=AI$9,MIN($I357/$J357,$I357-SUM($K357:AH357)),0),0)</f>
        <v>0</v>
      </c>
      <c r="AJ357" s="20">
        <f>IFERROR(IF($F357&lt;=AJ$9,MIN($I357/$J357,$I357-SUM($K357:AI357)),0),0)</f>
        <v>0</v>
      </c>
      <c r="AK357" s="20">
        <f>IFERROR(IF($F357&lt;=AK$9,MIN($I357/$J357,$I357-SUM($K357:AJ357)),0),0)</f>
        <v>0</v>
      </c>
      <c r="AL357" s="20">
        <f>IFERROR(IF($F357&lt;=AL$9,MIN($I357/$J357,$I357-SUM($K357:AK357)),0),0)</f>
        <v>0</v>
      </c>
      <c r="AM357" s="20">
        <f>IFERROR(IF($F357&lt;=AM$9,MIN($I357/$J357,$I357-SUM($K357:AL357)),0),0)</f>
        <v>0</v>
      </c>
      <c r="AN357" s="20">
        <f>IFERROR(IF($F357&lt;=AN$9,MIN($I357/$J357,$I357-SUM($K357:AM357)),0),0)</f>
        <v>0</v>
      </c>
      <c r="AO357" s="28"/>
    </row>
    <row r="358" spans="3:41" ht="14.4" customHeight="1" outlineLevel="1" x14ac:dyDescent="0.3">
      <c r="F358" s="69" t="str">
        <v/>
      </c>
      <c r="H358" s="26" t="s">
        <v>245</v>
      </c>
      <c r="I358" s="128">
        <v>0</v>
      </c>
      <c r="J358" s="117">
        <v>0</v>
      </c>
      <c r="K358" s="89">
        <v>0</v>
      </c>
      <c r="L358" s="20">
        <f>IFERROR(IF($F358&lt;=L$9,MIN($I358/$J358,$I358-SUM($K358:K358)),0),0)</f>
        <v>0</v>
      </c>
      <c r="M358" s="20">
        <f>IFERROR(IF($F358&lt;=M$9,MIN($I358/$J358,$I358-SUM($K358:L358)),0),0)</f>
        <v>0</v>
      </c>
      <c r="N358" s="20">
        <f>IFERROR(IF($F358&lt;=N$9,MIN($I358/$J358,$I358-SUM($K358:M358)),0),0)</f>
        <v>0</v>
      </c>
      <c r="O358" s="20">
        <f>IFERROR(IF($F358&lt;=O$9,MIN($I358/$J358,$I358-SUM($K358:N358)),0),0)</f>
        <v>0</v>
      </c>
      <c r="P358" s="20">
        <f>IFERROR(IF($F358&lt;=P$9,MIN($I358/$J358,$I358-SUM($K358:O358)),0),0)</f>
        <v>0</v>
      </c>
      <c r="Q358" s="20">
        <f>IFERROR(IF($F358&lt;=Q$9,MIN($I358/$J358,$I358-SUM($K358:P358)),0),0)</f>
        <v>0</v>
      </c>
      <c r="R358" s="20">
        <f>IFERROR(IF($F358&lt;=R$9,MIN($I358/$J358,$I358-SUM($K358:Q358)),0),0)</f>
        <v>0</v>
      </c>
      <c r="S358" s="20">
        <f>IFERROR(IF($F358&lt;=S$9,MIN($I358/$J358,$I358-SUM($K358:R358)),0),0)</f>
        <v>0</v>
      </c>
      <c r="T358" s="20">
        <f>IFERROR(IF($F358&lt;=T$9,MIN($I358/$J358,$I358-SUM($K358:S358)),0),0)</f>
        <v>0</v>
      </c>
      <c r="U358" s="20">
        <f>IFERROR(IF($F358&lt;=U$9,MIN($I358/$J358,$I358-SUM($K358:T358)),0),0)</f>
        <v>0</v>
      </c>
      <c r="V358" s="20">
        <f>IFERROR(IF($F358&lt;=V$9,MIN($I358/$J358,$I358-SUM($K358:U358)),0),0)</f>
        <v>0</v>
      </c>
      <c r="W358" s="20">
        <f>IFERROR(IF($F358&lt;=W$9,MIN($I358/$J358,$I358-SUM($K358:V358)),0),0)</f>
        <v>0</v>
      </c>
      <c r="X358" s="20">
        <f>IFERROR(IF($F358&lt;=X$9,MIN($I358/$J358,$I358-SUM($K358:W358)),0),0)</f>
        <v>0</v>
      </c>
      <c r="Y358" s="20">
        <f>IFERROR(IF($F358&lt;=Y$9,MIN($I358/$J358,$I358-SUM($K358:X358)),0),0)</f>
        <v>0</v>
      </c>
      <c r="Z358" s="20">
        <f>IFERROR(IF($F358&lt;=Z$9,MIN($I358/$J358,$I358-SUM($K358:Y358)),0),0)</f>
        <v>0</v>
      </c>
      <c r="AA358" s="20">
        <f>IFERROR(IF($F358&lt;=AA$9,MIN($I358/$J358,$I358-SUM($K358:Z358)),0),0)</f>
        <v>0</v>
      </c>
      <c r="AB358" s="20">
        <f>IFERROR(IF($F358&lt;=AB$9,MIN($I358/$J358,$I358-SUM($K358:AA358)),0),0)</f>
        <v>0</v>
      </c>
      <c r="AC358" s="20">
        <f>IFERROR(IF($F358&lt;=AC$9,MIN($I358/$J358,$I358-SUM($K358:AB358)),0),0)</f>
        <v>0</v>
      </c>
      <c r="AD358" s="20">
        <f>IFERROR(IF($F358&lt;=AD$9,MIN($I358/$J358,$I358-SUM($K358:AC358)),0),0)</f>
        <v>0</v>
      </c>
      <c r="AE358" s="20">
        <f>IFERROR(IF($F358&lt;=AE$9,MIN($I358/$J358,$I358-SUM($K358:AD358)),0),0)</f>
        <v>0</v>
      </c>
      <c r="AF358" s="20">
        <f>IFERROR(IF($F358&lt;=AF$9,MIN($I358/$J358,$I358-SUM($K358:AE358)),0),0)</f>
        <v>0</v>
      </c>
      <c r="AG358" s="20">
        <f>IFERROR(IF($F358&lt;=AG$9,MIN($I358/$J358,$I358-SUM($K358:AF358)),0),0)</f>
        <v>0</v>
      </c>
      <c r="AH358" s="20">
        <f>IFERROR(IF($F358&lt;=AH$9,MIN($I358/$J358,$I358-SUM($K358:AG358)),0),0)</f>
        <v>0</v>
      </c>
      <c r="AI358" s="20">
        <f>IFERROR(IF($F358&lt;=AI$9,MIN($I358/$J358,$I358-SUM($K358:AH358)),0),0)</f>
        <v>0</v>
      </c>
      <c r="AJ358" s="20">
        <f>IFERROR(IF($F358&lt;=AJ$9,MIN($I358/$J358,$I358-SUM($K358:AI358)),0),0)</f>
        <v>0</v>
      </c>
      <c r="AK358" s="20">
        <f>IFERROR(IF($F358&lt;=AK$9,MIN($I358/$J358,$I358-SUM($K358:AJ358)),0),0)</f>
        <v>0</v>
      </c>
      <c r="AL358" s="20">
        <f>IFERROR(IF($F358&lt;=AL$9,MIN($I358/$J358,$I358-SUM($K358:AK358)),0),0)</f>
        <v>0</v>
      </c>
      <c r="AM358" s="20">
        <f>IFERROR(IF($F358&lt;=AM$9,MIN($I358/$J358,$I358-SUM($K358:AL358)),0),0)</f>
        <v>0</v>
      </c>
      <c r="AN358" s="20">
        <f>IFERROR(IF($F358&lt;=AN$9,MIN($I358/$J358,$I358-SUM($K358:AM358)),0),0)</f>
        <v>0</v>
      </c>
      <c r="AO358" s="28"/>
    </row>
    <row r="359" spans="3:41" ht="14.4" customHeight="1" outlineLevel="1" x14ac:dyDescent="0.3">
      <c r="F359" s="69" t="str">
        <v/>
      </c>
      <c r="H359" s="26" t="s">
        <v>245</v>
      </c>
      <c r="I359" s="128">
        <v>0</v>
      </c>
      <c r="J359" s="117">
        <v>0</v>
      </c>
      <c r="K359" s="89">
        <v>0</v>
      </c>
      <c r="L359" s="20">
        <f>IFERROR(IF($F359&lt;=L$9,MIN($I359/$J359,$I359-SUM($K359:K359)),0),0)</f>
        <v>0</v>
      </c>
      <c r="M359" s="20">
        <f>IFERROR(IF($F359&lt;=M$9,MIN($I359/$J359,$I359-SUM($K359:L359)),0),0)</f>
        <v>0</v>
      </c>
      <c r="N359" s="20">
        <f>IFERROR(IF($F359&lt;=N$9,MIN($I359/$J359,$I359-SUM($K359:M359)),0),0)</f>
        <v>0</v>
      </c>
      <c r="O359" s="20">
        <f>IFERROR(IF($F359&lt;=O$9,MIN($I359/$J359,$I359-SUM($K359:N359)),0),0)</f>
        <v>0</v>
      </c>
      <c r="P359" s="20">
        <f>IFERROR(IF($F359&lt;=P$9,MIN($I359/$J359,$I359-SUM($K359:O359)),0),0)</f>
        <v>0</v>
      </c>
      <c r="Q359" s="20">
        <f>IFERROR(IF($F359&lt;=Q$9,MIN($I359/$J359,$I359-SUM($K359:P359)),0),0)</f>
        <v>0</v>
      </c>
      <c r="R359" s="20">
        <f>IFERROR(IF($F359&lt;=R$9,MIN($I359/$J359,$I359-SUM($K359:Q359)),0),0)</f>
        <v>0</v>
      </c>
      <c r="S359" s="20">
        <f>IFERROR(IF($F359&lt;=S$9,MIN($I359/$J359,$I359-SUM($K359:R359)),0),0)</f>
        <v>0</v>
      </c>
      <c r="T359" s="20">
        <f>IFERROR(IF($F359&lt;=T$9,MIN($I359/$J359,$I359-SUM($K359:S359)),0),0)</f>
        <v>0</v>
      </c>
      <c r="U359" s="20">
        <f>IFERROR(IF($F359&lt;=U$9,MIN($I359/$J359,$I359-SUM($K359:T359)),0),0)</f>
        <v>0</v>
      </c>
      <c r="V359" s="20">
        <f>IFERROR(IF($F359&lt;=V$9,MIN($I359/$J359,$I359-SUM($K359:U359)),0),0)</f>
        <v>0</v>
      </c>
      <c r="W359" s="20">
        <f>IFERROR(IF($F359&lt;=W$9,MIN($I359/$J359,$I359-SUM($K359:V359)),0),0)</f>
        <v>0</v>
      </c>
      <c r="X359" s="20">
        <f>IFERROR(IF($F359&lt;=X$9,MIN($I359/$J359,$I359-SUM($K359:W359)),0),0)</f>
        <v>0</v>
      </c>
      <c r="Y359" s="20">
        <f>IFERROR(IF($F359&lt;=Y$9,MIN($I359/$J359,$I359-SUM($K359:X359)),0),0)</f>
        <v>0</v>
      </c>
      <c r="Z359" s="20">
        <f>IFERROR(IF($F359&lt;=Z$9,MIN($I359/$J359,$I359-SUM($K359:Y359)),0),0)</f>
        <v>0</v>
      </c>
      <c r="AA359" s="20">
        <f>IFERROR(IF($F359&lt;=AA$9,MIN($I359/$J359,$I359-SUM($K359:Z359)),0),0)</f>
        <v>0</v>
      </c>
      <c r="AB359" s="20">
        <f>IFERROR(IF($F359&lt;=AB$9,MIN($I359/$J359,$I359-SUM($K359:AA359)),0),0)</f>
        <v>0</v>
      </c>
      <c r="AC359" s="20">
        <f>IFERROR(IF($F359&lt;=AC$9,MIN($I359/$J359,$I359-SUM($K359:AB359)),0),0)</f>
        <v>0</v>
      </c>
      <c r="AD359" s="20">
        <f>IFERROR(IF($F359&lt;=AD$9,MIN($I359/$J359,$I359-SUM($K359:AC359)),0),0)</f>
        <v>0</v>
      </c>
      <c r="AE359" s="20">
        <f>IFERROR(IF($F359&lt;=AE$9,MIN($I359/$J359,$I359-SUM($K359:AD359)),0),0)</f>
        <v>0</v>
      </c>
      <c r="AF359" s="20">
        <f>IFERROR(IF($F359&lt;=AF$9,MIN($I359/$J359,$I359-SUM($K359:AE359)),0),0)</f>
        <v>0</v>
      </c>
      <c r="AG359" s="20">
        <f>IFERROR(IF($F359&lt;=AG$9,MIN($I359/$J359,$I359-SUM($K359:AF359)),0),0)</f>
        <v>0</v>
      </c>
      <c r="AH359" s="20">
        <f>IFERROR(IF($F359&lt;=AH$9,MIN($I359/$J359,$I359-SUM($K359:AG359)),0),0)</f>
        <v>0</v>
      </c>
      <c r="AI359" s="20">
        <f>IFERROR(IF($F359&lt;=AI$9,MIN($I359/$J359,$I359-SUM($K359:AH359)),0),0)</f>
        <v>0</v>
      </c>
      <c r="AJ359" s="20">
        <f>IFERROR(IF($F359&lt;=AJ$9,MIN($I359/$J359,$I359-SUM($K359:AI359)),0),0)</f>
        <v>0</v>
      </c>
      <c r="AK359" s="20">
        <f>IFERROR(IF($F359&lt;=AK$9,MIN($I359/$J359,$I359-SUM($K359:AJ359)),0),0)</f>
        <v>0</v>
      </c>
      <c r="AL359" s="20">
        <f>IFERROR(IF($F359&lt;=AL$9,MIN($I359/$J359,$I359-SUM($K359:AK359)),0),0)</f>
        <v>0</v>
      </c>
      <c r="AM359" s="20">
        <f>IFERROR(IF($F359&lt;=AM$9,MIN($I359/$J359,$I359-SUM($K359:AL359)),0),0)</f>
        <v>0</v>
      </c>
      <c r="AN359" s="20">
        <f>IFERROR(IF($F359&lt;=AN$9,MIN($I359/$J359,$I359-SUM($K359:AM359)),0),0)</f>
        <v>0</v>
      </c>
      <c r="AO359" s="28"/>
    </row>
    <row r="360" spans="3:41" ht="14.4" customHeight="1" outlineLevel="1" x14ac:dyDescent="0.3">
      <c r="F360" s="69" t="str">
        <v/>
      </c>
      <c r="H360" s="26" t="s">
        <v>245</v>
      </c>
      <c r="I360" s="128">
        <v>0</v>
      </c>
      <c r="J360" s="117">
        <v>0</v>
      </c>
      <c r="K360" s="89">
        <v>0</v>
      </c>
      <c r="L360" s="20">
        <f>IFERROR(IF($F360&lt;=L$9,MIN($I360/$J360,$I360-SUM($K360:K360)),0),0)</f>
        <v>0</v>
      </c>
      <c r="M360" s="20">
        <f>IFERROR(IF($F360&lt;=M$9,MIN($I360/$J360,$I360-SUM($K360:L360)),0),0)</f>
        <v>0</v>
      </c>
      <c r="N360" s="20">
        <f>IFERROR(IF($F360&lt;=N$9,MIN($I360/$J360,$I360-SUM($K360:M360)),0),0)</f>
        <v>0</v>
      </c>
      <c r="O360" s="20">
        <f>IFERROR(IF($F360&lt;=O$9,MIN($I360/$J360,$I360-SUM($K360:N360)),0),0)</f>
        <v>0</v>
      </c>
      <c r="P360" s="20">
        <f>IFERROR(IF($F360&lt;=P$9,MIN($I360/$J360,$I360-SUM($K360:O360)),0),0)</f>
        <v>0</v>
      </c>
      <c r="Q360" s="20">
        <f>IFERROR(IF($F360&lt;=Q$9,MIN($I360/$J360,$I360-SUM($K360:P360)),0),0)</f>
        <v>0</v>
      </c>
      <c r="R360" s="20">
        <f>IFERROR(IF($F360&lt;=R$9,MIN($I360/$J360,$I360-SUM($K360:Q360)),0),0)</f>
        <v>0</v>
      </c>
      <c r="S360" s="20">
        <f>IFERROR(IF($F360&lt;=S$9,MIN($I360/$J360,$I360-SUM($K360:R360)),0),0)</f>
        <v>0</v>
      </c>
      <c r="T360" s="20">
        <f>IFERROR(IF($F360&lt;=T$9,MIN($I360/$J360,$I360-SUM($K360:S360)),0),0)</f>
        <v>0</v>
      </c>
      <c r="U360" s="20">
        <f>IFERROR(IF($F360&lt;=U$9,MIN($I360/$J360,$I360-SUM($K360:T360)),0),0)</f>
        <v>0</v>
      </c>
      <c r="V360" s="20">
        <f>IFERROR(IF($F360&lt;=V$9,MIN($I360/$J360,$I360-SUM($K360:U360)),0),0)</f>
        <v>0</v>
      </c>
      <c r="W360" s="20">
        <f>IFERROR(IF($F360&lt;=W$9,MIN($I360/$J360,$I360-SUM($K360:V360)),0),0)</f>
        <v>0</v>
      </c>
      <c r="X360" s="20">
        <f>IFERROR(IF($F360&lt;=X$9,MIN($I360/$J360,$I360-SUM($K360:W360)),0),0)</f>
        <v>0</v>
      </c>
      <c r="Y360" s="20">
        <f>IFERROR(IF($F360&lt;=Y$9,MIN($I360/$J360,$I360-SUM($K360:X360)),0),0)</f>
        <v>0</v>
      </c>
      <c r="Z360" s="20">
        <f>IFERROR(IF($F360&lt;=Z$9,MIN($I360/$J360,$I360-SUM($K360:Y360)),0),0)</f>
        <v>0</v>
      </c>
      <c r="AA360" s="20">
        <f>IFERROR(IF($F360&lt;=AA$9,MIN($I360/$J360,$I360-SUM($K360:Z360)),0),0)</f>
        <v>0</v>
      </c>
      <c r="AB360" s="20">
        <f>IFERROR(IF($F360&lt;=AB$9,MIN($I360/$J360,$I360-SUM($K360:AA360)),0),0)</f>
        <v>0</v>
      </c>
      <c r="AC360" s="20">
        <f>IFERROR(IF($F360&lt;=AC$9,MIN($I360/$J360,$I360-SUM($K360:AB360)),0),0)</f>
        <v>0</v>
      </c>
      <c r="AD360" s="20">
        <f>IFERROR(IF($F360&lt;=AD$9,MIN($I360/$J360,$I360-SUM($K360:AC360)),0),0)</f>
        <v>0</v>
      </c>
      <c r="AE360" s="20">
        <f>IFERROR(IF($F360&lt;=AE$9,MIN($I360/$J360,$I360-SUM($K360:AD360)),0),0)</f>
        <v>0</v>
      </c>
      <c r="AF360" s="20">
        <f>IFERROR(IF($F360&lt;=AF$9,MIN($I360/$J360,$I360-SUM($K360:AE360)),0),0)</f>
        <v>0</v>
      </c>
      <c r="AG360" s="20">
        <f>IFERROR(IF($F360&lt;=AG$9,MIN($I360/$J360,$I360-SUM($K360:AF360)),0),0)</f>
        <v>0</v>
      </c>
      <c r="AH360" s="20">
        <f>IFERROR(IF($F360&lt;=AH$9,MIN($I360/$J360,$I360-SUM($K360:AG360)),0),0)</f>
        <v>0</v>
      </c>
      <c r="AI360" s="20">
        <f>IFERROR(IF($F360&lt;=AI$9,MIN($I360/$J360,$I360-SUM($K360:AH360)),0),0)</f>
        <v>0</v>
      </c>
      <c r="AJ360" s="20">
        <f>IFERROR(IF($F360&lt;=AJ$9,MIN($I360/$J360,$I360-SUM($K360:AI360)),0),0)</f>
        <v>0</v>
      </c>
      <c r="AK360" s="20">
        <f>IFERROR(IF($F360&lt;=AK$9,MIN($I360/$J360,$I360-SUM($K360:AJ360)),0),0)</f>
        <v>0</v>
      </c>
      <c r="AL360" s="20">
        <f>IFERROR(IF($F360&lt;=AL$9,MIN($I360/$J360,$I360-SUM($K360:AK360)),0),0)</f>
        <v>0</v>
      </c>
      <c r="AM360" s="20">
        <f>IFERROR(IF($F360&lt;=AM$9,MIN($I360/$J360,$I360-SUM($K360:AL360)),0),0)</f>
        <v>0</v>
      </c>
      <c r="AN360" s="20">
        <f>IFERROR(IF($F360&lt;=AN$9,MIN($I360/$J360,$I360-SUM($K360:AM360)),0),0)</f>
        <v>0</v>
      </c>
      <c r="AO360" s="28"/>
    </row>
    <row r="361" spans="3:41" ht="14.4" customHeight="1" outlineLevel="1" x14ac:dyDescent="0.3">
      <c r="F361" s="69" t="str">
        <v/>
      </c>
      <c r="H361" s="26" t="s">
        <v>245</v>
      </c>
      <c r="I361" s="128">
        <v>0</v>
      </c>
      <c r="J361" s="117">
        <v>0</v>
      </c>
      <c r="K361" s="89">
        <v>0</v>
      </c>
      <c r="L361" s="20">
        <f>IFERROR(IF($F361&lt;=L$9,MIN($I361/$J361,$I361-SUM($K361:K361)),0),0)</f>
        <v>0</v>
      </c>
      <c r="M361" s="20">
        <f>IFERROR(IF($F361&lt;=M$9,MIN($I361/$J361,$I361-SUM($K361:L361)),0),0)</f>
        <v>0</v>
      </c>
      <c r="N361" s="20">
        <f>IFERROR(IF($F361&lt;=N$9,MIN($I361/$J361,$I361-SUM($K361:M361)),0),0)</f>
        <v>0</v>
      </c>
      <c r="O361" s="20">
        <f>IFERROR(IF($F361&lt;=O$9,MIN($I361/$J361,$I361-SUM($K361:N361)),0),0)</f>
        <v>0</v>
      </c>
      <c r="P361" s="20">
        <f>IFERROR(IF($F361&lt;=P$9,MIN($I361/$J361,$I361-SUM($K361:O361)),0),0)</f>
        <v>0</v>
      </c>
      <c r="Q361" s="20">
        <f>IFERROR(IF($F361&lt;=Q$9,MIN($I361/$J361,$I361-SUM($K361:P361)),0),0)</f>
        <v>0</v>
      </c>
      <c r="R361" s="20">
        <f>IFERROR(IF($F361&lt;=R$9,MIN($I361/$J361,$I361-SUM($K361:Q361)),0),0)</f>
        <v>0</v>
      </c>
      <c r="S361" s="20">
        <f>IFERROR(IF($F361&lt;=S$9,MIN($I361/$J361,$I361-SUM($K361:R361)),0),0)</f>
        <v>0</v>
      </c>
      <c r="T361" s="20">
        <f>IFERROR(IF($F361&lt;=T$9,MIN($I361/$J361,$I361-SUM($K361:S361)),0),0)</f>
        <v>0</v>
      </c>
      <c r="U361" s="20">
        <f>IFERROR(IF($F361&lt;=U$9,MIN($I361/$J361,$I361-SUM($K361:T361)),0),0)</f>
        <v>0</v>
      </c>
      <c r="V361" s="20">
        <f>IFERROR(IF($F361&lt;=V$9,MIN($I361/$J361,$I361-SUM($K361:U361)),0),0)</f>
        <v>0</v>
      </c>
      <c r="W361" s="20">
        <f>IFERROR(IF($F361&lt;=W$9,MIN($I361/$J361,$I361-SUM($K361:V361)),0),0)</f>
        <v>0</v>
      </c>
      <c r="X361" s="20">
        <f>IFERROR(IF($F361&lt;=X$9,MIN($I361/$J361,$I361-SUM($K361:W361)),0),0)</f>
        <v>0</v>
      </c>
      <c r="Y361" s="20">
        <f>IFERROR(IF($F361&lt;=Y$9,MIN($I361/$J361,$I361-SUM($K361:X361)),0),0)</f>
        <v>0</v>
      </c>
      <c r="Z361" s="20">
        <f>IFERROR(IF($F361&lt;=Z$9,MIN($I361/$J361,$I361-SUM($K361:Y361)),0),0)</f>
        <v>0</v>
      </c>
      <c r="AA361" s="20">
        <f>IFERROR(IF($F361&lt;=AA$9,MIN($I361/$J361,$I361-SUM($K361:Z361)),0),0)</f>
        <v>0</v>
      </c>
      <c r="AB361" s="20">
        <f>IFERROR(IF($F361&lt;=AB$9,MIN($I361/$J361,$I361-SUM($K361:AA361)),0),0)</f>
        <v>0</v>
      </c>
      <c r="AC361" s="20">
        <f>IFERROR(IF($F361&lt;=AC$9,MIN($I361/$J361,$I361-SUM($K361:AB361)),0),0)</f>
        <v>0</v>
      </c>
      <c r="AD361" s="20">
        <f>IFERROR(IF($F361&lt;=AD$9,MIN($I361/$J361,$I361-SUM($K361:AC361)),0),0)</f>
        <v>0</v>
      </c>
      <c r="AE361" s="20">
        <f>IFERROR(IF($F361&lt;=AE$9,MIN($I361/$J361,$I361-SUM($K361:AD361)),0),0)</f>
        <v>0</v>
      </c>
      <c r="AF361" s="20">
        <f>IFERROR(IF($F361&lt;=AF$9,MIN($I361/$J361,$I361-SUM($K361:AE361)),0),0)</f>
        <v>0</v>
      </c>
      <c r="AG361" s="20">
        <f>IFERROR(IF($F361&lt;=AG$9,MIN($I361/$J361,$I361-SUM($K361:AF361)),0),0)</f>
        <v>0</v>
      </c>
      <c r="AH361" s="20">
        <f>IFERROR(IF($F361&lt;=AH$9,MIN($I361/$J361,$I361-SUM($K361:AG361)),0),0)</f>
        <v>0</v>
      </c>
      <c r="AI361" s="20">
        <f>IFERROR(IF($F361&lt;=AI$9,MIN($I361/$J361,$I361-SUM($K361:AH361)),0),0)</f>
        <v>0</v>
      </c>
      <c r="AJ361" s="20">
        <f>IFERROR(IF($F361&lt;=AJ$9,MIN($I361/$J361,$I361-SUM($K361:AI361)),0),0)</f>
        <v>0</v>
      </c>
      <c r="AK361" s="20">
        <f>IFERROR(IF($F361&lt;=AK$9,MIN($I361/$J361,$I361-SUM($K361:AJ361)),0),0)</f>
        <v>0</v>
      </c>
      <c r="AL361" s="20">
        <f>IFERROR(IF($F361&lt;=AL$9,MIN($I361/$J361,$I361-SUM($K361:AK361)),0),0)</f>
        <v>0</v>
      </c>
      <c r="AM361" s="20">
        <f>IFERROR(IF($F361&lt;=AM$9,MIN($I361/$J361,$I361-SUM($K361:AL361)),0),0)</f>
        <v>0</v>
      </c>
      <c r="AN361" s="20">
        <f>IFERROR(IF($F361&lt;=AN$9,MIN($I361/$J361,$I361-SUM($K361:AM361)),0),0)</f>
        <v>0</v>
      </c>
      <c r="AO361" s="28"/>
    </row>
    <row r="362" spans="3:41" ht="14.4" customHeight="1" outlineLevel="1" x14ac:dyDescent="0.3">
      <c r="F362" s="69" t="str">
        <v/>
      </c>
      <c r="H362" s="26" t="s">
        <v>245</v>
      </c>
      <c r="I362" s="128">
        <v>0</v>
      </c>
      <c r="J362" s="117">
        <v>0</v>
      </c>
      <c r="K362" s="89">
        <v>0</v>
      </c>
      <c r="L362" s="20">
        <f>IFERROR(IF($F362&lt;=L$9,MIN($I362/$J362,$I362-SUM($K362:K362)),0),0)</f>
        <v>0</v>
      </c>
      <c r="M362" s="20">
        <f>IFERROR(IF($F362&lt;=M$9,MIN($I362/$J362,$I362-SUM($K362:L362)),0),0)</f>
        <v>0</v>
      </c>
      <c r="N362" s="20">
        <f>IFERROR(IF($F362&lt;=N$9,MIN($I362/$J362,$I362-SUM($K362:M362)),0),0)</f>
        <v>0</v>
      </c>
      <c r="O362" s="20">
        <f>IFERROR(IF($F362&lt;=O$9,MIN($I362/$J362,$I362-SUM($K362:N362)),0),0)</f>
        <v>0</v>
      </c>
      <c r="P362" s="20">
        <f>IFERROR(IF($F362&lt;=P$9,MIN($I362/$J362,$I362-SUM($K362:O362)),0),0)</f>
        <v>0</v>
      </c>
      <c r="Q362" s="20">
        <f>IFERROR(IF($F362&lt;=Q$9,MIN($I362/$J362,$I362-SUM($K362:P362)),0),0)</f>
        <v>0</v>
      </c>
      <c r="R362" s="20">
        <f>IFERROR(IF($F362&lt;=R$9,MIN($I362/$J362,$I362-SUM($K362:Q362)),0),0)</f>
        <v>0</v>
      </c>
      <c r="S362" s="20">
        <f>IFERROR(IF($F362&lt;=S$9,MIN($I362/$J362,$I362-SUM($K362:R362)),0),0)</f>
        <v>0</v>
      </c>
      <c r="T362" s="20">
        <f>IFERROR(IF($F362&lt;=T$9,MIN($I362/$J362,$I362-SUM($K362:S362)),0),0)</f>
        <v>0</v>
      </c>
      <c r="U362" s="20">
        <f>IFERROR(IF($F362&lt;=U$9,MIN($I362/$J362,$I362-SUM($K362:T362)),0),0)</f>
        <v>0</v>
      </c>
      <c r="V362" s="20">
        <f>IFERROR(IF($F362&lt;=V$9,MIN($I362/$J362,$I362-SUM($K362:U362)),0),0)</f>
        <v>0</v>
      </c>
      <c r="W362" s="20">
        <f>IFERROR(IF($F362&lt;=W$9,MIN($I362/$J362,$I362-SUM($K362:V362)),0),0)</f>
        <v>0</v>
      </c>
      <c r="X362" s="20">
        <f>IFERROR(IF($F362&lt;=X$9,MIN($I362/$J362,$I362-SUM($K362:W362)),0),0)</f>
        <v>0</v>
      </c>
      <c r="Y362" s="20">
        <f>IFERROR(IF($F362&lt;=Y$9,MIN($I362/$J362,$I362-SUM($K362:X362)),0),0)</f>
        <v>0</v>
      </c>
      <c r="Z362" s="20">
        <f>IFERROR(IF($F362&lt;=Z$9,MIN($I362/$J362,$I362-SUM($K362:Y362)),0),0)</f>
        <v>0</v>
      </c>
      <c r="AA362" s="20">
        <f>IFERROR(IF($F362&lt;=AA$9,MIN($I362/$J362,$I362-SUM($K362:Z362)),0),0)</f>
        <v>0</v>
      </c>
      <c r="AB362" s="20">
        <f>IFERROR(IF($F362&lt;=AB$9,MIN($I362/$J362,$I362-SUM($K362:AA362)),0),0)</f>
        <v>0</v>
      </c>
      <c r="AC362" s="20">
        <f>IFERROR(IF($F362&lt;=AC$9,MIN($I362/$J362,$I362-SUM($K362:AB362)),0),0)</f>
        <v>0</v>
      </c>
      <c r="AD362" s="20">
        <f>IFERROR(IF($F362&lt;=AD$9,MIN($I362/$J362,$I362-SUM($K362:AC362)),0),0)</f>
        <v>0</v>
      </c>
      <c r="AE362" s="20">
        <f>IFERROR(IF($F362&lt;=AE$9,MIN($I362/$J362,$I362-SUM($K362:AD362)),0),0)</f>
        <v>0</v>
      </c>
      <c r="AF362" s="20">
        <f>IFERROR(IF($F362&lt;=AF$9,MIN($I362/$J362,$I362-SUM($K362:AE362)),0),0)</f>
        <v>0</v>
      </c>
      <c r="AG362" s="20">
        <f>IFERROR(IF($F362&lt;=AG$9,MIN($I362/$J362,$I362-SUM($K362:AF362)),0),0)</f>
        <v>0</v>
      </c>
      <c r="AH362" s="20">
        <f>IFERROR(IF($F362&lt;=AH$9,MIN($I362/$J362,$I362-SUM($K362:AG362)),0),0)</f>
        <v>0</v>
      </c>
      <c r="AI362" s="20">
        <f>IFERROR(IF($F362&lt;=AI$9,MIN($I362/$J362,$I362-SUM($K362:AH362)),0),0)</f>
        <v>0</v>
      </c>
      <c r="AJ362" s="20">
        <f>IFERROR(IF($F362&lt;=AJ$9,MIN($I362/$J362,$I362-SUM($K362:AI362)),0),0)</f>
        <v>0</v>
      </c>
      <c r="AK362" s="20">
        <f>IFERROR(IF($F362&lt;=AK$9,MIN($I362/$J362,$I362-SUM($K362:AJ362)),0),0)</f>
        <v>0</v>
      </c>
      <c r="AL362" s="20">
        <f>IFERROR(IF($F362&lt;=AL$9,MIN($I362/$J362,$I362-SUM($K362:AK362)),0),0)</f>
        <v>0</v>
      </c>
      <c r="AM362" s="20">
        <f>IFERROR(IF($F362&lt;=AM$9,MIN($I362/$J362,$I362-SUM($K362:AL362)),0),0)</f>
        <v>0</v>
      </c>
      <c r="AN362" s="20">
        <f>IFERROR(IF($F362&lt;=AN$9,MIN($I362/$J362,$I362-SUM($K362:AM362)),0),0)</f>
        <v>0</v>
      </c>
      <c r="AO362" s="28"/>
    </row>
    <row r="363" spans="3:41" ht="14.4" customHeight="1" outlineLevel="1" x14ac:dyDescent="0.3">
      <c r="F363" s="69" t="str">
        <v/>
      </c>
      <c r="H363" s="26" t="s">
        <v>245</v>
      </c>
      <c r="I363" s="128">
        <v>0</v>
      </c>
      <c r="J363" s="117">
        <v>0</v>
      </c>
      <c r="K363" s="89">
        <v>0</v>
      </c>
      <c r="L363" s="20">
        <f>IFERROR(IF($F363&lt;=L$9,MIN($I363/$J363,$I363-SUM($K363:K363)),0),0)</f>
        <v>0</v>
      </c>
      <c r="M363" s="20">
        <f>IFERROR(IF($F363&lt;=M$9,MIN($I363/$J363,$I363-SUM($K363:L363)),0),0)</f>
        <v>0</v>
      </c>
      <c r="N363" s="20">
        <f>IFERROR(IF($F363&lt;=N$9,MIN($I363/$J363,$I363-SUM($K363:M363)),0),0)</f>
        <v>0</v>
      </c>
      <c r="O363" s="20">
        <f>IFERROR(IF($F363&lt;=O$9,MIN($I363/$J363,$I363-SUM($K363:N363)),0),0)</f>
        <v>0</v>
      </c>
      <c r="P363" s="20">
        <f>IFERROR(IF($F363&lt;=P$9,MIN($I363/$J363,$I363-SUM($K363:O363)),0),0)</f>
        <v>0</v>
      </c>
      <c r="Q363" s="20">
        <f>IFERROR(IF($F363&lt;=Q$9,MIN($I363/$J363,$I363-SUM($K363:P363)),0),0)</f>
        <v>0</v>
      </c>
      <c r="R363" s="20">
        <f>IFERROR(IF($F363&lt;=R$9,MIN($I363/$J363,$I363-SUM($K363:Q363)),0),0)</f>
        <v>0</v>
      </c>
      <c r="S363" s="20">
        <f>IFERROR(IF($F363&lt;=S$9,MIN($I363/$J363,$I363-SUM($K363:R363)),0),0)</f>
        <v>0</v>
      </c>
      <c r="T363" s="20">
        <f>IFERROR(IF($F363&lt;=T$9,MIN($I363/$J363,$I363-SUM($K363:S363)),0),0)</f>
        <v>0</v>
      </c>
      <c r="U363" s="20">
        <f>IFERROR(IF($F363&lt;=U$9,MIN($I363/$J363,$I363-SUM($K363:T363)),0),0)</f>
        <v>0</v>
      </c>
      <c r="V363" s="20">
        <f>IFERROR(IF($F363&lt;=V$9,MIN($I363/$J363,$I363-SUM($K363:U363)),0),0)</f>
        <v>0</v>
      </c>
      <c r="W363" s="20">
        <f>IFERROR(IF($F363&lt;=W$9,MIN($I363/$J363,$I363-SUM($K363:V363)),0),0)</f>
        <v>0</v>
      </c>
      <c r="X363" s="20">
        <f>IFERROR(IF($F363&lt;=X$9,MIN($I363/$J363,$I363-SUM($K363:W363)),0),0)</f>
        <v>0</v>
      </c>
      <c r="Y363" s="20">
        <f>IFERROR(IF($F363&lt;=Y$9,MIN($I363/$J363,$I363-SUM($K363:X363)),0),0)</f>
        <v>0</v>
      </c>
      <c r="Z363" s="20">
        <f>IFERROR(IF($F363&lt;=Z$9,MIN($I363/$J363,$I363-SUM($K363:Y363)),0),0)</f>
        <v>0</v>
      </c>
      <c r="AA363" s="20">
        <f>IFERROR(IF($F363&lt;=AA$9,MIN($I363/$J363,$I363-SUM($K363:Z363)),0),0)</f>
        <v>0</v>
      </c>
      <c r="AB363" s="20">
        <f>IFERROR(IF($F363&lt;=AB$9,MIN($I363/$J363,$I363-SUM($K363:AA363)),0),0)</f>
        <v>0</v>
      </c>
      <c r="AC363" s="20">
        <f>IFERROR(IF($F363&lt;=AC$9,MIN($I363/$J363,$I363-SUM($K363:AB363)),0),0)</f>
        <v>0</v>
      </c>
      <c r="AD363" s="20">
        <f>IFERROR(IF($F363&lt;=AD$9,MIN($I363/$J363,$I363-SUM($K363:AC363)),0),0)</f>
        <v>0</v>
      </c>
      <c r="AE363" s="20">
        <f>IFERROR(IF($F363&lt;=AE$9,MIN($I363/$J363,$I363-SUM($K363:AD363)),0),0)</f>
        <v>0</v>
      </c>
      <c r="AF363" s="20">
        <f>IFERROR(IF($F363&lt;=AF$9,MIN($I363/$J363,$I363-SUM($K363:AE363)),0),0)</f>
        <v>0</v>
      </c>
      <c r="AG363" s="20">
        <f>IFERROR(IF($F363&lt;=AG$9,MIN($I363/$J363,$I363-SUM($K363:AF363)),0),0)</f>
        <v>0</v>
      </c>
      <c r="AH363" s="20">
        <f>IFERROR(IF($F363&lt;=AH$9,MIN($I363/$J363,$I363-SUM($K363:AG363)),0),0)</f>
        <v>0</v>
      </c>
      <c r="AI363" s="20">
        <f>IFERROR(IF($F363&lt;=AI$9,MIN($I363/$J363,$I363-SUM($K363:AH363)),0),0)</f>
        <v>0</v>
      </c>
      <c r="AJ363" s="20">
        <f>IFERROR(IF($F363&lt;=AJ$9,MIN($I363/$J363,$I363-SUM($K363:AI363)),0),0)</f>
        <v>0</v>
      </c>
      <c r="AK363" s="20">
        <f>IFERROR(IF($F363&lt;=AK$9,MIN($I363/$J363,$I363-SUM($K363:AJ363)),0),0)</f>
        <v>0</v>
      </c>
      <c r="AL363" s="20">
        <f>IFERROR(IF($F363&lt;=AL$9,MIN($I363/$J363,$I363-SUM($K363:AK363)),0),0)</f>
        <v>0</v>
      </c>
      <c r="AM363" s="20">
        <f>IFERROR(IF($F363&lt;=AM$9,MIN($I363/$J363,$I363-SUM($K363:AL363)),0),0)</f>
        <v>0</v>
      </c>
      <c r="AN363" s="20">
        <f>IFERROR(IF($F363&lt;=AN$9,MIN($I363/$J363,$I363-SUM($K363:AM363)),0),0)</f>
        <v>0</v>
      </c>
      <c r="AO363" s="28"/>
    </row>
    <row r="364" spans="3:41" ht="14.4" customHeight="1" outlineLevel="1" x14ac:dyDescent="0.3">
      <c r="F364" s="69" t="str">
        <v/>
      </c>
      <c r="H364" s="26" t="s">
        <v>245</v>
      </c>
      <c r="I364" s="128">
        <v>0</v>
      </c>
      <c r="J364" s="117">
        <v>0</v>
      </c>
      <c r="K364" s="89">
        <v>0</v>
      </c>
      <c r="L364" s="20">
        <f>IFERROR(IF($F364&lt;=L$9,MIN($I364/$J364,$I364-SUM($K364:K364)),0),0)</f>
        <v>0</v>
      </c>
      <c r="M364" s="20">
        <f>IFERROR(IF($F364&lt;=M$9,MIN($I364/$J364,$I364-SUM($K364:L364)),0),0)</f>
        <v>0</v>
      </c>
      <c r="N364" s="20">
        <f>IFERROR(IF($F364&lt;=N$9,MIN($I364/$J364,$I364-SUM($K364:M364)),0),0)</f>
        <v>0</v>
      </c>
      <c r="O364" s="20">
        <f>IFERROR(IF($F364&lt;=O$9,MIN($I364/$J364,$I364-SUM($K364:N364)),0),0)</f>
        <v>0</v>
      </c>
      <c r="P364" s="20">
        <f>IFERROR(IF($F364&lt;=P$9,MIN($I364/$J364,$I364-SUM($K364:O364)),0),0)</f>
        <v>0</v>
      </c>
      <c r="Q364" s="20">
        <f>IFERROR(IF($F364&lt;=Q$9,MIN($I364/$J364,$I364-SUM($K364:P364)),0),0)</f>
        <v>0</v>
      </c>
      <c r="R364" s="20">
        <f>IFERROR(IF($F364&lt;=R$9,MIN($I364/$J364,$I364-SUM($K364:Q364)),0),0)</f>
        <v>0</v>
      </c>
      <c r="S364" s="20">
        <f>IFERROR(IF($F364&lt;=S$9,MIN($I364/$J364,$I364-SUM($K364:R364)),0),0)</f>
        <v>0</v>
      </c>
      <c r="T364" s="20">
        <f>IFERROR(IF($F364&lt;=T$9,MIN($I364/$J364,$I364-SUM($K364:S364)),0),0)</f>
        <v>0</v>
      </c>
      <c r="U364" s="20">
        <f>IFERROR(IF($F364&lt;=U$9,MIN($I364/$J364,$I364-SUM($K364:T364)),0),0)</f>
        <v>0</v>
      </c>
      <c r="V364" s="20">
        <f>IFERROR(IF($F364&lt;=V$9,MIN($I364/$J364,$I364-SUM($K364:U364)),0),0)</f>
        <v>0</v>
      </c>
      <c r="W364" s="20">
        <f>IFERROR(IF($F364&lt;=W$9,MIN($I364/$J364,$I364-SUM($K364:V364)),0),0)</f>
        <v>0</v>
      </c>
      <c r="X364" s="20">
        <f>IFERROR(IF($F364&lt;=X$9,MIN($I364/$J364,$I364-SUM($K364:W364)),0),0)</f>
        <v>0</v>
      </c>
      <c r="Y364" s="20">
        <f>IFERROR(IF($F364&lt;=Y$9,MIN($I364/$J364,$I364-SUM($K364:X364)),0),0)</f>
        <v>0</v>
      </c>
      <c r="Z364" s="20">
        <f>IFERROR(IF($F364&lt;=Z$9,MIN($I364/$J364,$I364-SUM($K364:Y364)),0),0)</f>
        <v>0</v>
      </c>
      <c r="AA364" s="20">
        <f>IFERROR(IF($F364&lt;=AA$9,MIN($I364/$J364,$I364-SUM($K364:Z364)),0),0)</f>
        <v>0</v>
      </c>
      <c r="AB364" s="20">
        <f>IFERROR(IF($F364&lt;=AB$9,MIN($I364/$J364,$I364-SUM($K364:AA364)),0),0)</f>
        <v>0</v>
      </c>
      <c r="AC364" s="20">
        <f>IFERROR(IF($F364&lt;=AC$9,MIN($I364/$J364,$I364-SUM($K364:AB364)),0),0)</f>
        <v>0</v>
      </c>
      <c r="AD364" s="20">
        <f>IFERROR(IF($F364&lt;=AD$9,MIN($I364/$J364,$I364-SUM($K364:AC364)),0),0)</f>
        <v>0</v>
      </c>
      <c r="AE364" s="20">
        <f>IFERROR(IF($F364&lt;=AE$9,MIN($I364/$J364,$I364-SUM($K364:AD364)),0),0)</f>
        <v>0</v>
      </c>
      <c r="AF364" s="20">
        <f>IFERROR(IF($F364&lt;=AF$9,MIN($I364/$J364,$I364-SUM($K364:AE364)),0),0)</f>
        <v>0</v>
      </c>
      <c r="AG364" s="20">
        <f>IFERROR(IF($F364&lt;=AG$9,MIN($I364/$J364,$I364-SUM($K364:AF364)),0),0)</f>
        <v>0</v>
      </c>
      <c r="AH364" s="20">
        <f>IFERROR(IF($F364&lt;=AH$9,MIN($I364/$J364,$I364-SUM($K364:AG364)),0),0)</f>
        <v>0</v>
      </c>
      <c r="AI364" s="20">
        <f>IFERROR(IF($F364&lt;=AI$9,MIN($I364/$J364,$I364-SUM($K364:AH364)),0),0)</f>
        <v>0</v>
      </c>
      <c r="AJ364" s="20">
        <f>IFERROR(IF($F364&lt;=AJ$9,MIN($I364/$J364,$I364-SUM($K364:AI364)),0),0)</f>
        <v>0</v>
      </c>
      <c r="AK364" s="20">
        <f>IFERROR(IF($F364&lt;=AK$9,MIN($I364/$J364,$I364-SUM($K364:AJ364)),0),0)</f>
        <v>0</v>
      </c>
      <c r="AL364" s="20">
        <f>IFERROR(IF($F364&lt;=AL$9,MIN($I364/$J364,$I364-SUM($K364:AK364)),0),0)</f>
        <v>0</v>
      </c>
      <c r="AM364" s="20">
        <f>IFERROR(IF($F364&lt;=AM$9,MIN($I364/$J364,$I364-SUM($K364:AL364)),0),0)</f>
        <v>0</v>
      </c>
      <c r="AN364" s="20">
        <f>IFERROR(IF($F364&lt;=AN$9,MIN($I364/$J364,$I364-SUM($K364:AM364)),0),0)</f>
        <v>0</v>
      </c>
      <c r="AO364" s="28"/>
    </row>
    <row r="365" spans="3:41" ht="14.4" customHeight="1" outlineLevel="1" x14ac:dyDescent="0.3">
      <c r="F365" s="69" t="str">
        <v/>
      </c>
      <c r="H365" s="26" t="s">
        <v>245</v>
      </c>
      <c r="I365" s="128">
        <v>0</v>
      </c>
      <c r="J365" s="117">
        <v>0</v>
      </c>
      <c r="K365" s="89">
        <v>0</v>
      </c>
      <c r="L365" s="20">
        <f>IFERROR(IF($F365&lt;=L$9,MIN($I365/$J365,$I365-SUM($K365:K365)),0),0)</f>
        <v>0</v>
      </c>
      <c r="M365" s="20">
        <f>IFERROR(IF($F365&lt;=M$9,MIN($I365/$J365,$I365-SUM($K365:L365)),0),0)</f>
        <v>0</v>
      </c>
      <c r="N365" s="20">
        <f>IFERROR(IF($F365&lt;=N$9,MIN($I365/$J365,$I365-SUM($K365:M365)),0),0)</f>
        <v>0</v>
      </c>
      <c r="O365" s="20">
        <f>IFERROR(IF($F365&lt;=O$9,MIN($I365/$J365,$I365-SUM($K365:N365)),0),0)</f>
        <v>0</v>
      </c>
      <c r="P365" s="20">
        <f>IFERROR(IF($F365&lt;=P$9,MIN($I365/$J365,$I365-SUM($K365:O365)),0),0)</f>
        <v>0</v>
      </c>
      <c r="Q365" s="20">
        <f>IFERROR(IF($F365&lt;=Q$9,MIN($I365/$J365,$I365-SUM($K365:P365)),0),0)</f>
        <v>0</v>
      </c>
      <c r="R365" s="20">
        <f>IFERROR(IF($F365&lt;=R$9,MIN($I365/$J365,$I365-SUM($K365:Q365)),0),0)</f>
        <v>0</v>
      </c>
      <c r="S365" s="20">
        <f>IFERROR(IF($F365&lt;=S$9,MIN($I365/$J365,$I365-SUM($K365:R365)),0),0)</f>
        <v>0</v>
      </c>
      <c r="T365" s="20">
        <f>IFERROR(IF($F365&lt;=T$9,MIN($I365/$J365,$I365-SUM($K365:S365)),0),0)</f>
        <v>0</v>
      </c>
      <c r="U365" s="20">
        <f>IFERROR(IF($F365&lt;=U$9,MIN($I365/$J365,$I365-SUM($K365:T365)),0),0)</f>
        <v>0</v>
      </c>
      <c r="V365" s="20">
        <f>IFERROR(IF($F365&lt;=V$9,MIN($I365/$J365,$I365-SUM($K365:U365)),0),0)</f>
        <v>0</v>
      </c>
      <c r="W365" s="20">
        <f>IFERROR(IF($F365&lt;=W$9,MIN($I365/$J365,$I365-SUM($K365:V365)),0),0)</f>
        <v>0</v>
      </c>
      <c r="X365" s="20">
        <f>IFERROR(IF($F365&lt;=X$9,MIN($I365/$J365,$I365-SUM($K365:W365)),0),0)</f>
        <v>0</v>
      </c>
      <c r="Y365" s="20">
        <f>IFERROR(IF($F365&lt;=Y$9,MIN($I365/$J365,$I365-SUM($K365:X365)),0),0)</f>
        <v>0</v>
      </c>
      <c r="Z365" s="20">
        <f>IFERROR(IF($F365&lt;=Z$9,MIN($I365/$J365,$I365-SUM($K365:Y365)),0),0)</f>
        <v>0</v>
      </c>
      <c r="AA365" s="20">
        <f>IFERROR(IF($F365&lt;=AA$9,MIN($I365/$J365,$I365-SUM($K365:Z365)),0),0)</f>
        <v>0</v>
      </c>
      <c r="AB365" s="20">
        <f>IFERROR(IF($F365&lt;=AB$9,MIN($I365/$J365,$I365-SUM($K365:AA365)),0),0)</f>
        <v>0</v>
      </c>
      <c r="AC365" s="20">
        <f>IFERROR(IF($F365&lt;=AC$9,MIN($I365/$J365,$I365-SUM($K365:AB365)),0),0)</f>
        <v>0</v>
      </c>
      <c r="AD365" s="20">
        <f>IFERROR(IF($F365&lt;=AD$9,MIN($I365/$J365,$I365-SUM($K365:AC365)),0),0)</f>
        <v>0</v>
      </c>
      <c r="AE365" s="20">
        <f>IFERROR(IF($F365&lt;=AE$9,MIN($I365/$J365,$I365-SUM($K365:AD365)),0),0)</f>
        <v>0</v>
      </c>
      <c r="AF365" s="20">
        <f>IFERROR(IF($F365&lt;=AF$9,MIN($I365/$J365,$I365-SUM($K365:AE365)),0),0)</f>
        <v>0</v>
      </c>
      <c r="AG365" s="20">
        <f>IFERROR(IF($F365&lt;=AG$9,MIN($I365/$J365,$I365-SUM($K365:AF365)),0),0)</f>
        <v>0</v>
      </c>
      <c r="AH365" s="20">
        <f>IFERROR(IF($F365&lt;=AH$9,MIN($I365/$J365,$I365-SUM($K365:AG365)),0),0)</f>
        <v>0</v>
      </c>
      <c r="AI365" s="20">
        <f>IFERROR(IF($F365&lt;=AI$9,MIN($I365/$J365,$I365-SUM($K365:AH365)),0),0)</f>
        <v>0</v>
      </c>
      <c r="AJ365" s="20">
        <f>IFERROR(IF($F365&lt;=AJ$9,MIN($I365/$J365,$I365-SUM($K365:AI365)),0),0)</f>
        <v>0</v>
      </c>
      <c r="AK365" s="20">
        <f>IFERROR(IF($F365&lt;=AK$9,MIN($I365/$J365,$I365-SUM($K365:AJ365)),0),0)</f>
        <v>0</v>
      </c>
      <c r="AL365" s="20">
        <f>IFERROR(IF($F365&lt;=AL$9,MIN($I365/$J365,$I365-SUM($K365:AK365)),0),0)</f>
        <v>0</v>
      </c>
      <c r="AM365" s="20">
        <f>IFERROR(IF($F365&lt;=AM$9,MIN($I365/$J365,$I365-SUM($K365:AL365)),0),0)</f>
        <v>0</v>
      </c>
      <c r="AN365" s="20">
        <f>IFERROR(IF($F365&lt;=AN$9,MIN($I365/$J365,$I365-SUM($K365:AM365)),0),0)</f>
        <v>0</v>
      </c>
      <c r="AO365" s="28"/>
    </row>
    <row r="366" spans="3:41" ht="14.4" customHeight="1" outlineLevel="1" x14ac:dyDescent="0.3">
      <c r="F366" s="136"/>
      <c r="H366" s="26"/>
      <c r="I366" s="138"/>
      <c r="J366" s="140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28"/>
    </row>
    <row r="367" spans="3:41" ht="14.4" customHeight="1" outlineLevel="1" x14ac:dyDescent="0.3">
      <c r="C367" s="2" t="s">
        <v>144</v>
      </c>
      <c r="H367" s="30" t="s">
        <v>245</v>
      </c>
      <c r="K367" s="36"/>
      <c r="L367" s="88">
        <f>SUM(L337:L365)</f>
        <v>0</v>
      </c>
      <c r="M367" s="88">
        <f t="shared" ref="M367:AN367" si="116">SUM(M337:M365)</f>
        <v>0</v>
      </c>
      <c r="N367" s="88">
        <f t="shared" si="116"/>
        <v>0</v>
      </c>
      <c r="O367" s="88">
        <f t="shared" si="116"/>
        <v>0</v>
      </c>
      <c r="P367" s="88">
        <f t="shared" si="116"/>
        <v>0</v>
      </c>
      <c r="Q367" s="88">
        <f t="shared" si="116"/>
        <v>0</v>
      </c>
      <c r="R367" s="88">
        <f t="shared" si="116"/>
        <v>0</v>
      </c>
      <c r="S367" s="88">
        <f t="shared" si="116"/>
        <v>0</v>
      </c>
      <c r="T367" s="88">
        <f t="shared" si="116"/>
        <v>0</v>
      </c>
      <c r="U367" s="88">
        <f t="shared" si="116"/>
        <v>0</v>
      </c>
      <c r="V367" s="88">
        <f t="shared" si="116"/>
        <v>0</v>
      </c>
      <c r="W367" s="88">
        <f t="shared" si="116"/>
        <v>0</v>
      </c>
      <c r="X367" s="88">
        <f t="shared" si="116"/>
        <v>0</v>
      </c>
      <c r="Y367" s="88">
        <f t="shared" si="116"/>
        <v>0</v>
      </c>
      <c r="Z367" s="88">
        <f t="shared" si="116"/>
        <v>11.77539984369907</v>
      </c>
      <c r="AA367" s="88">
        <f t="shared" si="116"/>
        <v>11.77539984369907</v>
      </c>
      <c r="AB367" s="88">
        <f t="shared" si="116"/>
        <v>11.77539984369907</v>
      </c>
      <c r="AC367" s="88">
        <f t="shared" si="116"/>
        <v>0</v>
      </c>
      <c r="AD367" s="88">
        <f t="shared" si="116"/>
        <v>0</v>
      </c>
      <c r="AE367" s="88">
        <f t="shared" si="116"/>
        <v>0</v>
      </c>
      <c r="AF367" s="88">
        <f t="shared" si="116"/>
        <v>0</v>
      </c>
      <c r="AG367" s="88">
        <f t="shared" si="116"/>
        <v>0</v>
      </c>
      <c r="AH367" s="88">
        <f t="shared" si="116"/>
        <v>0</v>
      </c>
      <c r="AI367" s="88">
        <f t="shared" si="116"/>
        <v>0</v>
      </c>
      <c r="AJ367" s="88">
        <f t="shared" si="116"/>
        <v>0</v>
      </c>
      <c r="AK367" s="88">
        <f t="shared" si="116"/>
        <v>0</v>
      </c>
      <c r="AL367" s="88">
        <f t="shared" si="116"/>
        <v>0</v>
      </c>
      <c r="AM367" s="88">
        <f t="shared" si="116"/>
        <v>0</v>
      </c>
      <c r="AN367" s="88">
        <f t="shared" si="116"/>
        <v>0</v>
      </c>
      <c r="AO367" s="28"/>
    </row>
    <row r="368" spans="3:41" ht="14.4" customHeight="1" outlineLevel="1" x14ac:dyDescent="0.3">
      <c r="H368" s="2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28"/>
    </row>
    <row r="369" spans="3:41" ht="14.4" customHeight="1" outlineLevel="1" x14ac:dyDescent="0.3">
      <c r="C369" s="1" t="s">
        <v>297</v>
      </c>
      <c r="H369" s="26" t="s">
        <v>245</v>
      </c>
      <c r="K369" s="89">
        <v>0</v>
      </c>
      <c r="L369" s="20">
        <f>SUM($L$124:L124)-SUM($L$367:L367)</f>
        <v>0</v>
      </c>
      <c r="M369" s="20">
        <f>SUM($L$124:M124)-SUM($L$367:M367)</f>
        <v>0</v>
      </c>
      <c r="N369" s="20">
        <f>SUM($L$124:N124)-SUM($L$367:N367)</f>
        <v>0</v>
      </c>
      <c r="O369" s="20">
        <f>SUM($L$124:O124)-SUM($L$367:O367)</f>
        <v>0</v>
      </c>
      <c r="P369" s="20">
        <f>SUM($L$124:P124)-SUM($L$367:P367)</f>
        <v>0</v>
      </c>
      <c r="Q369" s="20">
        <f>SUM($L$124:Q124)-SUM($L$367:Q367)</f>
        <v>0</v>
      </c>
      <c r="R369" s="20">
        <f>SUM($L$124:R124)-SUM($L$367:R367)</f>
        <v>0</v>
      </c>
      <c r="S369" s="20">
        <f>SUM($L$124:S124)-SUM($L$367:S367)</f>
        <v>0</v>
      </c>
      <c r="T369" s="20">
        <f>SUM($L$124:T124)-SUM($L$367:T367)</f>
        <v>0</v>
      </c>
      <c r="U369" s="20">
        <f>SUM($L$124:U124)-SUM($L$367:U367)</f>
        <v>0</v>
      </c>
      <c r="V369" s="20">
        <f>SUM($L$124:V124)-SUM($L$367:V367)</f>
        <v>0</v>
      </c>
      <c r="W369" s="20">
        <f>SUM($L$124:W124)-SUM($L$367:W367)</f>
        <v>0</v>
      </c>
      <c r="X369" s="20">
        <f>SUM($L$124:X124)-SUM($L$367:X367)</f>
        <v>0</v>
      </c>
      <c r="Y369" s="20">
        <f>SUM($L$124:Y124)-SUM($L$367:Y367)</f>
        <v>0</v>
      </c>
      <c r="Z369" s="20">
        <f>SUM($L$124:Z124)-SUM($L$367:Z367)</f>
        <v>23.55079968739814</v>
      </c>
      <c r="AA369" s="20">
        <f>SUM($L$124:AA124)-SUM($L$367:AA367)</f>
        <v>11.77539984369907</v>
      </c>
      <c r="AB369" s="20">
        <f>SUM($L$124:AB124)-SUM($L$367:AB367)</f>
        <v>0</v>
      </c>
      <c r="AC369" s="20">
        <f>SUM($L$124:AC124)-SUM($L$367:AC367)</f>
        <v>0</v>
      </c>
      <c r="AD369" s="20">
        <f>SUM($L$124:AD124)-SUM($L$367:AD367)</f>
        <v>0</v>
      </c>
      <c r="AE369" s="20">
        <f>SUM($L$124:AE124)-SUM($L$367:AE367)</f>
        <v>0</v>
      </c>
      <c r="AF369" s="20">
        <f>SUM($L$124:AF124)-SUM($L$367:AF367)</f>
        <v>0</v>
      </c>
      <c r="AG369" s="20">
        <f>SUM($L$124:AG124)-SUM($L$367:AG367)</f>
        <v>0</v>
      </c>
      <c r="AH369" s="20">
        <f>SUM($L$124:AH124)-SUM($L$367:AH367)</f>
        <v>0</v>
      </c>
      <c r="AI369" s="20">
        <f>SUM($L$124:AI124)-SUM($L$367:AI367)</f>
        <v>0</v>
      </c>
      <c r="AJ369" s="20">
        <f>SUM($L$124:AJ124)-SUM($L$367:AJ367)</f>
        <v>0</v>
      </c>
      <c r="AK369" s="20">
        <f>SUM($L$124:AK124)-SUM($L$367:AK367)</f>
        <v>0</v>
      </c>
      <c r="AL369" s="20">
        <f>SUM($L$124:AL124)-SUM($L$367:AL367)</f>
        <v>0</v>
      </c>
      <c r="AM369" s="20">
        <f>SUM($L$124:AM124)-SUM($L$367:AM367)</f>
        <v>0</v>
      </c>
      <c r="AN369" s="20">
        <f>SUM($L$124:AN124)-SUM($L$367:AN367)</f>
        <v>0</v>
      </c>
      <c r="AO369" s="28"/>
    </row>
    <row r="370" spans="3:41" ht="14.4" customHeight="1" outlineLevel="1" x14ac:dyDescent="0.3">
      <c r="H370" s="2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28"/>
    </row>
    <row r="371" spans="3:41" ht="14.4" customHeight="1" outlineLevel="1" x14ac:dyDescent="0.3">
      <c r="C371" s="1" t="s">
        <v>411</v>
      </c>
      <c r="H371" s="26" t="s">
        <v>245</v>
      </c>
      <c r="K371" s="36"/>
      <c r="L371" s="20">
        <f>AVERAGE(K369,L369)</f>
        <v>0</v>
      </c>
      <c r="M371" s="20">
        <f>AVERAGE(L369,M369)</f>
        <v>0</v>
      </c>
      <c r="N371" s="20">
        <f>AVERAGE(M369,N369)</f>
        <v>0</v>
      </c>
      <c r="O371" s="20">
        <f t="shared" ref="O371:AN371" si="117">AVERAGE(N369,O369)</f>
        <v>0</v>
      </c>
      <c r="P371" s="20">
        <f t="shared" si="117"/>
        <v>0</v>
      </c>
      <c r="Q371" s="20">
        <f t="shared" si="117"/>
        <v>0</v>
      </c>
      <c r="R371" s="20">
        <f t="shared" si="117"/>
        <v>0</v>
      </c>
      <c r="S371" s="20">
        <f t="shared" si="117"/>
        <v>0</v>
      </c>
      <c r="T371" s="20">
        <f t="shared" si="117"/>
        <v>0</v>
      </c>
      <c r="U371" s="20">
        <f t="shared" si="117"/>
        <v>0</v>
      </c>
      <c r="V371" s="20">
        <f t="shared" si="117"/>
        <v>0</v>
      </c>
      <c r="W371" s="20">
        <f t="shared" si="117"/>
        <v>0</v>
      </c>
      <c r="X371" s="20">
        <f t="shared" si="117"/>
        <v>0</v>
      </c>
      <c r="Y371" s="20">
        <f t="shared" si="117"/>
        <v>0</v>
      </c>
      <c r="Z371" s="20">
        <f t="shared" si="117"/>
        <v>11.77539984369907</v>
      </c>
      <c r="AA371" s="20">
        <f t="shared" si="117"/>
        <v>17.663099765548605</v>
      </c>
      <c r="AB371" s="20">
        <f t="shared" si="117"/>
        <v>5.8876999218495349</v>
      </c>
      <c r="AC371" s="20">
        <f t="shared" si="117"/>
        <v>0</v>
      </c>
      <c r="AD371" s="20">
        <f t="shared" si="117"/>
        <v>0</v>
      </c>
      <c r="AE371" s="20">
        <f t="shared" si="117"/>
        <v>0</v>
      </c>
      <c r="AF371" s="20">
        <f t="shared" si="117"/>
        <v>0</v>
      </c>
      <c r="AG371" s="20">
        <f t="shared" si="117"/>
        <v>0</v>
      </c>
      <c r="AH371" s="20">
        <f t="shared" si="117"/>
        <v>0</v>
      </c>
      <c r="AI371" s="20">
        <f t="shared" si="117"/>
        <v>0</v>
      </c>
      <c r="AJ371" s="20">
        <f t="shared" si="117"/>
        <v>0</v>
      </c>
      <c r="AK371" s="20">
        <f t="shared" si="117"/>
        <v>0</v>
      </c>
      <c r="AL371" s="20">
        <f t="shared" si="117"/>
        <v>0</v>
      </c>
      <c r="AM371" s="20">
        <f t="shared" si="117"/>
        <v>0</v>
      </c>
      <c r="AN371" s="20">
        <f t="shared" si="117"/>
        <v>0</v>
      </c>
      <c r="AO371" s="28"/>
    </row>
    <row r="372" spans="3:41" ht="14.4" customHeight="1" outlineLevel="1" x14ac:dyDescent="0.3">
      <c r="H372" s="2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28"/>
    </row>
    <row r="373" spans="3:41" ht="14.4" customHeight="1" outlineLevel="1" x14ac:dyDescent="0.3">
      <c r="C373" s="2" t="s">
        <v>299</v>
      </c>
      <c r="H373" s="2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28"/>
    </row>
    <row r="374" spans="3:41" ht="14.4" customHeight="1" outlineLevel="1" x14ac:dyDescent="0.3">
      <c r="H374" s="2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28"/>
    </row>
    <row r="375" spans="3:41" ht="14.4" customHeight="1" outlineLevel="1" x14ac:dyDescent="0.3">
      <c r="C375" s="1" t="s">
        <v>126</v>
      </c>
      <c r="H375" s="26" t="s">
        <v>33</v>
      </c>
      <c r="K375" s="36"/>
      <c r="L375" s="130">
        <f>IF(L26=1,(IFERROR((INDEX(M9:$AN$9,MATCH(1,M26:$AN$26,0))),YEAR(Input!$H$14)))-Расчеты!L9,0)</f>
        <v>0</v>
      </c>
      <c r="M375" s="130">
        <f>IF(M26=1,(IFERROR((INDEX(N9:$AN$9,MATCH(1,N26:$AN$26,0))),YEAR(Input!$H$14)))-Расчеты!M9,0)</f>
        <v>0</v>
      </c>
      <c r="N375" s="130">
        <f>IF(N26=1,(IFERROR((INDEX(O9:$AN$9,MATCH(1,O26:$AN$26,0))),YEAR(Input!$H$14)))-Расчеты!N9,0)</f>
        <v>0</v>
      </c>
      <c r="O375" s="130">
        <f>IF(O26=1,(IFERROR((INDEX(P9:$AN$9,MATCH(1,P26:$AN$26,0))),YEAR(Input!$H$14)))-Расчеты!O9,0)</f>
        <v>0</v>
      </c>
      <c r="P375" s="130">
        <f>IF(P26=1,(IFERROR((INDEX(Q9:$AN$9,MATCH(1,Q26:$AN$26,0))),YEAR(Input!$H$14)))-Расчеты!P9,0)</f>
        <v>0</v>
      </c>
      <c r="Q375" s="130">
        <f>IF(Q26=1,(IFERROR((INDEX(R9:$AN$9,MATCH(1,R26:$AN$26,0))),YEAR(Input!$H$14)))-Расчеты!Q9,0)</f>
        <v>0</v>
      </c>
      <c r="R375" s="130">
        <f>IF(R26=1,(IFERROR((INDEX(S9:$AN$9,MATCH(1,S26:$AN$26,0))),YEAR(Input!$H$14)))-Расчеты!R9,0)</f>
        <v>0</v>
      </c>
      <c r="S375" s="130">
        <f>IF(S26=1,(IFERROR((INDEX(T9:$AN$9,MATCH(1,T26:$AN$26,0))),YEAR(Input!$H$14)))-Расчеты!S9,0)</f>
        <v>0</v>
      </c>
      <c r="T375" s="130">
        <f>IF(T26=1,(IFERROR((INDEX(U9:$AN$9,MATCH(1,U26:$AN$26,0))),YEAR(Input!$H$14)))-Расчеты!T9,0)</f>
        <v>0</v>
      </c>
      <c r="U375" s="130">
        <f>IF(U26=1,(IFERROR((INDEX(V9:$AN$9,MATCH(1,V26:$AN$26,0))),YEAR(Input!$H$14)))-Расчеты!U9,0)</f>
        <v>0</v>
      </c>
      <c r="V375" s="130">
        <f>IF(V26=1,(IFERROR((INDEX(W9:$AN$9,MATCH(1,W26:$AN$26,0))),YEAR(Input!$H$14)))-Расчеты!V9,0)</f>
        <v>2</v>
      </c>
      <c r="W375" s="130">
        <f>IF(W26=1,(IFERROR((INDEX(X9:$AN$9,MATCH(1,X26:$AN$26,0))),YEAR(Input!$H$14)))-Расчеты!W9,0)</f>
        <v>0</v>
      </c>
      <c r="X375" s="130">
        <f>IF(X26=1,(IFERROR((INDEX(Y9:$AN$9,MATCH(1,Y26:$AN$26,0))),YEAR(Input!$H$14)))-Расчеты!X9,0)</f>
        <v>5</v>
      </c>
      <c r="Y375" s="130">
        <f>IF(Y26=1,(IFERROR((INDEX(Z9:$AN$9,MATCH(1,Z26:$AN$26,0))),YEAR(Input!$H$14)))-Расчеты!Y9,0)</f>
        <v>0</v>
      </c>
      <c r="Z375" s="130">
        <f>IF(Z26=1,(IFERROR((INDEX(AA9:$AN$9,MATCH(1,AA26:$AN$26,0))),YEAR(Input!$H$14)))-Расчеты!Z9,0)</f>
        <v>0</v>
      </c>
      <c r="AA375" s="130">
        <f>IF(AA26=1,(IFERROR((INDEX(AB9:$AN$9,MATCH(1,AB26:$AN$26,0))),YEAR(Input!$H$14)))-Расчеты!AA9,0)</f>
        <v>0</v>
      </c>
      <c r="AB375" s="130">
        <f>IF(AB26=1,(IFERROR((INDEX(AC9:$AN$9,MATCH(1,AC26:$AN$26,0))),YEAR(Input!$H$14)))-Расчеты!AB9,0)</f>
        <v>0</v>
      </c>
      <c r="AC375" s="130">
        <f>IF(AC26=1,(IFERROR((INDEX(AD9:$AN$9,MATCH(1,AD26:$AN$26,0))),YEAR(Input!$H$14)))-Расчеты!AC9,0)</f>
        <v>0</v>
      </c>
      <c r="AD375" s="130">
        <f>IF(AD26=1,(IFERROR((INDEX(AE9:$AN$9,MATCH(1,AE26:$AN$26,0))),YEAR(Input!$H$14)))-Расчеты!AD9,0)</f>
        <v>0</v>
      </c>
      <c r="AE375" s="130">
        <f>IF(AE26=1,(IFERROR((INDEX(AF9:$AN$9,MATCH(1,AF26:$AN$26,0))),YEAR(Input!$H$14)))-Расчеты!AE9,0)</f>
        <v>0</v>
      </c>
      <c r="AF375" s="130">
        <f>IF(AF26=1,(IFERROR((INDEX(AG9:$AN$9,MATCH(1,AG26:$AN$26,0))),YEAR(Input!$H$14)))-Расчеты!AF9,0)</f>
        <v>0</v>
      </c>
      <c r="AG375" s="130">
        <f>IF(AG26=1,(IFERROR((INDEX(AH9:$AN$9,MATCH(1,AH26:$AN$26,0))),YEAR(Input!$H$14)))-Расчеты!AG9,0)</f>
        <v>0</v>
      </c>
      <c r="AH375" s="130">
        <f>IF(AH26=1,(IFERROR((INDEX(AI9:$AN$9,MATCH(1,AI26:$AN$26,0))),YEAR(Input!$H$14)))-Расчеты!AH9,0)</f>
        <v>0</v>
      </c>
      <c r="AI375" s="130">
        <f>IF(AI26=1,(IFERROR((INDEX(AJ9:$AN$9,MATCH(1,AJ26:$AN$26,0))),YEAR(Input!$H$14)))-Расчеты!AI9,0)</f>
        <v>0</v>
      </c>
      <c r="AJ375" s="130">
        <f>IF(AJ26=1,(IFERROR((INDEX(AK9:$AN$9,MATCH(1,AK26:$AN$26,0))),YEAR(Input!$H$14)))-Расчеты!AJ9,0)</f>
        <v>0</v>
      </c>
      <c r="AK375" s="130">
        <f>IF(AK26=1,(IFERROR((INDEX(AL9:$AN$9,MATCH(1,AL26:$AN$26,0))),YEAR(Input!$H$14)))-Расчеты!AK9,0)</f>
        <v>0</v>
      </c>
      <c r="AL375" s="130">
        <f>IF(AL26=1,(IFERROR((INDEX(AM9:$AN$9,MATCH(1,AM26:$AN$26,0))),YEAR(Input!$H$14)))-Расчеты!AL9,0)</f>
        <v>0</v>
      </c>
      <c r="AM375" s="130">
        <f>IF(AM26=1,(IFERROR((INDEX(AN9:$AN$9,MATCH(1,AN26:$AN$26,0))),YEAR(Input!$H$14)))-Расчеты!AM9,0)</f>
        <v>0</v>
      </c>
      <c r="AN375" s="130">
        <f>IF(AN26=1,(IFERROR((INDEX($AN9:AO$9,MATCH(1,$AN26:AO$26,0))),YEAR(Input!$H$14)))-Расчеты!AN9,0)</f>
        <v>0</v>
      </c>
      <c r="AO375" s="28"/>
    </row>
    <row r="376" spans="3:41" ht="14.4" customHeight="1" outlineLevel="1" x14ac:dyDescent="0.3">
      <c r="H376" s="2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28"/>
    </row>
    <row r="377" spans="3:41" ht="14.4" customHeight="1" outlineLevel="1" x14ac:dyDescent="0.3">
      <c r="F377" s="69" cm="1">
        <f t="array" ref="F377:F405">TRANSPOSE(L9:AN9)</f>
        <v>2024</v>
      </c>
      <c r="H377" s="26" t="s">
        <v>245</v>
      </c>
      <c r="I377" s="128" cm="1">
        <f t="array" ref="I377:I405">TRANSPOSE(L136:AN136)</f>
        <v>0</v>
      </c>
      <c r="J377" s="117" cm="1">
        <f t="array" ref="J377:J405">TRANSPOSE(L375:AN375)</f>
        <v>0</v>
      </c>
      <c r="K377" s="89">
        <v>0</v>
      </c>
      <c r="L377" s="20">
        <f>IFERROR(IF($F377&lt;=L$9,MIN($I377/$J377,$I377-SUM($K377:K377)),0),0)</f>
        <v>0</v>
      </c>
      <c r="M377" s="20">
        <f>IFERROR(IF($F377&lt;=M$9,MIN($I377/$J377,$I377-SUM($K377:L377)),0),0)</f>
        <v>0</v>
      </c>
      <c r="N377" s="20">
        <f>IFERROR(IF($F377&lt;=N$9,MIN($I377/$J377,$I377-SUM($K377:M377)),0),0)</f>
        <v>0</v>
      </c>
      <c r="O377" s="20">
        <f>IFERROR(IF($F377&lt;=O$9,MIN($I377/$J377,$I377-SUM($K377:N377)),0),0)</f>
        <v>0</v>
      </c>
      <c r="P377" s="20">
        <f>IFERROR(IF($F377&lt;=P$9,MIN($I377/$J377,$I377-SUM($K377:O377)),0),0)</f>
        <v>0</v>
      </c>
      <c r="Q377" s="20">
        <f>IFERROR(IF($F377&lt;=Q$9,MIN($I377/$J377,$I377-SUM($K377:P377)),0),0)</f>
        <v>0</v>
      </c>
      <c r="R377" s="20">
        <f>IFERROR(IF($F377&lt;=R$9,MIN($I377/$J377,$I377-SUM($K377:Q377)),0),0)</f>
        <v>0</v>
      </c>
      <c r="S377" s="20">
        <f>IFERROR(IF($F377&lt;=S$9,MIN($I377/$J377,$I377-SUM($K377:R377)),0),0)</f>
        <v>0</v>
      </c>
      <c r="T377" s="20">
        <f>IFERROR(IF($F377&lt;=T$9,MIN($I377/$J377,$I377-SUM($K377:S377)),0),0)</f>
        <v>0</v>
      </c>
      <c r="U377" s="20">
        <f>IFERROR(IF($F377&lt;=U$9,MIN($I377/$J377,$I377-SUM($K377:T377)),0),0)</f>
        <v>0</v>
      </c>
      <c r="V377" s="20">
        <f>IFERROR(IF($F377&lt;=V$9,MIN($I377/$J377,$I377-SUM($K377:U377)),0),0)</f>
        <v>0</v>
      </c>
      <c r="W377" s="20">
        <f>IFERROR(IF($F377&lt;=W$9,MIN($I377/$J377,$I377-SUM($K377:V377)),0),0)</f>
        <v>0</v>
      </c>
      <c r="X377" s="20">
        <f>IFERROR(IF($F377&lt;=X$9,MIN($I377/$J377,$I377-SUM($K377:W377)),0),0)</f>
        <v>0</v>
      </c>
      <c r="Y377" s="20">
        <f>IFERROR(IF($F377&lt;=Y$9,MIN($I377/$J377,$I377-SUM($K377:X377)),0),0)</f>
        <v>0</v>
      </c>
      <c r="Z377" s="20">
        <f>IFERROR(IF($F377&lt;=Z$9,MIN($I377/$J377,$I377-SUM($K377:Y377)),0),0)</f>
        <v>0</v>
      </c>
      <c r="AA377" s="20">
        <f>IFERROR(IF($F377&lt;=AA$9,MIN($I377/$J377,$I377-SUM($K377:Z377)),0),0)</f>
        <v>0</v>
      </c>
      <c r="AB377" s="20">
        <f>IFERROR(IF($F377&lt;=AB$9,MIN($I377/$J377,$I377-SUM($K377:AA377)),0),0)</f>
        <v>0</v>
      </c>
      <c r="AC377" s="20">
        <f>IFERROR(IF($F377&lt;=AC$9,MIN($I377/$J377,$I377-SUM($K377:AB377)),0),0)</f>
        <v>0</v>
      </c>
      <c r="AD377" s="20">
        <f>IFERROR(IF($F377&lt;=AD$9,MIN($I377/$J377,$I377-SUM($K377:AC377)),0),0)</f>
        <v>0</v>
      </c>
      <c r="AE377" s="20">
        <f>IFERROR(IF($F377&lt;=AE$9,MIN($I377/$J377,$I377-SUM($K377:AD377)),0),0)</f>
        <v>0</v>
      </c>
      <c r="AF377" s="20">
        <f>IFERROR(IF($F377&lt;=AF$9,MIN($I377/$J377,$I377-SUM($K377:AE377)),0),0)</f>
        <v>0</v>
      </c>
      <c r="AG377" s="20">
        <f>IFERROR(IF($F377&lt;=AG$9,MIN($I377/$J377,$I377-SUM($K377:AF377)),0),0)</f>
        <v>0</v>
      </c>
      <c r="AH377" s="20">
        <f>IFERROR(IF($F377&lt;=AH$9,MIN($I377/$J377,$I377-SUM($K377:AG377)),0),0)</f>
        <v>0</v>
      </c>
      <c r="AI377" s="20">
        <f>IFERROR(IF($F377&lt;=AI$9,MIN($I377/$J377,$I377-SUM($K377:AH377)),0),0)</f>
        <v>0</v>
      </c>
      <c r="AJ377" s="20">
        <f>IFERROR(IF($F377&lt;=AJ$9,MIN($I377/$J377,$I377-SUM($K377:AI377)),0),0)</f>
        <v>0</v>
      </c>
      <c r="AK377" s="20">
        <f>IFERROR(IF($F377&lt;=AK$9,MIN($I377/$J377,$I377-SUM($K377:AJ377)),0),0)</f>
        <v>0</v>
      </c>
      <c r="AL377" s="20">
        <f>IFERROR(IF($F377&lt;=AL$9,MIN($I377/$J377,$I377-SUM($K377:AK377)),0),0)</f>
        <v>0</v>
      </c>
      <c r="AM377" s="20">
        <f>IFERROR(IF($F377&lt;=AM$9,MIN($I377/$J377,$I377-SUM($K377:AL377)),0),0)</f>
        <v>0</v>
      </c>
      <c r="AN377" s="20">
        <f>IFERROR(IF($F377&lt;=AN$9,MIN($I377/$J377,$I377-SUM($K377:AM377)),0),0)</f>
        <v>0</v>
      </c>
      <c r="AO377" s="28"/>
    </row>
    <row r="378" spans="3:41" ht="14.4" customHeight="1" outlineLevel="1" x14ac:dyDescent="0.3">
      <c r="F378" s="69">
        <v>2025</v>
      </c>
      <c r="H378" s="26" t="s">
        <v>245</v>
      </c>
      <c r="I378" s="128">
        <v>0</v>
      </c>
      <c r="J378" s="117">
        <v>0</v>
      </c>
      <c r="K378" s="89">
        <v>0</v>
      </c>
      <c r="L378" s="20">
        <f>IFERROR(IF($F378&lt;=L$9,MIN($I378/$J378,$I378-SUM($K378:K378)),0),0)</f>
        <v>0</v>
      </c>
      <c r="M378" s="20">
        <f>IFERROR(IF($F378&lt;=M$9,MIN($I378/$J378,$I378-SUM($K378:L378)),0),0)</f>
        <v>0</v>
      </c>
      <c r="N378" s="20">
        <f>IFERROR(IF($F378&lt;=N$9,MIN($I378/$J378,$I378-SUM($K378:M378)),0),0)</f>
        <v>0</v>
      </c>
      <c r="O378" s="20">
        <f>IFERROR(IF($F378&lt;=O$9,MIN($I378/$J378,$I378-SUM($K378:N378)),0),0)</f>
        <v>0</v>
      </c>
      <c r="P378" s="20">
        <f>IFERROR(IF($F378&lt;=P$9,MIN($I378/$J378,$I378-SUM($K378:O378)),0),0)</f>
        <v>0</v>
      </c>
      <c r="Q378" s="20">
        <f>IFERROR(IF($F378&lt;=Q$9,MIN($I378/$J378,$I378-SUM($K378:P378)),0),0)</f>
        <v>0</v>
      </c>
      <c r="R378" s="20">
        <f>IFERROR(IF($F378&lt;=R$9,MIN($I378/$J378,$I378-SUM($K378:Q378)),0),0)</f>
        <v>0</v>
      </c>
      <c r="S378" s="20">
        <f>IFERROR(IF($F378&lt;=S$9,MIN($I378/$J378,$I378-SUM($K378:R378)),0),0)</f>
        <v>0</v>
      </c>
      <c r="T378" s="20">
        <f>IFERROR(IF($F378&lt;=T$9,MIN($I378/$J378,$I378-SUM($K378:S378)),0),0)</f>
        <v>0</v>
      </c>
      <c r="U378" s="20">
        <f>IFERROR(IF($F378&lt;=U$9,MIN($I378/$J378,$I378-SUM($K378:T378)),0),0)</f>
        <v>0</v>
      </c>
      <c r="V378" s="20">
        <f>IFERROR(IF($F378&lt;=V$9,MIN($I378/$J378,$I378-SUM($K378:U378)),0),0)</f>
        <v>0</v>
      </c>
      <c r="W378" s="20">
        <f>IFERROR(IF($F378&lt;=W$9,MIN($I378/$J378,$I378-SUM($K378:V378)),0),0)</f>
        <v>0</v>
      </c>
      <c r="X378" s="20">
        <f>IFERROR(IF($F378&lt;=X$9,MIN($I378/$J378,$I378-SUM($K378:W378)),0),0)</f>
        <v>0</v>
      </c>
      <c r="Y378" s="20">
        <f>IFERROR(IF($F378&lt;=Y$9,MIN($I378/$J378,$I378-SUM($K378:X378)),0),0)</f>
        <v>0</v>
      </c>
      <c r="Z378" s="20">
        <f>IFERROR(IF($F378&lt;=Z$9,MIN($I378/$J378,$I378-SUM($K378:Y378)),0),0)</f>
        <v>0</v>
      </c>
      <c r="AA378" s="20">
        <f>IFERROR(IF($F378&lt;=AA$9,MIN($I378/$J378,$I378-SUM($K378:Z378)),0),0)</f>
        <v>0</v>
      </c>
      <c r="AB378" s="20">
        <f>IFERROR(IF($F378&lt;=AB$9,MIN($I378/$J378,$I378-SUM($K378:AA378)),0),0)</f>
        <v>0</v>
      </c>
      <c r="AC378" s="20">
        <f>IFERROR(IF($F378&lt;=AC$9,MIN($I378/$J378,$I378-SUM($K378:AB378)),0),0)</f>
        <v>0</v>
      </c>
      <c r="AD378" s="20">
        <f>IFERROR(IF($F378&lt;=AD$9,MIN($I378/$J378,$I378-SUM($K378:AC378)),0),0)</f>
        <v>0</v>
      </c>
      <c r="AE378" s="20">
        <f>IFERROR(IF($F378&lt;=AE$9,MIN($I378/$J378,$I378-SUM($K378:AD378)),0),0)</f>
        <v>0</v>
      </c>
      <c r="AF378" s="20">
        <f>IFERROR(IF($F378&lt;=AF$9,MIN($I378/$J378,$I378-SUM($K378:AE378)),0),0)</f>
        <v>0</v>
      </c>
      <c r="AG378" s="20">
        <f>IFERROR(IF($F378&lt;=AG$9,MIN($I378/$J378,$I378-SUM($K378:AF378)),0),0)</f>
        <v>0</v>
      </c>
      <c r="AH378" s="20">
        <f>IFERROR(IF($F378&lt;=AH$9,MIN($I378/$J378,$I378-SUM($K378:AG378)),0),0)</f>
        <v>0</v>
      </c>
      <c r="AI378" s="20">
        <f>IFERROR(IF($F378&lt;=AI$9,MIN($I378/$J378,$I378-SUM($K378:AH378)),0),0)</f>
        <v>0</v>
      </c>
      <c r="AJ378" s="20">
        <f>IFERROR(IF($F378&lt;=AJ$9,MIN($I378/$J378,$I378-SUM($K378:AI378)),0),0)</f>
        <v>0</v>
      </c>
      <c r="AK378" s="20">
        <f>IFERROR(IF($F378&lt;=AK$9,MIN($I378/$J378,$I378-SUM($K378:AJ378)),0),0)</f>
        <v>0</v>
      </c>
      <c r="AL378" s="20">
        <f>IFERROR(IF($F378&lt;=AL$9,MIN($I378/$J378,$I378-SUM($K378:AK378)),0),0)</f>
        <v>0</v>
      </c>
      <c r="AM378" s="20">
        <f>IFERROR(IF($F378&lt;=AM$9,MIN($I378/$J378,$I378-SUM($K378:AL378)),0),0)</f>
        <v>0</v>
      </c>
      <c r="AN378" s="20">
        <f>IFERROR(IF($F378&lt;=AN$9,MIN($I378/$J378,$I378-SUM($K378:AM378)),0),0)</f>
        <v>0</v>
      </c>
      <c r="AO378" s="28"/>
    </row>
    <row r="379" spans="3:41" ht="14.4" customHeight="1" outlineLevel="1" x14ac:dyDescent="0.3">
      <c r="F379" s="69">
        <v>2026</v>
      </c>
      <c r="H379" s="26" t="s">
        <v>245</v>
      </c>
      <c r="I379" s="128">
        <v>0</v>
      </c>
      <c r="J379" s="117">
        <v>0</v>
      </c>
      <c r="K379" s="89">
        <v>0</v>
      </c>
      <c r="L379" s="20">
        <f>IFERROR(IF($F379&lt;=L$9,MIN($I379/$J379,$I379-SUM($K379:K379)),0),0)</f>
        <v>0</v>
      </c>
      <c r="M379" s="20">
        <f>IFERROR(IF($F379&lt;=M$9,MIN($I379/$J379,$I379-SUM($K379:L379)),0),0)</f>
        <v>0</v>
      </c>
      <c r="N379" s="20">
        <f>IFERROR(IF($F379&lt;=N$9,MIN($I379/$J379,$I379-SUM($K379:M379)),0),0)</f>
        <v>0</v>
      </c>
      <c r="O379" s="20">
        <f>IFERROR(IF($F379&lt;=O$9,MIN($I379/$J379,$I379-SUM($K379:N379)),0),0)</f>
        <v>0</v>
      </c>
      <c r="P379" s="20">
        <f>IFERROR(IF($F379&lt;=P$9,MIN($I379/$J379,$I379-SUM($K379:O379)),0),0)</f>
        <v>0</v>
      </c>
      <c r="Q379" s="20">
        <f>IFERROR(IF($F379&lt;=Q$9,MIN($I379/$J379,$I379-SUM($K379:P379)),0),0)</f>
        <v>0</v>
      </c>
      <c r="R379" s="20">
        <f>IFERROR(IF($F379&lt;=R$9,MIN($I379/$J379,$I379-SUM($K379:Q379)),0),0)</f>
        <v>0</v>
      </c>
      <c r="S379" s="20">
        <f>IFERROR(IF($F379&lt;=S$9,MIN($I379/$J379,$I379-SUM($K379:R379)),0),0)</f>
        <v>0</v>
      </c>
      <c r="T379" s="20">
        <f>IFERROR(IF($F379&lt;=T$9,MIN($I379/$J379,$I379-SUM($K379:S379)),0),0)</f>
        <v>0</v>
      </c>
      <c r="U379" s="20">
        <f>IFERROR(IF($F379&lt;=U$9,MIN($I379/$J379,$I379-SUM($K379:T379)),0),0)</f>
        <v>0</v>
      </c>
      <c r="V379" s="20">
        <f>IFERROR(IF($F379&lt;=V$9,MIN($I379/$J379,$I379-SUM($K379:U379)),0),0)</f>
        <v>0</v>
      </c>
      <c r="W379" s="20">
        <f>IFERROR(IF($F379&lt;=W$9,MIN($I379/$J379,$I379-SUM($K379:V379)),0),0)</f>
        <v>0</v>
      </c>
      <c r="X379" s="20">
        <f>IFERROR(IF($F379&lt;=X$9,MIN($I379/$J379,$I379-SUM($K379:W379)),0),0)</f>
        <v>0</v>
      </c>
      <c r="Y379" s="20">
        <f>IFERROR(IF($F379&lt;=Y$9,MIN($I379/$J379,$I379-SUM($K379:X379)),0),0)</f>
        <v>0</v>
      </c>
      <c r="Z379" s="20">
        <f>IFERROR(IF($F379&lt;=Z$9,MIN($I379/$J379,$I379-SUM($K379:Y379)),0),0)</f>
        <v>0</v>
      </c>
      <c r="AA379" s="20">
        <f>IFERROR(IF($F379&lt;=AA$9,MIN($I379/$J379,$I379-SUM($K379:Z379)),0),0)</f>
        <v>0</v>
      </c>
      <c r="AB379" s="20">
        <f>IFERROR(IF($F379&lt;=AB$9,MIN($I379/$J379,$I379-SUM($K379:AA379)),0),0)</f>
        <v>0</v>
      </c>
      <c r="AC379" s="20">
        <f>IFERROR(IF($F379&lt;=AC$9,MIN($I379/$J379,$I379-SUM($K379:AB379)),0),0)</f>
        <v>0</v>
      </c>
      <c r="AD379" s="20">
        <f>IFERROR(IF($F379&lt;=AD$9,MIN($I379/$J379,$I379-SUM($K379:AC379)),0),0)</f>
        <v>0</v>
      </c>
      <c r="AE379" s="20">
        <f>IFERROR(IF($F379&lt;=AE$9,MIN($I379/$J379,$I379-SUM($K379:AD379)),0),0)</f>
        <v>0</v>
      </c>
      <c r="AF379" s="20">
        <f>IFERROR(IF($F379&lt;=AF$9,MIN($I379/$J379,$I379-SUM($K379:AE379)),0),0)</f>
        <v>0</v>
      </c>
      <c r="AG379" s="20">
        <f>IFERROR(IF($F379&lt;=AG$9,MIN($I379/$J379,$I379-SUM($K379:AF379)),0),0)</f>
        <v>0</v>
      </c>
      <c r="AH379" s="20">
        <f>IFERROR(IF($F379&lt;=AH$9,MIN($I379/$J379,$I379-SUM($K379:AG379)),0),0)</f>
        <v>0</v>
      </c>
      <c r="AI379" s="20">
        <f>IFERROR(IF($F379&lt;=AI$9,MIN($I379/$J379,$I379-SUM($K379:AH379)),0),0)</f>
        <v>0</v>
      </c>
      <c r="AJ379" s="20">
        <f>IFERROR(IF($F379&lt;=AJ$9,MIN($I379/$J379,$I379-SUM($K379:AI379)),0),0)</f>
        <v>0</v>
      </c>
      <c r="AK379" s="20">
        <f>IFERROR(IF($F379&lt;=AK$9,MIN($I379/$J379,$I379-SUM($K379:AJ379)),0),0)</f>
        <v>0</v>
      </c>
      <c r="AL379" s="20">
        <f>IFERROR(IF($F379&lt;=AL$9,MIN($I379/$J379,$I379-SUM($K379:AK379)),0),0)</f>
        <v>0</v>
      </c>
      <c r="AM379" s="20">
        <f>IFERROR(IF($F379&lt;=AM$9,MIN($I379/$J379,$I379-SUM($K379:AL379)),0),0)</f>
        <v>0</v>
      </c>
      <c r="AN379" s="20">
        <f>IFERROR(IF($F379&lt;=AN$9,MIN($I379/$J379,$I379-SUM($K379:AM379)),0),0)</f>
        <v>0</v>
      </c>
      <c r="AO379" s="28"/>
    </row>
    <row r="380" spans="3:41" ht="14.4" customHeight="1" outlineLevel="1" x14ac:dyDescent="0.3">
      <c r="F380" s="69">
        <v>2027</v>
      </c>
      <c r="H380" s="26" t="s">
        <v>245</v>
      </c>
      <c r="I380" s="128">
        <v>0</v>
      </c>
      <c r="J380" s="117">
        <v>0</v>
      </c>
      <c r="K380" s="89">
        <v>0</v>
      </c>
      <c r="L380" s="20">
        <f>IFERROR(IF($F380&lt;=L$9,MIN($I380/$J380,$I380-SUM($K380:K380)),0),0)</f>
        <v>0</v>
      </c>
      <c r="M380" s="20">
        <f>IFERROR(IF($F380&lt;=M$9,MIN($I380/$J380,$I380-SUM($K380:L380)),0),0)</f>
        <v>0</v>
      </c>
      <c r="N380" s="20">
        <f>IFERROR(IF($F380&lt;=N$9,MIN($I380/$J380,$I380-SUM($K380:M380)),0),0)</f>
        <v>0</v>
      </c>
      <c r="O380" s="20">
        <f>IFERROR(IF($F380&lt;=O$9,MIN($I380/$J380,$I380-SUM($K380:N380)),0),0)</f>
        <v>0</v>
      </c>
      <c r="P380" s="20">
        <f>IFERROR(IF($F380&lt;=P$9,MIN($I380/$J380,$I380-SUM($K380:O380)),0),0)</f>
        <v>0</v>
      </c>
      <c r="Q380" s="20">
        <f>IFERROR(IF($F380&lt;=Q$9,MIN($I380/$J380,$I380-SUM($K380:P380)),0),0)</f>
        <v>0</v>
      </c>
      <c r="R380" s="20">
        <f>IFERROR(IF($F380&lt;=R$9,MIN($I380/$J380,$I380-SUM($K380:Q380)),0),0)</f>
        <v>0</v>
      </c>
      <c r="S380" s="20">
        <f>IFERROR(IF($F380&lt;=S$9,MIN($I380/$J380,$I380-SUM($K380:R380)),0),0)</f>
        <v>0</v>
      </c>
      <c r="T380" s="20">
        <f>IFERROR(IF($F380&lt;=T$9,MIN($I380/$J380,$I380-SUM($K380:S380)),0),0)</f>
        <v>0</v>
      </c>
      <c r="U380" s="20">
        <f>IFERROR(IF($F380&lt;=U$9,MIN($I380/$J380,$I380-SUM($K380:T380)),0),0)</f>
        <v>0</v>
      </c>
      <c r="V380" s="20">
        <f>IFERROR(IF($F380&lt;=V$9,MIN($I380/$J380,$I380-SUM($K380:U380)),0),0)</f>
        <v>0</v>
      </c>
      <c r="W380" s="20">
        <f>IFERROR(IF($F380&lt;=W$9,MIN($I380/$J380,$I380-SUM($K380:V380)),0),0)</f>
        <v>0</v>
      </c>
      <c r="X380" s="20">
        <f>IFERROR(IF($F380&lt;=X$9,MIN($I380/$J380,$I380-SUM($K380:W380)),0),0)</f>
        <v>0</v>
      </c>
      <c r="Y380" s="20">
        <f>IFERROR(IF($F380&lt;=Y$9,MIN($I380/$J380,$I380-SUM($K380:X380)),0),0)</f>
        <v>0</v>
      </c>
      <c r="Z380" s="20">
        <f>IFERROR(IF($F380&lt;=Z$9,MIN($I380/$J380,$I380-SUM($K380:Y380)),0),0)</f>
        <v>0</v>
      </c>
      <c r="AA380" s="20">
        <f>IFERROR(IF($F380&lt;=AA$9,MIN($I380/$J380,$I380-SUM($K380:Z380)),0),0)</f>
        <v>0</v>
      </c>
      <c r="AB380" s="20">
        <f>IFERROR(IF($F380&lt;=AB$9,MIN($I380/$J380,$I380-SUM($K380:AA380)),0),0)</f>
        <v>0</v>
      </c>
      <c r="AC380" s="20">
        <f>IFERROR(IF($F380&lt;=AC$9,MIN($I380/$J380,$I380-SUM($K380:AB380)),0),0)</f>
        <v>0</v>
      </c>
      <c r="AD380" s="20">
        <f>IFERROR(IF($F380&lt;=AD$9,MIN($I380/$J380,$I380-SUM($K380:AC380)),0),0)</f>
        <v>0</v>
      </c>
      <c r="AE380" s="20">
        <f>IFERROR(IF($F380&lt;=AE$9,MIN($I380/$J380,$I380-SUM($K380:AD380)),0),0)</f>
        <v>0</v>
      </c>
      <c r="AF380" s="20">
        <f>IFERROR(IF($F380&lt;=AF$9,MIN($I380/$J380,$I380-SUM($K380:AE380)),0),0)</f>
        <v>0</v>
      </c>
      <c r="AG380" s="20">
        <f>IFERROR(IF($F380&lt;=AG$9,MIN($I380/$J380,$I380-SUM($K380:AF380)),0),0)</f>
        <v>0</v>
      </c>
      <c r="AH380" s="20">
        <f>IFERROR(IF($F380&lt;=AH$9,MIN($I380/$J380,$I380-SUM($K380:AG380)),0),0)</f>
        <v>0</v>
      </c>
      <c r="AI380" s="20">
        <f>IFERROR(IF($F380&lt;=AI$9,MIN($I380/$J380,$I380-SUM($K380:AH380)),0),0)</f>
        <v>0</v>
      </c>
      <c r="AJ380" s="20">
        <f>IFERROR(IF($F380&lt;=AJ$9,MIN($I380/$J380,$I380-SUM($K380:AI380)),0),0)</f>
        <v>0</v>
      </c>
      <c r="AK380" s="20">
        <f>IFERROR(IF($F380&lt;=AK$9,MIN($I380/$J380,$I380-SUM($K380:AJ380)),0),0)</f>
        <v>0</v>
      </c>
      <c r="AL380" s="20">
        <f>IFERROR(IF($F380&lt;=AL$9,MIN($I380/$J380,$I380-SUM($K380:AK380)),0),0)</f>
        <v>0</v>
      </c>
      <c r="AM380" s="20">
        <f>IFERROR(IF($F380&lt;=AM$9,MIN($I380/$J380,$I380-SUM($K380:AL380)),0),0)</f>
        <v>0</v>
      </c>
      <c r="AN380" s="20">
        <f>IFERROR(IF($F380&lt;=AN$9,MIN($I380/$J380,$I380-SUM($K380:AM380)),0),0)</f>
        <v>0</v>
      </c>
      <c r="AO380" s="28"/>
    </row>
    <row r="381" spans="3:41" ht="14.4" customHeight="1" outlineLevel="1" x14ac:dyDescent="0.3">
      <c r="F381" s="69">
        <v>2028</v>
      </c>
      <c r="H381" s="26" t="s">
        <v>245</v>
      </c>
      <c r="I381" s="128">
        <v>0</v>
      </c>
      <c r="J381" s="117">
        <v>0</v>
      </c>
      <c r="K381" s="89">
        <v>0</v>
      </c>
      <c r="L381" s="20">
        <f>IFERROR(IF($F381&lt;=L$9,MIN($I381/$J381,$I381-SUM($K381:K381)),0),0)</f>
        <v>0</v>
      </c>
      <c r="M381" s="20">
        <f>IFERROR(IF($F381&lt;=M$9,MIN($I381/$J381,$I381-SUM($K381:L381)),0),0)</f>
        <v>0</v>
      </c>
      <c r="N381" s="20">
        <f>IFERROR(IF($F381&lt;=N$9,MIN($I381/$J381,$I381-SUM($K381:M381)),0),0)</f>
        <v>0</v>
      </c>
      <c r="O381" s="20">
        <f>IFERROR(IF($F381&lt;=O$9,MIN($I381/$J381,$I381-SUM($K381:N381)),0),0)</f>
        <v>0</v>
      </c>
      <c r="P381" s="20">
        <f>IFERROR(IF($F381&lt;=P$9,MIN($I381/$J381,$I381-SUM($K381:O381)),0),0)</f>
        <v>0</v>
      </c>
      <c r="Q381" s="20">
        <f>IFERROR(IF($F381&lt;=Q$9,MIN($I381/$J381,$I381-SUM($K381:P381)),0),0)</f>
        <v>0</v>
      </c>
      <c r="R381" s="20">
        <f>IFERROR(IF($F381&lt;=R$9,MIN($I381/$J381,$I381-SUM($K381:Q381)),0),0)</f>
        <v>0</v>
      </c>
      <c r="S381" s="20">
        <f>IFERROR(IF($F381&lt;=S$9,MIN($I381/$J381,$I381-SUM($K381:R381)),0),0)</f>
        <v>0</v>
      </c>
      <c r="T381" s="20">
        <f>IFERROR(IF($F381&lt;=T$9,MIN($I381/$J381,$I381-SUM($K381:S381)),0),0)</f>
        <v>0</v>
      </c>
      <c r="U381" s="20">
        <f>IFERROR(IF($F381&lt;=U$9,MIN($I381/$J381,$I381-SUM($K381:T381)),0),0)</f>
        <v>0</v>
      </c>
      <c r="V381" s="20">
        <f>IFERROR(IF($F381&lt;=V$9,MIN($I381/$J381,$I381-SUM($K381:U381)),0),0)</f>
        <v>0</v>
      </c>
      <c r="W381" s="20">
        <f>IFERROR(IF($F381&lt;=W$9,MIN($I381/$J381,$I381-SUM($K381:V381)),0),0)</f>
        <v>0</v>
      </c>
      <c r="X381" s="20">
        <f>IFERROR(IF($F381&lt;=X$9,MIN($I381/$J381,$I381-SUM($K381:W381)),0),0)</f>
        <v>0</v>
      </c>
      <c r="Y381" s="20">
        <f>IFERROR(IF($F381&lt;=Y$9,MIN($I381/$J381,$I381-SUM($K381:X381)),0),0)</f>
        <v>0</v>
      </c>
      <c r="Z381" s="20">
        <f>IFERROR(IF($F381&lt;=Z$9,MIN($I381/$J381,$I381-SUM($K381:Y381)),0),0)</f>
        <v>0</v>
      </c>
      <c r="AA381" s="20">
        <f>IFERROR(IF($F381&lt;=AA$9,MIN($I381/$J381,$I381-SUM($K381:Z381)),0),0)</f>
        <v>0</v>
      </c>
      <c r="AB381" s="20">
        <f>IFERROR(IF($F381&lt;=AB$9,MIN($I381/$J381,$I381-SUM($K381:AA381)),0),0)</f>
        <v>0</v>
      </c>
      <c r="AC381" s="20">
        <f>IFERROR(IF($F381&lt;=AC$9,MIN($I381/$J381,$I381-SUM($K381:AB381)),0),0)</f>
        <v>0</v>
      </c>
      <c r="AD381" s="20">
        <f>IFERROR(IF($F381&lt;=AD$9,MIN($I381/$J381,$I381-SUM($K381:AC381)),0),0)</f>
        <v>0</v>
      </c>
      <c r="AE381" s="20">
        <f>IFERROR(IF($F381&lt;=AE$9,MIN($I381/$J381,$I381-SUM($K381:AD381)),0),0)</f>
        <v>0</v>
      </c>
      <c r="AF381" s="20">
        <f>IFERROR(IF($F381&lt;=AF$9,MIN($I381/$J381,$I381-SUM($K381:AE381)),0),0)</f>
        <v>0</v>
      </c>
      <c r="AG381" s="20">
        <f>IFERROR(IF($F381&lt;=AG$9,MIN($I381/$J381,$I381-SUM($K381:AF381)),0),0)</f>
        <v>0</v>
      </c>
      <c r="AH381" s="20">
        <f>IFERROR(IF($F381&lt;=AH$9,MIN($I381/$J381,$I381-SUM($K381:AG381)),0),0)</f>
        <v>0</v>
      </c>
      <c r="AI381" s="20">
        <f>IFERROR(IF($F381&lt;=AI$9,MIN($I381/$J381,$I381-SUM($K381:AH381)),0),0)</f>
        <v>0</v>
      </c>
      <c r="AJ381" s="20">
        <f>IFERROR(IF($F381&lt;=AJ$9,MIN($I381/$J381,$I381-SUM($K381:AI381)),0),0)</f>
        <v>0</v>
      </c>
      <c r="AK381" s="20">
        <f>IFERROR(IF($F381&lt;=AK$9,MIN($I381/$J381,$I381-SUM($K381:AJ381)),0),0)</f>
        <v>0</v>
      </c>
      <c r="AL381" s="20">
        <f>IFERROR(IF($F381&lt;=AL$9,MIN($I381/$J381,$I381-SUM($K381:AK381)),0),0)</f>
        <v>0</v>
      </c>
      <c r="AM381" s="20">
        <f>IFERROR(IF($F381&lt;=AM$9,MIN($I381/$J381,$I381-SUM($K381:AL381)),0),0)</f>
        <v>0</v>
      </c>
      <c r="AN381" s="20">
        <f>IFERROR(IF($F381&lt;=AN$9,MIN($I381/$J381,$I381-SUM($K381:AM381)),0),0)</f>
        <v>0</v>
      </c>
      <c r="AO381" s="28"/>
    </row>
    <row r="382" spans="3:41" ht="14.4" customHeight="1" outlineLevel="1" x14ac:dyDescent="0.3">
      <c r="F382" s="69">
        <v>2029</v>
      </c>
      <c r="H382" s="26" t="s">
        <v>245</v>
      </c>
      <c r="I382" s="128">
        <v>0</v>
      </c>
      <c r="J382" s="117">
        <v>0</v>
      </c>
      <c r="K382" s="89">
        <v>0</v>
      </c>
      <c r="L382" s="20">
        <f>IFERROR(IF($F382&lt;=L$9,MIN($I382/$J382,$I382-SUM($K382:K382)),0),0)</f>
        <v>0</v>
      </c>
      <c r="M382" s="20">
        <f>IFERROR(IF($F382&lt;=M$9,MIN($I382/$J382,$I382-SUM($K382:L382)),0),0)</f>
        <v>0</v>
      </c>
      <c r="N382" s="20">
        <f>IFERROR(IF($F382&lt;=N$9,MIN($I382/$J382,$I382-SUM($K382:M382)),0),0)</f>
        <v>0</v>
      </c>
      <c r="O382" s="20">
        <f>IFERROR(IF($F382&lt;=O$9,MIN($I382/$J382,$I382-SUM($K382:N382)),0),0)</f>
        <v>0</v>
      </c>
      <c r="P382" s="20">
        <f>IFERROR(IF($F382&lt;=P$9,MIN($I382/$J382,$I382-SUM($K382:O382)),0),0)</f>
        <v>0</v>
      </c>
      <c r="Q382" s="20">
        <f>IFERROR(IF($F382&lt;=Q$9,MIN($I382/$J382,$I382-SUM($K382:P382)),0),0)</f>
        <v>0</v>
      </c>
      <c r="R382" s="20">
        <f>IFERROR(IF($F382&lt;=R$9,MIN($I382/$J382,$I382-SUM($K382:Q382)),0),0)</f>
        <v>0</v>
      </c>
      <c r="S382" s="20">
        <f>IFERROR(IF($F382&lt;=S$9,MIN($I382/$J382,$I382-SUM($K382:R382)),0),0)</f>
        <v>0</v>
      </c>
      <c r="T382" s="20">
        <f>IFERROR(IF($F382&lt;=T$9,MIN($I382/$J382,$I382-SUM($K382:S382)),0),0)</f>
        <v>0</v>
      </c>
      <c r="U382" s="20">
        <f>IFERROR(IF($F382&lt;=U$9,MIN($I382/$J382,$I382-SUM($K382:T382)),0),0)</f>
        <v>0</v>
      </c>
      <c r="V382" s="20">
        <f>IFERROR(IF($F382&lt;=V$9,MIN($I382/$J382,$I382-SUM($K382:U382)),0),0)</f>
        <v>0</v>
      </c>
      <c r="W382" s="20">
        <f>IFERROR(IF($F382&lt;=W$9,MIN($I382/$J382,$I382-SUM($K382:V382)),0),0)</f>
        <v>0</v>
      </c>
      <c r="X382" s="20">
        <f>IFERROR(IF($F382&lt;=X$9,MIN($I382/$J382,$I382-SUM($K382:W382)),0),0)</f>
        <v>0</v>
      </c>
      <c r="Y382" s="20">
        <f>IFERROR(IF($F382&lt;=Y$9,MIN($I382/$J382,$I382-SUM($K382:X382)),0),0)</f>
        <v>0</v>
      </c>
      <c r="Z382" s="20">
        <f>IFERROR(IF($F382&lt;=Z$9,MIN($I382/$J382,$I382-SUM($K382:Y382)),0),0)</f>
        <v>0</v>
      </c>
      <c r="AA382" s="20">
        <f>IFERROR(IF($F382&lt;=AA$9,MIN($I382/$J382,$I382-SUM($K382:Z382)),0),0)</f>
        <v>0</v>
      </c>
      <c r="AB382" s="20">
        <f>IFERROR(IF($F382&lt;=AB$9,MIN($I382/$J382,$I382-SUM($K382:AA382)),0),0)</f>
        <v>0</v>
      </c>
      <c r="AC382" s="20">
        <f>IFERROR(IF($F382&lt;=AC$9,MIN($I382/$J382,$I382-SUM($K382:AB382)),0),0)</f>
        <v>0</v>
      </c>
      <c r="AD382" s="20">
        <f>IFERROR(IF($F382&lt;=AD$9,MIN($I382/$J382,$I382-SUM($K382:AC382)),0),0)</f>
        <v>0</v>
      </c>
      <c r="AE382" s="20">
        <f>IFERROR(IF($F382&lt;=AE$9,MIN($I382/$J382,$I382-SUM($K382:AD382)),0),0)</f>
        <v>0</v>
      </c>
      <c r="AF382" s="20">
        <f>IFERROR(IF($F382&lt;=AF$9,MIN($I382/$J382,$I382-SUM($K382:AE382)),0),0)</f>
        <v>0</v>
      </c>
      <c r="AG382" s="20">
        <f>IFERROR(IF($F382&lt;=AG$9,MIN($I382/$J382,$I382-SUM($K382:AF382)),0),0)</f>
        <v>0</v>
      </c>
      <c r="AH382" s="20">
        <f>IFERROR(IF($F382&lt;=AH$9,MIN($I382/$J382,$I382-SUM($K382:AG382)),0),0)</f>
        <v>0</v>
      </c>
      <c r="AI382" s="20">
        <f>IFERROR(IF($F382&lt;=AI$9,MIN($I382/$J382,$I382-SUM($K382:AH382)),0),0)</f>
        <v>0</v>
      </c>
      <c r="AJ382" s="20">
        <f>IFERROR(IF($F382&lt;=AJ$9,MIN($I382/$J382,$I382-SUM($K382:AI382)),0),0)</f>
        <v>0</v>
      </c>
      <c r="AK382" s="20">
        <f>IFERROR(IF($F382&lt;=AK$9,MIN($I382/$J382,$I382-SUM($K382:AJ382)),0),0)</f>
        <v>0</v>
      </c>
      <c r="AL382" s="20">
        <f>IFERROR(IF($F382&lt;=AL$9,MIN($I382/$J382,$I382-SUM($K382:AK382)),0),0)</f>
        <v>0</v>
      </c>
      <c r="AM382" s="20">
        <f>IFERROR(IF($F382&lt;=AM$9,MIN($I382/$J382,$I382-SUM($K382:AL382)),0),0)</f>
        <v>0</v>
      </c>
      <c r="AN382" s="20">
        <f>IFERROR(IF($F382&lt;=AN$9,MIN($I382/$J382,$I382-SUM($K382:AM382)),0),0)</f>
        <v>0</v>
      </c>
      <c r="AO382" s="28"/>
    </row>
    <row r="383" spans="3:41" ht="14.4" customHeight="1" outlineLevel="1" x14ac:dyDescent="0.3">
      <c r="F383" s="69">
        <v>2030</v>
      </c>
      <c r="H383" s="26" t="s">
        <v>245</v>
      </c>
      <c r="I383" s="128">
        <v>0</v>
      </c>
      <c r="J383" s="117">
        <v>0</v>
      </c>
      <c r="K383" s="89">
        <v>0</v>
      </c>
      <c r="L383" s="20">
        <f>IFERROR(IF($F383&lt;=L$9,MIN($I383/$J383,$I383-SUM($K383:K383)),0),0)</f>
        <v>0</v>
      </c>
      <c r="M383" s="20">
        <f>IFERROR(IF($F383&lt;=M$9,MIN($I383/$J383,$I383-SUM($K383:L383)),0),0)</f>
        <v>0</v>
      </c>
      <c r="N383" s="20">
        <f>IFERROR(IF($F383&lt;=N$9,MIN($I383/$J383,$I383-SUM($K383:M383)),0),0)</f>
        <v>0</v>
      </c>
      <c r="O383" s="20">
        <f>IFERROR(IF($F383&lt;=O$9,MIN($I383/$J383,$I383-SUM($K383:N383)),0),0)</f>
        <v>0</v>
      </c>
      <c r="P383" s="20">
        <f>IFERROR(IF($F383&lt;=P$9,MIN($I383/$J383,$I383-SUM($K383:O383)),0),0)</f>
        <v>0</v>
      </c>
      <c r="Q383" s="20">
        <f>IFERROR(IF($F383&lt;=Q$9,MIN($I383/$J383,$I383-SUM($K383:P383)),0),0)</f>
        <v>0</v>
      </c>
      <c r="R383" s="20">
        <f>IFERROR(IF($F383&lt;=R$9,MIN($I383/$J383,$I383-SUM($K383:Q383)),0),0)</f>
        <v>0</v>
      </c>
      <c r="S383" s="20">
        <f>IFERROR(IF($F383&lt;=S$9,MIN($I383/$J383,$I383-SUM($K383:R383)),0),0)</f>
        <v>0</v>
      </c>
      <c r="T383" s="20">
        <f>IFERROR(IF($F383&lt;=T$9,MIN($I383/$J383,$I383-SUM($K383:S383)),0),0)</f>
        <v>0</v>
      </c>
      <c r="U383" s="20">
        <f>IFERROR(IF($F383&lt;=U$9,MIN($I383/$J383,$I383-SUM($K383:T383)),0),0)</f>
        <v>0</v>
      </c>
      <c r="V383" s="20">
        <f>IFERROR(IF($F383&lt;=V$9,MIN($I383/$J383,$I383-SUM($K383:U383)),0),0)</f>
        <v>0</v>
      </c>
      <c r="W383" s="20">
        <f>IFERROR(IF($F383&lt;=W$9,MIN($I383/$J383,$I383-SUM($K383:V383)),0),0)</f>
        <v>0</v>
      </c>
      <c r="X383" s="20">
        <f>IFERROR(IF($F383&lt;=X$9,MIN($I383/$J383,$I383-SUM($K383:W383)),0),0)</f>
        <v>0</v>
      </c>
      <c r="Y383" s="20">
        <f>IFERROR(IF($F383&lt;=Y$9,MIN($I383/$J383,$I383-SUM($K383:X383)),0),0)</f>
        <v>0</v>
      </c>
      <c r="Z383" s="20">
        <f>IFERROR(IF($F383&lt;=Z$9,MIN($I383/$J383,$I383-SUM($K383:Y383)),0),0)</f>
        <v>0</v>
      </c>
      <c r="AA383" s="20">
        <f>IFERROR(IF($F383&lt;=AA$9,MIN($I383/$J383,$I383-SUM($K383:Z383)),0),0)</f>
        <v>0</v>
      </c>
      <c r="AB383" s="20">
        <f>IFERROR(IF($F383&lt;=AB$9,MIN($I383/$J383,$I383-SUM($K383:AA383)),0),0)</f>
        <v>0</v>
      </c>
      <c r="AC383" s="20">
        <f>IFERROR(IF($F383&lt;=AC$9,MIN($I383/$J383,$I383-SUM($K383:AB383)),0),0)</f>
        <v>0</v>
      </c>
      <c r="AD383" s="20">
        <f>IFERROR(IF($F383&lt;=AD$9,MIN($I383/$J383,$I383-SUM($K383:AC383)),0),0)</f>
        <v>0</v>
      </c>
      <c r="AE383" s="20">
        <f>IFERROR(IF($F383&lt;=AE$9,MIN($I383/$J383,$I383-SUM($K383:AD383)),0),0)</f>
        <v>0</v>
      </c>
      <c r="AF383" s="20">
        <f>IFERROR(IF($F383&lt;=AF$9,MIN($I383/$J383,$I383-SUM($K383:AE383)),0),0)</f>
        <v>0</v>
      </c>
      <c r="AG383" s="20">
        <f>IFERROR(IF($F383&lt;=AG$9,MIN($I383/$J383,$I383-SUM($K383:AF383)),0),0)</f>
        <v>0</v>
      </c>
      <c r="AH383" s="20">
        <f>IFERROR(IF($F383&lt;=AH$9,MIN($I383/$J383,$I383-SUM($K383:AG383)),0),0)</f>
        <v>0</v>
      </c>
      <c r="AI383" s="20">
        <f>IFERROR(IF($F383&lt;=AI$9,MIN($I383/$J383,$I383-SUM($K383:AH383)),0),0)</f>
        <v>0</v>
      </c>
      <c r="AJ383" s="20">
        <f>IFERROR(IF($F383&lt;=AJ$9,MIN($I383/$J383,$I383-SUM($K383:AI383)),0),0)</f>
        <v>0</v>
      </c>
      <c r="AK383" s="20">
        <f>IFERROR(IF($F383&lt;=AK$9,MIN($I383/$J383,$I383-SUM($K383:AJ383)),0),0)</f>
        <v>0</v>
      </c>
      <c r="AL383" s="20">
        <f>IFERROR(IF($F383&lt;=AL$9,MIN($I383/$J383,$I383-SUM($K383:AK383)),0),0)</f>
        <v>0</v>
      </c>
      <c r="AM383" s="20">
        <f>IFERROR(IF($F383&lt;=AM$9,MIN($I383/$J383,$I383-SUM($K383:AL383)),0),0)</f>
        <v>0</v>
      </c>
      <c r="AN383" s="20">
        <f>IFERROR(IF($F383&lt;=AN$9,MIN($I383/$J383,$I383-SUM($K383:AM383)),0),0)</f>
        <v>0</v>
      </c>
      <c r="AO383" s="28"/>
    </row>
    <row r="384" spans="3:41" ht="14.4" customHeight="1" outlineLevel="1" x14ac:dyDescent="0.3">
      <c r="F384" s="69">
        <v>2031</v>
      </c>
      <c r="H384" s="26" t="s">
        <v>245</v>
      </c>
      <c r="I384" s="128">
        <v>0</v>
      </c>
      <c r="J384" s="117">
        <v>0</v>
      </c>
      <c r="K384" s="89">
        <v>0</v>
      </c>
      <c r="L384" s="20">
        <f>IFERROR(IF($F384&lt;=L$9,MIN($I384/$J384,$I384-SUM($K384:K384)),0),0)</f>
        <v>0</v>
      </c>
      <c r="M384" s="20">
        <f>IFERROR(IF($F384&lt;=M$9,MIN($I384/$J384,$I384-SUM($K384:L384)),0),0)</f>
        <v>0</v>
      </c>
      <c r="N384" s="20">
        <f>IFERROR(IF($F384&lt;=N$9,MIN($I384/$J384,$I384-SUM($K384:M384)),0),0)</f>
        <v>0</v>
      </c>
      <c r="O384" s="20">
        <f>IFERROR(IF($F384&lt;=O$9,MIN($I384/$J384,$I384-SUM($K384:N384)),0),0)</f>
        <v>0</v>
      </c>
      <c r="P384" s="20">
        <f>IFERROR(IF($F384&lt;=P$9,MIN($I384/$J384,$I384-SUM($K384:O384)),0),0)</f>
        <v>0</v>
      </c>
      <c r="Q384" s="20">
        <f>IFERROR(IF($F384&lt;=Q$9,MIN($I384/$J384,$I384-SUM($K384:P384)),0),0)</f>
        <v>0</v>
      </c>
      <c r="R384" s="20">
        <f>IFERROR(IF($F384&lt;=R$9,MIN($I384/$J384,$I384-SUM($K384:Q384)),0),0)</f>
        <v>0</v>
      </c>
      <c r="S384" s="20">
        <f>IFERROR(IF($F384&lt;=S$9,MIN($I384/$J384,$I384-SUM($K384:R384)),0),0)</f>
        <v>0</v>
      </c>
      <c r="T384" s="20">
        <f>IFERROR(IF($F384&lt;=T$9,MIN($I384/$J384,$I384-SUM($K384:S384)),0),0)</f>
        <v>0</v>
      </c>
      <c r="U384" s="20">
        <f>IFERROR(IF($F384&lt;=U$9,MIN($I384/$J384,$I384-SUM($K384:T384)),0),0)</f>
        <v>0</v>
      </c>
      <c r="V384" s="20">
        <f>IFERROR(IF($F384&lt;=V$9,MIN($I384/$J384,$I384-SUM($K384:U384)),0),0)</f>
        <v>0</v>
      </c>
      <c r="W384" s="20">
        <f>IFERROR(IF($F384&lt;=W$9,MIN($I384/$J384,$I384-SUM($K384:V384)),0),0)</f>
        <v>0</v>
      </c>
      <c r="X384" s="20">
        <f>IFERROR(IF($F384&lt;=X$9,MIN($I384/$J384,$I384-SUM($K384:W384)),0),0)</f>
        <v>0</v>
      </c>
      <c r="Y384" s="20">
        <f>IFERROR(IF($F384&lt;=Y$9,MIN($I384/$J384,$I384-SUM($K384:X384)),0),0)</f>
        <v>0</v>
      </c>
      <c r="Z384" s="20">
        <f>IFERROR(IF($F384&lt;=Z$9,MIN($I384/$J384,$I384-SUM($K384:Y384)),0),0)</f>
        <v>0</v>
      </c>
      <c r="AA384" s="20">
        <f>IFERROR(IF($F384&lt;=AA$9,MIN($I384/$J384,$I384-SUM($K384:Z384)),0),0)</f>
        <v>0</v>
      </c>
      <c r="AB384" s="20">
        <f>IFERROR(IF($F384&lt;=AB$9,MIN($I384/$J384,$I384-SUM($K384:AA384)),0),0)</f>
        <v>0</v>
      </c>
      <c r="AC384" s="20">
        <f>IFERROR(IF($F384&lt;=AC$9,MIN($I384/$J384,$I384-SUM($K384:AB384)),0),0)</f>
        <v>0</v>
      </c>
      <c r="AD384" s="20">
        <f>IFERROR(IF($F384&lt;=AD$9,MIN($I384/$J384,$I384-SUM($K384:AC384)),0),0)</f>
        <v>0</v>
      </c>
      <c r="AE384" s="20">
        <f>IFERROR(IF($F384&lt;=AE$9,MIN($I384/$J384,$I384-SUM($K384:AD384)),0),0)</f>
        <v>0</v>
      </c>
      <c r="AF384" s="20">
        <f>IFERROR(IF($F384&lt;=AF$9,MIN($I384/$J384,$I384-SUM($K384:AE384)),0),0)</f>
        <v>0</v>
      </c>
      <c r="AG384" s="20">
        <f>IFERROR(IF($F384&lt;=AG$9,MIN($I384/$J384,$I384-SUM($K384:AF384)),0),0)</f>
        <v>0</v>
      </c>
      <c r="AH384" s="20">
        <f>IFERROR(IF($F384&lt;=AH$9,MIN($I384/$J384,$I384-SUM($K384:AG384)),0),0)</f>
        <v>0</v>
      </c>
      <c r="AI384" s="20">
        <f>IFERROR(IF($F384&lt;=AI$9,MIN($I384/$J384,$I384-SUM($K384:AH384)),0),0)</f>
        <v>0</v>
      </c>
      <c r="AJ384" s="20">
        <f>IFERROR(IF($F384&lt;=AJ$9,MIN($I384/$J384,$I384-SUM($K384:AI384)),0),0)</f>
        <v>0</v>
      </c>
      <c r="AK384" s="20">
        <f>IFERROR(IF($F384&lt;=AK$9,MIN($I384/$J384,$I384-SUM($K384:AJ384)),0),0)</f>
        <v>0</v>
      </c>
      <c r="AL384" s="20">
        <f>IFERROR(IF($F384&lt;=AL$9,MIN($I384/$J384,$I384-SUM($K384:AK384)),0),0)</f>
        <v>0</v>
      </c>
      <c r="AM384" s="20">
        <f>IFERROR(IF($F384&lt;=AM$9,MIN($I384/$J384,$I384-SUM($K384:AL384)),0),0)</f>
        <v>0</v>
      </c>
      <c r="AN384" s="20">
        <f>IFERROR(IF($F384&lt;=AN$9,MIN($I384/$J384,$I384-SUM($K384:AM384)),0),0)</f>
        <v>0</v>
      </c>
      <c r="AO384" s="28"/>
    </row>
    <row r="385" spans="6:41" ht="14.4" customHeight="1" outlineLevel="1" x14ac:dyDescent="0.3">
      <c r="F385" s="69">
        <v>2032</v>
      </c>
      <c r="H385" s="26" t="s">
        <v>245</v>
      </c>
      <c r="I385" s="128">
        <v>0</v>
      </c>
      <c r="J385" s="117">
        <v>0</v>
      </c>
      <c r="K385" s="89">
        <v>0</v>
      </c>
      <c r="L385" s="20">
        <f>IFERROR(IF($F385&lt;=L$9,MIN($I385/$J385,$I385-SUM($K385:K385)),0),0)</f>
        <v>0</v>
      </c>
      <c r="M385" s="20">
        <f>IFERROR(IF($F385&lt;=M$9,MIN($I385/$J385,$I385-SUM($K385:L385)),0),0)</f>
        <v>0</v>
      </c>
      <c r="N385" s="20">
        <f>IFERROR(IF($F385&lt;=N$9,MIN($I385/$J385,$I385-SUM($K385:M385)),0),0)</f>
        <v>0</v>
      </c>
      <c r="O385" s="20">
        <f>IFERROR(IF($F385&lt;=O$9,MIN($I385/$J385,$I385-SUM($K385:N385)),0),0)</f>
        <v>0</v>
      </c>
      <c r="P385" s="20">
        <f>IFERROR(IF($F385&lt;=P$9,MIN($I385/$J385,$I385-SUM($K385:O385)),0),0)</f>
        <v>0</v>
      </c>
      <c r="Q385" s="20">
        <f>IFERROR(IF($F385&lt;=Q$9,MIN($I385/$J385,$I385-SUM($K385:P385)),0),0)</f>
        <v>0</v>
      </c>
      <c r="R385" s="20">
        <f>IFERROR(IF($F385&lt;=R$9,MIN($I385/$J385,$I385-SUM($K385:Q385)),0),0)</f>
        <v>0</v>
      </c>
      <c r="S385" s="20">
        <f>IFERROR(IF($F385&lt;=S$9,MIN($I385/$J385,$I385-SUM($K385:R385)),0),0)</f>
        <v>0</v>
      </c>
      <c r="T385" s="20">
        <f>IFERROR(IF($F385&lt;=T$9,MIN($I385/$J385,$I385-SUM($K385:S385)),0),0)</f>
        <v>0</v>
      </c>
      <c r="U385" s="20">
        <f>IFERROR(IF($F385&lt;=U$9,MIN($I385/$J385,$I385-SUM($K385:T385)),0),0)</f>
        <v>0</v>
      </c>
      <c r="V385" s="20">
        <f>IFERROR(IF($F385&lt;=V$9,MIN($I385/$J385,$I385-SUM($K385:U385)),0),0)</f>
        <v>0</v>
      </c>
      <c r="W385" s="20">
        <f>IFERROR(IF($F385&lt;=W$9,MIN($I385/$J385,$I385-SUM($K385:V385)),0),0)</f>
        <v>0</v>
      </c>
      <c r="X385" s="20">
        <f>IFERROR(IF($F385&lt;=X$9,MIN($I385/$J385,$I385-SUM($K385:W385)),0),0)</f>
        <v>0</v>
      </c>
      <c r="Y385" s="20">
        <f>IFERROR(IF($F385&lt;=Y$9,MIN($I385/$J385,$I385-SUM($K385:X385)),0),0)</f>
        <v>0</v>
      </c>
      <c r="Z385" s="20">
        <f>IFERROR(IF($F385&lt;=Z$9,MIN($I385/$J385,$I385-SUM($K385:Y385)),0),0)</f>
        <v>0</v>
      </c>
      <c r="AA385" s="20">
        <f>IFERROR(IF($F385&lt;=AA$9,MIN($I385/$J385,$I385-SUM($K385:Z385)),0),0)</f>
        <v>0</v>
      </c>
      <c r="AB385" s="20">
        <f>IFERROR(IF($F385&lt;=AB$9,MIN($I385/$J385,$I385-SUM($K385:AA385)),0),0)</f>
        <v>0</v>
      </c>
      <c r="AC385" s="20">
        <f>IFERROR(IF($F385&lt;=AC$9,MIN($I385/$J385,$I385-SUM($K385:AB385)),0),0)</f>
        <v>0</v>
      </c>
      <c r="AD385" s="20">
        <f>IFERROR(IF($F385&lt;=AD$9,MIN($I385/$J385,$I385-SUM($K385:AC385)),0),0)</f>
        <v>0</v>
      </c>
      <c r="AE385" s="20">
        <f>IFERROR(IF($F385&lt;=AE$9,MIN($I385/$J385,$I385-SUM($K385:AD385)),0),0)</f>
        <v>0</v>
      </c>
      <c r="AF385" s="20">
        <f>IFERROR(IF($F385&lt;=AF$9,MIN($I385/$J385,$I385-SUM($K385:AE385)),0),0)</f>
        <v>0</v>
      </c>
      <c r="AG385" s="20">
        <f>IFERROR(IF($F385&lt;=AG$9,MIN($I385/$J385,$I385-SUM($K385:AF385)),0),0)</f>
        <v>0</v>
      </c>
      <c r="AH385" s="20">
        <f>IFERROR(IF($F385&lt;=AH$9,MIN($I385/$J385,$I385-SUM($K385:AG385)),0),0)</f>
        <v>0</v>
      </c>
      <c r="AI385" s="20">
        <f>IFERROR(IF($F385&lt;=AI$9,MIN($I385/$J385,$I385-SUM($K385:AH385)),0),0)</f>
        <v>0</v>
      </c>
      <c r="AJ385" s="20">
        <f>IFERROR(IF($F385&lt;=AJ$9,MIN($I385/$J385,$I385-SUM($K385:AI385)),0),0)</f>
        <v>0</v>
      </c>
      <c r="AK385" s="20">
        <f>IFERROR(IF($F385&lt;=AK$9,MIN($I385/$J385,$I385-SUM($K385:AJ385)),0),0)</f>
        <v>0</v>
      </c>
      <c r="AL385" s="20">
        <f>IFERROR(IF($F385&lt;=AL$9,MIN($I385/$J385,$I385-SUM($K385:AK385)),0),0)</f>
        <v>0</v>
      </c>
      <c r="AM385" s="20">
        <f>IFERROR(IF($F385&lt;=AM$9,MIN($I385/$J385,$I385-SUM($K385:AL385)),0),0)</f>
        <v>0</v>
      </c>
      <c r="AN385" s="20">
        <f>IFERROR(IF($F385&lt;=AN$9,MIN($I385/$J385,$I385-SUM($K385:AM385)),0),0)</f>
        <v>0</v>
      </c>
      <c r="AO385" s="28"/>
    </row>
    <row r="386" spans="6:41" ht="14.4" customHeight="1" outlineLevel="1" x14ac:dyDescent="0.3">
      <c r="F386" s="69">
        <v>2033</v>
      </c>
      <c r="H386" s="26" t="s">
        <v>245</v>
      </c>
      <c r="I386" s="128">
        <v>0</v>
      </c>
      <c r="J386" s="117">
        <v>0</v>
      </c>
      <c r="K386" s="89">
        <v>0</v>
      </c>
      <c r="L386" s="20">
        <f>IFERROR(IF($F386&lt;=L$9,MIN($I386/$J386,$I386-SUM($K386:K386)),0),0)</f>
        <v>0</v>
      </c>
      <c r="M386" s="20">
        <f>IFERROR(IF($F386&lt;=M$9,MIN($I386/$J386,$I386-SUM($K386:L386)),0),0)</f>
        <v>0</v>
      </c>
      <c r="N386" s="20">
        <f>IFERROR(IF($F386&lt;=N$9,MIN($I386/$J386,$I386-SUM($K386:M386)),0),0)</f>
        <v>0</v>
      </c>
      <c r="O386" s="20">
        <f>IFERROR(IF($F386&lt;=O$9,MIN($I386/$J386,$I386-SUM($K386:N386)),0),0)</f>
        <v>0</v>
      </c>
      <c r="P386" s="20">
        <f>IFERROR(IF($F386&lt;=P$9,MIN($I386/$J386,$I386-SUM($K386:O386)),0),0)</f>
        <v>0</v>
      </c>
      <c r="Q386" s="20">
        <f>IFERROR(IF($F386&lt;=Q$9,MIN($I386/$J386,$I386-SUM($K386:P386)),0),0)</f>
        <v>0</v>
      </c>
      <c r="R386" s="20">
        <f>IFERROR(IF($F386&lt;=R$9,MIN($I386/$J386,$I386-SUM($K386:Q386)),0),0)</f>
        <v>0</v>
      </c>
      <c r="S386" s="20">
        <f>IFERROR(IF($F386&lt;=S$9,MIN($I386/$J386,$I386-SUM($K386:R386)),0),0)</f>
        <v>0</v>
      </c>
      <c r="T386" s="20">
        <f>IFERROR(IF($F386&lt;=T$9,MIN($I386/$J386,$I386-SUM($K386:S386)),0),0)</f>
        <v>0</v>
      </c>
      <c r="U386" s="20">
        <f>IFERROR(IF($F386&lt;=U$9,MIN($I386/$J386,$I386-SUM($K386:T386)),0),0)</f>
        <v>0</v>
      </c>
      <c r="V386" s="20">
        <f>IFERROR(IF($F386&lt;=V$9,MIN($I386/$J386,$I386-SUM($K386:U386)),0),0)</f>
        <v>0</v>
      </c>
      <c r="W386" s="20">
        <f>IFERROR(IF($F386&lt;=W$9,MIN($I386/$J386,$I386-SUM($K386:V386)),0),0)</f>
        <v>0</v>
      </c>
      <c r="X386" s="20">
        <f>IFERROR(IF($F386&lt;=X$9,MIN($I386/$J386,$I386-SUM($K386:W386)),0),0)</f>
        <v>0</v>
      </c>
      <c r="Y386" s="20">
        <f>IFERROR(IF($F386&lt;=Y$9,MIN($I386/$J386,$I386-SUM($K386:X386)),0),0)</f>
        <v>0</v>
      </c>
      <c r="Z386" s="20">
        <f>IFERROR(IF($F386&lt;=Z$9,MIN($I386/$J386,$I386-SUM($K386:Y386)),0),0)</f>
        <v>0</v>
      </c>
      <c r="AA386" s="20">
        <f>IFERROR(IF($F386&lt;=AA$9,MIN($I386/$J386,$I386-SUM($K386:Z386)),0),0)</f>
        <v>0</v>
      </c>
      <c r="AB386" s="20">
        <f>IFERROR(IF($F386&lt;=AB$9,MIN($I386/$J386,$I386-SUM($K386:AA386)),0),0)</f>
        <v>0</v>
      </c>
      <c r="AC386" s="20">
        <f>IFERROR(IF($F386&lt;=AC$9,MIN($I386/$J386,$I386-SUM($K386:AB386)),0),0)</f>
        <v>0</v>
      </c>
      <c r="AD386" s="20">
        <f>IFERROR(IF($F386&lt;=AD$9,MIN($I386/$J386,$I386-SUM($K386:AC386)),0),0)</f>
        <v>0</v>
      </c>
      <c r="AE386" s="20">
        <f>IFERROR(IF($F386&lt;=AE$9,MIN($I386/$J386,$I386-SUM($K386:AD386)),0),0)</f>
        <v>0</v>
      </c>
      <c r="AF386" s="20">
        <f>IFERROR(IF($F386&lt;=AF$9,MIN($I386/$J386,$I386-SUM($K386:AE386)),0),0)</f>
        <v>0</v>
      </c>
      <c r="AG386" s="20">
        <f>IFERROR(IF($F386&lt;=AG$9,MIN($I386/$J386,$I386-SUM($K386:AF386)),0),0)</f>
        <v>0</v>
      </c>
      <c r="AH386" s="20">
        <f>IFERROR(IF($F386&lt;=AH$9,MIN($I386/$J386,$I386-SUM($K386:AG386)),0),0)</f>
        <v>0</v>
      </c>
      <c r="AI386" s="20">
        <f>IFERROR(IF($F386&lt;=AI$9,MIN($I386/$J386,$I386-SUM($K386:AH386)),0),0)</f>
        <v>0</v>
      </c>
      <c r="AJ386" s="20">
        <f>IFERROR(IF($F386&lt;=AJ$9,MIN($I386/$J386,$I386-SUM($K386:AI386)),0),0)</f>
        <v>0</v>
      </c>
      <c r="AK386" s="20">
        <f>IFERROR(IF($F386&lt;=AK$9,MIN($I386/$J386,$I386-SUM($K386:AJ386)),0),0)</f>
        <v>0</v>
      </c>
      <c r="AL386" s="20">
        <f>IFERROR(IF($F386&lt;=AL$9,MIN($I386/$J386,$I386-SUM($K386:AK386)),0),0)</f>
        <v>0</v>
      </c>
      <c r="AM386" s="20">
        <f>IFERROR(IF($F386&lt;=AM$9,MIN($I386/$J386,$I386-SUM($K386:AL386)),0),0)</f>
        <v>0</v>
      </c>
      <c r="AN386" s="20">
        <f>IFERROR(IF($F386&lt;=AN$9,MIN($I386/$J386,$I386-SUM($K386:AM386)),0),0)</f>
        <v>0</v>
      </c>
      <c r="AO386" s="28"/>
    </row>
    <row r="387" spans="6:41" ht="14.4" customHeight="1" outlineLevel="1" x14ac:dyDescent="0.3">
      <c r="F387" s="69">
        <v>2034</v>
      </c>
      <c r="H387" s="26" t="s">
        <v>245</v>
      </c>
      <c r="I387" s="128">
        <v>22.203664273775168</v>
      </c>
      <c r="J387" s="117">
        <v>2</v>
      </c>
      <c r="K387" s="89">
        <v>0</v>
      </c>
      <c r="L387" s="20">
        <f>IFERROR(IF($F387&lt;=L$9,MIN($I387/$J387,$I387-SUM($K387:K387)),0),0)</f>
        <v>0</v>
      </c>
      <c r="M387" s="20">
        <f>IFERROR(IF($F387&lt;=M$9,MIN($I387/$J387,$I387-SUM($K387:L387)),0),0)</f>
        <v>0</v>
      </c>
      <c r="N387" s="20">
        <f>IFERROR(IF($F387&lt;=N$9,MIN($I387/$J387,$I387-SUM($K387:M387)),0),0)</f>
        <v>0</v>
      </c>
      <c r="O387" s="20">
        <f>IFERROR(IF($F387&lt;=O$9,MIN($I387/$J387,$I387-SUM($K387:N387)),0),0)</f>
        <v>0</v>
      </c>
      <c r="P387" s="20">
        <f>IFERROR(IF($F387&lt;=P$9,MIN($I387/$J387,$I387-SUM($K387:O387)),0),0)</f>
        <v>0</v>
      </c>
      <c r="Q387" s="20">
        <f>IFERROR(IF($F387&lt;=Q$9,MIN($I387/$J387,$I387-SUM($K387:P387)),0),0)</f>
        <v>0</v>
      </c>
      <c r="R387" s="20">
        <f>IFERROR(IF($F387&lt;=R$9,MIN($I387/$J387,$I387-SUM($K387:Q387)),0),0)</f>
        <v>0</v>
      </c>
      <c r="S387" s="20">
        <f>IFERROR(IF($F387&lt;=S$9,MIN($I387/$J387,$I387-SUM($K387:R387)),0),0)</f>
        <v>0</v>
      </c>
      <c r="T387" s="20">
        <f>IFERROR(IF($F387&lt;=T$9,MIN($I387/$J387,$I387-SUM($K387:S387)),0),0)</f>
        <v>0</v>
      </c>
      <c r="U387" s="20">
        <f>IFERROR(IF($F387&lt;=U$9,MIN($I387/$J387,$I387-SUM($K387:T387)),0),0)</f>
        <v>0</v>
      </c>
      <c r="V387" s="20">
        <f>IFERROR(IF($F387&lt;=V$9,MIN($I387/$J387,$I387-SUM($K387:U387)),0),0)</f>
        <v>11.101832136887584</v>
      </c>
      <c r="W387" s="20">
        <f>IFERROR(IF($F387&lt;=W$9,MIN($I387/$J387,$I387-SUM($K387:V387)),0),0)</f>
        <v>11.101832136887584</v>
      </c>
      <c r="X387" s="20">
        <f>IFERROR(IF($F387&lt;=X$9,MIN($I387/$J387,$I387-SUM($K387:W387)),0),0)</f>
        <v>0</v>
      </c>
      <c r="Y387" s="20">
        <f>IFERROR(IF($F387&lt;=Y$9,MIN($I387/$J387,$I387-SUM($K387:X387)),0),0)</f>
        <v>0</v>
      </c>
      <c r="Z387" s="20">
        <f>IFERROR(IF($F387&lt;=Z$9,MIN($I387/$J387,$I387-SUM($K387:Y387)),0),0)</f>
        <v>0</v>
      </c>
      <c r="AA387" s="20">
        <f>IFERROR(IF($F387&lt;=AA$9,MIN($I387/$J387,$I387-SUM($K387:Z387)),0),0)</f>
        <v>0</v>
      </c>
      <c r="AB387" s="20">
        <f>IFERROR(IF($F387&lt;=AB$9,MIN($I387/$J387,$I387-SUM($K387:AA387)),0),0)</f>
        <v>0</v>
      </c>
      <c r="AC387" s="20">
        <f>IFERROR(IF($F387&lt;=AC$9,MIN($I387/$J387,$I387-SUM($K387:AB387)),0),0)</f>
        <v>0</v>
      </c>
      <c r="AD387" s="20">
        <f>IFERROR(IF($F387&lt;=AD$9,MIN($I387/$J387,$I387-SUM($K387:AC387)),0),0)</f>
        <v>0</v>
      </c>
      <c r="AE387" s="20">
        <f>IFERROR(IF($F387&lt;=AE$9,MIN($I387/$J387,$I387-SUM($K387:AD387)),0),0)</f>
        <v>0</v>
      </c>
      <c r="AF387" s="20">
        <f>IFERROR(IF($F387&lt;=AF$9,MIN($I387/$J387,$I387-SUM($K387:AE387)),0),0)</f>
        <v>0</v>
      </c>
      <c r="AG387" s="20">
        <f>IFERROR(IF($F387&lt;=AG$9,MIN($I387/$J387,$I387-SUM($K387:AF387)),0),0)</f>
        <v>0</v>
      </c>
      <c r="AH387" s="20">
        <f>IFERROR(IF($F387&lt;=AH$9,MIN($I387/$J387,$I387-SUM($K387:AG387)),0),0)</f>
        <v>0</v>
      </c>
      <c r="AI387" s="20">
        <f>IFERROR(IF($F387&lt;=AI$9,MIN($I387/$J387,$I387-SUM($K387:AH387)),0),0)</f>
        <v>0</v>
      </c>
      <c r="AJ387" s="20">
        <f>IFERROR(IF($F387&lt;=AJ$9,MIN($I387/$J387,$I387-SUM($K387:AI387)),0),0)</f>
        <v>0</v>
      </c>
      <c r="AK387" s="20">
        <f>IFERROR(IF($F387&lt;=AK$9,MIN($I387/$J387,$I387-SUM($K387:AJ387)),0),0)</f>
        <v>0</v>
      </c>
      <c r="AL387" s="20">
        <f>IFERROR(IF($F387&lt;=AL$9,MIN($I387/$J387,$I387-SUM($K387:AK387)),0),0)</f>
        <v>0</v>
      </c>
      <c r="AM387" s="20">
        <f>IFERROR(IF($F387&lt;=AM$9,MIN($I387/$J387,$I387-SUM($K387:AL387)),0),0)</f>
        <v>0</v>
      </c>
      <c r="AN387" s="20">
        <f>IFERROR(IF($F387&lt;=AN$9,MIN($I387/$J387,$I387-SUM($K387:AM387)),0),0)</f>
        <v>0</v>
      </c>
      <c r="AO387" s="28"/>
    </row>
    <row r="388" spans="6:41" ht="14.4" customHeight="1" outlineLevel="1" x14ac:dyDescent="0.3">
      <c r="F388" s="69">
        <v>2035</v>
      </c>
      <c r="H388" s="26" t="s">
        <v>245</v>
      </c>
      <c r="I388" s="128">
        <v>0</v>
      </c>
      <c r="J388" s="117">
        <v>0</v>
      </c>
      <c r="K388" s="89">
        <v>0</v>
      </c>
      <c r="L388" s="20">
        <f>IFERROR(IF($F388&lt;=L$9,MIN($I388/$J388,$I388-SUM($K388:K388)),0),0)</f>
        <v>0</v>
      </c>
      <c r="M388" s="20">
        <f>IFERROR(IF($F388&lt;=M$9,MIN($I388/$J388,$I388-SUM($K388:L388)),0),0)</f>
        <v>0</v>
      </c>
      <c r="N388" s="20">
        <f>IFERROR(IF($F388&lt;=N$9,MIN($I388/$J388,$I388-SUM($K388:M388)),0),0)</f>
        <v>0</v>
      </c>
      <c r="O388" s="20">
        <f>IFERROR(IF($F388&lt;=O$9,MIN($I388/$J388,$I388-SUM($K388:N388)),0),0)</f>
        <v>0</v>
      </c>
      <c r="P388" s="20">
        <f>IFERROR(IF($F388&lt;=P$9,MIN($I388/$J388,$I388-SUM($K388:O388)),0),0)</f>
        <v>0</v>
      </c>
      <c r="Q388" s="20">
        <f>IFERROR(IF($F388&lt;=Q$9,MIN($I388/$J388,$I388-SUM($K388:P388)),0),0)</f>
        <v>0</v>
      </c>
      <c r="R388" s="20">
        <f>IFERROR(IF($F388&lt;=R$9,MIN($I388/$J388,$I388-SUM($K388:Q388)),0),0)</f>
        <v>0</v>
      </c>
      <c r="S388" s="20">
        <f>IFERROR(IF($F388&lt;=S$9,MIN($I388/$J388,$I388-SUM($K388:R388)),0),0)</f>
        <v>0</v>
      </c>
      <c r="T388" s="20">
        <f>IFERROR(IF($F388&lt;=T$9,MIN($I388/$J388,$I388-SUM($K388:S388)),0),0)</f>
        <v>0</v>
      </c>
      <c r="U388" s="20">
        <f>IFERROR(IF($F388&lt;=U$9,MIN($I388/$J388,$I388-SUM($K388:T388)),0),0)</f>
        <v>0</v>
      </c>
      <c r="V388" s="20">
        <f>IFERROR(IF($F388&lt;=V$9,MIN($I388/$J388,$I388-SUM($K388:U388)),0),0)</f>
        <v>0</v>
      </c>
      <c r="W388" s="20">
        <f>IFERROR(IF($F388&lt;=W$9,MIN($I388/$J388,$I388-SUM($K388:V388)),0),0)</f>
        <v>0</v>
      </c>
      <c r="X388" s="20">
        <f>IFERROR(IF($F388&lt;=X$9,MIN($I388/$J388,$I388-SUM($K388:W388)),0),0)</f>
        <v>0</v>
      </c>
      <c r="Y388" s="20">
        <f>IFERROR(IF($F388&lt;=Y$9,MIN($I388/$J388,$I388-SUM($K388:X388)),0),0)</f>
        <v>0</v>
      </c>
      <c r="Z388" s="20">
        <f>IFERROR(IF($F388&lt;=Z$9,MIN($I388/$J388,$I388-SUM($K388:Y388)),0),0)</f>
        <v>0</v>
      </c>
      <c r="AA388" s="20">
        <f>IFERROR(IF($F388&lt;=AA$9,MIN($I388/$J388,$I388-SUM($K388:Z388)),0),0)</f>
        <v>0</v>
      </c>
      <c r="AB388" s="20">
        <f>IFERROR(IF($F388&lt;=AB$9,MIN($I388/$J388,$I388-SUM($K388:AA388)),0),0)</f>
        <v>0</v>
      </c>
      <c r="AC388" s="20">
        <f>IFERROR(IF($F388&lt;=AC$9,MIN($I388/$J388,$I388-SUM($K388:AB388)),0),0)</f>
        <v>0</v>
      </c>
      <c r="AD388" s="20">
        <f>IFERROR(IF($F388&lt;=AD$9,MIN($I388/$J388,$I388-SUM($K388:AC388)),0),0)</f>
        <v>0</v>
      </c>
      <c r="AE388" s="20">
        <f>IFERROR(IF($F388&lt;=AE$9,MIN($I388/$J388,$I388-SUM($K388:AD388)),0),0)</f>
        <v>0</v>
      </c>
      <c r="AF388" s="20">
        <f>IFERROR(IF($F388&lt;=AF$9,MIN($I388/$J388,$I388-SUM($K388:AE388)),0),0)</f>
        <v>0</v>
      </c>
      <c r="AG388" s="20">
        <f>IFERROR(IF($F388&lt;=AG$9,MIN($I388/$J388,$I388-SUM($K388:AF388)),0),0)</f>
        <v>0</v>
      </c>
      <c r="AH388" s="20">
        <f>IFERROR(IF($F388&lt;=AH$9,MIN($I388/$J388,$I388-SUM($K388:AG388)),0),0)</f>
        <v>0</v>
      </c>
      <c r="AI388" s="20">
        <f>IFERROR(IF($F388&lt;=AI$9,MIN($I388/$J388,$I388-SUM($K388:AH388)),0),0)</f>
        <v>0</v>
      </c>
      <c r="AJ388" s="20">
        <f>IFERROR(IF($F388&lt;=AJ$9,MIN($I388/$J388,$I388-SUM($K388:AI388)),0),0)</f>
        <v>0</v>
      </c>
      <c r="AK388" s="20">
        <f>IFERROR(IF($F388&lt;=AK$9,MIN($I388/$J388,$I388-SUM($K388:AJ388)),0),0)</f>
        <v>0</v>
      </c>
      <c r="AL388" s="20">
        <f>IFERROR(IF($F388&lt;=AL$9,MIN($I388/$J388,$I388-SUM($K388:AK388)),0),0)</f>
        <v>0</v>
      </c>
      <c r="AM388" s="20">
        <f>IFERROR(IF($F388&lt;=AM$9,MIN($I388/$J388,$I388-SUM($K388:AL388)),0),0)</f>
        <v>0</v>
      </c>
      <c r="AN388" s="20">
        <f>IFERROR(IF($F388&lt;=AN$9,MIN($I388/$J388,$I388-SUM($K388:AM388)),0),0)</f>
        <v>0</v>
      </c>
      <c r="AO388" s="28"/>
    </row>
    <row r="389" spans="6:41" ht="14.4" customHeight="1" outlineLevel="1" x14ac:dyDescent="0.3">
      <c r="F389" s="69">
        <v>2036</v>
      </c>
      <c r="H389" s="26" t="s">
        <v>245</v>
      </c>
      <c r="I389" s="128">
        <v>24.015483278515227</v>
      </c>
      <c r="J389" s="117">
        <v>5</v>
      </c>
      <c r="K389" s="89">
        <v>0</v>
      </c>
      <c r="L389" s="20">
        <f>IFERROR(IF($F389&lt;=L$9,MIN($I389/$J389,$I389-SUM($K389:K389)),0),0)</f>
        <v>0</v>
      </c>
      <c r="M389" s="20">
        <f>IFERROR(IF($F389&lt;=M$9,MIN($I389/$J389,$I389-SUM($K389:L389)),0),0)</f>
        <v>0</v>
      </c>
      <c r="N389" s="20">
        <f>IFERROR(IF($F389&lt;=N$9,MIN($I389/$J389,$I389-SUM($K389:M389)),0),0)</f>
        <v>0</v>
      </c>
      <c r="O389" s="20">
        <f>IFERROR(IF($F389&lt;=O$9,MIN($I389/$J389,$I389-SUM($K389:N389)),0),0)</f>
        <v>0</v>
      </c>
      <c r="P389" s="20">
        <f>IFERROR(IF($F389&lt;=P$9,MIN($I389/$J389,$I389-SUM($K389:O389)),0),0)</f>
        <v>0</v>
      </c>
      <c r="Q389" s="20">
        <f>IFERROR(IF($F389&lt;=Q$9,MIN($I389/$J389,$I389-SUM($K389:P389)),0),0)</f>
        <v>0</v>
      </c>
      <c r="R389" s="20">
        <f>IFERROR(IF($F389&lt;=R$9,MIN($I389/$J389,$I389-SUM($K389:Q389)),0),0)</f>
        <v>0</v>
      </c>
      <c r="S389" s="20">
        <f>IFERROR(IF($F389&lt;=S$9,MIN($I389/$J389,$I389-SUM($K389:R389)),0),0)</f>
        <v>0</v>
      </c>
      <c r="T389" s="20">
        <f>IFERROR(IF($F389&lt;=T$9,MIN($I389/$J389,$I389-SUM($K389:S389)),0),0)</f>
        <v>0</v>
      </c>
      <c r="U389" s="20">
        <f>IFERROR(IF($F389&lt;=U$9,MIN($I389/$J389,$I389-SUM($K389:T389)),0),0)</f>
        <v>0</v>
      </c>
      <c r="V389" s="20">
        <f>IFERROR(IF($F389&lt;=V$9,MIN($I389/$J389,$I389-SUM($K389:U389)),0),0)</f>
        <v>0</v>
      </c>
      <c r="W389" s="20">
        <f>IFERROR(IF($F389&lt;=W$9,MIN($I389/$J389,$I389-SUM($K389:V389)),0),0)</f>
        <v>0</v>
      </c>
      <c r="X389" s="20">
        <f>IFERROR(IF($F389&lt;=X$9,MIN($I389/$J389,$I389-SUM($K389:W389)),0),0)</f>
        <v>4.8030966557030457</v>
      </c>
      <c r="Y389" s="20">
        <f>IFERROR(IF($F389&lt;=Y$9,MIN($I389/$J389,$I389-SUM($K389:X389)),0),0)</f>
        <v>4.8030966557030457</v>
      </c>
      <c r="Z389" s="20">
        <f>IFERROR(IF($F389&lt;=Z$9,MIN($I389/$J389,$I389-SUM($K389:Y389)),0),0)</f>
        <v>4.8030966557030457</v>
      </c>
      <c r="AA389" s="20">
        <f>IFERROR(IF($F389&lt;=AA$9,MIN($I389/$J389,$I389-SUM($K389:Z389)),0),0)</f>
        <v>4.8030966557030457</v>
      </c>
      <c r="AB389" s="20">
        <f>IFERROR(IF($F389&lt;=AB$9,MIN($I389/$J389,$I389-SUM($K389:AA389)),0),0)</f>
        <v>4.8030966557030439</v>
      </c>
      <c r="AC389" s="20">
        <f>IFERROR(IF($F389&lt;=AC$9,MIN($I389/$J389,$I389-SUM($K389:AB389)),0),0)</f>
        <v>0</v>
      </c>
      <c r="AD389" s="20">
        <f>IFERROR(IF($F389&lt;=AD$9,MIN($I389/$J389,$I389-SUM($K389:AC389)),0),0)</f>
        <v>0</v>
      </c>
      <c r="AE389" s="20">
        <f>IFERROR(IF($F389&lt;=AE$9,MIN($I389/$J389,$I389-SUM($K389:AD389)),0),0)</f>
        <v>0</v>
      </c>
      <c r="AF389" s="20">
        <f>IFERROR(IF($F389&lt;=AF$9,MIN($I389/$J389,$I389-SUM($K389:AE389)),0),0)</f>
        <v>0</v>
      </c>
      <c r="AG389" s="20">
        <f>IFERROR(IF($F389&lt;=AG$9,MIN($I389/$J389,$I389-SUM($K389:AF389)),0),0)</f>
        <v>0</v>
      </c>
      <c r="AH389" s="20">
        <f>IFERROR(IF($F389&lt;=AH$9,MIN($I389/$J389,$I389-SUM($K389:AG389)),0),0)</f>
        <v>0</v>
      </c>
      <c r="AI389" s="20">
        <f>IFERROR(IF($F389&lt;=AI$9,MIN($I389/$J389,$I389-SUM($K389:AH389)),0),0)</f>
        <v>0</v>
      </c>
      <c r="AJ389" s="20">
        <f>IFERROR(IF($F389&lt;=AJ$9,MIN($I389/$J389,$I389-SUM($K389:AI389)),0),0)</f>
        <v>0</v>
      </c>
      <c r="AK389" s="20">
        <f>IFERROR(IF($F389&lt;=AK$9,MIN($I389/$J389,$I389-SUM($K389:AJ389)),0),0)</f>
        <v>0</v>
      </c>
      <c r="AL389" s="20">
        <f>IFERROR(IF($F389&lt;=AL$9,MIN($I389/$J389,$I389-SUM($K389:AK389)),0),0)</f>
        <v>0</v>
      </c>
      <c r="AM389" s="20">
        <f>IFERROR(IF($F389&lt;=AM$9,MIN($I389/$J389,$I389-SUM($K389:AL389)),0),0)</f>
        <v>0</v>
      </c>
      <c r="AN389" s="20">
        <f>IFERROR(IF($F389&lt;=AN$9,MIN($I389/$J389,$I389-SUM($K389:AM389)),0),0)</f>
        <v>0</v>
      </c>
      <c r="AO389" s="28"/>
    </row>
    <row r="390" spans="6:41" ht="14.4" customHeight="1" outlineLevel="1" x14ac:dyDescent="0.3">
      <c r="F390" s="69">
        <v>2037</v>
      </c>
      <c r="H390" s="26" t="s">
        <v>245</v>
      </c>
      <c r="I390" s="128">
        <v>0</v>
      </c>
      <c r="J390" s="117">
        <v>0</v>
      </c>
      <c r="K390" s="89">
        <v>0</v>
      </c>
      <c r="L390" s="20">
        <f>IFERROR(IF($F390&lt;=L$9,MIN($I390/$J390,$I390-SUM($K390:K390)),0),0)</f>
        <v>0</v>
      </c>
      <c r="M390" s="20">
        <f>IFERROR(IF($F390&lt;=M$9,MIN($I390/$J390,$I390-SUM($K390:L390)),0),0)</f>
        <v>0</v>
      </c>
      <c r="N390" s="20">
        <f>IFERROR(IF($F390&lt;=N$9,MIN($I390/$J390,$I390-SUM($K390:M390)),0),0)</f>
        <v>0</v>
      </c>
      <c r="O390" s="20">
        <f>IFERROR(IF($F390&lt;=O$9,MIN($I390/$J390,$I390-SUM($K390:N390)),0),0)</f>
        <v>0</v>
      </c>
      <c r="P390" s="20">
        <f>IFERROR(IF($F390&lt;=P$9,MIN($I390/$J390,$I390-SUM($K390:O390)),0),0)</f>
        <v>0</v>
      </c>
      <c r="Q390" s="20">
        <f>IFERROR(IF($F390&lt;=Q$9,MIN($I390/$J390,$I390-SUM($K390:P390)),0),0)</f>
        <v>0</v>
      </c>
      <c r="R390" s="20">
        <f>IFERROR(IF($F390&lt;=R$9,MIN($I390/$J390,$I390-SUM($K390:Q390)),0),0)</f>
        <v>0</v>
      </c>
      <c r="S390" s="20">
        <f>IFERROR(IF($F390&lt;=S$9,MIN($I390/$J390,$I390-SUM($K390:R390)),0),0)</f>
        <v>0</v>
      </c>
      <c r="T390" s="20">
        <f>IFERROR(IF($F390&lt;=T$9,MIN($I390/$J390,$I390-SUM($K390:S390)),0),0)</f>
        <v>0</v>
      </c>
      <c r="U390" s="20">
        <f>IFERROR(IF($F390&lt;=U$9,MIN($I390/$J390,$I390-SUM($K390:T390)),0),0)</f>
        <v>0</v>
      </c>
      <c r="V390" s="20">
        <f>IFERROR(IF($F390&lt;=V$9,MIN($I390/$J390,$I390-SUM($K390:U390)),0),0)</f>
        <v>0</v>
      </c>
      <c r="W390" s="20">
        <f>IFERROR(IF($F390&lt;=W$9,MIN($I390/$J390,$I390-SUM($K390:V390)),0),0)</f>
        <v>0</v>
      </c>
      <c r="X390" s="20">
        <f>IFERROR(IF($F390&lt;=X$9,MIN($I390/$J390,$I390-SUM($K390:W390)),0),0)</f>
        <v>0</v>
      </c>
      <c r="Y390" s="20">
        <f>IFERROR(IF($F390&lt;=Y$9,MIN($I390/$J390,$I390-SUM($K390:X390)),0),0)</f>
        <v>0</v>
      </c>
      <c r="Z390" s="20">
        <f>IFERROR(IF($F390&lt;=Z$9,MIN($I390/$J390,$I390-SUM($K390:Y390)),0),0)</f>
        <v>0</v>
      </c>
      <c r="AA390" s="20">
        <f>IFERROR(IF($F390&lt;=AA$9,MIN($I390/$J390,$I390-SUM($K390:Z390)),0),0)</f>
        <v>0</v>
      </c>
      <c r="AB390" s="20">
        <f>IFERROR(IF($F390&lt;=AB$9,MIN($I390/$J390,$I390-SUM($K390:AA390)),0),0)</f>
        <v>0</v>
      </c>
      <c r="AC390" s="20">
        <f>IFERROR(IF($F390&lt;=AC$9,MIN($I390/$J390,$I390-SUM($K390:AB390)),0),0)</f>
        <v>0</v>
      </c>
      <c r="AD390" s="20">
        <f>IFERROR(IF($F390&lt;=AD$9,MIN($I390/$J390,$I390-SUM($K390:AC390)),0),0)</f>
        <v>0</v>
      </c>
      <c r="AE390" s="20">
        <f>IFERROR(IF($F390&lt;=AE$9,MIN($I390/$J390,$I390-SUM($K390:AD390)),0),0)</f>
        <v>0</v>
      </c>
      <c r="AF390" s="20">
        <f>IFERROR(IF($F390&lt;=AF$9,MIN($I390/$J390,$I390-SUM($K390:AE390)),0),0)</f>
        <v>0</v>
      </c>
      <c r="AG390" s="20">
        <f>IFERROR(IF($F390&lt;=AG$9,MIN($I390/$J390,$I390-SUM($K390:AF390)),0),0)</f>
        <v>0</v>
      </c>
      <c r="AH390" s="20">
        <f>IFERROR(IF($F390&lt;=AH$9,MIN($I390/$J390,$I390-SUM($K390:AG390)),0),0)</f>
        <v>0</v>
      </c>
      <c r="AI390" s="20">
        <f>IFERROR(IF($F390&lt;=AI$9,MIN($I390/$J390,$I390-SUM($K390:AH390)),0),0)</f>
        <v>0</v>
      </c>
      <c r="AJ390" s="20">
        <f>IFERROR(IF($F390&lt;=AJ$9,MIN($I390/$J390,$I390-SUM($K390:AI390)),0),0)</f>
        <v>0</v>
      </c>
      <c r="AK390" s="20">
        <f>IFERROR(IF($F390&lt;=AK$9,MIN($I390/$J390,$I390-SUM($K390:AJ390)),0),0)</f>
        <v>0</v>
      </c>
      <c r="AL390" s="20">
        <f>IFERROR(IF($F390&lt;=AL$9,MIN($I390/$J390,$I390-SUM($K390:AK390)),0),0)</f>
        <v>0</v>
      </c>
      <c r="AM390" s="20">
        <f>IFERROR(IF($F390&lt;=AM$9,MIN($I390/$J390,$I390-SUM($K390:AL390)),0),0)</f>
        <v>0</v>
      </c>
      <c r="AN390" s="20">
        <f>IFERROR(IF($F390&lt;=AN$9,MIN($I390/$J390,$I390-SUM($K390:AM390)),0),0)</f>
        <v>0</v>
      </c>
      <c r="AO390" s="28"/>
    </row>
    <row r="391" spans="6:41" ht="14.4" customHeight="1" outlineLevel="1" x14ac:dyDescent="0.3">
      <c r="F391" s="69">
        <v>2038</v>
      </c>
      <c r="H391" s="26" t="s">
        <v>245</v>
      </c>
      <c r="I391" s="128">
        <v>0</v>
      </c>
      <c r="J391" s="117">
        <v>0</v>
      </c>
      <c r="K391" s="89">
        <v>0</v>
      </c>
      <c r="L391" s="20">
        <f>IFERROR(IF($F391&lt;=L$9,MIN($I391/$J391,$I391-SUM($K391:K391)),0),0)</f>
        <v>0</v>
      </c>
      <c r="M391" s="20">
        <f>IFERROR(IF($F391&lt;=M$9,MIN($I391/$J391,$I391-SUM($K391:L391)),0),0)</f>
        <v>0</v>
      </c>
      <c r="N391" s="20">
        <f>IFERROR(IF($F391&lt;=N$9,MIN($I391/$J391,$I391-SUM($K391:M391)),0),0)</f>
        <v>0</v>
      </c>
      <c r="O391" s="20">
        <f>IFERROR(IF($F391&lt;=O$9,MIN($I391/$J391,$I391-SUM($K391:N391)),0),0)</f>
        <v>0</v>
      </c>
      <c r="P391" s="20">
        <f>IFERROR(IF($F391&lt;=P$9,MIN($I391/$J391,$I391-SUM($K391:O391)),0),0)</f>
        <v>0</v>
      </c>
      <c r="Q391" s="20">
        <f>IFERROR(IF($F391&lt;=Q$9,MIN($I391/$J391,$I391-SUM($K391:P391)),0),0)</f>
        <v>0</v>
      </c>
      <c r="R391" s="20">
        <f>IFERROR(IF($F391&lt;=R$9,MIN($I391/$J391,$I391-SUM($K391:Q391)),0),0)</f>
        <v>0</v>
      </c>
      <c r="S391" s="20">
        <f>IFERROR(IF($F391&lt;=S$9,MIN($I391/$J391,$I391-SUM($K391:R391)),0),0)</f>
        <v>0</v>
      </c>
      <c r="T391" s="20">
        <f>IFERROR(IF($F391&lt;=T$9,MIN($I391/$J391,$I391-SUM($K391:S391)),0),0)</f>
        <v>0</v>
      </c>
      <c r="U391" s="20">
        <f>IFERROR(IF($F391&lt;=U$9,MIN($I391/$J391,$I391-SUM($K391:T391)),0),0)</f>
        <v>0</v>
      </c>
      <c r="V391" s="20">
        <f>IFERROR(IF($F391&lt;=V$9,MIN($I391/$J391,$I391-SUM($K391:U391)),0),0)</f>
        <v>0</v>
      </c>
      <c r="W391" s="20">
        <f>IFERROR(IF($F391&lt;=W$9,MIN($I391/$J391,$I391-SUM($K391:V391)),0),0)</f>
        <v>0</v>
      </c>
      <c r="X391" s="20">
        <f>IFERROR(IF($F391&lt;=X$9,MIN($I391/$J391,$I391-SUM($K391:W391)),0),0)</f>
        <v>0</v>
      </c>
      <c r="Y391" s="20">
        <f>IFERROR(IF($F391&lt;=Y$9,MIN($I391/$J391,$I391-SUM($K391:X391)),0),0)</f>
        <v>0</v>
      </c>
      <c r="Z391" s="20">
        <f>IFERROR(IF($F391&lt;=Z$9,MIN($I391/$J391,$I391-SUM($K391:Y391)),0),0)</f>
        <v>0</v>
      </c>
      <c r="AA391" s="20">
        <f>IFERROR(IF($F391&lt;=AA$9,MIN($I391/$J391,$I391-SUM($K391:Z391)),0),0)</f>
        <v>0</v>
      </c>
      <c r="AB391" s="20">
        <f>IFERROR(IF($F391&lt;=AB$9,MIN($I391/$J391,$I391-SUM($K391:AA391)),0),0)</f>
        <v>0</v>
      </c>
      <c r="AC391" s="20">
        <f>IFERROR(IF($F391&lt;=AC$9,MIN($I391/$J391,$I391-SUM($K391:AB391)),0),0)</f>
        <v>0</v>
      </c>
      <c r="AD391" s="20">
        <f>IFERROR(IF($F391&lt;=AD$9,MIN($I391/$J391,$I391-SUM($K391:AC391)),0),0)</f>
        <v>0</v>
      </c>
      <c r="AE391" s="20">
        <f>IFERROR(IF($F391&lt;=AE$9,MIN($I391/$J391,$I391-SUM($K391:AD391)),0),0)</f>
        <v>0</v>
      </c>
      <c r="AF391" s="20">
        <f>IFERROR(IF($F391&lt;=AF$9,MIN($I391/$J391,$I391-SUM($K391:AE391)),0),0)</f>
        <v>0</v>
      </c>
      <c r="AG391" s="20">
        <f>IFERROR(IF($F391&lt;=AG$9,MIN($I391/$J391,$I391-SUM($K391:AF391)),0),0)</f>
        <v>0</v>
      </c>
      <c r="AH391" s="20">
        <f>IFERROR(IF($F391&lt;=AH$9,MIN($I391/$J391,$I391-SUM($K391:AG391)),0),0)</f>
        <v>0</v>
      </c>
      <c r="AI391" s="20">
        <f>IFERROR(IF($F391&lt;=AI$9,MIN($I391/$J391,$I391-SUM($K391:AH391)),0),0)</f>
        <v>0</v>
      </c>
      <c r="AJ391" s="20">
        <f>IFERROR(IF($F391&lt;=AJ$9,MIN($I391/$J391,$I391-SUM($K391:AI391)),0),0)</f>
        <v>0</v>
      </c>
      <c r="AK391" s="20">
        <f>IFERROR(IF($F391&lt;=AK$9,MIN($I391/$J391,$I391-SUM($K391:AJ391)),0),0)</f>
        <v>0</v>
      </c>
      <c r="AL391" s="20">
        <f>IFERROR(IF($F391&lt;=AL$9,MIN($I391/$J391,$I391-SUM($K391:AK391)),0),0)</f>
        <v>0</v>
      </c>
      <c r="AM391" s="20">
        <f>IFERROR(IF($F391&lt;=AM$9,MIN($I391/$J391,$I391-SUM($K391:AL391)),0),0)</f>
        <v>0</v>
      </c>
      <c r="AN391" s="20">
        <f>IFERROR(IF($F391&lt;=AN$9,MIN($I391/$J391,$I391-SUM($K391:AM391)),0),0)</f>
        <v>0</v>
      </c>
      <c r="AO391" s="28"/>
    </row>
    <row r="392" spans="6:41" ht="14.4" customHeight="1" outlineLevel="1" x14ac:dyDescent="0.3">
      <c r="F392" s="69">
        <v>2039</v>
      </c>
      <c r="H392" s="26" t="s">
        <v>245</v>
      </c>
      <c r="I392" s="128">
        <v>0</v>
      </c>
      <c r="J392" s="117">
        <v>0</v>
      </c>
      <c r="K392" s="89">
        <v>0</v>
      </c>
      <c r="L392" s="20">
        <f>IFERROR(IF($F392&lt;=L$9,MIN($I392/$J392,$I392-SUM($K392:K392)),0),0)</f>
        <v>0</v>
      </c>
      <c r="M392" s="20">
        <f>IFERROR(IF($F392&lt;=M$9,MIN($I392/$J392,$I392-SUM($K392:L392)),0),0)</f>
        <v>0</v>
      </c>
      <c r="N392" s="20">
        <f>IFERROR(IF($F392&lt;=N$9,MIN($I392/$J392,$I392-SUM($K392:M392)),0),0)</f>
        <v>0</v>
      </c>
      <c r="O392" s="20">
        <f>IFERROR(IF($F392&lt;=O$9,MIN($I392/$J392,$I392-SUM($K392:N392)),0),0)</f>
        <v>0</v>
      </c>
      <c r="P392" s="20">
        <f>IFERROR(IF($F392&lt;=P$9,MIN($I392/$J392,$I392-SUM($K392:O392)),0),0)</f>
        <v>0</v>
      </c>
      <c r="Q392" s="20">
        <f>IFERROR(IF($F392&lt;=Q$9,MIN($I392/$J392,$I392-SUM($K392:P392)),0),0)</f>
        <v>0</v>
      </c>
      <c r="R392" s="20">
        <f>IFERROR(IF($F392&lt;=R$9,MIN($I392/$J392,$I392-SUM($K392:Q392)),0),0)</f>
        <v>0</v>
      </c>
      <c r="S392" s="20">
        <f>IFERROR(IF($F392&lt;=S$9,MIN($I392/$J392,$I392-SUM($K392:R392)),0),0)</f>
        <v>0</v>
      </c>
      <c r="T392" s="20">
        <f>IFERROR(IF($F392&lt;=T$9,MIN($I392/$J392,$I392-SUM($K392:S392)),0),0)</f>
        <v>0</v>
      </c>
      <c r="U392" s="20">
        <f>IFERROR(IF($F392&lt;=U$9,MIN($I392/$J392,$I392-SUM($K392:T392)),0),0)</f>
        <v>0</v>
      </c>
      <c r="V392" s="20">
        <f>IFERROR(IF($F392&lt;=V$9,MIN($I392/$J392,$I392-SUM($K392:U392)),0),0)</f>
        <v>0</v>
      </c>
      <c r="W392" s="20">
        <f>IFERROR(IF($F392&lt;=W$9,MIN($I392/$J392,$I392-SUM($K392:V392)),0),0)</f>
        <v>0</v>
      </c>
      <c r="X392" s="20">
        <f>IFERROR(IF($F392&lt;=X$9,MIN($I392/$J392,$I392-SUM($K392:W392)),0),0)</f>
        <v>0</v>
      </c>
      <c r="Y392" s="20">
        <f>IFERROR(IF($F392&lt;=Y$9,MIN($I392/$J392,$I392-SUM($K392:X392)),0),0)</f>
        <v>0</v>
      </c>
      <c r="Z392" s="20">
        <f>IFERROR(IF($F392&lt;=Z$9,MIN($I392/$J392,$I392-SUM($K392:Y392)),0),0)</f>
        <v>0</v>
      </c>
      <c r="AA392" s="20">
        <f>IFERROR(IF($F392&lt;=AA$9,MIN($I392/$J392,$I392-SUM($K392:Z392)),0),0)</f>
        <v>0</v>
      </c>
      <c r="AB392" s="20">
        <f>IFERROR(IF($F392&lt;=AB$9,MIN($I392/$J392,$I392-SUM($K392:AA392)),0),0)</f>
        <v>0</v>
      </c>
      <c r="AC392" s="20">
        <f>IFERROR(IF($F392&lt;=AC$9,MIN($I392/$J392,$I392-SUM($K392:AB392)),0),0)</f>
        <v>0</v>
      </c>
      <c r="AD392" s="20">
        <f>IFERROR(IF($F392&lt;=AD$9,MIN($I392/$J392,$I392-SUM($K392:AC392)),0),0)</f>
        <v>0</v>
      </c>
      <c r="AE392" s="20">
        <f>IFERROR(IF($F392&lt;=AE$9,MIN($I392/$J392,$I392-SUM($K392:AD392)),0),0)</f>
        <v>0</v>
      </c>
      <c r="AF392" s="20">
        <f>IFERROR(IF($F392&lt;=AF$9,MIN($I392/$J392,$I392-SUM($K392:AE392)),0),0)</f>
        <v>0</v>
      </c>
      <c r="AG392" s="20">
        <f>IFERROR(IF($F392&lt;=AG$9,MIN($I392/$J392,$I392-SUM($K392:AF392)),0),0)</f>
        <v>0</v>
      </c>
      <c r="AH392" s="20">
        <f>IFERROR(IF($F392&lt;=AH$9,MIN($I392/$J392,$I392-SUM($K392:AG392)),0),0)</f>
        <v>0</v>
      </c>
      <c r="AI392" s="20">
        <f>IFERROR(IF($F392&lt;=AI$9,MIN($I392/$J392,$I392-SUM($K392:AH392)),0),0)</f>
        <v>0</v>
      </c>
      <c r="AJ392" s="20">
        <f>IFERROR(IF($F392&lt;=AJ$9,MIN($I392/$J392,$I392-SUM($K392:AI392)),0),0)</f>
        <v>0</v>
      </c>
      <c r="AK392" s="20">
        <f>IFERROR(IF($F392&lt;=AK$9,MIN($I392/$J392,$I392-SUM($K392:AJ392)),0),0)</f>
        <v>0</v>
      </c>
      <c r="AL392" s="20">
        <f>IFERROR(IF($F392&lt;=AL$9,MIN($I392/$J392,$I392-SUM($K392:AK392)),0),0)</f>
        <v>0</v>
      </c>
      <c r="AM392" s="20">
        <f>IFERROR(IF($F392&lt;=AM$9,MIN($I392/$J392,$I392-SUM($K392:AL392)),0),0)</f>
        <v>0</v>
      </c>
      <c r="AN392" s="20">
        <f>IFERROR(IF($F392&lt;=AN$9,MIN($I392/$J392,$I392-SUM($K392:AM392)),0),0)</f>
        <v>0</v>
      </c>
      <c r="AO392" s="28"/>
    </row>
    <row r="393" spans="6:41" ht="14.4" customHeight="1" outlineLevel="1" x14ac:dyDescent="0.3">
      <c r="F393" s="69">
        <v>2040</v>
      </c>
      <c r="H393" s="26" t="s">
        <v>245</v>
      </c>
      <c r="I393" s="128">
        <v>0</v>
      </c>
      <c r="J393" s="117">
        <v>0</v>
      </c>
      <c r="K393" s="89">
        <v>0</v>
      </c>
      <c r="L393" s="20">
        <f>IFERROR(IF($F393&lt;=L$9,MIN($I393/$J393,$I393-SUM($K393:K393)),0),0)</f>
        <v>0</v>
      </c>
      <c r="M393" s="20">
        <f>IFERROR(IF($F393&lt;=M$9,MIN($I393/$J393,$I393-SUM($K393:L393)),0),0)</f>
        <v>0</v>
      </c>
      <c r="N393" s="20">
        <f>IFERROR(IF($F393&lt;=N$9,MIN($I393/$J393,$I393-SUM($K393:M393)),0),0)</f>
        <v>0</v>
      </c>
      <c r="O393" s="20">
        <f>IFERROR(IF($F393&lt;=O$9,MIN($I393/$J393,$I393-SUM($K393:N393)),0),0)</f>
        <v>0</v>
      </c>
      <c r="P393" s="20">
        <f>IFERROR(IF($F393&lt;=P$9,MIN($I393/$J393,$I393-SUM($K393:O393)),0),0)</f>
        <v>0</v>
      </c>
      <c r="Q393" s="20">
        <f>IFERROR(IF($F393&lt;=Q$9,MIN($I393/$J393,$I393-SUM($K393:P393)),0),0)</f>
        <v>0</v>
      </c>
      <c r="R393" s="20">
        <f>IFERROR(IF($F393&lt;=R$9,MIN($I393/$J393,$I393-SUM($K393:Q393)),0),0)</f>
        <v>0</v>
      </c>
      <c r="S393" s="20">
        <f>IFERROR(IF($F393&lt;=S$9,MIN($I393/$J393,$I393-SUM($K393:R393)),0),0)</f>
        <v>0</v>
      </c>
      <c r="T393" s="20">
        <f>IFERROR(IF($F393&lt;=T$9,MIN($I393/$J393,$I393-SUM($K393:S393)),0),0)</f>
        <v>0</v>
      </c>
      <c r="U393" s="20">
        <f>IFERROR(IF($F393&lt;=U$9,MIN($I393/$J393,$I393-SUM($K393:T393)),0),0)</f>
        <v>0</v>
      </c>
      <c r="V393" s="20">
        <f>IFERROR(IF($F393&lt;=V$9,MIN($I393/$J393,$I393-SUM($K393:U393)),0),0)</f>
        <v>0</v>
      </c>
      <c r="W393" s="20">
        <f>IFERROR(IF($F393&lt;=W$9,MIN($I393/$J393,$I393-SUM($K393:V393)),0),0)</f>
        <v>0</v>
      </c>
      <c r="X393" s="20">
        <f>IFERROR(IF($F393&lt;=X$9,MIN($I393/$J393,$I393-SUM($K393:W393)),0),0)</f>
        <v>0</v>
      </c>
      <c r="Y393" s="20">
        <f>IFERROR(IF($F393&lt;=Y$9,MIN($I393/$J393,$I393-SUM($K393:X393)),0),0)</f>
        <v>0</v>
      </c>
      <c r="Z393" s="20">
        <f>IFERROR(IF($F393&lt;=Z$9,MIN($I393/$J393,$I393-SUM($K393:Y393)),0),0)</f>
        <v>0</v>
      </c>
      <c r="AA393" s="20">
        <f>IFERROR(IF($F393&lt;=AA$9,MIN($I393/$J393,$I393-SUM($K393:Z393)),0),0)</f>
        <v>0</v>
      </c>
      <c r="AB393" s="20">
        <f>IFERROR(IF($F393&lt;=AB$9,MIN($I393/$J393,$I393-SUM($K393:AA393)),0),0)</f>
        <v>0</v>
      </c>
      <c r="AC393" s="20">
        <f>IFERROR(IF($F393&lt;=AC$9,MIN($I393/$J393,$I393-SUM($K393:AB393)),0),0)</f>
        <v>0</v>
      </c>
      <c r="AD393" s="20">
        <f>IFERROR(IF($F393&lt;=AD$9,MIN($I393/$J393,$I393-SUM($K393:AC393)),0),0)</f>
        <v>0</v>
      </c>
      <c r="AE393" s="20">
        <f>IFERROR(IF($F393&lt;=AE$9,MIN($I393/$J393,$I393-SUM($K393:AD393)),0),0)</f>
        <v>0</v>
      </c>
      <c r="AF393" s="20">
        <f>IFERROR(IF($F393&lt;=AF$9,MIN($I393/$J393,$I393-SUM($K393:AE393)),0),0)</f>
        <v>0</v>
      </c>
      <c r="AG393" s="20">
        <f>IFERROR(IF($F393&lt;=AG$9,MIN($I393/$J393,$I393-SUM($K393:AF393)),0),0)</f>
        <v>0</v>
      </c>
      <c r="AH393" s="20">
        <f>IFERROR(IF($F393&lt;=AH$9,MIN($I393/$J393,$I393-SUM($K393:AG393)),0),0)</f>
        <v>0</v>
      </c>
      <c r="AI393" s="20">
        <f>IFERROR(IF($F393&lt;=AI$9,MIN($I393/$J393,$I393-SUM($K393:AH393)),0),0)</f>
        <v>0</v>
      </c>
      <c r="AJ393" s="20">
        <f>IFERROR(IF($F393&lt;=AJ$9,MIN($I393/$J393,$I393-SUM($K393:AI393)),0),0)</f>
        <v>0</v>
      </c>
      <c r="AK393" s="20">
        <f>IFERROR(IF($F393&lt;=AK$9,MIN($I393/$J393,$I393-SUM($K393:AJ393)),0),0)</f>
        <v>0</v>
      </c>
      <c r="AL393" s="20">
        <f>IFERROR(IF($F393&lt;=AL$9,MIN($I393/$J393,$I393-SUM($K393:AK393)),0),0)</f>
        <v>0</v>
      </c>
      <c r="AM393" s="20">
        <f>IFERROR(IF($F393&lt;=AM$9,MIN($I393/$J393,$I393-SUM($K393:AL393)),0),0)</f>
        <v>0</v>
      </c>
      <c r="AN393" s="20">
        <f>IFERROR(IF($F393&lt;=AN$9,MIN($I393/$J393,$I393-SUM($K393:AM393)),0),0)</f>
        <v>0</v>
      </c>
      <c r="AO393" s="28"/>
    </row>
    <row r="394" spans="6:41" ht="14.4" customHeight="1" outlineLevel="1" x14ac:dyDescent="0.3">
      <c r="F394" s="69">
        <v>2041</v>
      </c>
      <c r="H394" s="26" t="s">
        <v>245</v>
      </c>
      <c r="I394" s="128">
        <v>0</v>
      </c>
      <c r="J394" s="117">
        <v>0</v>
      </c>
      <c r="K394" s="89">
        <v>0</v>
      </c>
      <c r="L394" s="20">
        <f>IFERROR(IF($F394&lt;=L$9,MIN($I394/$J394,$I394-SUM($K394:K394)),0),0)</f>
        <v>0</v>
      </c>
      <c r="M394" s="20">
        <f>IFERROR(IF($F394&lt;=M$9,MIN($I394/$J394,$I394-SUM($K394:L394)),0),0)</f>
        <v>0</v>
      </c>
      <c r="N394" s="20">
        <f>IFERROR(IF($F394&lt;=N$9,MIN($I394/$J394,$I394-SUM($K394:M394)),0),0)</f>
        <v>0</v>
      </c>
      <c r="O394" s="20">
        <f>IFERROR(IF($F394&lt;=O$9,MIN($I394/$J394,$I394-SUM($K394:N394)),0),0)</f>
        <v>0</v>
      </c>
      <c r="P394" s="20">
        <f>IFERROR(IF($F394&lt;=P$9,MIN($I394/$J394,$I394-SUM($K394:O394)),0),0)</f>
        <v>0</v>
      </c>
      <c r="Q394" s="20">
        <f>IFERROR(IF($F394&lt;=Q$9,MIN($I394/$J394,$I394-SUM($K394:P394)),0),0)</f>
        <v>0</v>
      </c>
      <c r="R394" s="20">
        <f>IFERROR(IF($F394&lt;=R$9,MIN($I394/$J394,$I394-SUM($K394:Q394)),0),0)</f>
        <v>0</v>
      </c>
      <c r="S394" s="20">
        <f>IFERROR(IF($F394&lt;=S$9,MIN($I394/$J394,$I394-SUM($K394:R394)),0),0)</f>
        <v>0</v>
      </c>
      <c r="T394" s="20">
        <f>IFERROR(IF($F394&lt;=T$9,MIN($I394/$J394,$I394-SUM($K394:S394)),0),0)</f>
        <v>0</v>
      </c>
      <c r="U394" s="20">
        <f>IFERROR(IF($F394&lt;=U$9,MIN($I394/$J394,$I394-SUM($K394:T394)),0),0)</f>
        <v>0</v>
      </c>
      <c r="V394" s="20">
        <f>IFERROR(IF($F394&lt;=V$9,MIN($I394/$J394,$I394-SUM($K394:U394)),0),0)</f>
        <v>0</v>
      </c>
      <c r="W394" s="20">
        <f>IFERROR(IF($F394&lt;=W$9,MIN($I394/$J394,$I394-SUM($K394:V394)),0),0)</f>
        <v>0</v>
      </c>
      <c r="X394" s="20">
        <f>IFERROR(IF($F394&lt;=X$9,MIN($I394/$J394,$I394-SUM($K394:W394)),0),0)</f>
        <v>0</v>
      </c>
      <c r="Y394" s="20">
        <f>IFERROR(IF($F394&lt;=Y$9,MIN($I394/$J394,$I394-SUM($K394:X394)),0),0)</f>
        <v>0</v>
      </c>
      <c r="Z394" s="20">
        <f>IFERROR(IF($F394&lt;=Z$9,MIN($I394/$J394,$I394-SUM($K394:Y394)),0),0)</f>
        <v>0</v>
      </c>
      <c r="AA394" s="20">
        <f>IFERROR(IF($F394&lt;=AA$9,MIN($I394/$J394,$I394-SUM($K394:Z394)),0),0)</f>
        <v>0</v>
      </c>
      <c r="AB394" s="20">
        <f>IFERROR(IF($F394&lt;=AB$9,MIN($I394/$J394,$I394-SUM($K394:AA394)),0),0)</f>
        <v>0</v>
      </c>
      <c r="AC394" s="20">
        <f>IFERROR(IF($F394&lt;=AC$9,MIN($I394/$J394,$I394-SUM($K394:AB394)),0),0)</f>
        <v>0</v>
      </c>
      <c r="AD394" s="20">
        <f>IFERROR(IF($F394&lt;=AD$9,MIN($I394/$J394,$I394-SUM($K394:AC394)),0),0)</f>
        <v>0</v>
      </c>
      <c r="AE394" s="20">
        <f>IFERROR(IF($F394&lt;=AE$9,MIN($I394/$J394,$I394-SUM($K394:AD394)),0),0)</f>
        <v>0</v>
      </c>
      <c r="AF394" s="20">
        <f>IFERROR(IF($F394&lt;=AF$9,MIN($I394/$J394,$I394-SUM($K394:AE394)),0),0)</f>
        <v>0</v>
      </c>
      <c r="AG394" s="20">
        <f>IFERROR(IF($F394&lt;=AG$9,MIN($I394/$J394,$I394-SUM($K394:AF394)),0),0)</f>
        <v>0</v>
      </c>
      <c r="AH394" s="20">
        <f>IFERROR(IF($F394&lt;=AH$9,MIN($I394/$J394,$I394-SUM($K394:AG394)),0),0)</f>
        <v>0</v>
      </c>
      <c r="AI394" s="20">
        <f>IFERROR(IF($F394&lt;=AI$9,MIN($I394/$J394,$I394-SUM($K394:AH394)),0),0)</f>
        <v>0</v>
      </c>
      <c r="AJ394" s="20">
        <f>IFERROR(IF($F394&lt;=AJ$9,MIN($I394/$J394,$I394-SUM($K394:AI394)),0),0)</f>
        <v>0</v>
      </c>
      <c r="AK394" s="20">
        <f>IFERROR(IF($F394&lt;=AK$9,MIN($I394/$J394,$I394-SUM($K394:AJ394)),0),0)</f>
        <v>0</v>
      </c>
      <c r="AL394" s="20">
        <f>IFERROR(IF($F394&lt;=AL$9,MIN($I394/$J394,$I394-SUM($K394:AK394)),0),0)</f>
        <v>0</v>
      </c>
      <c r="AM394" s="20">
        <f>IFERROR(IF($F394&lt;=AM$9,MIN($I394/$J394,$I394-SUM($K394:AL394)),0),0)</f>
        <v>0</v>
      </c>
      <c r="AN394" s="20">
        <f>IFERROR(IF($F394&lt;=AN$9,MIN($I394/$J394,$I394-SUM($K394:AM394)),0),0)</f>
        <v>0</v>
      </c>
      <c r="AO394" s="28"/>
    </row>
    <row r="395" spans="6:41" ht="14.4" customHeight="1" outlineLevel="1" x14ac:dyDescent="0.3">
      <c r="F395" s="69" t="str">
        <v/>
      </c>
      <c r="H395" s="26" t="s">
        <v>245</v>
      </c>
      <c r="I395" s="128">
        <v>0</v>
      </c>
      <c r="J395" s="117">
        <v>0</v>
      </c>
      <c r="K395" s="89">
        <v>0</v>
      </c>
      <c r="L395" s="20">
        <f>IFERROR(IF($F395&lt;=L$9,MIN($I395/$J395,$I395-SUM($K395:K395)),0),0)</f>
        <v>0</v>
      </c>
      <c r="M395" s="20">
        <f>IFERROR(IF($F395&lt;=M$9,MIN($I395/$J395,$I395-SUM($K395:L395)),0),0)</f>
        <v>0</v>
      </c>
      <c r="N395" s="20">
        <f>IFERROR(IF($F395&lt;=N$9,MIN($I395/$J395,$I395-SUM($K395:M395)),0),0)</f>
        <v>0</v>
      </c>
      <c r="O395" s="20">
        <f>IFERROR(IF($F395&lt;=O$9,MIN($I395/$J395,$I395-SUM($K395:N395)),0),0)</f>
        <v>0</v>
      </c>
      <c r="P395" s="20">
        <f>IFERROR(IF($F395&lt;=P$9,MIN($I395/$J395,$I395-SUM($K395:O395)),0),0)</f>
        <v>0</v>
      </c>
      <c r="Q395" s="20">
        <f>IFERROR(IF($F395&lt;=Q$9,MIN($I395/$J395,$I395-SUM($K395:P395)),0),0)</f>
        <v>0</v>
      </c>
      <c r="R395" s="20">
        <f>IFERROR(IF($F395&lt;=R$9,MIN($I395/$J395,$I395-SUM($K395:Q395)),0),0)</f>
        <v>0</v>
      </c>
      <c r="S395" s="20">
        <f>IFERROR(IF($F395&lt;=S$9,MIN($I395/$J395,$I395-SUM($K395:R395)),0),0)</f>
        <v>0</v>
      </c>
      <c r="T395" s="20">
        <f>IFERROR(IF($F395&lt;=T$9,MIN($I395/$J395,$I395-SUM($K395:S395)),0),0)</f>
        <v>0</v>
      </c>
      <c r="U395" s="20">
        <f>IFERROR(IF($F395&lt;=U$9,MIN($I395/$J395,$I395-SUM($K395:T395)),0),0)</f>
        <v>0</v>
      </c>
      <c r="V395" s="20">
        <f>IFERROR(IF($F395&lt;=V$9,MIN($I395/$J395,$I395-SUM($K395:U395)),0),0)</f>
        <v>0</v>
      </c>
      <c r="W395" s="20">
        <f>IFERROR(IF($F395&lt;=W$9,MIN($I395/$J395,$I395-SUM($K395:V395)),0),0)</f>
        <v>0</v>
      </c>
      <c r="X395" s="20">
        <f>IFERROR(IF($F395&lt;=X$9,MIN($I395/$J395,$I395-SUM($K395:W395)),0),0)</f>
        <v>0</v>
      </c>
      <c r="Y395" s="20">
        <f>IFERROR(IF($F395&lt;=Y$9,MIN($I395/$J395,$I395-SUM($K395:X395)),0),0)</f>
        <v>0</v>
      </c>
      <c r="Z395" s="20">
        <f>IFERROR(IF($F395&lt;=Z$9,MIN($I395/$J395,$I395-SUM($K395:Y395)),0),0)</f>
        <v>0</v>
      </c>
      <c r="AA395" s="20">
        <f>IFERROR(IF($F395&lt;=AA$9,MIN($I395/$J395,$I395-SUM($K395:Z395)),0),0)</f>
        <v>0</v>
      </c>
      <c r="AB395" s="20">
        <f>IFERROR(IF($F395&lt;=AB$9,MIN($I395/$J395,$I395-SUM($K395:AA395)),0),0)</f>
        <v>0</v>
      </c>
      <c r="AC395" s="20">
        <f>IFERROR(IF($F395&lt;=AC$9,MIN($I395/$J395,$I395-SUM($K395:AB395)),0),0)</f>
        <v>0</v>
      </c>
      <c r="AD395" s="20">
        <f>IFERROR(IF($F395&lt;=AD$9,MIN($I395/$J395,$I395-SUM($K395:AC395)),0),0)</f>
        <v>0</v>
      </c>
      <c r="AE395" s="20">
        <f>IFERROR(IF($F395&lt;=AE$9,MIN($I395/$J395,$I395-SUM($K395:AD395)),0),0)</f>
        <v>0</v>
      </c>
      <c r="AF395" s="20">
        <f>IFERROR(IF($F395&lt;=AF$9,MIN($I395/$J395,$I395-SUM($K395:AE395)),0),0)</f>
        <v>0</v>
      </c>
      <c r="AG395" s="20">
        <f>IFERROR(IF($F395&lt;=AG$9,MIN($I395/$J395,$I395-SUM($K395:AF395)),0),0)</f>
        <v>0</v>
      </c>
      <c r="AH395" s="20">
        <f>IFERROR(IF($F395&lt;=AH$9,MIN($I395/$J395,$I395-SUM($K395:AG395)),0),0)</f>
        <v>0</v>
      </c>
      <c r="AI395" s="20">
        <f>IFERROR(IF($F395&lt;=AI$9,MIN($I395/$J395,$I395-SUM($K395:AH395)),0),0)</f>
        <v>0</v>
      </c>
      <c r="AJ395" s="20">
        <f>IFERROR(IF($F395&lt;=AJ$9,MIN($I395/$J395,$I395-SUM($K395:AI395)),0),0)</f>
        <v>0</v>
      </c>
      <c r="AK395" s="20">
        <f>IFERROR(IF($F395&lt;=AK$9,MIN($I395/$J395,$I395-SUM($K395:AJ395)),0),0)</f>
        <v>0</v>
      </c>
      <c r="AL395" s="20">
        <f>IFERROR(IF($F395&lt;=AL$9,MIN($I395/$J395,$I395-SUM($K395:AK395)),0),0)</f>
        <v>0</v>
      </c>
      <c r="AM395" s="20">
        <f>IFERROR(IF($F395&lt;=AM$9,MIN($I395/$J395,$I395-SUM($K395:AL395)),0),0)</f>
        <v>0</v>
      </c>
      <c r="AN395" s="20">
        <f>IFERROR(IF($F395&lt;=AN$9,MIN($I395/$J395,$I395-SUM($K395:AM395)),0),0)</f>
        <v>0</v>
      </c>
      <c r="AO395" s="28"/>
    </row>
    <row r="396" spans="6:41" ht="14.4" customHeight="1" outlineLevel="1" x14ac:dyDescent="0.3">
      <c r="F396" s="69" t="str">
        <v/>
      </c>
      <c r="H396" s="26" t="s">
        <v>245</v>
      </c>
      <c r="I396" s="128">
        <v>0</v>
      </c>
      <c r="J396" s="117">
        <v>0</v>
      </c>
      <c r="K396" s="89">
        <v>0</v>
      </c>
      <c r="L396" s="20">
        <f>IFERROR(IF($F396&lt;=L$9,MIN($I396/$J396,$I396-SUM($K396:K396)),0),0)</f>
        <v>0</v>
      </c>
      <c r="M396" s="20">
        <f>IFERROR(IF($F396&lt;=M$9,MIN($I396/$J396,$I396-SUM($K396:L396)),0),0)</f>
        <v>0</v>
      </c>
      <c r="N396" s="20">
        <f>IFERROR(IF($F396&lt;=N$9,MIN($I396/$J396,$I396-SUM($K396:M396)),0),0)</f>
        <v>0</v>
      </c>
      <c r="O396" s="20">
        <f>IFERROR(IF($F396&lt;=O$9,MIN($I396/$J396,$I396-SUM($K396:N396)),0),0)</f>
        <v>0</v>
      </c>
      <c r="P396" s="20">
        <f>IFERROR(IF($F396&lt;=P$9,MIN($I396/$J396,$I396-SUM($K396:O396)),0),0)</f>
        <v>0</v>
      </c>
      <c r="Q396" s="20">
        <f>IFERROR(IF($F396&lt;=Q$9,MIN($I396/$J396,$I396-SUM($K396:P396)),0),0)</f>
        <v>0</v>
      </c>
      <c r="R396" s="20">
        <f>IFERROR(IF($F396&lt;=R$9,MIN($I396/$J396,$I396-SUM($K396:Q396)),0),0)</f>
        <v>0</v>
      </c>
      <c r="S396" s="20">
        <f>IFERROR(IF($F396&lt;=S$9,MIN($I396/$J396,$I396-SUM($K396:R396)),0),0)</f>
        <v>0</v>
      </c>
      <c r="T396" s="20">
        <f>IFERROR(IF($F396&lt;=T$9,MIN($I396/$J396,$I396-SUM($K396:S396)),0),0)</f>
        <v>0</v>
      </c>
      <c r="U396" s="20">
        <f>IFERROR(IF($F396&lt;=U$9,MIN($I396/$J396,$I396-SUM($K396:T396)),0),0)</f>
        <v>0</v>
      </c>
      <c r="V396" s="20">
        <f>IFERROR(IF($F396&lt;=V$9,MIN($I396/$J396,$I396-SUM($K396:U396)),0),0)</f>
        <v>0</v>
      </c>
      <c r="W396" s="20">
        <f>IFERROR(IF($F396&lt;=W$9,MIN($I396/$J396,$I396-SUM($K396:V396)),0),0)</f>
        <v>0</v>
      </c>
      <c r="X396" s="20">
        <f>IFERROR(IF($F396&lt;=X$9,MIN($I396/$J396,$I396-SUM($K396:W396)),0),0)</f>
        <v>0</v>
      </c>
      <c r="Y396" s="20">
        <f>IFERROR(IF($F396&lt;=Y$9,MIN($I396/$J396,$I396-SUM($K396:X396)),0),0)</f>
        <v>0</v>
      </c>
      <c r="Z396" s="20">
        <f>IFERROR(IF($F396&lt;=Z$9,MIN($I396/$J396,$I396-SUM($K396:Y396)),0),0)</f>
        <v>0</v>
      </c>
      <c r="AA396" s="20">
        <f>IFERROR(IF($F396&lt;=AA$9,MIN($I396/$J396,$I396-SUM($K396:Z396)),0),0)</f>
        <v>0</v>
      </c>
      <c r="AB396" s="20">
        <f>IFERROR(IF($F396&lt;=AB$9,MIN($I396/$J396,$I396-SUM($K396:AA396)),0),0)</f>
        <v>0</v>
      </c>
      <c r="AC396" s="20">
        <f>IFERROR(IF($F396&lt;=AC$9,MIN($I396/$J396,$I396-SUM($K396:AB396)),0),0)</f>
        <v>0</v>
      </c>
      <c r="AD396" s="20">
        <f>IFERROR(IF($F396&lt;=AD$9,MIN($I396/$J396,$I396-SUM($K396:AC396)),0),0)</f>
        <v>0</v>
      </c>
      <c r="AE396" s="20">
        <f>IFERROR(IF($F396&lt;=AE$9,MIN($I396/$J396,$I396-SUM($K396:AD396)),0),0)</f>
        <v>0</v>
      </c>
      <c r="AF396" s="20">
        <f>IFERROR(IF($F396&lt;=AF$9,MIN($I396/$J396,$I396-SUM($K396:AE396)),0),0)</f>
        <v>0</v>
      </c>
      <c r="AG396" s="20">
        <f>IFERROR(IF($F396&lt;=AG$9,MIN($I396/$J396,$I396-SUM($K396:AF396)),0),0)</f>
        <v>0</v>
      </c>
      <c r="AH396" s="20">
        <f>IFERROR(IF($F396&lt;=AH$9,MIN($I396/$J396,$I396-SUM($K396:AG396)),0),0)</f>
        <v>0</v>
      </c>
      <c r="AI396" s="20">
        <f>IFERROR(IF($F396&lt;=AI$9,MIN($I396/$J396,$I396-SUM($K396:AH396)),0),0)</f>
        <v>0</v>
      </c>
      <c r="AJ396" s="20">
        <f>IFERROR(IF($F396&lt;=AJ$9,MIN($I396/$J396,$I396-SUM($K396:AI396)),0),0)</f>
        <v>0</v>
      </c>
      <c r="AK396" s="20">
        <f>IFERROR(IF($F396&lt;=AK$9,MIN($I396/$J396,$I396-SUM($K396:AJ396)),0),0)</f>
        <v>0</v>
      </c>
      <c r="AL396" s="20">
        <f>IFERROR(IF($F396&lt;=AL$9,MIN($I396/$J396,$I396-SUM($K396:AK396)),0),0)</f>
        <v>0</v>
      </c>
      <c r="AM396" s="20">
        <f>IFERROR(IF($F396&lt;=AM$9,MIN($I396/$J396,$I396-SUM($K396:AL396)),0),0)</f>
        <v>0</v>
      </c>
      <c r="AN396" s="20">
        <f>IFERROR(IF($F396&lt;=AN$9,MIN($I396/$J396,$I396-SUM($K396:AM396)),0),0)</f>
        <v>0</v>
      </c>
      <c r="AO396" s="28"/>
    </row>
    <row r="397" spans="6:41" ht="14.4" customHeight="1" outlineLevel="1" x14ac:dyDescent="0.3">
      <c r="F397" s="69" t="str">
        <v/>
      </c>
      <c r="H397" s="26" t="s">
        <v>245</v>
      </c>
      <c r="I397" s="128">
        <v>0</v>
      </c>
      <c r="J397" s="117">
        <v>0</v>
      </c>
      <c r="K397" s="89">
        <v>0</v>
      </c>
      <c r="L397" s="20">
        <f>IFERROR(IF($F397&lt;=L$9,MIN($I397/$J397,$I397-SUM($K397:K397)),0),0)</f>
        <v>0</v>
      </c>
      <c r="M397" s="20">
        <f>IFERROR(IF($F397&lt;=M$9,MIN($I397/$J397,$I397-SUM($K397:L397)),0),0)</f>
        <v>0</v>
      </c>
      <c r="N397" s="20">
        <f>IFERROR(IF($F397&lt;=N$9,MIN($I397/$J397,$I397-SUM($K397:M397)),0),0)</f>
        <v>0</v>
      </c>
      <c r="O397" s="20">
        <f>IFERROR(IF($F397&lt;=O$9,MIN($I397/$J397,$I397-SUM($K397:N397)),0),0)</f>
        <v>0</v>
      </c>
      <c r="P397" s="20">
        <f>IFERROR(IF($F397&lt;=P$9,MIN($I397/$J397,$I397-SUM($K397:O397)),0),0)</f>
        <v>0</v>
      </c>
      <c r="Q397" s="20">
        <f>IFERROR(IF($F397&lt;=Q$9,MIN($I397/$J397,$I397-SUM($K397:P397)),0),0)</f>
        <v>0</v>
      </c>
      <c r="R397" s="20">
        <f>IFERROR(IF($F397&lt;=R$9,MIN($I397/$J397,$I397-SUM($K397:Q397)),0),0)</f>
        <v>0</v>
      </c>
      <c r="S397" s="20">
        <f>IFERROR(IF($F397&lt;=S$9,MIN($I397/$J397,$I397-SUM($K397:R397)),0),0)</f>
        <v>0</v>
      </c>
      <c r="T397" s="20">
        <f>IFERROR(IF($F397&lt;=T$9,MIN($I397/$J397,$I397-SUM($K397:S397)),0),0)</f>
        <v>0</v>
      </c>
      <c r="U397" s="20">
        <f>IFERROR(IF($F397&lt;=U$9,MIN($I397/$J397,$I397-SUM($K397:T397)),0),0)</f>
        <v>0</v>
      </c>
      <c r="V397" s="20">
        <f>IFERROR(IF($F397&lt;=V$9,MIN($I397/$J397,$I397-SUM($K397:U397)),0),0)</f>
        <v>0</v>
      </c>
      <c r="W397" s="20">
        <f>IFERROR(IF($F397&lt;=W$9,MIN($I397/$J397,$I397-SUM($K397:V397)),0),0)</f>
        <v>0</v>
      </c>
      <c r="X397" s="20">
        <f>IFERROR(IF($F397&lt;=X$9,MIN($I397/$J397,$I397-SUM($K397:W397)),0),0)</f>
        <v>0</v>
      </c>
      <c r="Y397" s="20">
        <f>IFERROR(IF($F397&lt;=Y$9,MIN($I397/$J397,$I397-SUM($K397:X397)),0),0)</f>
        <v>0</v>
      </c>
      <c r="Z397" s="20">
        <f>IFERROR(IF($F397&lt;=Z$9,MIN($I397/$J397,$I397-SUM($K397:Y397)),0),0)</f>
        <v>0</v>
      </c>
      <c r="AA397" s="20">
        <f>IFERROR(IF($F397&lt;=AA$9,MIN($I397/$J397,$I397-SUM($K397:Z397)),0),0)</f>
        <v>0</v>
      </c>
      <c r="AB397" s="20">
        <f>IFERROR(IF($F397&lt;=AB$9,MIN($I397/$J397,$I397-SUM($K397:AA397)),0),0)</f>
        <v>0</v>
      </c>
      <c r="AC397" s="20">
        <f>IFERROR(IF($F397&lt;=AC$9,MIN($I397/$J397,$I397-SUM($K397:AB397)),0),0)</f>
        <v>0</v>
      </c>
      <c r="AD397" s="20">
        <f>IFERROR(IF($F397&lt;=AD$9,MIN($I397/$J397,$I397-SUM($K397:AC397)),0),0)</f>
        <v>0</v>
      </c>
      <c r="AE397" s="20">
        <f>IFERROR(IF($F397&lt;=AE$9,MIN($I397/$J397,$I397-SUM($K397:AD397)),0),0)</f>
        <v>0</v>
      </c>
      <c r="AF397" s="20">
        <f>IFERROR(IF($F397&lt;=AF$9,MIN($I397/$J397,$I397-SUM($K397:AE397)),0),0)</f>
        <v>0</v>
      </c>
      <c r="AG397" s="20">
        <f>IFERROR(IF($F397&lt;=AG$9,MIN($I397/$J397,$I397-SUM($K397:AF397)),0),0)</f>
        <v>0</v>
      </c>
      <c r="AH397" s="20">
        <f>IFERROR(IF($F397&lt;=AH$9,MIN($I397/$J397,$I397-SUM($K397:AG397)),0),0)</f>
        <v>0</v>
      </c>
      <c r="AI397" s="20">
        <f>IFERROR(IF($F397&lt;=AI$9,MIN($I397/$J397,$I397-SUM($K397:AH397)),0),0)</f>
        <v>0</v>
      </c>
      <c r="AJ397" s="20">
        <f>IFERROR(IF($F397&lt;=AJ$9,MIN($I397/$J397,$I397-SUM($K397:AI397)),0),0)</f>
        <v>0</v>
      </c>
      <c r="AK397" s="20">
        <f>IFERROR(IF($F397&lt;=AK$9,MIN($I397/$J397,$I397-SUM($K397:AJ397)),0),0)</f>
        <v>0</v>
      </c>
      <c r="AL397" s="20">
        <f>IFERROR(IF($F397&lt;=AL$9,MIN($I397/$J397,$I397-SUM($K397:AK397)),0),0)</f>
        <v>0</v>
      </c>
      <c r="AM397" s="20">
        <f>IFERROR(IF($F397&lt;=AM$9,MIN($I397/$J397,$I397-SUM($K397:AL397)),0),0)</f>
        <v>0</v>
      </c>
      <c r="AN397" s="20">
        <f>IFERROR(IF($F397&lt;=AN$9,MIN($I397/$J397,$I397-SUM($K397:AM397)),0),0)</f>
        <v>0</v>
      </c>
      <c r="AO397" s="28"/>
    </row>
    <row r="398" spans="6:41" ht="14.4" customHeight="1" outlineLevel="1" x14ac:dyDescent="0.3">
      <c r="F398" s="69" t="str">
        <v/>
      </c>
      <c r="H398" s="26" t="s">
        <v>245</v>
      </c>
      <c r="I398" s="128">
        <v>0</v>
      </c>
      <c r="J398" s="117">
        <v>0</v>
      </c>
      <c r="K398" s="89">
        <v>0</v>
      </c>
      <c r="L398" s="20">
        <f>IFERROR(IF($F398&lt;=L$9,MIN($I398/$J398,$I398-SUM($K398:K398)),0),0)</f>
        <v>0</v>
      </c>
      <c r="M398" s="20">
        <f>IFERROR(IF($F398&lt;=M$9,MIN($I398/$J398,$I398-SUM($K398:L398)),0),0)</f>
        <v>0</v>
      </c>
      <c r="N398" s="20">
        <f>IFERROR(IF($F398&lt;=N$9,MIN($I398/$J398,$I398-SUM($K398:M398)),0),0)</f>
        <v>0</v>
      </c>
      <c r="O398" s="20">
        <f>IFERROR(IF($F398&lt;=O$9,MIN($I398/$J398,$I398-SUM($K398:N398)),0),0)</f>
        <v>0</v>
      </c>
      <c r="P398" s="20">
        <f>IFERROR(IF($F398&lt;=P$9,MIN($I398/$J398,$I398-SUM($K398:O398)),0),0)</f>
        <v>0</v>
      </c>
      <c r="Q398" s="20">
        <f>IFERROR(IF($F398&lt;=Q$9,MIN($I398/$J398,$I398-SUM($K398:P398)),0),0)</f>
        <v>0</v>
      </c>
      <c r="R398" s="20">
        <f>IFERROR(IF($F398&lt;=R$9,MIN($I398/$J398,$I398-SUM($K398:Q398)),0),0)</f>
        <v>0</v>
      </c>
      <c r="S398" s="20">
        <f>IFERROR(IF($F398&lt;=S$9,MIN($I398/$J398,$I398-SUM($K398:R398)),0),0)</f>
        <v>0</v>
      </c>
      <c r="T398" s="20">
        <f>IFERROR(IF($F398&lt;=T$9,MIN($I398/$J398,$I398-SUM($K398:S398)),0),0)</f>
        <v>0</v>
      </c>
      <c r="U398" s="20">
        <f>IFERROR(IF($F398&lt;=U$9,MIN($I398/$J398,$I398-SUM($K398:T398)),0),0)</f>
        <v>0</v>
      </c>
      <c r="V398" s="20">
        <f>IFERROR(IF($F398&lt;=V$9,MIN($I398/$J398,$I398-SUM($K398:U398)),0),0)</f>
        <v>0</v>
      </c>
      <c r="W398" s="20">
        <f>IFERROR(IF($F398&lt;=W$9,MIN($I398/$J398,$I398-SUM($K398:V398)),0),0)</f>
        <v>0</v>
      </c>
      <c r="X398" s="20">
        <f>IFERROR(IF($F398&lt;=X$9,MIN($I398/$J398,$I398-SUM($K398:W398)),0),0)</f>
        <v>0</v>
      </c>
      <c r="Y398" s="20">
        <f>IFERROR(IF($F398&lt;=Y$9,MIN($I398/$J398,$I398-SUM($K398:X398)),0),0)</f>
        <v>0</v>
      </c>
      <c r="Z398" s="20">
        <f>IFERROR(IF($F398&lt;=Z$9,MIN($I398/$J398,$I398-SUM($K398:Y398)),0),0)</f>
        <v>0</v>
      </c>
      <c r="AA398" s="20">
        <f>IFERROR(IF($F398&lt;=AA$9,MIN($I398/$J398,$I398-SUM($K398:Z398)),0),0)</f>
        <v>0</v>
      </c>
      <c r="AB398" s="20">
        <f>IFERROR(IF($F398&lt;=AB$9,MIN($I398/$J398,$I398-SUM($K398:AA398)),0),0)</f>
        <v>0</v>
      </c>
      <c r="AC398" s="20">
        <f>IFERROR(IF($F398&lt;=AC$9,MIN($I398/$J398,$I398-SUM($K398:AB398)),0),0)</f>
        <v>0</v>
      </c>
      <c r="AD398" s="20">
        <f>IFERROR(IF($F398&lt;=AD$9,MIN($I398/$J398,$I398-SUM($K398:AC398)),0),0)</f>
        <v>0</v>
      </c>
      <c r="AE398" s="20">
        <f>IFERROR(IF($F398&lt;=AE$9,MIN($I398/$J398,$I398-SUM($K398:AD398)),0),0)</f>
        <v>0</v>
      </c>
      <c r="AF398" s="20">
        <f>IFERROR(IF($F398&lt;=AF$9,MIN($I398/$J398,$I398-SUM($K398:AE398)),0),0)</f>
        <v>0</v>
      </c>
      <c r="AG398" s="20">
        <f>IFERROR(IF($F398&lt;=AG$9,MIN($I398/$J398,$I398-SUM($K398:AF398)),0),0)</f>
        <v>0</v>
      </c>
      <c r="AH398" s="20">
        <f>IFERROR(IF($F398&lt;=AH$9,MIN($I398/$J398,$I398-SUM($K398:AG398)),0),0)</f>
        <v>0</v>
      </c>
      <c r="AI398" s="20">
        <f>IFERROR(IF($F398&lt;=AI$9,MIN($I398/$J398,$I398-SUM($K398:AH398)),0),0)</f>
        <v>0</v>
      </c>
      <c r="AJ398" s="20">
        <f>IFERROR(IF($F398&lt;=AJ$9,MIN($I398/$J398,$I398-SUM($K398:AI398)),0),0)</f>
        <v>0</v>
      </c>
      <c r="AK398" s="20">
        <f>IFERROR(IF($F398&lt;=AK$9,MIN($I398/$J398,$I398-SUM($K398:AJ398)),0),0)</f>
        <v>0</v>
      </c>
      <c r="AL398" s="20">
        <f>IFERROR(IF($F398&lt;=AL$9,MIN($I398/$J398,$I398-SUM($K398:AK398)),0),0)</f>
        <v>0</v>
      </c>
      <c r="AM398" s="20">
        <f>IFERROR(IF($F398&lt;=AM$9,MIN($I398/$J398,$I398-SUM($K398:AL398)),0),0)</f>
        <v>0</v>
      </c>
      <c r="AN398" s="20">
        <f>IFERROR(IF($F398&lt;=AN$9,MIN($I398/$J398,$I398-SUM($K398:AM398)),0),0)</f>
        <v>0</v>
      </c>
      <c r="AO398" s="28"/>
    </row>
    <row r="399" spans="6:41" ht="14.4" customHeight="1" outlineLevel="1" x14ac:dyDescent="0.3">
      <c r="F399" s="69" t="str">
        <v/>
      </c>
      <c r="H399" s="26" t="s">
        <v>245</v>
      </c>
      <c r="I399" s="128">
        <v>0</v>
      </c>
      <c r="J399" s="117">
        <v>0</v>
      </c>
      <c r="K399" s="89">
        <v>0</v>
      </c>
      <c r="L399" s="20">
        <f>IFERROR(IF($F399&lt;=L$9,MIN($I399/$J399,$I399-SUM($K399:K399)),0),0)</f>
        <v>0</v>
      </c>
      <c r="M399" s="20">
        <f>IFERROR(IF($F399&lt;=M$9,MIN($I399/$J399,$I399-SUM($K399:L399)),0),0)</f>
        <v>0</v>
      </c>
      <c r="N399" s="20">
        <f>IFERROR(IF($F399&lt;=N$9,MIN($I399/$J399,$I399-SUM($K399:M399)),0),0)</f>
        <v>0</v>
      </c>
      <c r="O399" s="20">
        <f>IFERROR(IF($F399&lt;=O$9,MIN($I399/$J399,$I399-SUM($K399:N399)),0),0)</f>
        <v>0</v>
      </c>
      <c r="P399" s="20">
        <f>IFERROR(IF($F399&lt;=P$9,MIN($I399/$J399,$I399-SUM($K399:O399)),0),0)</f>
        <v>0</v>
      </c>
      <c r="Q399" s="20">
        <f>IFERROR(IF($F399&lt;=Q$9,MIN($I399/$J399,$I399-SUM($K399:P399)),0),0)</f>
        <v>0</v>
      </c>
      <c r="R399" s="20">
        <f>IFERROR(IF($F399&lt;=R$9,MIN($I399/$J399,$I399-SUM($K399:Q399)),0),0)</f>
        <v>0</v>
      </c>
      <c r="S399" s="20">
        <f>IFERROR(IF($F399&lt;=S$9,MIN($I399/$J399,$I399-SUM($K399:R399)),0),0)</f>
        <v>0</v>
      </c>
      <c r="T399" s="20">
        <f>IFERROR(IF($F399&lt;=T$9,MIN($I399/$J399,$I399-SUM($K399:S399)),0),0)</f>
        <v>0</v>
      </c>
      <c r="U399" s="20">
        <f>IFERROR(IF($F399&lt;=U$9,MIN($I399/$J399,$I399-SUM($K399:T399)),0),0)</f>
        <v>0</v>
      </c>
      <c r="V399" s="20">
        <f>IFERROR(IF($F399&lt;=V$9,MIN($I399/$J399,$I399-SUM($K399:U399)),0),0)</f>
        <v>0</v>
      </c>
      <c r="W399" s="20">
        <f>IFERROR(IF($F399&lt;=W$9,MIN($I399/$J399,$I399-SUM($K399:V399)),0),0)</f>
        <v>0</v>
      </c>
      <c r="X399" s="20">
        <f>IFERROR(IF($F399&lt;=X$9,MIN($I399/$J399,$I399-SUM($K399:W399)),0),0)</f>
        <v>0</v>
      </c>
      <c r="Y399" s="20">
        <f>IFERROR(IF($F399&lt;=Y$9,MIN($I399/$J399,$I399-SUM($K399:X399)),0),0)</f>
        <v>0</v>
      </c>
      <c r="Z399" s="20">
        <f>IFERROR(IF($F399&lt;=Z$9,MIN($I399/$J399,$I399-SUM($K399:Y399)),0),0)</f>
        <v>0</v>
      </c>
      <c r="AA399" s="20">
        <f>IFERROR(IF($F399&lt;=AA$9,MIN($I399/$J399,$I399-SUM($K399:Z399)),0),0)</f>
        <v>0</v>
      </c>
      <c r="AB399" s="20">
        <f>IFERROR(IF($F399&lt;=AB$9,MIN($I399/$J399,$I399-SUM($K399:AA399)),0),0)</f>
        <v>0</v>
      </c>
      <c r="AC399" s="20">
        <f>IFERROR(IF($F399&lt;=AC$9,MIN($I399/$J399,$I399-SUM($K399:AB399)),0),0)</f>
        <v>0</v>
      </c>
      <c r="AD399" s="20">
        <f>IFERROR(IF($F399&lt;=AD$9,MIN($I399/$J399,$I399-SUM($K399:AC399)),0),0)</f>
        <v>0</v>
      </c>
      <c r="AE399" s="20">
        <f>IFERROR(IF($F399&lt;=AE$9,MIN($I399/$J399,$I399-SUM($K399:AD399)),0),0)</f>
        <v>0</v>
      </c>
      <c r="AF399" s="20">
        <f>IFERROR(IF($F399&lt;=AF$9,MIN($I399/$J399,$I399-SUM($K399:AE399)),0),0)</f>
        <v>0</v>
      </c>
      <c r="AG399" s="20">
        <f>IFERROR(IF($F399&lt;=AG$9,MIN($I399/$J399,$I399-SUM($K399:AF399)),0),0)</f>
        <v>0</v>
      </c>
      <c r="AH399" s="20">
        <f>IFERROR(IF($F399&lt;=AH$9,MIN($I399/$J399,$I399-SUM($K399:AG399)),0),0)</f>
        <v>0</v>
      </c>
      <c r="AI399" s="20">
        <f>IFERROR(IF($F399&lt;=AI$9,MIN($I399/$J399,$I399-SUM($K399:AH399)),0),0)</f>
        <v>0</v>
      </c>
      <c r="AJ399" s="20">
        <f>IFERROR(IF($F399&lt;=AJ$9,MIN($I399/$J399,$I399-SUM($K399:AI399)),0),0)</f>
        <v>0</v>
      </c>
      <c r="AK399" s="20">
        <f>IFERROR(IF($F399&lt;=AK$9,MIN($I399/$J399,$I399-SUM($K399:AJ399)),0),0)</f>
        <v>0</v>
      </c>
      <c r="AL399" s="20">
        <f>IFERROR(IF($F399&lt;=AL$9,MIN($I399/$J399,$I399-SUM($K399:AK399)),0),0)</f>
        <v>0</v>
      </c>
      <c r="AM399" s="20">
        <f>IFERROR(IF($F399&lt;=AM$9,MIN($I399/$J399,$I399-SUM($K399:AL399)),0),0)</f>
        <v>0</v>
      </c>
      <c r="AN399" s="20">
        <f>IFERROR(IF($F399&lt;=AN$9,MIN($I399/$J399,$I399-SUM($K399:AM399)),0),0)</f>
        <v>0</v>
      </c>
      <c r="AO399" s="28"/>
    </row>
    <row r="400" spans="6:41" ht="14.4" customHeight="1" outlineLevel="1" x14ac:dyDescent="0.3">
      <c r="F400" s="69" t="str">
        <v/>
      </c>
      <c r="H400" s="26" t="s">
        <v>245</v>
      </c>
      <c r="I400" s="128">
        <v>0</v>
      </c>
      <c r="J400" s="117">
        <v>0</v>
      </c>
      <c r="K400" s="89">
        <v>0</v>
      </c>
      <c r="L400" s="20">
        <f>IFERROR(IF($F400&lt;=L$9,MIN($I400/$J400,$I400-SUM($K400:K400)),0),0)</f>
        <v>0</v>
      </c>
      <c r="M400" s="20">
        <f>IFERROR(IF($F400&lt;=M$9,MIN($I400/$J400,$I400-SUM($K400:L400)),0),0)</f>
        <v>0</v>
      </c>
      <c r="N400" s="20">
        <f>IFERROR(IF($F400&lt;=N$9,MIN($I400/$J400,$I400-SUM($K400:M400)),0),0)</f>
        <v>0</v>
      </c>
      <c r="O400" s="20">
        <f>IFERROR(IF($F400&lt;=O$9,MIN($I400/$J400,$I400-SUM($K400:N400)),0),0)</f>
        <v>0</v>
      </c>
      <c r="P400" s="20">
        <f>IFERROR(IF($F400&lt;=P$9,MIN($I400/$J400,$I400-SUM($K400:O400)),0),0)</f>
        <v>0</v>
      </c>
      <c r="Q400" s="20">
        <f>IFERROR(IF($F400&lt;=Q$9,MIN($I400/$J400,$I400-SUM($K400:P400)),0),0)</f>
        <v>0</v>
      </c>
      <c r="R400" s="20">
        <f>IFERROR(IF($F400&lt;=R$9,MIN($I400/$J400,$I400-SUM($K400:Q400)),0),0)</f>
        <v>0</v>
      </c>
      <c r="S400" s="20">
        <f>IFERROR(IF($F400&lt;=S$9,MIN($I400/$J400,$I400-SUM($K400:R400)),0),0)</f>
        <v>0</v>
      </c>
      <c r="T400" s="20">
        <f>IFERROR(IF($F400&lt;=T$9,MIN($I400/$J400,$I400-SUM($K400:S400)),0),0)</f>
        <v>0</v>
      </c>
      <c r="U400" s="20">
        <f>IFERROR(IF($F400&lt;=U$9,MIN($I400/$J400,$I400-SUM($K400:T400)),0),0)</f>
        <v>0</v>
      </c>
      <c r="V400" s="20">
        <f>IFERROR(IF($F400&lt;=V$9,MIN($I400/$J400,$I400-SUM($K400:U400)),0),0)</f>
        <v>0</v>
      </c>
      <c r="W400" s="20">
        <f>IFERROR(IF($F400&lt;=W$9,MIN($I400/$J400,$I400-SUM($K400:V400)),0),0)</f>
        <v>0</v>
      </c>
      <c r="X400" s="20">
        <f>IFERROR(IF($F400&lt;=X$9,MIN($I400/$J400,$I400-SUM($K400:W400)),0),0)</f>
        <v>0</v>
      </c>
      <c r="Y400" s="20">
        <f>IFERROR(IF($F400&lt;=Y$9,MIN($I400/$J400,$I400-SUM($K400:X400)),0),0)</f>
        <v>0</v>
      </c>
      <c r="Z400" s="20">
        <f>IFERROR(IF($F400&lt;=Z$9,MIN($I400/$J400,$I400-SUM($K400:Y400)),0),0)</f>
        <v>0</v>
      </c>
      <c r="AA400" s="20">
        <f>IFERROR(IF($F400&lt;=AA$9,MIN($I400/$J400,$I400-SUM($K400:Z400)),0),0)</f>
        <v>0</v>
      </c>
      <c r="AB400" s="20">
        <f>IFERROR(IF($F400&lt;=AB$9,MIN($I400/$J400,$I400-SUM($K400:AA400)),0),0)</f>
        <v>0</v>
      </c>
      <c r="AC400" s="20">
        <f>IFERROR(IF($F400&lt;=AC$9,MIN($I400/$J400,$I400-SUM($K400:AB400)),0),0)</f>
        <v>0</v>
      </c>
      <c r="AD400" s="20">
        <f>IFERROR(IF($F400&lt;=AD$9,MIN($I400/$J400,$I400-SUM($K400:AC400)),0),0)</f>
        <v>0</v>
      </c>
      <c r="AE400" s="20">
        <f>IFERROR(IF($F400&lt;=AE$9,MIN($I400/$J400,$I400-SUM($K400:AD400)),0),0)</f>
        <v>0</v>
      </c>
      <c r="AF400" s="20">
        <f>IFERROR(IF($F400&lt;=AF$9,MIN($I400/$J400,$I400-SUM($K400:AE400)),0),0)</f>
        <v>0</v>
      </c>
      <c r="AG400" s="20">
        <f>IFERROR(IF($F400&lt;=AG$9,MIN($I400/$J400,$I400-SUM($K400:AF400)),0),0)</f>
        <v>0</v>
      </c>
      <c r="AH400" s="20">
        <f>IFERROR(IF($F400&lt;=AH$9,MIN($I400/$J400,$I400-SUM($K400:AG400)),0),0)</f>
        <v>0</v>
      </c>
      <c r="AI400" s="20">
        <f>IFERROR(IF($F400&lt;=AI$9,MIN($I400/$J400,$I400-SUM($K400:AH400)),0),0)</f>
        <v>0</v>
      </c>
      <c r="AJ400" s="20">
        <f>IFERROR(IF($F400&lt;=AJ$9,MIN($I400/$J400,$I400-SUM($K400:AI400)),0),0)</f>
        <v>0</v>
      </c>
      <c r="AK400" s="20">
        <f>IFERROR(IF($F400&lt;=AK$9,MIN($I400/$J400,$I400-SUM($K400:AJ400)),0),0)</f>
        <v>0</v>
      </c>
      <c r="AL400" s="20">
        <f>IFERROR(IF($F400&lt;=AL$9,MIN($I400/$J400,$I400-SUM($K400:AK400)),0),0)</f>
        <v>0</v>
      </c>
      <c r="AM400" s="20">
        <f>IFERROR(IF($F400&lt;=AM$9,MIN($I400/$J400,$I400-SUM($K400:AL400)),0),0)</f>
        <v>0</v>
      </c>
      <c r="AN400" s="20">
        <f>IFERROR(IF($F400&lt;=AN$9,MIN($I400/$J400,$I400-SUM($K400:AM400)),0),0)</f>
        <v>0</v>
      </c>
      <c r="AO400" s="28"/>
    </row>
    <row r="401" spans="1:41" ht="14.4" customHeight="1" outlineLevel="1" x14ac:dyDescent="0.3">
      <c r="F401" s="69" t="str">
        <v/>
      </c>
      <c r="H401" s="26" t="s">
        <v>245</v>
      </c>
      <c r="I401" s="128">
        <v>0</v>
      </c>
      <c r="J401" s="117">
        <v>0</v>
      </c>
      <c r="K401" s="89">
        <v>0</v>
      </c>
      <c r="L401" s="20">
        <f>IFERROR(IF($F401&lt;=L$9,MIN($I401/$J401,$I401-SUM($K401:K401)),0),0)</f>
        <v>0</v>
      </c>
      <c r="M401" s="20">
        <f>IFERROR(IF($F401&lt;=M$9,MIN($I401/$J401,$I401-SUM($K401:L401)),0),0)</f>
        <v>0</v>
      </c>
      <c r="N401" s="20">
        <f>IFERROR(IF($F401&lt;=N$9,MIN($I401/$J401,$I401-SUM($K401:M401)),0),0)</f>
        <v>0</v>
      </c>
      <c r="O401" s="20">
        <f>IFERROR(IF($F401&lt;=O$9,MIN($I401/$J401,$I401-SUM($K401:N401)),0),0)</f>
        <v>0</v>
      </c>
      <c r="P401" s="20">
        <f>IFERROR(IF($F401&lt;=P$9,MIN($I401/$J401,$I401-SUM($K401:O401)),0),0)</f>
        <v>0</v>
      </c>
      <c r="Q401" s="20">
        <f>IFERROR(IF($F401&lt;=Q$9,MIN($I401/$J401,$I401-SUM($K401:P401)),0),0)</f>
        <v>0</v>
      </c>
      <c r="R401" s="20">
        <f>IFERROR(IF($F401&lt;=R$9,MIN($I401/$J401,$I401-SUM($K401:Q401)),0),0)</f>
        <v>0</v>
      </c>
      <c r="S401" s="20">
        <f>IFERROR(IF($F401&lt;=S$9,MIN($I401/$J401,$I401-SUM($K401:R401)),0),0)</f>
        <v>0</v>
      </c>
      <c r="T401" s="20">
        <f>IFERROR(IF($F401&lt;=T$9,MIN($I401/$J401,$I401-SUM($K401:S401)),0),0)</f>
        <v>0</v>
      </c>
      <c r="U401" s="20">
        <f>IFERROR(IF($F401&lt;=U$9,MIN($I401/$J401,$I401-SUM($K401:T401)),0),0)</f>
        <v>0</v>
      </c>
      <c r="V401" s="20">
        <f>IFERROR(IF($F401&lt;=V$9,MIN($I401/$J401,$I401-SUM($K401:U401)),0),0)</f>
        <v>0</v>
      </c>
      <c r="W401" s="20">
        <f>IFERROR(IF($F401&lt;=W$9,MIN($I401/$J401,$I401-SUM($K401:V401)),0),0)</f>
        <v>0</v>
      </c>
      <c r="X401" s="20">
        <f>IFERROR(IF($F401&lt;=X$9,MIN($I401/$J401,$I401-SUM($K401:W401)),0),0)</f>
        <v>0</v>
      </c>
      <c r="Y401" s="20">
        <f>IFERROR(IF($F401&lt;=Y$9,MIN($I401/$J401,$I401-SUM($K401:X401)),0),0)</f>
        <v>0</v>
      </c>
      <c r="Z401" s="20">
        <f>IFERROR(IF($F401&lt;=Z$9,MIN($I401/$J401,$I401-SUM($K401:Y401)),0),0)</f>
        <v>0</v>
      </c>
      <c r="AA401" s="20">
        <f>IFERROR(IF($F401&lt;=AA$9,MIN($I401/$J401,$I401-SUM($K401:Z401)),0),0)</f>
        <v>0</v>
      </c>
      <c r="AB401" s="20">
        <f>IFERROR(IF($F401&lt;=AB$9,MIN($I401/$J401,$I401-SUM($K401:AA401)),0),0)</f>
        <v>0</v>
      </c>
      <c r="AC401" s="20">
        <f>IFERROR(IF($F401&lt;=AC$9,MIN($I401/$J401,$I401-SUM($K401:AB401)),0),0)</f>
        <v>0</v>
      </c>
      <c r="AD401" s="20">
        <f>IFERROR(IF($F401&lt;=AD$9,MIN($I401/$J401,$I401-SUM($K401:AC401)),0),0)</f>
        <v>0</v>
      </c>
      <c r="AE401" s="20">
        <f>IFERROR(IF($F401&lt;=AE$9,MIN($I401/$J401,$I401-SUM($K401:AD401)),0),0)</f>
        <v>0</v>
      </c>
      <c r="AF401" s="20">
        <f>IFERROR(IF($F401&lt;=AF$9,MIN($I401/$J401,$I401-SUM($K401:AE401)),0),0)</f>
        <v>0</v>
      </c>
      <c r="AG401" s="20">
        <f>IFERROR(IF($F401&lt;=AG$9,MIN($I401/$J401,$I401-SUM($K401:AF401)),0),0)</f>
        <v>0</v>
      </c>
      <c r="AH401" s="20">
        <f>IFERROR(IF($F401&lt;=AH$9,MIN($I401/$J401,$I401-SUM($K401:AG401)),0),0)</f>
        <v>0</v>
      </c>
      <c r="AI401" s="20">
        <f>IFERROR(IF($F401&lt;=AI$9,MIN($I401/$J401,$I401-SUM($K401:AH401)),0),0)</f>
        <v>0</v>
      </c>
      <c r="AJ401" s="20">
        <f>IFERROR(IF($F401&lt;=AJ$9,MIN($I401/$J401,$I401-SUM($K401:AI401)),0),0)</f>
        <v>0</v>
      </c>
      <c r="AK401" s="20">
        <f>IFERROR(IF($F401&lt;=AK$9,MIN($I401/$J401,$I401-SUM($K401:AJ401)),0),0)</f>
        <v>0</v>
      </c>
      <c r="AL401" s="20">
        <f>IFERROR(IF($F401&lt;=AL$9,MIN($I401/$J401,$I401-SUM($K401:AK401)),0),0)</f>
        <v>0</v>
      </c>
      <c r="AM401" s="20">
        <f>IFERROR(IF($F401&lt;=AM$9,MIN($I401/$J401,$I401-SUM($K401:AL401)),0),0)</f>
        <v>0</v>
      </c>
      <c r="AN401" s="20">
        <f>IFERROR(IF($F401&lt;=AN$9,MIN($I401/$J401,$I401-SUM($K401:AM401)),0),0)</f>
        <v>0</v>
      </c>
      <c r="AO401" s="28"/>
    </row>
    <row r="402" spans="1:41" ht="14.4" customHeight="1" outlineLevel="1" x14ac:dyDescent="0.3">
      <c r="F402" s="69" t="str">
        <v/>
      </c>
      <c r="H402" s="26" t="s">
        <v>245</v>
      </c>
      <c r="I402" s="128">
        <v>0</v>
      </c>
      <c r="J402" s="117">
        <v>0</v>
      </c>
      <c r="K402" s="89">
        <v>0</v>
      </c>
      <c r="L402" s="20">
        <f>IFERROR(IF($F402&lt;=L$9,MIN($I402/$J402,$I402-SUM($K402:K402)),0),0)</f>
        <v>0</v>
      </c>
      <c r="M402" s="20">
        <f>IFERROR(IF($F402&lt;=M$9,MIN($I402/$J402,$I402-SUM($K402:L402)),0),0)</f>
        <v>0</v>
      </c>
      <c r="N402" s="20">
        <f>IFERROR(IF($F402&lt;=N$9,MIN($I402/$J402,$I402-SUM($K402:M402)),0),0)</f>
        <v>0</v>
      </c>
      <c r="O402" s="20">
        <f>IFERROR(IF($F402&lt;=O$9,MIN($I402/$J402,$I402-SUM($K402:N402)),0),0)</f>
        <v>0</v>
      </c>
      <c r="P402" s="20">
        <f>IFERROR(IF($F402&lt;=P$9,MIN($I402/$J402,$I402-SUM($K402:O402)),0),0)</f>
        <v>0</v>
      </c>
      <c r="Q402" s="20">
        <f>IFERROR(IF($F402&lt;=Q$9,MIN($I402/$J402,$I402-SUM($K402:P402)),0),0)</f>
        <v>0</v>
      </c>
      <c r="R402" s="20">
        <f>IFERROR(IF($F402&lt;=R$9,MIN($I402/$J402,$I402-SUM($K402:Q402)),0),0)</f>
        <v>0</v>
      </c>
      <c r="S402" s="20">
        <f>IFERROR(IF($F402&lt;=S$9,MIN($I402/$J402,$I402-SUM($K402:R402)),0),0)</f>
        <v>0</v>
      </c>
      <c r="T402" s="20">
        <f>IFERROR(IF($F402&lt;=T$9,MIN($I402/$J402,$I402-SUM($K402:S402)),0),0)</f>
        <v>0</v>
      </c>
      <c r="U402" s="20">
        <f>IFERROR(IF($F402&lt;=U$9,MIN($I402/$J402,$I402-SUM($K402:T402)),0),0)</f>
        <v>0</v>
      </c>
      <c r="V402" s="20">
        <f>IFERROR(IF($F402&lt;=V$9,MIN($I402/$J402,$I402-SUM($K402:U402)),0),0)</f>
        <v>0</v>
      </c>
      <c r="W402" s="20">
        <f>IFERROR(IF($F402&lt;=W$9,MIN($I402/$J402,$I402-SUM($K402:V402)),0),0)</f>
        <v>0</v>
      </c>
      <c r="X402" s="20">
        <f>IFERROR(IF($F402&lt;=X$9,MIN($I402/$J402,$I402-SUM($K402:W402)),0),0)</f>
        <v>0</v>
      </c>
      <c r="Y402" s="20">
        <f>IFERROR(IF($F402&lt;=Y$9,MIN($I402/$J402,$I402-SUM($K402:X402)),0),0)</f>
        <v>0</v>
      </c>
      <c r="Z402" s="20">
        <f>IFERROR(IF($F402&lt;=Z$9,MIN($I402/$J402,$I402-SUM($K402:Y402)),0),0)</f>
        <v>0</v>
      </c>
      <c r="AA402" s="20">
        <f>IFERROR(IF($F402&lt;=AA$9,MIN($I402/$J402,$I402-SUM($K402:Z402)),0),0)</f>
        <v>0</v>
      </c>
      <c r="AB402" s="20">
        <f>IFERROR(IF($F402&lt;=AB$9,MIN($I402/$J402,$I402-SUM($K402:AA402)),0),0)</f>
        <v>0</v>
      </c>
      <c r="AC402" s="20">
        <f>IFERROR(IF($F402&lt;=AC$9,MIN($I402/$J402,$I402-SUM($K402:AB402)),0),0)</f>
        <v>0</v>
      </c>
      <c r="AD402" s="20">
        <f>IFERROR(IF($F402&lt;=AD$9,MIN($I402/$J402,$I402-SUM($K402:AC402)),0),0)</f>
        <v>0</v>
      </c>
      <c r="AE402" s="20">
        <f>IFERROR(IF($F402&lt;=AE$9,MIN($I402/$J402,$I402-SUM($K402:AD402)),0),0)</f>
        <v>0</v>
      </c>
      <c r="AF402" s="20">
        <f>IFERROR(IF($F402&lt;=AF$9,MIN($I402/$J402,$I402-SUM($K402:AE402)),0),0)</f>
        <v>0</v>
      </c>
      <c r="AG402" s="20">
        <f>IFERROR(IF($F402&lt;=AG$9,MIN($I402/$J402,$I402-SUM($K402:AF402)),0),0)</f>
        <v>0</v>
      </c>
      <c r="AH402" s="20">
        <f>IFERROR(IF($F402&lt;=AH$9,MIN($I402/$J402,$I402-SUM($K402:AG402)),0),0)</f>
        <v>0</v>
      </c>
      <c r="AI402" s="20">
        <f>IFERROR(IF($F402&lt;=AI$9,MIN($I402/$J402,$I402-SUM($K402:AH402)),0),0)</f>
        <v>0</v>
      </c>
      <c r="AJ402" s="20">
        <f>IFERROR(IF($F402&lt;=AJ$9,MIN($I402/$J402,$I402-SUM($K402:AI402)),0),0)</f>
        <v>0</v>
      </c>
      <c r="AK402" s="20">
        <f>IFERROR(IF($F402&lt;=AK$9,MIN($I402/$J402,$I402-SUM($K402:AJ402)),0),0)</f>
        <v>0</v>
      </c>
      <c r="AL402" s="20">
        <f>IFERROR(IF($F402&lt;=AL$9,MIN($I402/$J402,$I402-SUM($K402:AK402)),0),0)</f>
        <v>0</v>
      </c>
      <c r="AM402" s="20">
        <f>IFERROR(IF($F402&lt;=AM$9,MIN($I402/$J402,$I402-SUM($K402:AL402)),0),0)</f>
        <v>0</v>
      </c>
      <c r="AN402" s="20">
        <f>IFERROR(IF($F402&lt;=AN$9,MIN($I402/$J402,$I402-SUM($K402:AM402)),0),0)</f>
        <v>0</v>
      </c>
      <c r="AO402" s="28"/>
    </row>
    <row r="403" spans="1:41" ht="14.4" customHeight="1" outlineLevel="1" x14ac:dyDescent="0.3">
      <c r="F403" s="69" t="str">
        <v/>
      </c>
      <c r="H403" s="26" t="s">
        <v>245</v>
      </c>
      <c r="I403" s="128">
        <v>0</v>
      </c>
      <c r="J403" s="117">
        <v>0</v>
      </c>
      <c r="K403" s="89">
        <v>0</v>
      </c>
      <c r="L403" s="20">
        <f>IFERROR(IF($F403&lt;=L$9,MIN($I403/$J403,$I403-SUM($K403:K403)),0),0)</f>
        <v>0</v>
      </c>
      <c r="M403" s="20">
        <f>IFERROR(IF($F403&lt;=M$9,MIN($I403/$J403,$I403-SUM($K403:L403)),0),0)</f>
        <v>0</v>
      </c>
      <c r="N403" s="20">
        <f>IFERROR(IF($F403&lt;=N$9,MIN($I403/$J403,$I403-SUM($K403:M403)),0),0)</f>
        <v>0</v>
      </c>
      <c r="O403" s="20">
        <f>IFERROR(IF($F403&lt;=O$9,MIN($I403/$J403,$I403-SUM($K403:N403)),0),0)</f>
        <v>0</v>
      </c>
      <c r="P403" s="20">
        <f>IFERROR(IF($F403&lt;=P$9,MIN($I403/$J403,$I403-SUM($K403:O403)),0),0)</f>
        <v>0</v>
      </c>
      <c r="Q403" s="20">
        <f>IFERROR(IF($F403&lt;=Q$9,MIN($I403/$J403,$I403-SUM($K403:P403)),0),0)</f>
        <v>0</v>
      </c>
      <c r="R403" s="20">
        <f>IFERROR(IF($F403&lt;=R$9,MIN($I403/$J403,$I403-SUM($K403:Q403)),0),0)</f>
        <v>0</v>
      </c>
      <c r="S403" s="20">
        <f>IFERROR(IF($F403&lt;=S$9,MIN($I403/$J403,$I403-SUM($K403:R403)),0),0)</f>
        <v>0</v>
      </c>
      <c r="T403" s="20">
        <f>IFERROR(IF($F403&lt;=T$9,MIN($I403/$J403,$I403-SUM($K403:S403)),0),0)</f>
        <v>0</v>
      </c>
      <c r="U403" s="20">
        <f>IFERROR(IF($F403&lt;=U$9,MIN($I403/$J403,$I403-SUM($K403:T403)),0),0)</f>
        <v>0</v>
      </c>
      <c r="V403" s="20">
        <f>IFERROR(IF($F403&lt;=V$9,MIN($I403/$J403,$I403-SUM($K403:U403)),0),0)</f>
        <v>0</v>
      </c>
      <c r="W403" s="20">
        <f>IFERROR(IF($F403&lt;=W$9,MIN($I403/$J403,$I403-SUM($K403:V403)),0),0)</f>
        <v>0</v>
      </c>
      <c r="X403" s="20">
        <f>IFERROR(IF($F403&lt;=X$9,MIN($I403/$J403,$I403-SUM($K403:W403)),0),0)</f>
        <v>0</v>
      </c>
      <c r="Y403" s="20">
        <f>IFERROR(IF($F403&lt;=Y$9,MIN($I403/$J403,$I403-SUM($K403:X403)),0),0)</f>
        <v>0</v>
      </c>
      <c r="Z403" s="20">
        <f>IFERROR(IF($F403&lt;=Z$9,MIN($I403/$J403,$I403-SUM($K403:Y403)),0),0)</f>
        <v>0</v>
      </c>
      <c r="AA403" s="20">
        <f>IFERROR(IF($F403&lt;=AA$9,MIN($I403/$J403,$I403-SUM($K403:Z403)),0),0)</f>
        <v>0</v>
      </c>
      <c r="AB403" s="20">
        <f>IFERROR(IF($F403&lt;=AB$9,MIN($I403/$J403,$I403-SUM($K403:AA403)),0),0)</f>
        <v>0</v>
      </c>
      <c r="AC403" s="20">
        <f>IFERROR(IF($F403&lt;=AC$9,MIN($I403/$J403,$I403-SUM($K403:AB403)),0),0)</f>
        <v>0</v>
      </c>
      <c r="AD403" s="20">
        <f>IFERROR(IF($F403&lt;=AD$9,MIN($I403/$J403,$I403-SUM($K403:AC403)),0),0)</f>
        <v>0</v>
      </c>
      <c r="AE403" s="20">
        <f>IFERROR(IF($F403&lt;=AE$9,MIN($I403/$J403,$I403-SUM($K403:AD403)),0),0)</f>
        <v>0</v>
      </c>
      <c r="AF403" s="20">
        <f>IFERROR(IF($F403&lt;=AF$9,MIN($I403/$J403,$I403-SUM($K403:AE403)),0),0)</f>
        <v>0</v>
      </c>
      <c r="AG403" s="20">
        <f>IFERROR(IF($F403&lt;=AG$9,MIN($I403/$J403,$I403-SUM($K403:AF403)),0),0)</f>
        <v>0</v>
      </c>
      <c r="AH403" s="20">
        <f>IFERROR(IF($F403&lt;=AH$9,MIN($I403/$J403,$I403-SUM($K403:AG403)),0),0)</f>
        <v>0</v>
      </c>
      <c r="AI403" s="20">
        <f>IFERROR(IF($F403&lt;=AI$9,MIN($I403/$J403,$I403-SUM($K403:AH403)),0),0)</f>
        <v>0</v>
      </c>
      <c r="AJ403" s="20">
        <f>IFERROR(IF($F403&lt;=AJ$9,MIN($I403/$J403,$I403-SUM($K403:AI403)),0),0)</f>
        <v>0</v>
      </c>
      <c r="AK403" s="20">
        <f>IFERROR(IF($F403&lt;=AK$9,MIN($I403/$J403,$I403-SUM($K403:AJ403)),0),0)</f>
        <v>0</v>
      </c>
      <c r="AL403" s="20">
        <f>IFERROR(IF($F403&lt;=AL$9,MIN($I403/$J403,$I403-SUM($K403:AK403)),0),0)</f>
        <v>0</v>
      </c>
      <c r="AM403" s="20">
        <f>IFERROR(IF($F403&lt;=AM$9,MIN($I403/$J403,$I403-SUM($K403:AL403)),0),0)</f>
        <v>0</v>
      </c>
      <c r="AN403" s="20">
        <f>IFERROR(IF($F403&lt;=AN$9,MIN($I403/$J403,$I403-SUM($K403:AM403)),0),0)</f>
        <v>0</v>
      </c>
      <c r="AO403" s="28"/>
    </row>
    <row r="404" spans="1:41" ht="14.4" customHeight="1" outlineLevel="1" x14ac:dyDescent="0.3">
      <c r="F404" s="69" t="str">
        <v/>
      </c>
      <c r="H404" s="26" t="s">
        <v>245</v>
      </c>
      <c r="I404" s="128">
        <v>0</v>
      </c>
      <c r="J404" s="117">
        <v>0</v>
      </c>
      <c r="K404" s="89">
        <v>0</v>
      </c>
      <c r="L404" s="20">
        <f>IFERROR(IF($F404&lt;=L$9,MIN($I404/$J404,$I404-SUM($K404:K404)),0),0)</f>
        <v>0</v>
      </c>
      <c r="M404" s="20">
        <f>IFERROR(IF($F404&lt;=M$9,MIN($I404/$J404,$I404-SUM($K404:L404)),0),0)</f>
        <v>0</v>
      </c>
      <c r="N404" s="20">
        <f>IFERROR(IF($F404&lt;=N$9,MIN($I404/$J404,$I404-SUM($K404:M404)),0),0)</f>
        <v>0</v>
      </c>
      <c r="O404" s="20">
        <f>IFERROR(IF($F404&lt;=O$9,MIN($I404/$J404,$I404-SUM($K404:N404)),0),0)</f>
        <v>0</v>
      </c>
      <c r="P404" s="20">
        <f>IFERROR(IF($F404&lt;=P$9,MIN($I404/$J404,$I404-SUM($K404:O404)),0),0)</f>
        <v>0</v>
      </c>
      <c r="Q404" s="20">
        <f>IFERROR(IF($F404&lt;=Q$9,MIN($I404/$J404,$I404-SUM($K404:P404)),0),0)</f>
        <v>0</v>
      </c>
      <c r="R404" s="20">
        <f>IFERROR(IF($F404&lt;=R$9,MIN($I404/$J404,$I404-SUM($K404:Q404)),0),0)</f>
        <v>0</v>
      </c>
      <c r="S404" s="20">
        <f>IFERROR(IF($F404&lt;=S$9,MIN($I404/$J404,$I404-SUM($K404:R404)),0),0)</f>
        <v>0</v>
      </c>
      <c r="T404" s="20">
        <f>IFERROR(IF($F404&lt;=T$9,MIN($I404/$J404,$I404-SUM($K404:S404)),0),0)</f>
        <v>0</v>
      </c>
      <c r="U404" s="20">
        <f>IFERROR(IF($F404&lt;=U$9,MIN($I404/$J404,$I404-SUM($K404:T404)),0),0)</f>
        <v>0</v>
      </c>
      <c r="V404" s="20">
        <f>IFERROR(IF($F404&lt;=V$9,MIN($I404/$J404,$I404-SUM($K404:U404)),0),0)</f>
        <v>0</v>
      </c>
      <c r="W404" s="20">
        <f>IFERROR(IF($F404&lt;=W$9,MIN($I404/$J404,$I404-SUM($K404:V404)),0),0)</f>
        <v>0</v>
      </c>
      <c r="X404" s="20">
        <f>IFERROR(IF($F404&lt;=X$9,MIN($I404/$J404,$I404-SUM($K404:W404)),0),0)</f>
        <v>0</v>
      </c>
      <c r="Y404" s="20">
        <f>IFERROR(IF($F404&lt;=Y$9,MIN($I404/$J404,$I404-SUM($K404:X404)),0),0)</f>
        <v>0</v>
      </c>
      <c r="Z404" s="20">
        <f>IFERROR(IF($F404&lt;=Z$9,MIN($I404/$J404,$I404-SUM($K404:Y404)),0),0)</f>
        <v>0</v>
      </c>
      <c r="AA404" s="20">
        <f>IFERROR(IF($F404&lt;=AA$9,MIN($I404/$J404,$I404-SUM($K404:Z404)),0),0)</f>
        <v>0</v>
      </c>
      <c r="AB404" s="20">
        <f>IFERROR(IF($F404&lt;=AB$9,MIN($I404/$J404,$I404-SUM($K404:AA404)),0),0)</f>
        <v>0</v>
      </c>
      <c r="AC404" s="20">
        <f>IFERROR(IF($F404&lt;=AC$9,MIN($I404/$J404,$I404-SUM($K404:AB404)),0),0)</f>
        <v>0</v>
      </c>
      <c r="AD404" s="20">
        <f>IFERROR(IF($F404&lt;=AD$9,MIN($I404/$J404,$I404-SUM($K404:AC404)),0),0)</f>
        <v>0</v>
      </c>
      <c r="AE404" s="20">
        <f>IFERROR(IF($F404&lt;=AE$9,MIN($I404/$J404,$I404-SUM($K404:AD404)),0),0)</f>
        <v>0</v>
      </c>
      <c r="AF404" s="20">
        <f>IFERROR(IF($F404&lt;=AF$9,MIN($I404/$J404,$I404-SUM($K404:AE404)),0),0)</f>
        <v>0</v>
      </c>
      <c r="AG404" s="20">
        <f>IFERROR(IF($F404&lt;=AG$9,MIN($I404/$J404,$I404-SUM($K404:AF404)),0),0)</f>
        <v>0</v>
      </c>
      <c r="AH404" s="20">
        <f>IFERROR(IF($F404&lt;=AH$9,MIN($I404/$J404,$I404-SUM($K404:AG404)),0),0)</f>
        <v>0</v>
      </c>
      <c r="AI404" s="20">
        <f>IFERROR(IF($F404&lt;=AI$9,MIN($I404/$J404,$I404-SUM($K404:AH404)),0),0)</f>
        <v>0</v>
      </c>
      <c r="AJ404" s="20">
        <f>IFERROR(IF($F404&lt;=AJ$9,MIN($I404/$J404,$I404-SUM($K404:AI404)),0),0)</f>
        <v>0</v>
      </c>
      <c r="AK404" s="20">
        <f>IFERROR(IF($F404&lt;=AK$9,MIN($I404/$J404,$I404-SUM($K404:AJ404)),0),0)</f>
        <v>0</v>
      </c>
      <c r="AL404" s="20">
        <f>IFERROR(IF($F404&lt;=AL$9,MIN($I404/$J404,$I404-SUM($K404:AK404)),0),0)</f>
        <v>0</v>
      </c>
      <c r="AM404" s="20">
        <f>IFERROR(IF($F404&lt;=AM$9,MIN($I404/$J404,$I404-SUM($K404:AL404)),0),0)</f>
        <v>0</v>
      </c>
      <c r="AN404" s="20">
        <f>IFERROR(IF($F404&lt;=AN$9,MIN($I404/$J404,$I404-SUM($K404:AM404)),0),0)</f>
        <v>0</v>
      </c>
      <c r="AO404" s="28"/>
    </row>
    <row r="405" spans="1:41" ht="14.4" customHeight="1" outlineLevel="1" x14ac:dyDescent="0.3">
      <c r="F405" s="69" t="str">
        <v/>
      </c>
      <c r="H405" s="26" t="s">
        <v>245</v>
      </c>
      <c r="I405" s="128">
        <v>0</v>
      </c>
      <c r="J405" s="117">
        <v>0</v>
      </c>
      <c r="K405" s="89">
        <v>0</v>
      </c>
      <c r="L405" s="20">
        <f>IFERROR(IF($F405&lt;=L$9,MIN($I405/$J405,$I405-SUM($K405:K405)),0),0)</f>
        <v>0</v>
      </c>
      <c r="M405" s="20">
        <f>IFERROR(IF($F405&lt;=M$9,MIN($I405/$J405,$I405-SUM($K405:L405)),0),0)</f>
        <v>0</v>
      </c>
      <c r="N405" s="20">
        <f>IFERROR(IF($F405&lt;=N$9,MIN($I405/$J405,$I405-SUM($K405:M405)),0),0)</f>
        <v>0</v>
      </c>
      <c r="O405" s="20">
        <f>IFERROR(IF($F405&lt;=O$9,MIN($I405/$J405,$I405-SUM($K405:N405)),0),0)</f>
        <v>0</v>
      </c>
      <c r="P405" s="20">
        <f>IFERROR(IF($F405&lt;=P$9,MIN($I405/$J405,$I405-SUM($K405:O405)),0),0)</f>
        <v>0</v>
      </c>
      <c r="Q405" s="20">
        <f>IFERROR(IF($F405&lt;=Q$9,MIN($I405/$J405,$I405-SUM($K405:P405)),0),0)</f>
        <v>0</v>
      </c>
      <c r="R405" s="20">
        <f>IFERROR(IF($F405&lt;=R$9,MIN($I405/$J405,$I405-SUM($K405:Q405)),0),0)</f>
        <v>0</v>
      </c>
      <c r="S405" s="20">
        <f>IFERROR(IF($F405&lt;=S$9,MIN($I405/$J405,$I405-SUM($K405:R405)),0),0)</f>
        <v>0</v>
      </c>
      <c r="T405" s="20">
        <f>IFERROR(IF($F405&lt;=T$9,MIN($I405/$J405,$I405-SUM($K405:S405)),0),0)</f>
        <v>0</v>
      </c>
      <c r="U405" s="20">
        <f>IFERROR(IF($F405&lt;=U$9,MIN($I405/$J405,$I405-SUM($K405:T405)),0),0)</f>
        <v>0</v>
      </c>
      <c r="V405" s="20">
        <f>IFERROR(IF($F405&lt;=V$9,MIN($I405/$J405,$I405-SUM($K405:U405)),0),0)</f>
        <v>0</v>
      </c>
      <c r="W405" s="20">
        <f>IFERROR(IF($F405&lt;=W$9,MIN($I405/$J405,$I405-SUM($K405:V405)),0),0)</f>
        <v>0</v>
      </c>
      <c r="X405" s="20">
        <f>IFERROR(IF($F405&lt;=X$9,MIN($I405/$J405,$I405-SUM($K405:W405)),0),0)</f>
        <v>0</v>
      </c>
      <c r="Y405" s="20">
        <f>IFERROR(IF($F405&lt;=Y$9,MIN($I405/$J405,$I405-SUM($K405:X405)),0),0)</f>
        <v>0</v>
      </c>
      <c r="Z405" s="20">
        <f>IFERROR(IF($F405&lt;=Z$9,MIN($I405/$J405,$I405-SUM($K405:Y405)),0),0)</f>
        <v>0</v>
      </c>
      <c r="AA405" s="20">
        <f>IFERROR(IF($F405&lt;=AA$9,MIN($I405/$J405,$I405-SUM($K405:Z405)),0),0)</f>
        <v>0</v>
      </c>
      <c r="AB405" s="20">
        <f>IFERROR(IF($F405&lt;=AB$9,MIN($I405/$J405,$I405-SUM($K405:AA405)),0),0)</f>
        <v>0</v>
      </c>
      <c r="AC405" s="20">
        <f>IFERROR(IF($F405&lt;=AC$9,MIN($I405/$J405,$I405-SUM($K405:AB405)),0),0)</f>
        <v>0</v>
      </c>
      <c r="AD405" s="20">
        <f>IFERROR(IF($F405&lt;=AD$9,MIN($I405/$J405,$I405-SUM($K405:AC405)),0),0)</f>
        <v>0</v>
      </c>
      <c r="AE405" s="20">
        <f>IFERROR(IF($F405&lt;=AE$9,MIN($I405/$J405,$I405-SUM($K405:AD405)),0),0)</f>
        <v>0</v>
      </c>
      <c r="AF405" s="20">
        <f>IFERROR(IF($F405&lt;=AF$9,MIN($I405/$J405,$I405-SUM($K405:AE405)),0),0)</f>
        <v>0</v>
      </c>
      <c r="AG405" s="20">
        <f>IFERROR(IF($F405&lt;=AG$9,MIN($I405/$J405,$I405-SUM($K405:AF405)),0),0)</f>
        <v>0</v>
      </c>
      <c r="AH405" s="20">
        <f>IFERROR(IF($F405&lt;=AH$9,MIN($I405/$J405,$I405-SUM($K405:AG405)),0),0)</f>
        <v>0</v>
      </c>
      <c r="AI405" s="20">
        <f>IFERROR(IF($F405&lt;=AI$9,MIN($I405/$J405,$I405-SUM($K405:AH405)),0),0)</f>
        <v>0</v>
      </c>
      <c r="AJ405" s="20">
        <f>IFERROR(IF($F405&lt;=AJ$9,MIN($I405/$J405,$I405-SUM($K405:AI405)),0),0)</f>
        <v>0</v>
      </c>
      <c r="AK405" s="20">
        <f>IFERROR(IF($F405&lt;=AK$9,MIN($I405/$J405,$I405-SUM($K405:AJ405)),0),0)</f>
        <v>0</v>
      </c>
      <c r="AL405" s="20">
        <f>IFERROR(IF($F405&lt;=AL$9,MIN($I405/$J405,$I405-SUM($K405:AK405)),0),0)</f>
        <v>0</v>
      </c>
      <c r="AM405" s="20">
        <f>IFERROR(IF($F405&lt;=AM$9,MIN($I405/$J405,$I405-SUM($K405:AL405)),0),0)</f>
        <v>0</v>
      </c>
      <c r="AN405" s="20">
        <f>IFERROR(IF($F405&lt;=AN$9,MIN($I405/$J405,$I405-SUM($K405:AM405)),0),0)</f>
        <v>0</v>
      </c>
      <c r="AO405" s="28"/>
    </row>
    <row r="406" spans="1:41" ht="14.4" customHeight="1" outlineLevel="1" x14ac:dyDescent="0.3">
      <c r="H406" s="2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28"/>
    </row>
    <row r="407" spans="1:41" ht="14.4" customHeight="1" outlineLevel="1" x14ac:dyDescent="0.3">
      <c r="D407" s="2" t="s">
        <v>144</v>
      </c>
      <c r="H407" s="30" t="s">
        <v>245</v>
      </c>
      <c r="K407" s="36"/>
      <c r="L407" s="88">
        <f>SUM(L377:L405)</f>
        <v>0</v>
      </c>
      <c r="M407" s="88">
        <f t="shared" ref="M407:AN407" si="118">SUM(M377:M405)</f>
        <v>0</v>
      </c>
      <c r="N407" s="88">
        <f t="shared" si="118"/>
        <v>0</v>
      </c>
      <c r="O407" s="88">
        <f t="shared" si="118"/>
        <v>0</v>
      </c>
      <c r="P407" s="88">
        <f t="shared" si="118"/>
        <v>0</v>
      </c>
      <c r="Q407" s="88">
        <f t="shared" si="118"/>
        <v>0</v>
      </c>
      <c r="R407" s="88">
        <f t="shared" si="118"/>
        <v>0</v>
      </c>
      <c r="S407" s="88">
        <f t="shared" si="118"/>
        <v>0</v>
      </c>
      <c r="T407" s="88">
        <f t="shared" si="118"/>
        <v>0</v>
      </c>
      <c r="U407" s="88">
        <f t="shared" si="118"/>
        <v>0</v>
      </c>
      <c r="V407" s="88">
        <f t="shared" si="118"/>
        <v>11.101832136887584</v>
      </c>
      <c r="W407" s="88">
        <f t="shared" si="118"/>
        <v>11.101832136887584</v>
      </c>
      <c r="X407" s="88">
        <f t="shared" si="118"/>
        <v>4.8030966557030457</v>
      </c>
      <c r="Y407" s="88">
        <f t="shared" si="118"/>
        <v>4.8030966557030457</v>
      </c>
      <c r="Z407" s="88">
        <f t="shared" si="118"/>
        <v>4.8030966557030457</v>
      </c>
      <c r="AA407" s="88">
        <f t="shared" si="118"/>
        <v>4.8030966557030457</v>
      </c>
      <c r="AB407" s="88">
        <f t="shared" si="118"/>
        <v>4.8030966557030439</v>
      </c>
      <c r="AC407" s="88">
        <f t="shared" si="118"/>
        <v>0</v>
      </c>
      <c r="AD407" s="88">
        <f t="shared" si="118"/>
        <v>0</v>
      </c>
      <c r="AE407" s="88">
        <f t="shared" si="118"/>
        <v>0</v>
      </c>
      <c r="AF407" s="88">
        <f t="shared" si="118"/>
        <v>0</v>
      </c>
      <c r="AG407" s="88">
        <f t="shared" si="118"/>
        <v>0</v>
      </c>
      <c r="AH407" s="88">
        <f t="shared" si="118"/>
        <v>0</v>
      </c>
      <c r="AI407" s="88">
        <f t="shared" si="118"/>
        <v>0</v>
      </c>
      <c r="AJ407" s="88">
        <f t="shared" si="118"/>
        <v>0</v>
      </c>
      <c r="AK407" s="88">
        <f t="shared" si="118"/>
        <v>0</v>
      </c>
      <c r="AL407" s="88">
        <f t="shared" si="118"/>
        <v>0</v>
      </c>
      <c r="AM407" s="88">
        <f t="shared" si="118"/>
        <v>0</v>
      </c>
      <c r="AN407" s="88">
        <f t="shared" si="118"/>
        <v>0</v>
      </c>
      <c r="AO407" s="28"/>
    </row>
    <row r="408" spans="1:41" ht="14.4" customHeight="1" outlineLevel="1" x14ac:dyDescent="0.3">
      <c r="H408" s="2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28"/>
    </row>
    <row r="409" spans="1:41" ht="14.4" customHeight="1" outlineLevel="1" x14ac:dyDescent="0.3">
      <c r="D409" s="1" t="s">
        <v>297</v>
      </c>
      <c r="H409" s="26" t="s">
        <v>245</v>
      </c>
      <c r="K409" s="36"/>
      <c r="L409" s="20">
        <f>SUM($L$136:L136)-SUM($L$407:L407)</f>
        <v>0</v>
      </c>
      <c r="M409" s="20">
        <f>SUM($L$136:M136)-SUM($L$407:M407)</f>
        <v>0</v>
      </c>
      <c r="N409" s="20">
        <f>SUM($L$136:N136)-SUM($L$407:N407)</f>
        <v>0</v>
      </c>
      <c r="O409" s="20">
        <f>SUM($L$136:O136)-SUM($L$407:O407)</f>
        <v>0</v>
      </c>
      <c r="P409" s="20">
        <f>SUM($L$136:P136)-SUM($L$407:P407)</f>
        <v>0</v>
      </c>
      <c r="Q409" s="20">
        <f>SUM($L$136:Q136)-SUM($L$407:Q407)</f>
        <v>0</v>
      </c>
      <c r="R409" s="20">
        <f>SUM($L$136:R136)-SUM($L$407:R407)</f>
        <v>0</v>
      </c>
      <c r="S409" s="20">
        <f>SUM($L$136:S136)-SUM($L$407:S407)</f>
        <v>0</v>
      </c>
      <c r="T409" s="20">
        <f>SUM($L$136:T136)-SUM($L$407:T407)</f>
        <v>0</v>
      </c>
      <c r="U409" s="20">
        <f>SUM($L$136:U136)-SUM($L$407:U407)</f>
        <v>0</v>
      </c>
      <c r="V409" s="20">
        <f>SUM($L$136:V136)-SUM($L$407:V407)</f>
        <v>11.101832136887584</v>
      </c>
      <c r="W409" s="20">
        <f>SUM($L$136:W136)-SUM($L$407:W407)</f>
        <v>0</v>
      </c>
      <c r="X409" s="20">
        <f>SUM($L$136:X136)-SUM($L$407:X407)</f>
        <v>19.212386622812183</v>
      </c>
      <c r="Y409" s="20">
        <f>SUM($L$136:Y136)-SUM($L$407:Y407)</f>
        <v>14.409289967109139</v>
      </c>
      <c r="Z409" s="20">
        <f>SUM($L$136:Z136)-SUM($L$407:Z407)</f>
        <v>9.6061933114060949</v>
      </c>
      <c r="AA409" s="20">
        <f>SUM($L$136:AA136)-SUM($L$407:AA407)</f>
        <v>4.803096655703051</v>
      </c>
      <c r="AB409" s="20">
        <f>SUM($L$136:AB136)-SUM($L$407:AB407)</f>
        <v>0</v>
      </c>
      <c r="AC409" s="20">
        <f>SUM($L$136:AC136)-SUM($L$407:AC407)</f>
        <v>0</v>
      </c>
      <c r="AD409" s="20">
        <f>SUM($L$136:AD136)-SUM($L$407:AD407)</f>
        <v>0</v>
      </c>
      <c r="AE409" s="20">
        <f>SUM($L$136:AE136)-SUM($L$407:AE407)</f>
        <v>0</v>
      </c>
      <c r="AF409" s="20">
        <f>SUM($L$136:AF136)-SUM($L$407:AF407)</f>
        <v>0</v>
      </c>
      <c r="AG409" s="20">
        <f>SUM($L$136:AG136)-SUM($L$407:AG407)</f>
        <v>0</v>
      </c>
      <c r="AH409" s="20">
        <f>SUM($L$136:AH136)-SUM($L$407:AH407)</f>
        <v>0</v>
      </c>
      <c r="AI409" s="20">
        <f>SUM($L$136:AI136)-SUM($L$407:AI407)</f>
        <v>0</v>
      </c>
      <c r="AJ409" s="20">
        <f>SUM($L$136:AJ136)-SUM($L$407:AJ407)</f>
        <v>0</v>
      </c>
      <c r="AK409" s="20">
        <f>SUM($L$136:AK136)-SUM($L$407:AK407)</f>
        <v>0</v>
      </c>
      <c r="AL409" s="20">
        <f>SUM($L$136:AL136)-SUM($L$407:AL407)</f>
        <v>0</v>
      </c>
      <c r="AM409" s="20">
        <f>SUM($L$136:AM136)-SUM($L$407:AM407)</f>
        <v>0</v>
      </c>
      <c r="AN409" s="20">
        <f>SUM($L$136:AN136)-SUM($L$407:AN407)</f>
        <v>0</v>
      </c>
      <c r="AO409" s="28"/>
    </row>
    <row r="410" spans="1:41" ht="14.4" customHeight="1" outlineLevel="1" thickBot="1" x14ac:dyDescent="0.35">
      <c r="H410" s="2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28"/>
    </row>
    <row r="411" spans="1:41" s="106" customFormat="1" ht="18" customHeight="1" thickTop="1" thickBot="1" x14ac:dyDescent="0.35">
      <c r="A411" s="53"/>
      <c r="B411" s="53"/>
      <c r="C411" s="50" t="s">
        <v>349</v>
      </c>
      <c r="D411" s="51"/>
      <c r="E411" s="51"/>
      <c r="F411" s="51"/>
      <c r="G411" s="51"/>
      <c r="H411" s="52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</row>
    <row r="412" spans="1:41" ht="14.4" customHeight="1" outlineLevel="1" thickTop="1" x14ac:dyDescent="0.3">
      <c r="AO412" s="28"/>
    </row>
    <row r="413" spans="1:41" ht="14.4" customHeight="1" outlineLevel="1" x14ac:dyDescent="0.3">
      <c r="C413" s="1" t="s">
        <v>190</v>
      </c>
      <c r="H413" s="26" t="str">
        <f>Input!G108</f>
        <v>т/ч</v>
      </c>
      <c r="I413" s="33">
        <f>Input!H108</f>
        <v>10</v>
      </c>
      <c r="AO413" s="28"/>
    </row>
    <row r="414" spans="1:41" ht="14.4" customHeight="1" outlineLevel="1" x14ac:dyDescent="0.3">
      <c r="H414" s="26"/>
      <c r="I414" s="40"/>
      <c r="AO414" s="28"/>
    </row>
    <row r="415" spans="1:41" ht="14.4" customHeight="1" outlineLevel="1" x14ac:dyDescent="0.3">
      <c r="C415" s="1" t="s">
        <v>280</v>
      </c>
      <c r="H415" s="26" t="s">
        <v>11</v>
      </c>
      <c r="I415" s="33">
        <f>Input!H110</f>
        <v>2</v>
      </c>
      <c r="AO415" s="28"/>
    </row>
    <row r="416" spans="1:41" ht="14.4" customHeight="1" outlineLevel="1" x14ac:dyDescent="0.3">
      <c r="H416" s="26"/>
      <c r="I416" s="40"/>
      <c r="AO416" s="28"/>
    </row>
    <row r="417" spans="3:41" ht="14.4" customHeight="1" outlineLevel="1" x14ac:dyDescent="0.3">
      <c r="C417" s="1" t="s">
        <v>282</v>
      </c>
      <c r="H417" s="26" t="s">
        <v>258</v>
      </c>
      <c r="I417" s="33">
        <f>Input!H112</f>
        <v>11</v>
      </c>
      <c r="AO417" s="28"/>
    </row>
    <row r="418" spans="3:41" ht="14.4" customHeight="1" outlineLevel="1" x14ac:dyDescent="0.3">
      <c r="AO418" s="28"/>
    </row>
    <row r="419" spans="3:41" ht="14.4" customHeight="1" outlineLevel="1" x14ac:dyDescent="0.3">
      <c r="C419" s="1" t="s">
        <v>402</v>
      </c>
      <c r="H419" s="26" t="s">
        <v>9</v>
      </c>
      <c r="I419" s="37">
        <f>Input!H114</f>
        <v>0.05</v>
      </c>
      <c r="AO419" s="28"/>
    </row>
    <row r="420" spans="3:41" ht="14.4" customHeight="1" outlineLevel="1" x14ac:dyDescent="0.3">
      <c r="AO420" s="28"/>
    </row>
    <row r="421" spans="3:41" ht="14.4" customHeight="1" outlineLevel="1" x14ac:dyDescent="0.3">
      <c r="C421" s="1" t="s">
        <v>252</v>
      </c>
      <c r="H421" s="26" t="s">
        <v>146</v>
      </c>
      <c r="L421" s="22">
        <f t="shared" ref="L421:AN421" si="119">IFERROR($I$413*L10*$I$415*$I$417*L14*(1-$I$419),0)</f>
        <v>0</v>
      </c>
      <c r="M421" s="22">
        <f t="shared" si="119"/>
        <v>0</v>
      </c>
      <c r="N421" s="22">
        <f t="shared" si="119"/>
        <v>63570.833333333336</v>
      </c>
      <c r="O421" s="22">
        <f t="shared" si="119"/>
        <v>76285</v>
      </c>
      <c r="P421" s="22">
        <f t="shared" si="119"/>
        <v>76494</v>
      </c>
      <c r="Q421" s="22">
        <f t="shared" si="119"/>
        <v>76285</v>
      </c>
      <c r="R421" s="22">
        <f t="shared" si="119"/>
        <v>76285</v>
      </c>
      <c r="S421" s="22">
        <f t="shared" si="119"/>
        <v>76285</v>
      </c>
      <c r="T421" s="22">
        <f t="shared" si="119"/>
        <v>76494</v>
      </c>
      <c r="U421" s="22">
        <f t="shared" si="119"/>
        <v>76285</v>
      </c>
      <c r="V421" s="22">
        <f t="shared" si="119"/>
        <v>76285</v>
      </c>
      <c r="W421" s="22">
        <f t="shared" si="119"/>
        <v>76285</v>
      </c>
      <c r="X421" s="22">
        <f t="shared" si="119"/>
        <v>76494</v>
      </c>
      <c r="Y421" s="22">
        <f t="shared" si="119"/>
        <v>76285</v>
      </c>
      <c r="Z421" s="22">
        <f t="shared" si="119"/>
        <v>76285</v>
      </c>
      <c r="AA421" s="22">
        <f t="shared" si="119"/>
        <v>76285</v>
      </c>
      <c r="AB421" s="22">
        <f t="shared" si="119"/>
        <v>76494</v>
      </c>
      <c r="AC421" s="22">
        <f t="shared" si="119"/>
        <v>12714.166666666664</v>
      </c>
      <c r="AD421" s="22">
        <f t="shared" si="119"/>
        <v>0</v>
      </c>
      <c r="AE421" s="22">
        <f t="shared" si="119"/>
        <v>0</v>
      </c>
      <c r="AF421" s="22">
        <f t="shared" si="119"/>
        <v>0</v>
      </c>
      <c r="AG421" s="22">
        <f t="shared" si="119"/>
        <v>0</v>
      </c>
      <c r="AH421" s="22">
        <f t="shared" si="119"/>
        <v>0</v>
      </c>
      <c r="AI421" s="22">
        <f t="shared" si="119"/>
        <v>0</v>
      </c>
      <c r="AJ421" s="22">
        <f t="shared" si="119"/>
        <v>0</v>
      </c>
      <c r="AK421" s="22">
        <f t="shared" si="119"/>
        <v>0</v>
      </c>
      <c r="AL421" s="22">
        <f t="shared" si="119"/>
        <v>0</v>
      </c>
      <c r="AM421" s="22">
        <f t="shared" si="119"/>
        <v>0</v>
      </c>
      <c r="AN421" s="22">
        <f t="shared" si="119"/>
        <v>0</v>
      </c>
      <c r="AO421" s="28"/>
    </row>
    <row r="422" spans="3:41" ht="14.4" customHeight="1" outlineLevel="1" x14ac:dyDescent="0.3">
      <c r="H422" s="26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28"/>
    </row>
    <row r="423" spans="3:41" ht="14.4" customHeight="1" outlineLevel="1" x14ac:dyDescent="0.3">
      <c r="C423" s="1" t="s">
        <v>182</v>
      </c>
      <c r="H423" s="26" t="s">
        <v>146</v>
      </c>
      <c r="K423" s="87">
        <v>0</v>
      </c>
      <c r="L423" s="22">
        <f>IF(L9&lt;=YEAR(Input!$H$14),K423+L421,0)</f>
        <v>0</v>
      </c>
      <c r="M423" s="22">
        <f>IF(M9&lt;=YEAR(Input!$H$14),L423+M421,0)</f>
        <v>0</v>
      </c>
      <c r="N423" s="22">
        <f>IF(N9&lt;=YEAR(Input!$H$14),M423+N421,0)</f>
        <v>63570.833333333336</v>
      </c>
      <c r="O423" s="22">
        <f>IF(O9&lt;=YEAR(Input!$H$14),N423+O421,0)</f>
        <v>139855.83333333334</v>
      </c>
      <c r="P423" s="22">
        <f>IF(P9&lt;=YEAR(Input!$H$14),O423+P421,0)</f>
        <v>216349.83333333334</v>
      </c>
      <c r="Q423" s="22">
        <f>IF(Q9&lt;=YEAR(Input!$H$14),P423+Q421,0)</f>
        <v>292634.83333333337</v>
      </c>
      <c r="R423" s="22">
        <f>IF(R9&lt;=YEAR(Input!$H$14),Q423+R421,0)</f>
        <v>368919.83333333337</v>
      </c>
      <c r="S423" s="22">
        <f>IF(S9&lt;=YEAR(Input!$H$14),R423+S421,0)</f>
        <v>445204.83333333337</v>
      </c>
      <c r="T423" s="22">
        <f>IF(T9&lt;=YEAR(Input!$H$14),S423+T421,0)</f>
        <v>521698.83333333337</v>
      </c>
      <c r="U423" s="22">
        <f>IF(U9&lt;=YEAR(Input!$H$14),T423+U421,0)</f>
        <v>597983.83333333337</v>
      </c>
      <c r="V423" s="22">
        <f>IF(V9&lt;=YEAR(Input!$H$14),U423+V421,0)</f>
        <v>674268.83333333337</v>
      </c>
      <c r="W423" s="22">
        <f>IF(W9&lt;=YEAR(Input!$H$14),V423+W421,0)</f>
        <v>750553.83333333337</v>
      </c>
      <c r="X423" s="22">
        <f>IF(X9&lt;=YEAR(Input!$H$14),W423+X421,0)</f>
        <v>827047.83333333337</v>
      </c>
      <c r="Y423" s="22">
        <f>IF(Y9&lt;=YEAR(Input!$H$14),X423+Y421,0)</f>
        <v>903332.83333333337</v>
      </c>
      <c r="Z423" s="22">
        <f>IF(Z9&lt;=YEAR(Input!$H$14),Y423+Z421,0)</f>
        <v>979617.83333333337</v>
      </c>
      <c r="AA423" s="22">
        <f>IF(AA9&lt;=YEAR(Input!$H$14),Z423+AA421,0)</f>
        <v>1055902.8333333335</v>
      </c>
      <c r="AB423" s="22">
        <f>IF(AB9&lt;=YEAR(Input!$H$14),AA423+AB421,0)</f>
        <v>1132396.8333333335</v>
      </c>
      <c r="AC423" s="22">
        <f>IF(AC9&lt;=YEAR(Input!$H$14),AB423+AC421,0)</f>
        <v>1145111.0000000002</v>
      </c>
      <c r="AD423" s="22">
        <f>IF(AD9&lt;=YEAR(Input!$H$14),AC423+AD421,0)</f>
        <v>0</v>
      </c>
      <c r="AE423" s="22">
        <f>IF(AE9&lt;=YEAR(Input!$H$14),AD423+AE421,0)</f>
        <v>0</v>
      </c>
      <c r="AF423" s="22">
        <f>IF(AF9&lt;=YEAR(Input!$H$14),AE423+AF421,0)</f>
        <v>0</v>
      </c>
      <c r="AG423" s="22">
        <f>IF(AG9&lt;=YEAR(Input!$H$14),AF423+AG421,0)</f>
        <v>0</v>
      </c>
      <c r="AH423" s="22">
        <f>IF(AH9&lt;=YEAR(Input!$H$14),AG423+AH421,0)</f>
        <v>0</v>
      </c>
      <c r="AI423" s="22">
        <f>IF(AI9&lt;=YEAR(Input!$H$14),AH423+AI421,0)</f>
        <v>0</v>
      </c>
      <c r="AJ423" s="22">
        <f>IF(AJ9&lt;=YEAR(Input!$H$14),AI423+AJ421,0)</f>
        <v>0</v>
      </c>
      <c r="AK423" s="22">
        <f>IF(AK9&lt;=YEAR(Input!$H$14),AJ423+AK421,0)</f>
        <v>0</v>
      </c>
      <c r="AL423" s="22">
        <f>IF(AL9&lt;=YEAR(Input!$H$14),AK423+AL421,0)</f>
        <v>0</v>
      </c>
      <c r="AM423" s="22">
        <f>IF(AM9&lt;=YEAR(Input!$H$14),AL423+AM421,0)</f>
        <v>0</v>
      </c>
      <c r="AN423" s="22">
        <f>IF(AN9&lt;=YEAR(Input!$H$14),AM423+AN421,0)</f>
        <v>0</v>
      </c>
      <c r="AO423" s="28"/>
    </row>
    <row r="424" spans="3:41" ht="14.4" customHeight="1" outlineLevel="1" x14ac:dyDescent="0.3">
      <c r="AO424" s="28"/>
    </row>
    <row r="425" spans="3:41" ht="14.4" customHeight="1" outlineLevel="1" x14ac:dyDescent="0.3">
      <c r="C425" s="2" t="s">
        <v>242</v>
      </c>
      <c r="H425" s="26"/>
      <c r="AO425" s="28"/>
    </row>
    <row r="426" spans="3:41" ht="14.4" customHeight="1" outlineLevel="1" x14ac:dyDescent="0.3">
      <c r="D426" s="1" t="s">
        <v>191</v>
      </c>
      <c r="H426" s="26" t="s">
        <v>9</v>
      </c>
      <c r="L426" s="37">
        <f>IFERROR(INDEX(Input!$K$123:$AA$126,MATCH(Расчеты!$D426,Input!$C$123:$C$126,0),MATCH(Расчеты!L$9,Input!$K$122:$AA$122,0)),0)</f>
        <v>0</v>
      </c>
      <c r="M426" s="37">
        <f>IFERROR(INDEX(Input!$K$123:$AA$126,MATCH(Расчеты!$D426,Input!$C$123:$C$126,0),MATCH(Расчеты!M$9,Input!$K$122:$AA$122,0)),0)</f>
        <v>0</v>
      </c>
      <c r="N426" s="37">
        <f>IFERROR(INDEX(Input!$K$123:$AA$126,MATCH(Расчеты!$D426,Input!$C$123:$C$126,0),MATCH(Расчеты!N$9,Input!$K$122:$AA$122,0)),0)</f>
        <v>0.25</v>
      </c>
      <c r="O426" s="37">
        <f>IFERROR(INDEX(Input!$K$123:$AA$126,MATCH(Расчеты!$D426,Input!$C$123:$C$126,0),MATCH(Расчеты!O$9,Input!$K$122:$AA$122,0)),0)</f>
        <v>0.25</v>
      </c>
      <c r="P426" s="37">
        <f>IFERROR(INDEX(Input!$K$123:$AA$126,MATCH(Расчеты!$D426,Input!$C$123:$C$126,0),MATCH(Расчеты!P$9,Input!$K$122:$AA$122,0)),0)</f>
        <v>0.25</v>
      </c>
      <c r="Q426" s="37">
        <f>IFERROR(INDEX(Input!$K$123:$AA$126,MATCH(Расчеты!$D426,Input!$C$123:$C$126,0),MATCH(Расчеты!Q$9,Input!$K$122:$AA$122,0)),0)</f>
        <v>0.25</v>
      </c>
      <c r="R426" s="37">
        <f>IFERROR(INDEX(Input!$K$123:$AA$126,MATCH(Расчеты!$D426,Input!$C$123:$C$126,0),MATCH(Расчеты!R$9,Input!$K$122:$AA$122,0)),0)</f>
        <v>0.25</v>
      </c>
      <c r="S426" s="37">
        <f>IFERROR(INDEX(Input!$K$123:$AA$126,MATCH(Расчеты!$D426,Input!$C$123:$C$126,0),MATCH(Расчеты!S$9,Input!$K$122:$AA$122,0)),0)</f>
        <v>0.25</v>
      </c>
      <c r="T426" s="37">
        <f>IFERROR(INDEX(Input!$K$123:$AA$126,MATCH(Расчеты!$D426,Input!$C$123:$C$126,0),MATCH(Расчеты!T$9,Input!$K$122:$AA$122,0)),0)</f>
        <v>0.25</v>
      </c>
      <c r="U426" s="37">
        <f>IFERROR(INDEX(Input!$K$123:$AA$126,MATCH(Расчеты!$D426,Input!$C$123:$C$126,0),MATCH(Расчеты!U$9,Input!$K$122:$AA$122,0)),0)</f>
        <v>0.25</v>
      </c>
      <c r="V426" s="37">
        <f>IFERROR(INDEX(Input!$K$123:$AA$126,MATCH(Расчеты!$D426,Input!$C$123:$C$126,0),MATCH(Расчеты!V$9,Input!$K$122:$AA$122,0)),0)</f>
        <v>0.25</v>
      </c>
      <c r="W426" s="37">
        <f>IFERROR(INDEX(Input!$K$123:$AA$126,MATCH(Расчеты!$D426,Input!$C$123:$C$126,0),MATCH(Расчеты!W$9,Input!$K$122:$AA$122,0)),0)</f>
        <v>0.25</v>
      </c>
      <c r="X426" s="37">
        <f>IFERROR(INDEX(Input!$K$123:$AA$126,MATCH(Расчеты!$D426,Input!$C$123:$C$126,0),MATCH(Расчеты!X$9,Input!$K$122:$AA$122,0)),0)</f>
        <v>0.25</v>
      </c>
      <c r="Y426" s="37">
        <f>IFERROR(INDEX(Input!$K$123:$AA$126,MATCH(Расчеты!$D426,Input!$C$123:$C$126,0),MATCH(Расчеты!Y$9,Input!$K$122:$AA$122,0)),0)</f>
        <v>0.25</v>
      </c>
      <c r="Z426" s="37">
        <f>IFERROR(INDEX(Input!$K$123:$AA$126,MATCH(Расчеты!$D426,Input!$C$123:$C$126,0),MATCH(Расчеты!Z$9,Input!$K$122:$AA$122,0)),0)</f>
        <v>0.25</v>
      </c>
      <c r="AA426" s="37">
        <f>IFERROR(INDEX(Input!$K$123:$AA$126,MATCH(Расчеты!$D426,Input!$C$123:$C$126,0),MATCH(Расчеты!AA$9,Input!$K$122:$AA$122,0)),0)</f>
        <v>0.25</v>
      </c>
      <c r="AB426" s="37">
        <f>IFERROR(INDEX(Input!$K$123:$AA$126,MATCH(Расчеты!$D426,Input!$C$123:$C$126,0),MATCH(Расчеты!AB$9,Input!$K$122:$AA$122,0)),0)</f>
        <v>0.25</v>
      </c>
      <c r="AC426" s="37">
        <f>IFERROR(INDEX(Input!$K$123:$AA$126,MATCH(Расчеты!$D426,Input!$C$123:$C$126,0),MATCH(Расчеты!AC$9,Input!$K$122:$AA$122,0)),0)</f>
        <v>0.25</v>
      </c>
      <c r="AD426" s="37">
        <f>IFERROR(INDEX(Input!$K$123:$AA$126,MATCH(Расчеты!$D426,Input!$C$123:$C$126,0),MATCH(Расчеты!AD$9,Input!$K$122:$AA$122,0)),0)</f>
        <v>0</v>
      </c>
      <c r="AE426" s="37">
        <f>IFERROR(INDEX(Input!$K$123:$AA$126,MATCH(Расчеты!$D426,Input!$C$123:$C$126,0),MATCH(Расчеты!AE$9,Input!$K$122:$AA$122,0)),0)</f>
        <v>0</v>
      </c>
      <c r="AF426" s="37">
        <f>IFERROR(INDEX(Input!$K$123:$AA$126,MATCH(Расчеты!$D426,Input!$C$123:$C$126,0),MATCH(Расчеты!AF$9,Input!$K$122:$AA$122,0)),0)</f>
        <v>0</v>
      </c>
      <c r="AG426" s="37">
        <f>IFERROR(INDEX(Input!$K$123:$AA$126,MATCH(Расчеты!$D426,Input!$C$123:$C$126,0),MATCH(Расчеты!AG$9,Input!$K$122:$AA$122,0)),0)</f>
        <v>0</v>
      </c>
      <c r="AH426" s="37">
        <f>IFERROR(INDEX(Input!$K$123:$AA$126,MATCH(Расчеты!$D426,Input!$C$123:$C$126,0),MATCH(Расчеты!AH$9,Input!$K$122:$AA$122,0)),0)</f>
        <v>0</v>
      </c>
      <c r="AI426" s="37">
        <f>IFERROR(INDEX(Input!$K$123:$AA$126,MATCH(Расчеты!$D426,Input!$C$123:$C$126,0),MATCH(Расчеты!AI$9,Input!$K$122:$AA$122,0)),0)</f>
        <v>0</v>
      </c>
      <c r="AJ426" s="37">
        <f>IFERROR(INDEX(Input!$K$123:$AA$126,MATCH(Расчеты!$D426,Input!$C$123:$C$126,0),MATCH(Расчеты!AJ$9,Input!$K$122:$AA$122,0)),0)</f>
        <v>0</v>
      </c>
      <c r="AK426" s="37">
        <f>IFERROR(INDEX(Input!$K$123:$AA$126,MATCH(Расчеты!$D426,Input!$C$123:$C$126,0),MATCH(Расчеты!AK$9,Input!$K$122:$AA$122,0)),0)</f>
        <v>0</v>
      </c>
      <c r="AL426" s="37">
        <f>IFERROR(INDEX(Input!$K$123:$AA$126,MATCH(Расчеты!$D426,Input!$C$123:$C$126,0),MATCH(Расчеты!AL$9,Input!$K$122:$AA$122,0)),0)</f>
        <v>0</v>
      </c>
      <c r="AM426" s="37">
        <f>IFERROR(INDEX(Input!$K$123:$AA$126,MATCH(Расчеты!$D426,Input!$C$123:$C$126,0),MATCH(Расчеты!AM$9,Input!$K$122:$AA$122,0)),0)</f>
        <v>0</v>
      </c>
      <c r="AN426" s="37">
        <f>IFERROR(INDEX(Input!$K$123:$AA$126,MATCH(Расчеты!$D426,Input!$C$123:$C$126,0),MATCH(Расчеты!AN$9,Input!$K$122:$AA$122,0)),0)</f>
        <v>0</v>
      </c>
      <c r="AO426" s="28"/>
    </row>
    <row r="427" spans="3:41" ht="14.4" customHeight="1" outlineLevel="1" x14ac:dyDescent="0.3">
      <c r="D427" s="1" t="s">
        <v>192</v>
      </c>
      <c r="H427" s="26" t="s">
        <v>9</v>
      </c>
      <c r="L427" s="37">
        <f>IFERROR(INDEX(Input!$K$123:$AA$126,MATCH(Расчеты!$D427,Input!$C$123:$C$126,0),MATCH(Расчеты!L$9,Input!$K$122:$AA$122,0)),0)</f>
        <v>0</v>
      </c>
      <c r="M427" s="37">
        <f>IFERROR(INDEX(Input!$K$123:$AA$126,MATCH(Расчеты!$D427,Input!$C$123:$C$126,0),MATCH(Расчеты!M$9,Input!$K$122:$AA$122,0)),0)</f>
        <v>0</v>
      </c>
      <c r="N427" s="37">
        <f>IFERROR(INDEX(Input!$K$123:$AA$126,MATCH(Расчеты!$D427,Input!$C$123:$C$126,0),MATCH(Расчеты!N$9,Input!$K$122:$AA$122,0)),0)</f>
        <v>0.25</v>
      </c>
      <c r="O427" s="37">
        <f>IFERROR(INDEX(Input!$K$123:$AA$126,MATCH(Расчеты!$D427,Input!$C$123:$C$126,0),MATCH(Расчеты!O$9,Input!$K$122:$AA$122,0)),0)</f>
        <v>0.25</v>
      </c>
      <c r="P427" s="37">
        <f>IFERROR(INDEX(Input!$K$123:$AA$126,MATCH(Расчеты!$D427,Input!$C$123:$C$126,0),MATCH(Расчеты!P$9,Input!$K$122:$AA$122,0)),0)</f>
        <v>0.25</v>
      </c>
      <c r="Q427" s="37">
        <f>IFERROR(INDEX(Input!$K$123:$AA$126,MATCH(Расчеты!$D427,Input!$C$123:$C$126,0),MATCH(Расчеты!Q$9,Input!$K$122:$AA$122,0)),0)</f>
        <v>0.25</v>
      </c>
      <c r="R427" s="37">
        <f>IFERROR(INDEX(Input!$K$123:$AA$126,MATCH(Расчеты!$D427,Input!$C$123:$C$126,0),MATCH(Расчеты!R$9,Input!$K$122:$AA$122,0)),0)</f>
        <v>0.25</v>
      </c>
      <c r="S427" s="37">
        <f>IFERROR(INDEX(Input!$K$123:$AA$126,MATCH(Расчеты!$D427,Input!$C$123:$C$126,0),MATCH(Расчеты!S$9,Input!$K$122:$AA$122,0)),0)</f>
        <v>0.25</v>
      </c>
      <c r="T427" s="37">
        <f>IFERROR(INDEX(Input!$K$123:$AA$126,MATCH(Расчеты!$D427,Input!$C$123:$C$126,0),MATCH(Расчеты!T$9,Input!$K$122:$AA$122,0)),0)</f>
        <v>0.25</v>
      </c>
      <c r="U427" s="37">
        <f>IFERROR(INDEX(Input!$K$123:$AA$126,MATCH(Расчеты!$D427,Input!$C$123:$C$126,0),MATCH(Расчеты!U$9,Input!$K$122:$AA$122,0)),0)</f>
        <v>0.25</v>
      </c>
      <c r="V427" s="37">
        <f>IFERROR(INDEX(Input!$K$123:$AA$126,MATCH(Расчеты!$D427,Input!$C$123:$C$126,0),MATCH(Расчеты!V$9,Input!$K$122:$AA$122,0)),0)</f>
        <v>0.25</v>
      </c>
      <c r="W427" s="37">
        <f>IFERROR(INDEX(Input!$K$123:$AA$126,MATCH(Расчеты!$D427,Input!$C$123:$C$126,0),MATCH(Расчеты!W$9,Input!$K$122:$AA$122,0)),0)</f>
        <v>0.25</v>
      </c>
      <c r="X427" s="37">
        <f>IFERROR(INDEX(Input!$K$123:$AA$126,MATCH(Расчеты!$D427,Input!$C$123:$C$126,0),MATCH(Расчеты!X$9,Input!$K$122:$AA$122,0)),0)</f>
        <v>0.25</v>
      </c>
      <c r="Y427" s="37">
        <f>IFERROR(INDEX(Input!$K$123:$AA$126,MATCH(Расчеты!$D427,Input!$C$123:$C$126,0),MATCH(Расчеты!Y$9,Input!$K$122:$AA$122,0)),0)</f>
        <v>0.25</v>
      </c>
      <c r="Z427" s="37">
        <f>IFERROR(INDEX(Input!$K$123:$AA$126,MATCH(Расчеты!$D427,Input!$C$123:$C$126,0),MATCH(Расчеты!Z$9,Input!$K$122:$AA$122,0)),0)</f>
        <v>0.25</v>
      </c>
      <c r="AA427" s="37">
        <f>IFERROR(INDEX(Input!$K$123:$AA$126,MATCH(Расчеты!$D427,Input!$C$123:$C$126,0),MATCH(Расчеты!AA$9,Input!$K$122:$AA$122,0)),0)</f>
        <v>0.25</v>
      </c>
      <c r="AB427" s="37">
        <f>IFERROR(INDEX(Input!$K$123:$AA$126,MATCH(Расчеты!$D427,Input!$C$123:$C$126,0),MATCH(Расчеты!AB$9,Input!$K$122:$AA$122,0)),0)</f>
        <v>0.25</v>
      </c>
      <c r="AC427" s="37">
        <f>IFERROR(INDEX(Input!$K$123:$AA$126,MATCH(Расчеты!$D427,Input!$C$123:$C$126,0),MATCH(Расчеты!AC$9,Input!$K$122:$AA$122,0)),0)</f>
        <v>0.25</v>
      </c>
      <c r="AD427" s="37">
        <f>IFERROR(INDEX(Input!$K$123:$AA$126,MATCH(Расчеты!$D427,Input!$C$123:$C$126,0),MATCH(Расчеты!AD$9,Input!$K$122:$AA$122,0)),0)</f>
        <v>0</v>
      </c>
      <c r="AE427" s="37">
        <f>IFERROR(INDEX(Input!$K$123:$AA$126,MATCH(Расчеты!$D427,Input!$C$123:$C$126,0),MATCH(Расчеты!AE$9,Input!$K$122:$AA$122,0)),0)</f>
        <v>0</v>
      </c>
      <c r="AF427" s="37">
        <f>IFERROR(INDEX(Input!$K$123:$AA$126,MATCH(Расчеты!$D427,Input!$C$123:$C$126,0),MATCH(Расчеты!AF$9,Input!$K$122:$AA$122,0)),0)</f>
        <v>0</v>
      </c>
      <c r="AG427" s="37">
        <f>IFERROR(INDEX(Input!$K$123:$AA$126,MATCH(Расчеты!$D427,Input!$C$123:$C$126,0),MATCH(Расчеты!AG$9,Input!$K$122:$AA$122,0)),0)</f>
        <v>0</v>
      </c>
      <c r="AH427" s="37">
        <f>IFERROR(INDEX(Input!$K$123:$AA$126,MATCH(Расчеты!$D427,Input!$C$123:$C$126,0),MATCH(Расчеты!AH$9,Input!$K$122:$AA$122,0)),0)</f>
        <v>0</v>
      </c>
      <c r="AI427" s="37">
        <f>IFERROR(INDEX(Input!$K$123:$AA$126,MATCH(Расчеты!$D427,Input!$C$123:$C$126,0),MATCH(Расчеты!AI$9,Input!$K$122:$AA$122,0)),0)</f>
        <v>0</v>
      </c>
      <c r="AJ427" s="37">
        <f>IFERROR(INDEX(Input!$K$123:$AA$126,MATCH(Расчеты!$D427,Input!$C$123:$C$126,0),MATCH(Расчеты!AJ$9,Input!$K$122:$AA$122,0)),0)</f>
        <v>0</v>
      </c>
      <c r="AK427" s="37">
        <f>IFERROR(INDEX(Input!$K$123:$AA$126,MATCH(Расчеты!$D427,Input!$C$123:$C$126,0),MATCH(Расчеты!AK$9,Input!$K$122:$AA$122,0)),0)</f>
        <v>0</v>
      </c>
      <c r="AL427" s="37">
        <f>IFERROR(INDEX(Input!$K$123:$AA$126,MATCH(Расчеты!$D427,Input!$C$123:$C$126,0),MATCH(Расчеты!AL$9,Input!$K$122:$AA$122,0)),0)</f>
        <v>0</v>
      </c>
      <c r="AM427" s="37">
        <f>IFERROR(INDEX(Input!$K$123:$AA$126,MATCH(Расчеты!$D427,Input!$C$123:$C$126,0),MATCH(Расчеты!AM$9,Input!$K$122:$AA$122,0)),0)</f>
        <v>0</v>
      </c>
      <c r="AN427" s="37">
        <f>IFERROR(INDEX(Input!$K$123:$AA$126,MATCH(Расчеты!$D427,Input!$C$123:$C$126,0),MATCH(Расчеты!AN$9,Input!$K$122:$AA$122,0)),0)</f>
        <v>0</v>
      </c>
      <c r="AO427" s="28"/>
    </row>
    <row r="428" spans="3:41" ht="14.4" customHeight="1" outlineLevel="1" x14ac:dyDescent="0.3">
      <c r="D428" s="1" t="s">
        <v>193</v>
      </c>
      <c r="H428" s="26" t="s">
        <v>9</v>
      </c>
      <c r="L428" s="37">
        <f>IFERROR(INDEX(Input!$K$123:$AA$126,MATCH(Расчеты!$D428,Input!$C$123:$C$126,0),MATCH(Расчеты!L$9,Input!$K$122:$AA$122,0)),0)</f>
        <v>0</v>
      </c>
      <c r="M428" s="37">
        <f>IFERROR(INDEX(Input!$K$123:$AA$126,MATCH(Расчеты!$D428,Input!$C$123:$C$126,0),MATCH(Расчеты!M$9,Input!$K$122:$AA$122,0)),0)</f>
        <v>0</v>
      </c>
      <c r="N428" s="37">
        <f>IFERROR(INDEX(Input!$K$123:$AA$126,MATCH(Расчеты!$D428,Input!$C$123:$C$126,0),MATCH(Расчеты!N$9,Input!$K$122:$AA$122,0)),0)</f>
        <v>0.25</v>
      </c>
      <c r="O428" s="37">
        <f>IFERROR(INDEX(Input!$K$123:$AA$126,MATCH(Расчеты!$D428,Input!$C$123:$C$126,0),MATCH(Расчеты!O$9,Input!$K$122:$AA$122,0)),0)</f>
        <v>0.25</v>
      </c>
      <c r="P428" s="37">
        <f>IFERROR(INDEX(Input!$K$123:$AA$126,MATCH(Расчеты!$D428,Input!$C$123:$C$126,0),MATCH(Расчеты!P$9,Input!$K$122:$AA$122,0)),0)</f>
        <v>0.25</v>
      </c>
      <c r="Q428" s="37">
        <f>IFERROR(INDEX(Input!$K$123:$AA$126,MATCH(Расчеты!$D428,Input!$C$123:$C$126,0),MATCH(Расчеты!Q$9,Input!$K$122:$AA$122,0)),0)</f>
        <v>0.25</v>
      </c>
      <c r="R428" s="37">
        <f>IFERROR(INDEX(Input!$K$123:$AA$126,MATCH(Расчеты!$D428,Input!$C$123:$C$126,0),MATCH(Расчеты!R$9,Input!$K$122:$AA$122,0)),0)</f>
        <v>0.25</v>
      </c>
      <c r="S428" s="37">
        <f>IFERROR(INDEX(Input!$K$123:$AA$126,MATCH(Расчеты!$D428,Input!$C$123:$C$126,0),MATCH(Расчеты!S$9,Input!$K$122:$AA$122,0)),0)</f>
        <v>0.25</v>
      </c>
      <c r="T428" s="37">
        <f>IFERROR(INDEX(Input!$K$123:$AA$126,MATCH(Расчеты!$D428,Input!$C$123:$C$126,0),MATCH(Расчеты!T$9,Input!$K$122:$AA$122,0)),0)</f>
        <v>0.25</v>
      </c>
      <c r="U428" s="37">
        <f>IFERROR(INDEX(Input!$K$123:$AA$126,MATCH(Расчеты!$D428,Input!$C$123:$C$126,0),MATCH(Расчеты!U$9,Input!$K$122:$AA$122,0)),0)</f>
        <v>0.25</v>
      </c>
      <c r="V428" s="37">
        <f>IFERROR(INDEX(Input!$K$123:$AA$126,MATCH(Расчеты!$D428,Input!$C$123:$C$126,0),MATCH(Расчеты!V$9,Input!$K$122:$AA$122,0)),0)</f>
        <v>0.25</v>
      </c>
      <c r="W428" s="37">
        <f>IFERROR(INDEX(Input!$K$123:$AA$126,MATCH(Расчеты!$D428,Input!$C$123:$C$126,0),MATCH(Расчеты!W$9,Input!$K$122:$AA$122,0)),0)</f>
        <v>0.25</v>
      </c>
      <c r="X428" s="37">
        <f>IFERROR(INDEX(Input!$K$123:$AA$126,MATCH(Расчеты!$D428,Input!$C$123:$C$126,0),MATCH(Расчеты!X$9,Input!$K$122:$AA$122,0)),0)</f>
        <v>0.25</v>
      </c>
      <c r="Y428" s="37">
        <f>IFERROR(INDEX(Input!$K$123:$AA$126,MATCH(Расчеты!$D428,Input!$C$123:$C$126,0),MATCH(Расчеты!Y$9,Input!$K$122:$AA$122,0)),0)</f>
        <v>0.25</v>
      </c>
      <c r="Z428" s="37">
        <f>IFERROR(INDEX(Input!$K$123:$AA$126,MATCH(Расчеты!$D428,Input!$C$123:$C$126,0),MATCH(Расчеты!Z$9,Input!$K$122:$AA$122,0)),0)</f>
        <v>0.25</v>
      </c>
      <c r="AA428" s="37">
        <f>IFERROR(INDEX(Input!$K$123:$AA$126,MATCH(Расчеты!$D428,Input!$C$123:$C$126,0),MATCH(Расчеты!AA$9,Input!$K$122:$AA$122,0)),0)</f>
        <v>0.25</v>
      </c>
      <c r="AB428" s="37">
        <f>IFERROR(INDEX(Input!$K$123:$AA$126,MATCH(Расчеты!$D428,Input!$C$123:$C$126,0),MATCH(Расчеты!AB$9,Input!$K$122:$AA$122,0)),0)</f>
        <v>0.25</v>
      </c>
      <c r="AC428" s="37">
        <f>IFERROR(INDEX(Input!$K$123:$AA$126,MATCH(Расчеты!$D428,Input!$C$123:$C$126,0),MATCH(Расчеты!AC$9,Input!$K$122:$AA$122,0)),0)</f>
        <v>0.25</v>
      </c>
      <c r="AD428" s="37">
        <f>IFERROR(INDEX(Input!$K$123:$AA$126,MATCH(Расчеты!$D428,Input!$C$123:$C$126,0),MATCH(Расчеты!AD$9,Input!$K$122:$AA$122,0)),0)</f>
        <v>0</v>
      </c>
      <c r="AE428" s="37">
        <f>IFERROR(INDEX(Input!$K$123:$AA$126,MATCH(Расчеты!$D428,Input!$C$123:$C$126,0),MATCH(Расчеты!AE$9,Input!$K$122:$AA$122,0)),0)</f>
        <v>0</v>
      </c>
      <c r="AF428" s="37">
        <f>IFERROR(INDEX(Input!$K$123:$AA$126,MATCH(Расчеты!$D428,Input!$C$123:$C$126,0),MATCH(Расчеты!AF$9,Input!$K$122:$AA$122,0)),0)</f>
        <v>0</v>
      </c>
      <c r="AG428" s="37">
        <f>IFERROR(INDEX(Input!$K$123:$AA$126,MATCH(Расчеты!$D428,Input!$C$123:$C$126,0),MATCH(Расчеты!AG$9,Input!$K$122:$AA$122,0)),0)</f>
        <v>0</v>
      </c>
      <c r="AH428" s="37">
        <f>IFERROR(INDEX(Input!$K$123:$AA$126,MATCH(Расчеты!$D428,Input!$C$123:$C$126,0),MATCH(Расчеты!AH$9,Input!$K$122:$AA$122,0)),0)</f>
        <v>0</v>
      </c>
      <c r="AI428" s="37">
        <f>IFERROR(INDEX(Input!$K$123:$AA$126,MATCH(Расчеты!$D428,Input!$C$123:$C$126,0),MATCH(Расчеты!AI$9,Input!$K$122:$AA$122,0)),0)</f>
        <v>0</v>
      </c>
      <c r="AJ428" s="37">
        <f>IFERROR(INDEX(Input!$K$123:$AA$126,MATCH(Расчеты!$D428,Input!$C$123:$C$126,0),MATCH(Расчеты!AJ$9,Input!$K$122:$AA$122,0)),0)</f>
        <v>0</v>
      </c>
      <c r="AK428" s="37">
        <f>IFERROR(INDEX(Input!$K$123:$AA$126,MATCH(Расчеты!$D428,Input!$C$123:$C$126,0),MATCH(Расчеты!AK$9,Input!$K$122:$AA$122,0)),0)</f>
        <v>0</v>
      </c>
      <c r="AL428" s="37">
        <f>IFERROR(INDEX(Input!$K$123:$AA$126,MATCH(Расчеты!$D428,Input!$C$123:$C$126,0),MATCH(Расчеты!AL$9,Input!$K$122:$AA$122,0)),0)</f>
        <v>0</v>
      </c>
      <c r="AM428" s="37">
        <f>IFERROR(INDEX(Input!$K$123:$AA$126,MATCH(Расчеты!$D428,Input!$C$123:$C$126,0),MATCH(Расчеты!AM$9,Input!$K$122:$AA$122,0)),0)</f>
        <v>0</v>
      </c>
      <c r="AN428" s="37">
        <f>IFERROR(INDEX(Input!$K$123:$AA$126,MATCH(Расчеты!$D428,Input!$C$123:$C$126,0),MATCH(Расчеты!AN$9,Input!$K$122:$AA$122,0)),0)</f>
        <v>0</v>
      </c>
      <c r="AO428" s="28"/>
    </row>
    <row r="429" spans="3:41" ht="14.4" customHeight="1" outlineLevel="1" x14ac:dyDescent="0.3">
      <c r="D429" s="1" t="s">
        <v>194</v>
      </c>
      <c r="H429" s="26" t="s">
        <v>9</v>
      </c>
      <c r="L429" s="37">
        <f>IFERROR(INDEX(Input!$K$123:$AA$126,MATCH(Расчеты!$D429,Input!$C$123:$C$126,0),MATCH(Расчеты!L$9,Input!$K$122:$AA$122,0)),0)</f>
        <v>0</v>
      </c>
      <c r="M429" s="37">
        <f>IFERROR(INDEX(Input!$K$123:$AA$126,MATCH(Расчеты!$D429,Input!$C$123:$C$126,0),MATCH(Расчеты!M$9,Input!$K$122:$AA$122,0)),0)</f>
        <v>0</v>
      </c>
      <c r="N429" s="37">
        <f>IFERROR(INDEX(Input!$K$123:$AA$126,MATCH(Расчеты!$D429,Input!$C$123:$C$126,0),MATCH(Расчеты!N$9,Input!$K$122:$AA$122,0)),0)</f>
        <v>0.25</v>
      </c>
      <c r="O429" s="37">
        <f>IFERROR(INDEX(Input!$K$123:$AA$126,MATCH(Расчеты!$D429,Input!$C$123:$C$126,0),MATCH(Расчеты!O$9,Input!$K$122:$AA$122,0)),0)</f>
        <v>0.25</v>
      </c>
      <c r="P429" s="37">
        <f>IFERROR(INDEX(Input!$K$123:$AA$126,MATCH(Расчеты!$D429,Input!$C$123:$C$126,0),MATCH(Расчеты!P$9,Input!$K$122:$AA$122,0)),0)</f>
        <v>0.25</v>
      </c>
      <c r="Q429" s="37">
        <f>IFERROR(INDEX(Input!$K$123:$AA$126,MATCH(Расчеты!$D429,Input!$C$123:$C$126,0),MATCH(Расчеты!Q$9,Input!$K$122:$AA$122,0)),0)</f>
        <v>0.25</v>
      </c>
      <c r="R429" s="37">
        <f>IFERROR(INDEX(Input!$K$123:$AA$126,MATCH(Расчеты!$D429,Input!$C$123:$C$126,0),MATCH(Расчеты!R$9,Input!$K$122:$AA$122,0)),0)</f>
        <v>0.25</v>
      </c>
      <c r="S429" s="37">
        <f>IFERROR(INDEX(Input!$K$123:$AA$126,MATCH(Расчеты!$D429,Input!$C$123:$C$126,0),MATCH(Расчеты!S$9,Input!$K$122:$AA$122,0)),0)</f>
        <v>0.25</v>
      </c>
      <c r="T429" s="37">
        <f>IFERROR(INDEX(Input!$K$123:$AA$126,MATCH(Расчеты!$D429,Input!$C$123:$C$126,0),MATCH(Расчеты!T$9,Input!$K$122:$AA$122,0)),0)</f>
        <v>0.25</v>
      </c>
      <c r="U429" s="37">
        <f>IFERROR(INDEX(Input!$K$123:$AA$126,MATCH(Расчеты!$D429,Input!$C$123:$C$126,0),MATCH(Расчеты!U$9,Input!$K$122:$AA$122,0)),0)</f>
        <v>0.25</v>
      </c>
      <c r="V429" s="37">
        <f>IFERROR(INDEX(Input!$K$123:$AA$126,MATCH(Расчеты!$D429,Input!$C$123:$C$126,0),MATCH(Расчеты!V$9,Input!$K$122:$AA$122,0)),0)</f>
        <v>0.25</v>
      </c>
      <c r="W429" s="37">
        <f>IFERROR(INDEX(Input!$K$123:$AA$126,MATCH(Расчеты!$D429,Input!$C$123:$C$126,0),MATCH(Расчеты!W$9,Input!$K$122:$AA$122,0)),0)</f>
        <v>0.25</v>
      </c>
      <c r="X429" s="37">
        <f>IFERROR(INDEX(Input!$K$123:$AA$126,MATCH(Расчеты!$D429,Input!$C$123:$C$126,0),MATCH(Расчеты!X$9,Input!$K$122:$AA$122,0)),0)</f>
        <v>0.25</v>
      </c>
      <c r="Y429" s="37">
        <f>IFERROR(INDEX(Input!$K$123:$AA$126,MATCH(Расчеты!$D429,Input!$C$123:$C$126,0),MATCH(Расчеты!Y$9,Input!$K$122:$AA$122,0)),0)</f>
        <v>0.25</v>
      </c>
      <c r="Z429" s="37">
        <f>IFERROR(INDEX(Input!$K$123:$AA$126,MATCH(Расчеты!$D429,Input!$C$123:$C$126,0),MATCH(Расчеты!Z$9,Input!$K$122:$AA$122,0)),0)</f>
        <v>0.25</v>
      </c>
      <c r="AA429" s="37">
        <f>IFERROR(INDEX(Input!$K$123:$AA$126,MATCH(Расчеты!$D429,Input!$C$123:$C$126,0),MATCH(Расчеты!AA$9,Input!$K$122:$AA$122,0)),0)</f>
        <v>0.25</v>
      </c>
      <c r="AB429" s="37">
        <f>IFERROR(INDEX(Input!$K$123:$AA$126,MATCH(Расчеты!$D429,Input!$C$123:$C$126,0),MATCH(Расчеты!AB$9,Input!$K$122:$AA$122,0)),0)</f>
        <v>0.25</v>
      </c>
      <c r="AC429" s="37">
        <f>IFERROR(INDEX(Input!$K$123:$AA$126,MATCH(Расчеты!$D429,Input!$C$123:$C$126,0),MATCH(Расчеты!AC$9,Input!$K$122:$AA$122,0)),0)</f>
        <v>0.25</v>
      </c>
      <c r="AD429" s="37">
        <f>IFERROR(INDEX(Input!$K$123:$AA$126,MATCH(Расчеты!$D429,Input!$C$123:$C$126,0),MATCH(Расчеты!AD$9,Input!$K$122:$AA$122,0)),0)</f>
        <v>0</v>
      </c>
      <c r="AE429" s="37">
        <f>IFERROR(INDEX(Input!$K$123:$AA$126,MATCH(Расчеты!$D429,Input!$C$123:$C$126,0),MATCH(Расчеты!AE$9,Input!$K$122:$AA$122,0)),0)</f>
        <v>0</v>
      </c>
      <c r="AF429" s="37">
        <f>IFERROR(INDEX(Input!$K$123:$AA$126,MATCH(Расчеты!$D429,Input!$C$123:$C$126,0),MATCH(Расчеты!AF$9,Input!$K$122:$AA$122,0)),0)</f>
        <v>0</v>
      </c>
      <c r="AG429" s="37">
        <f>IFERROR(INDEX(Input!$K$123:$AA$126,MATCH(Расчеты!$D429,Input!$C$123:$C$126,0),MATCH(Расчеты!AG$9,Input!$K$122:$AA$122,0)),0)</f>
        <v>0</v>
      </c>
      <c r="AH429" s="37">
        <f>IFERROR(INDEX(Input!$K$123:$AA$126,MATCH(Расчеты!$D429,Input!$C$123:$C$126,0),MATCH(Расчеты!AH$9,Input!$K$122:$AA$122,0)),0)</f>
        <v>0</v>
      </c>
      <c r="AI429" s="37">
        <f>IFERROR(INDEX(Input!$K$123:$AA$126,MATCH(Расчеты!$D429,Input!$C$123:$C$126,0),MATCH(Расчеты!AI$9,Input!$K$122:$AA$122,0)),0)</f>
        <v>0</v>
      </c>
      <c r="AJ429" s="37">
        <f>IFERROR(INDEX(Input!$K$123:$AA$126,MATCH(Расчеты!$D429,Input!$C$123:$C$126,0),MATCH(Расчеты!AJ$9,Input!$K$122:$AA$122,0)),0)</f>
        <v>0</v>
      </c>
      <c r="AK429" s="37">
        <f>IFERROR(INDEX(Input!$K$123:$AA$126,MATCH(Расчеты!$D429,Input!$C$123:$C$126,0),MATCH(Расчеты!AK$9,Input!$K$122:$AA$122,0)),0)</f>
        <v>0</v>
      </c>
      <c r="AL429" s="37">
        <f>IFERROR(INDEX(Input!$K$123:$AA$126,MATCH(Расчеты!$D429,Input!$C$123:$C$126,0),MATCH(Расчеты!AL$9,Input!$K$122:$AA$122,0)),0)</f>
        <v>0</v>
      </c>
      <c r="AM429" s="37">
        <f>IFERROR(INDEX(Input!$K$123:$AA$126,MATCH(Расчеты!$D429,Input!$C$123:$C$126,0),MATCH(Расчеты!AM$9,Input!$K$122:$AA$122,0)),0)</f>
        <v>0</v>
      </c>
      <c r="AN429" s="37">
        <f>IFERROR(INDEX(Input!$K$123:$AA$126,MATCH(Расчеты!$D429,Input!$C$123:$C$126,0),MATCH(Расчеты!AN$9,Input!$K$122:$AA$122,0)),0)</f>
        <v>0</v>
      </c>
      <c r="AO429" s="28"/>
    </row>
    <row r="430" spans="3:41" ht="14.4" customHeight="1" outlineLevel="1" x14ac:dyDescent="0.3">
      <c r="AO430" s="28"/>
    </row>
    <row r="431" spans="3:41" ht="14.4" customHeight="1" outlineLevel="1" x14ac:dyDescent="0.3">
      <c r="C431" s="2" t="s">
        <v>247</v>
      </c>
      <c r="H431" s="26"/>
      <c r="AO431" s="28"/>
    </row>
    <row r="432" spans="3:41" ht="14.4" customHeight="1" outlineLevel="1" x14ac:dyDescent="0.3">
      <c r="D432" s="1" t="s">
        <v>191</v>
      </c>
      <c r="H432" s="26" t="s">
        <v>146</v>
      </c>
      <c r="L432" s="22">
        <f>L426*L$421</f>
        <v>0</v>
      </c>
      <c r="M432" s="22">
        <f t="shared" ref="M432:AN432" si="120">M426*M$421</f>
        <v>0</v>
      </c>
      <c r="N432" s="22">
        <f t="shared" si="120"/>
        <v>15892.708333333334</v>
      </c>
      <c r="O432" s="22">
        <f t="shared" si="120"/>
        <v>19071.25</v>
      </c>
      <c r="P432" s="22">
        <f t="shared" si="120"/>
        <v>19123.5</v>
      </c>
      <c r="Q432" s="22">
        <f t="shared" si="120"/>
        <v>19071.25</v>
      </c>
      <c r="R432" s="22">
        <f t="shared" si="120"/>
        <v>19071.25</v>
      </c>
      <c r="S432" s="22">
        <f>S426*S$421</f>
        <v>19071.25</v>
      </c>
      <c r="T432" s="22">
        <f t="shared" si="120"/>
        <v>19123.5</v>
      </c>
      <c r="U432" s="22">
        <f t="shared" si="120"/>
        <v>19071.25</v>
      </c>
      <c r="V432" s="22">
        <f t="shared" si="120"/>
        <v>19071.25</v>
      </c>
      <c r="W432" s="22">
        <f t="shared" si="120"/>
        <v>19071.25</v>
      </c>
      <c r="X432" s="22">
        <f t="shared" si="120"/>
        <v>19123.5</v>
      </c>
      <c r="Y432" s="22">
        <f t="shared" si="120"/>
        <v>19071.25</v>
      </c>
      <c r="Z432" s="22">
        <f t="shared" si="120"/>
        <v>19071.25</v>
      </c>
      <c r="AA432" s="22">
        <f t="shared" si="120"/>
        <v>19071.25</v>
      </c>
      <c r="AB432" s="22">
        <f t="shared" si="120"/>
        <v>19123.5</v>
      </c>
      <c r="AC432" s="22">
        <f t="shared" si="120"/>
        <v>3178.5416666666661</v>
      </c>
      <c r="AD432" s="22">
        <f t="shared" si="120"/>
        <v>0</v>
      </c>
      <c r="AE432" s="22">
        <f t="shared" si="120"/>
        <v>0</v>
      </c>
      <c r="AF432" s="22">
        <f t="shared" si="120"/>
        <v>0</v>
      </c>
      <c r="AG432" s="22">
        <f t="shared" si="120"/>
        <v>0</v>
      </c>
      <c r="AH432" s="22">
        <f t="shared" si="120"/>
        <v>0</v>
      </c>
      <c r="AI432" s="22">
        <f t="shared" si="120"/>
        <v>0</v>
      </c>
      <c r="AJ432" s="22">
        <f t="shared" si="120"/>
        <v>0</v>
      </c>
      <c r="AK432" s="22">
        <f t="shared" si="120"/>
        <v>0</v>
      </c>
      <c r="AL432" s="22">
        <f t="shared" si="120"/>
        <v>0</v>
      </c>
      <c r="AM432" s="22">
        <f t="shared" si="120"/>
        <v>0</v>
      </c>
      <c r="AN432" s="22">
        <f t="shared" si="120"/>
        <v>0</v>
      </c>
      <c r="AO432" s="28"/>
    </row>
    <row r="433" spans="2:41" ht="14.4" customHeight="1" outlineLevel="1" x14ac:dyDescent="0.3">
      <c r="D433" s="1" t="s">
        <v>192</v>
      </c>
      <c r="H433" s="26" t="s">
        <v>146</v>
      </c>
      <c r="L433" s="22">
        <f>L427*L$421</f>
        <v>0</v>
      </c>
      <c r="M433" s="22">
        <f t="shared" ref="M433:AN433" si="121">M427*M$421</f>
        <v>0</v>
      </c>
      <c r="N433" s="22">
        <f t="shared" si="121"/>
        <v>15892.708333333334</v>
      </c>
      <c r="O433" s="22">
        <f t="shared" si="121"/>
        <v>19071.25</v>
      </c>
      <c r="P433" s="22">
        <f t="shared" si="121"/>
        <v>19123.5</v>
      </c>
      <c r="Q433" s="22">
        <f t="shared" si="121"/>
        <v>19071.25</v>
      </c>
      <c r="R433" s="22">
        <f t="shared" si="121"/>
        <v>19071.25</v>
      </c>
      <c r="S433" s="22">
        <f>S427*S$421</f>
        <v>19071.25</v>
      </c>
      <c r="T433" s="22">
        <f t="shared" si="121"/>
        <v>19123.5</v>
      </c>
      <c r="U433" s="22">
        <f t="shared" si="121"/>
        <v>19071.25</v>
      </c>
      <c r="V433" s="22">
        <f t="shared" si="121"/>
        <v>19071.25</v>
      </c>
      <c r="W433" s="22">
        <f t="shared" si="121"/>
        <v>19071.25</v>
      </c>
      <c r="X433" s="22">
        <f t="shared" si="121"/>
        <v>19123.5</v>
      </c>
      <c r="Y433" s="22">
        <f t="shared" si="121"/>
        <v>19071.25</v>
      </c>
      <c r="Z433" s="22">
        <f t="shared" si="121"/>
        <v>19071.25</v>
      </c>
      <c r="AA433" s="22">
        <f t="shared" si="121"/>
        <v>19071.25</v>
      </c>
      <c r="AB433" s="22">
        <f t="shared" si="121"/>
        <v>19123.5</v>
      </c>
      <c r="AC433" s="22">
        <f t="shared" si="121"/>
        <v>3178.5416666666661</v>
      </c>
      <c r="AD433" s="22">
        <f t="shared" si="121"/>
        <v>0</v>
      </c>
      <c r="AE433" s="22">
        <f t="shared" si="121"/>
        <v>0</v>
      </c>
      <c r="AF433" s="22">
        <f t="shared" si="121"/>
        <v>0</v>
      </c>
      <c r="AG433" s="22">
        <f t="shared" si="121"/>
        <v>0</v>
      </c>
      <c r="AH433" s="22">
        <f t="shared" si="121"/>
        <v>0</v>
      </c>
      <c r="AI433" s="22">
        <f t="shared" si="121"/>
        <v>0</v>
      </c>
      <c r="AJ433" s="22">
        <f t="shared" si="121"/>
        <v>0</v>
      </c>
      <c r="AK433" s="22">
        <f t="shared" si="121"/>
        <v>0</v>
      </c>
      <c r="AL433" s="22">
        <f t="shared" si="121"/>
        <v>0</v>
      </c>
      <c r="AM433" s="22">
        <f t="shared" si="121"/>
        <v>0</v>
      </c>
      <c r="AN433" s="22">
        <f t="shared" si="121"/>
        <v>0</v>
      </c>
      <c r="AO433" s="28"/>
    </row>
    <row r="434" spans="2:41" ht="14.4" customHeight="1" outlineLevel="1" x14ac:dyDescent="0.3">
      <c r="D434" s="1" t="s">
        <v>193</v>
      </c>
      <c r="H434" s="26" t="s">
        <v>146</v>
      </c>
      <c r="L434" s="22">
        <f>L428*L$421</f>
        <v>0</v>
      </c>
      <c r="M434" s="22">
        <f t="shared" ref="M434:AN435" si="122">M428*M$421</f>
        <v>0</v>
      </c>
      <c r="N434" s="22">
        <f t="shared" si="122"/>
        <v>15892.708333333334</v>
      </c>
      <c r="O434" s="22">
        <f t="shared" si="122"/>
        <v>19071.25</v>
      </c>
      <c r="P434" s="22">
        <f t="shared" si="122"/>
        <v>19123.5</v>
      </c>
      <c r="Q434" s="22">
        <f t="shared" si="122"/>
        <v>19071.25</v>
      </c>
      <c r="R434" s="22">
        <f t="shared" si="122"/>
        <v>19071.25</v>
      </c>
      <c r="S434" s="22">
        <f>S428*S$421</f>
        <v>19071.25</v>
      </c>
      <c r="T434" s="22">
        <f t="shared" si="122"/>
        <v>19123.5</v>
      </c>
      <c r="U434" s="22">
        <f t="shared" si="122"/>
        <v>19071.25</v>
      </c>
      <c r="V434" s="22">
        <f t="shared" si="122"/>
        <v>19071.25</v>
      </c>
      <c r="W434" s="22">
        <f t="shared" si="122"/>
        <v>19071.25</v>
      </c>
      <c r="X434" s="22">
        <f t="shared" si="122"/>
        <v>19123.5</v>
      </c>
      <c r="Y434" s="22">
        <f t="shared" si="122"/>
        <v>19071.25</v>
      </c>
      <c r="Z434" s="22">
        <f t="shared" si="122"/>
        <v>19071.25</v>
      </c>
      <c r="AA434" s="22">
        <f t="shared" si="122"/>
        <v>19071.25</v>
      </c>
      <c r="AB434" s="22">
        <f t="shared" si="122"/>
        <v>19123.5</v>
      </c>
      <c r="AC434" s="22">
        <f t="shared" si="122"/>
        <v>3178.5416666666661</v>
      </c>
      <c r="AD434" s="22">
        <f t="shared" si="122"/>
        <v>0</v>
      </c>
      <c r="AE434" s="22">
        <f t="shared" si="122"/>
        <v>0</v>
      </c>
      <c r="AF434" s="22">
        <f t="shared" si="122"/>
        <v>0</v>
      </c>
      <c r="AG434" s="22">
        <f t="shared" si="122"/>
        <v>0</v>
      </c>
      <c r="AH434" s="22">
        <f t="shared" si="122"/>
        <v>0</v>
      </c>
      <c r="AI434" s="22">
        <f t="shared" si="122"/>
        <v>0</v>
      </c>
      <c r="AJ434" s="22">
        <f t="shared" si="122"/>
        <v>0</v>
      </c>
      <c r="AK434" s="22">
        <f t="shared" si="122"/>
        <v>0</v>
      </c>
      <c r="AL434" s="22">
        <f t="shared" si="122"/>
        <v>0</v>
      </c>
      <c r="AM434" s="22">
        <f t="shared" si="122"/>
        <v>0</v>
      </c>
      <c r="AN434" s="22">
        <f t="shared" si="122"/>
        <v>0</v>
      </c>
      <c r="AO434" s="28"/>
    </row>
    <row r="435" spans="2:41" ht="14.4" customHeight="1" outlineLevel="1" x14ac:dyDescent="0.3">
      <c r="D435" s="1" t="s">
        <v>194</v>
      </c>
      <c r="H435" s="26" t="s">
        <v>146</v>
      </c>
      <c r="L435" s="22">
        <f>L429*L$421</f>
        <v>0</v>
      </c>
      <c r="M435" s="22">
        <f t="shared" ref="M435:AA435" si="123">M429*M$421</f>
        <v>0</v>
      </c>
      <c r="N435" s="22">
        <f t="shared" si="123"/>
        <v>15892.708333333334</v>
      </c>
      <c r="O435" s="22">
        <f t="shared" si="123"/>
        <v>19071.25</v>
      </c>
      <c r="P435" s="22">
        <f t="shared" si="123"/>
        <v>19123.5</v>
      </c>
      <c r="Q435" s="22">
        <f t="shared" si="123"/>
        <v>19071.25</v>
      </c>
      <c r="R435" s="22">
        <f t="shared" si="123"/>
        <v>19071.25</v>
      </c>
      <c r="S435" s="22">
        <f t="shared" si="123"/>
        <v>19071.25</v>
      </c>
      <c r="T435" s="22">
        <f t="shared" si="123"/>
        <v>19123.5</v>
      </c>
      <c r="U435" s="22">
        <f t="shared" si="123"/>
        <v>19071.25</v>
      </c>
      <c r="V435" s="22">
        <f t="shared" si="123"/>
        <v>19071.25</v>
      </c>
      <c r="W435" s="22">
        <f t="shared" si="123"/>
        <v>19071.25</v>
      </c>
      <c r="X435" s="22">
        <f t="shared" si="123"/>
        <v>19123.5</v>
      </c>
      <c r="Y435" s="22">
        <f t="shared" si="123"/>
        <v>19071.25</v>
      </c>
      <c r="Z435" s="22">
        <f t="shared" si="123"/>
        <v>19071.25</v>
      </c>
      <c r="AA435" s="22">
        <f t="shared" si="123"/>
        <v>19071.25</v>
      </c>
      <c r="AB435" s="22">
        <f t="shared" si="122"/>
        <v>19123.5</v>
      </c>
      <c r="AC435" s="22">
        <f t="shared" si="122"/>
        <v>3178.5416666666661</v>
      </c>
      <c r="AD435" s="22">
        <f t="shared" si="122"/>
        <v>0</v>
      </c>
      <c r="AE435" s="22">
        <f t="shared" si="122"/>
        <v>0</v>
      </c>
      <c r="AF435" s="22">
        <f t="shared" si="122"/>
        <v>0</v>
      </c>
      <c r="AG435" s="22">
        <f t="shared" si="122"/>
        <v>0</v>
      </c>
      <c r="AH435" s="22">
        <f t="shared" si="122"/>
        <v>0</v>
      </c>
      <c r="AI435" s="22">
        <f t="shared" si="122"/>
        <v>0</v>
      </c>
      <c r="AJ435" s="22">
        <f t="shared" si="122"/>
        <v>0</v>
      </c>
      <c r="AK435" s="22">
        <f t="shared" si="122"/>
        <v>0</v>
      </c>
      <c r="AL435" s="22">
        <f t="shared" si="122"/>
        <v>0</v>
      </c>
      <c r="AM435" s="22">
        <f t="shared" si="122"/>
        <v>0</v>
      </c>
      <c r="AN435" s="22">
        <f t="shared" si="122"/>
        <v>0</v>
      </c>
      <c r="AO435" s="28"/>
    </row>
    <row r="436" spans="2:41" ht="14.4" customHeight="1" outlineLevel="1" x14ac:dyDescent="0.3">
      <c r="C436" s="2" t="s">
        <v>37</v>
      </c>
      <c r="H436" s="26" t="s">
        <v>146</v>
      </c>
      <c r="L436" s="34">
        <f>SUM(L432:L435)</f>
        <v>0</v>
      </c>
      <c r="M436" s="34">
        <f t="shared" ref="M436:AN436" si="124">SUM(M432:M435)</f>
        <v>0</v>
      </c>
      <c r="N436" s="34">
        <f t="shared" si="124"/>
        <v>63570.833333333336</v>
      </c>
      <c r="O436" s="34">
        <f t="shared" si="124"/>
        <v>76285</v>
      </c>
      <c r="P436" s="34">
        <f t="shared" si="124"/>
        <v>76494</v>
      </c>
      <c r="Q436" s="34">
        <f t="shared" si="124"/>
        <v>76285</v>
      </c>
      <c r="R436" s="34">
        <f t="shared" si="124"/>
        <v>76285</v>
      </c>
      <c r="S436" s="34">
        <f t="shared" si="124"/>
        <v>76285</v>
      </c>
      <c r="T436" s="34">
        <f t="shared" si="124"/>
        <v>76494</v>
      </c>
      <c r="U436" s="34">
        <f t="shared" si="124"/>
        <v>76285</v>
      </c>
      <c r="V436" s="34">
        <f t="shared" si="124"/>
        <v>76285</v>
      </c>
      <c r="W436" s="34">
        <f t="shared" si="124"/>
        <v>76285</v>
      </c>
      <c r="X436" s="34">
        <f t="shared" si="124"/>
        <v>76494</v>
      </c>
      <c r="Y436" s="34">
        <f t="shared" si="124"/>
        <v>76285</v>
      </c>
      <c r="Z436" s="34">
        <f t="shared" si="124"/>
        <v>76285</v>
      </c>
      <c r="AA436" s="34">
        <f t="shared" si="124"/>
        <v>76285</v>
      </c>
      <c r="AB436" s="34">
        <f t="shared" si="124"/>
        <v>76494</v>
      </c>
      <c r="AC436" s="34">
        <f t="shared" si="124"/>
        <v>12714.166666666664</v>
      </c>
      <c r="AD436" s="34">
        <f t="shared" si="124"/>
        <v>0</v>
      </c>
      <c r="AE436" s="34">
        <f t="shared" si="124"/>
        <v>0</v>
      </c>
      <c r="AF436" s="34">
        <f t="shared" si="124"/>
        <v>0</v>
      </c>
      <c r="AG436" s="34">
        <f t="shared" si="124"/>
        <v>0</v>
      </c>
      <c r="AH436" s="34">
        <f t="shared" si="124"/>
        <v>0</v>
      </c>
      <c r="AI436" s="34">
        <f t="shared" si="124"/>
        <v>0</v>
      </c>
      <c r="AJ436" s="34">
        <f t="shared" si="124"/>
        <v>0</v>
      </c>
      <c r="AK436" s="34">
        <f t="shared" si="124"/>
        <v>0</v>
      </c>
      <c r="AL436" s="34">
        <f t="shared" si="124"/>
        <v>0</v>
      </c>
      <c r="AM436" s="34">
        <f t="shared" si="124"/>
        <v>0</v>
      </c>
      <c r="AN436" s="34">
        <f t="shared" si="124"/>
        <v>0</v>
      </c>
      <c r="AO436" s="28"/>
    </row>
    <row r="437" spans="2:41" ht="14.4" customHeight="1" outlineLevel="1" x14ac:dyDescent="0.3">
      <c r="C437" s="2"/>
      <c r="H437" s="30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8"/>
    </row>
    <row r="438" spans="2:41" ht="14.4" customHeight="1" outlineLevel="1" x14ac:dyDescent="0.3">
      <c r="B438" s="18" t="str">
        <f>Input!A129</f>
        <v>CPI, (RUB)</v>
      </c>
      <c r="C438" s="2" t="s">
        <v>235</v>
      </c>
      <c r="H438" s="30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8"/>
    </row>
    <row r="439" spans="2:41" ht="14.4" customHeight="1" outlineLevel="1" x14ac:dyDescent="0.3">
      <c r="C439" s="2"/>
      <c r="D439" s="1" t="s">
        <v>191</v>
      </c>
      <c r="H439" s="26" t="s">
        <v>225</v>
      </c>
      <c r="I439" s="33">
        <f>Input!H130</f>
        <v>10699</v>
      </c>
      <c r="L439" s="22">
        <f t="shared" ref="L439:U442" si="125">$I439*INDEX(L$58:L$62,MATCH($B$438,$C$58:$C$62,0))</f>
        <v>10699</v>
      </c>
      <c r="M439" s="22">
        <f t="shared" si="125"/>
        <v>11126.960000000001</v>
      </c>
      <c r="N439" s="22">
        <f t="shared" si="125"/>
        <v>11572.038400000001</v>
      </c>
      <c r="O439" s="22">
        <f t="shared" si="125"/>
        <v>12034.919936</v>
      </c>
      <c r="P439" s="22">
        <f t="shared" si="125"/>
        <v>12516.316733440002</v>
      </c>
      <c r="Q439" s="22">
        <f t="shared" si="125"/>
        <v>13016.969402777604</v>
      </c>
      <c r="R439" s="22">
        <f t="shared" si="125"/>
        <v>13537.648178888709</v>
      </c>
      <c r="S439" s="22">
        <f t="shared" si="125"/>
        <v>14079.154106044258</v>
      </c>
      <c r="T439" s="22">
        <f t="shared" si="125"/>
        <v>14642.320270286027</v>
      </c>
      <c r="U439" s="22">
        <f t="shared" si="125"/>
        <v>15228.01308109747</v>
      </c>
      <c r="V439" s="22">
        <f t="shared" ref="V439:AE442" si="126">$I439*INDEX(V$58:V$62,MATCH($B$438,$C$58:$C$62,0))</f>
        <v>15837.133604341368</v>
      </c>
      <c r="W439" s="22">
        <f t="shared" si="126"/>
        <v>16470.618948515024</v>
      </c>
      <c r="X439" s="22">
        <f t="shared" si="126"/>
        <v>17129.443706455626</v>
      </c>
      <c r="Y439" s="22">
        <f t="shared" si="126"/>
        <v>17814.621454713852</v>
      </c>
      <c r="Z439" s="22">
        <f t="shared" si="126"/>
        <v>18527.206312902406</v>
      </c>
      <c r="AA439" s="22">
        <f t="shared" si="126"/>
        <v>19268.294565418502</v>
      </c>
      <c r="AB439" s="22">
        <f t="shared" si="126"/>
        <v>20039.026348035244</v>
      </c>
      <c r="AC439" s="22">
        <f t="shared" si="126"/>
        <v>20840.587401956655</v>
      </c>
      <c r="AD439" s="22">
        <f t="shared" si="126"/>
        <v>0</v>
      </c>
      <c r="AE439" s="22">
        <f t="shared" si="126"/>
        <v>0</v>
      </c>
      <c r="AF439" s="22">
        <f t="shared" ref="AF439:AN442" si="127">$I439*INDEX(AF$58:AF$62,MATCH($B$438,$C$58:$C$62,0))</f>
        <v>0</v>
      </c>
      <c r="AG439" s="22">
        <f t="shared" si="127"/>
        <v>0</v>
      </c>
      <c r="AH439" s="22">
        <f t="shared" si="127"/>
        <v>0</v>
      </c>
      <c r="AI439" s="22">
        <f t="shared" si="127"/>
        <v>0</v>
      </c>
      <c r="AJ439" s="22">
        <f t="shared" si="127"/>
        <v>0</v>
      </c>
      <c r="AK439" s="22">
        <f t="shared" si="127"/>
        <v>0</v>
      </c>
      <c r="AL439" s="22">
        <f t="shared" si="127"/>
        <v>0</v>
      </c>
      <c r="AM439" s="22">
        <f t="shared" si="127"/>
        <v>0</v>
      </c>
      <c r="AN439" s="22">
        <f t="shared" si="127"/>
        <v>0</v>
      </c>
      <c r="AO439" s="28"/>
    </row>
    <row r="440" spans="2:41" ht="14.4" customHeight="1" outlineLevel="1" x14ac:dyDescent="0.3">
      <c r="C440" s="2"/>
      <c r="D440" s="1" t="s">
        <v>192</v>
      </c>
      <c r="H440" s="26" t="s">
        <v>225</v>
      </c>
      <c r="I440" s="33">
        <f>Input!H131</f>
        <v>5789</v>
      </c>
      <c r="L440" s="22">
        <f t="shared" si="125"/>
        <v>5789</v>
      </c>
      <c r="M440" s="22">
        <f t="shared" si="125"/>
        <v>6020.56</v>
      </c>
      <c r="N440" s="22">
        <f t="shared" si="125"/>
        <v>6261.3824000000004</v>
      </c>
      <c r="O440" s="22">
        <f t="shared" si="125"/>
        <v>6511.8376960000005</v>
      </c>
      <c r="P440" s="22">
        <f t="shared" si="125"/>
        <v>6772.3112038400013</v>
      </c>
      <c r="Q440" s="22">
        <f t="shared" si="125"/>
        <v>7043.2036519936019</v>
      </c>
      <c r="R440" s="22">
        <f t="shared" si="125"/>
        <v>7324.9317980733458</v>
      </c>
      <c r="S440" s="22">
        <f t="shared" si="125"/>
        <v>7617.9290699962803</v>
      </c>
      <c r="T440" s="22">
        <f t="shared" si="125"/>
        <v>7922.6462327961317</v>
      </c>
      <c r="U440" s="22">
        <f t="shared" si="125"/>
        <v>8239.5520821079772</v>
      </c>
      <c r="V440" s="22">
        <f t="shared" si="126"/>
        <v>8569.1341653922973</v>
      </c>
      <c r="W440" s="22">
        <f t="shared" si="126"/>
        <v>8911.8995320079885</v>
      </c>
      <c r="X440" s="22">
        <f t="shared" si="126"/>
        <v>9268.3755132883089</v>
      </c>
      <c r="Y440" s="22">
        <f t="shared" si="126"/>
        <v>9639.1105338198431</v>
      </c>
      <c r="Z440" s="22">
        <f t="shared" si="126"/>
        <v>10024.674955172635</v>
      </c>
      <c r="AA440" s="22">
        <f t="shared" si="126"/>
        <v>10425.66195337954</v>
      </c>
      <c r="AB440" s="22">
        <f t="shared" si="126"/>
        <v>10842.688431514724</v>
      </c>
      <c r="AC440" s="22">
        <f t="shared" si="126"/>
        <v>11276.395968775312</v>
      </c>
      <c r="AD440" s="22">
        <f t="shared" si="126"/>
        <v>0</v>
      </c>
      <c r="AE440" s="22">
        <f t="shared" si="126"/>
        <v>0</v>
      </c>
      <c r="AF440" s="22">
        <f t="shared" si="127"/>
        <v>0</v>
      </c>
      <c r="AG440" s="22">
        <f t="shared" si="127"/>
        <v>0</v>
      </c>
      <c r="AH440" s="22">
        <f t="shared" si="127"/>
        <v>0</v>
      </c>
      <c r="AI440" s="22">
        <f t="shared" si="127"/>
        <v>0</v>
      </c>
      <c r="AJ440" s="22">
        <f t="shared" si="127"/>
        <v>0</v>
      </c>
      <c r="AK440" s="22">
        <f t="shared" si="127"/>
        <v>0</v>
      </c>
      <c r="AL440" s="22">
        <f t="shared" si="127"/>
        <v>0</v>
      </c>
      <c r="AM440" s="22">
        <f t="shared" si="127"/>
        <v>0</v>
      </c>
      <c r="AN440" s="22">
        <f t="shared" si="127"/>
        <v>0</v>
      </c>
      <c r="AO440" s="28"/>
    </row>
    <row r="441" spans="2:41" ht="14.4" customHeight="1" outlineLevel="1" x14ac:dyDescent="0.3">
      <c r="D441" s="1" t="s">
        <v>193</v>
      </c>
      <c r="H441" s="26" t="s">
        <v>225</v>
      </c>
      <c r="I441" s="33">
        <f>Input!H132</f>
        <v>11327</v>
      </c>
      <c r="L441" s="22">
        <f t="shared" si="125"/>
        <v>11327</v>
      </c>
      <c r="M441" s="22">
        <f t="shared" si="125"/>
        <v>11780.08</v>
      </c>
      <c r="N441" s="22">
        <f t="shared" si="125"/>
        <v>12251.283200000002</v>
      </c>
      <c r="O441" s="22">
        <f t="shared" si="125"/>
        <v>12741.334528000001</v>
      </c>
      <c r="P441" s="22">
        <f t="shared" si="125"/>
        <v>13250.987909120002</v>
      </c>
      <c r="Q441" s="22">
        <f t="shared" si="125"/>
        <v>13781.027425484805</v>
      </c>
      <c r="R441" s="22">
        <f t="shared" si="125"/>
        <v>14332.268522504197</v>
      </c>
      <c r="S441" s="22">
        <f t="shared" si="125"/>
        <v>14905.559263404366</v>
      </c>
      <c r="T441" s="22">
        <f t="shared" si="125"/>
        <v>15501.78163394054</v>
      </c>
      <c r="U441" s="22">
        <f t="shared" si="125"/>
        <v>16121.852899298163</v>
      </c>
      <c r="V441" s="22">
        <f t="shared" si="126"/>
        <v>16766.727015270088</v>
      </c>
      <c r="W441" s="22">
        <f t="shared" si="126"/>
        <v>17437.396095880893</v>
      </c>
      <c r="X441" s="22">
        <f t="shared" si="126"/>
        <v>18134.89193971613</v>
      </c>
      <c r="Y441" s="22">
        <f t="shared" si="126"/>
        <v>18860.287617304777</v>
      </c>
      <c r="Z441" s="22">
        <f t="shared" si="126"/>
        <v>19614.699121996968</v>
      </c>
      <c r="AA441" s="22">
        <f t="shared" si="126"/>
        <v>20399.287086876844</v>
      </c>
      <c r="AB441" s="22">
        <f t="shared" si="126"/>
        <v>21215.258570351922</v>
      </c>
      <c r="AC441" s="22">
        <f t="shared" si="126"/>
        <v>22063.868913165999</v>
      </c>
      <c r="AD441" s="22">
        <f t="shared" si="126"/>
        <v>0</v>
      </c>
      <c r="AE441" s="22">
        <f t="shared" si="126"/>
        <v>0</v>
      </c>
      <c r="AF441" s="22">
        <f t="shared" si="127"/>
        <v>0</v>
      </c>
      <c r="AG441" s="22">
        <f t="shared" si="127"/>
        <v>0</v>
      </c>
      <c r="AH441" s="22">
        <f t="shared" si="127"/>
        <v>0</v>
      </c>
      <c r="AI441" s="22">
        <f t="shared" si="127"/>
        <v>0</v>
      </c>
      <c r="AJ441" s="22">
        <f t="shared" si="127"/>
        <v>0</v>
      </c>
      <c r="AK441" s="22">
        <f t="shared" si="127"/>
        <v>0</v>
      </c>
      <c r="AL441" s="22">
        <f t="shared" si="127"/>
        <v>0</v>
      </c>
      <c r="AM441" s="22">
        <f t="shared" si="127"/>
        <v>0</v>
      </c>
      <c r="AN441" s="22">
        <f t="shared" si="127"/>
        <v>0</v>
      </c>
      <c r="AO441" s="28"/>
    </row>
    <row r="442" spans="2:41" ht="14.4" customHeight="1" outlineLevel="1" x14ac:dyDescent="0.3">
      <c r="D442" s="1" t="s">
        <v>194</v>
      </c>
      <c r="H442" s="26" t="s">
        <v>225</v>
      </c>
      <c r="I442" s="33">
        <f>Input!H133</f>
        <v>11991.9</v>
      </c>
      <c r="L442" s="22">
        <f t="shared" si="125"/>
        <v>11991.9</v>
      </c>
      <c r="M442" s="22">
        <f t="shared" si="125"/>
        <v>12471.576000000001</v>
      </c>
      <c r="N442" s="22">
        <f t="shared" si="125"/>
        <v>12970.439040000001</v>
      </c>
      <c r="O442" s="22">
        <f t="shared" si="125"/>
        <v>13489.2566016</v>
      </c>
      <c r="P442" s="22">
        <f t="shared" si="125"/>
        <v>14028.826865664003</v>
      </c>
      <c r="Q442" s="22">
        <f t="shared" si="125"/>
        <v>14589.979940290563</v>
      </c>
      <c r="R442" s="22">
        <f t="shared" si="125"/>
        <v>15173.579137902187</v>
      </c>
      <c r="S442" s="22">
        <f t="shared" si="125"/>
        <v>15780.522303418275</v>
      </c>
      <c r="T442" s="22">
        <f t="shared" si="125"/>
        <v>16411.743195555006</v>
      </c>
      <c r="U442" s="22">
        <f t="shared" si="125"/>
        <v>17068.212923377207</v>
      </c>
      <c r="V442" s="22">
        <f t="shared" si="126"/>
        <v>17750.941440312297</v>
      </c>
      <c r="W442" s="22">
        <f t="shared" si="126"/>
        <v>18460.979097924788</v>
      </c>
      <c r="X442" s="22">
        <f t="shared" si="126"/>
        <v>19199.418261841784</v>
      </c>
      <c r="Y442" s="22">
        <f t="shared" si="126"/>
        <v>19967.394992315454</v>
      </c>
      <c r="Z442" s="22">
        <f t="shared" si="126"/>
        <v>20766.090792008072</v>
      </c>
      <c r="AA442" s="22">
        <f t="shared" si="126"/>
        <v>21596.734423688395</v>
      </c>
      <c r="AB442" s="22">
        <f t="shared" si="126"/>
        <v>22460.60380063593</v>
      </c>
      <c r="AC442" s="22">
        <f t="shared" si="126"/>
        <v>23359.02795266137</v>
      </c>
      <c r="AD442" s="22">
        <f t="shared" si="126"/>
        <v>0</v>
      </c>
      <c r="AE442" s="22">
        <f t="shared" si="126"/>
        <v>0</v>
      </c>
      <c r="AF442" s="22">
        <f t="shared" si="127"/>
        <v>0</v>
      </c>
      <c r="AG442" s="22">
        <f t="shared" si="127"/>
        <v>0</v>
      </c>
      <c r="AH442" s="22">
        <f t="shared" si="127"/>
        <v>0</v>
      </c>
      <c r="AI442" s="22">
        <f t="shared" si="127"/>
        <v>0</v>
      </c>
      <c r="AJ442" s="22">
        <f t="shared" si="127"/>
        <v>0</v>
      </c>
      <c r="AK442" s="22">
        <f t="shared" si="127"/>
        <v>0</v>
      </c>
      <c r="AL442" s="22">
        <f t="shared" si="127"/>
        <v>0</v>
      </c>
      <c r="AM442" s="22">
        <f t="shared" si="127"/>
        <v>0</v>
      </c>
      <c r="AN442" s="22">
        <f t="shared" si="127"/>
        <v>0</v>
      </c>
      <c r="AO442" s="28"/>
    </row>
    <row r="443" spans="2:41" ht="14.4" customHeight="1" outlineLevel="1" x14ac:dyDescent="0.3"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O443" s="28"/>
    </row>
    <row r="444" spans="2:41" ht="14.4" customHeight="1" outlineLevel="1" x14ac:dyDescent="0.3">
      <c r="C444" s="2" t="s">
        <v>0</v>
      </c>
      <c r="I444" s="88">
        <f>SUM(L444:AN444)</f>
        <v>16563.792620012562</v>
      </c>
      <c r="L444" s="34">
        <f>SUM(L445:L448)</f>
        <v>0</v>
      </c>
      <c r="M444" s="34">
        <f t="shared" ref="M444:AN444" si="128">SUM(M445:M448)</f>
        <v>0</v>
      </c>
      <c r="N444" s="34">
        <f t="shared" si="128"/>
        <v>684.26283058466674</v>
      </c>
      <c r="O444" s="34">
        <f t="shared" si="128"/>
        <v>853.96001256966406</v>
      </c>
      <c r="P444" s="34">
        <f t="shared" si="128"/>
        <v>890.55161420415607</v>
      </c>
      <c r="Q444" s="34">
        <f t="shared" si="128"/>
        <v>923.64314959534886</v>
      </c>
      <c r="R444" s="34">
        <f t="shared" si="128"/>
        <v>960.58887557916273</v>
      </c>
      <c r="S444" s="34">
        <f t="shared" si="128"/>
        <v>999.01243060232946</v>
      </c>
      <c r="T444" s="34">
        <f t="shared" si="128"/>
        <v>1041.8194289985497</v>
      </c>
      <c r="U444" s="34">
        <f t="shared" si="128"/>
        <v>1080.5318449394795</v>
      </c>
      <c r="V444" s="34">
        <f>SUM(V445:V448)</f>
        <v>1123.7531187370587</v>
      </c>
      <c r="W444" s="34">
        <f t="shared" si="128"/>
        <v>1168.7032434865412</v>
      </c>
      <c r="X444" s="34">
        <f t="shared" si="128"/>
        <v>1218.7813769882659</v>
      </c>
      <c r="Y444" s="34">
        <f t="shared" si="128"/>
        <v>1264.0694281550429</v>
      </c>
      <c r="Z444" s="34">
        <f t="shared" si="128"/>
        <v>1314.6322052812448</v>
      </c>
      <c r="AA444" s="34">
        <f t="shared" si="128"/>
        <v>1367.2174934924944</v>
      </c>
      <c r="AB444" s="34">
        <f t="shared" si="128"/>
        <v>1425.8018266383101</v>
      </c>
      <c r="AC444" s="34">
        <f t="shared" si="128"/>
        <v>246.463740160247</v>
      </c>
      <c r="AD444" s="34">
        <f t="shared" si="128"/>
        <v>0</v>
      </c>
      <c r="AE444" s="34">
        <f t="shared" si="128"/>
        <v>0</v>
      </c>
      <c r="AF444" s="34">
        <f t="shared" si="128"/>
        <v>0</v>
      </c>
      <c r="AG444" s="34">
        <f t="shared" si="128"/>
        <v>0</v>
      </c>
      <c r="AH444" s="34">
        <f t="shared" si="128"/>
        <v>0</v>
      </c>
      <c r="AI444" s="34">
        <f t="shared" si="128"/>
        <v>0</v>
      </c>
      <c r="AJ444" s="34">
        <f t="shared" si="128"/>
        <v>0</v>
      </c>
      <c r="AK444" s="34">
        <f t="shared" si="128"/>
        <v>0</v>
      </c>
      <c r="AL444" s="34">
        <f t="shared" si="128"/>
        <v>0</v>
      </c>
      <c r="AM444" s="34">
        <f t="shared" si="128"/>
        <v>0</v>
      </c>
      <c r="AN444" s="34">
        <f t="shared" si="128"/>
        <v>0</v>
      </c>
      <c r="AO444" s="28"/>
    </row>
    <row r="445" spans="2:41" ht="14.4" customHeight="1" outlineLevel="1" x14ac:dyDescent="0.3">
      <c r="D445" s="1" t="s">
        <v>191</v>
      </c>
      <c r="H445" s="26" t="s">
        <v>245</v>
      </c>
      <c r="I445" s="20">
        <f>SUM(L445:AN445)</f>
        <v>4451.891939375193</v>
      </c>
      <c r="L445" s="22">
        <f>(L439*L432)/10^6</f>
        <v>0</v>
      </c>
      <c r="M445" s="22">
        <f t="shared" ref="M445:AN445" si="129">(M439*M432)/10^6</f>
        <v>0</v>
      </c>
      <c r="N445" s="22">
        <f t="shared" si="129"/>
        <v>183.91103111333337</v>
      </c>
      <c r="O445" s="22">
        <f t="shared" si="129"/>
        <v>229.52096682944</v>
      </c>
      <c r="P445" s="22">
        <f t="shared" si="129"/>
        <v>239.35578305193988</v>
      </c>
      <c r="Q445" s="22">
        <f t="shared" si="129"/>
        <v>248.24987772272237</v>
      </c>
      <c r="R445" s="22">
        <f t="shared" si="129"/>
        <v>258.17987283163126</v>
      </c>
      <c r="S445" s="22">
        <f t="shared" si="129"/>
        <v>268.50706774489652</v>
      </c>
      <c r="T445" s="22">
        <f t="shared" si="129"/>
        <v>280.01241168881484</v>
      </c>
      <c r="U445" s="22">
        <f t="shared" si="129"/>
        <v>290.4172444728801</v>
      </c>
      <c r="V445" s="22">
        <f t="shared" si="129"/>
        <v>302.03393425179536</v>
      </c>
      <c r="W445" s="22">
        <f t="shared" si="129"/>
        <v>314.11529162186719</v>
      </c>
      <c r="X445" s="22">
        <f t="shared" si="129"/>
        <v>327.57491672040413</v>
      </c>
      <c r="Y445" s="22">
        <f t="shared" si="129"/>
        <v>339.74709941821152</v>
      </c>
      <c r="Z445" s="22">
        <f t="shared" si="129"/>
        <v>353.33698339494003</v>
      </c>
      <c r="AA445" s="22">
        <f t="shared" si="129"/>
        <v>367.47046273073761</v>
      </c>
      <c r="AB445" s="22">
        <f t="shared" si="129"/>
        <v>383.21632036665198</v>
      </c>
      <c r="AC445" s="22">
        <f t="shared" si="129"/>
        <v>66.242675414927632</v>
      </c>
      <c r="AD445" s="22">
        <f t="shared" si="129"/>
        <v>0</v>
      </c>
      <c r="AE445" s="22">
        <f t="shared" si="129"/>
        <v>0</v>
      </c>
      <c r="AF445" s="22">
        <f t="shared" si="129"/>
        <v>0</v>
      </c>
      <c r="AG445" s="22">
        <f t="shared" si="129"/>
        <v>0</v>
      </c>
      <c r="AH445" s="22">
        <f t="shared" si="129"/>
        <v>0</v>
      </c>
      <c r="AI445" s="22">
        <f t="shared" si="129"/>
        <v>0</v>
      </c>
      <c r="AJ445" s="22">
        <f t="shared" si="129"/>
        <v>0</v>
      </c>
      <c r="AK445" s="22">
        <f t="shared" si="129"/>
        <v>0</v>
      </c>
      <c r="AL445" s="22">
        <f t="shared" si="129"/>
        <v>0</v>
      </c>
      <c r="AM445" s="22">
        <f t="shared" si="129"/>
        <v>0</v>
      </c>
      <c r="AN445" s="22">
        <f t="shared" si="129"/>
        <v>0</v>
      </c>
      <c r="AO445" s="28"/>
    </row>
    <row r="446" spans="2:41" ht="14.4" customHeight="1" outlineLevel="1" x14ac:dyDescent="0.3">
      <c r="D446" s="1" t="s">
        <v>192</v>
      </c>
      <c r="H446" s="26" t="s">
        <v>245</v>
      </c>
      <c r="I446" s="20">
        <f t="shared" ref="I446:I448" si="130">SUM(L446:AN446)</f>
        <v>2408.8234822920831</v>
      </c>
      <c r="L446" s="22">
        <f>(L440*L433)/10^6</f>
        <v>0</v>
      </c>
      <c r="M446" s="22">
        <f t="shared" ref="M446:AN446" si="131">(M440*M433)/10^6</f>
        <v>0</v>
      </c>
      <c r="N446" s="22">
        <f t="shared" si="131"/>
        <v>99.51032424666667</v>
      </c>
      <c r="O446" s="22">
        <f t="shared" si="131"/>
        <v>124.18888465984</v>
      </c>
      <c r="P446" s="22">
        <f t="shared" si="131"/>
        <v>129.51029330663425</v>
      </c>
      <c r="Q446" s="22">
        <f t="shared" si="131"/>
        <v>134.32269764808296</v>
      </c>
      <c r="R446" s="22">
        <f t="shared" si="131"/>
        <v>139.69560555400631</v>
      </c>
      <c r="S446" s="22">
        <f t="shared" si="131"/>
        <v>145.28342977616657</v>
      </c>
      <c r="T446" s="22">
        <f t="shared" si="131"/>
        <v>151.50872523287683</v>
      </c>
      <c r="U446" s="22">
        <f t="shared" si="131"/>
        <v>157.13855764590176</v>
      </c>
      <c r="V446" s="22">
        <f t="shared" si="131"/>
        <v>163.42409995173784</v>
      </c>
      <c r="W446" s="22">
        <f t="shared" si="131"/>
        <v>169.96106394980734</v>
      </c>
      <c r="X446" s="22">
        <f t="shared" si="131"/>
        <v>177.24377912836897</v>
      </c>
      <c r="Y446" s="22">
        <f t="shared" si="131"/>
        <v>183.82988676811166</v>
      </c>
      <c r="Z446" s="22">
        <f t="shared" si="131"/>
        <v>191.18308223883611</v>
      </c>
      <c r="AA446" s="22">
        <f t="shared" si="131"/>
        <v>198.83040552838955</v>
      </c>
      <c r="AB446" s="22">
        <f t="shared" si="131"/>
        <v>207.35015222007183</v>
      </c>
      <c r="AC446" s="22">
        <f t="shared" si="131"/>
        <v>35.842494436584353</v>
      </c>
      <c r="AD446" s="22">
        <f t="shared" si="131"/>
        <v>0</v>
      </c>
      <c r="AE446" s="22">
        <f t="shared" si="131"/>
        <v>0</v>
      </c>
      <c r="AF446" s="22">
        <f t="shared" si="131"/>
        <v>0</v>
      </c>
      <c r="AG446" s="22">
        <f t="shared" si="131"/>
        <v>0</v>
      </c>
      <c r="AH446" s="22">
        <f t="shared" si="131"/>
        <v>0</v>
      </c>
      <c r="AI446" s="22">
        <f t="shared" si="131"/>
        <v>0</v>
      </c>
      <c r="AJ446" s="22">
        <f t="shared" si="131"/>
        <v>0</v>
      </c>
      <c r="AK446" s="22">
        <f t="shared" si="131"/>
        <v>0</v>
      </c>
      <c r="AL446" s="22">
        <f t="shared" si="131"/>
        <v>0</v>
      </c>
      <c r="AM446" s="22">
        <f t="shared" si="131"/>
        <v>0</v>
      </c>
      <c r="AN446" s="22">
        <f t="shared" si="131"/>
        <v>0</v>
      </c>
      <c r="AO446" s="28"/>
    </row>
    <row r="447" spans="2:41" ht="14.4" customHeight="1" outlineLevel="1" x14ac:dyDescent="0.3">
      <c r="D447" s="1" t="s">
        <v>193</v>
      </c>
      <c r="H447" s="26" t="s">
        <v>245</v>
      </c>
      <c r="I447" s="20">
        <f t="shared" si="130"/>
        <v>4713.2049721752337</v>
      </c>
      <c r="L447" s="22">
        <f>(L441*L434)/10^6</f>
        <v>0</v>
      </c>
      <c r="M447" s="22">
        <f t="shared" ref="M447:AN447" si="132">(M441*M434)/10^6</f>
        <v>0</v>
      </c>
      <c r="N447" s="22">
        <f t="shared" si="132"/>
        <v>194.70607060666671</v>
      </c>
      <c r="O447" s="22">
        <f t="shared" si="132"/>
        <v>242.99317611712002</v>
      </c>
      <c r="P447" s="22">
        <f t="shared" si="132"/>
        <v>253.40526728005636</v>
      </c>
      <c r="Q447" s="22">
        <f t="shared" si="132"/>
        <v>262.82141928827707</v>
      </c>
      <c r="R447" s="22">
        <f t="shared" si="132"/>
        <v>273.33427605980813</v>
      </c>
      <c r="S447" s="22">
        <f t="shared" si="132"/>
        <v>284.2676471022005</v>
      </c>
      <c r="T447" s="22">
        <f t="shared" si="132"/>
        <v>296.44832107666195</v>
      </c>
      <c r="U447" s="22">
        <f t="shared" si="132"/>
        <v>307.46388710574007</v>
      </c>
      <c r="V447" s="22">
        <f t="shared" si="132"/>
        <v>319.76244258996962</v>
      </c>
      <c r="W447" s="22">
        <f t="shared" si="132"/>
        <v>332.5529402935685</v>
      </c>
      <c r="X447" s="22">
        <f t="shared" si="132"/>
        <v>346.80260600916142</v>
      </c>
      <c r="Y447" s="22">
        <f t="shared" si="132"/>
        <v>359.68926022152368</v>
      </c>
      <c r="Z447" s="22">
        <f t="shared" si="132"/>
        <v>374.07683063038468</v>
      </c>
      <c r="AA447" s="22">
        <f t="shared" si="132"/>
        <v>389.03990385560002</v>
      </c>
      <c r="AB447" s="22">
        <f t="shared" si="132"/>
        <v>405.70999727012497</v>
      </c>
      <c r="AC447" s="22">
        <f t="shared" si="132"/>
        <v>70.130926668369497</v>
      </c>
      <c r="AD447" s="22">
        <f t="shared" si="132"/>
        <v>0</v>
      </c>
      <c r="AE447" s="22">
        <f t="shared" si="132"/>
        <v>0</v>
      </c>
      <c r="AF447" s="22">
        <f t="shared" si="132"/>
        <v>0</v>
      </c>
      <c r="AG447" s="22">
        <f t="shared" si="132"/>
        <v>0</v>
      </c>
      <c r="AH447" s="22">
        <f t="shared" si="132"/>
        <v>0</v>
      </c>
      <c r="AI447" s="22">
        <f t="shared" si="132"/>
        <v>0</v>
      </c>
      <c r="AJ447" s="22">
        <f t="shared" si="132"/>
        <v>0</v>
      </c>
      <c r="AK447" s="22">
        <f t="shared" si="132"/>
        <v>0</v>
      </c>
      <c r="AL447" s="22">
        <f t="shared" si="132"/>
        <v>0</v>
      </c>
      <c r="AM447" s="22">
        <f t="shared" si="132"/>
        <v>0</v>
      </c>
      <c r="AN447" s="22">
        <f t="shared" si="132"/>
        <v>0</v>
      </c>
      <c r="AO447" s="28"/>
    </row>
    <row r="448" spans="2:41" ht="14.4" customHeight="1" outlineLevel="1" x14ac:dyDescent="0.3">
      <c r="D448" s="1" t="s">
        <v>194</v>
      </c>
      <c r="H448" s="26" t="s">
        <v>245</v>
      </c>
      <c r="I448" s="20">
        <f t="shared" si="130"/>
        <v>4989.8722261700523</v>
      </c>
      <c r="L448" s="22">
        <f>(L442*L435)/10^6</f>
        <v>0</v>
      </c>
      <c r="M448" s="22">
        <f t="shared" ref="M448:AN448" si="133">(M442*M435)/10^6</f>
        <v>0</v>
      </c>
      <c r="N448" s="22">
        <f t="shared" si="133"/>
        <v>206.13540461800002</v>
      </c>
      <c r="O448" s="22">
        <f t="shared" si="133"/>
        <v>257.25698496326396</v>
      </c>
      <c r="P448" s="22">
        <f t="shared" si="133"/>
        <v>268.28027056552554</v>
      </c>
      <c r="Q448" s="22">
        <f t="shared" si="133"/>
        <v>278.24915493626645</v>
      </c>
      <c r="R448" s="22">
        <f t="shared" si="133"/>
        <v>289.37912113371704</v>
      </c>
      <c r="S448" s="22">
        <f t="shared" si="133"/>
        <v>300.95428597906579</v>
      </c>
      <c r="T448" s="22">
        <f t="shared" si="133"/>
        <v>313.84997100019615</v>
      </c>
      <c r="U448" s="22">
        <f t="shared" si="133"/>
        <v>325.51215571495754</v>
      </c>
      <c r="V448" s="22">
        <f t="shared" si="133"/>
        <v>338.53264194355592</v>
      </c>
      <c r="W448" s="22">
        <f t="shared" si="133"/>
        <v>352.07394762129815</v>
      </c>
      <c r="X448" s="22">
        <f t="shared" si="133"/>
        <v>367.16007513033134</v>
      </c>
      <c r="Y448" s="22">
        <f t="shared" si="133"/>
        <v>380.80318174719611</v>
      </c>
      <c r="Z448" s="22">
        <f t="shared" si="133"/>
        <v>396.03530901708393</v>
      </c>
      <c r="AA448" s="22">
        <f t="shared" si="133"/>
        <v>411.8767213777673</v>
      </c>
      <c r="AB448" s="22">
        <f t="shared" si="133"/>
        <v>429.52535678146126</v>
      </c>
      <c r="AC448" s="22">
        <f t="shared" si="133"/>
        <v>74.24764364036551</v>
      </c>
      <c r="AD448" s="22">
        <f t="shared" si="133"/>
        <v>0</v>
      </c>
      <c r="AE448" s="22">
        <f t="shared" si="133"/>
        <v>0</v>
      </c>
      <c r="AF448" s="22">
        <f t="shared" si="133"/>
        <v>0</v>
      </c>
      <c r="AG448" s="22">
        <f t="shared" si="133"/>
        <v>0</v>
      </c>
      <c r="AH448" s="22">
        <f t="shared" si="133"/>
        <v>0</v>
      </c>
      <c r="AI448" s="22">
        <f t="shared" si="133"/>
        <v>0</v>
      </c>
      <c r="AJ448" s="22">
        <f t="shared" si="133"/>
        <v>0</v>
      </c>
      <c r="AK448" s="22">
        <f t="shared" si="133"/>
        <v>0</v>
      </c>
      <c r="AL448" s="22">
        <f t="shared" si="133"/>
        <v>0</v>
      </c>
      <c r="AM448" s="22">
        <f t="shared" si="133"/>
        <v>0</v>
      </c>
      <c r="AN448" s="22">
        <f t="shared" si="133"/>
        <v>0</v>
      </c>
      <c r="AO448" s="28"/>
    </row>
    <row r="449" spans="1:41" ht="14.4" customHeight="1" outlineLevel="1" thickBot="1" x14ac:dyDescent="0.35">
      <c r="H449" s="26"/>
      <c r="I449" s="36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28"/>
    </row>
    <row r="450" spans="1:41" s="106" customFormat="1" ht="18" customHeight="1" thickTop="1" thickBot="1" x14ac:dyDescent="0.35">
      <c r="A450" s="53"/>
      <c r="B450" s="53"/>
      <c r="C450" s="50" t="s">
        <v>129</v>
      </c>
      <c r="D450" s="51"/>
      <c r="E450" s="51"/>
      <c r="F450" s="51"/>
      <c r="G450" s="51"/>
      <c r="H450" s="52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</row>
    <row r="451" spans="1:41" ht="14.4" customHeight="1" outlineLevel="1" thickTop="1" x14ac:dyDescent="0.3">
      <c r="H451" s="26"/>
      <c r="I451" s="36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28"/>
    </row>
    <row r="452" spans="1:41" s="107" customFormat="1" outlineLevel="1" x14ac:dyDescent="0.3">
      <c r="A452" s="170"/>
      <c r="B452" s="170"/>
      <c r="C452" s="113" t="s">
        <v>248</v>
      </c>
      <c r="D452" s="98"/>
      <c r="E452" s="98"/>
      <c r="F452" s="98"/>
      <c r="G452" s="98"/>
      <c r="H452" s="98"/>
      <c r="I452" s="98"/>
      <c r="J452" s="98"/>
      <c r="K452" s="98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</row>
    <row r="453" spans="1:41" ht="14.4" customHeight="1" outlineLevel="1" x14ac:dyDescent="0.3">
      <c r="H453" s="26"/>
      <c r="I453" s="36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28"/>
    </row>
    <row r="454" spans="1:41" ht="14.4" customHeight="1" outlineLevel="1" x14ac:dyDescent="0.3">
      <c r="C454" s="2"/>
      <c r="D454" s="1" t="str">
        <f>Input!C139</f>
        <v>Гашеная известь</v>
      </c>
      <c r="H454" s="26" t="s">
        <v>146</v>
      </c>
      <c r="I454" s="20">
        <f>SUM(L454:AN454)</f>
        <v>42941.662500000006</v>
      </c>
      <c r="L454" s="20">
        <f t="shared" ref="L454:U459" si="134">SUMIF($D$476:$D$552,$D454,L$476:L$552)</f>
        <v>0</v>
      </c>
      <c r="M454" s="20">
        <f t="shared" si="134"/>
        <v>0</v>
      </c>
      <c r="N454" s="20">
        <f t="shared" si="134"/>
        <v>2383.90625</v>
      </c>
      <c r="O454" s="20">
        <f t="shared" si="134"/>
        <v>2860.6875</v>
      </c>
      <c r="P454" s="20">
        <f t="shared" si="134"/>
        <v>2868.5250000000001</v>
      </c>
      <c r="Q454" s="20">
        <f t="shared" si="134"/>
        <v>2860.6875</v>
      </c>
      <c r="R454" s="20">
        <f t="shared" si="134"/>
        <v>2860.6875</v>
      </c>
      <c r="S454" s="20">
        <f t="shared" si="134"/>
        <v>2860.6875</v>
      </c>
      <c r="T454" s="20">
        <f t="shared" si="134"/>
        <v>2868.5250000000001</v>
      </c>
      <c r="U454" s="20">
        <f t="shared" si="134"/>
        <v>2860.6875</v>
      </c>
      <c r="V454" s="20">
        <f t="shared" ref="V454:AE459" si="135">SUMIF($D$476:$D$552,$D454,V$476:V$552)</f>
        <v>2860.6875</v>
      </c>
      <c r="W454" s="20">
        <f t="shared" si="135"/>
        <v>2860.6875</v>
      </c>
      <c r="X454" s="20">
        <f t="shared" si="135"/>
        <v>2868.5250000000001</v>
      </c>
      <c r="Y454" s="20">
        <f t="shared" si="135"/>
        <v>2860.6875</v>
      </c>
      <c r="Z454" s="20">
        <f t="shared" si="135"/>
        <v>2860.6875</v>
      </c>
      <c r="AA454" s="20">
        <f t="shared" si="135"/>
        <v>2860.6875</v>
      </c>
      <c r="AB454" s="20">
        <f t="shared" si="135"/>
        <v>2868.5250000000001</v>
      </c>
      <c r="AC454" s="20">
        <f t="shared" si="135"/>
        <v>476.78124999999994</v>
      </c>
      <c r="AD454" s="20">
        <f t="shared" si="135"/>
        <v>0</v>
      </c>
      <c r="AE454" s="20">
        <f t="shared" si="135"/>
        <v>0</v>
      </c>
      <c r="AF454" s="20">
        <f t="shared" ref="AF454:AN459" si="136">SUMIF($D$476:$D$552,$D454,AF$476:AF$552)</f>
        <v>0</v>
      </c>
      <c r="AG454" s="20">
        <f t="shared" si="136"/>
        <v>0</v>
      </c>
      <c r="AH454" s="20">
        <f t="shared" si="136"/>
        <v>0</v>
      </c>
      <c r="AI454" s="20">
        <f t="shared" si="136"/>
        <v>0</v>
      </c>
      <c r="AJ454" s="20">
        <f t="shared" si="136"/>
        <v>0</v>
      </c>
      <c r="AK454" s="20">
        <f t="shared" si="136"/>
        <v>0</v>
      </c>
      <c r="AL454" s="20">
        <f t="shared" si="136"/>
        <v>0</v>
      </c>
      <c r="AM454" s="20">
        <f t="shared" si="136"/>
        <v>0</v>
      </c>
      <c r="AN454" s="20">
        <f t="shared" si="136"/>
        <v>0</v>
      </c>
      <c r="AO454" s="28"/>
    </row>
    <row r="455" spans="1:41" ht="14.4" customHeight="1" outlineLevel="1" x14ac:dyDescent="0.3">
      <c r="C455" s="2"/>
      <c r="D455" s="1" t="str">
        <f>Input!C140</f>
        <v>Известняковая мука</v>
      </c>
      <c r="H455" s="26" t="s">
        <v>146</v>
      </c>
      <c r="I455" s="20">
        <f t="shared" ref="I455:I459" si="137">SUM(L455:AN455)</f>
        <v>93040.268750000003</v>
      </c>
      <c r="L455" s="20">
        <f t="shared" si="134"/>
        <v>0</v>
      </c>
      <c r="M455" s="20">
        <f t="shared" si="134"/>
        <v>0</v>
      </c>
      <c r="N455" s="20">
        <f t="shared" si="134"/>
        <v>5165.1302083333339</v>
      </c>
      <c r="O455" s="20">
        <f t="shared" si="134"/>
        <v>6198.15625</v>
      </c>
      <c r="P455" s="20">
        <f t="shared" si="134"/>
        <v>6215.1375000000007</v>
      </c>
      <c r="Q455" s="20">
        <f t="shared" si="134"/>
        <v>6198.15625</v>
      </c>
      <c r="R455" s="20">
        <f t="shared" si="134"/>
        <v>6198.15625</v>
      </c>
      <c r="S455" s="20">
        <f t="shared" si="134"/>
        <v>6198.15625</v>
      </c>
      <c r="T455" s="20">
        <f t="shared" si="134"/>
        <v>6215.1375000000007</v>
      </c>
      <c r="U455" s="20">
        <f t="shared" si="134"/>
        <v>6198.15625</v>
      </c>
      <c r="V455" s="20">
        <f t="shared" si="135"/>
        <v>6198.15625</v>
      </c>
      <c r="W455" s="20">
        <f t="shared" si="135"/>
        <v>6198.15625</v>
      </c>
      <c r="X455" s="20">
        <f t="shared" si="135"/>
        <v>6215.1375000000007</v>
      </c>
      <c r="Y455" s="20">
        <f t="shared" si="135"/>
        <v>6198.15625</v>
      </c>
      <c r="Z455" s="20">
        <f t="shared" si="135"/>
        <v>6198.15625</v>
      </c>
      <c r="AA455" s="20">
        <f t="shared" si="135"/>
        <v>6198.15625</v>
      </c>
      <c r="AB455" s="20">
        <f t="shared" si="135"/>
        <v>6215.1375000000007</v>
      </c>
      <c r="AC455" s="20">
        <f t="shared" si="135"/>
        <v>1033.0260416666665</v>
      </c>
      <c r="AD455" s="20">
        <f t="shared" si="135"/>
        <v>0</v>
      </c>
      <c r="AE455" s="20">
        <f t="shared" si="135"/>
        <v>0</v>
      </c>
      <c r="AF455" s="20">
        <f t="shared" si="136"/>
        <v>0</v>
      </c>
      <c r="AG455" s="20">
        <f t="shared" si="136"/>
        <v>0</v>
      </c>
      <c r="AH455" s="20">
        <f t="shared" si="136"/>
        <v>0</v>
      </c>
      <c r="AI455" s="20">
        <f t="shared" si="136"/>
        <v>0</v>
      </c>
      <c r="AJ455" s="20">
        <f t="shared" si="136"/>
        <v>0</v>
      </c>
      <c r="AK455" s="20">
        <f t="shared" si="136"/>
        <v>0</v>
      </c>
      <c r="AL455" s="20">
        <f t="shared" si="136"/>
        <v>0</v>
      </c>
      <c r="AM455" s="20">
        <f t="shared" si="136"/>
        <v>0</v>
      </c>
      <c r="AN455" s="20">
        <f t="shared" si="136"/>
        <v>0</v>
      </c>
      <c r="AO455" s="28"/>
    </row>
    <row r="456" spans="1:41" ht="14.4" customHeight="1" outlineLevel="1" x14ac:dyDescent="0.3">
      <c r="C456" s="2"/>
      <c r="D456" s="1" t="str">
        <f>Input!C141</f>
        <v>Кварцевый песок 0,1-0,5 мм</v>
      </c>
      <c r="H456" s="26" t="s">
        <v>146</v>
      </c>
      <c r="I456" s="20">
        <f t="shared" si="137"/>
        <v>254472.29197499997</v>
      </c>
      <c r="L456" s="20">
        <f t="shared" si="134"/>
        <v>0</v>
      </c>
      <c r="M456" s="20">
        <f t="shared" si="134"/>
        <v>0</v>
      </c>
      <c r="N456" s="20">
        <f t="shared" si="134"/>
        <v>14127.028437500001</v>
      </c>
      <c r="O456" s="20">
        <f t="shared" si="134"/>
        <v>16952.434125</v>
      </c>
      <c r="P456" s="20">
        <f t="shared" si="134"/>
        <v>16998.879150000001</v>
      </c>
      <c r="Q456" s="20">
        <f t="shared" si="134"/>
        <v>16952.434125</v>
      </c>
      <c r="R456" s="20">
        <f t="shared" si="134"/>
        <v>16952.434125</v>
      </c>
      <c r="S456" s="20">
        <f t="shared" si="134"/>
        <v>16952.434125</v>
      </c>
      <c r="T456" s="20">
        <f t="shared" si="134"/>
        <v>16998.879150000001</v>
      </c>
      <c r="U456" s="20">
        <f t="shared" si="134"/>
        <v>16952.434125</v>
      </c>
      <c r="V456" s="20">
        <f t="shared" si="135"/>
        <v>16952.434125</v>
      </c>
      <c r="W456" s="20">
        <f t="shared" si="135"/>
        <v>16952.434125</v>
      </c>
      <c r="X456" s="20">
        <f t="shared" si="135"/>
        <v>16998.879150000001</v>
      </c>
      <c r="Y456" s="20">
        <f t="shared" si="135"/>
        <v>16952.434125</v>
      </c>
      <c r="Z456" s="20">
        <f t="shared" si="135"/>
        <v>16952.434125</v>
      </c>
      <c r="AA456" s="20">
        <f t="shared" si="135"/>
        <v>16952.434125</v>
      </c>
      <c r="AB456" s="20">
        <f t="shared" si="135"/>
        <v>16998.879150000001</v>
      </c>
      <c r="AC456" s="20">
        <f t="shared" si="135"/>
        <v>2825.4056874999992</v>
      </c>
      <c r="AD456" s="20">
        <f t="shared" si="135"/>
        <v>0</v>
      </c>
      <c r="AE456" s="20">
        <f t="shared" si="135"/>
        <v>0</v>
      </c>
      <c r="AF456" s="20">
        <f t="shared" si="136"/>
        <v>0</v>
      </c>
      <c r="AG456" s="20">
        <f t="shared" si="136"/>
        <v>0</v>
      </c>
      <c r="AH456" s="20">
        <f t="shared" si="136"/>
        <v>0</v>
      </c>
      <c r="AI456" s="20">
        <f t="shared" si="136"/>
        <v>0</v>
      </c>
      <c r="AJ456" s="20">
        <f t="shared" si="136"/>
        <v>0</v>
      </c>
      <c r="AK456" s="20">
        <f t="shared" si="136"/>
        <v>0</v>
      </c>
      <c r="AL456" s="20">
        <f t="shared" si="136"/>
        <v>0</v>
      </c>
      <c r="AM456" s="20">
        <f t="shared" si="136"/>
        <v>0</v>
      </c>
      <c r="AN456" s="20">
        <f t="shared" si="136"/>
        <v>0</v>
      </c>
      <c r="AO456" s="28"/>
    </row>
    <row r="457" spans="1:41" ht="14.4" customHeight="1" outlineLevel="1" x14ac:dyDescent="0.3">
      <c r="C457" s="2"/>
      <c r="D457" s="1" t="str">
        <f>Input!C142</f>
        <v>Кварцевый песок 0,5-2,0 мм</v>
      </c>
      <c r="H457" s="26" t="s">
        <v>146</v>
      </c>
      <c r="I457" s="20">
        <f t="shared" si="137"/>
        <v>106495.323</v>
      </c>
      <c r="L457" s="20">
        <f t="shared" si="134"/>
        <v>0</v>
      </c>
      <c r="M457" s="20">
        <f t="shared" si="134"/>
        <v>0</v>
      </c>
      <c r="N457" s="20">
        <f t="shared" si="134"/>
        <v>5912.0875000000005</v>
      </c>
      <c r="O457" s="20">
        <f t="shared" si="134"/>
        <v>7094.5050000000001</v>
      </c>
      <c r="P457" s="20">
        <f t="shared" si="134"/>
        <v>7113.942</v>
      </c>
      <c r="Q457" s="20">
        <f t="shared" si="134"/>
        <v>7094.5050000000001</v>
      </c>
      <c r="R457" s="20">
        <f t="shared" si="134"/>
        <v>7094.5050000000001</v>
      </c>
      <c r="S457" s="20">
        <f t="shared" si="134"/>
        <v>7094.5050000000001</v>
      </c>
      <c r="T457" s="20">
        <f t="shared" si="134"/>
        <v>7113.942</v>
      </c>
      <c r="U457" s="20">
        <f t="shared" si="134"/>
        <v>7094.5050000000001</v>
      </c>
      <c r="V457" s="20">
        <f t="shared" si="135"/>
        <v>7094.5050000000001</v>
      </c>
      <c r="W457" s="20">
        <f t="shared" si="135"/>
        <v>7094.5050000000001</v>
      </c>
      <c r="X457" s="20">
        <f t="shared" si="135"/>
        <v>7113.942</v>
      </c>
      <c r="Y457" s="20">
        <f t="shared" si="135"/>
        <v>7094.5050000000001</v>
      </c>
      <c r="Z457" s="20">
        <f t="shared" si="135"/>
        <v>7094.5050000000001</v>
      </c>
      <c r="AA457" s="20">
        <f t="shared" si="135"/>
        <v>7094.5050000000001</v>
      </c>
      <c r="AB457" s="20">
        <f t="shared" si="135"/>
        <v>7113.942</v>
      </c>
      <c r="AC457" s="20">
        <f t="shared" si="135"/>
        <v>1182.4174999999998</v>
      </c>
      <c r="AD457" s="20">
        <f t="shared" si="135"/>
        <v>0</v>
      </c>
      <c r="AE457" s="20">
        <f t="shared" si="135"/>
        <v>0</v>
      </c>
      <c r="AF457" s="20">
        <f t="shared" si="136"/>
        <v>0</v>
      </c>
      <c r="AG457" s="20">
        <f t="shared" si="136"/>
        <v>0</v>
      </c>
      <c r="AH457" s="20">
        <f t="shared" si="136"/>
        <v>0</v>
      </c>
      <c r="AI457" s="20">
        <f t="shared" si="136"/>
        <v>0</v>
      </c>
      <c r="AJ457" s="20">
        <f t="shared" si="136"/>
        <v>0</v>
      </c>
      <c r="AK457" s="20">
        <f t="shared" si="136"/>
        <v>0</v>
      </c>
      <c r="AL457" s="20">
        <f t="shared" si="136"/>
        <v>0</v>
      </c>
      <c r="AM457" s="20">
        <f t="shared" si="136"/>
        <v>0</v>
      </c>
      <c r="AN457" s="20">
        <f t="shared" si="136"/>
        <v>0</v>
      </c>
      <c r="AO457" s="28"/>
    </row>
    <row r="458" spans="1:41" ht="14.4" customHeight="1" outlineLevel="1" x14ac:dyDescent="0.3">
      <c r="C458" s="2"/>
      <c r="D458" s="1" t="str">
        <f>Input!C143</f>
        <v>Кварцевый или известняковый песок 0-4 мм</v>
      </c>
      <c r="H458" s="26" t="s">
        <v>146</v>
      </c>
      <c r="I458" s="20">
        <f t="shared" si="137"/>
        <v>193065.71460000004</v>
      </c>
      <c r="L458" s="20">
        <f t="shared" si="134"/>
        <v>0</v>
      </c>
      <c r="M458" s="20">
        <f t="shared" si="134"/>
        <v>0</v>
      </c>
      <c r="N458" s="20">
        <f t="shared" si="134"/>
        <v>10718.0425</v>
      </c>
      <c r="O458" s="20">
        <f t="shared" si="134"/>
        <v>12861.651</v>
      </c>
      <c r="P458" s="20">
        <f t="shared" si="134"/>
        <v>12896.8884</v>
      </c>
      <c r="Q458" s="20">
        <f t="shared" si="134"/>
        <v>12861.651</v>
      </c>
      <c r="R458" s="20">
        <f t="shared" si="134"/>
        <v>12861.651</v>
      </c>
      <c r="S458" s="20">
        <f t="shared" si="134"/>
        <v>12861.651</v>
      </c>
      <c r="T458" s="20">
        <f t="shared" si="134"/>
        <v>12896.8884</v>
      </c>
      <c r="U458" s="20">
        <f t="shared" si="134"/>
        <v>12861.651</v>
      </c>
      <c r="V458" s="20">
        <f t="shared" si="135"/>
        <v>12861.651</v>
      </c>
      <c r="W458" s="20">
        <f t="shared" si="135"/>
        <v>12861.651</v>
      </c>
      <c r="X458" s="20">
        <f t="shared" si="135"/>
        <v>12896.8884</v>
      </c>
      <c r="Y458" s="20">
        <f t="shared" si="135"/>
        <v>12861.651</v>
      </c>
      <c r="Z458" s="20">
        <f t="shared" si="135"/>
        <v>12861.651</v>
      </c>
      <c r="AA458" s="20">
        <f t="shared" si="135"/>
        <v>12861.651</v>
      </c>
      <c r="AB458" s="20">
        <f t="shared" si="135"/>
        <v>12896.8884</v>
      </c>
      <c r="AC458" s="20">
        <f t="shared" si="135"/>
        <v>2143.6084999999994</v>
      </c>
      <c r="AD458" s="20">
        <f t="shared" si="135"/>
        <v>0</v>
      </c>
      <c r="AE458" s="20">
        <f t="shared" si="135"/>
        <v>0</v>
      </c>
      <c r="AF458" s="20">
        <f t="shared" si="136"/>
        <v>0</v>
      </c>
      <c r="AG458" s="20">
        <f t="shared" si="136"/>
        <v>0</v>
      </c>
      <c r="AH458" s="20">
        <f t="shared" si="136"/>
        <v>0</v>
      </c>
      <c r="AI458" s="20">
        <f t="shared" si="136"/>
        <v>0</v>
      </c>
      <c r="AJ458" s="20">
        <f t="shared" si="136"/>
        <v>0</v>
      </c>
      <c r="AK458" s="20">
        <f t="shared" si="136"/>
        <v>0</v>
      </c>
      <c r="AL458" s="20">
        <f t="shared" si="136"/>
        <v>0</v>
      </c>
      <c r="AM458" s="20">
        <f t="shared" si="136"/>
        <v>0</v>
      </c>
      <c r="AN458" s="20">
        <f t="shared" si="136"/>
        <v>0</v>
      </c>
      <c r="AO458" s="28"/>
    </row>
    <row r="459" spans="1:41" ht="14.4" customHeight="1" outlineLevel="1" x14ac:dyDescent="0.3">
      <c r="C459" s="2"/>
      <c r="D459" s="1" t="str">
        <f>Input!C144</f>
        <v>Керамзит 0-4 мм</v>
      </c>
      <c r="H459" s="26" t="s">
        <v>146</v>
      </c>
      <c r="I459" s="20">
        <f t="shared" si="137"/>
        <v>128567.33752500002</v>
      </c>
      <c r="L459" s="20">
        <f t="shared" si="134"/>
        <v>0</v>
      </c>
      <c r="M459" s="20">
        <f t="shared" si="134"/>
        <v>0</v>
      </c>
      <c r="N459" s="20">
        <f t="shared" si="134"/>
        <v>7137.4153125000003</v>
      </c>
      <c r="O459" s="20">
        <f t="shared" si="134"/>
        <v>8564.8983750000007</v>
      </c>
      <c r="P459" s="20">
        <f t="shared" si="134"/>
        <v>8588.3638499999997</v>
      </c>
      <c r="Q459" s="20">
        <f t="shared" si="134"/>
        <v>8564.8983750000007</v>
      </c>
      <c r="R459" s="20">
        <f t="shared" si="134"/>
        <v>8564.8983750000007</v>
      </c>
      <c r="S459" s="20">
        <f t="shared" si="134"/>
        <v>8564.8983750000007</v>
      </c>
      <c r="T459" s="20">
        <f t="shared" si="134"/>
        <v>8588.3638499999997</v>
      </c>
      <c r="U459" s="20">
        <f t="shared" si="134"/>
        <v>8564.8983750000007</v>
      </c>
      <c r="V459" s="20">
        <f t="shared" si="135"/>
        <v>8564.8983750000007</v>
      </c>
      <c r="W459" s="20">
        <f t="shared" si="135"/>
        <v>8564.8983750000007</v>
      </c>
      <c r="X459" s="20">
        <f t="shared" si="135"/>
        <v>8588.3638499999997</v>
      </c>
      <c r="Y459" s="20">
        <f t="shared" si="135"/>
        <v>8564.8983750000007</v>
      </c>
      <c r="Z459" s="20">
        <f t="shared" si="135"/>
        <v>8564.8983750000007</v>
      </c>
      <c r="AA459" s="20">
        <f t="shared" si="135"/>
        <v>8564.8983750000007</v>
      </c>
      <c r="AB459" s="20">
        <f t="shared" si="135"/>
        <v>8588.3638499999997</v>
      </c>
      <c r="AC459" s="20">
        <f t="shared" si="135"/>
        <v>1427.4830624999997</v>
      </c>
      <c r="AD459" s="20">
        <f t="shared" si="135"/>
        <v>0</v>
      </c>
      <c r="AE459" s="20">
        <f t="shared" si="135"/>
        <v>0</v>
      </c>
      <c r="AF459" s="20">
        <f t="shared" si="136"/>
        <v>0</v>
      </c>
      <c r="AG459" s="20">
        <f t="shared" si="136"/>
        <v>0</v>
      </c>
      <c r="AH459" s="20">
        <f t="shared" si="136"/>
        <v>0</v>
      </c>
      <c r="AI459" s="20">
        <f t="shared" si="136"/>
        <v>0</v>
      </c>
      <c r="AJ459" s="20">
        <f t="shared" si="136"/>
        <v>0</v>
      </c>
      <c r="AK459" s="20">
        <f t="shared" si="136"/>
        <v>0</v>
      </c>
      <c r="AL459" s="20">
        <f t="shared" si="136"/>
        <v>0</v>
      </c>
      <c r="AM459" s="20">
        <f t="shared" si="136"/>
        <v>0</v>
      </c>
      <c r="AN459" s="20">
        <f t="shared" si="136"/>
        <v>0</v>
      </c>
      <c r="AO459" s="28"/>
    </row>
    <row r="460" spans="1:41" ht="14.4" customHeight="1" outlineLevel="1" x14ac:dyDescent="0.3">
      <c r="C460" s="2" t="s">
        <v>285</v>
      </c>
      <c r="H460" s="26"/>
      <c r="I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28"/>
    </row>
    <row r="461" spans="1:41" ht="14.4" customHeight="1" outlineLevel="1" x14ac:dyDescent="0.3">
      <c r="C461" s="2"/>
      <c r="D461" s="1" t="str">
        <f>Input!C146</f>
        <v>Портландцемент_до оптимизации</v>
      </c>
      <c r="H461" s="26" t="s">
        <v>146</v>
      </c>
      <c r="I461" s="20">
        <f>SUM(L461:AN461)</f>
        <v>174848.5291666667</v>
      </c>
      <c r="L461" s="20">
        <f t="shared" ref="L461:AN461" si="138">SUMIF($D$476:$D$552,$D461,L$476:L$552)*L13</f>
        <v>0</v>
      </c>
      <c r="M461" s="20">
        <f t="shared" si="138"/>
        <v>0</v>
      </c>
      <c r="N461" s="20">
        <f t="shared" si="138"/>
        <v>17481.979166666672</v>
      </c>
      <c r="O461" s="20">
        <f t="shared" si="138"/>
        <v>20978.375000000004</v>
      </c>
      <c r="P461" s="20">
        <f t="shared" si="138"/>
        <v>21035.850000000006</v>
      </c>
      <c r="Q461" s="20">
        <f t="shared" si="138"/>
        <v>20978.375000000004</v>
      </c>
      <c r="R461" s="20">
        <f t="shared" si="138"/>
        <v>20978.375000000004</v>
      </c>
      <c r="S461" s="20">
        <f t="shared" si="138"/>
        <v>20978.375000000004</v>
      </c>
      <c r="T461" s="20">
        <f t="shared" si="138"/>
        <v>21035.850000000006</v>
      </c>
      <c r="U461" s="20">
        <f t="shared" si="138"/>
        <v>20978.375000000004</v>
      </c>
      <c r="V461" s="20">
        <f t="shared" si="138"/>
        <v>10402.975000000002</v>
      </c>
      <c r="W461" s="20">
        <f t="shared" si="138"/>
        <v>0</v>
      </c>
      <c r="X461" s="20">
        <f t="shared" si="138"/>
        <v>0</v>
      </c>
      <c r="Y461" s="20">
        <f t="shared" si="138"/>
        <v>0</v>
      </c>
      <c r="Z461" s="20">
        <f t="shared" si="138"/>
        <v>0</v>
      </c>
      <c r="AA461" s="20">
        <f t="shared" si="138"/>
        <v>0</v>
      </c>
      <c r="AB461" s="20">
        <f t="shared" si="138"/>
        <v>0</v>
      </c>
      <c r="AC461" s="20">
        <f t="shared" si="138"/>
        <v>0</v>
      </c>
      <c r="AD461" s="20">
        <f t="shared" si="138"/>
        <v>0</v>
      </c>
      <c r="AE461" s="20">
        <f t="shared" si="138"/>
        <v>0</v>
      </c>
      <c r="AF461" s="20">
        <f t="shared" si="138"/>
        <v>0</v>
      </c>
      <c r="AG461" s="20">
        <f t="shared" si="138"/>
        <v>0</v>
      </c>
      <c r="AH461" s="20">
        <f t="shared" si="138"/>
        <v>0</v>
      </c>
      <c r="AI461" s="20">
        <f t="shared" si="138"/>
        <v>0</v>
      </c>
      <c r="AJ461" s="20">
        <f t="shared" si="138"/>
        <v>0</v>
      </c>
      <c r="AK461" s="20">
        <f t="shared" si="138"/>
        <v>0</v>
      </c>
      <c r="AL461" s="20">
        <f t="shared" si="138"/>
        <v>0</v>
      </c>
      <c r="AM461" s="20">
        <f t="shared" si="138"/>
        <v>0</v>
      </c>
      <c r="AN461" s="20">
        <f t="shared" si="138"/>
        <v>0</v>
      </c>
      <c r="AO461" s="28"/>
    </row>
    <row r="462" spans="1:41" ht="14.4" customHeight="1" outlineLevel="1" x14ac:dyDescent="0.3">
      <c r="C462" s="2"/>
      <c r="D462" s="1" t="str">
        <f>Input!C147</f>
        <v>Эфир целлюлозы Mecellose PMC 50 US или FMC 2094</v>
      </c>
      <c r="H462" s="26" t="s">
        <v>146</v>
      </c>
      <c r="I462" s="20">
        <f t="shared" ref="I462:I470" si="139">SUM(L462:AN462)</f>
        <v>747.08007916666656</v>
      </c>
      <c r="L462" s="20">
        <f t="shared" ref="L462:AN462" si="140">SUMIF($D$476:$D$552,$D462,L$476:L$552)*L13</f>
        <v>0</v>
      </c>
      <c r="M462" s="20">
        <f t="shared" si="140"/>
        <v>0</v>
      </c>
      <c r="N462" s="20">
        <f t="shared" si="140"/>
        <v>74.695729166666666</v>
      </c>
      <c r="O462" s="20">
        <f t="shared" si="140"/>
        <v>89.634874999999994</v>
      </c>
      <c r="P462" s="20">
        <f t="shared" si="140"/>
        <v>89.880449999999996</v>
      </c>
      <c r="Q462" s="20">
        <f t="shared" si="140"/>
        <v>89.634874999999994</v>
      </c>
      <c r="R462" s="20">
        <f t="shared" si="140"/>
        <v>89.634874999999994</v>
      </c>
      <c r="S462" s="20">
        <f t="shared" si="140"/>
        <v>89.634874999999994</v>
      </c>
      <c r="T462" s="20">
        <f t="shared" si="140"/>
        <v>89.880449999999996</v>
      </c>
      <c r="U462" s="20">
        <f t="shared" si="140"/>
        <v>89.634874999999994</v>
      </c>
      <c r="V462" s="20">
        <f t="shared" si="140"/>
        <v>44.449075000000001</v>
      </c>
      <c r="W462" s="20">
        <f t="shared" si="140"/>
        <v>0</v>
      </c>
      <c r="X462" s="20">
        <f t="shared" si="140"/>
        <v>0</v>
      </c>
      <c r="Y462" s="20">
        <f t="shared" si="140"/>
        <v>0</v>
      </c>
      <c r="Z462" s="20">
        <f t="shared" si="140"/>
        <v>0</v>
      </c>
      <c r="AA462" s="20">
        <f t="shared" si="140"/>
        <v>0</v>
      </c>
      <c r="AB462" s="20">
        <f t="shared" si="140"/>
        <v>0</v>
      </c>
      <c r="AC462" s="20">
        <f t="shared" si="140"/>
        <v>0</v>
      </c>
      <c r="AD462" s="20">
        <f t="shared" si="140"/>
        <v>0</v>
      </c>
      <c r="AE462" s="20">
        <f t="shared" si="140"/>
        <v>0</v>
      </c>
      <c r="AF462" s="20">
        <f t="shared" si="140"/>
        <v>0</v>
      </c>
      <c r="AG462" s="20">
        <f t="shared" si="140"/>
        <v>0</v>
      </c>
      <c r="AH462" s="20">
        <f t="shared" si="140"/>
        <v>0</v>
      </c>
      <c r="AI462" s="20">
        <f t="shared" si="140"/>
        <v>0</v>
      </c>
      <c r="AJ462" s="20">
        <f t="shared" si="140"/>
        <v>0</v>
      </c>
      <c r="AK462" s="20">
        <f t="shared" si="140"/>
        <v>0</v>
      </c>
      <c r="AL462" s="20">
        <f t="shared" si="140"/>
        <v>0</v>
      </c>
      <c r="AM462" s="20">
        <f t="shared" si="140"/>
        <v>0</v>
      </c>
      <c r="AN462" s="20">
        <f t="shared" si="140"/>
        <v>0</v>
      </c>
      <c r="AO462" s="28"/>
    </row>
    <row r="463" spans="1:41" ht="14.4" customHeight="1" outlineLevel="1" x14ac:dyDescent="0.3">
      <c r="C463" s="2"/>
      <c r="D463" s="1" t="str">
        <f>Input!C148</f>
        <v>Редиспергируемый сополимерный порошок Neolith P 7200</v>
      </c>
      <c r="H463" s="26" t="s">
        <v>146</v>
      </c>
      <c r="I463" s="20">
        <f t="shared" si="139"/>
        <v>5563.3622916666664</v>
      </c>
      <c r="L463" s="20">
        <f t="shared" ref="L463:AN463" si="141">SUMIF($D$476:$D$552,$D463,L$476:L$552)*L13</f>
        <v>0</v>
      </c>
      <c r="M463" s="20">
        <f t="shared" si="141"/>
        <v>0</v>
      </c>
      <c r="N463" s="20">
        <f t="shared" si="141"/>
        <v>556.24479166666674</v>
      </c>
      <c r="O463" s="20">
        <f t="shared" si="141"/>
        <v>667.49374999999998</v>
      </c>
      <c r="P463" s="20">
        <f t="shared" si="141"/>
        <v>669.32249999999999</v>
      </c>
      <c r="Q463" s="20">
        <f t="shared" si="141"/>
        <v>667.49374999999998</v>
      </c>
      <c r="R463" s="20">
        <f t="shared" si="141"/>
        <v>667.49374999999998</v>
      </c>
      <c r="S463" s="20">
        <f t="shared" si="141"/>
        <v>667.49374999999998</v>
      </c>
      <c r="T463" s="20">
        <f t="shared" si="141"/>
        <v>669.32249999999999</v>
      </c>
      <c r="U463" s="20">
        <f t="shared" si="141"/>
        <v>667.49374999999998</v>
      </c>
      <c r="V463" s="20">
        <f t="shared" si="141"/>
        <v>331.00375000000003</v>
      </c>
      <c r="W463" s="20">
        <f t="shared" si="141"/>
        <v>0</v>
      </c>
      <c r="X463" s="20">
        <f t="shared" si="141"/>
        <v>0</v>
      </c>
      <c r="Y463" s="20">
        <f t="shared" si="141"/>
        <v>0</v>
      </c>
      <c r="Z463" s="20">
        <f t="shared" si="141"/>
        <v>0</v>
      </c>
      <c r="AA463" s="20">
        <f t="shared" si="141"/>
        <v>0</v>
      </c>
      <c r="AB463" s="20">
        <f t="shared" si="141"/>
        <v>0</v>
      </c>
      <c r="AC463" s="20">
        <f t="shared" si="141"/>
        <v>0</v>
      </c>
      <c r="AD463" s="20">
        <f t="shared" si="141"/>
        <v>0</v>
      </c>
      <c r="AE463" s="20">
        <f t="shared" si="141"/>
        <v>0</v>
      </c>
      <c r="AF463" s="20">
        <f t="shared" si="141"/>
        <v>0</v>
      </c>
      <c r="AG463" s="20">
        <f t="shared" si="141"/>
        <v>0</v>
      </c>
      <c r="AH463" s="20">
        <f t="shared" si="141"/>
        <v>0</v>
      </c>
      <c r="AI463" s="20">
        <f t="shared" si="141"/>
        <v>0</v>
      </c>
      <c r="AJ463" s="20">
        <f t="shared" si="141"/>
        <v>0</v>
      </c>
      <c r="AK463" s="20">
        <f t="shared" si="141"/>
        <v>0</v>
      </c>
      <c r="AL463" s="20">
        <f t="shared" si="141"/>
        <v>0</v>
      </c>
      <c r="AM463" s="20">
        <f t="shared" si="141"/>
        <v>0</v>
      </c>
      <c r="AN463" s="20">
        <f t="shared" si="141"/>
        <v>0</v>
      </c>
      <c r="AO463" s="28"/>
    </row>
    <row r="464" spans="1:41" ht="14.4" customHeight="1" outlineLevel="1" x14ac:dyDescent="0.3">
      <c r="C464" s="2"/>
      <c r="D464" s="1" t="str">
        <f>Input!C149</f>
        <v>Порообразователь Esapon 1214</v>
      </c>
      <c r="H464" s="26" t="s">
        <v>146</v>
      </c>
      <c r="I464" s="20">
        <f t="shared" si="139"/>
        <v>143.05788749999999</v>
      </c>
      <c r="L464" s="20">
        <f t="shared" ref="L464:AN464" si="142">SUMIF($D$476:$D$552,$D464,L$476:L$552)*L13</f>
        <v>0</v>
      </c>
      <c r="M464" s="20">
        <f t="shared" si="142"/>
        <v>0</v>
      </c>
      <c r="N464" s="20">
        <f t="shared" si="142"/>
        <v>14.303437500000001</v>
      </c>
      <c r="O464" s="20">
        <f t="shared" si="142"/>
        <v>17.164124999999999</v>
      </c>
      <c r="P464" s="20">
        <f t="shared" si="142"/>
        <v>17.21115</v>
      </c>
      <c r="Q464" s="20">
        <f t="shared" si="142"/>
        <v>17.164124999999999</v>
      </c>
      <c r="R464" s="20">
        <f t="shared" si="142"/>
        <v>17.164124999999999</v>
      </c>
      <c r="S464" s="20">
        <f t="shared" si="142"/>
        <v>17.164124999999999</v>
      </c>
      <c r="T464" s="20">
        <f t="shared" si="142"/>
        <v>17.21115</v>
      </c>
      <c r="U464" s="20">
        <f t="shared" si="142"/>
        <v>17.164124999999999</v>
      </c>
      <c r="V464" s="20">
        <f t="shared" si="142"/>
        <v>8.5115249999999989</v>
      </c>
      <c r="W464" s="20">
        <f t="shared" si="142"/>
        <v>0</v>
      </c>
      <c r="X464" s="20">
        <f t="shared" si="142"/>
        <v>0</v>
      </c>
      <c r="Y464" s="20">
        <f t="shared" si="142"/>
        <v>0</v>
      </c>
      <c r="Z464" s="20">
        <f t="shared" si="142"/>
        <v>0</v>
      </c>
      <c r="AA464" s="20">
        <f t="shared" si="142"/>
        <v>0</v>
      </c>
      <c r="AB464" s="20">
        <f t="shared" si="142"/>
        <v>0</v>
      </c>
      <c r="AC464" s="20">
        <f t="shared" si="142"/>
        <v>0</v>
      </c>
      <c r="AD464" s="20">
        <f t="shared" si="142"/>
        <v>0</v>
      </c>
      <c r="AE464" s="20">
        <f t="shared" si="142"/>
        <v>0</v>
      </c>
      <c r="AF464" s="20">
        <f t="shared" si="142"/>
        <v>0</v>
      </c>
      <c r="AG464" s="20">
        <f t="shared" si="142"/>
        <v>0</v>
      </c>
      <c r="AH464" s="20">
        <f t="shared" si="142"/>
        <v>0</v>
      </c>
      <c r="AI464" s="20">
        <f t="shared" si="142"/>
        <v>0</v>
      </c>
      <c r="AJ464" s="20">
        <f t="shared" si="142"/>
        <v>0</v>
      </c>
      <c r="AK464" s="20">
        <f t="shared" si="142"/>
        <v>0</v>
      </c>
      <c r="AL464" s="20">
        <f t="shared" si="142"/>
        <v>0</v>
      </c>
      <c r="AM464" s="20">
        <f t="shared" si="142"/>
        <v>0</v>
      </c>
      <c r="AN464" s="20">
        <f t="shared" si="142"/>
        <v>0</v>
      </c>
      <c r="AO464" s="28"/>
    </row>
    <row r="465" spans="1:41" ht="14.4" customHeight="1" outlineLevel="1" x14ac:dyDescent="0.3">
      <c r="C465" s="2" t="s">
        <v>287</v>
      </c>
      <c r="H465" s="26"/>
      <c r="I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28"/>
    </row>
    <row r="466" spans="1:41" ht="14.4" customHeight="1" outlineLevel="1" x14ac:dyDescent="0.3">
      <c r="C466" s="2"/>
      <c r="D466" s="1" t="str">
        <f>Input!C151</f>
        <v>Портландцемент_после оптимизации</v>
      </c>
      <c r="H466" s="26" t="s">
        <v>146</v>
      </c>
      <c r="I466" s="20">
        <f t="shared" si="139"/>
        <v>141548.63580000002</v>
      </c>
      <c r="L466" s="20">
        <f t="shared" ref="L466:AN466" si="143">SUMIF($D$476:$D$552,$D466,L$476:L$552)*L12</f>
        <v>0</v>
      </c>
      <c r="M466" s="20">
        <f t="shared" si="143"/>
        <v>0</v>
      </c>
      <c r="N466" s="20">
        <f t="shared" si="143"/>
        <v>0</v>
      </c>
      <c r="O466" s="20">
        <f t="shared" si="143"/>
        <v>0</v>
      </c>
      <c r="P466" s="20">
        <f t="shared" si="143"/>
        <v>0</v>
      </c>
      <c r="Q466" s="20">
        <f t="shared" si="143"/>
        <v>0</v>
      </c>
      <c r="R466" s="20">
        <f t="shared" si="143"/>
        <v>0</v>
      </c>
      <c r="S466" s="20">
        <f t="shared" si="143"/>
        <v>0</v>
      </c>
      <c r="T466" s="20">
        <f t="shared" si="143"/>
        <v>0</v>
      </c>
      <c r="U466" s="20">
        <f t="shared" si="143"/>
        <v>0</v>
      </c>
      <c r="V466" s="20">
        <f t="shared" si="143"/>
        <v>10607.429250000001</v>
      </c>
      <c r="W466" s="20">
        <f t="shared" si="143"/>
        <v>21214.858500000002</v>
      </c>
      <c r="X466" s="20">
        <f t="shared" si="143"/>
        <v>21272.981400000004</v>
      </c>
      <c r="Y466" s="20">
        <f t="shared" si="143"/>
        <v>21214.858500000002</v>
      </c>
      <c r="Z466" s="20">
        <f t="shared" si="143"/>
        <v>21214.858500000002</v>
      </c>
      <c r="AA466" s="20">
        <f t="shared" si="143"/>
        <v>21214.858500000002</v>
      </c>
      <c r="AB466" s="20">
        <f t="shared" si="143"/>
        <v>21272.981400000004</v>
      </c>
      <c r="AC466" s="20">
        <f t="shared" si="143"/>
        <v>3535.8097499999999</v>
      </c>
      <c r="AD466" s="20">
        <f t="shared" si="143"/>
        <v>0</v>
      </c>
      <c r="AE466" s="20">
        <f t="shared" si="143"/>
        <v>0</v>
      </c>
      <c r="AF466" s="20">
        <f t="shared" si="143"/>
        <v>0</v>
      </c>
      <c r="AG466" s="20">
        <f t="shared" si="143"/>
        <v>0</v>
      </c>
      <c r="AH466" s="20">
        <f t="shared" si="143"/>
        <v>0</v>
      </c>
      <c r="AI466" s="20">
        <f t="shared" si="143"/>
        <v>0</v>
      </c>
      <c r="AJ466" s="20">
        <f t="shared" si="143"/>
        <v>0</v>
      </c>
      <c r="AK466" s="20">
        <f t="shared" si="143"/>
        <v>0</v>
      </c>
      <c r="AL466" s="20">
        <f t="shared" si="143"/>
        <v>0</v>
      </c>
      <c r="AM466" s="20">
        <f t="shared" si="143"/>
        <v>0</v>
      </c>
      <c r="AN466" s="20">
        <f t="shared" si="143"/>
        <v>0</v>
      </c>
      <c r="AO466" s="28"/>
    </row>
    <row r="467" spans="1:41" ht="14.4" customHeight="1" outlineLevel="1" x14ac:dyDescent="0.3">
      <c r="C467" s="2"/>
      <c r="D467" s="1" t="str">
        <f>Input!C152</f>
        <v>Эфир крахмала Esamid NA</v>
      </c>
      <c r="H467" s="26" t="s">
        <v>146</v>
      </c>
      <c r="I467" s="20">
        <f t="shared" si="139"/>
        <v>25.449233333333336</v>
      </c>
      <c r="L467" s="20">
        <f t="shared" ref="L467:AN467" si="144">SUMIF($D$476:$D$552,$D467,L$476:L$552)*L12</f>
        <v>0</v>
      </c>
      <c r="M467" s="20">
        <f t="shared" si="144"/>
        <v>0</v>
      </c>
      <c r="N467" s="20">
        <f t="shared" si="144"/>
        <v>0</v>
      </c>
      <c r="O467" s="20">
        <f t="shared" si="144"/>
        <v>0</v>
      </c>
      <c r="P467" s="20">
        <f t="shared" si="144"/>
        <v>0</v>
      </c>
      <c r="Q467" s="20">
        <f t="shared" si="144"/>
        <v>0</v>
      </c>
      <c r="R467" s="20">
        <f t="shared" si="144"/>
        <v>0</v>
      </c>
      <c r="S467" s="20">
        <f t="shared" si="144"/>
        <v>0</v>
      </c>
      <c r="T467" s="20">
        <f t="shared" si="144"/>
        <v>0</v>
      </c>
      <c r="U467" s="20">
        <f t="shared" si="144"/>
        <v>0</v>
      </c>
      <c r="V467" s="20">
        <f t="shared" si="144"/>
        <v>1.9071250000000002</v>
      </c>
      <c r="W467" s="20">
        <f t="shared" si="144"/>
        <v>3.8142500000000004</v>
      </c>
      <c r="X467" s="20">
        <f t="shared" si="144"/>
        <v>3.8247</v>
      </c>
      <c r="Y467" s="20">
        <f t="shared" si="144"/>
        <v>3.8142500000000004</v>
      </c>
      <c r="Z467" s="20">
        <f t="shared" si="144"/>
        <v>3.8142500000000004</v>
      </c>
      <c r="AA467" s="20">
        <f t="shared" si="144"/>
        <v>3.8142500000000004</v>
      </c>
      <c r="AB467" s="20">
        <f t="shared" si="144"/>
        <v>3.8247</v>
      </c>
      <c r="AC467" s="20">
        <f t="shared" si="144"/>
        <v>0.63570833333333321</v>
      </c>
      <c r="AD467" s="20">
        <f t="shared" si="144"/>
        <v>0</v>
      </c>
      <c r="AE467" s="20">
        <f t="shared" si="144"/>
        <v>0</v>
      </c>
      <c r="AF467" s="20">
        <f t="shared" si="144"/>
        <v>0</v>
      </c>
      <c r="AG467" s="20">
        <f t="shared" si="144"/>
        <v>0</v>
      </c>
      <c r="AH467" s="20">
        <f t="shared" si="144"/>
        <v>0</v>
      </c>
      <c r="AI467" s="20">
        <f t="shared" si="144"/>
        <v>0</v>
      </c>
      <c r="AJ467" s="20">
        <f t="shared" si="144"/>
        <v>0</v>
      </c>
      <c r="AK467" s="20">
        <f t="shared" si="144"/>
        <v>0</v>
      </c>
      <c r="AL467" s="20">
        <f t="shared" si="144"/>
        <v>0</v>
      </c>
      <c r="AM467" s="20">
        <f t="shared" si="144"/>
        <v>0</v>
      </c>
      <c r="AN467" s="20">
        <f t="shared" si="144"/>
        <v>0</v>
      </c>
      <c r="AO467" s="28"/>
    </row>
    <row r="468" spans="1:41" ht="14.4" customHeight="1" outlineLevel="1" x14ac:dyDescent="0.3">
      <c r="C468" s="2"/>
      <c r="D468" s="1" t="str">
        <f>Input!C153</f>
        <v>Гидрофобизатор (олеат Na, стеараты)</v>
      </c>
      <c r="H468" s="26" t="s">
        <v>146</v>
      </c>
      <c r="I468" s="20">
        <f t="shared" si="139"/>
        <v>508.98466666666661</v>
      </c>
      <c r="L468" s="20">
        <f t="shared" ref="L468:AN468" si="145">SUMIF($D$476:$D$552,$D468,L$476:L$552)*L12</f>
        <v>0</v>
      </c>
      <c r="M468" s="20">
        <f t="shared" si="145"/>
        <v>0</v>
      </c>
      <c r="N468" s="20">
        <f t="shared" si="145"/>
        <v>0</v>
      </c>
      <c r="O468" s="20">
        <f t="shared" si="145"/>
        <v>0</v>
      </c>
      <c r="P468" s="20">
        <f t="shared" si="145"/>
        <v>0</v>
      </c>
      <c r="Q468" s="20">
        <f t="shared" si="145"/>
        <v>0</v>
      </c>
      <c r="R468" s="20">
        <f t="shared" si="145"/>
        <v>0</v>
      </c>
      <c r="S468" s="20">
        <f t="shared" si="145"/>
        <v>0</v>
      </c>
      <c r="T468" s="20">
        <f t="shared" si="145"/>
        <v>0</v>
      </c>
      <c r="U468" s="20">
        <f t="shared" si="145"/>
        <v>0</v>
      </c>
      <c r="V468" s="20">
        <f t="shared" si="145"/>
        <v>38.142499999999998</v>
      </c>
      <c r="W468" s="20">
        <f t="shared" si="145"/>
        <v>76.284999999999997</v>
      </c>
      <c r="X468" s="20">
        <f t="shared" si="145"/>
        <v>76.494</v>
      </c>
      <c r="Y468" s="20">
        <f t="shared" si="145"/>
        <v>76.284999999999997</v>
      </c>
      <c r="Z468" s="20">
        <f t="shared" si="145"/>
        <v>76.284999999999997</v>
      </c>
      <c r="AA468" s="20">
        <f t="shared" si="145"/>
        <v>76.284999999999997</v>
      </c>
      <c r="AB468" s="20">
        <f t="shared" si="145"/>
        <v>76.494</v>
      </c>
      <c r="AC468" s="20">
        <f t="shared" si="145"/>
        <v>12.714166666666664</v>
      </c>
      <c r="AD468" s="20">
        <f t="shared" si="145"/>
        <v>0</v>
      </c>
      <c r="AE468" s="20">
        <f t="shared" si="145"/>
        <v>0</v>
      </c>
      <c r="AF468" s="20">
        <f t="shared" si="145"/>
        <v>0</v>
      </c>
      <c r="AG468" s="20">
        <f t="shared" si="145"/>
        <v>0</v>
      </c>
      <c r="AH468" s="20">
        <f t="shared" si="145"/>
        <v>0</v>
      </c>
      <c r="AI468" s="20">
        <f t="shared" si="145"/>
        <v>0</v>
      </c>
      <c r="AJ468" s="20">
        <f t="shared" si="145"/>
        <v>0</v>
      </c>
      <c r="AK468" s="20">
        <f t="shared" si="145"/>
        <v>0</v>
      </c>
      <c r="AL468" s="20">
        <f t="shared" si="145"/>
        <v>0</v>
      </c>
      <c r="AM468" s="20">
        <f t="shared" si="145"/>
        <v>0</v>
      </c>
      <c r="AN468" s="20">
        <f t="shared" si="145"/>
        <v>0</v>
      </c>
      <c r="AO468" s="28"/>
    </row>
    <row r="469" spans="1:41" ht="14.4" customHeight="1" outlineLevel="1" x14ac:dyDescent="0.3">
      <c r="C469" s="2"/>
      <c r="D469" s="1" t="str">
        <f>Input!C154</f>
        <v>Суперпластификатор Melment F 10</v>
      </c>
      <c r="H469" s="26" t="s">
        <v>146</v>
      </c>
      <c r="I469" s="20">
        <f t="shared" si="139"/>
        <v>508.98466666666661</v>
      </c>
      <c r="L469" s="20">
        <f t="shared" ref="L469:AN469" si="146">SUMIF($D$476:$D$552,$D469,L$476:L$552)*L12</f>
        <v>0</v>
      </c>
      <c r="M469" s="20">
        <f t="shared" si="146"/>
        <v>0</v>
      </c>
      <c r="N469" s="20">
        <f t="shared" si="146"/>
        <v>0</v>
      </c>
      <c r="O469" s="20">
        <f t="shared" si="146"/>
        <v>0</v>
      </c>
      <c r="P469" s="20">
        <f t="shared" si="146"/>
        <v>0</v>
      </c>
      <c r="Q469" s="20">
        <f t="shared" si="146"/>
        <v>0</v>
      </c>
      <c r="R469" s="20">
        <f t="shared" si="146"/>
        <v>0</v>
      </c>
      <c r="S469" s="20">
        <f t="shared" si="146"/>
        <v>0</v>
      </c>
      <c r="T469" s="20">
        <f t="shared" si="146"/>
        <v>0</v>
      </c>
      <c r="U469" s="20">
        <f t="shared" si="146"/>
        <v>0</v>
      </c>
      <c r="V469" s="20">
        <f t="shared" si="146"/>
        <v>38.142499999999998</v>
      </c>
      <c r="W469" s="20">
        <f t="shared" si="146"/>
        <v>76.284999999999997</v>
      </c>
      <c r="X469" s="20">
        <f t="shared" si="146"/>
        <v>76.494</v>
      </c>
      <c r="Y469" s="20">
        <f t="shared" si="146"/>
        <v>76.284999999999997</v>
      </c>
      <c r="Z469" s="20">
        <f t="shared" si="146"/>
        <v>76.284999999999997</v>
      </c>
      <c r="AA469" s="20">
        <f t="shared" si="146"/>
        <v>76.284999999999997</v>
      </c>
      <c r="AB469" s="20">
        <f t="shared" si="146"/>
        <v>76.494</v>
      </c>
      <c r="AC469" s="20">
        <f t="shared" si="146"/>
        <v>12.714166666666664</v>
      </c>
      <c r="AD469" s="20">
        <f t="shared" si="146"/>
        <v>0</v>
      </c>
      <c r="AE469" s="20">
        <f t="shared" si="146"/>
        <v>0</v>
      </c>
      <c r="AF469" s="20">
        <f t="shared" si="146"/>
        <v>0</v>
      </c>
      <c r="AG469" s="20">
        <f t="shared" si="146"/>
        <v>0</v>
      </c>
      <c r="AH469" s="20">
        <f t="shared" si="146"/>
        <v>0</v>
      </c>
      <c r="AI469" s="20">
        <f t="shared" si="146"/>
        <v>0</v>
      </c>
      <c r="AJ469" s="20">
        <f t="shared" si="146"/>
        <v>0</v>
      </c>
      <c r="AK469" s="20">
        <f t="shared" si="146"/>
        <v>0</v>
      </c>
      <c r="AL469" s="20">
        <f t="shared" si="146"/>
        <v>0</v>
      </c>
      <c r="AM469" s="20">
        <f t="shared" si="146"/>
        <v>0</v>
      </c>
      <c r="AN469" s="20">
        <f t="shared" si="146"/>
        <v>0</v>
      </c>
      <c r="AO469" s="28"/>
    </row>
    <row r="470" spans="1:41" ht="14.4" customHeight="1" outlineLevel="1" x14ac:dyDescent="0.3">
      <c r="C470" s="2"/>
      <c r="D470" s="1" t="str">
        <f>Input!C155</f>
        <v>Ускоритель схватывания (формиат Са)</v>
      </c>
      <c r="H470" s="26" t="s">
        <v>146</v>
      </c>
      <c r="I470" s="20">
        <f t="shared" si="139"/>
        <v>2544.9233333333332</v>
      </c>
      <c r="L470" s="20">
        <f t="shared" ref="L470:AN470" si="147">SUMIF($D$476:$D$552,$D470,L$476:L$552)*L12</f>
        <v>0</v>
      </c>
      <c r="M470" s="20">
        <f t="shared" si="147"/>
        <v>0</v>
      </c>
      <c r="N470" s="20">
        <f t="shared" si="147"/>
        <v>0</v>
      </c>
      <c r="O470" s="20">
        <f t="shared" si="147"/>
        <v>0</v>
      </c>
      <c r="P470" s="20">
        <f t="shared" si="147"/>
        <v>0</v>
      </c>
      <c r="Q470" s="20">
        <f t="shared" si="147"/>
        <v>0</v>
      </c>
      <c r="R470" s="20">
        <f t="shared" si="147"/>
        <v>0</v>
      </c>
      <c r="S470" s="20">
        <f t="shared" si="147"/>
        <v>0</v>
      </c>
      <c r="T470" s="20">
        <f t="shared" si="147"/>
        <v>0</v>
      </c>
      <c r="U470" s="20">
        <f t="shared" si="147"/>
        <v>0</v>
      </c>
      <c r="V470" s="20">
        <f t="shared" si="147"/>
        <v>190.71250000000001</v>
      </c>
      <c r="W470" s="20">
        <f t="shared" si="147"/>
        <v>381.42500000000001</v>
      </c>
      <c r="X470" s="20">
        <f t="shared" si="147"/>
        <v>382.47</v>
      </c>
      <c r="Y470" s="20">
        <f t="shared" si="147"/>
        <v>381.42500000000001</v>
      </c>
      <c r="Z470" s="20">
        <f t="shared" si="147"/>
        <v>381.42500000000001</v>
      </c>
      <c r="AA470" s="20">
        <f t="shared" si="147"/>
        <v>381.42500000000001</v>
      </c>
      <c r="AB470" s="20">
        <f t="shared" si="147"/>
        <v>382.47</v>
      </c>
      <c r="AC470" s="20">
        <f t="shared" si="147"/>
        <v>63.570833333333326</v>
      </c>
      <c r="AD470" s="20">
        <f t="shared" si="147"/>
        <v>0</v>
      </c>
      <c r="AE470" s="20">
        <f t="shared" si="147"/>
        <v>0</v>
      </c>
      <c r="AF470" s="20">
        <f t="shared" si="147"/>
        <v>0</v>
      </c>
      <c r="AG470" s="20">
        <f t="shared" si="147"/>
        <v>0</v>
      </c>
      <c r="AH470" s="20">
        <f t="shared" si="147"/>
        <v>0</v>
      </c>
      <c r="AI470" s="20">
        <f t="shared" si="147"/>
        <v>0</v>
      </c>
      <c r="AJ470" s="20">
        <f t="shared" si="147"/>
        <v>0</v>
      </c>
      <c r="AK470" s="20">
        <f t="shared" si="147"/>
        <v>0</v>
      </c>
      <c r="AL470" s="20">
        <f t="shared" si="147"/>
        <v>0</v>
      </c>
      <c r="AM470" s="20">
        <f t="shared" si="147"/>
        <v>0</v>
      </c>
      <c r="AN470" s="20">
        <f t="shared" si="147"/>
        <v>0</v>
      </c>
      <c r="AO470" s="28"/>
    </row>
    <row r="471" spans="1:41" ht="14.4" customHeight="1" outlineLevel="1" x14ac:dyDescent="0.3">
      <c r="C471" s="2"/>
      <c r="H471" s="26"/>
      <c r="I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3"/>
      <c r="AM471" s="173"/>
      <c r="AN471" s="173"/>
      <c r="AO471" s="28"/>
    </row>
    <row r="472" spans="1:41" s="107" customFormat="1" outlineLevel="1" x14ac:dyDescent="0.3">
      <c r="A472" s="170"/>
      <c r="B472" s="113" t="s">
        <v>405</v>
      </c>
      <c r="C472" s="113"/>
      <c r="D472" s="98"/>
      <c r="E472" s="98"/>
      <c r="F472" s="98"/>
      <c r="G472" s="98"/>
      <c r="H472" s="98"/>
      <c r="I472" s="98"/>
      <c r="J472" s="98"/>
      <c r="K472" s="98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</row>
    <row r="473" spans="1:41" ht="14.4" customHeight="1" outlineLevel="1" x14ac:dyDescent="0.3">
      <c r="H473" s="26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28"/>
    </row>
    <row r="474" spans="1:41" ht="14.4" customHeight="1" outlineLevel="1" x14ac:dyDescent="0.3">
      <c r="C474" s="2" t="s">
        <v>191</v>
      </c>
      <c r="H474" s="26"/>
      <c r="I474" s="36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28"/>
    </row>
    <row r="475" spans="1:41" ht="14.4" customHeight="1" outlineLevel="1" x14ac:dyDescent="0.3">
      <c r="C475" s="2"/>
      <c r="D475" s="2" t="s">
        <v>246</v>
      </c>
      <c r="H475" s="26" t="s">
        <v>146</v>
      </c>
      <c r="I475" s="20">
        <f>SUM(L475:AN475)</f>
        <v>286277.75000000006</v>
      </c>
      <c r="L475" s="33">
        <f t="shared" ref="L475:AN475" si="148">L432</f>
        <v>0</v>
      </c>
      <c r="M475" s="33">
        <f t="shared" si="148"/>
        <v>0</v>
      </c>
      <c r="N475" s="33">
        <f>N432</f>
        <v>15892.708333333334</v>
      </c>
      <c r="O475" s="33">
        <f>O432</f>
        <v>19071.25</v>
      </c>
      <c r="P475" s="33">
        <f t="shared" si="148"/>
        <v>19123.5</v>
      </c>
      <c r="Q475" s="33">
        <f t="shared" si="148"/>
        <v>19071.25</v>
      </c>
      <c r="R475" s="33">
        <f t="shared" si="148"/>
        <v>19071.25</v>
      </c>
      <c r="S475" s="33">
        <f t="shared" si="148"/>
        <v>19071.25</v>
      </c>
      <c r="T475" s="33">
        <f t="shared" si="148"/>
        <v>19123.5</v>
      </c>
      <c r="U475" s="33">
        <f t="shared" si="148"/>
        <v>19071.25</v>
      </c>
      <c r="V475" s="33">
        <f t="shared" si="148"/>
        <v>19071.25</v>
      </c>
      <c r="W475" s="33">
        <f t="shared" si="148"/>
        <v>19071.25</v>
      </c>
      <c r="X475" s="33">
        <f t="shared" si="148"/>
        <v>19123.5</v>
      </c>
      <c r="Y475" s="33">
        <f t="shared" si="148"/>
        <v>19071.25</v>
      </c>
      <c r="Z475" s="33">
        <f t="shared" si="148"/>
        <v>19071.25</v>
      </c>
      <c r="AA475" s="33">
        <f t="shared" si="148"/>
        <v>19071.25</v>
      </c>
      <c r="AB475" s="33">
        <f t="shared" si="148"/>
        <v>19123.5</v>
      </c>
      <c r="AC475" s="33">
        <f t="shared" si="148"/>
        <v>3178.5416666666661</v>
      </c>
      <c r="AD475" s="33">
        <f t="shared" si="148"/>
        <v>0</v>
      </c>
      <c r="AE475" s="33">
        <f t="shared" si="148"/>
        <v>0</v>
      </c>
      <c r="AF475" s="33">
        <f t="shared" si="148"/>
        <v>0</v>
      </c>
      <c r="AG475" s="33">
        <f t="shared" si="148"/>
        <v>0</v>
      </c>
      <c r="AH475" s="33">
        <f t="shared" si="148"/>
        <v>0</v>
      </c>
      <c r="AI475" s="33">
        <f t="shared" si="148"/>
        <v>0</v>
      </c>
      <c r="AJ475" s="33">
        <f t="shared" si="148"/>
        <v>0</v>
      </c>
      <c r="AK475" s="33">
        <f t="shared" si="148"/>
        <v>0</v>
      </c>
      <c r="AL475" s="33">
        <f t="shared" si="148"/>
        <v>0</v>
      </c>
      <c r="AM475" s="33">
        <f t="shared" si="148"/>
        <v>0</v>
      </c>
      <c r="AN475" s="33">
        <f t="shared" si="148"/>
        <v>0</v>
      </c>
      <c r="AO475" s="28"/>
    </row>
    <row r="476" spans="1:41" ht="14.4" customHeight="1" outlineLevel="1" x14ac:dyDescent="0.3">
      <c r="D476" s="1" t="str">
        <f>Input!C139</f>
        <v>Гашеная известь</v>
      </c>
      <c r="H476" s="26" t="s">
        <v>146</v>
      </c>
      <c r="I476" s="159">
        <f>Input!H139</f>
        <v>0</v>
      </c>
      <c r="L476" s="22">
        <f t="shared" ref="L476:U481" si="149">$I476*L$475</f>
        <v>0</v>
      </c>
      <c r="M476" s="22">
        <f t="shared" si="149"/>
        <v>0</v>
      </c>
      <c r="N476" s="22">
        <f t="shared" si="149"/>
        <v>0</v>
      </c>
      <c r="O476" s="22">
        <f t="shared" si="149"/>
        <v>0</v>
      </c>
      <c r="P476" s="22">
        <f t="shared" si="149"/>
        <v>0</v>
      </c>
      <c r="Q476" s="22">
        <f t="shared" si="149"/>
        <v>0</v>
      </c>
      <c r="R476" s="22">
        <f t="shared" si="149"/>
        <v>0</v>
      </c>
      <c r="S476" s="22">
        <f t="shared" si="149"/>
        <v>0</v>
      </c>
      <c r="T476" s="22">
        <f t="shared" si="149"/>
        <v>0</v>
      </c>
      <c r="U476" s="22">
        <f t="shared" si="149"/>
        <v>0</v>
      </c>
      <c r="V476" s="22">
        <f t="shared" ref="V476:AE481" si="150">$I476*V$475</f>
        <v>0</v>
      </c>
      <c r="W476" s="22">
        <f t="shared" si="150"/>
        <v>0</v>
      </c>
      <c r="X476" s="22">
        <f t="shared" si="150"/>
        <v>0</v>
      </c>
      <c r="Y476" s="22">
        <f t="shared" si="150"/>
        <v>0</v>
      </c>
      <c r="Z476" s="22">
        <f t="shared" si="150"/>
        <v>0</v>
      </c>
      <c r="AA476" s="22">
        <f t="shared" si="150"/>
        <v>0</v>
      </c>
      <c r="AB476" s="22">
        <f t="shared" si="150"/>
        <v>0</v>
      </c>
      <c r="AC476" s="22">
        <f t="shared" si="150"/>
        <v>0</v>
      </c>
      <c r="AD476" s="22">
        <f t="shared" si="150"/>
        <v>0</v>
      </c>
      <c r="AE476" s="22">
        <f t="shared" si="150"/>
        <v>0</v>
      </c>
      <c r="AF476" s="22">
        <f t="shared" ref="AF476:AN481" si="151">$I476*AF$475</f>
        <v>0</v>
      </c>
      <c r="AG476" s="22">
        <f t="shared" si="151"/>
        <v>0</v>
      </c>
      <c r="AH476" s="22">
        <f t="shared" si="151"/>
        <v>0</v>
      </c>
      <c r="AI476" s="22">
        <f t="shared" si="151"/>
        <v>0</v>
      </c>
      <c r="AJ476" s="22">
        <f t="shared" si="151"/>
        <v>0</v>
      </c>
      <c r="AK476" s="22">
        <f t="shared" si="151"/>
        <v>0</v>
      </c>
      <c r="AL476" s="22">
        <f t="shared" si="151"/>
        <v>0</v>
      </c>
      <c r="AM476" s="22">
        <f t="shared" si="151"/>
        <v>0</v>
      </c>
      <c r="AN476" s="22">
        <f t="shared" si="151"/>
        <v>0</v>
      </c>
      <c r="AO476" s="28"/>
    </row>
    <row r="477" spans="1:41" ht="14.4" customHeight="1" outlineLevel="1" x14ac:dyDescent="0.3">
      <c r="D477" s="1" t="str">
        <f>Input!C140</f>
        <v>Известняковая мука</v>
      </c>
      <c r="H477" s="26" t="s">
        <v>146</v>
      </c>
      <c r="I477" s="159">
        <f>Input!H140</f>
        <v>7.4999999999999997E-2</v>
      </c>
      <c r="L477" s="22">
        <f t="shared" si="149"/>
        <v>0</v>
      </c>
      <c r="M477" s="22">
        <f t="shared" si="149"/>
        <v>0</v>
      </c>
      <c r="N477" s="22">
        <f t="shared" si="149"/>
        <v>1191.953125</v>
      </c>
      <c r="O477" s="22">
        <f t="shared" si="149"/>
        <v>1430.34375</v>
      </c>
      <c r="P477" s="22">
        <f t="shared" si="149"/>
        <v>1434.2625</v>
      </c>
      <c r="Q477" s="22">
        <f t="shared" si="149"/>
        <v>1430.34375</v>
      </c>
      <c r="R477" s="22">
        <f t="shared" si="149"/>
        <v>1430.34375</v>
      </c>
      <c r="S477" s="22">
        <f t="shared" si="149"/>
        <v>1430.34375</v>
      </c>
      <c r="T477" s="22">
        <f t="shared" si="149"/>
        <v>1434.2625</v>
      </c>
      <c r="U477" s="22">
        <f t="shared" si="149"/>
        <v>1430.34375</v>
      </c>
      <c r="V477" s="22">
        <f t="shared" si="150"/>
        <v>1430.34375</v>
      </c>
      <c r="W477" s="22">
        <f t="shared" si="150"/>
        <v>1430.34375</v>
      </c>
      <c r="X477" s="22">
        <f t="shared" si="150"/>
        <v>1434.2625</v>
      </c>
      <c r="Y477" s="22">
        <f t="shared" si="150"/>
        <v>1430.34375</v>
      </c>
      <c r="Z477" s="22">
        <f t="shared" si="150"/>
        <v>1430.34375</v>
      </c>
      <c r="AA477" s="22">
        <f t="shared" si="150"/>
        <v>1430.34375</v>
      </c>
      <c r="AB477" s="22">
        <f t="shared" si="150"/>
        <v>1434.2625</v>
      </c>
      <c r="AC477" s="22">
        <f t="shared" si="150"/>
        <v>238.39062499999994</v>
      </c>
      <c r="AD477" s="22">
        <f t="shared" si="150"/>
        <v>0</v>
      </c>
      <c r="AE477" s="22">
        <f t="shared" si="150"/>
        <v>0</v>
      </c>
      <c r="AF477" s="22">
        <f t="shared" si="151"/>
        <v>0</v>
      </c>
      <c r="AG477" s="22">
        <f t="shared" si="151"/>
        <v>0</v>
      </c>
      <c r="AH477" s="22">
        <f t="shared" si="151"/>
        <v>0</v>
      </c>
      <c r="AI477" s="22">
        <f t="shared" si="151"/>
        <v>0</v>
      </c>
      <c r="AJ477" s="22">
        <f t="shared" si="151"/>
        <v>0</v>
      </c>
      <c r="AK477" s="22">
        <f t="shared" si="151"/>
        <v>0</v>
      </c>
      <c r="AL477" s="22">
        <f t="shared" si="151"/>
        <v>0</v>
      </c>
      <c r="AM477" s="22">
        <f t="shared" si="151"/>
        <v>0</v>
      </c>
      <c r="AN477" s="22">
        <f t="shared" si="151"/>
        <v>0</v>
      </c>
      <c r="AO477" s="28"/>
    </row>
    <row r="478" spans="1:41" ht="14.4" customHeight="1" outlineLevel="1" x14ac:dyDescent="0.3">
      <c r="D478" s="1" t="str">
        <f>Input!C141</f>
        <v>Кварцевый песок 0,1-0,5 мм</v>
      </c>
      <c r="H478" s="26" t="s">
        <v>146</v>
      </c>
      <c r="I478" s="159">
        <f>Input!H141</f>
        <v>0</v>
      </c>
      <c r="L478" s="22">
        <f t="shared" si="149"/>
        <v>0</v>
      </c>
      <c r="M478" s="22">
        <f t="shared" si="149"/>
        <v>0</v>
      </c>
      <c r="N478" s="22">
        <f t="shared" si="149"/>
        <v>0</v>
      </c>
      <c r="O478" s="22">
        <f t="shared" si="149"/>
        <v>0</v>
      </c>
      <c r="P478" s="22">
        <f t="shared" si="149"/>
        <v>0</v>
      </c>
      <c r="Q478" s="22">
        <f t="shared" si="149"/>
        <v>0</v>
      </c>
      <c r="R478" s="22">
        <f t="shared" si="149"/>
        <v>0</v>
      </c>
      <c r="S478" s="22">
        <f t="shared" si="149"/>
        <v>0</v>
      </c>
      <c r="T478" s="22">
        <f t="shared" si="149"/>
        <v>0</v>
      </c>
      <c r="U478" s="22">
        <f t="shared" si="149"/>
        <v>0</v>
      </c>
      <c r="V478" s="22">
        <f t="shared" si="150"/>
        <v>0</v>
      </c>
      <c r="W478" s="22">
        <f t="shared" si="150"/>
        <v>0</v>
      </c>
      <c r="X478" s="22">
        <f t="shared" si="150"/>
        <v>0</v>
      </c>
      <c r="Y478" s="22">
        <f t="shared" si="150"/>
        <v>0</v>
      </c>
      <c r="Z478" s="22">
        <f t="shared" si="150"/>
        <v>0</v>
      </c>
      <c r="AA478" s="22">
        <f t="shared" si="150"/>
        <v>0</v>
      </c>
      <c r="AB478" s="22">
        <f t="shared" si="150"/>
        <v>0</v>
      </c>
      <c r="AC478" s="22">
        <f t="shared" si="150"/>
        <v>0</v>
      </c>
      <c r="AD478" s="22">
        <f t="shared" si="150"/>
        <v>0</v>
      </c>
      <c r="AE478" s="22">
        <f t="shared" si="150"/>
        <v>0</v>
      </c>
      <c r="AF478" s="22">
        <f t="shared" si="151"/>
        <v>0</v>
      </c>
      <c r="AG478" s="22">
        <f t="shared" si="151"/>
        <v>0</v>
      </c>
      <c r="AH478" s="22">
        <f t="shared" si="151"/>
        <v>0</v>
      </c>
      <c r="AI478" s="22">
        <f t="shared" si="151"/>
        <v>0</v>
      </c>
      <c r="AJ478" s="22">
        <f t="shared" si="151"/>
        <v>0</v>
      </c>
      <c r="AK478" s="22">
        <f t="shared" si="151"/>
        <v>0</v>
      </c>
      <c r="AL478" s="22">
        <f t="shared" si="151"/>
        <v>0</v>
      </c>
      <c r="AM478" s="22">
        <f t="shared" si="151"/>
        <v>0</v>
      </c>
      <c r="AN478" s="22">
        <f t="shared" si="151"/>
        <v>0</v>
      </c>
      <c r="AO478" s="28"/>
    </row>
    <row r="479" spans="1:41" ht="14.4" customHeight="1" outlineLevel="1" x14ac:dyDescent="0.3">
      <c r="D479" s="1" t="str">
        <f>Input!C142</f>
        <v>Кварцевый песок 0,5-2,0 мм</v>
      </c>
      <c r="H479" s="26" t="s">
        <v>146</v>
      </c>
      <c r="I479" s="159">
        <f>Input!H142</f>
        <v>0</v>
      </c>
      <c r="L479" s="22">
        <f t="shared" si="149"/>
        <v>0</v>
      </c>
      <c r="M479" s="22">
        <f t="shared" si="149"/>
        <v>0</v>
      </c>
      <c r="N479" s="22">
        <f t="shared" si="149"/>
        <v>0</v>
      </c>
      <c r="O479" s="22">
        <f t="shared" si="149"/>
        <v>0</v>
      </c>
      <c r="P479" s="22">
        <f t="shared" si="149"/>
        <v>0</v>
      </c>
      <c r="Q479" s="22">
        <f t="shared" si="149"/>
        <v>0</v>
      </c>
      <c r="R479" s="22">
        <f t="shared" si="149"/>
        <v>0</v>
      </c>
      <c r="S479" s="22">
        <f t="shared" si="149"/>
        <v>0</v>
      </c>
      <c r="T479" s="22">
        <f t="shared" si="149"/>
        <v>0</v>
      </c>
      <c r="U479" s="22">
        <f t="shared" si="149"/>
        <v>0</v>
      </c>
      <c r="V479" s="22">
        <f t="shared" si="150"/>
        <v>0</v>
      </c>
      <c r="W479" s="22">
        <f t="shared" si="150"/>
        <v>0</v>
      </c>
      <c r="X479" s="22">
        <f t="shared" si="150"/>
        <v>0</v>
      </c>
      <c r="Y479" s="22">
        <f t="shared" si="150"/>
        <v>0</v>
      </c>
      <c r="Z479" s="22">
        <f t="shared" si="150"/>
        <v>0</v>
      </c>
      <c r="AA479" s="22">
        <f t="shared" si="150"/>
        <v>0</v>
      </c>
      <c r="AB479" s="22">
        <f t="shared" si="150"/>
        <v>0</v>
      </c>
      <c r="AC479" s="22">
        <f t="shared" si="150"/>
        <v>0</v>
      </c>
      <c r="AD479" s="22">
        <f t="shared" si="150"/>
        <v>0</v>
      </c>
      <c r="AE479" s="22">
        <f t="shared" si="150"/>
        <v>0</v>
      </c>
      <c r="AF479" s="22">
        <f t="shared" si="151"/>
        <v>0</v>
      </c>
      <c r="AG479" s="22">
        <f t="shared" si="151"/>
        <v>0</v>
      </c>
      <c r="AH479" s="22">
        <f t="shared" si="151"/>
        <v>0</v>
      </c>
      <c r="AI479" s="22">
        <f t="shared" si="151"/>
        <v>0</v>
      </c>
      <c r="AJ479" s="22">
        <f t="shared" si="151"/>
        <v>0</v>
      </c>
      <c r="AK479" s="22">
        <f t="shared" si="151"/>
        <v>0</v>
      </c>
      <c r="AL479" s="22">
        <f t="shared" si="151"/>
        <v>0</v>
      </c>
      <c r="AM479" s="22">
        <f t="shared" si="151"/>
        <v>0</v>
      </c>
      <c r="AN479" s="22">
        <f t="shared" si="151"/>
        <v>0</v>
      </c>
      <c r="AO479" s="28"/>
    </row>
    <row r="480" spans="1:41" ht="14.4" customHeight="1" outlineLevel="1" x14ac:dyDescent="0.3">
      <c r="D480" s="1" t="str">
        <f>Input!C143</f>
        <v>Кварцевый или известняковый песок 0-4 мм</v>
      </c>
      <c r="H480" s="26" t="s">
        <v>146</v>
      </c>
      <c r="I480" s="159">
        <f>Input!H143</f>
        <v>0.6744</v>
      </c>
      <c r="L480" s="22">
        <f t="shared" si="149"/>
        <v>0</v>
      </c>
      <c r="M480" s="22">
        <f t="shared" si="149"/>
        <v>0</v>
      </c>
      <c r="N480" s="22">
        <f t="shared" si="149"/>
        <v>10718.0425</v>
      </c>
      <c r="O480" s="22">
        <f t="shared" si="149"/>
        <v>12861.651</v>
      </c>
      <c r="P480" s="22">
        <f t="shared" si="149"/>
        <v>12896.8884</v>
      </c>
      <c r="Q480" s="22">
        <f t="shared" si="149"/>
        <v>12861.651</v>
      </c>
      <c r="R480" s="22">
        <f t="shared" si="149"/>
        <v>12861.651</v>
      </c>
      <c r="S480" s="22">
        <f t="shared" si="149"/>
        <v>12861.651</v>
      </c>
      <c r="T480" s="22">
        <f t="shared" si="149"/>
        <v>12896.8884</v>
      </c>
      <c r="U480" s="22">
        <f t="shared" si="149"/>
        <v>12861.651</v>
      </c>
      <c r="V480" s="22">
        <f t="shared" si="150"/>
        <v>12861.651</v>
      </c>
      <c r="W480" s="22">
        <f t="shared" si="150"/>
        <v>12861.651</v>
      </c>
      <c r="X480" s="22">
        <f t="shared" si="150"/>
        <v>12896.8884</v>
      </c>
      <c r="Y480" s="22">
        <f t="shared" si="150"/>
        <v>12861.651</v>
      </c>
      <c r="Z480" s="22">
        <f t="shared" si="150"/>
        <v>12861.651</v>
      </c>
      <c r="AA480" s="22">
        <f t="shared" si="150"/>
        <v>12861.651</v>
      </c>
      <c r="AB480" s="22">
        <f t="shared" si="150"/>
        <v>12896.8884</v>
      </c>
      <c r="AC480" s="22">
        <f t="shared" si="150"/>
        <v>2143.6084999999994</v>
      </c>
      <c r="AD480" s="22">
        <f t="shared" si="150"/>
        <v>0</v>
      </c>
      <c r="AE480" s="22">
        <f t="shared" si="150"/>
        <v>0</v>
      </c>
      <c r="AF480" s="22">
        <f t="shared" si="151"/>
        <v>0</v>
      </c>
      <c r="AG480" s="22">
        <f t="shared" si="151"/>
        <v>0</v>
      </c>
      <c r="AH480" s="22">
        <f t="shared" si="151"/>
        <v>0</v>
      </c>
      <c r="AI480" s="22">
        <f t="shared" si="151"/>
        <v>0</v>
      </c>
      <c r="AJ480" s="22">
        <f t="shared" si="151"/>
        <v>0</v>
      </c>
      <c r="AK480" s="22">
        <f t="shared" si="151"/>
        <v>0</v>
      </c>
      <c r="AL480" s="22">
        <f t="shared" si="151"/>
        <v>0</v>
      </c>
      <c r="AM480" s="22">
        <f t="shared" si="151"/>
        <v>0</v>
      </c>
      <c r="AN480" s="22">
        <f t="shared" si="151"/>
        <v>0</v>
      </c>
      <c r="AO480" s="28"/>
    </row>
    <row r="481" spans="3:41" ht="14.4" customHeight="1" outlineLevel="1" x14ac:dyDescent="0.3">
      <c r="D481" s="1" t="str">
        <f>Input!C144</f>
        <v>Керамзит 0-4 мм</v>
      </c>
      <c r="H481" s="26" t="s">
        <v>146</v>
      </c>
      <c r="I481" s="159">
        <f>Input!H144</f>
        <v>0</v>
      </c>
      <c r="L481" s="22">
        <f t="shared" si="149"/>
        <v>0</v>
      </c>
      <c r="M481" s="22">
        <f t="shared" si="149"/>
        <v>0</v>
      </c>
      <c r="N481" s="22">
        <f t="shared" si="149"/>
        <v>0</v>
      </c>
      <c r="O481" s="22">
        <f t="shared" si="149"/>
        <v>0</v>
      </c>
      <c r="P481" s="22">
        <f t="shared" si="149"/>
        <v>0</v>
      </c>
      <c r="Q481" s="22">
        <f t="shared" si="149"/>
        <v>0</v>
      </c>
      <c r="R481" s="22">
        <f t="shared" si="149"/>
        <v>0</v>
      </c>
      <c r="S481" s="22">
        <f t="shared" si="149"/>
        <v>0</v>
      </c>
      <c r="T481" s="22">
        <f t="shared" si="149"/>
        <v>0</v>
      </c>
      <c r="U481" s="22">
        <f t="shared" si="149"/>
        <v>0</v>
      </c>
      <c r="V481" s="22">
        <f t="shared" si="150"/>
        <v>0</v>
      </c>
      <c r="W481" s="22">
        <f t="shared" si="150"/>
        <v>0</v>
      </c>
      <c r="X481" s="22">
        <f t="shared" si="150"/>
        <v>0</v>
      </c>
      <c r="Y481" s="22">
        <f t="shared" si="150"/>
        <v>0</v>
      </c>
      <c r="Z481" s="22">
        <f t="shared" si="150"/>
        <v>0</v>
      </c>
      <c r="AA481" s="22">
        <f t="shared" si="150"/>
        <v>0</v>
      </c>
      <c r="AB481" s="22">
        <f t="shared" si="150"/>
        <v>0</v>
      </c>
      <c r="AC481" s="22">
        <f t="shared" si="150"/>
        <v>0</v>
      </c>
      <c r="AD481" s="22">
        <f t="shared" si="150"/>
        <v>0</v>
      </c>
      <c r="AE481" s="22">
        <f t="shared" si="150"/>
        <v>0</v>
      </c>
      <c r="AF481" s="22">
        <f t="shared" si="151"/>
        <v>0</v>
      </c>
      <c r="AG481" s="22">
        <f t="shared" si="151"/>
        <v>0</v>
      </c>
      <c r="AH481" s="22">
        <f t="shared" si="151"/>
        <v>0</v>
      </c>
      <c r="AI481" s="22">
        <f t="shared" si="151"/>
        <v>0</v>
      </c>
      <c r="AJ481" s="22">
        <f t="shared" si="151"/>
        <v>0</v>
      </c>
      <c r="AK481" s="22">
        <f t="shared" si="151"/>
        <v>0</v>
      </c>
      <c r="AL481" s="22">
        <f t="shared" si="151"/>
        <v>0</v>
      </c>
      <c r="AM481" s="22">
        <f t="shared" si="151"/>
        <v>0</v>
      </c>
      <c r="AN481" s="22">
        <f t="shared" si="151"/>
        <v>0</v>
      </c>
      <c r="AO481" s="28"/>
    </row>
    <row r="482" spans="3:41" ht="14.4" customHeight="1" outlineLevel="1" x14ac:dyDescent="0.3">
      <c r="C482" s="2" t="s">
        <v>285</v>
      </c>
      <c r="H482" s="26"/>
      <c r="I482" s="160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28"/>
    </row>
    <row r="483" spans="3:41" ht="14.4" customHeight="1" outlineLevel="1" x14ac:dyDescent="0.3">
      <c r="D483" s="1" t="str">
        <f>Input!C146</f>
        <v>Портландцемент_до оптимизации</v>
      </c>
      <c r="H483" s="26" t="s">
        <v>146</v>
      </c>
      <c r="I483" s="159">
        <f>Input!H146</f>
        <v>0.25000000000000011</v>
      </c>
      <c r="L483" s="22">
        <f>$I483*L$475</f>
        <v>0</v>
      </c>
      <c r="M483" s="22">
        <f t="shared" ref="M483:AN483" si="152">$I483*M$475</f>
        <v>0</v>
      </c>
      <c r="N483" s="22">
        <f t="shared" si="152"/>
        <v>3973.1770833333353</v>
      </c>
      <c r="O483" s="22">
        <f t="shared" si="152"/>
        <v>4767.8125000000018</v>
      </c>
      <c r="P483" s="22">
        <f t="shared" si="152"/>
        <v>4780.8750000000018</v>
      </c>
      <c r="Q483" s="22">
        <f t="shared" si="152"/>
        <v>4767.8125000000018</v>
      </c>
      <c r="R483" s="22">
        <f t="shared" si="152"/>
        <v>4767.8125000000018</v>
      </c>
      <c r="S483" s="22">
        <f t="shared" si="152"/>
        <v>4767.8125000000018</v>
      </c>
      <c r="T483" s="22">
        <f t="shared" si="152"/>
        <v>4780.8750000000018</v>
      </c>
      <c r="U483" s="22">
        <f t="shared" si="152"/>
        <v>4767.8125000000018</v>
      </c>
      <c r="V483" s="22">
        <f t="shared" si="152"/>
        <v>4767.8125000000018</v>
      </c>
      <c r="W483" s="22">
        <f t="shared" si="152"/>
        <v>4767.8125000000018</v>
      </c>
      <c r="X483" s="22">
        <f t="shared" si="152"/>
        <v>4780.8750000000018</v>
      </c>
      <c r="Y483" s="22">
        <f t="shared" si="152"/>
        <v>4767.8125000000018</v>
      </c>
      <c r="Z483" s="22">
        <f t="shared" si="152"/>
        <v>4767.8125000000018</v>
      </c>
      <c r="AA483" s="22">
        <f t="shared" si="152"/>
        <v>4767.8125000000018</v>
      </c>
      <c r="AB483" s="22">
        <f t="shared" si="152"/>
        <v>4780.8750000000018</v>
      </c>
      <c r="AC483" s="22">
        <f t="shared" si="152"/>
        <v>794.63541666666686</v>
      </c>
      <c r="AD483" s="22">
        <f t="shared" si="152"/>
        <v>0</v>
      </c>
      <c r="AE483" s="22">
        <f t="shared" si="152"/>
        <v>0</v>
      </c>
      <c r="AF483" s="22">
        <f t="shared" si="152"/>
        <v>0</v>
      </c>
      <c r="AG483" s="22">
        <f t="shared" si="152"/>
        <v>0</v>
      </c>
      <c r="AH483" s="22">
        <f t="shared" si="152"/>
        <v>0</v>
      </c>
      <c r="AI483" s="22">
        <f t="shared" si="152"/>
        <v>0</v>
      </c>
      <c r="AJ483" s="22">
        <f t="shared" si="152"/>
        <v>0</v>
      </c>
      <c r="AK483" s="22">
        <f t="shared" si="152"/>
        <v>0</v>
      </c>
      <c r="AL483" s="22">
        <f t="shared" si="152"/>
        <v>0</v>
      </c>
      <c r="AM483" s="22">
        <f t="shared" si="152"/>
        <v>0</v>
      </c>
      <c r="AN483" s="22">
        <f t="shared" si="152"/>
        <v>0</v>
      </c>
      <c r="AO483" s="28"/>
    </row>
    <row r="484" spans="3:41" ht="14.4" customHeight="1" outlineLevel="1" x14ac:dyDescent="0.3">
      <c r="D484" s="1" t="str">
        <f>Input!C147</f>
        <v>Эфир целлюлозы Mecellose PMC 50 US или FMC 2094</v>
      </c>
      <c r="H484" s="26" t="s">
        <v>146</v>
      </c>
      <c r="I484" s="159">
        <f>Input!H147</f>
        <v>5.0000000000000001E-4</v>
      </c>
      <c r="L484" s="22">
        <f>$I484*L$475</f>
        <v>0</v>
      </c>
      <c r="M484" s="22">
        <f t="shared" ref="M484:V485" si="153">$I484*M$475</f>
        <v>0</v>
      </c>
      <c r="N484" s="22">
        <f t="shared" si="153"/>
        <v>7.9463541666666675</v>
      </c>
      <c r="O484" s="22">
        <f t="shared" si="153"/>
        <v>9.5356249999999996</v>
      </c>
      <c r="P484" s="22">
        <f t="shared" si="153"/>
        <v>9.56175</v>
      </c>
      <c r="Q484" s="22">
        <f t="shared" si="153"/>
        <v>9.5356249999999996</v>
      </c>
      <c r="R484" s="22">
        <f t="shared" si="153"/>
        <v>9.5356249999999996</v>
      </c>
      <c r="S484" s="22">
        <f t="shared" si="153"/>
        <v>9.5356249999999996</v>
      </c>
      <c r="T484" s="22">
        <f t="shared" si="153"/>
        <v>9.56175</v>
      </c>
      <c r="U484" s="22">
        <f t="shared" si="153"/>
        <v>9.5356249999999996</v>
      </c>
      <c r="V484" s="22">
        <f t="shared" si="153"/>
        <v>9.5356249999999996</v>
      </c>
      <c r="W484" s="22">
        <f t="shared" ref="W484:AF485" si="154">$I484*W$475</f>
        <v>9.5356249999999996</v>
      </c>
      <c r="X484" s="22">
        <f t="shared" si="154"/>
        <v>9.56175</v>
      </c>
      <c r="Y484" s="22">
        <f t="shared" si="154"/>
        <v>9.5356249999999996</v>
      </c>
      <c r="Z484" s="22">
        <f t="shared" si="154"/>
        <v>9.5356249999999996</v>
      </c>
      <c r="AA484" s="22">
        <f t="shared" si="154"/>
        <v>9.5356249999999996</v>
      </c>
      <c r="AB484" s="22">
        <f t="shared" si="154"/>
        <v>9.56175</v>
      </c>
      <c r="AC484" s="22">
        <f t="shared" si="154"/>
        <v>1.589270833333333</v>
      </c>
      <c r="AD484" s="22">
        <f t="shared" si="154"/>
        <v>0</v>
      </c>
      <c r="AE484" s="22">
        <f t="shared" si="154"/>
        <v>0</v>
      </c>
      <c r="AF484" s="22">
        <f t="shared" si="154"/>
        <v>0</v>
      </c>
      <c r="AG484" s="22">
        <f t="shared" ref="AG484:AN485" si="155">$I484*AG$475</f>
        <v>0</v>
      </c>
      <c r="AH484" s="22">
        <f t="shared" si="155"/>
        <v>0</v>
      </c>
      <c r="AI484" s="22">
        <f t="shared" si="155"/>
        <v>0</v>
      </c>
      <c r="AJ484" s="22">
        <f t="shared" si="155"/>
        <v>0</v>
      </c>
      <c r="AK484" s="22">
        <f t="shared" si="155"/>
        <v>0</v>
      </c>
      <c r="AL484" s="22">
        <f t="shared" si="155"/>
        <v>0</v>
      </c>
      <c r="AM484" s="22">
        <f t="shared" si="155"/>
        <v>0</v>
      </c>
      <c r="AN484" s="22">
        <f t="shared" si="155"/>
        <v>0</v>
      </c>
      <c r="AO484" s="28"/>
    </row>
    <row r="485" spans="3:41" ht="14.4" customHeight="1" outlineLevel="1" x14ac:dyDescent="0.3">
      <c r="D485" s="1" t="str">
        <f>Input!C148</f>
        <v>Редиспергируемый сополимерный порошок Neolith P 7200</v>
      </c>
      <c r="H485" s="26" t="s">
        <v>146</v>
      </c>
      <c r="I485" s="159">
        <f>Input!H148</f>
        <v>0</v>
      </c>
      <c r="L485" s="22">
        <f>$I485*L$475</f>
        <v>0</v>
      </c>
      <c r="M485" s="22">
        <f t="shared" si="153"/>
        <v>0</v>
      </c>
      <c r="N485" s="22">
        <f t="shared" si="153"/>
        <v>0</v>
      </c>
      <c r="O485" s="22">
        <f t="shared" si="153"/>
        <v>0</v>
      </c>
      <c r="P485" s="22">
        <f t="shared" si="153"/>
        <v>0</v>
      </c>
      <c r="Q485" s="22">
        <f t="shared" si="153"/>
        <v>0</v>
      </c>
      <c r="R485" s="22">
        <f t="shared" si="153"/>
        <v>0</v>
      </c>
      <c r="S485" s="22">
        <f t="shared" si="153"/>
        <v>0</v>
      </c>
      <c r="T485" s="22">
        <f t="shared" si="153"/>
        <v>0</v>
      </c>
      <c r="U485" s="22">
        <f t="shared" si="153"/>
        <v>0</v>
      </c>
      <c r="V485" s="22">
        <f t="shared" si="153"/>
        <v>0</v>
      </c>
      <c r="W485" s="22">
        <f t="shared" si="154"/>
        <v>0</v>
      </c>
      <c r="X485" s="22">
        <f t="shared" si="154"/>
        <v>0</v>
      </c>
      <c r="Y485" s="22">
        <f t="shared" si="154"/>
        <v>0</v>
      </c>
      <c r="Z485" s="22">
        <f t="shared" si="154"/>
        <v>0</v>
      </c>
      <c r="AA485" s="22">
        <f t="shared" si="154"/>
        <v>0</v>
      </c>
      <c r="AB485" s="22">
        <f t="shared" si="154"/>
        <v>0</v>
      </c>
      <c r="AC485" s="22">
        <f t="shared" si="154"/>
        <v>0</v>
      </c>
      <c r="AD485" s="22">
        <f t="shared" si="154"/>
        <v>0</v>
      </c>
      <c r="AE485" s="22">
        <f t="shared" si="154"/>
        <v>0</v>
      </c>
      <c r="AF485" s="22">
        <f t="shared" si="154"/>
        <v>0</v>
      </c>
      <c r="AG485" s="22">
        <f t="shared" si="155"/>
        <v>0</v>
      </c>
      <c r="AH485" s="22">
        <f t="shared" si="155"/>
        <v>0</v>
      </c>
      <c r="AI485" s="22">
        <f t="shared" si="155"/>
        <v>0</v>
      </c>
      <c r="AJ485" s="22">
        <f t="shared" si="155"/>
        <v>0</v>
      </c>
      <c r="AK485" s="22">
        <f t="shared" si="155"/>
        <v>0</v>
      </c>
      <c r="AL485" s="22">
        <f t="shared" si="155"/>
        <v>0</v>
      </c>
      <c r="AM485" s="22">
        <f t="shared" si="155"/>
        <v>0</v>
      </c>
      <c r="AN485" s="22">
        <f t="shared" si="155"/>
        <v>0</v>
      </c>
      <c r="AO485" s="28"/>
    </row>
    <row r="486" spans="3:41" ht="14.4" customHeight="1" outlineLevel="1" x14ac:dyDescent="0.3">
      <c r="D486" s="1" t="str">
        <f>Input!C149</f>
        <v>Порообразователь Esapon 1214</v>
      </c>
      <c r="H486" s="26" t="s">
        <v>146</v>
      </c>
      <c r="I486" s="159">
        <f>Input!H149</f>
        <v>1E-4</v>
      </c>
      <c r="L486" s="22">
        <f>$I486*L$475</f>
        <v>0</v>
      </c>
      <c r="M486" s="22">
        <f t="shared" ref="M486:AD486" si="156">$I486*M$475</f>
        <v>0</v>
      </c>
      <c r="N486" s="22">
        <f t="shared" si="156"/>
        <v>1.5892708333333334</v>
      </c>
      <c r="O486" s="22">
        <f t="shared" si="156"/>
        <v>1.9071250000000002</v>
      </c>
      <c r="P486" s="22">
        <f t="shared" si="156"/>
        <v>1.91235</v>
      </c>
      <c r="Q486" s="22">
        <f t="shared" si="156"/>
        <v>1.9071250000000002</v>
      </c>
      <c r="R486" s="22">
        <f t="shared" si="156"/>
        <v>1.9071250000000002</v>
      </c>
      <c r="S486" s="22">
        <f t="shared" si="156"/>
        <v>1.9071250000000002</v>
      </c>
      <c r="T486" s="22">
        <f t="shared" si="156"/>
        <v>1.91235</v>
      </c>
      <c r="U486" s="22">
        <f t="shared" si="156"/>
        <v>1.9071250000000002</v>
      </c>
      <c r="V486" s="22">
        <f t="shared" si="156"/>
        <v>1.9071250000000002</v>
      </c>
      <c r="W486" s="22">
        <f t="shared" si="156"/>
        <v>1.9071250000000002</v>
      </c>
      <c r="X486" s="22">
        <f t="shared" si="156"/>
        <v>1.91235</v>
      </c>
      <c r="Y486" s="22">
        <f t="shared" si="156"/>
        <v>1.9071250000000002</v>
      </c>
      <c r="Z486" s="22">
        <f t="shared" si="156"/>
        <v>1.9071250000000002</v>
      </c>
      <c r="AA486" s="22">
        <f t="shared" si="156"/>
        <v>1.9071250000000002</v>
      </c>
      <c r="AB486" s="22">
        <f t="shared" si="156"/>
        <v>1.91235</v>
      </c>
      <c r="AC486" s="22">
        <f t="shared" si="156"/>
        <v>0.3178541666666666</v>
      </c>
      <c r="AD486" s="22">
        <f t="shared" si="156"/>
        <v>0</v>
      </c>
      <c r="AE486" s="22">
        <f t="shared" ref="M486:AN492" si="157">$I486*AE$475</f>
        <v>0</v>
      </c>
      <c r="AF486" s="22">
        <f t="shared" si="157"/>
        <v>0</v>
      </c>
      <c r="AG486" s="22">
        <f t="shared" si="157"/>
        <v>0</v>
      </c>
      <c r="AH486" s="22">
        <f t="shared" si="157"/>
        <v>0</v>
      </c>
      <c r="AI486" s="22">
        <f t="shared" si="157"/>
        <v>0</v>
      </c>
      <c r="AJ486" s="22">
        <f t="shared" si="157"/>
        <v>0</v>
      </c>
      <c r="AK486" s="22">
        <f t="shared" si="157"/>
        <v>0</v>
      </c>
      <c r="AL486" s="22">
        <f t="shared" si="157"/>
        <v>0</v>
      </c>
      <c r="AM486" s="22">
        <f t="shared" si="157"/>
        <v>0</v>
      </c>
      <c r="AN486" s="22">
        <f t="shared" si="157"/>
        <v>0</v>
      </c>
      <c r="AO486" s="28"/>
    </row>
    <row r="487" spans="3:41" ht="14.4" customHeight="1" outlineLevel="1" x14ac:dyDescent="0.3">
      <c r="C487" s="2" t="s">
        <v>286</v>
      </c>
      <c r="H487" s="26"/>
      <c r="I487" s="160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28"/>
    </row>
    <row r="488" spans="3:41" ht="14.4" customHeight="1" outlineLevel="1" x14ac:dyDescent="0.3">
      <c r="D488" s="1" t="str">
        <f>Input!C151</f>
        <v>Портландцемент_после оптимизации</v>
      </c>
      <c r="H488" s="26" t="s">
        <v>146</v>
      </c>
      <c r="I488" s="159">
        <f>Input!H151</f>
        <v>0.24355000000000004</v>
      </c>
      <c r="L488" s="22">
        <f t="shared" ref="L488:AN488" si="158">$I488*L$475</f>
        <v>0</v>
      </c>
      <c r="M488" s="22">
        <f t="shared" si="158"/>
        <v>0</v>
      </c>
      <c r="N488" s="22">
        <f t="shared" si="158"/>
        <v>3870.6691145833342</v>
      </c>
      <c r="O488" s="22">
        <f t="shared" si="158"/>
        <v>4644.8029375000006</v>
      </c>
      <c r="P488" s="22">
        <f t="shared" si="158"/>
        <v>4657.5284250000004</v>
      </c>
      <c r="Q488" s="22">
        <f t="shared" si="158"/>
        <v>4644.8029375000006</v>
      </c>
      <c r="R488" s="22">
        <f t="shared" si="158"/>
        <v>4644.8029375000006</v>
      </c>
      <c r="S488" s="22">
        <f t="shared" si="158"/>
        <v>4644.8029375000006</v>
      </c>
      <c r="T488" s="22">
        <f t="shared" si="158"/>
        <v>4657.5284250000004</v>
      </c>
      <c r="U488" s="22">
        <f t="shared" si="158"/>
        <v>4644.8029375000006</v>
      </c>
      <c r="V488" s="22">
        <f t="shared" si="158"/>
        <v>4644.8029375000006</v>
      </c>
      <c r="W488" s="22">
        <f t="shared" si="158"/>
        <v>4644.8029375000006</v>
      </c>
      <c r="X488" s="22">
        <f t="shared" si="158"/>
        <v>4657.5284250000004</v>
      </c>
      <c r="Y488" s="22">
        <f t="shared" si="158"/>
        <v>4644.8029375000006</v>
      </c>
      <c r="Z488" s="22">
        <f t="shared" si="158"/>
        <v>4644.8029375000006</v>
      </c>
      <c r="AA488" s="22">
        <f t="shared" si="158"/>
        <v>4644.8029375000006</v>
      </c>
      <c r="AB488" s="22">
        <f t="shared" si="158"/>
        <v>4657.5284250000004</v>
      </c>
      <c r="AC488" s="22">
        <f t="shared" si="158"/>
        <v>774.13382291666665</v>
      </c>
      <c r="AD488" s="22">
        <f t="shared" si="158"/>
        <v>0</v>
      </c>
      <c r="AE488" s="22">
        <f t="shared" si="158"/>
        <v>0</v>
      </c>
      <c r="AF488" s="22">
        <f t="shared" si="158"/>
        <v>0</v>
      </c>
      <c r="AG488" s="22">
        <f t="shared" si="158"/>
        <v>0</v>
      </c>
      <c r="AH488" s="22">
        <f t="shared" si="158"/>
        <v>0</v>
      </c>
      <c r="AI488" s="22">
        <f t="shared" si="158"/>
        <v>0</v>
      </c>
      <c r="AJ488" s="22">
        <f t="shared" si="158"/>
        <v>0</v>
      </c>
      <c r="AK488" s="22">
        <f t="shared" si="158"/>
        <v>0</v>
      </c>
      <c r="AL488" s="22">
        <f t="shared" si="158"/>
        <v>0</v>
      </c>
      <c r="AM488" s="22">
        <f t="shared" si="158"/>
        <v>0</v>
      </c>
      <c r="AN488" s="22">
        <f t="shared" si="158"/>
        <v>0</v>
      </c>
      <c r="AO488" s="28"/>
    </row>
    <row r="489" spans="3:41" ht="14.4" customHeight="1" outlineLevel="1" x14ac:dyDescent="0.3">
      <c r="D489" s="1" t="str">
        <f>Input!C152</f>
        <v>Эфир крахмала Esamid NA</v>
      </c>
      <c r="H489" s="26" t="s">
        <v>146</v>
      </c>
      <c r="I489" s="159">
        <f>Input!H152</f>
        <v>5.0000000000000002E-5</v>
      </c>
      <c r="L489" s="22">
        <f>$I489*L$475</f>
        <v>0</v>
      </c>
      <c r="M489" s="22">
        <f t="shared" si="157"/>
        <v>0</v>
      </c>
      <c r="N489" s="22">
        <f t="shared" si="157"/>
        <v>0.79463541666666671</v>
      </c>
      <c r="O489" s="22">
        <f t="shared" si="157"/>
        <v>0.95356250000000009</v>
      </c>
      <c r="P489" s="22">
        <f t="shared" si="157"/>
        <v>0.956175</v>
      </c>
      <c r="Q489" s="22">
        <f t="shared" si="157"/>
        <v>0.95356250000000009</v>
      </c>
      <c r="R489" s="22">
        <f t="shared" si="157"/>
        <v>0.95356250000000009</v>
      </c>
      <c r="S489" s="22">
        <f t="shared" si="157"/>
        <v>0.95356250000000009</v>
      </c>
      <c r="T489" s="22">
        <f t="shared" si="157"/>
        <v>0.956175</v>
      </c>
      <c r="U489" s="22">
        <f t="shared" si="157"/>
        <v>0.95356250000000009</v>
      </c>
      <c r="V489" s="22">
        <f t="shared" si="157"/>
        <v>0.95356250000000009</v>
      </c>
      <c r="W489" s="22">
        <f t="shared" si="157"/>
        <v>0.95356250000000009</v>
      </c>
      <c r="X489" s="22">
        <f t="shared" si="157"/>
        <v>0.956175</v>
      </c>
      <c r="Y489" s="22">
        <f t="shared" si="157"/>
        <v>0.95356250000000009</v>
      </c>
      <c r="Z489" s="22">
        <f t="shared" si="157"/>
        <v>0.95356250000000009</v>
      </c>
      <c r="AA489" s="22">
        <f t="shared" si="157"/>
        <v>0.95356250000000009</v>
      </c>
      <c r="AB489" s="22">
        <f t="shared" si="157"/>
        <v>0.956175</v>
      </c>
      <c r="AC489" s="22">
        <f t="shared" si="157"/>
        <v>0.1589270833333333</v>
      </c>
      <c r="AD489" s="22">
        <f t="shared" si="157"/>
        <v>0</v>
      </c>
      <c r="AE489" s="22">
        <f t="shared" si="157"/>
        <v>0</v>
      </c>
      <c r="AF489" s="22">
        <f t="shared" si="157"/>
        <v>0</v>
      </c>
      <c r="AG489" s="22">
        <f t="shared" si="157"/>
        <v>0</v>
      </c>
      <c r="AH489" s="22">
        <f t="shared" si="157"/>
        <v>0</v>
      </c>
      <c r="AI489" s="22">
        <f t="shared" si="157"/>
        <v>0</v>
      </c>
      <c r="AJ489" s="22">
        <f t="shared" si="157"/>
        <v>0</v>
      </c>
      <c r="AK489" s="22">
        <f t="shared" si="157"/>
        <v>0</v>
      </c>
      <c r="AL489" s="22">
        <f t="shared" si="157"/>
        <v>0</v>
      </c>
      <c r="AM489" s="22">
        <f t="shared" si="157"/>
        <v>0</v>
      </c>
      <c r="AN489" s="22">
        <f t="shared" si="157"/>
        <v>0</v>
      </c>
      <c r="AO489" s="28"/>
    </row>
    <row r="490" spans="3:41" ht="14.4" customHeight="1" outlineLevel="1" x14ac:dyDescent="0.3">
      <c r="D490" s="1" t="str">
        <f>Input!C153</f>
        <v>Гидрофобизатор (олеат Na, стеараты)</v>
      </c>
      <c r="H490" s="26" t="s">
        <v>146</v>
      </c>
      <c r="I490" s="159">
        <f>Input!H153</f>
        <v>1E-3</v>
      </c>
      <c r="L490" s="22">
        <f>$I490*L$475</f>
        <v>0</v>
      </c>
      <c r="M490" s="22">
        <f t="shared" si="157"/>
        <v>0</v>
      </c>
      <c r="N490" s="22">
        <f t="shared" si="157"/>
        <v>15.892708333333335</v>
      </c>
      <c r="O490" s="22">
        <f t="shared" si="157"/>
        <v>19.071249999999999</v>
      </c>
      <c r="P490" s="22">
        <f t="shared" si="157"/>
        <v>19.1235</v>
      </c>
      <c r="Q490" s="22">
        <f t="shared" si="157"/>
        <v>19.071249999999999</v>
      </c>
      <c r="R490" s="22">
        <f t="shared" si="157"/>
        <v>19.071249999999999</v>
      </c>
      <c r="S490" s="22">
        <f t="shared" si="157"/>
        <v>19.071249999999999</v>
      </c>
      <c r="T490" s="22">
        <f t="shared" si="157"/>
        <v>19.1235</v>
      </c>
      <c r="U490" s="22">
        <f t="shared" si="157"/>
        <v>19.071249999999999</v>
      </c>
      <c r="V490" s="22">
        <f t="shared" si="157"/>
        <v>19.071249999999999</v>
      </c>
      <c r="W490" s="22">
        <f t="shared" si="157"/>
        <v>19.071249999999999</v>
      </c>
      <c r="X490" s="22">
        <f t="shared" si="157"/>
        <v>19.1235</v>
      </c>
      <c r="Y490" s="22">
        <f t="shared" si="157"/>
        <v>19.071249999999999</v>
      </c>
      <c r="Z490" s="22">
        <f t="shared" si="157"/>
        <v>19.071249999999999</v>
      </c>
      <c r="AA490" s="22">
        <f t="shared" si="157"/>
        <v>19.071249999999999</v>
      </c>
      <c r="AB490" s="22">
        <f t="shared" si="157"/>
        <v>19.1235</v>
      </c>
      <c r="AC490" s="22">
        <f t="shared" si="157"/>
        <v>3.1785416666666659</v>
      </c>
      <c r="AD490" s="22">
        <f t="shared" si="157"/>
        <v>0</v>
      </c>
      <c r="AE490" s="22">
        <f t="shared" si="157"/>
        <v>0</v>
      </c>
      <c r="AF490" s="22">
        <f t="shared" si="157"/>
        <v>0</v>
      </c>
      <c r="AG490" s="22">
        <f t="shared" si="157"/>
        <v>0</v>
      </c>
      <c r="AH490" s="22">
        <f t="shared" si="157"/>
        <v>0</v>
      </c>
      <c r="AI490" s="22">
        <f t="shared" si="157"/>
        <v>0</v>
      </c>
      <c r="AJ490" s="22">
        <f t="shared" si="157"/>
        <v>0</v>
      </c>
      <c r="AK490" s="22">
        <f t="shared" si="157"/>
        <v>0</v>
      </c>
      <c r="AL490" s="22">
        <f t="shared" si="157"/>
        <v>0</v>
      </c>
      <c r="AM490" s="22">
        <f t="shared" si="157"/>
        <v>0</v>
      </c>
      <c r="AN490" s="22">
        <f t="shared" si="157"/>
        <v>0</v>
      </c>
      <c r="AO490" s="28"/>
    </row>
    <row r="491" spans="3:41" ht="14.4" customHeight="1" outlineLevel="1" x14ac:dyDescent="0.3">
      <c r="D491" s="1" t="str">
        <f>Input!C154</f>
        <v>Суперпластификатор Melment F 10</v>
      </c>
      <c r="H491" s="26" t="s">
        <v>146</v>
      </c>
      <c r="I491" s="159">
        <f>Input!H154</f>
        <v>1E-3</v>
      </c>
      <c r="L491" s="22">
        <f>$I491*L$475</f>
        <v>0</v>
      </c>
      <c r="M491" s="22">
        <f t="shared" si="157"/>
        <v>0</v>
      </c>
      <c r="N491" s="22">
        <f t="shared" si="157"/>
        <v>15.892708333333335</v>
      </c>
      <c r="O491" s="22">
        <f t="shared" si="157"/>
        <v>19.071249999999999</v>
      </c>
      <c r="P491" s="22">
        <f t="shared" si="157"/>
        <v>19.1235</v>
      </c>
      <c r="Q491" s="22">
        <f t="shared" si="157"/>
        <v>19.071249999999999</v>
      </c>
      <c r="R491" s="22">
        <f t="shared" si="157"/>
        <v>19.071249999999999</v>
      </c>
      <c r="S491" s="22">
        <f t="shared" si="157"/>
        <v>19.071249999999999</v>
      </c>
      <c r="T491" s="22">
        <f t="shared" si="157"/>
        <v>19.1235</v>
      </c>
      <c r="U491" s="22">
        <f t="shared" si="157"/>
        <v>19.071249999999999</v>
      </c>
      <c r="V491" s="22">
        <f t="shared" si="157"/>
        <v>19.071249999999999</v>
      </c>
      <c r="W491" s="22">
        <f t="shared" si="157"/>
        <v>19.071249999999999</v>
      </c>
      <c r="X491" s="22">
        <f t="shared" si="157"/>
        <v>19.1235</v>
      </c>
      <c r="Y491" s="22">
        <f t="shared" si="157"/>
        <v>19.071249999999999</v>
      </c>
      <c r="Z491" s="22">
        <f t="shared" si="157"/>
        <v>19.071249999999999</v>
      </c>
      <c r="AA491" s="22">
        <f t="shared" si="157"/>
        <v>19.071249999999999</v>
      </c>
      <c r="AB491" s="22">
        <f t="shared" si="157"/>
        <v>19.1235</v>
      </c>
      <c r="AC491" s="22">
        <f t="shared" si="157"/>
        <v>3.1785416666666659</v>
      </c>
      <c r="AD491" s="22">
        <f t="shared" si="157"/>
        <v>0</v>
      </c>
      <c r="AE491" s="22">
        <f t="shared" si="157"/>
        <v>0</v>
      </c>
      <c r="AF491" s="22">
        <f t="shared" si="157"/>
        <v>0</v>
      </c>
      <c r="AG491" s="22">
        <f t="shared" si="157"/>
        <v>0</v>
      </c>
      <c r="AH491" s="22">
        <f t="shared" si="157"/>
        <v>0</v>
      </c>
      <c r="AI491" s="22">
        <f t="shared" si="157"/>
        <v>0</v>
      </c>
      <c r="AJ491" s="22">
        <f t="shared" si="157"/>
        <v>0</v>
      </c>
      <c r="AK491" s="22">
        <f t="shared" si="157"/>
        <v>0</v>
      </c>
      <c r="AL491" s="22">
        <f t="shared" si="157"/>
        <v>0</v>
      </c>
      <c r="AM491" s="22">
        <f t="shared" si="157"/>
        <v>0</v>
      </c>
      <c r="AN491" s="22">
        <f t="shared" si="157"/>
        <v>0</v>
      </c>
      <c r="AO491" s="28"/>
    </row>
    <row r="492" spans="3:41" ht="14.4" customHeight="1" outlineLevel="1" x14ac:dyDescent="0.3">
      <c r="D492" s="1" t="str">
        <f>Input!C155</f>
        <v>Ускоритель схватывания (формиат Са)</v>
      </c>
      <c r="H492" s="26" t="s">
        <v>146</v>
      </c>
      <c r="I492" s="159">
        <f>Input!H155</f>
        <v>5.0000000000000001E-3</v>
      </c>
      <c r="L492" s="22">
        <f>$I492*L$475</f>
        <v>0</v>
      </c>
      <c r="M492" s="22">
        <f t="shared" si="157"/>
        <v>0</v>
      </c>
      <c r="N492" s="22">
        <f t="shared" si="157"/>
        <v>79.463541666666671</v>
      </c>
      <c r="O492" s="22">
        <f t="shared" si="157"/>
        <v>95.356250000000003</v>
      </c>
      <c r="P492" s="22">
        <f t="shared" si="157"/>
        <v>95.617500000000007</v>
      </c>
      <c r="Q492" s="22">
        <f t="shared" si="157"/>
        <v>95.356250000000003</v>
      </c>
      <c r="R492" s="22">
        <f t="shared" si="157"/>
        <v>95.356250000000003</v>
      </c>
      <c r="S492" s="22">
        <f t="shared" si="157"/>
        <v>95.356250000000003</v>
      </c>
      <c r="T492" s="22">
        <f t="shared" si="157"/>
        <v>95.617500000000007</v>
      </c>
      <c r="U492" s="22">
        <f t="shared" si="157"/>
        <v>95.356250000000003</v>
      </c>
      <c r="V492" s="22">
        <f t="shared" si="157"/>
        <v>95.356250000000003</v>
      </c>
      <c r="W492" s="22">
        <f t="shared" si="157"/>
        <v>95.356250000000003</v>
      </c>
      <c r="X492" s="22">
        <f t="shared" si="157"/>
        <v>95.617500000000007</v>
      </c>
      <c r="Y492" s="22">
        <f t="shared" si="157"/>
        <v>95.356250000000003</v>
      </c>
      <c r="Z492" s="22">
        <f t="shared" si="157"/>
        <v>95.356250000000003</v>
      </c>
      <c r="AA492" s="22">
        <f t="shared" si="157"/>
        <v>95.356250000000003</v>
      </c>
      <c r="AB492" s="22">
        <f t="shared" si="157"/>
        <v>95.617500000000007</v>
      </c>
      <c r="AC492" s="22">
        <f t="shared" si="157"/>
        <v>15.892708333333331</v>
      </c>
      <c r="AD492" s="22">
        <f t="shared" si="157"/>
        <v>0</v>
      </c>
      <c r="AE492" s="22">
        <f t="shared" si="157"/>
        <v>0</v>
      </c>
      <c r="AF492" s="22">
        <f t="shared" si="157"/>
        <v>0</v>
      </c>
      <c r="AG492" s="22">
        <f t="shared" si="157"/>
        <v>0</v>
      </c>
      <c r="AH492" s="22">
        <f t="shared" si="157"/>
        <v>0</v>
      </c>
      <c r="AI492" s="22">
        <f t="shared" si="157"/>
        <v>0</v>
      </c>
      <c r="AJ492" s="22">
        <f t="shared" si="157"/>
        <v>0</v>
      </c>
      <c r="AK492" s="22">
        <f t="shared" si="157"/>
        <v>0</v>
      </c>
      <c r="AL492" s="22">
        <f t="shared" si="157"/>
        <v>0</v>
      </c>
      <c r="AM492" s="22">
        <f t="shared" si="157"/>
        <v>0</v>
      </c>
      <c r="AN492" s="22">
        <f t="shared" si="157"/>
        <v>0</v>
      </c>
      <c r="AO492" s="28"/>
    </row>
    <row r="493" spans="3:41" ht="14.4" customHeight="1" outlineLevel="1" x14ac:dyDescent="0.3">
      <c r="H493" s="26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28"/>
    </row>
    <row r="494" spans="3:41" ht="14.4" customHeight="1" outlineLevel="1" x14ac:dyDescent="0.3">
      <c r="C494" s="2" t="s">
        <v>192</v>
      </c>
      <c r="H494" s="26"/>
      <c r="I494" s="36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28"/>
    </row>
    <row r="495" spans="3:41" ht="14.4" customHeight="1" outlineLevel="1" x14ac:dyDescent="0.3">
      <c r="C495" s="2"/>
      <c r="D495" s="2" t="s">
        <v>246</v>
      </c>
      <c r="H495" s="26" t="s">
        <v>146</v>
      </c>
      <c r="I495" s="20">
        <f>SUM(L495:AN495)</f>
        <v>286277.75000000006</v>
      </c>
      <c r="L495" s="33">
        <f t="shared" ref="L495:AN495" si="159">L433</f>
        <v>0</v>
      </c>
      <c r="M495" s="33">
        <f t="shared" si="159"/>
        <v>0</v>
      </c>
      <c r="N495" s="33">
        <f t="shared" si="159"/>
        <v>15892.708333333334</v>
      </c>
      <c r="O495" s="33">
        <f t="shared" si="159"/>
        <v>19071.25</v>
      </c>
      <c r="P495" s="33">
        <f t="shared" si="159"/>
        <v>19123.5</v>
      </c>
      <c r="Q495" s="33">
        <f t="shared" si="159"/>
        <v>19071.25</v>
      </c>
      <c r="R495" s="33">
        <f t="shared" si="159"/>
        <v>19071.25</v>
      </c>
      <c r="S495" s="33">
        <f t="shared" si="159"/>
        <v>19071.25</v>
      </c>
      <c r="T495" s="33">
        <f t="shared" si="159"/>
        <v>19123.5</v>
      </c>
      <c r="U495" s="33">
        <f t="shared" si="159"/>
        <v>19071.25</v>
      </c>
      <c r="V495" s="33">
        <f t="shared" si="159"/>
        <v>19071.25</v>
      </c>
      <c r="W495" s="33">
        <f t="shared" si="159"/>
        <v>19071.25</v>
      </c>
      <c r="X495" s="33">
        <f t="shared" si="159"/>
        <v>19123.5</v>
      </c>
      <c r="Y495" s="33">
        <f t="shared" si="159"/>
        <v>19071.25</v>
      </c>
      <c r="Z495" s="33">
        <f t="shared" si="159"/>
        <v>19071.25</v>
      </c>
      <c r="AA495" s="33">
        <f t="shared" si="159"/>
        <v>19071.25</v>
      </c>
      <c r="AB495" s="33">
        <f t="shared" si="159"/>
        <v>19123.5</v>
      </c>
      <c r="AC495" s="33">
        <f t="shared" si="159"/>
        <v>3178.5416666666661</v>
      </c>
      <c r="AD495" s="33">
        <f t="shared" si="159"/>
        <v>0</v>
      </c>
      <c r="AE495" s="33">
        <f t="shared" si="159"/>
        <v>0</v>
      </c>
      <c r="AF495" s="33">
        <f t="shared" si="159"/>
        <v>0</v>
      </c>
      <c r="AG495" s="33">
        <f t="shared" si="159"/>
        <v>0</v>
      </c>
      <c r="AH495" s="33">
        <f t="shared" si="159"/>
        <v>0</v>
      </c>
      <c r="AI495" s="33">
        <f t="shared" si="159"/>
        <v>0</v>
      </c>
      <c r="AJ495" s="33">
        <f t="shared" si="159"/>
        <v>0</v>
      </c>
      <c r="AK495" s="33">
        <f t="shared" si="159"/>
        <v>0</v>
      </c>
      <c r="AL495" s="33">
        <f t="shared" si="159"/>
        <v>0</v>
      </c>
      <c r="AM495" s="33">
        <f t="shared" si="159"/>
        <v>0</v>
      </c>
      <c r="AN495" s="33">
        <f t="shared" si="159"/>
        <v>0</v>
      </c>
      <c r="AO495" s="28"/>
    </row>
    <row r="496" spans="3:41" ht="14.4" customHeight="1" outlineLevel="1" x14ac:dyDescent="0.3">
      <c r="C496" s="2"/>
      <c r="D496" s="1" t="str">
        <f>Input!C139</f>
        <v>Гашеная известь</v>
      </c>
      <c r="H496" s="26" t="s">
        <v>146</v>
      </c>
      <c r="I496" s="159">
        <f>Input!I139</f>
        <v>0.05</v>
      </c>
      <c r="L496" s="22">
        <f t="shared" ref="L496:AA496" si="160">$I496*L$495</f>
        <v>0</v>
      </c>
      <c r="M496" s="22">
        <f t="shared" si="160"/>
        <v>0</v>
      </c>
      <c r="N496" s="22">
        <f t="shared" si="160"/>
        <v>794.63541666666674</v>
      </c>
      <c r="O496" s="22">
        <f t="shared" si="160"/>
        <v>953.5625</v>
      </c>
      <c r="P496" s="22">
        <f t="shared" si="160"/>
        <v>956.17500000000007</v>
      </c>
      <c r="Q496" s="22">
        <f t="shared" si="160"/>
        <v>953.5625</v>
      </c>
      <c r="R496" s="22">
        <f t="shared" si="160"/>
        <v>953.5625</v>
      </c>
      <c r="S496" s="22">
        <f t="shared" si="160"/>
        <v>953.5625</v>
      </c>
      <c r="T496" s="22">
        <f t="shared" si="160"/>
        <v>956.17500000000007</v>
      </c>
      <c r="U496" s="22">
        <f t="shared" si="160"/>
        <v>953.5625</v>
      </c>
      <c r="V496" s="22">
        <f t="shared" si="160"/>
        <v>953.5625</v>
      </c>
      <c r="W496" s="22">
        <f t="shared" si="160"/>
        <v>953.5625</v>
      </c>
      <c r="X496" s="22">
        <f t="shared" si="160"/>
        <v>956.17500000000007</v>
      </c>
      <c r="Y496" s="22">
        <f t="shared" si="160"/>
        <v>953.5625</v>
      </c>
      <c r="Z496" s="22">
        <f t="shared" si="160"/>
        <v>953.5625</v>
      </c>
      <c r="AA496" s="22">
        <f t="shared" si="160"/>
        <v>953.5625</v>
      </c>
      <c r="AB496" s="22">
        <f t="shared" ref="M496:AN506" si="161">$I496*AB$495</f>
        <v>956.17500000000007</v>
      </c>
      <c r="AC496" s="22">
        <f t="shared" si="161"/>
        <v>158.92708333333331</v>
      </c>
      <c r="AD496" s="22">
        <f t="shared" si="161"/>
        <v>0</v>
      </c>
      <c r="AE496" s="22">
        <f t="shared" si="161"/>
        <v>0</v>
      </c>
      <c r="AF496" s="22">
        <f t="shared" si="161"/>
        <v>0</v>
      </c>
      <c r="AG496" s="22">
        <f t="shared" si="161"/>
        <v>0</v>
      </c>
      <c r="AH496" s="22">
        <f t="shared" si="161"/>
        <v>0</v>
      </c>
      <c r="AI496" s="22">
        <f t="shared" si="161"/>
        <v>0</v>
      </c>
      <c r="AJ496" s="22">
        <f t="shared" si="161"/>
        <v>0</v>
      </c>
      <c r="AK496" s="22">
        <f t="shared" si="161"/>
        <v>0</v>
      </c>
      <c r="AL496" s="22">
        <f t="shared" si="161"/>
        <v>0</v>
      </c>
      <c r="AM496" s="22">
        <f t="shared" si="161"/>
        <v>0</v>
      </c>
      <c r="AN496" s="22">
        <f t="shared" si="161"/>
        <v>0</v>
      </c>
      <c r="AO496" s="28"/>
    </row>
    <row r="497" spans="3:41" ht="14.4" customHeight="1" outlineLevel="1" x14ac:dyDescent="0.3">
      <c r="C497" s="2"/>
      <c r="D497" s="1" t="str">
        <f>Input!C140</f>
        <v>Известняковая мука</v>
      </c>
      <c r="H497" s="26" t="s">
        <v>146</v>
      </c>
      <c r="I497" s="159">
        <f>Input!I140</f>
        <v>0.1</v>
      </c>
      <c r="L497" s="22">
        <f>$I497*L$495</f>
        <v>0</v>
      </c>
      <c r="M497" s="22">
        <f t="shared" si="161"/>
        <v>0</v>
      </c>
      <c r="N497" s="22">
        <f t="shared" si="161"/>
        <v>1589.2708333333335</v>
      </c>
      <c r="O497" s="22">
        <f t="shared" si="161"/>
        <v>1907.125</v>
      </c>
      <c r="P497" s="22">
        <f t="shared" si="161"/>
        <v>1912.3500000000001</v>
      </c>
      <c r="Q497" s="22">
        <f t="shared" si="161"/>
        <v>1907.125</v>
      </c>
      <c r="R497" s="22">
        <f t="shared" si="161"/>
        <v>1907.125</v>
      </c>
      <c r="S497" s="22">
        <f t="shared" si="161"/>
        <v>1907.125</v>
      </c>
      <c r="T497" s="22">
        <f t="shared" si="161"/>
        <v>1912.3500000000001</v>
      </c>
      <c r="U497" s="22">
        <f t="shared" si="161"/>
        <v>1907.125</v>
      </c>
      <c r="V497" s="22">
        <f t="shared" si="161"/>
        <v>1907.125</v>
      </c>
      <c r="W497" s="22">
        <f t="shared" si="161"/>
        <v>1907.125</v>
      </c>
      <c r="X497" s="22">
        <f t="shared" si="161"/>
        <v>1912.3500000000001</v>
      </c>
      <c r="Y497" s="22">
        <f t="shared" si="161"/>
        <v>1907.125</v>
      </c>
      <c r="Z497" s="22">
        <f t="shared" si="161"/>
        <v>1907.125</v>
      </c>
      <c r="AA497" s="22">
        <f t="shared" si="161"/>
        <v>1907.125</v>
      </c>
      <c r="AB497" s="22">
        <f t="shared" si="161"/>
        <v>1912.3500000000001</v>
      </c>
      <c r="AC497" s="22">
        <f t="shared" si="161"/>
        <v>317.85416666666663</v>
      </c>
      <c r="AD497" s="22">
        <f t="shared" si="161"/>
        <v>0</v>
      </c>
      <c r="AE497" s="22">
        <f t="shared" si="161"/>
        <v>0</v>
      </c>
      <c r="AF497" s="22">
        <f t="shared" si="161"/>
        <v>0</v>
      </c>
      <c r="AG497" s="22">
        <f t="shared" si="161"/>
        <v>0</v>
      </c>
      <c r="AH497" s="22">
        <f t="shared" si="161"/>
        <v>0</v>
      </c>
      <c r="AI497" s="22">
        <f t="shared" si="161"/>
        <v>0</v>
      </c>
      <c r="AJ497" s="22">
        <f t="shared" si="161"/>
        <v>0</v>
      </c>
      <c r="AK497" s="22">
        <f t="shared" si="161"/>
        <v>0</v>
      </c>
      <c r="AL497" s="22">
        <f t="shared" si="161"/>
        <v>0</v>
      </c>
      <c r="AM497" s="22">
        <f t="shared" si="161"/>
        <v>0</v>
      </c>
      <c r="AN497" s="22">
        <f t="shared" si="161"/>
        <v>0</v>
      </c>
      <c r="AO497" s="28"/>
    </row>
    <row r="498" spans="3:41" ht="14.4" customHeight="1" outlineLevel="1" x14ac:dyDescent="0.3">
      <c r="C498" s="2"/>
      <c r="D498" s="1" t="str">
        <f>Input!C141</f>
        <v>Кварцевый песок 0,1-0,5 мм</v>
      </c>
      <c r="H498" s="26" t="s">
        <v>146</v>
      </c>
      <c r="I498" s="159">
        <f>Input!I141</f>
        <v>0</v>
      </c>
      <c r="L498" s="22">
        <f>$I498*L$495</f>
        <v>0</v>
      </c>
      <c r="M498" s="22">
        <f t="shared" si="161"/>
        <v>0</v>
      </c>
      <c r="N498" s="22">
        <f t="shared" si="161"/>
        <v>0</v>
      </c>
      <c r="O498" s="22">
        <f t="shared" si="161"/>
        <v>0</v>
      </c>
      <c r="P498" s="22">
        <f t="shared" si="161"/>
        <v>0</v>
      </c>
      <c r="Q498" s="22">
        <f t="shared" si="161"/>
        <v>0</v>
      </c>
      <c r="R498" s="22">
        <f t="shared" si="161"/>
        <v>0</v>
      </c>
      <c r="S498" s="22">
        <f t="shared" si="161"/>
        <v>0</v>
      </c>
      <c r="T498" s="22">
        <f t="shared" si="161"/>
        <v>0</v>
      </c>
      <c r="U498" s="22">
        <f t="shared" si="161"/>
        <v>0</v>
      </c>
      <c r="V498" s="22">
        <f t="shared" si="161"/>
        <v>0</v>
      </c>
      <c r="W498" s="22">
        <f t="shared" si="161"/>
        <v>0</v>
      </c>
      <c r="X498" s="22">
        <f t="shared" si="161"/>
        <v>0</v>
      </c>
      <c r="Y498" s="22">
        <f t="shared" si="161"/>
        <v>0</v>
      </c>
      <c r="Z498" s="22">
        <f t="shared" si="161"/>
        <v>0</v>
      </c>
      <c r="AA498" s="22">
        <f t="shared" si="161"/>
        <v>0</v>
      </c>
      <c r="AB498" s="22">
        <f t="shared" si="161"/>
        <v>0</v>
      </c>
      <c r="AC498" s="22">
        <f t="shared" si="161"/>
        <v>0</v>
      </c>
      <c r="AD498" s="22">
        <f t="shared" si="161"/>
        <v>0</v>
      </c>
      <c r="AE498" s="22">
        <f t="shared" si="161"/>
        <v>0</v>
      </c>
      <c r="AF498" s="22">
        <f t="shared" si="161"/>
        <v>0</v>
      </c>
      <c r="AG498" s="22">
        <f t="shared" si="161"/>
        <v>0</v>
      </c>
      <c r="AH498" s="22">
        <f t="shared" si="161"/>
        <v>0</v>
      </c>
      <c r="AI498" s="22">
        <f t="shared" si="161"/>
        <v>0</v>
      </c>
      <c r="AJ498" s="22">
        <f t="shared" si="161"/>
        <v>0</v>
      </c>
      <c r="AK498" s="22">
        <f t="shared" si="161"/>
        <v>0</v>
      </c>
      <c r="AL498" s="22">
        <f t="shared" si="161"/>
        <v>0</v>
      </c>
      <c r="AM498" s="22">
        <f t="shared" si="161"/>
        <v>0</v>
      </c>
      <c r="AN498" s="22">
        <f t="shared" si="161"/>
        <v>0</v>
      </c>
      <c r="AO498" s="28"/>
    </row>
    <row r="499" spans="3:41" ht="14.4" customHeight="1" outlineLevel="1" x14ac:dyDescent="0.3">
      <c r="C499" s="2"/>
      <c r="D499" s="1" t="str">
        <f>Input!C142</f>
        <v>Кварцевый песок 0,5-2,0 мм</v>
      </c>
      <c r="H499" s="26" t="s">
        <v>146</v>
      </c>
      <c r="I499" s="159">
        <f>Input!I142</f>
        <v>0</v>
      </c>
      <c r="L499" s="22">
        <f>$I499*L$495</f>
        <v>0</v>
      </c>
      <c r="M499" s="22">
        <f t="shared" si="161"/>
        <v>0</v>
      </c>
      <c r="N499" s="22">
        <f t="shared" si="161"/>
        <v>0</v>
      </c>
      <c r="O499" s="22">
        <f t="shared" si="161"/>
        <v>0</v>
      </c>
      <c r="P499" s="22">
        <f t="shared" si="161"/>
        <v>0</v>
      </c>
      <c r="Q499" s="22">
        <f t="shared" si="161"/>
        <v>0</v>
      </c>
      <c r="R499" s="22">
        <f t="shared" si="161"/>
        <v>0</v>
      </c>
      <c r="S499" s="22">
        <f t="shared" si="161"/>
        <v>0</v>
      </c>
      <c r="T499" s="22">
        <f t="shared" si="161"/>
        <v>0</v>
      </c>
      <c r="U499" s="22">
        <f t="shared" si="161"/>
        <v>0</v>
      </c>
      <c r="V499" s="22">
        <f t="shared" si="161"/>
        <v>0</v>
      </c>
      <c r="W499" s="22">
        <f t="shared" si="161"/>
        <v>0</v>
      </c>
      <c r="X499" s="22">
        <f t="shared" si="161"/>
        <v>0</v>
      </c>
      <c r="Y499" s="22">
        <f t="shared" si="161"/>
        <v>0</v>
      </c>
      <c r="Z499" s="22">
        <f t="shared" si="161"/>
        <v>0</v>
      </c>
      <c r="AA499" s="22">
        <f t="shared" si="161"/>
        <v>0</v>
      </c>
      <c r="AB499" s="22">
        <f t="shared" si="161"/>
        <v>0</v>
      </c>
      <c r="AC499" s="22">
        <f t="shared" si="161"/>
        <v>0</v>
      </c>
      <c r="AD499" s="22">
        <f t="shared" si="161"/>
        <v>0</v>
      </c>
      <c r="AE499" s="22">
        <f t="shared" si="161"/>
        <v>0</v>
      </c>
      <c r="AF499" s="22">
        <f t="shared" si="161"/>
        <v>0</v>
      </c>
      <c r="AG499" s="22">
        <f t="shared" si="161"/>
        <v>0</v>
      </c>
      <c r="AH499" s="22">
        <f t="shared" si="161"/>
        <v>0</v>
      </c>
      <c r="AI499" s="22">
        <f t="shared" si="161"/>
        <v>0</v>
      </c>
      <c r="AJ499" s="22">
        <f t="shared" si="161"/>
        <v>0</v>
      </c>
      <c r="AK499" s="22">
        <f t="shared" si="161"/>
        <v>0</v>
      </c>
      <c r="AL499" s="22">
        <f t="shared" si="161"/>
        <v>0</v>
      </c>
      <c r="AM499" s="22">
        <f t="shared" si="161"/>
        <v>0</v>
      </c>
      <c r="AN499" s="22">
        <f t="shared" si="161"/>
        <v>0</v>
      </c>
      <c r="AO499" s="28"/>
    </row>
    <row r="500" spans="3:41" ht="14.4" customHeight="1" outlineLevel="1" x14ac:dyDescent="0.3">
      <c r="C500" s="2"/>
      <c r="D500" s="1" t="str">
        <f>Input!C143</f>
        <v>Кварцевый или известняковый песок 0-4 мм</v>
      </c>
      <c r="H500" s="26" t="s">
        <v>146</v>
      </c>
      <c r="I500" s="159">
        <f>Input!I143</f>
        <v>0</v>
      </c>
      <c r="L500" s="22">
        <f>$I500*L$495</f>
        <v>0</v>
      </c>
      <c r="M500" s="22">
        <f t="shared" si="161"/>
        <v>0</v>
      </c>
      <c r="N500" s="22">
        <f t="shared" si="161"/>
        <v>0</v>
      </c>
      <c r="O500" s="22">
        <f t="shared" si="161"/>
        <v>0</v>
      </c>
      <c r="P500" s="22">
        <f t="shared" si="161"/>
        <v>0</v>
      </c>
      <c r="Q500" s="22">
        <f t="shared" si="161"/>
        <v>0</v>
      </c>
      <c r="R500" s="22">
        <f t="shared" si="161"/>
        <v>0</v>
      </c>
      <c r="S500" s="22">
        <f t="shared" si="161"/>
        <v>0</v>
      </c>
      <c r="T500" s="22">
        <f t="shared" si="161"/>
        <v>0</v>
      </c>
      <c r="U500" s="22">
        <f t="shared" si="161"/>
        <v>0</v>
      </c>
      <c r="V500" s="22">
        <f t="shared" si="161"/>
        <v>0</v>
      </c>
      <c r="W500" s="22">
        <f t="shared" si="161"/>
        <v>0</v>
      </c>
      <c r="X500" s="22">
        <f t="shared" si="161"/>
        <v>0</v>
      </c>
      <c r="Y500" s="22">
        <f t="shared" si="161"/>
        <v>0</v>
      </c>
      <c r="Z500" s="22">
        <f t="shared" si="161"/>
        <v>0</v>
      </c>
      <c r="AA500" s="22">
        <f t="shared" si="161"/>
        <v>0</v>
      </c>
      <c r="AB500" s="22">
        <f t="shared" si="161"/>
        <v>0</v>
      </c>
      <c r="AC500" s="22">
        <f t="shared" si="161"/>
        <v>0</v>
      </c>
      <c r="AD500" s="22">
        <f t="shared" si="161"/>
        <v>0</v>
      </c>
      <c r="AE500" s="22">
        <f t="shared" si="161"/>
        <v>0</v>
      </c>
      <c r="AF500" s="22">
        <f t="shared" si="161"/>
        <v>0</v>
      </c>
      <c r="AG500" s="22">
        <f t="shared" si="161"/>
        <v>0</v>
      </c>
      <c r="AH500" s="22">
        <f t="shared" si="161"/>
        <v>0</v>
      </c>
      <c r="AI500" s="22">
        <f t="shared" si="161"/>
        <v>0</v>
      </c>
      <c r="AJ500" s="22">
        <f t="shared" si="161"/>
        <v>0</v>
      </c>
      <c r="AK500" s="22">
        <f t="shared" si="161"/>
        <v>0</v>
      </c>
      <c r="AL500" s="22">
        <f t="shared" si="161"/>
        <v>0</v>
      </c>
      <c r="AM500" s="22">
        <f t="shared" si="161"/>
        <v>0</v>
      </c>
      <c r="AN500" s="22">
        <f t="shared" si="161"/>
        <v>0</v>
      </c>
      <c r="AO500" s="28"/>
    </row>
    <row r="501" spans="3:41" ht="14.4" customHeight="1" outlineLevel="1" x14ac:dyDescent="0.3">
      <c r="C501" s="2"/>
      <c r="D501" s="1" t="str">
        <f>Input!C144</f>
        <v>Керамзит 0-4 мм</v>
      </c>
      <c r="H501" s="26" t="s">
        <v>146</v>
      </c>
      <c r="I501" s="159">
        <f>Input!I144</f>
        <v>0.4491</v>
      </c>
      <c r="L501" s="22">
        <f>$I501*L$495</f>
        <v>0</v>
      </c>
      <c r="M501" s="22">
        <f t="shared" si="161"/>
        <v>0</v>
      </c>
      <c r="N501" s="22">
        <f t="shared" si="161"/>
        <v>7137.4153125000003</v>
      </c>
      <c r="O501" s="22">
        <f t="shared" si="161"/>
        <v>8564.8983750000007</v>
      </c>
      <c r="P501" s="22">
        <f t="shared" si="161"/>
        <v>8588.3638499999997</v>
      </c>
      <c r="Q501" s="22">
        <f t="shared" si="161"/>
        <v>8564.8983750000007</v>
      </c>
      <c r="R501" s="22">
        <f t="shared" si="161"/>
        <v>8564.8983750000007</v>
      </c>
      <c r="S501" s="22">
        <f t="shared" si="161"/>
        <v>8564.8983750000007</v>
      </c>
      <c r="T501" s="22">
        <f t="shared" si="161"/>
        <v>8588.3638499999997</v>
      </c>
      <c r="U501" s="22">
        <f t="shared" si="161"/>
        <v>8564.8983750000007</v>
      </c>
      <c r="V501" s="22">
        <f t="shared" si="161"/>
        <v>8564.8983750000007</v>
      </c>
      <c r="W501" s="22">
        <f t="shared" si="161"/>
        <v>8564.8983750000007</v>
      </c>
      <c r="X501" s="22">
        <f t="shared" si="161"/>
        <v>8588.3638499999997</v>
      </c>
      <c r="Y501" s="22">
        <f t="shared" si="161"/>
        <v>8564.8983750000007</v>
      </c>
      <c r="Z501" s="22">
        <f t="shared" si="161"/>
        <v>8564.8983750000007</v>
      </c>
      <c r="AA501" s="22">
        <f t="shared" si="161"/>
        <v>8564.8983750000007</v>
      </c>
      <c r="AB501" s="22">
        <f t="shared" si="161"/>
        <v>8588.3638499999997</v>
      </c>
      <c r="AC501" s="22">
        <f t="shared" si="161"/>
        <v>1427.4830624999997</v>
      </c>
      <c r="AD501" s="22">
        <f t="shared" si="161"/>
        <v>0</v>
      </c>
      <c r="AE501" s="22">
        <f t="shared" si="161"/>
        <v>0</v>
      </c>
      <c r="AF501" s="22">
        <f t="shared" si="161"/>
        <v>0</v>
      </c>
      <c r="AG501" s="22">
        <f t="shared" si="161"/>
        <v>0</v>
      </c>
      <c r="AH501" s="22">
        <f t="shared" si="161"/>
        <v>0</v>
      </c>
      <c r="AI501" s="22">
        <f t="shared" si="161"/>
        <v>0</v>
      </c>
      <c r="AJ501" s="22">
        <f t="shared" si="161"/>
        <v>0</v>
      </c>
      <c r="AK501" s="22">
        <f t="shared" si="161"/>
        <v>0</v>
      </c>
      <c r="AL501" s="22">
        <f t="shared" si="161"/>
        <v>0</v>
      </c>
      <c r="AM501" s="22">
        <f t="shared" si="161"/>
        <v>0</v>
      </c>
      <c r="AN501" s="22">
        <f t="shared" si="161"/>
        <v>0</v>
      </c>
      <c r="AO501" s="28"/>
    </row>
    <row r="502" spans="3:41" ht="14.4" customHeight="1" outlineLevel="1" x14ac:dyDescent="0.3">
      <c r="C502" s="2" t="s">
        <v>285</v>
      </c>
      <c r="H502" s="26"/>
      <c r="I502" s="160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28"/>
    </row>
    <row r="503" spans="3:41" ht="14.4" customHeight="1" outlineLevel="1" x14ac:dyDescent="0.3">
      <c r="C503" s="2"/>
      <c r="D503" s="1" t="str">
        <f>Input!C146</f>
        <v>Портландцемент_до оптимизации</v>
      </c>
      <c r="H503" s="26" t="s">
        <v>146</v>
      </c>
      <c r="I503" s="159">
        <f>Input!I146</f>
        <v>0.4</v>
      </c>
      <c r="L503" s="22">
        <f t="shared" ref="L503:AN503" si="162">$I503*L$495</f>
        <v>0</v>
      </c>
      <c r="M503" s="22">
        <f t="shared" si="162"/>
        <v>0</v>
      </c>
      <c r="N503" s="22">
        <f t="shared" si="162"/>
        <v>6357.0833333333339</v>
      </c>
      <c r="O503" s="22">
        <f t="shared" si="162"/>
        <v>7628.5</v>
      </c>
      <c r="P503" s="22">
        <f t="shared" si="162"/>
        <v>7649.4000000000005</v>
      </c>
      <c r="Q503" s="22">
        <f t="shared" si="162"/>
        <v>7628.5</v>
      </c>
      <c r="R503" s="22">
        <f t="shared" si="162"/>
        <v>7628.5</v>
      </c>
      <c r="S503" s="22">
        <f t="shared" si="162"/>
        <v>7628.5</v>
      </c>
      <c r="T503" s="22">
        <f t="shared" si="162"/>
        <v>7649.4000000000005</v>
      </c>
      <c r="U503" s="22">
        <f t="shared" si="162"/>
        <v>7628.5</v>
      </c>
      <c r="V503" s="22">
        <f t="shared" si="162"/>
        <v>7628.5</v>
      </c>
      <c r="W503" s="22">
        <f t="shared" si="162"/>
        <v>7628.5</v>
      </c>
      <c r="X503" s="22">
        <f t="shared" si="162"/>
        <v>7649.4000000000005</v>
      </c>
      <c r="Y503" s="22">
        <f t="shared" si="162"/>
        <v>7628.5</v>
      </c>
      <c r="Z503" s="22">
        <f t="shared" si="162"/>
        <v>7628.5</v>
      </c>
      <c r="AA503" s="22">
        <f t="shared" si="162"/>
        <v>7628.5</v>
      </c>
      <c r="AB503" s="22">
        <f t="shared" si="162"/>
        <v>7649.4000000000005</v>
      </c>
      <c r="AC503" s="22">
        <f t="shared" si="162"/>
        <v>1271.4166666666665</v>
      </c>
      <c r="AD503" s="22">
        <f t="shared" si="162"/>
        <v>0</v>
      </c>
      <c r="AE503" s="22">
        <f t="shared" si="162"/>
        <v>0</v>
      </c>
      <c r="AF503" s="22">
        <f t="shared" si="162"/>
        <v>0</v>
      </c>
      <c r="AG503" s="22">
        <f t="shared" si="162"/>
        <v>0</v>
      </c>
      <c r="AH503" s="22">
        <f t="shared" si="162"/>
        <v>0</v>
      </c>
      <c r="AI503" s="22">
        <f t="shared" si="162"/>
        <v>0</v>
      </c>
      <c r="AJ503" s="22">
        <f t="shared" si="162"/>
        <v>0</v>
      </c>
      <c r="AK503" s="22">
        <f t="shared" si="162"/>
        <v>0</v>
      </c>
      <c r="AL503" s="22">
        <f t="shared" si="162"/>
        <v>0</v>
      </c>
      <c r="AM503" s="22">
        <f t="shared" si="162"/>
        <v>0</v>
      </c>
      <c r="AN503" s="22">
        <f t="shared" si="162"/>
        <v>0</v>
      </c>
      <c r="AO503" s="28"/>
    </row>
    <row r="504" spans="3:41" ht="14.4" customHeight="1" outlineLevel="1" x14ac:dyDescent="0.3">
      <c r="C504" s="2"/>
      <c r="D504" s="1" t="str">
        <f>Input!C147</f>
        <v>Эфир целлюлозы Mecellose PMC 50 US или FMC 2094</v>
      </c>
      <c r="H504" s="26" t="s">
        <v>146</v>
      </c>
      <c r="I504" s="159">
        <f>Input!I147</f>
        <v>6.9999999999999999E-4</v>
      </c>
      <c r="L504" s="22">
        <f>$I504*L$495</f>
        <v>0</v>
      </c>
      <c r="M504" s="22">
        <f t="shared" si="161"/>
        <v>0</v>
      </c>
      <c r="N504" s="22">
        <f t="shared" si="161"/>
        <v>11.124895833333333</v>
      </c>
      <c r="O504" s="22">
        <f t="shared" si="161"/>
        <v>13.349874999999999</v>
      </c>
      <c r="P504" s="22">
        <f t="shared" si="161"/>
        <v>13.38645</v>
      </c>
      <c r="Q504" s="22">
        <f t="shared" si="161"/>
        <v>13.349874999999999</v>
      </c>
      <c r="R504" s="22">
        <f t="shared" si="161"/>
        <v>13.349874999999999</v>
      </c>
      <c r="S504" s="22">
        <f t="shared" si="161"/>
        <v>13.349874999999999</v>
      </c>
      <c r="T504" s="22">
        <f t="shared" si="161"/>
        <v>13.38645</v>
      </c>
      <c r="U504" s="22">
        <f t="shared" si="161"/>
        <v>13.349874999999999</v>
      </c>
      <c r="V504" s="22">
        <f t="shared" si="161"/>
        <v>13.349874999999999</v>
      </c>
      <c r="W504" s="22">
        <f t="shared" si="161"/>
        <v>13.349874999999999</v>
      </c>
      <c r="X504" s="22">
        <f t="shared" si="161"/>
        <v>13.38645</v>
      </c>
      <c r="Y504" s="22">
        <f t="shared" si="161"/>
        <v>13.349874999999999</v>
      </c>
      <c r="Z504" s="22">
        <f t="shared" si="161"/>
        <v>13.349874999999999</v>
      </c>
      <c r="AA504" s="22">
        <f t="shared" si="161"/>
        <v>13.349874999999999</v>
      </c>
      <c r="AB504" s="22">
        <f t="shared" si="161"/>
        <v>13.38645</v>
      </c>
      <c r="AC504" s="22">
        <f t="shared" si="161"/>
        <v>2.2249791666666661</v>
      </c>
      <c r="AD504" s="22">
        <f t="shared" si="161"/>
        <v>0</v>
      </c>
      <c r="AE504" s="22">
        <f t="shared" si="161"/>
        <v>0</v>
      </c>
      <c r="AF504" s="22">
        <f t="shared" si="161"/>
        <v>0</v>
      </c>
      <c r="AG504" s="22">
        <f t="shared" si="161"/>
        <v>0</v>
      </c>
      <c r="AH504" s="22">
        <f t="shared" si="161"/>
        <v>0</v>
      </c>
      <c r="AI504" s="22">
        <f t="shared" si="161"/>
        <v>0</v>
      </c>
      <c r="AJ504" s="22">
        <f t="shared" si="161"/>
        <v>0</v>
      </c>
      <c r="AK504" s="22">
        <f t="shared" si="161"/>
        <v>0</v>
      </c>
      <c r="AL504" s="22">
        <f t="shared" si="161"/>
        <v>0</v>
      </c>
      <c r="AM504" s="22">
        <f t="shared" si="161"/>
        <v>0</v>
      </c>
      <c r="AN504" s="22">
        <f t="shared" si="161"/>
        <v>0</v>
      </c>
      <c r="AO504" s="28"/>
    </row>
    <row r="505" spans="3:41" ht="14.4" customHeight="1" outlineLevel="1" x14ac:dyDescent="0.3">
      <c r="C505" s="2"/>
      <c r="D505" s="1" t="str">
        <f>Input!C148</f>
        <v>Редиспергируемый сополимерный порошок Neolith P 7200</v>
      </c>
      <c r="H505" s="26" t="s">
        <v>146</v>
      </c>
      <c r="I505" s="159">
        <f>Input!I148</f>
        <v>0</v>
      </c>
      <c r="L505" s="22">
        <f>$I505*L$495</f>
        <v>0</v>
      </c>
      <c r="M505" s="22">
        <f t="shared" si="161"/>
        <v>0</v>
      </c>
      <c r="N505" s="22">
        <f t="shared" si="161"/>
        <v>0</v>
      </c>
      <c r="O505" s="22">
        <f t="shared" si="161"/>
        <v>0</v>
      </c>
      <c r="P505" s="22">
        <f t="shared" si="161"/>
        <v>0</v>
      </c>
      <c r="Q505" s="22">
        <f t="shared" si="161"/>
        <v>0</v>
      </c>
      <c r="R505" s="22">
        <f t="shared" si="161"/>
        <v>0</v>
      </c>
      <c r="S505" s="22">
        <f t="shared" si="161"/>
        <v>0</v>
      </c>
      <c r="T505" s="22">
        <f t="shared" si="161"/>
        <v>0</v>
      </c>
      <c r="U505" s="22">
        <f t="shared" si="161"/>
        <v>0</v>
      </c>
      <c r="V505" s="22">
        <f t="shared" si="161"/>
        <v>0</v>
      </c>
      <c r="W505" s="22">
        <f t="shared" si="161"/>
        <v>0</v>
      </c>
      <c r="X505" s="22">
        <f t="shared" si="161"/>
        <v>0</v>
      </c>
      <c r="Y505" s="22">
        <f t="shared" si="161"/>
        <v>0</v>
      </c>
      <c r="Z505" s="22">
        <f t="shared" si="161"/>
        <v>0</v>
      </c>
      <c r="AA505" s="22">
        <f t="shared" si="161"/>
        <v>0</v>
      </c>
      <c r="AB505" s="22">
        <f t="shared" si="161"/>
        <v>0</v>
      </c>
      <c r="AC505" s="22">
        <f t="shared" si="161"/>
        <v>0</v>
      </c>
      <c r="AD505" s="22">
        <f t="shared" si="161"/>
        <v>0</v>
      </c>
      <c r="AE505" s="22">
        <f t="shared" si="161"/>
        <v>0</v>
      </c>
      <c r="AF505" s="22">
        <f t="shared" si="161"/>
        <v>0</v>
      </c>
      <c r="AG505" s="22">
        <f t="shared" si="161"/>
        <v>0</v>
      </c>
      <c r="AH505" s="22">
        <f t="shared" si="161"/>
        <v>0</v>
      </c>
      <c r="AI505" s="22">
        <f t="shared" si="161"/>
        <v>0</v>
      </c>
      <c r="AJ505" s="22">
        <f t="shared" si="161"/>
        <v>0</v>
      </c>
      <c r="AK505" s="22">
        <f t="shared" si="161"/>
        <v>0</v>
      </c>
      <c r="AL505" s="22">
        <f t="shared" si="161"/>
        <v>0</v>
      </c>
      <c r="AM505" s="22">
        <f t="shared" si="161"/>
        <v>0</v>
      </c>
      <c r="AN505" s="22">
        <f t="shared" si="161"/>
        <v>0</v>
      </c>
      <c r="AO505" s="28"/>
    </row>
    <row r="506" spans="3:41" ht="14.4" customHeight="1" outlineLevel="1" x14ac:dyDescent="0.3">
      <c r="C506" s="2"/>
      <c r="D506" s="1" t="str">
        <f>Input!C149</f>
        <v>Порообразователь Esapon 1214</v>
      </c>
      <c r="H506" s="26" t="s">
        <v>146</v>
      </c>
      <c r="I506" s="159">
        <f>Input!I149</f>
        <v>2.0000000000000001E-4</v>
      </c>
      <c r="L506" s="22">
        <f>$I506*L$495</f>
        <v>0</v>
      </c>
      <c r="M506" s="22">
        <f t="shared" si="161"/>
        <v>0</v>
      </c>
      <c r="N506" s="22">
        <f t="shared" si="161"/>
        <v>3.1785416666666668</v>
      </c>
      <c r="O506" s="22">
        <f t="shared" si="161"/>
        <v>3.8142500000000004</v>
      </c>
      <c r="P506" s="22">
        <f t="shared" si="161"/>
        <v>3.8247</v>
      </c>
      <c r="Q506" s="22">
        <f t="shared" si="161"/>
        <v>3.8142500000000004</v>
      </c>
      <c r="R506" s="22">
        <f t="shared" si="161"/>
        <v>3.8142500000000004</v>
      </c>
      <c r="S506" s="22">
        <f t="shared" si="161"/>
        <v>3.8142500000000004</v>
      </c>
      <c r="T506" s="22">
        <f t="shared" si="161"/>
        <v>3.8247</v>
      </c>
      <c r="U506" s="22">
        <f t="shared" si="161"/>
        <v>3.8142500000000004</v>
      </c>
      <c r="V506" s="22">
        <f t="shared" si="161"/>
        <v>3.8142500000000004</v>
      </c>
      <c r="W506" s="22">
        <f t="shared" si="161"/>
        <v>3.8142500000000004</v>
      </c>
      <c r="X506" s="22">
        <f t="shared" si="161"/>
        <v>3.8247</v>
      </c>
      <c r="Y506" s="22">
        <f t="shared" si="161"/>
        <v>3.8142500000000004</v>
      </c>
      <c r="Z506" s="22">
        <f t="shared" si="161"/>
        <v>3.8142500000000004</v>
      </c>
      <c r="AA506" s="22">
        <f t="shared" si="161"/>
        <v>3.8142500000000004</v>
      </c>
      <c r="AB506" s="22">
        <f t="shared" si="161"/>
        <v>3.8247</v>
      </c>
      <c r="AC506" s="22">
        <f t="shared" si="161"/>
        <v>0.63570833333333321</v>
      </c>
      <c r="AD506" s="22">
        <f t="shared" si="161"/>
        <v>0</v>
      </c>
      <c r="AE506" s="22">
        <f t="shared" ref="AE506:AN506" si="163">$I506*AE$495</f>
        <v>0</v>
      </c>
      <c r="AF506" s="22">
        <f t="shared" si="163"/>
        <v>0</v>
      </c>
      <c r="AG506" s="22">
        <f t="shared" si="163"/>
        <v>0</v>
      </c>
      <c r="AH506" s="22">
        <f t="shared" si="163"/>
        <v>0</v>
      </c>
      <c r="AI506" s="22">
        <f t="shared" si="163"/>
        <v>0</v>
      </c>
      <c r="AJ506" s="22">
        <f t="shared" si="163"/>
        <v>0</v>
      </c>
      <c r="AK506" s="22">
        <f t="shared" si="163"/>
        <v>0</v>
      </c>
      <c r="AL506" s="22">
        <f t="shared" si="163"/>
        <v>0</v>
      </c>
      <c r="AM506" s="22">
        <f t="shared" si="163"/>
        <v>0</v>
      </c>
      <c r="AN506" s="22">
        <f t="shared" si="163"/>
        <v>0</v>
      </c>
      <c r="AO506" s="28"/>
    </row>
    <row r="507" spans="3:41" ht="14.4" customHeight="1" outlineLevel="1" x14ac:dyDescent="0.3">
      <c r="C507" s="2" t="s">
        <v>286</v>
      </c>
      <c r="H507" s="26"/>
      <c r="I507" s="160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28"/>
    </row>
    <row r="508" spans="3:41" ht="14.4" customHeight="1" outlineLevel="1" x14ac:dyDescent="0.3">
      <c r="C508" s="2"/>
      <c r="D508" s="1" t="str">
        <f>Input!C151</f>
        <v>Портландцемент_после оптимизации</v>
      </c>
      <c r="H508" s="26" t="s">
        <v>146</v>
      </c>
      <c r="I508" s="159">
        <f>Input!I151</f>
        <v>0.39385000000000003</v>
      </c>
      <c r="L508" s="22">
        <f>$I508*L$495</f>
        <v>0</v>
      </c>
      <c r="M508" s="22">
        <f t="shared" ref="M508:AN508" si="164">$I508*M$495</f>
        <v>0</v>
      </c>
      <c r="N508" s="22">
        <f t="shared" si="164"/>
        <v>6259.343177083334</v>
      </c>
      <c r="O508" s="22">
        <f t="shared" si="164"/>
        <v>7511.2118125000006</v>
      </c>
      <c r="P508" s="22">
        <f t="shared" si="164"/>
        <v>7531.7904750000007</v>
      </c>
      <c r="Q508" s="22">
        <f t="shared" si="164"/>
        <v>7511.2118125000006</v>
      </c>
      <c r="R508" s="22">
        <f t="shared" si="164"/>
        <v>7511.2118125000006</v>
      </c>
      <c r="S508" s="22">
        <f t="shared" si="164"/>
        <v>7511.2118125000006</v>
      </c>
      <c r="T508" s="22">
        <f t="shared" si="164"/>
        <v>7531.7904750000007</v>
      </c>
      <c r="U508" s="22">
        <f t="shared" si="164"/>
        <v>7511.2118125000006</v>
      </c>
      <c r="V508" s="22">
        <f t="shared" si="164"/>
        <v>7511.2118125000006</v>
      </c>
      <c r="W508" s="22">
        <f t="shared" si="164"/>
        <v>7511.2118125000006</v>
      </c>
      <c r="X508" s="22">
        <f t="shared" si="164"/>
        <v>7531.7904750000007</v>
      </c>
      <c r="Y508" s="22">
        <f t="shared" si="164"/>
        <v>7511.2118125000006</v>
      </c>
      <c r="Z508" s="22">
        <f t="shared" si="164"/>
        <v>7511.2118125000006</v>
      </c>
      <c r="AA508" s="22">
        <f t="shared" si="164"/>
        <v>7511.2118125000006</v>
      </c>
      <c r="AB508" s="22">
        <f t="shared" si="164"/>
        <v>7531.7904750000007</v>
      </c>
      <c r="AC508" s="22">
        <f t="shared" si="164"/>
        <v>1251.8686354166666</v>
      </c>
      <c r="AD508" s="22">
        <f t="shared" si="164"/>
        <v>0</v>
      </c>
      <c r="AE508" s="22">
        <f t="shared" si="164"/>
        <v>0</v>
      </c>
      <c r="AF508" s="22">
        <f t="shared" si="164"/>
        <v>0</v>
      </c>
      <c r="AG508" s="22">
        <f t="shared" si="164"/>
        <v>0</v>
      </c>
      <c r="AH508" s="22">
        <f t="shared" si="164"/>
        <v>0</v>
      </c>
      <c r="AI508" s="22">
        <f t="shared" si="164"/>
        <v>0</v>
      </c>
      <c r="AJ508" s="22">
        <f t="shared" si="164"/>
        <v>0</v>
      </c>
      <c r="AK508" s="22">
        <f t="shared" si="164"/>
        <v>0</v>
      </c>
      <c r="AL508" s="22">
        <f t="shared" si="164"/>
        <v>0</v>
      </c>
      <c r="AM508" s="22">
        <f t="shared" si="164"/>
        <v>0</v>
      </c>
      <c r="AN508" s="22">
        <f t="shared" si="164"/>
        <v>0</v>
      </c>
      <c r="AO508" s="28"/>
    </row>
    <row r="509" spans="3:41" ht="14.4" customHeight="1" outlineLevel="1" x14ac:dyDescent="0.3">
      <c r="C509" s="2"/>
      <c r="D509" s="1" t="str">
        <f>Input!C152</f>
        <v>Эфир крахмала Esamid NA</v>
      </c>
      <c r="H509" s="26" t="s">
        <v>146</v>
      </c>
      <c r="I509" s="159">
        <f>Input!I152</f>
        <v>5.0000000000000002E-5</v>
      </c>
      <c r="L509" s="22">
        <f>$I509*L$495</f>
        <v>0</v>
      </c>
      <c r="M509" s="22">
        <f t="shared" ref="M509:V512" si="165">$I509*M$495</f>
        <v>0</v>
      </c>
      <c r="N509" s="22">
        <f t="shared" si="165"/>
        <v>0.79463541666666671</v>
      </c>
      <c r="O509" s="22">
        <f t="shared" si="165"/>
        <v>0.95356250000000009</v>
      </c>
      <c r="P509" s="22">
        <f t="shared" si="165"/>
        <v>0.956175</v>
      </c>
      <c r="Q509" s="22">
        <f t="shared" si="165"/>
        <v>0.95356250000000009</v>
      </c>
      <c r="R509" s="22">
        <f t="shared" si="165"/>
        <v>0.95356250000000009</v>
      </c>
      <c r="S509" s="22">
        <f t="shared" si="165"/>
        <v>0.95356250000000009</v>
      </c>
      <c r="T509" s="22">
        <f t="shared" si="165"/>
        <v>0.956175</v>
      </c>
      <c r="U509" s="22">
        <f t="shared" si="165"/>
        <v>0.95356250000000009</v>
      </c>
      <c r="V509" s="22">
        <f t="shared" si="165"/>
        <v>0.95356250000000009</v>
      </c>
      <c r="W509" s="22">
        <f t="shared" ref="W509:AF512" si="166">$I509*W$495</f>
        <v>0.95356250000000009</v>
      </c>
      <c r="X509" s="22">
        <f t="shared" si="166"/>
        <v>0.956175</v>
      </c>
      <c r="Y509" s="22">
        <f t="shared" si="166"/>
        <v>0.95356250000000009</v>
      </c>
      <c r="Z509" s="22">
        <f t="shared" si="166"/>
        <v>0.95356250000000009</v>
      </c>
      <c r="AA509" s="22">
        <f t="shared" si="166"/>
        <v>0.95356250000000009</v>
      </c>
      <c r="AB509" s="22">
        <f t="shared" si="166"/>
        <v>0.956175</v>
      </c>
      <c r="AC509" s="22">
        <f t="shared" si="166"/>
        <v>0.1589270833333333</v>
      </c>
      <c r="AD509" s="22">
        <f t="shared" si="166"/>
        <v>0</v>
      </c>
      <c r="AE509" s="22">
        <f t="shared" si="166"/>
        <v>0</v>
      </c>
      <c r="AF509" s="22">
        <f t="shared" si="166"/>
        <v>0</v>
      </c>
      <c r="AG509" s="22">
        <f t="shared" ref="AG509:AN512" si="167">$I509*AG$495</f>
        <v>0</v>
      </c>
      <c r="AH509" s="22">
        <f t="shared" si="167"/>
        <v>0</v>
      </c>
      <c r="AI509" s="22">
        <f t="shared" si="167"/>
        <v>0</v>
      </c>
      <c r="AJ509" s="22">
        <f t="shared" si="167"/>
        <v>0</v>
      </c>
      <c r="AK509" s="22">
        <f t="shared" si="167"/>
        <v>0</v>
      </c>
      <c r="AL509" s="22">
        <f t="shared" si="167"/>
        <v>0</v>
      </c>
      <c r="AM509" s="22">
        <f t="shared" si="167"/>
        <v>0</v>
      </c>
      <c r="AN509" s="22">
        <f t="shared" si="167"/>
        <v>0</v>
      </c>
      <c r="AO509" s="28"/>
    </row>
    <row r="510" spans="3:41" ht="14.4" customHeight="1" outlineLevel="1" x14ac:dyDescent="0.3">
      <c r="C510" s="2"/>
      <c r="D510" s="1" t="str">
        <f>Input!C153</f>
        <v>Гидрофобизатор (олеат Na, стеараты)</v>
      </c>
      <c r="H510" s="26" t="s">
        <v>146</v>
      </c>
      <c r="I510" s="159">
        <f>Input!I153</f>
        <v>1E-3</v>
      </c>
      <c r="L510" s="22">
        <f>$I510*L$495</f>
        <v>0</v>
      </c>
      <c r="M510" s="22">
        <f t="shared" si="165"/>
        <v>0</v>
      </c>
      <c r="N510" s="22">
        <f>$I510*N$495</f>
        <v>15.892708333333335</v>
      </c>
      <c r="O510" s="22">
        <f t="shared" si="165"/>
        <v>19.071249999999999</v>
      </c>
      <c r="P510" s="22">
        <f t="shared" si="165"/>
        <v>19.1235</v>
      </c>
      <c r="Q510" s="22">
        <f t="shared" si="165"/>
        <v>19.071249999999999</v>
      </c>
      <c r="R510" s="22">
        <f t="shared" si="165"/>
        <v>19.071249999999999</v>
      </c>
      <c r="S510" s="22">
        <f t="shared" si="165"/>
        <v>19.071249999999999</v>
      </c>
      <c r="T510" s="22">
        <f t="shared" si="165"/>
        <v>19.1235</v>
      </c>
      <c r="U510" s="22">
        <f t="shared" si="165"/>
        <v>19.071249999999999</v>
      </c>
      <c r="V510" s="22">
        <f t="shared" si="165"/>
        <v>19.071249999999999</v>
      </c>
      <c r="W510" s="22">
        <f t="shared" si="166"/>
        <v>19.071249999999999</v>
      </c>
      <c r="X510" s="22">
        <f t="shared" si="166"/>
        <v>19.1235</v>
      </c>
      <c r="Y510" s="22">
        <f t="shared" si="166"/>
        <v>19.071249999999999</v>
      </c>
      <c r="Z510" s="22">
        <f t="shared" si="166"/>
        <v>19.071249999999999</v>
      </c>
      <c r="AA510" s="22">
        <f t="shared" si="166"/>
        <v>19.071249999999999</v>
      </c>
      <c r="AB510" s="22">
        <f t="shared" si="166"/>
        <v>19.1235</v>
      </c>
      <c r="AC510" s="22">
        <f t="shared" si="166"/>
        <v>3.1785416666666659</v>
      </c>
      <c r="AD510" s="22">
        <f t="shared" si="166"/>
        <v>0</v>
      </c>
      <c r="AE510" s="22">
        <f t="shared" si="166"/>
        <v>0</v>
      </c>
      <c r="AF510" s="22">
        <f t="shared" si="166"/>
        <v>0</v>
      </c>
      <c r="AG510" s="22">
        <f t="shared" si="167"/>
        <v>0</v>
      </c>
      <c r="AH510" s="22">
        <f t="shared" si="167"/>
        <v>0</v>
      </c>
      <c r="AI510" s="22">
        <f t="shared" si="167"/>
        <v>0</v>
      </c>
      <c r="AJ510" s="22">
        <f t="shared" si="167"/>
        <v>0</v>
      </c>
      <c r="AK510" s="22">
        <f t="shared" si="167"/>
        <v>0</v>
      </c>
      <c r="AL510" s="22">
        <f t="shared" si="167"/>
        <v>0</v>
      </c>
      <c r="AM510" s="22">
        <f t="shared" si="167"/>
        <v>0</v>
      </c>
      <c r="AN510" s="22">
        <f t="shared" si="167"/>
        <v>0</v>
      </c>
      <c r="AO510" s="28"/>
    </row>
    <row r="511" spans="3:41" ht="14.4" customHeight="1" outlineLevel="1" x14ac:dyDescent="0.3">
      <c r="C511" s="2"/>
      <c r="D511" s="1" t="str">
        <f>Input!C154</f>
        <v>Суперпластификатор Melment F 10</v>
      </c>
      <c r="H511" s="26" t="s">
        <v>146</v>
      </c>
      <c r="I511" s="159">
        <f>Input!I154</f>
        <v>1E-3</v>
      </c>
      <c r="L511" s="22">
        <f>$I511*L$495</f>
        <v>0</v>
      </c>
      <c r="M511" s="22">
        <f t="shared" si="165"/>
        <v>0</v>
      </c>
      <c r="N511" s="22">
        <f t="shared" si="165"/>
        <v>15.892708333333335</v>
      </c>
      <c r="O511" s="22">
        <f t="shared" si="165"/>
        <v>19.071249999999999</v>
      </c>
      <c r="P511" s="22">
        <f t="shared" si="165"/>
        <v>19.1235</v>
      </c>
      <c r="Q511" s="22">
        <f t="shared" si="165"/>
        <v>19.071249999999999</v>
      </c>
      <c r="R511" s="22">
        <f t="shared" si="165"/>
        <v>19.071249999999999</v>
      </c>
      <c r="S511" s="22">
        <f t="shared" si="165"/>
        <v>19.071249999999999</v>
      </c>
      <c r="T511" s="22">
        <f t="shared" si="165"/>
        <v>19.1235</v>
      </c>
      <c r="U511" s="22">
        <f t="shared" si="165"/>
        <v>19.071249999999999</v>
      </c>
      <c r="V511" s="22">
        <f t="shared" si="165"/>
        <v>19.071249999999999</v>
      </c>
      <c r="W511" s="22">
        <f t="shared" si="166"/>
        <v>19.071249999999999</v>
      </c>
      <c r="X511" s="22">
        <f t="shared" si="166"/>
        <v>19.1235</v>
      </c>
      <c r="Y511" s="22">
        <f t="shared" si="166"/>
        <v>19.071249999999999</v>
      </c>
      <c r="Z511" s="22">
        <f t="shared" si="166"/>
        <v>19.071249999999999</v>
      </c>
      <c r="AA511" s="22">
        <f t="shared" si="166"/>
        <v>19.071249999999999</v>
      </c>
      <c r="AB511" s="22">
        <f t="shared" si="166"/>
        <v>19.1235</v>
      </c>
      <c r="AC511" s="22">
        <f t="shared" si="166"/>
        <v>3.1785416666666659</v>
      </c>
      <c r="AD511" s="22">
        <f t="shared" si="166"/>
        <v>0</v>
      </c>
      <c r="AE511" s="22">
        <f t="shared" si="166"/>
        <v>0</v>
      </c>
      <c r="AF511" s="22">
        <f t="shared" si="166"/>
        <v>0</v>
      </c>
      <c r="AG511" s="22">
        <f t="shared" si="167"/>
        <v>0</v>
      </c>
      <c r="AH511" s="22">
        <f t="shared" si="167"/>
        <v>0</v>
      </c>
      <c r="AI511" s="22">
        <f t="shared" si="167"/>
        <v>0</v>
      </c>
      <c r="AJ511" s="22">
        <f t="shared" si="167"/>
        <v>0</v>
      </c>
      <c r="AK511" s="22">
        <f t="shared" si="167"/>
        <v>0</v>
      </c>
      <c r="AL511" s="22">
        <f t="shared" si="167"/>
        <v>0</v>
      </c>
      <c r="AM511" s="22">
        <f t="shared" si="167"/>
        <v>0</v>
      </c>
      <c r="AN511" s="22">
        <f t="shared" si="167"/>
        <v>0</v>
      </c>
      <c r="AO511" s="28"/>
    </row>
    <row r="512" spans="3:41" ht="14.4" customHeight="1" outlineLevel="1" x14ac:dyDescent="0.3">
      <c r="C512" s="2"/>
      <c r="D512" s="1" t="str">
        <f>Input!C155</f>
        <v>Ускоритель схватывания (формиат Са)</v>
      </c>
      <c r="H512" s="26" t="s">
        <v>146</v>
      </c>
      <c r="I512" s="159">
        <f>Input!I155</f>
        <v>5.0000000000000001E-3</v>
      </c>
      <c r="L512" s="22">
        <f>$I512*L$495</f>
        <v>0</v>
      </c>
      <c r="M512" s="22">
        <f t="shared" si="165"/>
        <v>0</v>
      </c>
      <c r="N512" s="22">
        <f t="shared" si="165"/>
        <v>79.463541666666671</v>
      </c>
      <c r="O512" s="22">
        <f t="shared" si="165"/>
        <v>95.356250000000003</v>
      </c>
      <c r="P512" s="22">
        <f t="shared" si="165"/>
        <v>95.617500000000007</v>
      </c>
      <c r="Q512" s="22">
        <f t="shared" si="165"/>
        <v>95.356250000000003</v>
      </c>
      <c r="R512" s="22">
        <f t="shared" si="165"/>
        <v>95.356250000000003</v>
      </c>
      <c r="S512" s="22">
        <f t="shared" si="165"/>
        <v>95.356250000000003</v>
      </c>
      <c r="T512" s="22">
        <f t="shared" si="165"/>
        <v>95.617500000000007</v>
      </c>
      <c r="U512" s="22">
        <f t="shared" si="165"/>
        <v>95.356250000000003</v>
      </c>
      <c r="V512" s="22">
        <f t="shared" si="165"/>
        <v>95.356250000000003</v>
      </c>
      <c r="W512" s="22">
        <f t="shared" si="166"/>
        <v>95.356250000000003</v>
      </c>
      <c r="X512" s="22">
        <f t="shared" si="166"/>
        <v>95.617500000000007</v>
      </c>
      <c r="Y512" s="22">
        <f t="shared" si="166"/>
        <v>95.356250000000003</v>
      </c>
      <c r="Z512" s="22">
        <f t="shared" si="166"/>
        <v>95.356250000000003</v>
      </c>
      <c r="AA512" s="22">
        <f t="shared" si="166"/>
        <v>95.356250000000003</v>
      </c>
      <c r="AB512" s="22">
        <f t="shared" si="166"/>
        <v>95.617500000000007</v>
      </c>
      <c r="AC512" s="22">
        <f t="shared" si="166"/>
        <v>15.892708333333331</v>
      </c>
      <c r="AD512" s="22">
        <f t="shared" si="166"/>
        <v>0</v>
      </c>
      <c r="AE512" s="22">
        <f t="shared" si="166"/>
        <v>0</v>
      </c>
      <c r="AF512" s="22">
        <f t="shared" si="166"/>
        <v>0</v>
      </c>
      <c r="AG512" s="22">
        <f t="shared" si="167"/>
        <v>0</v>
      </c>
      <c r="AH512" s="22">
        <f t="shared" si="167"/>
        <v>0</v>
      </c>
      <c r="AI512" s="22">
        <f t="shared" si="167"/>
        <v>0</v>
      </c>
      <c r="AJ512" s="22">
        <f t="shared" si="167"/>
        <v>0</v>
      </c>
      <c r="AK512" s="22">
        <f t="shared" si="167"/>
        <v>0</v>
      </c>
      <c r="AL512" s="22">
        <f t="shared" si="167"/>
        <v>0</v>
      </c>
      <c r="AM512" s="22">
        <f t="shared" si="167"/>
        <v>0</v>
      </c>
      <c r="AN512" s="22">
        <f t="shared" si="167"/>
        <v>0</v>
      </c>
      <c r="AO512" s="28"/>
    </row>
    <row r="513" spans="3:41" ht="14.4" customHeight="1" outlineLevel="1" x14ac:dyDescent="0.3">
      <c r="C513" s="2"/>
      <c r="H513" s="26"/>
      <c r="I513" s="36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28"/>
    </row>
    <row r="514" spans="3:41" ht="14.4" customHeight="1" outlineLevel="1" x14ac:dyDescent="0.3">
      <c r="C514" s="2" t="s">
        <v>193</v>
      </c>
      <c r="H514" s="26"/>
      <c r="I514" s="36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28"/>
    </row>
    <row r="515" spans="3:41" ht="14.4" customHeight="1" outlineLevel="1" x14ac:dyDescent="0.3">
      <c r="C515" s="2"/>
      <c r="D515" s="2" t="s">
        <v>246</v>
      </c>
      <c r="H515" s="26" t="s">
        <v>146</v>
      </c>
      <c r="I515" s="20">
        <f>SUM(L515:AN515)</f>
        <v>286277.75000000006</v>
      </c>
      <c r="L515" s="33">
        <f t="shared" ref="L515:AN515" si="168">L434</f>
        <v>0</v>
      </c>
      <c r="M515" s="33">
        <f t="shared" si="168"/>
        <v>0</v>
      </c>
      <c r="N515" s="33">
        <f t="shared" si="168"/>
        <v>15892.708333333334</v>
      </c>
      <c r="O515" s="33">
        <f t="shared" si="168"/>
        <v>19071.25</v>
      </c>
      <c r="P515" s="33">
        <f t="shared" si="168"/>
        <v>19123.5</v>
      </c>
      <c r="Q515" s="33">
        <f t="shared" si="168"/>
        <v>19071.25</v>
      </c>
      <c r="R515" s="33">
        <f t="shared" si="168"/>
        <v>19071.25</v>
      </c>
      <c r="S515" s="33">
        <f t="shared" si="168"/>
        <v>19071.25</v>
      </c>
      <c r="T515" s="33">
        <f t="shared" si="168"/>
        <v>19123.5</v>
      </c>
      <c r="U515" s="33">
        <f t="shared" si="168"/>
        <v>19071.25</v>
      </c>
      <c r="V515" s="33">
        <f t="shared" si="168"/>
        <v>19071.25</v>
      </c>
      <c r="W515" s="33">
        <f t="shared" si="168"/>
        <v>19071.25</v>
      </c>
      <c r="X515" s="33">
        <f t="shared" si="168"/>
        <v>19123.5</v>
      </c>
      <c r="Y515" s="33">
        <f t="shared" si="168"/>
        <v>19071.25</v>
      </c>
      <c r="Z515" s="33">
        <f t="shared" si="168"/>
        <v>19071.25</v>
      </c>
      <c r="AA515" s="33">
        <f t="shared" si="168"/>
        <v>19071.25</v>
      </c>
      <c r="AB515" s="33">
        <f t="shared" si="168"/>
        <v>19123.5</v>
      </c>
      <c r="AC515" s="33">
        <f t="shared" si="168"/>
        <v>3178.5416666666661</v>
      </c>
      <c r="AD515" s="33">
        <f t="shared" si="168"/>
        <v>0</v>
      </c>
      <c r="AE515" s="33">
        <f t="shared" si="168"/>
        <v>0</v>
      </c>
      <c r="AF515" s="33">
        <f t="shared" si="168"/>
        <v>0</v>
      </c>
      <c r="AG515" s="33">
        <f t="shared" si="168"/>
        <v>0</v>
      </c>
      <c r="AH515" s="33">
        <f t="shared" si="168"/>
        <v>0</v>
      </c>
      <c r="AI515" s="33">
        <f t="shared" si="168"/>
        <v>0</v>
      </c>
      <c r="AJ515" s="33">
        <f t="shared" si="168"/>
        <v>0</v>
      </c>
      <c r="AK515" s="33">
        <f t="shared" si="168"/>
        <v>0</v>
      </c>
      <c r="AL515" s="33">
        <f t="shared" si="168"/>
        <v>0</v>
      </c>
      <c r="AM515" s="33">
        <f t="shared" si="168"/>
        <v>0</v>
      </c>
      <c r="AN515" s="33">
        <f t="shared" si="168"/>
        <v>0</v>
      </c>
      <c r="AO515" s="28"/>
    </row>
    <row r="516" spans="3:41" ht="14.4" customHeight="1" outlineLevel="1" x14ac:dyDescent="0.3">
      <c r="C516" s="2"/>
      <c r="D516" s="1" t="str">
        <f>Input!C139</f>
        <v>Гашеная известь</v>
      </c>
      <c r="H516" s="26" t="s">
        <v>146</v>
      </c>
      <c r="I516" s="159">
        <f>Input!J139</f>
        <v>0.05</v>
      </c>
      <c r="L516" s="22">
        <f t="shared" ref="L516:AA516" si="169">$I516*L$515</f>
        <v>0</v>
      </c>
      <c r="M516" s="22">
        <f t="shared" si="169"/>
        <v>0</v>
      </c>
      <c r="N516" s="22">
        <f t="shared" si="169"/>
        <v>794.63541666666674</v>
      </c>
      <c r="O516" s="22">
        <f t="shared" si="169"/>
        <v>953.5625</v>
      </c>
      <c r="P516" s="22">
        <f t="shared" si="169"/>
        <v>956.17500000000007</v>
      </c>
      <c r="Q516" s="22">
        <f t="shared" si="169"/>
        <v>953.5625</v>
      </c>
      <c r="R516" s="22">
        <f t="shared" si="169"/>
        <v>953.5625</v>
      </c>
      <c r="S516" s="22">
        <f t="shared" si="169"/>
        <v>953.5625</v>
      </c>
      <c r="T516" s="22">
        <f t="shared" si="169"/>
        <v>956.17500000000007</v>
      </c>
      <c r="U516" s="22">
        <f t="shared" si="169"/>
        <v>953.5625</v>
      </c>
      <c r="V516" s="22">
        <f t="shared" si="169"/>
        <v>953.5625</v>
      </c>
      <c r="W516" s="22">
        <f t="shared" si="169"/>
        <v>953.5625</v>
      </c>
      <c r="X516" s="22">
        <f t="shared" si="169"/>
        <v>956.17500000000007</v>
      </c>
      <c r="Y516" s="22">
        <f t="shared" si="169"/>
        <v>953.5625</v>
      </c>
      <c r="Z516" s="22">
        <f t="shared" si="169"/>
        <v>953.5625</v>
      </c>
      <c r="AA516" s="22">
        <f t="shared" si="169"/>
        <v>953.5625</v>
      </c>
      <c r="AB516" s="22">
        <f t="shared" ref="M516:AN526" si="170">$I516*AB$515</f>
        <v>956.17500000000007</v>
      </c>
      <c r="AC516" s="22">
        <f t="shared" si="170"/>
        <v>158.92708333333331</v>
      </c>
      <c r="AD516" s="22">
        <f t="shared" si="170"/>
        <v>0</v>
      </c>
      <c r="AE516" s="22">
        <f t="shared" si="170"/>
        <v>0</v>
      </c>
      <c r="AF516" s="22">
        <f t="shared" si="170"/>
        <v>0</v>
      </c>
      <c r="AG516" s="22">
        <f t="shared" si="170"/>
        <v>0</v>
      </c>
      <c r="AH516" s="22">
        <f t="shared" si="170"/>
        <v>0</v>
      </c>
      <c r="AI516" s="22">
        <f t="shared" si="170"/>
        <v>0</v>
      </c>
      <c r="AJ516" s="22">
        <f t="shared" si="170"/>
        <v>0</v>
      </c>
      <c r="AK516" s="22">
        <f t="shared" si="170"/>
        <v>0</v>
      </c>
      <c r="AL516" s="22">
        <f t="shared" si="170"/>
        <v>0</v>
      </c>
      <c r="AM516" s="22">
        <f t="shared" si="170"/>
        <v>0</v>
      </c>
      <c r="AN516" s="22">
        <f t="shared" si="170"/>
        <v>0</v>
      </c>
      <c r="AO516" s="28"/>
    </row>
    <row r="517" spans="3:41" ht="14.4" customHeight="1" outlineLevel="1" x14ac:dyDescent="0.3">
      <c r="C517" s="2"/>
      <c r="D517" s="1" t="str">
        <f>Input!C140</f>
        <v>Известняковая мука</v>
      </c>
      <c r="H517" s="26" t="s">
        <v>146</v>
      </c>
      <c r="I517" s="159">
        <f>Input!J140</f>
        <v>0.1</v>
      </c>
      <c r="L517" s="22">
        <f>$I517*L$515</f>
        <v>0</v>
      </c>
      <c r="M517" s="22">
        <f t="shared" si="170"/>
        <v>0</v>
      </c>
      <c r="N517" s="22">
        <f t="shared" si="170"/>
        <v>1589.2708333333335</v>
      </c>
      <c r="O517" s="22">
        <f t="shared" si="170"/>
        <v>1907.125</v>
      </c>
      <c r="P517" s="22">
        <f t="shared" si="170"/>
        <v>1912.3500000000001</v>
      </c>
      <c r="Q517" s="22">
        <f t="shared" si="170"/>
        <v>1907.125</v>
      </c>
      <c r="R517" s="22">
        <f t="shared" si="170"/>
        <v>1907.125</v>
      </c>
      <c r="S517" s="22">
        <f t="shared" si="170"/>
        <v>1907.125</v>
      </c>
      <c r="T517" s="22">
        <f t="shared" si="170"/>
        <v>1912.3500000000001</v>
      </c>
      <c r="U517" s="22">
        <f t="shared" si="170"/>
        <v>1907.125</v>
      </c>
      <c r="V517" s="22">
        <f t="shared" si="170"/>
        <v>1907.125</v>
      </c>
      <c r="W517" s="22">
        <f t="shared" si="170"/>
        <v>1907.125</v>
      </c>
      <c r="X517" s="22">
        <f t="shared" si="170"/>
        <v>1912.3500000000001</v>
      </c>
      <c r="Y517" s="22">
        <f t="shared" si="170"/>
        <v>1907.125</v>
      </c>
      <c r="Z517" s="22">
        <f t="shared" si="170"/>
        <v>1907.125</v>
      </c>
      <c r="AA517" s="22">
        <f t="shared" si="170"/>
        <v>1907.125</v>
      </c>
      <c r="AB517" s="22">
        <f t="shared" si="170"/>
        <v>1912.3500000000001</v>
      </c>
      <c r="AC517" s="22">
        <f t="shared" si="170"/>
        <v>317.85416666666663</v>
      </c>
      <c r="AD517" s="22">
        <f t="shared" si="170"/>
        <v>0</v>
      </c>
      <c r="AE517" s="22">
        <f t="shared" si="170"/>
        <v>0</v>
      </c>
      <c r="AF517" s="22">
        <f t="shared" si="170"/>
        <v>0</v>
      </c>
      <c r="AG517" s="22">
        <f t="shared" si="170"/>
        <v>0</v>
      </c>
      <c r="AH517" s="22">
        <f t="shared" si="170"/>
        <v>0</v>
      </c>
      <c r="AI517" s="22">
        <f t="shared" si="170"/>
        <v>0</v>
      </c>
      <c r="AJ517" s="22">
        <f t="shared" si="170"/>
        <v>0</v>
      </c>
      <c r="AK517" s="22">
        <f t="shared" si="170"/>
        <v>0</v>
      </c>
      <c r="AL517" s="22">
        <f t="shared" si="170"/>
        <v>0</v>
      </c>
      <c r="AM517" s="22">
        <f t="shared" si="170"/>
        <v>0</v>
      </c>
      <c r="AN517" s="22">
        <f t="shared" si="170"/>
        <v>0</v>
      </c>
      <c r="AO517" s="28"/>
    </row>
    <row r="518" spans="3:41" ht="14.4" customHeight="1" outlineLevel="1" x14ac:dyDescent="0.3">
      <c r="C518" s="2"/>
      <c r="D518" s="1" t="str">
        <f>Input!C141</f>
        <v>Кварцевый песок 0,1-0,5 мм</v>
      </c>
      <c r="H518" s="26" t="s">
        <v>146</v>
      </c>
      <c r="I518" s="159">
        <f>Input!J141</f>
        <v>0.30690000000000001</v>
      </c>
      <c r="L518" s="22">
        <f>$I518*L$515</f>
        <v>0</v>
      </c>
      <c r="M518" s="22">
        <f t="shared" si="170"/>
        <v>0</v>
      </c>
      <c r="N518" s="22">
        <f t="shared" si="170"/>
        <v>4877.4721875000005</v>
      </c>
      <c r="O518" s="22">
        <f t="shared" si="170"/>
        <v>5852.966625</v>
      </c>
      <c r="P518" s="22">
        <f t="shared" si="170"/>
        <v>5869.0021500000003</v>
      </c>
      <c r="Q518" s="22">
        <f t="shared" si="170"/>
        <v>5852.966625</v>
      </c>
      <c r="R518" s="22">
        <f t="shared" si="170"/>
        <v>5852.966625</v>
      </c>
      <c r="S518" s="22">
        <f t="shared" si="170"/>
        <v>5852.966625</v>
      </c>
      <c r="T518" s="22">
        <f t="shared" si="170"/>
        <v>5869.0021500000003</v>
      </c>
      <c r="U518" s="22">
        <f t="shared" si="170"/>
        <v>5852.966625</v>
      </c>
      <c r="V518" s="22">
        <f t="shared" si="170"/>
        <v>5852.966625</v>
      </c>
      <c r="W518" s="22">
        <f t="shared" si="170"/>
        <v>5852.966625</v>
      </c>
      <c r="X518" s="22">
        <f t="shared" si="170"/>
        <v>5869.0021500000003</v>
      </c>
      <c r="Y518" s="22">
        <f t="shared" si="170"/>
        <v>5852.966625</v>
      </c>
      <c r="Z518" s="22">
        <f t="shared" si="170"/>
        <v>5852.966625</v>
      </c>
      <c r="AA518" s="22">
        <f t="shared" si="170"/>
        <v>5852.966625</v>
      </c>
      <c r="AB518" s="22">
        <f t="shared" si="170"/>
        <v>5869.0021500000003</v>
      </c>
      <c r="AC518" s="22">
        <f t="shared" si="170"/>
        <v>975.49443749999989</v>
      </c>
      <c r="AD518" s="22">
        <f t="shared" si="170"/>
        <v>0</v>
      </c>
      <c r="AE518" s="22">
        <f t="shared" si="170"/>
        <v>0</v>
      </c>
      <c r="AF518" s="22">
        <f t="shared" si="170"/>
        <v>0</v>
      </c>
      <c r="AG518" s="22">
        <f t="shared" si="170"/>
        <v>0</v>
      </c>
      <c r="AH518" s="22">
        <f t="shared" si="170"/>
        <v>0</v>
      </c>
      <c r="AI518" s="22">
        <f t="shared" si="170"/>
        <v>0</v>
      </c>
      <c r="AJ518" s="22">
        <f t="shared" si="170"/>
        <v>0</v>
      </c>
      <c r="AK518" s="22">
        <f t="shared" si="170"/>
        <v>0</v>
      </c>
      <c r="AL518" s="22">
        <f t="shared" si="170"/>
        <v>0</v>
      </c>
      <c r="AM518" s="22">
        <f t="shared" si="170"/>
        <v>0</v>
      </c>
      <c r="AN518" s="22">
        <f t="shared" si="170"/>
        <v>0</v>
      </c>
      <c r="AO518" s="28"/>
    </row>
    <row r="519" spans="3:41" ht="14.4" customHeight="1" outlineLevel="1" x14ac:dyDescent="0.3">
      <c r="C519" s="2"/>
      <c r="D519" s="1" t="str">
        <f>Input!C142</f>
        <v>Кварцевый песок 0,5-2,0 мм</v>
      </c>
      <c r="H519" s="26" t="s">
        <v>146</v>
      </c>
      <c r="I519" s="159">
        <f>Input!J142</f>
        <v>0.372</v>
      </c>
      <c r="L519" s="22">
        <f>$I519*L$515</f>
        <v>0</v>
      </c>
      <c r="M519" s="22">
        <f t="shared" si="170"/>
        <v>0</v>
      </c>
      <c r="N519" s="22">
        <f t="shared" si="170"/>
        <v>5912.0875000000005</v>
      </c>
      <c r="O519" s="22">
        <f t="shared" si="170"/>
        <v>7094.5050000000001</v>
      </c>
      <c r="P519" s="22">
        <f t="shared" si="170"/>
        <v>7113.942</v>
      </c>
      <c r="Q519" s="22">
        <f t="shared" si="170"/>
        <v>7094.5050000000001</v>
      </c>
      <c r="R519" s="22">
        <f t="shared" si="170"/>
        <v>7094.5050000000001</v>
      </c>
      <c r="S519" s="22">
        <f t="shared" si="170"/>
        <v>7094.5050000000001</v>
      </c>
      <c r="T519" s="22">
        <f t="shared" si="170"/>
        <v>7113.942</v>
      </c>
      <c r="U519" s="22">
        <f t="shared" si="170"/>
        <v>7094.5050000000001</v>
      </c>
      <c r="V519" s="22">
        <f t="shared" si="170"/>
        <v>7094.5050000000001</v>
      </c>
      <c r="W519" s="22">
        <f t="shared" si="170"/>
        <v>7094.5050000000001</v>
      </c>
      <c r="X519" s="22">
        <f t="shared" si="170"/>
        <v>7113.942</v>
      </c>
      <c r="Y519" s="22">
        <f t="shared" si="170"/>
        <v>7094.5050000000001</v>
      </c>
      <c r="Z519" s="22">
        <f t="shared" si="170"/>
        <v>7094.5050000000001</v>
      </c>
      <c r="AA519" s="22">
        <f t="shared" si="170"/>
        <v>7094.5050000000001</v>
      </c>
      <c r="AB519" s="22">
        <f t="shared" si="170"/>
        <v>7113.942</v>
      </c>
      <c r="AC519" s="22">
        <f t="shared" si="170"/>
        <v>1182.4174999999998</v>
      </c>
      <c r="AD519" s="22">
        <f t="shared" si="170"/>
        <v>0</v>
      </c>
      <c r="AE519" s="22">
        <f t="shared" si="170"/>
        <v>0</v>
      </c>
      <c r="AF519" s="22">
        <f t="shared" si="170"/>
        <v>0</v>
      </c>
      <c r="AG519" s="22">
        <f t="shared" si="170"/>
        <v>0</v>
      </c>
      <c r="AH519" s="22">
        <f t="shared" si="170"/>
        <v>0</v>
      </c>
      <c r="AI519" s="22">
        <f t="shared" si="170"/>
        <v>0</v>
      </c>
      <c r="AJ519" s="22">
        <f t="shared" si="170"/>
        <v>0</v>
      </c>
      <c r="AK519" s="22">
        <f t="shared" si="170"/>
        <v>0</v>
      </c>
      <c r="AL519" s="22">
        <f t="shared" si="170"/>
        <v>0</v>
      </c>
      <c r="AM519" s="22">
        <f t="shared" si="170"/>
        <v>0</v>
      </c>
      <c r="AN519" s="22">
        <f t="shared" si="170"/>
        <v>0</v>
      </c>
      <c r="AO519" s="28"/>
    </row>
    <row r="520" spans="3:41" ht="14.4" customHeight="1" outlineLevel="1" x14ac:dyDescent="0.3">
      <c r="C520" s="2"/>
      <c r="D520" s="1" t="str">
        <f>Input!C143</f>
        <v>Кварцевый или известняковый песок 0-4 мм</v>
      </c>
      <c r="H520" s="26" t="s">
        <v>146</v>
      </c>
      <c r="I520" s="159">
        <f>Input!J143</f>
        <v>0</v>
      </c>
      <c r="L520" s="22">
        <f>$I520*L$515</f>
        <v>0</v>
      </c>
      <c r="M520" s="22">
        <f t="shared" si="170"/>
        <v>0</v>
      </c>
      <c r="N520" s="22">
        <f t="shared" si="170"/>
        <v>0</v>
      </c>
      <c r="O520" s="22">
        <f t="shared" si="170"/>
        <v>0</v>
      </c>
      <c r="P520" s="22">
        <f t="shared" si="170"/>
        <v>0</v>
      </c>
      <c r="Q520" s="22">
        <f t="shared" si="170"/>
        <v>0</v>
      </c>
      <c r="R520" s="22">
        <f t="shared" si="170"/>
        <v>0</v>
      </c>
      <c r="S520" s="22">
        <f t="shared" si="170"/>
        <v>0</v>
      </c>
      <c r="T520" s="22">
        <f t="shared" si="170"/>
        <v>0</v>
      </c>
      <c r="U520" s="22">
        <f t="shared" si="170"/>
        <v>0</v>
      </c>
      <c r="V520" s="22">
        <f t="shared" si="170"/>
        <v>0</v>
      </c>
      <c r="W520" s="22">
        <f t="shared" si="170"/>
        <v>0</v>
      </c>
      <c r="X520" s="22">
        <f t="shared" si="170"/>
        <v>0</v>
      </c>
      <c r="Y520" s="22">
        <f t="shared" si="170"/>
        <v>0</v>
      </c>
      <c r="Z520" s="22">
        <f t="shared" si="170"/>
        <v>0</v>
      </c>
      <c r="AA520" s="22">
        <f t="shared" si="170"/>
        <v>0</v>
      </c>
      <c r="AB520" s="22">
        <f t="shared" si="170"/>
        <v>0</v>
      </c>
      <c r="AC520" s="22">
        <f t="shared" si="170"/>
        <v>0</v>
      </c>
      <c r="AD520" s="22">
        <f t="shared" si="170"/>
        <v>0</v>
      </c>
      <c r="AE520" s="22">
        <f t="shared" si="170"/>
        <v>0</v>
      </c>
      <c r="AF520" s="22">
        <f t="shared" si="170"/>
        <v>0</v>
      </c>
      <c r="AG520" s="22">
        <f t="shared" si="170"/>
        <v>0</v>
      </c>
      <c r="AH520" s="22">
        <f t="shared" si="170"/>
        <v>0</v>
      </c>
      <c r="AI520" s="22">
        <f t="shared" si="170"/>
        <v>0</v>
      </c>
      <c r="AJ520" s="22">
        <f t="shared" si="170"/>
        <v>0</v>
      </c>
      <c r="AK520" s="22">
        <f t="shared" si="170"/>
        <v>0</v>
      </c>
      <c r="AL520" s="22">
        <f t="shared" si="170"/>
        <v>0</v>
      </c>
      <c r="AM520" s="22">
        <f t="shared" si="170"/>
        <v>0</v>
      </c>
      <c r="AN520" s="22">
        <f t="shared" si="170"/>
        <v>0</v>
      </c>
      <c r="AO520" s="28"/>
    </row>
    <row r="521" spans="3:41" ht="14.4" customHeight="1" outlineLevel="1" x14ac:dyDescent="0.3">
      <c r="C521" s="2"/>
      <c r="D521" s="1" t="str">
        <f>Input!C144</f>
        <v>Керамзит 0-4 мм</v>
      </c>
      <c r="H521" s="26" t="s">
        <v>146</v>
      </c>
      <c r="I521" s="159">
        <f>Input!J144</f>
        <v>0</v>
      </c>
      <c r="L521" s="22">
        <f>$I521*L$515</f>
        <v>0</v>
      </c>
      <c r="M521" s="22">
        <f t="shared" si="170"/>
        <v>0</v>
      </c>
      <c r="N521" s="22">
        <f t="shared" si="170"/>
        <v>0</v>
      </c>
      <c r="O521" s="22">
        <f t="shared" si="170"/>
        <v>0</v>
      </c>
      <c r="P521" s="22">
        <f t="shared" si="170"/>
        <v>0</v>
      </c>
      <c r="Q521" s="22">
        <f t="shared" si="170"/>
        <v>0</v>
      </c>
      <c r="R521" s="22">
        <f t="shared" si="170"/>
        <v>0</v>
      </c>
      <c r="S521" s="22">
        <f t="shared" si="170"/>
        <v>0</v>
      </c>
      <c r="T521" s="22">
        <f t="shared" si="170"/>
        <v>0</v>
      </c>
      <c r="U521" s="22">
        <f t="shared" si="170"/>
        <v>0</v>
      </c>
      <c r="V521" s="22">
        <f t="shared" si="170"/>
        <v>0</v>
      </c>
      <c r="W521" s="22">
        <f t="shared" si="170"/>
        <v>0</v>
      </c>
      <c r="X521" s="22">
        <f t="shared" si="170"/>
        <v>0</v>
      </c>
      <c r="Y521" s="22">
        <f t="shared" si="170"/>
        <v>0</v>
      </c>
      <c r="Z521" s="22">
        <f t="shared" si="170"/>
        <v>0</v>
      </c>
      <c r="AA521" s="22">
        <f t="shared" si="170"/>
        <v>0</v>
      </c>
      <c r="AB521" s="22">
        <f t="shared" si="170"/>
        <v>0</v>
      </c>
      <c r="AC521" s="22">
        <f t="shared" si="170"/>
        <v>0</v>
      </c>
      <c r="AD521" s="22">
        <f t="shared" si="170"/>
        <v>0</v>
      </c>
      <c r="AE521" s="22">
        <f t="shared" si="170"/>
        <v>0</v>
      </c>
      <c r="AF521" s="22">
        <f t="shared" si="170"/>
        <v>0</v>
      </c>
      <c r="AG521" s="22">
        <f t="shared" si="170"/>
        <v>0</v>
      </c>
      <c r="AH521" s="22">
        <f t="shared" si="170"/>
        <v>0</v>
      </c>
      <c r="AI521" s="22">
        <f t="shared" si="170"/>
        <v>0</v>
      </c>
      <c r="AJ521" s="22">
        <f t="shared" si="170"/>
        <v>0</v>
      </c>
      <c r="AK521" s="22">
        <f t="shared" si="170"/>
        <v>0</v>
      </c>
      <c r="AL521" s="22">
        <f t="shared" si="170"/>
        <v>0</v>
      </c>
      <c r="AM521" s="22">
        <f t="shared" si="170"/>
        <v>0</v>
      </c>
      <c r="AN521" s="22">
        <f t="shared" si="170"/>
        <v>0</v>
      </c>
      <c r="AO521" s="28"/>
    </row>
    <row r="522" spans="3:41" ht="14.4" customHeight="1" outlineLevel="1" x14ac:dyDescent="0.3">
      <c r="C522" s="2" t="s">
        <v>285</v>
      </c>
      <c r="H522" s="26"/>
      <c r="I522" s="160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28"/>
    </row>
    <row r="523" spans="3:41" ht="14.4" customHeight="1" outlineLevel="1" x14ac:dyDescent="0.3">
      <c r="C523" s="2"/>
      <c r="D523" s="1" t="str">
        <f>Input!C146</f>
        <v>Портландцемент_до оптимизации</v>
      </c>
      <c r="H523" s="26" t="s">
        <v>146</v>
      </c>
      <c r="I523" s="159">
        <f>Input!J146</f>
        <v>0.15000000000000002</v>
      </c>
      <c r="L523" s="22">
        <f t="shared" ref="L523:AN523" si="171">$I523*L$515</f>
        <v>0</v>
      </c>
      <c r="M523" s="22">
        <f t="shared" si="171"/>
        <v>0</v>
      </c>
      <c r="N523" s="22">
        <f t="shared" si="171"/>
        <v>2383.9062500000005</v>
      </c>
      <c r="O523" s="22">
        <f t="shared" si="171"/>
        <v>2860.6875000000005</v>
      </c>
      <c r="P523" s="22">
        <f t="shared" si="171"/>
        <v>2868.5250000000005</v>
      </c>
      <c r="Q523" s="22">
        <f t="shared" si="171"/>
        <v>2860.6875000000005</v>
      </c>
      <c r="R523" s="22">
        <f t="shared" si="171"/>
        <v>2860.6875000000005</v>
      </c>
      <c r="S523" s="22">
        <f t="shared" si="171"/>
        <v>2860.6875000000005</v>
      </c>
      <c r="T523" s="22">
        <f t="shared" si="171"/>
        <v>2868.5250000000005</v>
      </c>
      <c r="U523" s="22">
        <f t="shared" si="171"/>
        <v>2860.6875000000005</v>
      </c>
      <c r="V523" s="22">
        <f t="shared" si="171"/>
        <v>2860.6875000000005</v>
      </c>
      <c r="W523" s="22">
        <f t="shared" si="171"/>
        <v>2860.6875000000005</v>
      </c>
      <c r="X523" s="22">
        <f t="shared" si="171"/>
        <v>2868.5250000000005</v>
      </c>
      <c r="Y523" s="22">
        <f t="shared" si="171"/>
        <v>2860.6875000000005</v>
      </c>
      <c r="Z523" s="22">
        <f t="shared" si="171"/>
        <v>2860.6875000000005</v>
      </c>
      <c r="AA523" s="22">
        <f t="shared" si="171"/>
        <v>2860.6875000000005</v>
      </c>
      <c r="AB523" s="22">
        <f t="shared" si="171"/>
        <v>2868.5250000000005</v>
      </c>
      <c r="AC523" s="22">
        <f t="shared" si="171"/>
        <v>476.78125</v>
      </c>
      <c r="AD523" s="22">
        <f t="shared" si="171"/>
        <v>0</v>
      </c>
      <c r="AE523" s="22">
        <f t="shared" si="171"/>
        <v>0</v>
      </c>
      <c r="AF523" s="22">
        <f t="shared" si="171"/>
        <v>0</v>
      </c>
      <c r="AG523" s="22">
        <f t="shared" si="171"/>
        <v>0</v>
      </c>
      <c r="AH523" s="22">
        <f t="shared" si="171"/>
        <v>0</v>
      </c>
      <c r="AI523" s="22">
        <f t="shared" si="171"/>
        <v>0</v>
      </c>
      <c r="AJ523" s="22">
        <f t="shared" si="171"/>
        <v>0</v>
      </c>
      <c r="AK523" s="22">
        <f t="shared" si="171"/>
        <v>0</v>
      </c>
      <c r="AL523" s="22">
        <f t="shared" si="171"/>
        <v>0</v>
      </c>
      <c r="AM523" s="22">
        <f t="shared" si="171"/>
        <v>0</v>
      </c>
      <c r="AN523" s="22">
        <f t="shared" si="171"/>
        <v>0</v>
      </c>
      <c r="AO523" s="28"/>
    </row>
    <row r="524" spans="3:41" ht="14.4" customHeight="1" outlineLevel="1" x14ac:dyDescent="0.3">
      <c r="C524" s="2"/>
      <c r="D524" s="1" t="str">
        <f>Input!C147</f>
        <v>Эфир целлюлозы Mecellose PMC 50 US или FMC 2094</v>
      </c>
      <c r="H524" s="26" t="s">
        <v>146</v>
      </c>
      <c r="I524" s="159">
        <f>Input!J147</f>
        <v>1E-3</v>
      </c>
      <c r="L524" s="22">
        <f>$I524*L$515</f>
        <v>0</v>
      </c>
      <c r="M524" s="22">
        <f t="shared" si="170"/>
        <v>0</v>
      </c>
      <c r="N524" s="22">
        <f t="shared" si="170"/>
        <v>15.892708333333335</v>
      </c>
      <c r="O524" s="22">
        <f t="shared" si="170"/>
        <v>19.071249999999999</v>
      </c>
      <c r="P524" s="22">
        <f t="shared" si="170"/>
        <v>19.1235</v>
      </c>
      <c r="Q524" s="22">
        <f t="shared" si="170"/>
        <v>19.071249999999999</v>
      </c>
      <c r="R524" s="22">
        <f t="shared" si="170"/>
        <v>19.071249999999999</v>
      </c>
      <c r="S524" s="22">
        <f t="shared" si="170"/>
        <v>19.071249999999999</v>
      </c>
      <c r="T524" s="22">
        <f t="shared" si="170"/>
        <v>19.1235</v>
      </c>
      <c r="U524" s="22">
        <f t="shared" si="170"/>
        <v>19.071249999999999</v>
      </c>
      <c r="V524" s="22">
        <f t="shared" si="170"/>
        <v>19.071249999999999</v>
      </c>
      <c r="W524" s="22">
        <f t="shared" si="170"/>
        <v>19.071249999999999</v>
      </c>
      <c r="X524" s="22">
        <f t="shared" si="170"/>
        <v>19.1235</v>
      </c>
      <c r="Y524" s="22">
        <f t="shared" si="170"/>
        <v>19.071249999999999</v>
      </c>
      <c r="Z524" s="22">
        <f t="shared" si="170"/>
        <v>19.071249999999999</v>
      </c>
      <c r="AA524" s="22">
        <f t="shared" si="170"/>
        <v>19.071249999999999</v>
      </c>
      <c r="AB524" s="22">
        <f t="shared" si="170"/>
        <v>19.1235</v>
      </c>
      <c r="AC524" s="22">
        <f t="shared" si="170"/>
        <v>3.1785416666666659</v>
      </c>
      <c r="AD524" s="22">
        <f t="shared" si="170"/>
        <v>0</v>
      </c>
      <c r="AE524" s="22">
        <f t="shared" si="170"/>
        <v>0</v>
      </c>
      <c r="AF524" s="22">
        <f t="shared" si="170"/>
        <v>0</v>
      </c>
      <c r="AG524" s="22">
        <f t="shared" si="170"/>
        <v>0</v>
      </c>
      <c r="AH524" s="22">
        <f t="shared" si="170"/>
        <v>0</v>
      </c>
      <c r="AI524" s="22">
        <f t="shared" si="170"/>
        <v>0</v>
      </c>
      <c r="AJ524" s="22">
        <f t="shared" si="170"/>
        <v>0</v>
      </c>
      <c r="AK524" s="22">
        <f t="shared" si="170"/>
        <v>0</v>
      </c>
      <c r="AL524" s="22">
        <f t="shared" si="170"/>
        <v>0</v>
      </c>
      <c r="AM524" s="22">
        <f t="shared" si="170"/>
        <v>0</v>
      </c>
      <c r="AN524" s="22">
        <f t="shared" si="170"/>
        <v>0</v>
      </c>
      <c r="AO524" s="28"/>
    </row>
    <row r="525" spans="3:41" ht="14.4" customHeight="1" outlineLevel="1" x14ac:dyDescent="0.3">
      <c r="C525" s="2"/>
      <c r="D525" s="1" t="str">
        <f>Input!C148</f>
        <v>Редиспергируемый сополимерный порошок Neolith P 7200</v>
      </c>
      <c r="H525" s="26" t="s">
        <v>146</v>
      </c>
      <c r="I525" s="159">
        <f>Input!J148</f>
        <v>0.02</v>
      </c>
      <c r="L525" s="22">
        <f>$I525*L$515</f>
        <v>0</v>
      </c>
      <c r="M525" s="22">
        <f t="shared" si="170"/>
        <v>0</v>
      </c>
      <c r="N525" s="22">
        <f t="shared" si="170"/>
        <v>317.85416666666669</v>
      </c>
      <c r="O525" s="22">
        <f t="shared" si="170"/>
        <v>381.42500000000001</v>
      </c>
      <c r="P525" s="22">
        <f t="shared" si="170"/>
        <v>382.47</v>
      </c>
      <c r="Q525" s="22">
        <f t="shared" si="170"/>
        <v>381.42500000000001</v>
      </c>
      <c r="R525" s="22">
        <f t="shared" si="170"/>
        <v>381.42500000000001</v>
      </c>
      <c r="S525" s="22">
        <f t="shared" si="170"/>
        <v>381.42500000000001</v>
      </c>
      <c r="T525" s="22">
        <f t="shared" si="170"/>
        <v>382.47</v>
      </c>
      <c r="U525" s="22">
        <f t="shared" si="170"/>
        <v>381.42500000000001</v>
      </c>
      <c r="V525" s="22">
        <f t="shared" si="170"/>
        <v>381.42500000000001</v>
      </c>
      <c r="W525" s="22">
        <f t="shared" si="170"/>
        <v>381.42500000000001</v>
      </c>
      <c r="X525" s="22">
        <f t="shared" si="170"/>
        <v>382.47</v>
      </c>
      <c r="Y525" s="22">
        <f t="shared" si="170"/>
        <v>381.42500000000001</v>
      </c>
      <c r="Z525" s="22">
        <f t="shared" si="170"/>
        <v>381.42500000000001</v>
      </c>
      <c r="AA525" s="22">
        <f t="shared" si="170"/>
        <v>381.42500000000001</v>
      </c>
      <c r="AB525" s="22">
        <f t="shared" si="170"/>
        <v>382.47</v>
      </c>
      <c r="AC525" s="22">
        <f t="shared" si="170"/>
        <v>63.570833333333326</v>
      </c>
      <c r="AD525" s="22">
        <f t="shared" si="170"/>
        <v>0</v>
      </c>
      <c r="AE525" s="22">
        <f t="shared" si="170"/>
        <v>0</v>
      </c>
      <c r="AF525" s="22">
        <f t="shared" si="170"/>
        <v>0</v>
      </c>
      <c r="AG525" s="22">
        <f t="shared" si="170"/>
        <v>0</v>
      </c>
      <c r="AH525" s="22">
        <f t="shared" si="170"/>
        <v>0</v>
      </c>
      <c r="AI525" s="22">
        <f t="shared" si="170"/>
        <v>0</v>
      </c>
      <c r="AJ525" s="22">
        <f t="shared" si="170"/>
        <v>0</v>
      </c>
      <c r="AK525" s="22">
        <f t="shared" si="170"/>
        <v>0</v>
      </c>
      <c r="AL525" s="22">
        <f t="shared" si="170"/>
        <v>0</v>
      </c>
      <c r="AM525" s="22">
        <f t="shared" si="170"/>
        <v>0</v>
      </c>
      <c r="AN525" s="22">
        <f t="shared" si="170"/>
        <v>0</v>
      </c>
      <c r="AO525" s="28"/>
    </row>
    <row r="526" spans="3:41" ht="14.4" customHeight="1" outlineLevel="1" x14ac:dyDescent="0.3">
      <c r="C526" s="2"/>
      <c r="D526" s="1" t="str">
        <f>Input!C149</f>
        <v>Порообразователь Esapon 1214</v>
      </c>
      <c r="H526" s="26" t="s">
        <v>146</v>
      </c>
      <c r="I526" s="159">
        <f>Input!J149</f>
        <v>1E-4</v>
      </c>
      <c r="L526" s="22">
        <f>$I526*L$515</f>
        <v>0</v>
      </c>
      <c r="M526" s="22">
        <f t="shared" si="170"/>
        <v>0</v>
      </c>
      <c r="N526" s="22">
        <f t="shared" si="170"/>
        <v>1.5892708333333334</v>
      </c>
      <c r="O526" s="22">
        <f t="shared" si="170"/>
        <v>1.9071250000000002</v>
      </c>
      <c r="P526" s="22">
        <f t="shared" si="170"/>
        <v>1.91235</v>
      </c>
      <c r="Q526" s="22">
        <f t="shared" si="170"/>
        <v>1.9071250000000002</v>
      </c>
      <c r="R526" s="22">
        <f t="shared" si="170"/>
        <v>1.9071250000000002</v>
      </c>
      <c r="S526" s="22">
        <f t="shared" si="170"/>
        <v>1.9071250000000002</v>
      </c>
      <c r="T526" s="22">
        <f t="shared" si="170"/>
        <v>1.91235</v>
      </c>
      <c r="U526" s="22">
        <f t="shared" si="170"/>
        <v>1.9071250000000002</v>
      </c>
      <c r="V526" s="22">
        <f t="shared" si="170"/>
        <v>1.9071250000000002</v>
      </c>
      <c r="W526" s="22">
        <f t="shared" si="170"/>
        <v>1.9071250000000002</v>
      </c>
      <c r="X526" s="22">
        <f t="shared" si="170"/>
        <v>1.91235</v>
      </c>
      <c r="Y526" s="22">
        <f t="shared" si="170"/>
        <v>1.9071250000000002</v>
      </c>
      <c r="Z526" s="22">
        <f t="shared" si="170"/>
        <v>1.9071250000000002</v>
      </c>
      <c r="AA526" s="22">
        <f t="shared" si="170"/>
        <v>1.9071250000000002</v>
      </c>
      <c r="AB526" s="22">
        <f t="shared" si="170"/>
        <v>1.91235</v>
      </c>
      <c r="AC526" s="22">
        <f t="shared" si="170"/>
        <v>0.3178541666666666</v>
      </c>
      <c r="AD526" s="22">
        <f t="shared" si="170"/>
        <v>0</v>
      </c>
      <c r="AE526" s="22">
        <f t="shared" ref="M526:AN532" si="172">$I526*AE$515</f>
        <v>0</v>
      </c>
      <c r="AF526" s="22">
        <f t="shared" si="172"/>
        <v>0</v>
      </c>
      <c r="AG526" s="22">
        <f t="shared" si="172"/>
        <v>0</v>
      </c>
      <c r="AH526" s="22">
        <f t="shared" si="172"/>
        <v>0</v>
      </c>
      <c r="AI526" s="22">
        <f t="shared" si="172"/>
        <v>0</v>
      </c>
      <c r="AJ526" s="22">
        <f t="shared" si="172"/>
        <v>0</v>
      </c>
      <c r="AK526" s="22">
        <f t="shared" si="172"/>
        <v>0</v>
      </c>
      <c r="AL526" s="22">
        <f t="shared" si="172"/>
        <v>0</v>
      </c>
      <c r="AM526" s="22">
        <f t="shared" si="172"/>
        <v>0</v>
      </c>
      <c r="AN526" s="22">
        <f t="shared" si="172"/>
        <v>0</v>
      </c>
      <c r="AO526" s="28"/>
    </row>
    <row r="527" spans="3:41" ht="14.4" customHeight="1" outlineLevel="1" x14ac:dyDescent="0.3">
      <c r="C527" s="2" t="s">
        <v>286</v>
      </c>
      <c r="H527" s="26"/>
      <c r="I527" s="160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28"/>
    </row>
    <row r="528" spans="3:41" ht="14.4" customHeight="1" outlineLevel="1" x14ac:dyDescent="0.3">
      <c r="C528" s="2"/>
      <c r="D528" s="1" t="str">
        <f>Input!C151</f>
        <v>Портландцемент_после оптимизации</v>
      </c>
      <c r="H528" s="26" t="s">
        <v>146</v>
      </c>
      <c r="I528" s="159">
        <f>Input!J151</f>
        <v>0.16405000000000003</v>
      </c>
      <c r="L528" s="22">
        <f>$I528*L$515</f>
        <v>0</v>
      </c>
      <c r="M528" s="22">
        <f t="shared" ref="M528:AN528" si="173">$I528*M$515</f>
        <v>0</v>
      </c>
      <c r="N528" s="22">
        <f t="shared" si="173"/>
        <v>2607.1988020833337</v>
      </c>
      <c r="O528" s="22">
        <f t="shared" si="173"/>
        <v>3128.6385625000007</v>
      </c>
      <c r="P528" s="22">
        <f t="shared" si="173"/>
        <v>3137.2101750000006</v>
      </c>
      <c r="Q528" s="22">
        <f t="shared" si="173"/>
        <v>3128.6385625000007</v>
      </c>
      <c r="R528" s="22">
        <f t="shared" si="173"/>
        <v>3128.6385625000007</v>
      </c>
      <c r="S528" s="22">
        <f t="shared" si="173"/>
        <v>3128.6385625000007</v>
      </c>
      <c r="T528" s="22">
        <f t="shared" si="173"/>
        <v>3137.2101750000006</v>
      </c>
      <c r="U528" s="22">
        <f t="shared" si="173"/>
        <v>3128.6385625000007</v>
      </c>
      <c r="V528" s="22">
        <f t="shared" si="173"/>
        <v>3128.6385625000007</v>
      </c>
      <c r="W528" s="22">
        <f t="shared" si="173"/>
        <v>3128.6385625000007</v>
      </c>
      <c r="X528" s="22">
        <f t="shared" si="173"/>
        <v>3137.2101750000006</v>
      </c>
      <c r="Y528" s="22">
        <f t="shared" si="173"/>
        <v>3128.6385625000007</v>
      </c>
      <c r="Z528" s="22">
        <f t="shared" si="173"/>
        <v>3128.6385625000007</v>
      </c>
      <c r="AA528" s="22">
        <f t="shared" si="173"/>
        <v>3128.6385625000007</v>
      </c>
      <c r="AB528" s="22">
        <f t="shared" si="173"/>
        <v>3137.2101750000006</v>
      </c>
      <c r="AC528" s="22">
        <f t="shared" si="173"/>
        <v>521.43976041666667</v>
      </c>
      <c r="AD528" s="22">
        <f t="shared" si="173"/>
        <v>0</v>
      </c>
      <c r="AE528" s="22">
        <f t="shared" si="173"/>
        <v>0</v>
      </c>
      <c r="AF528" s="22">
        <f t="shared" si="173"/>
        <v>0</v>
      </c>
      <c r="AG528" s="22">
        <f t="shared" si="173"/>
        <v>0</v>
      </c>
      <c r="AH528" s="22">
        <f t="shared" si="173"/>
        <v>0</v>
      </c>
      <c r="AI528" s="22">
        <f t="shared" si="173"/>
        <v>0</v>
      </c>
      <c r="AJ528" s="22">
        <f t="shared" si="173"/>
        <v>0</v>
      </c>
      <c r="AK528" s="22">
        <f t="shared" si="173"/>
        <v>0</v>
      </c>
      <c r="AL528" s="22">
        <f t="shared" si="173"/>
        <v>0</v>
      </c>
      <c r="AM528" s="22">
        <f t="shared" si="173"/>
        <v>0</v>
      </c>
      <c r="AN528" s="22">
        <f t="shared" si="173"/>
        <v>0</v>
      </c>
      <c r="AO528" s="28"/>
    </row>
    <row r="529" spans="3:41" ht="14.4" customHeight="1" outlineLevel="1" x14ac:dyDescent="0.3">
      <c r="C529" s="2"/>
      <c r="D529" s="1" t="str">
        <f>Input!C152</f>
        <v>Эфир крахмала Esamid NA</v>
      </c>
      <c r="H529" s="26" t="s">
        <v>146</v>
      </c>
      <c r="I529" s="159">
        <f>Input!J152</f>
        <v>5.0000000000000002E-5</v>
      </c>
      <c r="L529" s="22">
        <f>$I529*L$515</f>
        <v>0</v>
      </c>
      <c r="M529" s="22">
        <f t="shared" si="172"/>
        <v>0</v>
      </c>
      <c r="N529" s="22">
        <f t="shared" si="172"/>
        <v>0.79463541666666671</v>
      </c>
      <c r="O529" s="22">
        <f t="shared" si="172"/>
        <v>0.95356250000000009</v>
      </c>
      <c r="P529" s="22">
        <f t="shared" si="172"/>
        <v>0.956175</v>
      </c>
      <c r="Q529" s="22">
        <f t="shared" si="172"/>
        <v>0.95356250000000009</v>
      </c>
      <c r="R529" s="22">
        <f t="shared" si="172"/>
        <v>0.95356250000000009</v>
      </c>
      <c r="S529" s="22">
        <f t="shared" si="172"/>
        <v>0.95356250000000009</v>
      </c>
      <c r="T529" s="22">
        <f t="shared" si="172"/>
        <v>0.956175</v>
      </c>
      <c r="U529" s="22">
        <f t="shared" si="172"/>
        <v>0.95356250000000009</v>
      </c>
      <c r="V529" s="22">
        <f t="shared" si="172"/>
        <v>0.95356250000000009</v>
      </c>
      <c r="W529" s="22">
        <f t="shared" si="172"/>
        <v>0.95356250000000009</v>
      </c>
      <c r="X529" s="22">
        <f t="shared" si="172"/>
        <v>0.956175</v>
      </c>
      <c r="Y529" s="22">
        <f t="shared" si="172"/>
        <v>0.95356250000000009</v>
      </c>
      <c r="Z529" s="22">
        <f t="shared" si="172"/>
        <v>0.95356250000000009</v>
      </c>
      <c r="AA529" s="22">
        <f t="shared" si="172"/>
        <v>0.95356250000000009</v>
      </c>
      <c r="AB529" s="22">
        <f t="shared" si="172"/>
        <v>0.956175</v>
      </c>
      <c r="AC529" s="22">
        <f t="shared" si="172"/>
        <v>0.1589270833333333</v>
      </c>
      <c r="AD529" s="22">
        <f t="shared" si="172"/>
        <v>0</v>
      </c>
      <c r="AE529" s="22">
        <f t="shared" si="172"/>
        <v>0</v>
      </c>
      <c r="AF529" s="22">
        <f t="shared" si="172"/>
        <v>0</v>
      </c>
      <c r="AG529" s="22">
        <f t="shared" si="172"/>
        <v>0</v>
      </c>
      <c r="AH529" s="22">
        <f t="shared" si="172"/>
        <v>0</v>
      </c>
      <c r="AI529" s="22">
        <f t="shared" si="172"/>
        <v>0</v>
      </c>
      <c r="AJ529" s="22">
        <f t="shared" si="172"/>
        <v>0</v>
      </c>
      <c r="AK529" s="22">
        <f t="shared" si="172"/>
        <v>0</v>
      </c>
      <c r="AL529" s="22">
        <f t="shared" si="172"/>
        <v>0</v>
      </c>
      <c r="AM529" s="22">
        <f t="shared" si="172"/>
        <v>0</v>
      </c>
      <c r="AN529" s="22">
        <f t="shared" si="172"/>
        <v>0</v>
      </c>
      <c r="AO529" s="28"/>
    </row>
    <row r="530" spans="3:41" ht="14.4" customHeight="1" outlineLevel="1" x14ac:dyDescent="0.3">
      <c r="C530" s="2"/>
      <c r="D530" s="1" t="str">
        <f>Input!C153</f>
        <v>Гидрофобизатор (олеат Na, стеараты)</v>
      </c>
      <c r="H530" s="26" t="s">
        <v>146</v>
      </c>
      <c r="I530" s="159">
        <f>Input!J153</f>
        <v>1E-3</v>
      </c>
      <c r="L530" s="22">
        <f>$I530*L$515</f>
        <v>0</v>
      </c>
      <c r="M530" s="22">
        <f t="shared" si="172"/>
        <v>0</v>
      </c>
      <c r="N530" s="22">
        <f t="shared" si="172"/>
        <v>15.892708333333335</v>
      </c>
      <c r="O530" s="22">
        <f t="shared" si="172"/>
        <v>19.071249999999999</v>
      </c>
      <c r="P530" s="22">
        <f t="shared" si="172"/>
        <v>19.1235</v>
      </c>
      <c r="Q530" s="22">
        <f t="shared" si="172"/>
        <v>19.071249999999999</v>
      </c>
      <c r="R530" s="22">
        <f t="shared" si="172"/>
        <v>19.071249999999999</v>
      </c>
      <c r="S530" s="22">
        <f t="shared" si="172"/>
        <v>19.071249999999999</v>
      </c>
      <c r="T530" s="22">
        <f t="shared" si="172"/>
        <v>19.1235</v>
      </c>
      <c r="U530" s="22">
        <f t="shared" si="172"/>
        <v>19.071249999999999</v>
      </c>
      <c r="V530" s="22">
        <f t="shared" si="172"/>
        <v>19.071249999999999</v>
      </c>
      <c r="W530" s="22">
        <f t="shared" si="172"/>
        <v>19.071249999999999</v>
      </c>
      <c r="X530" s="22">
        <f t="shared" si="172"/>
        <v>19.1235</v>
      </c>
      <c r="Y530" s="22">
        <f t="shared" si="172"/>
        <v>19.071249999999999</v>
      </c>
      <c r="Z530" s="22">
        <f t="shared" si="172"/>
        <v>19.071249999999999</v>
      </c>
      <c r="AA530" s="22">
        <f t="shared" si="172"/>
        <v>19.071249999999999</v>
      </c>
      <c r="AB530" s="22">
        <f t="shared" si="172"/>
        <v>19.1235</v>
      </c>
      <c r="AC530" s="22">
        <f t="shared" si="172"/>
        <v>3.1785416666666659</v>
      </c>
      <c r="AD530" s="22">
        <f t="shared" si="172"/>
        <v>0</v>
      </c>
      <c r="AE530" s="22">
        <f t="shared" si="172"/>
        <v>0</v>
      </c>
      <c r="AF530" s="22">
        <f t="shared" si="172"/>
        <v>0</v>
      </c>
      <c r="AG530" s="22">
        <f t="shared" si="172"/>
        <v>0</v>
      </c>
      <c r="AH530" s="22">
        <f t="shared" si="172"/>
        <v>0</v>
      </c>
      <c r="AI530" s="22">
        <f t="shared" si="172"/>
        <v>0</v>
      </c>
      <c r="AJ530" s="22">
        <f t="shared" si="172"/>
        <v>0</v>
      </c>
      <c r="AK530" s="22">
        <f t="shared" si="172"/>
        <v>0</v>
      </c>
      <c r="AL530" s="22">
        <f t="shared" si="172"/>
        <v>0</v>
      </c>
      <c r="AM530" s="22">
        <f t="shared" si="172"/>
        <v>0</v>
      </c>
      <c r="AN530" s="22">
        <f t="shared" si="172"/>
        <v>0</v>
      </c>
      <c r="AO530" s="28"/>
    </row>
    <row r="531" spans="3:41" ht="14.4" customHeight="1" outlineLevel="1" x14ac:dyDescent="0.3">
      <c r="C531" s="2"/>
      <c r="D531" s="1" t="str">
        <f>Input!C154</f>
        <v>Суперпластификатор Melment F 10</v>
      </c>
      <c r="H531" s="26" t="s">
        <v>146</v>
      </c>
      <c r="I531" s="159">
        <f>Input!J154</f>
        <v>1E-3</v>
      </c>
      <c r="L531" s="22">
        <f>$I531*L$515</f>
        <v>0</v>
      </c>
      <c r="M531" s="22">
        <f t="shared" si="172"/>
        <v>0</v>
      </c>
      <c r="N531" s="22">
        <f t="shared" si="172"/>
        <v>15.892708333333335</v>
      </c>
      <c r="O531" s="22">
        <f t="shared" si="172"/>
        <v>19.071249999999999</v>
      </c>
      <c r="P531" s="22">
        <f t="shared" si="172"/>
        <v>19.1235</v>
      </c>
      <c r="Q531" s="22">
        <f t="shared" si="172"/>
        <v>19.071249999999999</v>
      </c>
      <c r="R531" s="22">
        <f t="shared" si="172"/>
        <v>19.071249999999999</v>
      </c>
      <c r="S531" s="22">
        <f t="shared" si="172"/>
        <v>19.071249999999999</v>
      </c>
      <c r="T531" s="22">
        <f t="shared" si="172"/>
        <v>19.1235</v>
      </c>
      <c r="U531" s="22">
        <f t="shared" si="172"/>
        <v>19.071249999999999</v>
      </c>
      <c r="V531" s="22">
        <f t="shared" si="172"/>
        <v>19.071249999999999</v>
      </c>
      <c r="W531" s="22">
        <f t="shared" si="172"/>
        <v>19.071249999999999</v>
      </c>
      <c r="X531" s="22">
        <f t="shared" si="172"/>
        <v>19.1235</v>
      </c>
      <c r="Y531" s="22">
        <f t="shared" si="172"/>
        <v>19.071249999999999</v>
      </c>
      <c r="Z531" s="22">
        <f t="shared" si="172"/>
        <v>19.071249999999999</v>
      </c>
      <c r="AA531" s="22">
        <f t="shared" si="172"/>
        <v>19.071249999999999</v>
      </c>
      <c r="AB531" s="22">
        <f t="shared" si="172"/>
        <v>19.1235</v>
      </c>
      <c r="AC531" s="22">
        <f t="shared" si="172"/>
        <v>3.1785416666666659</v>
      </c>
      <c r="AD531" s="22">
        <f t="shared" si="172"/>
        <v>0</v>
      </c>
      <c r="AE531" s="22">
        <f t="shared" si="172"/>
        <v>0</v>
      </c>
      <c r="AF531" s="22">
        <f t="shared" si="172"/>
        <v>0</v>
      </c>
      <c r="AG531" s="22">
        <f t="shared" si="172"/>
        <v>0</v>
      </c>
      <c r="AH531" s="22">
        <f t="shared" si="172"/>
        <v>0</v>
      </c>
      <c r="AI531" s="22">
        <f t="shared" si="172"/>
        <v>0</v>
      </c>
      <c r="AJ531" s="22">
        <f t="shared" si="172"/>
        <v>0</v>
      </c>
      <c r="AK531" s="22">
        <f t="shared" si="172"/>
        <v>0</v>
      </c>
      <c r="AL531" s="22">
        <f t="shared" si="172"/>
        <v>0</v>
      </c>
      <c r="AM531" s="22">
        <f t="shared" si="172"/>
        <v>0</v>
      </c>
      <c r="AN531" s="22">
        <f t="shared" si="172"/>
        <v>0</v>
      </c>
      <c r="AO531" s="28"/>
    </row>
    <row r="532" spans="3:41" ht="14.4" customHeight="1" outlineLevel="1" x14ac:dyDescent="0.3">
      <c r="C532" s="2"/>
      <c r="D532" s="1" t="str">
        <f>Input!C155</f>
        <v>Ускоритель схватывания (формиат Са)</v>
      </c>
      <c r="H532" s="26" t="s">
        <v>146</v>
      </c>
      <c r="I532" s="159">
        <f>Input!J155</f>
        <v>5.0000000000000001E-3</v>
      </c>
      <c r="L532" s="22">
        <f>$I532*L$515</f>
        <v>0</v>
      </c>
      <c r="M532" s="22">
        <f t="shared" si="172"/>
        <v>0</v>
      </c>
      <c r="N532" s="22">
        <f t="shared" si="172"/>
        <v>79.463541666666671</v>
      </c>
      <c r="O532" s="22">
        <f t="shared" si="172"/>
        <v>95.356250000000003</v>
      </c>
      <c r="P532" s="22">
        <f t="shared" si="172"/>
        <v>95.617500000000007</v>
      </c>
      <c r="Q532" s="22">
        <f t="shared" si="172"/>
        <v>95.356250000000003</v>
      </c>
      <c r="R532" s="22">
        <f t="shared" si="172"/>
        <v>95.356250000000003</v>
      </c>
      <c r="S532" s="22">
        <f t="shared" si="172"/>
        <v>95.356250000000003</v>
      </c>
      <c r="T532" s="22">
        <f t="shared" si="172"/>
        <v>95.617500000000007</v>
      </c>
      <c r="U532" s="22">
        <f t="shared" si="172"/>
        <v>95.356250000000003</v>
      </c>
      <c r="V532" s="22">
        <f t="shared" si="172"/>
        <v>95.356250000000003</v>
      </c>
      <c r="W532" s="22">
        <f t="shared" si="172"/>
        <v>95.356250000000003</v>
      </c>
      <c r="X532" s="22">
        <f t="shared" si="172"/>
        <v>95.617500000000007</v>
      </c>
      <c r="Y532" s="22">
        <f t="shared" si="172"/>
        <v>95.356250000000003</v>
      </c>
      <c r="Z532" s="22">
        <f t="shared" si="172"/>
        <v>95.356250000000003</v>
      </c>
      <c r="AA532" s="22">
        <f t="shared" si="172"/>
        <v>95.356250000000003</v>
      </c>
      <c r="AB532" s="22">
        <f t="shared" si="172"/>
        <v>95.617500000000007</v>
      </c>
      <c r="AC532" s="22">
        <f t="shared" si="172"/>
        <v>15.892708333333331</v>
      </c>
      <c r="AD532" s="22">
        <f t="shared" si="172"/>
        <v>0</v>
      </c>
      <c r="AE532" s="22">
        <f t="shared" si="172"/>
        <v>0</v>
      </c>
      <c r="AF532" s="22">
        <f t="shared" si="172"/>
        <v>0</v>
      </c>
      <c r="AG532" s="22">
        <f t="shared" si="172"/>
        <v>0</v>
      </c>
      <c r="AH532" s="22">
        <f t="shared" si="172"/>
        <v>0</v>
      </c>
      <c r="AI532" s="22">
        <f t="shared" si="172"/>
        <v>0</v>
      </c>
      <c r="AJ532" s="22">
        <f t="shared" si="172"/>
        <v>0</v>
      </c>
      <c r="AK532" s="22">
        <f t="shared" si="172"/>
        <v>0</v>
      </c>
      <c r="AL532" s="22">
        <f t="shared" si="172"/>
        <v>0</v>
      </c>
      <c r="AM532" s="22">
        <f t="shared" si="172"/>
        <v>0</v>
      </c>
      <c r="AN532" s="22">
        <f t="shared" si="172"/>
        <v>0</v>
      </c>
      <c r="AO532" s="28"/>
    </row>
    <row r="533" spans="3:41" ht="14.4" customHeight="1" outlineLevel="1" x14ac:dyDescent="0.3">
      <c r="C533" s="2"/>
      <c r="H533" s="26"/>
      <c r="I533" s="36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28"/>
    </row>
    <row r="534" spans="3:41" ht="14.4" customHeight="1" outlineLevel="1" x14ac:dyDescent="0.3">
      <c r="C534" s="2" t="s">
        <v>194</v>
      </c>
      <c r="H534" s="26"/>
      <c r="I534" s="36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28"/>
    </row>
    <row r="535" spans="3:41" ht="14.4" customHeight="1" outlineLevel="1" x14ac:dyDescent="0.3">
      <c r="C535" s="2"/>
      <c r="D535" s="2" t="s">
        <v>246</v>
      </c>
      <c r="H535" s="26" t="s">
        <v>146</v>
      </c>
      <c r="I535" s="20">
        <f>SUM(L535:AN535)</f>
        <v>286277.75000000006</v>
      </c>
      <c r="L535" s="33">
        <f t="shared" ref="L535:AN535" si="174">L435</f>
        <v>0</v>
      </c>
      <c r="M535" s="33">
        <f t="shared" si="174"/>
        <v>0</v>
      </c>
      <c r="N535" s="33">
        <f t="shared" si="174"/>
        <v>15892.708333333334</v>
      </c>
      <c r="O535" s="33">
        <f t="shared" si="174"/>
        <v>19071.25</v>
      </c>
      <c r="P535" s="33">
        <f t="shared" si="174"/>
        <v>19123.5</v>
      </c>
      <c r="Q535" s="33">
        <f t="shared" si="174"/>
        <v>19071.25</v>
      </c>
      <c r="R535" s="33">
        <f t="shared" si="174"/>
        <v>19071.25</v>
      </c>
      <c r="S535" s="33">
        <f t="shared" si="174"/>
        <v>19071.25</v>
      </c>
      <c r="T535" s="33">
        <f t="shared" si="174"/>
        <v>19123.5</v>
      </c>
      <c r="U535" s="33">
        <f t="shared" si="174"/>
        <v>19071.25</v>
      </c>
      <c r="V535" s="33">
        <f t="shared" si="174"/>
        <v>19071.25</v>
      </c>
      <c r="W535" s="33">
        <f t="shared" si="174"/>
        <v>19071.25</v>
      </c>
      <c r="X535" s="33">
        <f t="shared" si="174"/>
        <v>19123.5</v>
      </c>
      <c r="Y535" s="33">
        <f t="shared" si="174"/>
        <v>19071.25</v>
      </c>
      <c r="Z535" s="33">
        <f t="shared" si="174"/>
        <v>19071.25</v>
      </c>
      <c r="AA535" s="33">
        <f t="shared" si="174"/>
        <v>19071.25</v>
      </c>
      <c r="AB535" s="33">
        <f t="shared" si="174"/>
        <v>19123.5</v>
      </c>
      <c r="AC535" s="33">
        <f t="shared" si="174"/>
        <v>3178.5416666666661</v>
      </c>
      <c r="AD535" s="33">
        <f t="shared" si="174"/>
        <v>0</v>
      </c>
      <c r="AE535" s="33">
        <f t="shared" si="174"/>
        <v>0</v>
      </c>
      <c r="AF535" s="33">
        <f t="shared" si="174"/>
        <v>0</v>
      </c>
      <c r="AG535" s="33">
        <f t="shared" si="174"/>
        <v>0</v>
      </c>
      <c r="AH535" s="33">
        <f t="shared" si="174"/>
        <v>0</v>
      </c>
      <c r="AI535" s="33">
        <f t="shared" si="174"/>
        <v>0</v>
      </c>
      <c r="AJ535" s="33">
        <f t="shared" si="174"/>
        <v>0</v>
      </c>
      <c r="AK535" s="33">
        <f t="shared" si="174"/>
        <v>0</v>
      </c>
      <c r="AL535" s="33">
        <f t="shared" si="174"/>
        <v>0</v>
      </c>
      <c r="AM535" s="33">
        <f t="shared" si="174"/>
        <v>0</v>
      </c>
      <c r="AN535" s="33">
        <f t="shared" si="174"/>
        <v>0</v>
      </c>
      <c r="AO535" s="28"/>
    </row>
    <row r="536" spans="3:41" ht="14.4" customHeight="1" outlineLevel="1" x14ac:dyDescent="0.3">
      <c r="C536" s="2"/>
      <c r="D536" s="1" t="str">
        <f>Input!C139</f>
        <v>Гашеная известь</v>
      </c>
      <c r="H536" s="26" t="s">
        <v>146</v>
      </c>
      <c r="I536" s="159">
        <f>Input!K139</f>
        <v>0.05</v>
      </c>
      <c r="L536" s="22">
        <f t="shared" ref="L536:AA536" si="175">$I536*L$535</f>
        <v>0</v>
      </c>
      <c r="M536" s="22">
        <f t="shared" si="175"/>
        <v>0</v>
      </c>
      <c r="N536" s="22">
        <f t="shared" si="175"/>
        <v>794.63541666666674</v>
      </c>
      <c r="O536" s="22">
        <f t="shared" si="175"/>
        <v>953.5625</v>
      </c>
      <c r="P536" s="22">
        <f t="shared" si="175"/>
        <v>956.17500000000007</v>
      </c>
      <c r="Q536" s="22">
        <f t="shared" si="175"/>
        <v>953.5625</v>
      </c>
      <c r="R536" s="22">
        <f t="shared" si="175"/>
        <v>953.5625</v>
      </c>
      <c r="S536" s="22">
        <f t="shared" si="175"/>
        <v>953.5625</v>
      </c>
      <c r="T536" s="22">
        <f t="shared" si="175"/>
        <v>956.17500000000007</v>
      </c>
      <c r="U536" s="22">
        <f t="shared" si="175"/>
        <v>953.5625</v>
      </c>
      <c r="V536" s="22">
        <f t="shared" si="175"/>
        <v>953.5625</v>
      </c>
      <c r="W536" s="22">
        <f t="shared" si="175"/>
        <v>953.5625</v>
      </c>
      <c r="X536" s="22">
        <f t="shared" si="175"/>
        <v>956.17500000000007</v>
      </c>
      <c r="Y536" s="22">
        <f t="shared" si="175"/>
        <v>953.5625</v>
      </c>
      <c r="Z536" s="22">
        <f t="shared" si="175"/>
        <v>953.5625</v>
      </c>
      <c r="AA536" s="22">
        <f t="shared" si="175"/>
        <v>953.5625</v>
      </c>
      <c r="AB536" s="22">
        <f t="shared" ref="M536:AN546" si="176">$I536*AB$535</f>
        <v>956.17500000000007</v>
      </c>
      <c r="AC536" s="22">
        <f t="shared" si="176"/>
        <v>158.92708333333331</v>
      </c>
      <c r="AD536" s="22">
        <f t="shared" si="176"/>
        <v>0</v>
      </c>
      <c r="AE536" s="22">
        <f t="shared" si="176"/>
        <v>0</v>
      </c>
      <c r="AF536" s="22">
        <f t="shared" si="176"/>
        <v>0</v>
      </c>
      <c r="AG536" s="22">
        <f t="shared" si="176"/>
        <v>0</v>
      </c>
      <c r="AH536" s="22">
        <f t="shared" si="176"/>
        <v>0</v>
      </c>
      <c r="AI536" s="22">
        <f t="shared" si="176"/>
        <v>0</v>
      </c>
      <c r="AJ536" s="22">
        <f t="shared" si="176"/>
        <v>0</v>
      </c>
      <c r="AK536" s="22">
        <f t="shared" si="176"/>
        <v>0</v>
      </c>
      <c r="AL536" s="22">
        <f t="shared" si="176"/>
        <v>0</v>
      </c>
      <c r="AM536" s="22">
        <f t="shared" si="176"/>
        <v>0</v>
      </c>
      <c r="AN536" s="22">
        <f t="shared" si="176"/>
        <v>0</v>
      </c>
      <c r="AO536" s="28"/>
    </row>
    <row r="537" spans="3:41" ht="14.4" customHeight="1" outlineLevel="1" x14ac:dyDescent="0.3">
      <c r="C537" s="2"/>
      <c r="D537" s="1" t="str">
        <f>Input!C140</f>
        <v>Известняковая мука</v>
      </c>
      <c r="H537" s="26" t="s">
        <v>146</v>
      </c>
      <c r="I537" s="159">
        <f>Input!K140</f>
        <v>0.05</v>
      </c>
      <c r="L537" s="22">
        <f>$I537*L$535</f>
        <v>0</v>
      </c>
      <c r="M537" s="22">
        <f t="shared" si="176"/>
        <v>0</v>
      </c>
      <c r="N537" s="22">
        <f t="shared" si="176"/>
        <v>794.63541666666674</v>
      </c>
      <c r="O537" s="22">
        <f t="shared" si="176"/>
        <v>953.5625</v>
      </c>
      <c r="P537" s="22">
        <f t="shared" si="176"/>
        <v>956.17500000000007</v>
      </c>
      <c r="Q537" s="22">
        <f t="shared" si="176"/>
        <v>953.5625</v>
      </c>
      <c r="R537" s="22">
        <f t="shared" si="176"/>
        <v>953.5625</v>
      </c>
      <c r="S537" s="22">
        <f t="shared" si="176"/>
        <v>953.5625</v>
      </c>
      <c r="T537" s="22">
        <f t="shared" si="176"/>
        <v>956.17500000000007</v>
      </c>
      <c r="U537" s="22">
        <f t="shared" si="176"/>
        <v>953.5625</v>
      </c>
      <c r="V537" s="22">
        <f t="shared" si="176"/>
        <v>953.5625</v>
      </c>
      <c r="W537" s="22">
        <f t="shared" si="176"/>
        <v>953.5625</v>
      </c>
      <c r="X537" s="22">
        <f t="shared" si="176"/>
        <v>956.17500000000007</v>
      </c>
      <c r="Y537" s="22">
        <f t="shared" si="176"/>
        <v>953.5625</v>
      </c>
      <c r="Z537" s="22">
        <f t="shared" si="176"/>
        <v>953.5625</v>
      </c>
      <c r="AA537" s="22">
        <f t="shared" si="176"/>
        <v>953.5625</v>
      </c>
      <c r="AB537" s="22">
        <f t="shared" si="176"/>
        <v>956.17500000000007</v>
      </c>
      <c r="AC537" s="22">
        <f t="shared" si="176"/>
        <v>158.92708333333331</v>
      </c>
      <c r="AD537" s="22">
        <f t="shared" si="176"/>
        <v>0</v>
      </c>
      <c r="AE537" s="22">
        <f t="shared" si="176"/>
        <v>0</v>
      </c>
      <c r="AF537" s="22">
        <f t="shared" si="176"/>
        <v>0</v>
      </c>
      <c r="AG537" s="22">
        <f t="shared" si="176"/>
        <v>0</v>
      </c>
      <c r="AH537" s="22">
        <f t="shared" si="176"/>
        <v>0</v>
      </c>
      <c r="AI537" s="22">
        <f t="shared" si="176"/>
        <v>0</v>
      </c>
      <c r="AJ537" s="22">
        <f t="shared" si="176"/>
        <v>0</v>
      </c>
      <c r="AK537" s="22">
        <f t="shared" si="176"/>
        <v>0</v>
      </c>
      <c r="AL537" s="22">
        <f t="shared" si="176"/>
        <v>0</v>
      </c>
      <c r="AM537" s="22">
        <f t="shared" si="176"/>
        <v>0</v>
      </c>
      <c r="AN537" s="22">
        <f t="shared" si="176"/>
        <v>0</v>
      </c>
      <c r="AO537" s="28"/>
    </row>
    <row r="538" spans="3:41" ht="14.4" customHeight="1" outlineLevel="1" x14ac:dyDescent="0.3">
      <c r="C538" s="2"/>
      <c r="D538" s="1" t="str">
        <f>Input!C141</f>
        <v>Кварцевый песок 0,1-0,5 мм</v>
      </c>
      <c r="H538" s="26" t="s">
        <v>146</v>
      </c>
      <c r="I538" s="159">
        <f>Input!K141</f>
        <v>0.58199999999999996</v>
      </c>
      <c r="L538" s="22">
        <f>$I538*L$535</f>
        <v>0</v>
      </c>
      <c r="M538" s="22">
        <f t="shared" si="176"/>
        <v>0</v>
      </c>
      <c r="N538" s="22">
        <f t="shared" si="176"/>
        <v>9249.5562499999996</v>
      </c>
      <c r="O538" s="22">
        <f t="shared" si="176"/>
        <v>11099.467499999999</v>
      </c>
      <c r="P538" s="22">
        <f t="shared" si="176"/>
        <v>11129.876999999999</v>
      </c>
      <c r="Q538" s="22">
        <f t="shared" si="176"/>
        <v>11099.467499999999</v>
      </c>
      <c r="R538" s="22">
        <f t="shared" si="176"/>
        <v>11099.467499999999</v>
      </c>
      <c r="S538" s="22">
        <f t="shared" si="176"/>
        <v>11099.467499999999</v>
      </c>
      <c r="T538" s="22">
        <f t="shared" si="176"/>
        <v>11129.876999999999</v>
      </c>
      <c r="U538" s="22">
        <f t="shared" si="176"/>
        <v>11099.467499999999</v>
      </c>
      <c r="V538" s="22">
        <f t="shared" si="176"/>
        <v>11099.467499999999</v>
      </c>
      <c r="W538" s="22">
        <f t="shared" si="176"/>
        <v>11099.467499999999</v>
      </c>
      <c r="X538" s="22">
        <f t="shared" si="176"/>
        <v>11129.876999999999</v>
      </c>
      <c r="Y538" s="22">
        <f t="shared" si="176"/>
        <v>11099.467499999999</v>
      </c>
      <c r="Z538" s="22">
        <f t="shared" si="176"/>
        <v>11099.467499999999</v>
      </c>
      <c r="AA538" s="22">
        <f t="shared" si="176"/>
        <v>11099.467499999999</v>
      </c>
      <c r="AB538" s="22">
        <f t="shared" si="176"/>
        <v>11129.876999999999</v>
      </c>
      <c r="AC538" s="22">
        <f t="shared" si="176"/>
        <v>1849.9112499999994</v>
      </c>
      <c r="AD538" s="22">
        <f t="shared" si="176"/>
        <v>0</v>
      </c>
      <c r="AE538" s="22">
        <f t="shared" si="176"/>
        <v>0</v>
      </c>
      <c r="AF538" s="22">
        <f t="shared" si="176"/>
        <v>0</v>
      </c>
      <c r="AG538" s="22">
        <f t="shared" si="176"/>
        <v>0</v>
      </c>
      <c r="AH538" s="22">
        <f t="shared" si="176"/>
        <v>0</v>
      </c>
      <c r="AI538" s="22">
        <f t="shared" si="176"/>
        <v>0</v>
      </c>
      <c r="AJ538" s="22">
        <f t="shared" si="176"/>
        <v>0</v>
      </c>
      <c r="AK538" s="22">
        <f t="shared" si="176"/>
        <v>0</v>
      </c>
      <c r="AL538" s="22">
        <f t="shared" si="176"/>
        <v>0</v>
      </c>
      <c r="AM538" s="22">
        <f t="shared" si="176"/>
        <v>0</v>
      </c>
      <c r="AN538" s="22">
        <f t="shared" si="176"/>
        <v>0</v>
      </c>
      <c r="AO538" s="28"/>
    </row>
    <row r="539" spans="3:41" ht="14.4" customHeight="1" outlineLevel="1" x14ac:dyDescent="0.3">
      <c r="C539" s="2"/>
      <c r="D539" s="1" t="str">
        <f>Input!C142</f>
        <v>Кварцевый песок 0,5-2,0 мм</v>
      </c>
      <c r="H539" s="26" t="s">
        <v>146</v>
      </c>
      <c r="I539" s="159">
        <f>Input!K142</f>
        <v>0</v>
      </c>
      <c r="L539" s="22">
        <f>$I539*L$535</f>
        <v>0</v>
      </c>
      <c r="M539" s="22">
        <f t="shared" si="176"/>
        <v>0</v>
      </c>
      <c r="N539" s="22">
        <f t="shared" si="176"/>
        <v>0</v>
      </c>
      <c r="O539" s="22">
        <f t="shared" si="176"/>
        <v>0</v>
      </c>
      <c r="P539" s="22">
        <f t="shared" si="176"/>
        <v>0</v>
      </c>
      <c r="Q539" s="22">
        <f t="shared" si="176"/>
        <v>0</v>
      </c>
      <c r="R539" s="22">
        <f t="shared" si="176"/>
        <v>0</v>
      </c>
      <c r="S539" s="22">
        <f t="shared" si="176"/>
        <v>0</v>
      </c>
      <c r="T539" s="22">
        <f t="shared" si="176"/>
        <v>0</v>
      </c>
      <c r="U539" s="22">
        <f t="shared" si="176"/>
        <v>0</v>
      </c>
      <c r="V539" s="22">
        <f t="shared" si="176"/>
        <v>0</v>
      </c>
      <c r="W539" s="22">
        <f t="shared" si="176"/>
        <v>0</v>
      </c>
      <c r="X539" s="22">
        <f t="shared" si="176"/>
        <v>0</v>
      </c>
      <c r="Y539" s="22">
        <f t="shared" si="176"/>
        <v>0</v>
      </c>
      <c r="Z539" s="22">
        <f t="shared" si="176"/>
        <v>0</v>
      </c>
      <c r="AA539" s="22">
        <f t="shared" si="176"/>
        <v>0</v>
      </c>
      <c r="AB539" s="22">
        <f t="shared" si="176"/>
        <v>0</v>
      </c>
      <c r="AC539" s="22">
        <f t="shared" si="176"/>
        <v>0</v>
      </c>
      <c r="AD539" s="22">
        <f t="shared" si="176"/>
        <v>0</v>
      </c>
      <c r="AE539" s="22">
        <f t="shared" si="176"/>
        <v>0</v>
      </c>
      <c r="AF539" s="22">
        <f t="shared" si="176"/>
        <v>0</v>
      </c>
      <c r="AG539" s="22">
        <f t="shared" si="176"/>
        <v>0</v>
      </c>
      <c r="AH539" s="22">
        <f t="shared" si="176"/>
        <v>0</v>
      </c>
      <c r="AI539" s="22">
        <f t="shared" si="176"/>
        <v>0</v>
      </c>
      <c r="AJ539" s="22">
        <f t="shared" si="176"/>
        <v>0</v>
      </c>
      <c r="AK539" s="22">
        <f t="shared" si="176"/>
        <v>0</v>
      </c>
      <c r="AL539" s="22">
        <f t="shared" si="176"/>
        <v>0</v>
      </c>
      <c r="AM539" s="22">
        <f t="shared" si="176"/>
        <v>0</v>
      </c>
      <c r="AN539" s="22">
        <f t="shared" si="176"/>
        <v>0</v>
      </c>
      <c r="AO539" s="28"/>
    </row>
    <row r="540" spans="3:41" ht="14.4" customHeight="1" outlineLevel="1" x14ac:dyDescent="0.3">
      <c r="C540" s="2"/>
      <c r="D540" s="1" t="str">
        <f>Input!C143</f>
        <v>Кварцевый или известняковый песок 0-4 мм</v>
      </c>
      <c r="H540" s="26" t="s">
        <v>146</v>
      </c>
      <c r="I540" s="159">
        <f>Input!K143</f>
        <v>0</v>
      </c>
      <c r="L540" s="22">
        <f>$I540*L$535</f>
        <v>0</v>
      </c>
      <c r="M540" s="22">
        <f t="shared" si="176"/>
        <v>0</v>
      </c>
      <c r="N540" s="22">
        <f t="shared" si="176"/>
        <v>0</v>
      </c>
      <c r="O540" s="22">
        <f t="shared" si="176"/>
        <v>0</v>
      </c>
      <c r="P540" s="22">
        <f t="shared" si="176"/>
        <v>0</v>
      </c>
      <c r="Q540" s="22">
        <f t="shared" si="176"/>
        <v>0</v>
      </c>
      <c r="R540" s="22">
        <f t="shared" si="176"/>
        <v>0</v>
      </c>
      <c r="S540" s="22">
        <f t="shared" si="176"/>
        <v>0</v>
      </c>
      <c r="T540" s="22">
        <f t="shared" si="176"/>
        <v>0</v>
      </c>
      <c r="U540" s="22">
        <f t="shared" si="176"/>
        <v>0</v>
      </c>
      <c r="V540" s="22">
        <f t="shared" si="176"/>
        <v>0</v>
      </c>
      <c r="W540" s="22">
        <f t="shared" si="176"/>
        <v>0</v>
      </c>
      <c r="X540" s="22">
        <f t="shared" si="176"/>
        <v>0</v>
      </c>
      <c r="Y540" s="22">
        <f t="shared" si="176"/>
        <v>0</v>
      </c>
      <c r="Z540" s="22">
        <f t="shared" si="176"/>
        <v>0</v>
      </c>
      <c r="AA540" s="22">
        <f t="shared" si="176"/>
        <v>0</v>
      </c>
      <c r="AB540" s="22">
        <f t="shared" si="176"/>
        <v>0</v>
      </c>
      <c r="AC540" s="22">
        <f t="shared" si="176"/>
        <v>0</v>
      </c>
      <c r="AD540" s="22">
        <f t="shared" si="176"/>
        <v>0</v>
      </c>
      <c r="AE540" s="22">
        <f t="shared" si="176"/>
        <v>0</v>
      </c>
      <c r="AF540" s="22">
        <f t="shared" si="176"/>
        <v>0</v>
      </c>
      <c r="AG540" s="22">
        <f t="shared" si="176"/>
        <v>0</v>
      </c>
      <c r="AH540" s="22">
        <f t="shared" si="176"/>
        <v>0</v>
      </c>
      <c r="AI540" s="22">
        <f t="shared" si="176"/>
        <v>0</v>
      </c>
      <c r="AJ540" s="22">
        <f t="shared" si="176"/>
        <v>0</v>
      </c>
      <c r="AK540" s="22">
        <f t="shared" si="176"/>
        <v>0</v>
      </c>
      <c r="AL540" s="22">
        <f t="shared" si="176"/>
        <v>0</v>
      </c>
      <c r="AM540" s="22">
        <f t="shared" si="176"/>
        <v>0</v>
      </c>
      <c r="AN540" s="22">
        <f t="shared" si="176"/>
        <v>0</v>
      </c>
      <c r="AO540" s="28"/>
    </row>
    <row r="541" spans="3:41" ht="14.4" customHeight="1" outlineLevel="1" x14ac:dyDescent="0.3">
      <c r="C541" s="2"/>
      <c r="D541" s="1" t="str">
        <f>Input!C144</f>
        <v>Керамзит 0-4 мм</v>
      </c>
      <c r="H541" s="26" t="s">
        <v>146</v>
      </c>
      <c r="I541" s="159">
        <f>Input!K144</f>
        <v>0</v>
      </c>
      <c r="L541" s="22">
        <f>$I541*L$535</f>
        <v>0</v>
      </c>
      <c r="M541" s="22">
        <f t="shared" si="176"/>
        <v>0</v>
      </c>
      <c r="N541" s="22">
        <f t="shared" si="176"/>
        <v>0</v>
      </c>
      <c r="O541" s="22">
        <f t="shared" si="176"/>
        <v>0</v>
      </c>
      <c r="P541" s="22">
        <f t="shared" si="176"/>
        <v>0</v>
      </c>
      <c r="Q541" s="22">
        <f t="shared" si="176"/>
        <v>0</v>
      </c>
      <c r="R541" s="22">
        <f t="shared" si="176"/>
        <v>0</v>
      </c>
      <c r="S541" s="22">
        <f t="shared" si="176"/>
        <v>0</v>
      </c>
      <c r="T541" s="22">
        <f t="shared" si="176"/>
        <v>0</v>
      </c>
      <c r="U541" s="22">
        <f t="shared" si="176"/>
        <v>0</v>
      </c>
      <c r="V541" s="22">
        <f t="shared" si="176"/>
        <v>0</v>
      </c>
      <c r="W541" s="22">
        <f t="shared" si="176"/>
        <v>0</v>
      </c>
      <c r="X541" s="22">
        <f t="shared" si="176"/>
        <v>0</v>
      </c>
      <c r="Y541" s="22">
        <f t="shared" si="176"/>
        <v>0</v>
      </c>
      <c r="Z541" s="22">
        <f t="shared" si="176"/>
        <v>0</v>
      </c>
      <c r="AA541" s="22">
        <f t="shared" si="176"/>
        <v>0</v>
      </c>
      <c r="AB541" s="22">
        <f t="shared" si="176"/>
        <v>0</v>
      </c>
      <c r="AC541" s="22">
        <f t="shared" si="176"/>
        <v>0</v>
      </c>
      <c r="AD541" s="22">
        <f t="shared" si="176"/>
        <v>0</v>
      </c>
      <c r="AE541" s="22">
        <f t="shared" si="176"/>
        <v>0</v>
      </c>
      <c r="AF541" s="22">
        <f t="shared" si="176"/>
        <v>0</v>
      </c>
      <c r="AG541" s="22">
        <f t="shared" si="176"/>
        <v>0</v>
      </c>
      <c r="AH541" s="22">
        <f t="shared" si="176"/>
        <v>0</v>
      </c>
      <c r="AI541" s="22">
        <f t="shared" si="176"/>
        <v>0</v>
      </c>
      <c r="AJ541" s="22">
        <f t="shared" si="176"/>
        <v>0</v>
      </c>
      <c r="AK541" s="22">
        <f t="shared" si="176"/>
        <v>0</v>
      </c>
      <c r="AL541" s="22">
        <f t="shared" si="176"/>
        <v>0</v>
      </c>
      <c r="AM541" s="22">
        <f t="shared" si="176"/>
        <v>0</v>
      </c>
      <c r="AN541" s="22">
        <f t="shared" si="176"/>
        <v>0</v>
      </c>
      <c r="AO541" s="28"/>
    </row>
    <row r="542" spans="3:41" ht="14.4" customHeight="1" outlineLevel="1" x14ac:dyDescent="0.3">
      <c r="C542" s="2" t="s">
        <v>285</v>
      </c>
      <c r="H542" s="26"/>
      <c r="I542" s="160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28"/>
    </row>
    <row r="543" spans="3:41" ht="14.4" customHeight="1" outlineLevel="1" x14ac:dyDescent="0.3">
      <c r="C543" s="2"/>
      <c r="D543" s="1" t="str">
        <f>Input!C146</f>
        <v>Портландцемент_до оптимизации</v>
      </c>
      <c r="H543" s="26" t="s">
        <v>146</v>
      </c>
      <c r="I543" s="159">
        <f>Input!K146</f>
        <v>0.30000000000000016</v>
      </c>
      <c r="L543" s="22">
        <f>$I543*L$535</f>
        <v>0</v>
      </c>
      <c r="M543" s="22">
        <f t="shared" ref="M543:AN543" si="177">$I543*M$535</f>
        <v>0</v>
      </c>
      <c r="N543" s="22">
        <f t="shared" si="177"/>
        <v>4767.8125000000027</v>
      </c>
      <c r="O543" s="22">
        <f t="shared" si="177"/>
        <v>5721.3750000000027</v>
      </c>
      <c r="P543" s="22">
        <f t="shared" si="177"/>
        <v>5737.0500000000029</v>
      </c>
      <c r="Q543" s="22">
        <f t="shared" si="177"/>
        <v>5721.3750000000027</v>
      </c>
      <c r="R543" s="22">
        <f t="shared" si="177"/>
        <v>5721.3750000000027</v>
      </c>
      <c r="S543" s="22">
        <f t="shared" si="177"/>
        <v>5721.3750000000027</v>
      </c>
      <c r="T543" s="22">
        <f t="shared" si="177"/>
        <v>5737.0500000000029</v>
      </c>
      <c r="U543" s="22">
        <f t="shared" si="177"/>
        <v>5721.3750000000027</v>
      </c>
      <c r="V543" s="22">
        <f t="shared" si="177"/>
        <v>5721.3750000000027</v>
      </c>
      <c r="W543" s="22">
        <f t="shared" si="177"/>
        <v>5721.3750000000027</v>
      </c>
      <c r="X543" s="22">
        <f t="shared" si="177"/>
        <v>5737.0500000000029</v>
      </c>
      <c r="Y543" s="22">
        <f t="shared" si="177"/>
        <v>5721.3750000000027</v>
      </c>
      <c r="Z543" s="22">
        <f t="shared" si="177"/>
        <v>5721.3750000000027</v>
      </c>
      <c r="AA543" s="22">
        <f t="shared" si="177"/>
        <v>5721.3750000000027</v>
      </c>
      <c r="AB543" s="22">
        <f t="shared" si="177"/>
        <v>5737.0500000000029</v>
      </c>
      <c r="AC543" s="22">
        <f t="shared" si="177"/>
        <v>953.56250000000034</v>
      </c>
      <c r="AD543" s="22">
        <f t="shared" si="177"/>
        <v>0</v>
      </c>
      <c r="AE543" s="22">
        <f t="shared" si="177"/>
        <v>0</v>
      </c>
      <c r="AF543" s="22">
        <f t="shared" si="177"/>
        <v>0</v>
      </c>
      <c r="AG543" s="22">
        <f t="shared" si="177"/>
        <v>0</v>
      </c>
      <c r="AH543" s="22">
        <f t="shared" si="177"/>
        <v>0</v>
      </c>
      <c r="AI543" s="22">
        <f t="shared" si="177"/>
        <v>0</v>
      </c>
      <c r="AJ543" s="22">
        <f t="shared" si="177"/>
        <v>0</v>
      </c>
      <c r="AK543" s="22">
        <f t="shared" si="177"/>
        <v>0</v>
      </c>
      <c r="AL543" s="22">
        <f t="shared" si="177"/>
        <v>0</v>
      </c>
      <c r="AM543" s="22">
        <f t="shared" si="177"/>
        <v>0</v>
      </c>
      <c r="AN543" s="22">
        <f t="shared" si="177"/>
        <v>0</v>
      </c>
      <c r="AO543" s="28"/>
    </row>
    <row r="544" spans="3:41" ht="14.4" customHeight="1" outlineLevel="1" x14ac:dyDescent="0.3">
      <c r="C544" s="2"/>
      <c r="D544" s="1" t="str">
        <f>Input!C147</f>
        <v>Эфир целлюлозы Mecellose PMC 50 US или FMC 2094</v>
      </c>
      <c r="H544" s="26" t="s">
        <v>146</v>
      </c>
      <c r="I544" s="159">
        <f>Input!K147</f>
        <v>2.5000000000000001E-3</v>
      </c>
      <c r="L544" s="22">
        <f>$I544*L$535</f>
        <v>0</v>
      </c>
      <c r="M544" s="22">
        <f t="shared" si="176"/>
        <v>0</v>
      </c>
      <c r="N544" s="22">
        <f t="shared" si="176"/>
        <v>39.731770833333336</v>
      </c>
      <c r="O544" s="22">
        <f t="shared" si="176"/>
        <v>47.678125000000001</v>
      </c>
      <c r="P544" s="22">
        <f t="shared" si="176"/>
        <v>47.808750000000003</v>
      </c>
      <c r="Q544" s="22">
        <f t="shared" si="176"/>
        <v>47.678125000000001</v>
      </c>
      <c r="R544" s="22">
        <f t="shared" si="176"/>
        <v>47.678125000000001</v>
      </c>
      <c r="S544" s="22">
        <f t="shared" si="176"/>
        <v>47.678125000000001</v>
      </c>
      <c r="T544" s="22">
        <f t="shared" si="176"/>
        <v>47.808750000000003</v>
      </c>
      <c r="U544" s="22">
        <f t="shared" si="176"/>
        <v>47.678125000000001</v>
      </c>
      <c r="V544" s="22">
        <f t="shared" si="176"/>
        <v>47.678125000000001</v>
      </c>
      <c r="W544" s="22">
        <f t="shared" si="176"/>
        <v>47.678125000000001</v>
      </c>
      <c r="X544" s="22">
        <f t="shared" si="176"/>
        <v>47.808750000000003</v>
      </c>
      <c r="Y544" s="22">
        <f t="shared" si="176"/>
        <v>47.678125000000001</v>
      </c>
      <c r="Z544" s="22">
        <f t="shared" si="176"/>
        <v>47.678125000000001</v>
      </c>
      <c r="AA544" s="22">
        <f t="shared" si="176"/>
        <v>47.678125000000001</v>
      </c>
      <c r="AB544" s="22">
        <f t="shared" si="176"/>
        <v>47.808750000000003</v>
      </c>
      <c r="AC544" s="22">
        <f t="shared" si="176"/>
        <v>7.9463541666666657</v>
      </c>
      <c r="AD544" s="22">
        <f t="shared" si="176"/>
        <v>0</v>
      </c>
      <c r="AE544" s="22">
        <f t="shared" si="176"/>
        <v>0</v>
      </c>
      <c r="AF544" s="22">
        <f t="shared" si="176"/>
        <v>0</v>
      </c>
      <c r="AG544" s="22">
        <f t="shared" si="176"/>
        <v>0</v>
      </c>
      <c r="AH544" s="22">
        <f t="shared" si="176"/>
        <v>0</v>
      </c>
      <c r="AI544" s="22">
        <f t="shared" si="176"/>
        <v>0</v>
      </c>
      <c r="AJ544" s="22">
        <f t="shared" si="176"/>
        <v>0</v>
      </c>
      <c r="AK544" s="22">
        <f t="shared" si="176"/>
        <v>0</v>
      </c>
      <c r="AL544" s="22">
        <f t="shared" si="176"/>
        <v>0</v>
      </c>
      <c r="AM544" s="22">
        <f t="shared" si="176"/>
        <v>0</v>
      </c>
      <c r="AN544" s="22">
        <f t="shared" si="176"/>
        <v>0</v>
      </c>
      <c r="AO544" s="28"/>
    </row>
    <row r="545" spans="2:41" ht="14.4" customHeight="1" outlineLevel="1" x14ac:dyDescent="0.3">
      <c r="C545" s="2"/>
      <c r="D545" s="1" t="str">
        <f>Input!C148</f>
        <v>Редиспергируемый сополимерный порошок Neolith P 7200</v>
      </c>
      <c r="H545" s="26" t="s">
        <v>146</v>
      </c>
      <c r="I545" s="159">
        <f>Input!K148</f>
        <v>1.4999999999999999E-2</v>
      </c>
      <c r="L545" s="22">
        <f>$I545*L$535</f>
        <v>0</v>
      </c>
      <c r="M545" s="22">
        <f t="shared" si="176"/>
        <v>0</v>
      </c>
      <c r="N545" s="22">
        <f t="shared" si="176"/>
        <v>238.390625</v>
      </c>
      <c r="O545" s="22">
        <f t="shared" si="176"/>
        <v>286.06874999999997</v>
      </c>
      <c r="P545" s="22">
        <f t="shared" si="176"/>
        <v>286.85249999999996</v>
      </c>
      <c r="Q545" s="22">
        <f t="shared" si="176"/>
        <v>286.06874999999997</v>
      </c>
      <c r="R545" s="22">
        <f t="shared" si="176"/>
        <v>286.06874999999997</v>
      </c>
      <c r="S545" s="22">
        <f t="shared" si="176"/>
        <v>286.06874999999997</v>
      </c>
      <c r="T545" s="22">
        <f t="shared" si="176"/>
        <v>286.85249999999996</v>
      </c>
      <c r="U545" s="22">
        <f t="shared" si="176"/>
        <v>286.06874999999997</v>
      </c>
      <c r="V545" s="22">
        <f t="shared" si="176"/>
        <v>286.06874999999997</v>
      </c>
      <c r="W545" s="22">
        <f t="shared" si="176"/>
        <v>286.06874999999997</v>
      </c>
      <c r="X545" s="22">
        <f t="shared" si="176"/>
        <v>286.85249999999996</v>
      </c>
      <c r="Y545" s="22">
        <f t="shared" si="176"/>
        <v>286.06874999999997</v>
      </c>
      <c r="Z545" s="22">
        <f t="shared" si="176"/>
        <v>286.06874999999997</v>
      </c>
      <c r="AA545" s="22">
        <f t="shared" si="176"/>
        <v>286.06874999999997</v>
      </c>
      <c r="AB545" s="22">
        <f t="shared" si="176"/>
        <v>286.85249999999996</v>
      </c>
      <c r="AC545" s="22">
        <f t="shared" si="176"/>
        <v>47.678124999999987</v>
      </c>
      <c r="AD545" s="22">
        <f t="shared" si="176"/>
        <v>0</v>
      </c>
      <c r="AE545" s="22">
        <f t="shared" si="176"/>
        <v>0</v>
      </c>
      <c r="AF545" s="22">
        <f t="shared" si="176"/>
        <v>0</v>
      </c>
      <c r="AG545" s="22">
        <f t="shared" si="176"/>
        <v>0</v>
      </c>
      <c r="AH545" s="22">
        <f t="shared" si="176"/>
        <v>0</v>
      </c>
      <c r="AI545" s="22">
        <f t="shared" si="176"/>
        <v>0</v>
      </c>
      <c r="AJ545" s="22">
        <f t="shared" si="176"/>
        <v>0</v>
      </c>
      <c r="AK545" s="22">
        <f t="shared" si="176"/>
        <v>0</v>
      </c>
      <c r="AL545" s="22">
        <f t="shared" si="176"/>
        <v>0</v>
      </c>
      <c r="AM545" s="22">
        <f t="shared" si="176"/>
        <v>0</v>
      </c>
      <c r="AN545" s="22">
        <f t="shared" si="176"/>
        <v>0</v>
      </c>
      <c r="AO545" s="28"/>
    </row>
    <row r="546" spans="2:41" ht="14.4" customHeight="1" outlineLevel="1" x14ac:dyDescent="0.3">
      <c r="C546" s="2"/>
      <c r="D546" s="1" t="str">
        <f>Input!C149</f>
        <v>Порообразователь Esapon 1214</v>
      </c>
      <c r="H546" s="26" t="s">
        <v>146</v>
      </c>
      <c r="I546" s="159">
        <f>Input!K149</f>
        <v>5.0000000000000001E-4</v>
      </c>
      <c r="L546" s="22">
        <f>$I546*L$535</f>
        <v>0</v>
      </c>
      <c r="M546" s="22">
        <f t="shared" si="176"/>
        <v>0</v>
      </c>
      <c r="N546" s="22">
        <f t="shared" si="176"/>
        <v>7.9463541666666675</v>
      </c>
      <c r="O546" s="22">
        <f t="shared" si="176"/>
        <v>9.5356249999999996</v>
      </c>
      <c r="P546" s="22">
        <f t="shared" si="176"/>
        <v>9.56175</v>
      </c>
      <c r="Q546" s="22">
        <f t="shared" si="176"/>
        <v>9.5356249999999996</v>
      </c>
      <c r="R546" s="22">
        <f t="shared" si="176"/>
        <v>9.5356249999999996</v>
      </c>
      <c r="S546" s="22">
        <f t="shared" si="176"/>
        <v>9.5356249999999996</v>
      </c>
      <c r="T546" s="22">
        <f t="shared" si="176"/>
        <v>9.56175</v>
      </c>
      <c r="U546" s="22">
        <f t="shared" si="176"/>
        <v>9.5356249999999996</v>
      </c>
      <c r="V546" s="22">
        <f t="shared" si="176"/>
        <v>9.5356249999999996</v>
      </c>
      <c r="W546" s="22">
        <f t="shared" si="176"/>
        <v>9.5356249999999996</v>
      </c>
      <c r="X546" s="22">
        <f t="shared" si="176"/>
        <v>9.56175</v>
      </c>
      <c r="Y546" s="22">
        <f t="shared" si="176"/>
        <v>9.5356249999999996</v>
      </c>
      <c r="Z546" s="22">
        <f t="shared" si="176"/>
        <v>9.5356249999999996</v>
      </c>
      <c r="AA546" s="22">
        <f t="shared" si="176"/>
        <v>9.5356249999999996</v>
      </c>
      <c r="AB546" s="22">
        <f t="shared" si="176"/>
        <v>9.56175</v>
      </c>
      <c r="AC546" s="22">
        <f t="shared" si="176"/>
        <v>1.589270833333333</v>
      </c>
      <c r="AD546" s="22">
        <f t="shared" si="176"/>
        <v>0</v>
      </c>
      <c r="AE546" s="22">
        <f t="shared" ref="M546:AN552" si="178">$I546*AE$535</f>
        <v>0</v>
      </c>
      <c r="AF546" s="22">
        <f t="shared" si="178"/>
        <v>0</v>
      </c>
      <c r="AG546" s="22">
        <f t="shared" si="178"/>
        <v>0</v>
      </c>
      <c r="AH546" s="22">
        <f t="shared" si="178"/>
        <v>0</v>
      </c>
      <c r="AI546" s="22">
        <f t="shared" si="178"/>
        <v>0</v>
      </c>
      <c r="AJ546" s="22">
        <f t="shared" si="178"/>
        <v>0</v>
      </c>
      <c r="AK546" s="22">
        <f t="shared" si="178"/>
        <v>0</v>
      </c>
      <c r="AL546" s="22">
        <f t="shared" si="178"/>
        <v>0</v>
      </c>
      <c r="AM546" s="22">
        <f t="shared" si="178"/>
        <v>0</v>
      </c>
      <c r="AN546" s="22">
        <f t="shared" si="178"/>
        <v>0</v>
      </c>
      <c r="AO546" s="28"/>
    </row>
    <row r="547" spans="2:41" ht="14.4" customHeight="1" outlineLevel="1" x14ac:dyDescent="0.3">
      <c r="C547" s="2" t="s">
        <v>286</v>
      </c>
      <c r="H547" s="26"/>
      <c r="I547" s="160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28"/>
    </row>
    <row r="548" spans="2:41" ht="14.4" customHeight="1" outlineLevel="1" x14ac:dyDescent="0.3">
      <c r="C548" s="2"/>
      <c r="D548" s="1" t="str">
        <f>Input!C151</f>
        <v>Портландцемент_после оптимизации</v>
      </c>
      <c r="H548" s="26" t="s">
        <v>146</v>
      </c>
      <c r="I548" s="159">
        <f>Input!K151</f>
        <v>0.31095000000000006</v>
      </c>
      <c r="L548" s="22">
        <f>$I548*L$535</f>
        <v>0</v>
      </c>
      <c r="M548" s="22">
        <f t="shared" ref="M548:AN548" si="179">$I548*M$535</f>
        <v>0</v>
      </c>
      <c r="N548" s="22">
        <f t="shared" si="179"/>
        <v>4941.8376562500007</v>
      </c>
      <c r="O548" s="22">
        <f t="shared" si="179"/>
        <v>5930.2051875000016</v>
      </c>
      <c r="P548" s="22">
        <f t="shared" si="179"/>
        <v>5946.4523250000011</v>
      </c>
      <c r="Q548" s="22">
        <f t="shared" si="179"/>
        <v>5930.2051875000016</v>
      </c>
      <c r="R548" s="22">
        <f t="shared" si="179"/>
        <v>5930.2051875000016</v>
      </c>
      <c r="S548" s="22">
        <f t="shared" si="179"/>
        <v>5930.2051875000016</v>
      </c>
      <c r="T548" s="22">
        <f t="shared" si="179"/>
        <v>5946.4523250000011</v>
      </c>
      <c r="U548" s="22">
        <f t="shared" si="179"/>
        <v>5930.2051875000016</v>
      </c>
      <c r="V548" s="22">
        <f t="shared" si="179"/>
        <v>5930.2051875000016</v>
      </c>
      <c r="W548" s="22">
        <f t="shared" si="179"/>
        <v>5930.2051875000016</v>
      </c>
      <c r="X548" s="22">
        <f t="shared" si="179"/>
        <v>5946.4523250000011</v>
      </c>
      <c r="Y548" s="22">
        <f t="shared" si="179"/>
        <v>5930.2051875000016</v>
      </c>
      <c r="Z548" s="22">
        <f t="shared" si="179"/>
        <v>5930.2051875000016</v>
      </c>
      <c r="AA548" s="22">
        <f t="shared" si="179"/>
        <v>5930.2051875000016</v>
      </c>
      <c r="AB548" s="22">
        <f t="shared" si="179"/>
        <v>5946.4523250000011</v>
      </c>
      <c r="AC548" s="22">
        <f t="shared" si="179"/>
        <v>988.36753124999996</v>
      </c>
      <c r="AD548" s="22">
        <f t="shared" si="179"/>
        <v>0</v>
      </c>
      <c r="AE548" s="22">
        <f t="shared" si="179"/>
        <v>0</v>
      </c>
      <c r="AF548" s="22">
        <f t="shared" si="179"/>
        <v>0</v>
      </c>
      <c r="AG548" s="22">
        <f t="shared" si="179"/>
        <v>0</v>
      </c>
      <c r="AH548" s="22">
        <f t="shared" si="179"/>
        <v>0</v>
      </c>
      <c r="AI548" s="22">
        <f t="shared" si="179"/>
        <v>0</v>
      </c>
      <c r="AJ548" s="22">
        <f t="shared" si="179"/>
        <v>0</v>
      </c>
      <c r="AK548" s="22">
        <f t="shared" si="179"/>
        <v>0</v>
      </c>
      <c r="AL548" s="22">
        <f t="shared" si="179"/>
        <v>0</v>
      </c>
      <c r="AM548" s="22">
        <f t="shared" si="179"/>
        <v>0</v>
      </c>
      <c r="AN548" s="22">
        <f t="shared" si="179"/>
        <v>0</v>
      </c>
      <c r="AO548" s="28"/>
    </row>
    <row r="549" spans="2:41" ht="14.4" customHeight="1" outlineLevel="1" x14ac:dyDescent="0.3">
      <c r="C549" s="2"/>
      <c r="D549" s="1" t="str">
        <f>Input!C152</f>
        <v>Эфир крахмала Esamid NA</v>
      </c>
      <c r="H549" s="26" t="s">
        <v>146</v>
      </c>
      <c r="I549" s="159">
        <f>Input!K152</f>
        <v>5.0000000000000002E-5</v>
      </c>
      <c r="L549" s="22">
        <f>$I549*L$535</f>
        <v>0</v>
      </c>
      <c r="M549" s="22">
        <f t="shared" si="178"/>
        <v>0</v>
      </c>
      <c r="N549" s="22">
        <f t="shared" si="178"/>
        <v>0.79463541666666671</v>
      </c>
      <c r="O549" s="22">
        <f t="shared" si="178"/>
        <v>0.95356250000000009</v>
      </c>
      <c r="P549" s="22">
        <f t="shared" si="178"/>
        <v>0.956175</v>
      </c>
      <c r="Q549" s="22">
        <f t="shared" si="178"/>
        <v>0.95356250000000009</v>
      </c>
      <c r="R549" s="22">
        <f t="shared" si="178"/>
        <v>0.95356250000000009</v>
      </c>
      <c r="S549" s="22">
        <f t="shared" si="178"/>
        <v>0.95356250000000009</v>
      </c>
      <c r="T549" s="22">
        <f t="shared" si="178"/>
        <v>0.956175</v>
      </c>
      <c r="U549" s="22">
        <f t="shared" si="178"/>
        <v>0.95356250000000009</v>
      </c>
      <c r="V549" s="22">
        <f t="shared" si="178"/>
        <v>0.95356250000000009</v>
      </c>
      <c r="W549" s="22">
        <f t="shared" si="178"/>
        <v>0.95356250000000009</v>
      </c>
      <c r="X549" s="22">
        <f t="shared" si="178"/>
        <v>0.956175</v>
      </c>
      <c r="Y549" s="22">
        <f t="shared" si="178"/>
        <v>0.95356250000000009</v>
      </c>
      <c r="Z549" s="22">
        <f t="shared" si="178"/>
        <v>0.95356250000000009</v>
      </c>
      <c r="AA549" s="22">
        <f t="shared" si="178"/>
        <v>0.95356250000000009</v>
      </c>
      <c r="AB549" s="22">
        <f t="shared" si="178"/>
        <v>0.956175</v>
      </c>
      <c r="AC549" s="22">
        <f t="shared" si="178"/>
        <v>0.1589270833333333</v>
      </c>
      <c r="AD549" s="22">
        <f t="shared" si="178"/>
        <v>0</v>
      </c>
      <c r="AE549" s="22">
        <f t="shared" si="178"/>
        <v>0</v>
      </c>
      <c r="AF549" s="22">
        <f t="shared" si="178"/>
        <v>0</v>
      </c>
      <c r="AG549" s="22">
        <f t="shared" si="178"/>
        <v>0</v>
      </c>
      <c r="AH549" s="22">
        <f t="shared" si="178"/>
        <v>0</v>
      </c>
      <c r="AI549" s="22">
        <f t="shared" si="178"/>
        <v>0</v>
      </c>
      <c r="AJ549" s="22">
        <f t="shared" si="178"/>
        <v>0</v>
      </c>
      <c r="AK549" s="22">
        <f t="shared" si="178"/>
        <v>0</v>
      </c>
      <c r="AL549" s="22">
        <f t="shared" si="178"/>
        <v>0</v>
      </c>
      <c r="AM549" s="22">
        <f t="shared" si="178"/>
        <v>0</v>
      </c>
      <c r="AN549" s="22">
        <f t="shared" si="178"/>
        <v>0</v>
      </c>
      <c r="AO549" s="28"/>
    </row>
    <row r="550" spans="2:41" ht="14.4" customHeight="1" outlineLevel="1" x14ac:dyDescent="0.3">
      <c r="C550" s="2"/>
      <c r="D550" s="1" t="str">
        <f>Input!C153</f>
        <v>Гидрофобизатор (олеат Na, стеараты)</v>
      </c>
      <c r="H550" s="26" t="s">
        <v>146</v>
      </c>
      <c r="I550" s="159">
        <f>Input!K153</f>
        <v>1E-3</v>
      </c>
      <c r="L550" s="22">
        <f>$I550*L$535</f>
        <v>0</v>
      </c>
      <c r="M550" s="22">
        <f t="shared" si="178"/>
        <v>0</v>
      </c>
      <c r="N550" s="22">
        <f t="shared" si="178"/>
        <v>15.892708333333335</v>
      </c>
      <c r="O550" s="22">
        <f t="shared" si="178"/>
        <v>19.071249999999999</v>
      </c>
      <c r="P550" s="22">
        <f t="shared" si="178"/>
        <v>19.1235</v>
      </c>
      <c r="Q550" s="22">
        <f t="shared" si="178"/>
        <v>19.071249999999999</v>
      </c>
      <c r="R550" s="22">
        <f t="shared" si="178"/>
        <v>19.071249999999999</v>
      </c>
      <c r="S550" s="22">
        <f t="shared" si="178"/>
        <v>19.071249999999999</v>
      </c>
      <c r="T550" s="22">
        <f t="shared" si="178"/>
        <v>19.1235</v>
      </c>
      <c r="U550" s="22">
        <f t="shared" si="178"/>
        <v>19.071249999999999</v>
      </c>
      <c r="V550" s="22">
        <f t="shared" si="178"/>
        <v>19.071249999999999</v>
      </c>
      <c r="W550" s="22">
        <f t="shared" si="178"/>
        <v>19.071249999999999</v>
      </c>
      <c r="X550" s="22">
        <f t="shared" si="178"/>
        <v>19.1235</v>
      </c>
      <c r="Y550" s="22">
        <f t="shared" si="178"/>
        <v>19.071249999999999</v>
      </c>
      <c r="Z550" s="22">
        <f t="shared" si="178"/>
        <v>19.071249999999999</v>
      </c>
      <c r="AA550" s="22">
        <f t="shared" si="178"/>
        <v>19.071249999999999</v>
      </c>
      <c r="AB550" s="22">
        <f t="shared" si="178"/>
        <v>19.1235</v>
      </c>
      <c r="AC550" s="22">
        <f t="shared" si="178"/>
        <v>3.1785416666666659</v>
      </c>
      <c r="AD550" s="22">
        <f t="shared" si="178"/>
        <v>0</v>
      </c>
      <c r="AE550" s="22">
        <f t="shared" si="178"/>
        <v>0</v>
      </c>
      <c r="AF550" s="22">
        <f t="shared" si="178"/>
        <v>0</v>
      </c>
      <c r="AG550" s="22">
        <f t="shared" si="178"/>
        <v>0</v>
      </c>
      <c r="AH550" s="22">
        <f t="shared" si="178"/>
        <v>0</v>
      </c>
      <c r="AI550" s="22">
        <f t="shared" si="178"/>
        <v>0</v>
      </c>
      <c r="AJ550" s="22">
        <f t="shared" si="178"/>
        <v>0</v>
      </c>
      <c r="AK550" s="22">
        <f t="shared" si="178"/>
        <v>0</v>
      </c>
      <c r="AL550" s="22">
        <f t="shared" si="178"/>
        <v>0</v>
      </c>
      <c r="AM550" s="22">
        <f t="shared" si="178"/>
        <v>0</v>
      </c>
      <c r="AN550" s="22">
        <f t="shared" si="178"/>
        <v>0</v>
      </c>
      <c r="AO550" s="28"/>
    </row>
    <row r="551" spans="2:41" ht="14.4" customHeight="1" outlineLevel="1" x14ac:dyDescent="0.3">
      <c r="C551" s="2"/>
      <c r="D551" s="1" t="str">
        <f>Input!C154</f>
        <v>Суперпластификатор Melment F 10</v>
      </c>
      <c r="H551" s="26" t="s">
        <v>146</v>
      </c>
      <c r="I551" s="159">
        <f>Input!K154</f>
        <v>1E-3</v>
      </c>
      <c r="L551" s="22">
        <f>$I551*L$535</f>
        <v>0</v>
      </c>
      <c r="M551" s="22">
        <f t="shared" si="178"/>
        <v>0</v>
      </c>
      <c r="N551" s="22">
        <f t="shared" si="178"/>
        <v>15.892708333333335</v>
      </c>
      <c r="O551" s="22">
        <f t="shared" si="178"/>
        <v>19.071249999999999</v>
      </c>
      <c r="P551" s="22">
        <f t="shared" si="178"/>
        <v>19.1235</v>
      </c>
      <c r="Q551" s="22">
        <f t="shared" si="178"/>
        <v>19.071249999999999</v>
      </c>
      <c r="R551" s="22">
        <f t="shared" si="178"/>
        <v>19.071249999999999</v>
      </c>
      <c r="S551" s="22">
        <f t="shared" si="178"/>
        <v>19.071249999999999</v>
      </c>
      <c r="T551" s="22">
        <f t="shared" si="178"/>
        <v>19.1235</v>
      </c>
      <c r="U551" s="22">
        <f t="shared" si="178"/>
        <v>19.071249999999999</v>
      </c>
      <c r="V551" s="22">
        <f t="shared" si="178"/>
        <v>19.071249999999999</v>
      </c>
      <c r="W551" s="22">
        <f t="shared" si="178"/>
        <v>19.071249999999999</v>
      </c>
      <c r="X551" s="22">
        <f t="shared" si="178"/>
        <v>19.1235</v>
      </c>
      <c r="Y551" s="22">
        <f t="shared" si="178"/>
        <v>19.071249999999999</v>
      </c>
      <c r="Z551" s="22">
        <f t="shared" si="178"/>
        <v>19.071249999999999</v>
      </c>
      <c r="AA551" s="22">
        <f t="shared" si="178"/>
        <v>19.071249999999999</v>
      </c>
      <c r="AB551" s="22">
        <f t="shared" si="178"/>
        <v>19.1235</v>
      </c>
      <c r="AC551" s="22">
        <f t="shared" si="178"/>
        <v>3.1785416666666659</v>
      </c>
      <c r="AD551" s="22">
        <f t="shared" si="178"/>
        <v>0</v>
      </c>
      <c r="AE551" s="22">
        <f t="shared" si="178"/>
        <v>0</v>
      </c>
      <c r="AF551" s="22">
        <f t="shared" si="178"/>
        <v>0</v>
      </c>
      <c r="AG551" s="22">
        <f t="shared" si="178"/>
        <v>0</v>
      </c>
      <c r="AH551" s="22">
        <f t="shared" si="178"/>
        <v>0</v>
      </c>
      <c r="AI551" s="22">
        <f t="shared" si="178"/>
        <v>0</v>
      </c>
      <c r="AJ551" s="22">
        <f t="shared" si="178"/>
        <v>0</v>
      </c>
      <c r="AK551" s="22">
        <f t="shared" si="178"/>
        <v>0</v>
      </c>
      <c r="AL551" s="22">
        <f t="shared" si="178"/>
        <v>0</v>
      </c>
      <c r="AM551" s="22">
        <f t="shared" si="178"/>
        <v>0</v>
      </c>
      <c r="AN551" s="22">
        <f t="shared" si="178"/>
        <v>0</v>
      </c>
      <c r="AO551" s="28"/>
    </row>
    <row r="552" spans="2:41" ht="14.4" customHeight="1" outlineLevel="1" x14ac:dyDescent="0.3">
      <c r="C552" s="2"/>
      <c r="D552" s="1" t="str">
        <f>Input!C155</f>
        <v>Ускоритель схватывания (формиат Са)</v>
      </c>
      <c r="H552" s="26" t="s">
        <v>146</v>
      </c>
      <c r="I552" s="159">
        <f>Input!K155</f>
        <v>5.0000000000000001E-3</v>
      </c>
      <c r="L552" s="22">
        <f>$I552*L$535</f>
        <v>0</v>
      </c>
      <c r="M552" s="22">
        <f t="shared" si="178"/>
        <v>0</v>
      </c>
      <c r="N552" s="22">
        <f t="shared" si="178"/>
        <v>79.463541666666671</v>
      </c>
      <c r="O552" s="22">
        <f t="shared" si="178"/>
        <v>95.356250000000003</v>
      </c>
      <c r="P552" s="22">
        <f t="shared" si="178"/>
        <v>95.617500000000007</v>
      </c>
      <c r="Q552" s="22">
        <f t="shared" si="178"/>
        <v>95.356250000000003</v>
      </c>
      <c r="R552" s="22">
        <f t="shared" si="178"/>
        <v>95.356250000000003</v>
      </c>
      <c r="S552" s="22">
        <f t="shared" si="178"/>
        <v>95.356250000000003</v>
      </c>
      <c r="T552" s="22">
        <f t="shared" si="178"/>
        <v>95.617500000000007</v>
      </c>
      <c r="U552" s="22">
        <f t="shared" si="178"/>
        <v>95.356250000000003</v>
      </c>
      <c r="V552" s="22">
        <f t="shared" si="178"/>
        <v>95.356250000000003</v>
      </c>
      <c r="W552" s="22">
        <f t="shared" si="178"/>
        <v>95.356250000000003</v>
      </c>
      <c r="X552" s="22">
        <f t="shared" si="178"/>
        <v>95.617500000000007</v>
      </c>
      <c r="Y552" s="22">
        <f t="shared" si="178"/>
        <v>95.356250000000003</v>
      </c>
      <c r="Z552" s="22">
        <f t="shared" si="178"/>
        <v>95.356250000000003</v>
      </c>
      <c r="AA552" s="22">
        <f t="shared" si="178"/>
        <v>95.356250000000003</v>
      </c>
      <c r="AB552" s="22">
        <f t="shared" si="178"/>
        <v>95.617500000000007</v>
      </c>
      <c r="AC552" s="22">
        <f t="shared" si="178"/>
        <v>15.892708333333331</v>
      </c>
      <c r="AD552" s="22">
        <f t="shared" si="178"/>
        <v>0</v>
      </c>
      <c r="AE552" s="22">
        <f t="shared" si="178"/>
        <v>0</v>
      </c>
      <c r="AF552" s="22">
        <f t="shared" si="178"/>
        <v>0</v>
      </c>
      <c r="AG552" s="22">
        <f t="shared" si="178"/>
        <v>0</v>
      </c>
      <c r="AH552" s="22">
        <f t="shared" si="178"/>
        <v>0</v>
      </c>
      <c r="AI552" s="22">
        <f t="shared" si="178"/>
        <v>0</v>
      </c>
      <c r="AJ552" s="22">
        <f t="shared" si="178"/>
        <v>0</v>
      </c>
      <c r="AK552" s="22">
        <f t="shared" si="178"/>
        <v>0</v>
      </c>
      <c r="AL552" s="22">
        <f t="shared" si="178"/>
        <v>0</v>
      </c>
      <c r="AM552" s="22">
        <f t="shared" si="178"/>
        <v>0</v>
      </c>
      <c r="AN552" s="22">
        <f t="shared" si="178"/>
        <v>0</v>
      </c>
      <c r="AO552" s="28"/>
    </row>
    <row r="553" spans="2:41" ht="14.4" customHeight="1" outlineLevel="1" x14ac:dyDescent="0.3">
      <c r="H553" s="26"/>
      <c r="I553" s="36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28"/>
    </row>
    <row r="554" spans="2:41" ht="14.4" customHeight="1" outlineLevel="1" x14ac:dyDescent="0.3">
      <c r="B554" s="18" t="str">
        <f>Input!A159</f>
        <v>PPI,  (RUB)</v>
      </c>
      <c r="C554" s="2" t="s">
        <v>249</v>
      </c>
      <c r="H554" s="26"/>
      <c r="I554" s="36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28"/>
    </row>
    <row r="555" spans="2:41" ht="14.4" customHeight="1" outlineLevel="1" x14ac:dyDescent="0.3">
      <c r="D555" s="1" t="s">
        <v>195</v>
      </c>
      <c r="H555" s="26" t="s">
        <v>225</v>
      </c>
      <c r="I555" s="33">
        <f>Input!H160</f>
        <v>5600</v>
      </c>
      <c r="L555" s="22">
        <f t="shared" ref="L555:U568" si="180">$I555*INDEX(L$58:L$62,MATCH($B$554,$C$58:$C$62,0))</f>
        <v>5600</v>
      </c>
      <c r="M555" s="22">
        <f t="shared" si="180"/>
        <v>5824</v>
      </c>
      <c r="N555" s="22">
        <f t="shared" si="180"/>
        <v>6056.9600000000009</v>
      </c>
      <c r="O555" s="22">
        <f t="shared" si="180"/>
        <v>6299.2384000000002</v>
      </c>
      <c r="P555" s="22">
        <f t="shared" si="180"/>
        <v>6551.2079360000016</v>
      </c>
      <c r="Q555" s="22">
        <f t="shared" si="180"/>
        <v>6813.2562534400022</v>
      </c>
      <c r="R555" s="22">
        <f t="shared" si="180"/>
        <v>7085.7865035776022</v>
      </c>
      <c r="S555" s="22">
        <f t="shared" si="180"/>
        <v>7369.2179637207064</v>
      </c>
      <c r="T555" s="22">
        <f t="shared" si="180"/>
        <v>7663.9866822695349</v>
      </c>
      <c r="U555" s="22">
        <f t="shared" si="180"/>
        <v>7970.5461495603167</v>
      </c>
      <c r="V555" s="22">
        <f t="shared" ref="V555:AE568" si="181">$I555*INDEX(V$58:V$62,MATCH($B$554,$C$58:$C$62,0))</f>
        <v>8289.3679955427306</v>
      </c>
      <c r="W555" s="22">
        <f t="shared" si="181"/>
        <v>8620.9427153644392</v>
      </c>
      <c r="X555" s="22">
        <f t="shared" si="181"/>
        <v>8965.7804239790185</v>
      </c>
      <c r="Y555" s="22">
        <f t="shared" si="181"/>
        <v>9324.4116409381786</v>
      </c>
      <c r="Z555" s="22">
        <f t="shared" si="181"/>
        <v>9697.388106575705</v>
      </c>
      <c r="AA555" s="22">
        <f t="shared" si="181"/>
        <v>10085.283630838734</v>
      </c>
      <c r="AB555" s="22">
        <f t="shared" si="181"/>
        <v>10488.694976072284</v>
      </c>
      <c r="AC555" s="22">
        <f t="shared" si="181"/>
        <v>10908.242775115175</v>
      </c>
      <c r="AD555" s="22">
        <f t="shared" si="181"/>
        <v>0</v>
      </c>
      <c r="AE555" s="22">
        <f t="shared" si="181"/>
        <v>0</v>
      </c>
      <c r="AF555" s="22">
        <f t="shared" ref="AF555:AN568" si="182">$I555*INDEX(AF$58:AF$62,MATCH($B$554,$C$58:$C$62,0))</f>
        <v>0</v>
      </c>
      <c r="AG555" s="22">
        <f t="shared" si="182"/>
        <v>0</v>
      </c>
      <c r="AH555" s="22">
        <f t="shared" si="182"/>
        <v>0</v>
      </c>
      <c r="AI555" s="22">
        <f t="shared" si="182"/>
        <v>0</v>
      </c>
      <c r="AJ555" s="22">
        <f t="shared" si="182"/>
        <v>0</v>
      </c>
      <c r="AK555" s="22">
        <f t="shared" si="182"/>
        <v>0</v>
      </c>
      <c r="AL555" s="22">
        <f t="shared" si="182"/>
        <v>0</v>
      </c>
      <c r="AM555" s="22">
        <f t="shared" si="182"/>
        <v>0</v>
      </c>
      <c r="AN555" s="22">
        <f t="shared" si="182"/>
        <v>0</v>
      </c>
      <c r="AO555" s="28"/>
    </row>
    <row r="556" spans="2:41" ht="14.4" customHeight="1" outlineLevel="1" x14ac:dyDescent="0.3">
      <c r="D556" s="1" t="str">
        <f>Input!C161</f>
        <v>Гашеная известь</v>
      </c>
      <c r="H556" s="26" t="s">
        <v>225</v>
      </c>
      <c r="I556" s="33">
        <f>Input!H161</f>
        <v>6900</v>
      </c>
      <c r="L556" s="22">
        <f t="shared" si="180"/>
        <v>6900</v>
      </c>
      <c r="M556" s="22">
        <f t="shared" si="180"/>
        <v>7176</v>
      </c>
      <c r="N556" s="22">
        <f t="shared" si="180"/>
        <v>7463.0400000000009</v>
      </c>
      <c r="O556" s="22">
        <f t="shared" si="180"/>
        <v>7761.5616000000009</v>
      </c>
      <c r="P556" s="22">
        <f t="shared" si="180"/>
        <v>8072.0240640000011</v>
      </c>
      <c r="Q556" s="22">
        <f t="shared" si="180"/>
        <v>8394.9050265600017</v>
      </c>
      <c r="R556" s="22">
        <f t="shared" si="180"/>
        <v>8730.7012276224032</v>
      </c>
      <c r="S556" s="22">
        <f t="shared" si="180"/>
        <v>9079.9292767273</v>
      </c>
      <c r="T556" s="22">
        <f t="shared" si="180"/>
        <v>9443.1264477963905</v>
      </c>
      <c r="U556" s="22">
        <f t="shared" si="180"/>
        <v>9820.8515057082477</v>
      </c>
      <c r="V556" s="22">
        <f t="shared" si="181"/>
        <v>10213.685565936577</v>
      </c>
      <c r="W556" s="22">
        <f t="shared" si="181"/>
        <v>10622.232988574042</v>
      </c>
      <c r="X556" s="22">
        <f t="shared" si="181"/>
        <v>11047.122308117005</v>
      </c>
      <c r="Y556" s="22">
        <f t="shared" si="181"/>
        <v>11489.007200441685</v>
      </c>
      <c r="Z556" s="22">
        <f t="shared" si="181"/>
        <v>11948.567488459352</v>
      </c>
      <c r="AA556" s="22">
        <f t="shared" si="181"/>
        <v>12426.510187997725</v>
      </c>
      <c r="AB556" s="22">
        <f t="shared" si="181"/>
        <v>12923.570595517635</v>
      </c>
      <c r="AC556" s="22">
        <f t="shared" si="181"/>
        <v>13440.513419338342</v>
      </c>
      <c r="AD556" s="22">
        <f t="shared" si="181"/>
        <v>0</v>
      </c>
      <c r="AE556" s="22">
        <f t="shared" si="181"/>
        <v>0</v>
      </c>
      <c r="AF556" s="22">
        <f t="shared" si="182"/>
        <v>0</v>
      </c>
      <c r="AG556" s="22">
        <f t="shared" si="182"/>
        <v>0</v>
      </c>
      <c r="AH556" s="22">
        <f t="shared" si="182"/>
        <v>0</v>
      </c>
      <c r="AI556" s="22">
        <f t="shared" si="182"/>
        <v>0</v>
      </c>
      <c r="AJ556" s="22">
        <f t="shared" si="182"/>
        <v>0</v>
      </c>
      <c r="AK556" s="22">
        <f t="shared" si="182"/>
        <v>0</v>
      </c>
      <c r="AL556" s="22">
        <f t="shared" si="182"/>
        <v>0</v>
      </c>
      <c r="AM556" s="22">
        <f t="shared" si="182"/>
        <v>0</v>
      </c>
      <c r="AN556" s="22">
        <f t="shared" si="182"/>
        <v>0</v>
      </c>
      <c r="AO556" s="28"/>
    </row>
    <row r="557" spans="2:41" ht="14.4" customHeight="1" outlineLevel="1" x14ac:dyDescent="0.3">
      <c r="D557" s="1" t="str">
        <f>Input!C162</f>
        <v>Известняковая мука</v>
      </c>
      <c r="H557" s="26" t="s">
        <v>225</v>
      </c>
      <c r="I557" s="33">
        <f>Input!H162</f>
        <v>4000</v>
      </c>
      <c r="L557" s="22">
        <f t="shared" si="180"/>
        <v>4000</v>
      </c>
      <c r="M557" s="22">
        <f t="shared" si="180"/>
        <v>4160</v>
      </c>
      <c r="N557" s="22">
        <f t="shared" si="180"/>
        <v>4326.4000000000005</v>
      </c>
      <c r="O557" s="22">
        <f t="shared" si="180"/>
        <v>4499.4560000000001</v>
      </c>
      <c r="P557" s="22">
        <f t="shared" si="180"/>
        <v>4679.4342400000005</v>
      </c>
      <c r="Q557" s="22">
        <f t="shared" si="180"/>
        <v>4866.6116096000014</v>
      </c>
      <c r="R557" s="22">
        <f t="shared" si="180"/>
        <v>5061.2760739840014</v>
      </c>
      <c r="S557" s="22">
        <f t="shared" si="180"/>
        <v>5263.7271169433616</v>
      </c>
      <c r="T557" s="22">
        <f t="shared" si="180"/>
        <v>5474.2762016210963</v>
      </c>
      <c r="U557" s="22">
        <f t="shared" si="180"/>
        <v>5693.2472496859409</v>
      </c>
      <c r="V557" s="22">
        <f t="shared" si="181"/>
        <v>5920.9771396733786</v>
      </c>
      <c r="W557" s="22">
        <f t="shared" si="181"/>
        <v>6157.8162252603142</v>
      </c>
      <c r="X557" s="22">
        <f t="shared" si="181"/>
        <v>6404.1288742707266</v>
      </c>
      <c r="Y557" s="22">
        <f t="shared" si="181"/>
        <v>6660.294029241556</v>
      </c>
      <c r="Z557" s="22">
        <f t="shared" si="181"/>
        <v>6926.705790411218</v>
      </c>
      <c r="AA557" s="22">
        <f t="shared" si="181"/>
        <v>7203.7740220276673</v>
      </c>
      <c r="AB557" s="22">
        <f t="shared" si="181"/>
        <v>7491.9249829087739</v>
      </c>
      <c r="AC557" s="22">
        <f t="shared" si="181"/>
        <v>7791.6019822251255</v>
      </c>
      <c r="AD557" s="22">
        <f t="shared" si="181"/>
        <v>0</v>
      </c>
      <c r="AE557" s="22">
        <f t="shared" si="181"/>
        <v>0</v>
      </c>
      <c r="AF557" s="22">
        <f t="shared" si="182"/>
        <v>0</v>
      </c>
      <c r="AG557" s="22">
        <f t="shared" si="182"/>
        <v>0</v>
      </c>
      <c r="AH557" s="22">
        <f t="shared" si="182"/>
        <v>0</v>
      </c>
      <c r="AI557" s="22">
        <f t="shared" si="182"/>
        <v>0</v>
      </c>
      <c r="AJ557" s="22">
        <f t="shared" si="182"/>
        <v>0</v>
      </c>
      <c r="AK557" s="22">
        <f t="shared" si="182"/>
        <v>0</v>
      </c>
      <c r="AL557" s="22">
        <f t="shared" si="182"/>
        <v>0</v>
      </c>
      <c r="AM557" s="22">
        <f t="shared" si="182"/>
        <v>0</v>
      </c>
      <c r="AN557" s="22">
        <f t="shared" si="182"/>
        <v>0</v>
      </c>
      <c r="AO557" s="28"/>
    </row>
    <row r="558" spans="2:41" ht="14.4" customHeight="1" outlineLevel="1" x14ac:dyDescent="0.3">
      <c r="D558" s="1" t="str">
        <f>Input!C163</f>
        <v>Кварцевый песок 0,1-0,5 мм</v>
      </c>
      <c r="H558" s="26" t="s">
        <v>225</v>
      </c>
      <c r="I558" s="33">
        <f>Input!H163</f>
        <v>5200</v>
      </c>
      <c r="L558" s="22">
        <f t="shared" si="180"/>
        <v>5200</v>
      </c>
      <c r="M558" s="22">
        <f t="shared" si="180"/>
        <v>5408</v>
      </c>
      <c r="N558" s="22">
        <f t="shared" si="180"/>
        <v>5624.3200000000006</v>
      </c>
      <c r="O558" s="22">
        <f t="shared" si="180"/>
        <v>5849.2928000000002</v>
      </c>
      <c r="P558" s="22">
        <f t="shared" si="180"/>
        <v>6083.2645120000016</v>
      </c>
      <c r="Q558" s="22">
        <f t="shared" si="180"/>
        <v>6326.5950924800018</v>
      </c>
      <c r="R558" s="22">
        <f t="shared" si="180"/>
        <v>6579.6588961792022</v>
      </c>
      <c r="S558" s="22">
        <f t="shared" si="180"/>
        <v>6842.8452520263709</v>
      </c>
      <c r="T558" s="22">
        <f t="shared" si="180"/>
        <v>7116.5590621074252</v>
      </c>
      <c r="U558" s="22">
        <f t="shared" si="180"/>
        <v>7401.221424591723</v>
      </c>
      <c r="V558" s="22">
        <f t="shared" si="181"/>
        <v>7697.2702815753919</v>
      </c>
      <c r="W558" s="22">
        <f t="shared" si="181"/>
        <v>8005.161092838408</v>
      </c>
      <c r="X558" s="22">
        <f t="shared" si="181"/>
        <v>8325.3675365519448</v>
      </c>
      <c r="Y558" s="22">
        <f t="shared" si="181"/>
        <v>8658.3822380140227</v>
      </c>
      <c r="Z558" s="22">
        <f t="shared" si="181"/>
        <v>9004.7175275345835</v>
      </c>
      <c r="AA558" s="22">
        <f t="shared" si="181"/>
        <v>9364.9062286359676</v>
      </c>
      <c r="AB558" s="22">
        <f t="shared" si="181"/>
        <v>9739.5024777814069</v>
      </c>
      <c r="AC558" s="22">
        <f t="shared" si="181"/>
        <v>10129.082576892662</v>
      </c>
      <c r="AD558" s="22">
        <f t="shared" si="181"/>
        <v>0</v>
      </c>
      <c r="AE558" s="22">
        <f t="shared" si="181"/>
        <v>0</v>
      </c>
      <c r="AF558" s="22">
        <f t="shared" si="182"/>
        <v>0</v>
      </c>
      <c r="AG558" s="22">
        <f t="shared" si="182"/>
        <v>0</v>
      </c>
      <c r="AH558" s="22">
        <f t="shared" si="182"/>
        <v>0</v>
      </c>
      <c r="AI558" s="22">
        <f t="shared" si="182"/>
        <v>0</v>
      </c>
      <c r="AJ558" s="22">
        <f t="shared" si="182"/>
        <v>0</v>
      </c>
      <c r="AK558" s="22">
        <f t="shared" si="182"/>
        <v>0</v>
      </c>
      <c r="AL558" s="22">
        <f t="shared" si="182"/>
        <v>0</v>
      </c>
      <c r="AM558" s="22">
        <f t="shared" si="182"/>
        <v>0</v>
      </c>
      <c r="AN558" s="22">
        <f t="shared" si="182"/>
        <v>0</v>
      </c>
      <c r="AO558" s="28"/>
    </row>
    <row r="559" spans="2:41" ht="14.4" customHeight="1" outlineLevel="1" x14ac:dyDescent="0.3">
      <c r="D559" s="1" t="str">
        <f>Input!C164</f>
        <v>Кварцевый песок 0,5-2,0 мм</v>
      </c>
      <c r="H559" s="26" t="s">
        <v>225</v>
      </c>
      <c r="I559" s="33">
        <f>Input!H164</f>
        <v>6000</v>
      </c>
      <c r="L559" s="22">
        <f t="shared" si="180"/>
        <v>6000</v>
      </c>
      <c r="M559" s="22">
        <f t="shared" si="180"/>
        <v>6240</v>
      </c>
      <c r="N559" s="22">
        <f t="shared" si="180"/>
        <v>6489.6</v>
      </c>
      <c r="O559" s="22">
        <f t="shared" si="180"/>
        <v>6749.1840000000002</v>
      </c>
      <c r="P559" s="22">
        <f t="shared" si="180"/>
        <v>7019.1513600000017</v>
      </c>
      <c r="Q559" s="22">
        <f t="shared" si="180"/>
        <v>7299.9174144000017</v>
      </c>
      <c r="R559" s="22">
        <f t="shared" si="180"/>
        <v>7591.9141109760021</v>
      </c>
      <c r="S559" s="22">
        <f t="shared" si="180"/>
        <v>7895.5906754150428</v>
      </c>
      <c r="T559" s="22">
        <f t="shared" si="180"/>
        <v>8211.4143024316454</v>
      </c>
      <c r="U559" s="22">
        <f t="shared" si="180"/>
        <v>8539.8708745289114</v>
      </c>
      <c r="V559" s="22">
        <f t="shared" si="181"/>
        <v>8881.4657095100683</v>
      </c>
      <c r="W559" s="22">
        <f t="shared" si="181"/>
        <v>9236.7243378904714</v>
      </c>
      <c r="X559" s="22">
        <f t="shared" si="181"/>
        <v>9606.1933114060903</v>
      </c>
      <c r="Y559" s="22">
        <f t="shared" si="181"/>
        <v>9990.4410438623345</v>
      </c>
      <c r="Z559" s="22">
        <f t="shared" si="181"/>
        <v>10390.058685616828</v>
      </c>
      <c r="AA559" s="22">
        <f t="shared" si="181"/>
        <v>10805.661033041501</v>
      </c>
      <c r="AB559" s="22">
        <f t="shared" si="181"/>
        <v>11237.88747436316</v>
      </c>
      <c r="AC559" s="22">
        <f t="shared" si="181"/>
        <v>11687.402973337688</v>
      </c>
      <c r="AD559" s="22">
        <f t="shared" si="181"/>
        <v>0</v>
      </c>
      <c r="AE559" s="22">
        <f t="shared" si="181"/>
        <v>0</v>
      </c>
      <c r="AF559" s="22">
        <f t="shared" si="182"/>
        <v>0</v>
      </c>
      <c r="AG559" s="22">
        <f t="shared" si="182"/>
        <v>0</v>
      </c>
      <c r="AH559" s="22">
        <f t="shared" si="182"/>
        <v>0</v>
      </c>
      <c r="AI559" s="22">
        <f t="shared" si="182"/>
        <v>0</v>
      </c>
      <c r="AJ559" s="22">
        <f t="shared" si="182"/>
        <v>0</v>
      </c>
      <c r="AK559" s="22">
        <f t="shared" si="182"/>
        <v>0</v>
      </c>
      <c r="AL559" s="22">
        <f t="shared" si="182"/>
        <v>0</v>
      </c>
      <c r="AM559" s="22">
        <f t="shared" si="182"/>
        <v>0</v>
      </c>
      <c r="AN559" s="22">
        <f t="shared" si="182"/>
        <v>0</v>
      </c>
      <c r="AO559" s="28"/>
    </row>
    <row r="560" spans="2:41" ht="14.4" customHeight="1" outlineLevel="1" x14ac:dyDescent="0.3">
      <c r="D560" s="1" t="str">
        <f>Input!C165</f>
        <v>Кварцевый или известняковый песок 0-4 мм</v>
      </c>
      <c r="H560" s="26" t="s">
        <v>225</v>
      </c>
      <c r="I560" s="33">
        <f>Input!H165</f>
        <v>10000</v>
      </c>
      <c r="L560" s="22">
        <f t="shared" si="180"/>
        <v>10000</v>
      </c>
      <c r="M560" s="22">
        <f t="shared" si="180"/>
        <v>10400</v>
      </c>
      <c r="N560" s="22">
        <f t="shared" si="180"/>
        <v>10816.000000000002</v>
      </c>
      <c r="O560" s="22">
        <f t="shared" si="180"/>
        <v>11248.640000000001</v>
      </c>
      <c r="P560" s="22">
        <f t="shared" si="180"/>
        <v>11698.585600000002</v>
      </c>
      <c r="Q560" s="22">
        <f t="shared" si="180"/>
        <v>12166.529024000003</v>
      </c>
      <c r="R560" s="22">
        <f t="shared" si="180"/>
        <v>12653.190184960004</v>
      </c>
      <c r="S560" s="22">
        <f t="shared" si="180"/>
        <v>13159.317792358404</v>
      </c>
      <c r="T560" s="22">
        <f t="shared" si="180"/>
        <v>13685.690504052742</v>
      </c>
      <c r="U560" s="22">
        <f t="shared" si="180"/>
        <v>14233.118124214852</v>
      </c>
      <c r="V560" s="22">
        <f t="shared" si="181"/>
        <v>14802.442849183446</v>
      </c>
      <c r="W560" s="22">
        <f t="shared" si="181"/>
        <v>15394.540563150786</v>
      </c>
      <c r="X560" s="22">
        <f t="shared" si="181"/>
        <v>16010.322185676818</v>
      </c>
      <c r="Y560" s="22">
        <f t="shared" si="181"/>
        <v>16650.73507310389</v>
      </c>
      <c r="Z560" s="22">
        <f t="shared" si="181"/>
        <v>17316.764476028045</v>
      </c>
      <c r="AA560" s="22">
        <f t="shared" si="181"/>
        <v>18009.435055069167</v>
      </c>
      <c r="AB560" s="22">
        <f t="shared" si="181"/>
        <v>18729.812457271935</v>
      </c>
      <c r="AC560" s="22">
        <f t="shared" si="181"/>
        <v>19479.004955562814</v>
      </c>
      <c r="AD560" s="22">
        <f t="shared" si="181"/>
        <v>0</v>
      </c>
      <c r="AE560" s="22">
        <f t="shared" si="181"/>
        <v>0</v>
      </c>
      <c r="AF560" s="22">
        <f t="shared" si="182"/>
        <v>0</v>
      </c>
      <c r="AG560" s="22">
        <f t="shared" si="182"/>
        <v>0</v>
      </c>
      <c r="AH560" s="22">
        <f t="shared" si="182"/>
        <v>0</v>
      </c>
      <c r="AI560" s="22">
        <f t="shared" si="182"/>
        <v>0</v>
      </c>
      <c r="AJ560" s="22">
        <f t="shared" si="182"/>
        <v>0</v>
      </c>
      <c r="AK560" s="22">
        <f t="shared" si="182"/>
        <v>0</v>
      </c>
      <c r="AL560" s="22">
        <f t="shared" si="182"/>
        <v>0</v>
      </c>
      <c r="AM560" s="22">
        <f t="shared" si="182"/>
        <v>0</v>
      </c>
      <c r="AN560" s="22">
        <f t="shared" si="182"/>
        <v>0</v>
      </c>
      <c r="AO560" s="28"/>
    </row>
    <row r="561" spans="1:41" ht="14.4" customHeight="1" outlineLevel="1" x14ac:dyDescent="0.3">
      <c r="D561" s="1" t="str">
        <f>Input!C166</f>
        <v>Керамзит 0-4 мм</v>
      </c>
      <c r="H561" s="26" t="s">
        <v>225</v>
      </c>
      <c r="I561" s="33">
        <f>Input!H166</f>
        <v>3530</v>
      </c>
      <c r="L561" s="22">
        <f t="shared" si="180"/>
        <v>3530</v>
      </c>
      <c r="M561" s="22">
        <f t="shared" si="180"/>
        <v>3671.2000000000003</v>
      </c>
      <c r="N561" s="22">
        <f t="shared" si="180"/>
        <v>3818.0480000000002</v>
      </c>
      <c r="O561" s="22">
        <f t="shared" si="180"/>
        <v>3970.7699200000002</v>
      </c>
      <c r="P561" s="22">
        <f t="shared" si="180"/>
        <v>4129.6007168000006</v>
      </c>
      <c r="Q561" s="22">
        <f t="shared" si="180"/>
        <v>4294.7847454720013</v>
      </c>
      <c r="R561" s="22">
        <f t="shared" si="180"/>
        <v>4466.5761352908812</v>
      </c>
      <c r="S561" s="22">
        <f t="shared" si="180"/>
        <v>4645.2391807025169</v>
      </c>
      <c r="T561" s="22">
        <f t="shared" si="180"/>
        <v>4831.0487479306175</v>
      </c>
      <c r="U561" s="22">
        <f t="shared" si="180"/>
        <v>5024.2906978478431</v>
      </c>
      <c r="V561" s="22">
        <f t="shared" si="181"/>
        <v>5225.2623257617561</v>
      </c>
      <c r="W561" s="22">
        <f t="shared" si="181"/>
        <v>5434.2728187922266</v>
      </c>
      <c r="X561" s="22">
        <f t="shared" si="181"/>
        <v>5651.6437315439161</v>
      </c>
      <c r="Y561" s="22">
        <f t="shared" si="181"/>
        <v>5877.7094808056736</v>
      </c>
      <c r="Z561" s="22">
        <f t="shared" si="181"/>
        <v>6112.8178600379006</v>
      </c>
      <c r="AA561" s="22">
        <f t="shared" si="181"/>
        <v>6357.3305744394156</v>
      </c>
      <c r="AB561" s="22">
        <f t="shared" si="181"/>
        <v>6611.6237974169926</v>
      </c>
      <c r="AC561" s="22">
        <f t="shared" si="181"/>
        <v>6876.0887493136734</v>
      </c>
      <c r="AD561" s="22">
        <f t="shared" si="181"/>
        <v>0</v>
      </c>
      <c r="AE561" s="22">
        <f t="shared" si="181"/>
        <v>0</v>
      </c>
      <c r="AF561" s="22">
        <f t="shared" si="182"/>
        <v>0</v>
      </c>
      <c r="AG561" s="22">
        <f t="shared" si="182"/>
        <v>0</v>
      </c>
      <c r="AH561" s="22">
        <f t="shared" si="182"/>
        <v>0</v>
      </c>
      <c r="AI561" s="22">
        <f t="shared" si="182"/>
        <v>0</v>
      </c>
      <c r="AJ561" s="22">
        <f t="shared" si="182"/>
        <v>0</v>
      </c>
      <c r="AK561" s="22">
        <f t="shared" si="182"/>
        <v>0</v>
      </c>
      <c r="AL561" s="22">
        <f t="shared" si="182"/>
        <v>0</v>
      </c>
      <c r="AM561" s="22">
        <f t="shared" si="182"/>
        <v>0</v>
      </c>
      <c r="AN561" s="22">
        <f t="shared" si="182"/>
        <v>0</v>
      </c>
      <c r="AO561" s="28"/>
    </row>
    <row r="562" spans="1:41" ht="14.4" customHeight="1" outlineLevel="1" x14ac:dyDescent="0.3">
      <c r="D562" s="1" t="str">
        <f>Input!C167</f>
        <v>Эфир целлюлозы Mecellose PMC 50 US или FMC 2094</v>
      </c>
      <c r="H562" s="26" t="s">
        <v>225</v>
      </c>
      <c r="I562" s="33">
        <f>Input!H167</f>
        <v>301000</v>
      </c>
      <c r="L562" s="22">
        <f t="shared" si="180"/>
        <v>301000</v>
      </c>
      <c r="M562" s="22">
        <f t="shared" si="180"/>
        <v>313040</v>
      </c>
      <c r="N562" s="22">
        <f t="shared" si="180"/>
        <v>325561.60000000003</v>
      </c>
      <c r="O562" s="22">
        <f t="shared" si="180"/>
        <v>338584.06400000001</v>
      </c>
      <c r="P562" s="22">
        <f t="shared" si="180"/>
        <v>352127.42656000005</v>
      </c>
      <c r="Q562" s="22">
        <f t="shared" si="180"/>
        <v>366212.52362240013</v>
      </c>
      <c r="R562" s="22">
        <f t="shared" si="180"/>
        <v>380861.02456729609</v>
      </c>
      <c r="S562" s="22">
        <f t="shared" si="180"/>
        <v>396095.46554998797</v>
      </c>
      <c r="T562" s="22">
        <f t="shared" si="180"/>
        <v>411939.2841719875</v>
      </c>
      <c r="U562" s="22">
        <f t="shared" si="180"/>
        <v>428416.85553886706</v>
      </c>
      <c r="V562" s="22">
        <f t="shared" si="181"/>
        <v>445553.52976042172</v>
      </c>
      <c r="W562" s="22">
        <f t="shared" si="181"/>
        <v>463375.6709508386</v>
      </c>
      <c r="X562" s="22">
        <f t="shared" si="181"/>
        <v>481910.69778887223</v>
      </c>
      <c r="Y562" s="22">
        <f t="shared" si="181"/>
        <v>501187.1257004271</v>
      </c>
      <c r="Z562" s="22">
        <f t="shared" si="181"/>
        <v>521234.61072844418</v>
      </c>
      <c r="AA562" s="22">
        <f t="shared" si="181"/>
        <v>542083.99515758199</v>
      </c>
      <c r="AB562" s="22">
        <f t="shared" si="181"/>
        <v>563767.35496388527</v>
      </c>
      <c r="AC562" s="22">
        <f t="shared" si="181"/>
        <v>586318.0491624407</v>
      </c>
      <c r="AD562" s="22">
        <f t="shared" si="181"/>
        <v>0</v>
      </c>
      <c r="AE562" s="22">
        <f t="shared" si="181"/>
        <v>0</v>
      </c>
      <c r="AF562" s="22">
        <f t="shared" si="182"/>
        <v>0</v>
      </c>
      <c r="AG562" s="22">
        <f t="shared" si="182"/>
        <v>0</v>
      </c>
      <c r="AH562" s="22">
        <f t="shared" si="182"/>
        <v>0</v>
      </c>
      <c r="AI562" s="22">
        <f t="shared" si="182"/>
        <v>0</v>
      </c>
      <c r="AJ562" s="22">
        <f t="shared" si="182"/>
        <v>0</v>
      </c>
      <c r="AK562" s="22">
        <f t="shared" si="182"/>
        <v>0</v>
      </c>
      <c r="AL562" s="22">
        <f t="shared" si="182"/>
        <v>0</v>
      </c>
      <c r="AM562" s="22">
        <f t="shared" si="182"/>
        <v>0</v>
      </c>
      <c r="AN562" s="22">
        <f t="shared" si="182"/>
        <v>0</v>
      </c>
      <c r="AO562" s="28"/>
    </row>
    <row r="563" spans="1:41" ht="14.4" customHeight="1" outlineLevel="1" x14ac:dyDescent="0.3">
      <c r="D563" s="1" t="str">
        <f>Input!C168</f>
        <v>Редиспергируемый сополимерный порошок Neolith P 7200</v>
      </c>
      <c r="H563" s="26" t="s">
        <v>225</v>
      </c>
      <c r="I563" s="33">
        <f>Input!H168</f>
        <v>175000</v>
      </c>
      <c r="L563" s="22">
        <f t="shared" si="180"/>
        <v>175000</v>
      </c>
      <c r="M563" s="22">
        <f t="shared" si="180"/>
        <v>182000</v>
      </c>
      <c r="N563" s="22">
        <f t="shared" si="180"/>
        <v>189280.00000000003</v>
      </c>
      <c r="O563" s="22">
        <f t="shared" si="180"/>
        <v>196851.20000000001</v>
      </c>
      <c r="P563" s="22">
        <f t="shared" si="180"/>
        <v>204725.24800000005</v>
      </c>
      <c r="Q563" s="22">
        <f t="shared" si="180"/>
        <v>212914.25792000006</v>
      </c>
      <c r="R563" s="22">
        <f t="shared" si="180"/>
        <v>221430.82823680007</v>
      </c>
      <c r="S563" s="22">
        <f t="shared" si="180"/>
        <v>230288.06136627207</v>
      </c>
      <c r="T563" s="22">
        <f t="shared" si="180"/>
        <v>239499.58382092297</v>
      </c>
      <c r="U563" s="22">
        <f t="shared" si="180"/>
        <v>249079.56717375992</v>
      </c>
      <c r="V563" s="22">
        <f t="shared" si="181"/>
        <v>259042.74986071029</v>
      </c>
      <c r="W563" s="22">
        <f t="shared" si="181"/>
        <v>269404.45985513873</v>
      </c>
      <c r="X563" s="22">
        <f t="shared" si="181"/>
        <v>280180.63824934431</v>
      </c>
      <c r="Y563" s="22">
        <f t="shared" si="181"/>
        <v>291387.86377931811</v>
      </c>
      <c r="Z563" s="22">
        <f t="shared" si="181"/>
        <v>303043.37833049078</v>
      </c>
      <c r="AA563" s="22">
        <f t="shared" si="181"/>
        <v>315165.11346371041</v>
      </c>
      <c r="AB563" s="22">
        <f t="shared" si="181"/>
        <v>327771.71800225886</v>
      </c>
      <c r="AC563" s="22">
        <f t="shared" si="181"/>
        <v>340882.58672234922</v>
      </c>
      <c r="AD563" s="22">
        <f t="shared" si="181"/>
        <v>0</v>
      </c>
      <c r="AE563" s="22">
        <f t="shared" si="181"/>
        <v>0</v>
      </c>
      <c r="AF563" s="22">
        <f t="shared" si="182"/>
        <v>0</v>
      </c>
      <c r="AG563" s="22">
        <f t="shared" si="182"/>
        <v>0</v>
      </c>
      <c r="AH563" s="22">
        <f t="shared" si="182"/>
        <v>0</v>
      </c>
      <c r="AI563" s="22">
        <f t="shared" si="182"/>
        <v>0</v>
      </c>
      <c r="AJ563" s="22">
        <f t="shared" si="182"/>
        <v>0</v>
      </c>
      <c r="AK563" s="22">
        <f t="shared" si="182"/>
        <v>0</v>
      </c>
      <c r="AL563" s="22">
        <f t="shared" si="182"/>
        <v>0</v>
      </c>
      <c r="AM563" s="22">
        <f t="shared" si="182"/>
        <v>0</v>
      </c>
      <c r="AN563" s="22">
        <f t="shared" si="182"/>
        <v>0</v>
      </c>
      <c r="AO563" s="28"/>
    </row>
    <row r="564" spans="1:41" ht="14.4" customHeight="1" outlineLevel="1" x14ac:dyDescent="0.3">
      <c r="D564" s="1" t="str">
        <f>Input!C169</f>
        <v>Порообразователь Esapon 1214</v>
      </c>
      <c r="H564" s="26" t="s">
        <v>225</v>
      </c>
      <c r="I564" s="33">
        <f>Input!H169</f>
        <v>385000</v>
      </c>
      <c r="L564" s="22">
        <f t="shared" si="180"/>
        <v>385000</v>
      </c>
      <c r="M564" s="22">
        <f t="shared" si="180"/>
        <v>400400</v>
      </c>
      <c r="N564" s="22">
        <f t="shared" si="180"/>
        <v>416416.00000000006</v>
      </c>
      <c r="O564" s="22">
        <f t="shared" si="180"/>
        <v>433072.64000000001</v>
      </c>
      <c r="P564" s="22">
        <f t="shared" si="180"/>
        <v>450395.54560000007</v>
      </c>
      <c r="Q564" s="22">
        <f t="shared" si="180"/>
        <v>468411.36742400011</v>
      </c>
      <c r="R564" s="22">
        <f t="shared" si="180"/>
        <v>487147.82212096016</v>
      </c>
      <c r="S564" s="22">
        <f t="shared" si="180"/>
        <v>506633.73500579858</v>
      </c>
      <c r="T564" s="22">
        <f t="shared" si="180"/>
        <v>526899.08440603048</v>
      </c>
      <c r="U564" s="22">
        <f t="shared" si="180"/>
        <v>547975.04778227175</v>
      </c>
      <c r="V564" s="22">
        <f t="shared" si="181"/>
        <v>569894.04969356267</v>
      </c>
      <c r="W564" s="22">
        <f t="shared" si="181"/>
        <v>592689.81168130517</v>
      </c>
      <c r="X564" s="22">
        <f t="shared" si="181"/>
        <v>616397.40414855746</v>
      </c>
      <c r="Y564" s="22">
        <f t="shared" si="181"/>
        <v>641053.30031449976</v>
      </c>
      <c r="Z564" s="22">
        <f t="shared" si="181"/>
        <v>666695.43232707982</v>
      </c>
      <c r="AA564" s="22">
        <f t="shared" si="181"/>
        <v>693363.249620163</v>
      </c>
      <c r="AB564" s="22">
        <f t="shared" si="181"/>
        <v>721097.77960496955</v>
      </c>
      <c r="AC564" s="22">
        <f t="shared" si="181"/>
        <v>749941.69078916835</v>
      </c>
      <c r="AD564" s="22">
        <f t="shared" si="181"/>
        <v>0</v>
      </c>
      <c r="AE564" s="22">
        <f t="shared" si="181"/>
        <v>0</v>
      </c>
      <c r="AF564" s="22">
        <f t="shared" si="182"/>
        <v>0</v>
      </c>
      <c r="AG564" s="22">
        <f t="shared" si="182"/>
        <v>0</v>
      </c>
      <c r="AH564" s="22">
        <f t="shared" si="182"/>
        <v>0</v>
      </c>
      <c r="AI564" s="22">
        <f t="shared" si="182"/>
        <v>0</v>
      </c>
      <c r="AJ564" s="22">
        <f t="shared" si="182"/>
        <v>0</v>
      </c>
      <c r="AK564" s="22">
        <f t="shared" si="182"/>
        <v>0</v>
      </c>
      <c r="AL564" s="22">
        <f t="shared" si="182"/>
        <v>0</v>
      </c>
      <c r="AM564" s="22">
        <f t="shared" si="182"/>
        <v>0</v>
      </c>
      <c r="AN564" s="22">
        <f t="shared" si="182"/>
        <v>0</v>
      </c>
      <c r="AO564" s="28"/>
    </row>
    <row r="565" spans="1:41" ht="14.4" customHeight="1" outlineLevel="1" x14ac:dyDescent="0.3">
      <c r="D565" s="1" t="str">
        <f>Input!C170</f>
        <v>Эфир крахмала Esamid NA</v>
      </c>
      <c r="H565" s="26" t="s">
        <v>225</v>
      </c>
      <c r="I565" s="33">
        <f>Input!H170</f>
        <v>395500</v>
      </c>
      <c r="L565" s="22">
        <f t="shared" si="180"/>
        <v>395500</v>
      </c>
      <c r="M565" s="22">
        <f t="shared" si="180"/>
        <v>411320</v>
      </c>
      <c r="N565" s="22">
        <f t="shared" si="180"/>
        <v>427772.80000000005</v>
      </c>
      <c r="O565" s="22">
        <f t="shared" si="180"/>
        <v>444883.71200000006</v>
      </c>
      <c r="P565" s="22">
        <f t="shared" si="180"/>
        <v>462679.0604800001</v>
      </c>
      <c r="Q565" s="22">
        <f t="shared" si="180"/>
        <v>481186.22289920016</v>
      </c>
      <c r="R565" s="22">
        <f t="shared" si="180"/>
        <v>500433.67181516817</v>
      </c>
      <c r="S565" s="22">
        <f t="shared" si="180"/>
        <v>520451.01868777489</v>
      </c>
      <c r="T565" s="22">
        <f t="shared" si="180"/>
        <v>541269.05943528586</v>
      </c>
      <c r="U565" s="22">
        <f t="shared" si="180"/>
        <v>562919.82181269734</v>
      </c>
      <c r="V565" s="22">
        <f t="shared" si="181"/>
        <v>585436.61468520528</v>
      </c>
      <c r="W565" s="22">
        <f t="shared" si="181"/>
        <v>608854.07927261351</v>
      </c>
      <c r="X565" s="22">
        <f t="shared" si="181"/>
        <v>633208.24244351813</v>
      </c>
      <c r="Y565" s="22">
        <f t="shared" si="181"/>
        <v>658536.57214125886</v>
      </c>
      <c r="Z565" s="22">
        <f t="shared" si="181"/>
        <v>684878.0350269092</v>
      </c>
      <c r="AA565" s="22">
        <f t="shared" si="181"/>
        <v>712273.15642798552</v>
      </c>
      <c r="AB565" s="22">
        <f t="shared" si="181"/>
        <v>740764.08268510504</v>
      </c>
      <c r="AC565" s="22">
        <f t="shared" si="181"/>
        <v>770394.64599250921</v>
      </c>
      <c r="AD565" s="22">
        <f t="shared" si="181"/>
        <v>0</v>
      </c>
      <c r="AE565" s="22">
        <f t="shared" si="181"/>
        <v>0</v>
      </c>
      <c r="AF565" s="22">
        <f t="shared" si="182"/>
        <v>0</v>
      </c>
      <c r="AG565" s="22">
        <f t="shared" si="182"/>
        <v>0</v>
      </c>
      <c r="AH565" s="22">
        <f t="shared" si="182"/>
        <v>0</v>
      </c>
      <c r="AI565" s="22">
        <f t="shared" si="182"/>
        <v>0</v>
      </c>
      <c r="AJ565" s="22">
        <f t="shared" si="182"/>
        <v>0</v>
      </c>
      <c r="AK565" s="22">
        <f t="shared" si="182"/>
        <v>0</v>
      </c>
      <c r="AL565" s="22">
        <f t="shared" si="182"/>
        <v>0</v>
      </c>
      <c r="AM565" s="22">
        <f t="shared" si="182"/>
        <v>0</v>
      </c>
      <c r="AN565" s="22">
        <f t="shared" si="182"/>
        <v>0</v>
      </c>
      <c r="AO565" s="28"/>
    </row>
    <row r="566" spans="1:41" ht="14.4" customHeight="1" outlineLevel="1" x14ac:dyDescent="0.3">
      <c r="D566" s="1" t="str">
        <f>Input!C171</f>
        <v>Гидрофобизатор (олеат Na, стеараты)</v>
      </c>
      <c r="H566" s="26" t="s">
        <v>225</v>
      </c>
      <c r="I566" s="33">
        <f>Input!H171</f>
        <v>283500</v>
      </c>
      <c r="L566" s="22">
        <f t="shared" si="180"/>
        <v>283500</v>
      </c>
      <c r="M566" s="22">
        <f t="shared" si="180"/>
        <v>294840</v>
      </c>
      <c r="N566" s="22">
        <f t="shared" si="180"/>
        <v>306633.60000000003</v>
      </c>
      <c r="O566" s="22">
        <f t="shared" si="180"/>
        <v>318898.94400000002</v>
      </c>
      <c r="P566" s="22">
        <f t="shared" si="180"/>
        <v>331654.90176000004</v>
      </c>
      <c r="Q566" s="22">
        <f t="shared" si="180"/>
        <v>344921.0978304001</v>
      </c>
      <c r="R566" s="22">
        <f t="shared" si="180"/>
        <v>358717.94174361613</v>
      </c>
      <c r="S566" s="22">
        <f t="shared" si="180"/>
        <v>373066.65941336076</v>
      </c>
      <c r="T566" s="22">
        <f t="shared" si="180"/>
        <v>387989.3257898952</v>
      </c>
      <c r="U566" s="22">
        <f t="shared" si="180"/>
        <v>403508.89882149105</v>
      </c>
      <c r="V566" s="22">
        <f t="shared" si="181"/>
        <v>419649.25477435067</v>
      </c>
      <c r="W566" s="22">
        <f t="shared" si="181"/>
        <v>436435.22496532474</v>
      </c>
      <c r="X566" s="22">
        <f t="shared" si="181"/>
        <v>453892.63396393775</v>
      </c>
      <c r="Y566" s="22">
        <f t="shared" si="181"/>
        <v>472048.33932249527</v>
      </c>
      <c r="Z566" s="22">
        <f t="shared" si="181"/>
        <v>490930.27289539512</v>
      </c>
      <c r="AA566" s="22">
        <f t="shared" si="181"/>
        <v>510567.4838112109</v>
      </c>
      <c r="AB566" s="22">
        <f t="shared" si="181"/>
        <v>530990.1831636593</v>
      </c>
      <c r="AC566" s="22">
        <f t="shared" si="181"/>
        <v>552229.79049020575</v>
      </c>
      <c r="AD566" s="22">
        <f t="shared" si="181"/>
        <v>0</v>
      </c>
      <c r="AE566" s="22">
        <f t="shared" si="181"/>
        <v>0</v>
      </c>
      <c r="AF566" s="22">
        <f t="shared" si="182"/>
        <v>0</v>
      </c>
      <c r="AG566" s="22">
        <f t="shared" si="182"/>
        <v>0</v>
      </c>
      <c r="AH566" s="22">
        <f t="shared" si="182"/>
        <v>0</v>
      </c>
      <c r="AI566" s="22">
        <f t="shared" si="182"/>
        <v>0</v>
      </c>
      <c r="AJ566" s="22">
        <f t="shared" si="182"/>
        <v>0</v>
      </c>
      <c r="AK566" s="22">
        <f t="shared" si="182"/>
        <v>0</v>
      </c>
      <c r="AL566" s="22">
        <f t="shared" si="182"/>
        <v>0</v>
      </c>
      <c r="AM566" s="22">
        <f t="shared" si="182"/>
        <v>0</v>
      </c>
      <c r="AN566" s="22">
        <f t="shared" si="182"/>
        <v>0</v>
      </c>
      <c r="AO566" s="28"/>
    </row>
    <row r="567" spans="1:41" ht="14.4" customHeight="1" outlineLevel="1" x14ac:dyDescent="0.3">
      <c r="D567" s="1" t="str">
        <f>Input!C172</f>
        <v>Суперпластификатор Melment F 10</v>
      </c>
      <c r="H567" s="26" t="s">
        <v>225</v>
      </c>
      <c r="I567" s="33">
        <f>Input!H172</f>
        <v>253400</v>
      </c>
      <c r="L567" s="22">
        <f t="shared" si="180"/>
        <v>253400</v>
      </c>
      <c r="M567" s="22">
        <f t="shared" si="180"/>
        <v>263536</v>
      </c>
      <c r="N567" s="22">
        <f t="shared" si="180"/>
        <v>274077.44</v>
      </c>
      <c r="O567" s="22">
        <f t="shared" si="180"/>
        <v>285040.53760000004</v>
      </c>
      <c r="P567" s="22">
        <f t="shared" si="180"/>
        <v>296442.15910400008</v>
      </c>
      <c r="Q567" s="22">
        <f t="shared" si="180"/>
        <v>308299.84546816011</v>
      </c>
      <c r="R567" s="22">
        <f t="shared" si="180"/>
        <v>320631.8392868865</v>
      </c>
      <c r="S567" s="22">
        <f t="shared" si="180"/>
        <v>333457.11285836197</v>
      </c>
      <c r="T567" s="22">
        <f t="shared" si="180"/>
        <v>346795.39737269643</v>
      </c>
      <c r="U567" s="22">
        <f t="shared" si="180"/>
        <v>360667.21326760435</v>
      </c>
      <c r="V567" s="22">
        <f t="shared" si="181"/>
        <v>375093.90179830854</v>
      </c>
      <c r="W567" s="22">
        <f t="shared" si="181"/>
        <v>390097.65787024086</v>
      </c>
      <c r="X567" s="22">
        <f t="shared" si="181"/>
        <v>405701.56418505055</v>
      </c>
      <c r="Y567" s="22">
        <f t="shared" si="181"/>
        <v>421929.62675245258</v>
      </c>
      <c r="Z567" s="22">
        <f t="shared" si="181"/>
        <v>438806.81182255066</v>
      </c>
      <c r="AA567" s="22">
        <f t="shared" si="181"/>
        <v>456359.08429545269</v>
      </c>
      <c r="AB567" s="22">
        <f t="shared" si="181"/>
        <v>474613.44766727084</v>
      </c>
      <c r="AC567" s="22">
        <f t="shared" si="181"/>
        <v>493597.98557396169</v>
      </c>
      <c r="AD567" s="22">
        <f t="shared" si="181"/>
        <v>0</v>
      </c>
      <c r="AE567" s="22">
        <f t="shared" si="181"/>
        <v>0</v>
      </c>
      <c r="AF567" s="22">
        <f t="shared" si="182"/>
        <v>0</v>
      </c>
      <c r="AG567" s="22">
        <f t="shared" si="182"/>
        <v>0</v>
      </c>
      <c r="AH567" s="22">
        <f t="shared" si="182"/>
        <v>0</v>
      </c>
      <c r="AI567" s="22">
        <f t="shared" si="182"/>
        <v>0</v>
      </c>
      <c r="AJ567" s="22">
        <f t="shared" si="182"/>
        <v>0</v>
      </c>
      <c r="AK567" s="22">
        <f t="shared" si="182"/>
        <v>0</v>
      </c>
      <c r="AL567" s="22">
        <f t="shared" si="182"/>
        <v>0</v>
      </c>
      <c r="AM567" s="22">
        <f t="shared" si="182"/>
        <v>0</v>
      </c>
      <c r="AN567" s="22">
        <f t="shared" si="182"/>
        <v>0</v>
      </c>
      <c r="AO567" s="28"/>
    </row>
    <row r="568" spans="1:41" ht="14.4" customHeight="1" outlineLevel="1" x14ac:dyDescent="0.3">
      <c r="D568" s="1" t="str">
        <f>Input!C173</f>
        <v>Ускоритель схватывания (формиат Са)</v>
      </c>
      <c r="H568" s="26" t="s">
        <v>225</v>
      </c>
      <c r="I568" s="33">
        <f>Input!H173</f>
        <v>50000</v>
      </c>
      <c r="L568" s="22">
        <f t="shared" si="180"/>
        <v>50000</v>
      </c>
      <c r="M568" s="22">
        <f t="shared" si="180"/>
        <v>52000</v>
      </c>
      <c r="N568" s="22">
        <f t="shared" si="180"/>
        <v>54080.000000000007</v>
      </c>
      <c r="O568" s="22">
        <f t="shared" si="180"/>
        <v>56243.200000000004</v>
      </c>
      <c r="P568" s="22">
        <f t="shared" si="180"/>
        <v>58492.928000000007</v>
      </c>
      <c r="Q568" s="22">
        <f t="shared" si="180"/>
        <v>60832.645120000016</v>
      </c>
      <c r="R568" s="22">
        <f t="shared" si="180"/>
        <v>63265.950924800018</v>
      </c>
      <c r="S568" s="22">
        <f t="shared" si="180"/>
        <v>65796.588961792018</v>
      </c>
      <c r="T568" s="22">
        <f t="shared" si="180"/>
        <v>68428.452520263701</v>
      </c>
      <c r="U568" s="22">
        <f t="shared" si="180"/>
        <v>71165.590621074254</v>
      </c>
      <c r="V568" s="22">
        <f t="shared" si="181"/>
        <v>74012.214245917232</v>
      </c>
      <c r="W568" s="22">
        <f t="shared" si="181"/>
        <v>76972.702815753917</v>
      </c>
      <c r="X568" s="22">
        <f t="shared" si="181"/>
        <v>80051.610928384092</v>
      </c>
      <c r="Y568" s="22">
        <f t="shared" si="181"/>
        <v>83253.675365519448</v>
      </c>
      <c r="Z568" s="22">
        <f t="shared" si="181"/>
        <v>86583.822380140235</v>
      </c>
      <c r="AA568" s="22">
        <f t="shared" si="181"/>
        <v>90047.175275345842</v>
      </c>
      <c r="AB568" s="22">
        <f t="shared" si="181"/>
        <v>93649.06228635968</v>
      </c>
      <c r="AC568" s="22">
        <f t="shared" si="181"/>
        <v>97395.024777814062</v>
      </c>
      <c r="AD568" s="22">
        <f t="shared" si="181"/>
        <v>0</v>
      </c>
      <c r="AE568" s="22">
        <f t="shared" si="181"/>
        <v>0</v>
      </c>
      <c r="AF568" s="22">
        <f t="shared" si="182"/>
        <v>0</v>
      </c>
      <c r="AG568" s="22">
        <f t="shared" si="182"/>
        <v>0</v>
      </c>
      <c r="AH568" s="22">
        <f t="shared" si="182"/>
        <v>0</v>
      </c>
      <c r="AI568" s="22">
        <f t="shared" si="182"/>
        <v>0</v>
      </c>
      <c r="AJ568" s="22">
        <f t="shared" si="182"/>
        <v>0</v>
      </c>
      <c r="AK568" s="22">
        <f t="shared" si="182"/>
        <v>0</v>
      </c>
      <c r="AL568" s="22">
        <f t="shared" si="182"/>
        <v>0</v>
      </c>
      <c r="AM568" s="22">
        <f t="shared" si="182"/>
        <v>0</v>
      </c>
      <c r="AN568" s="22">
        <f t="shared" si="182"/>
        <v>0</v>
      </c>
      <c r="AO568" s="28"/>
    </row>
    <row r="569" spans="1:41" ht="14.4" customHeight="1" outlineLevel="1" x14ac:dyDescent="0.3">
      <c r="B569" s="18" t="str">
        <f>Input!A175</f>
        <v>Индекс роста цен на естественные монополии (электроэнергия)</v>
      </c>
      <c r="D569" s="1" t="str">
        <f>Input!B175</f>
        <v>Тариф на электроэнергию</v>
      </c>
      <c r="H569" s="26" t="s">
        <v>213</v>
      </c>
      <c r="I569" s="33">
        <f>Input!H175</f>
        <v>4.54</v>
      </c>
      <c r="L569" s="22">
        <f t="shared" ref="L569:AN569" si="183">$I569*INDEX(L$58:L$62,MATCH($B$569,$C$58:$C$62,0))</f>
        <v>4.54</v>
      </c>
      <c r="M569" s="22">
        <f t="shared" si="183"/>
        <v>4.7670000000000003</v>
      </c>
      <c r="N569" s="22">
        <f t="shared" si="183"/>
        <v>5.00535</v>
      </c>
      <c r="O569" s="22">
        <f t="shared" si="183"/>
        <v>5.2556175000000005</v>
      </c>
      <c r="P569" s="22">
        <f t="shared" si="183"/>
        <v>5.5183983750000012</v>
      </c>
      <c r="Q569" s="22">
        <f t="shared" si="183"/>
        <v>5.7943182937500017</v>
      </c>
      <c r="R569" s="22">
        <f t="shared" si="183"/>
        <v>6.0840342084375019</v>
      </c>
      <c r="S569" s="22">
        <f t="shared" si="183"/>
        <v>6.3882359188593769</v>
      </c>
      <c r="T569" s="22">
        <f t="shared" si="183"/>
        <v>6.7076477148023459</v>
      </c>
      <c r="U569" s="22">
        <f t="shared" si="183"/>
        <v>7.043030100542464</v>
      </c>
      <c r="V569" s="22">
        <f t="shared" si="183"/>
        <v>7.3951816055695865</v>
      </c>
      <c r="W569" s="22">
        <f t="shared" si="183"/>
        <v>7.7649406858480665</v>
      </c>
      <c r="X569" s="22">
        <f t="shared" si="183"/>
        <v>8.1531877201404708</v>
      </c>
      <c r="Y569" s="22">
        <f t="shared" si="183"/>
        <v>8.5608471061474951</v>
      </c>
      <c r="Z569" s="22">
        <f t="shared" si="183"/>
        <v>8.9888894614548693</v>
      </c>
      <c r="AA569" s="22">
        <f t="shared" si="183"/>
        <v>9.4383339345276145</v>
      </c>
      <c r="AB569" s="22">
        <f t="shared" si="183"/>
        <v>9.9102506312539962</v>
      </c>
      <c r="AC569" s="22">
        <f t="shared" si="183"/>
        <v>10.405763162816697</v>
      </c>
      <c r="AD569" s="22">
        <f t="shared" si="183"/>
        <v>0</v>
      </c>
      <c r="AE569" s="22">
        <f t="shared" si="183"/>
        <v>0</v>
      </c>
      <c r="AF569" s="22">
        <f t="shared" si="183"/>
        <v>0</v>
      </c>
      <c r="AG569" s="22">
        <f t="shared" si="183"/>
        <v>0</v>
      </c>
      <c r="AH569" s="22">
        <f t="shared" si="183"/>
        <v>0</v>
      </c>
      <c r="AI569" s="22">
        <f t="shared" si="183"/>
        <v>0</v>
      </c>
      <c r="AJ569" s="22">
        <f t="shared" si="183"/>
        <v>0</v>
      </c>
      <c r="AK569" s="22">
        <f t="shared" si="183"/>
        <v>0</v>
      </c>
      <c r="AL569" s="22">
        <f t="shared" si="183"/>
        <v>0</v>
      </c>
      <c r="AM569" s="22">
        <f t="shared" si="183"/>
        <v>0</v>
      </c>
      <c r="AN569" s="22">
        <f t="shared" si="183"/>
        <v>0</v>
      </c>
      <c r="AO569" s="28"/>
    </row>
    <row r="570" spans="1:41" ht="14.4" customHeight="1" outlineLevel="1" x14ac:dyDescent="0.3">
      <c r="B570" s="18" t="str">
        <f>Input!A177</f>
        <v>PPI,  (RUB)</v>
      </c>
      <c r="D570" s="1" t="str">
        <f>Input!B177</f>
        <v>Упаковочный материал (50 кг)</v>
      </c>
      <c r="H570" s="26" t="s">
        <v>214</v>
      </c>
      <c r="I570" s="33">
        <f>Input!H177</f>
        <v>9.1</v>
      </c>
      <c r="L570" s="22">
        <f t="shared" ref="L570:AN570" si="184">$I570*INDEX(L$58:L$62,MATCH($B$570,$C$58:$C$62,0))</f>
        <v>9.1</v>
      </c>
      <c r="M570" s="22">
        <f t="shared" si="184"/>
        <v>9.4640000000000004</v>
      </c>
      <c r="N570" s="22">
        <f t="shared" si="184"/>
        <v>9.8425600000000006</v>
      </c>
      <c r="O570" s="22">
        <f t="shared" si="184"/>
        <v>10.236262400000001</v>
      </c>
      <c r="P570" s="22">
        <f t="shared" si="184"/>
        <v>10.645712896000001</v>
      </c>
      <c r="Q570" s="22">
        <f t="shared" si="184"/>
        <v>11.071541411840002</v>
      </c>
      <c r="R570" s="22">
        <f t="shared" si="184"/>
        <v>11.514403068313603</v>
      </c>
      <c r="S570" s="22">
        <f t="shared" si="184"/>
        <v>11.974979191046147</v>
      </c>
      <c r="T570" s="22">
        <f t="shared" si="184"/>
        <v>12.453978358687994</v>
      </c>
      <c r="U570" s="22">
        <f t="shared" si="184"/>
        <v>12.952137493035515</v>
      </c>
      <c r="V570" s="22">
        <f t="shared" si="184"/>
        <v>13.470222992756936</v>
      </c>
      <c r="W570" s="22">
        <f t="shared" si="184"/>
        <v>14.009031912467213</v>
      </c>
      <c r="X570" s="22">
        <f t="shared" si="184"/>
        <v>14.569393188965904</v>
      </c>
      <c r="Y570" s="22">
        <f t="shared" si="184"/>
        <v>15.152168916524539</v>
      </c>
      <c r="Z570" s="22">
        <f t="shared" si="184"/>
        <v>15.758255673185522</v>
      </c>
      <c r="AA570" s="22">
        <f t="shared" si="184"/>
        <v>16.388585900112943</v>
      </c>
      <c r="AB570" s="22">
        <f t="shared" si="184"/>
        <v>17.044129336117461</v>
      </c>
      <c r="AC570" s="22">
        <f t="shared" si="184"/>
        <v>17.72589450956216</v>
      </c>
      <c r="AD570" s="22">
        <f t="shared" si="184"/>
        <v>0</v>
      </c>
      <c r="AE570" s="22">
        <f t="shared" si="184"/>
        <v>0</v>
      </c>
      <c r="AF570" s="22">
        <f t="shared" si="184"/>
        <v>0</v>
      </c>
      <c r="AG570" s="22">
        <f t="shared" si="184"/>
        <v>0</v>
      </c>
      <c r="AH570" s="22">
        <f t="shared" si="184"/>
        <v>0</v>
      </c>
      <c r="AI570" s="22">
        <f t="shared" si="184"/>
        <v>0</v>
      </c>
      <c r="AJ570" s="22">
        <f t="shared" si="184"/>
        <v>0</v>
      </c>
      <c r="AK570" s="22">
        <f t="shared" si="184"/>
        <v>0</v>
      </c>
      <c r="AL570" s="22">
        <f t="shared" si="184"/>
        <v>0</v>
      </c>
      <c r="AM570" s="22">
        <f t="shared" si="184"/>
        <v>0</v>
      </c>
      <c r="AN570" s="22">
        <f t="shared" si="184"/>
        <v>0</v>
      </c>
      <c r="AO570" s="28"/>
    </row>
    <row r="571" spans="1:41" ht="14.4" customHeight="1" outlineLevel="1" x14ac:dyDescent="0.3">
      <c r="B571" s="18" t="str">
        <f>Input!A178</f>
        <v>PPI,  (RUB)</v>
      </c>
      <c r="D571" s="1" t="str">
        <f>Input!B178</f>
        <v>Упаковочный материал (25 кг)</v>
      </c>
      <c r="H571" s="26" t="s">
        <v>214</v>
      </c>
      <c r="I571" s="33">
        <f>Input!H178</f>
        <v>6.5</v>
      </c>
      <c r="L571" s="22">
        <f t="shared" ref="L571:AN571" si="185">$I571*INDEX(L$58:L$62,MATCH($B$571,$C$58:$C$62,0))</f>
        <v>6.5</v>
      </c>
      <c r="M571" s="22">
        <f t="shared" si="185"/>
        <v>6.76</v>
      </c>
      <c r="N571" s="22">
        <f t="shared" si="185"/>
        <v>7.0304000000000011</v>
      </c>
      <c r="O571" s="22">
        <f t="shared" si="185"/>
        <v>7.3116160000000008</v>
      </c>
      <c r="P571" s="22">
        <f t="shared" si="185"/>
        <v>7.6040806400000012</v>
      </c>
      <c r="Q571" s="22">
        <f t="shared" si="185"/>
        <v>7.908243865600002</v>
      </c>
      <c r="R571" s="22">
        <f t="shared" si="185"/>
        <v>8.2245736202240032</v>
      </c>
      <c r="S571" s="22">
        <f t="shared" si="185"/>
        <v>8.553556565032963</v>
      </c>
      <c r="T571" s="22">
        <f t="shared" si="185"/>
        <v>8.8956988276342823</v>
      </c>
      <c r="U571" s="22">
        <f t="shared" si="185"/>
        <v>9.2515267807396544</v>
      </c>
      <c r="V571" s="22">
        <f t="shared" si="185"/>
        <v>9.6215878519692399</v>
      </c>
      <c r="W571" s="22">
        <f t="shared" si="185"/>
        <v>10.00645136604801</v>
      </c>
      <c r="X571" s="22">
        <f t="shared" si="185"/>
        <v>10.406709420689932</v>
      </c>
      <c r="Y571" s="22">
        <f t="shared" si="185"/>
        <v>10.822977797517529</v>
      </c>
      <c r="Z571" s="22">
        <f t="shared" si="185"/>
        <v>11.25589690941823</v>
      </c>
      <c r="AA571" s="22">
        <f t="shared" si="185"/>
        <v>11.706132785794958</v>
      </c>
      <c r="AB571" s="22">
        <f t="shared" si="185"/>
        <v>12.174378097226757</v>
      </c>
      <c r="AC571" s="22">
        <f t="shared" si="185"/>
        <v>12.661353221115828</v>
      </c>
      <c r="AD571" s="22">
        <f t="shared" si="185"/>
        <v>0</v>
      </c>
      <c r="AE571" s="22">
        <f t="shared" si="185"/>
        <v>0</v>
      </c>
      <c r="AF571" s="22">
        <f t="shared" si="185"/>
        <v>0</v>
      </c>
      <c r="AG571" s="22">
        <f t="shared" si="185"/>
        <v>0</v>
      </c>
      <c r="AH571" s="22">
        <f t="shared" si="185"/>
        <v>0</v>
      </c>
      <c r="AI571" s="22">
        <f t="shared" si="185"/>
        <v>0</v>
      </c>
      <c r="AJ571" s="22">
        <f t="shared" si="185"/>
        <v>0</v>
      </c>
      <c r="AK571" s="22">
        <f t="shared" si="185"/>
        <v>0</v>
      </c>
      <c r="AL571" s="22">
        <f t="shared" si="185"/>
        <v>0</v>
      </c>
      <c r="AM571" s="22">
        <f t="shared" si="185"/>
        <v>0</v>
      </c>
      <c r="AN571" s="22">
        <f t="shared" si="185"/>
        <v>0</v>
      </c>
      <c r="AO571" s="28"/>
    </row>
    <row r="572" spans="1:41" ht="14.4" customHeight="1" outlineLevel="1" x14ac:dyDescent="0.3">
      <c r="H572" s="26"/>
      <c r="I572" s="36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28"/>
    </row>
    <row r="573" spans="1:41" ht="14.4" customHeight="1" outlineLevel="1" x14ac:dyDescent="0.3">
      <c r="C573" s="2" t="s">
        <v>403</v>
      </c>
      <c r="H573" s="26"/>
      <c r="I573" s="36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28"/>
    </row>
    <row r="574" spans="1:41" ht="14.4" customHeight="1" outlineLevel="1" x14ac:dyDescent="0.3">
      <c r="C574" s="2"/>
      <c r="H574" s="26"/>
      <c r="I574" s="88">
        <f>SUM(L574:AN574)</f>
        <v>7289.5529941876885</v>
      </c>
      <c r="L574" s="34">
        <f>SUM(L575:L580)</f>
        <v>0</v>
      </c>
      <c r="M574" s="34">
        <f t="shared" ref="M574:AN574" si="186">SUM(M575:M580)</f>
        <v>0</v>
      </c>
      <c r="N574" s="34">
        <f t="shared" si="186"/>
        <v>301.13696059399342</v>
      </c>
      <c r="O574" s="34">
        <f t="shared" si="186"/>
        <v>375.81892682130376</v>
      </c>
      <c r="P574" s="34">
        <f t="shared" si="186"/>
        <v>391.92251042537276</v>
      </c>
      <c r="Q574" s="34">
        <f t="shared" si="186"/>
        <v>406.4857512499222</v>
      </c>
      <c r="R574" s="34">
        <f t="shared" si="186"/>
        <v>422.74518129991907</v>
      </c>
      <c r="S574" s="34">
        <f t="shared" si="186"/>
        <v>439.65498855191584</v>
      </c>
      <c r="T574" s="34">
        <f t="shared" si="186"/>
        <v>458.4939036778116</v>
      </c>
      <c r="U574" s="34">
        <f t="shared" si="186"/>
        <v>475.53083561775225</v>
      </c>
      <c r="V574" s="34">
        <f t="shared" si="186"/>
        <v>494.55206904246228</v>
      </c>
      <c r="W574" s="34">
        <f t="shared" si="186"/>
        <v>514.33415180416091</v>
      </c>
      <c r="X574" s="34">
        <f t="shared" si="186"/>
        <v>536.37301792530354</v>
      </c>
      <c r="Y574" s="34">
        <f t="shared" si="186"/>
        <v>556.30381859138049</v>
      </c>
      <c r="Z574" s="34">
        <f t="shared" si="186"/>
        <v>578.55597133503568</v>
      </c>
      <c r="AA574" s="34">
        <f t="shared" si="186"/>
        <v>601.69821018843697</v>
      </c>
      <c r="AB574" s="34">
        <f t="shared" si="186"/>
        <v>627.48056637294985</v>
      </c>
      <c r="AC574" s="34">
        <f t="shared" si="186"/>
        <v>108.46613068996892</v>
      </c>
      <c r="AD574" s="34">
        <f t="shared" si="186"/>
        <v>0</v>
      </c>
      <c r="AE574" s="34">
        <f t="shared" si="186"/>
        <v>0</v>
      </c>
      <c r="AF574" s="34">
        <f t="shared" si="186"/>
        <v>0</v>
      </c>
      <c r="AG574" s="34">
        <f t="shared" si="186"/>
        <v>0</v>
      </c>
      <c r="AH574" s="34">
        <f t="shared" si="186"/>
        <v>0</v>
      </c>
      <c r="AI574" s="34">
        <f t="shared" si="186"/>
        <v>0</v>
      </c>
      <c r="AJ574" s="34">
        <f t="shared" si="186"/>
        <v>0</v>
      </c>
      <c r="AK574" s="34">
        <f t="shared" si="186"/>
        <v>0</v>
      </c>
      <c r="AL574" s="34">
        <f t="shared" si="186"/>
        <v>0</v>
      </c>
      <c r="AM574" s="34">
        <f t="shared" si="186"/>
        <v>0</v>
      </c>
      <c r="AN574" s="34">
        <f t="shared" si="186"/>
        <v>0</v>
      </c>
      <c r="AO574" s="28"/>
    </row>
    <row r="575" spans="1:41" ht="14.4" customHeight="1" outlineLevel="1" x14ac:dyDescent="0.3">
      <c r="A575" s="18" t="s">
        <v>231</v>
      </c>
      <c r="D575" s="1" t="str">
        <f>Input!C139</f>
        <v>Гашеная известь</v>
      </c>
      <c r="H575" s="26" t="s">
        <v>245</v>
      </c>
      <c r="I575" s="20">
        <f>SUM(L575:AN575)</f>
        <v>430.6671798535682</v>
      </c>
      <c r="L575" s="22">
        <f t="shared" ref="L575:AN575" si="187">(L556*L454)/10^6</f>
        <v>0</v>
      </c>
      <c r="M575" s="22">
        <f t="shared" si="187"/>
        <v>0</v>
      </c>
      <c r="N575" s="22">
        <f t="shared" si="187"/>
        <v>17.791187700000002</v>
      </c>
      <c r="O575" s="22">
        <f t="shared" si="187"/>
        <v>22.203402249600003</v>
      </c>
      <c r="P575" s="22">
        <f t="shared" si="187"/>
        <v>23.154802828185602</v>
      </c>
      <c r="Q575" s="22">
        <f t="shared" si="187"/>
        <v>24.015199873167365</v>
      </c>
      <c r="R575" s="22">
        <f t="shared" si="187"/>
        <v>24.975807868094066</v>
      </c>
      <c r="S575" s="22">
        <f t="shared" si="187"/>
        <v>25.974840182817829</v>
      </c>
      <c r="T575" s="22">
        <f t="shared" si="187"/>
        <v>27.087844293665142</v>
      </c>
      <c r="U575" s="22">
        <f t="shared" si="187"/>
        <v>28.094387141735762</v>
      </c>
      <c r="V575" s="22">
        <f t="shared" si="187"/>
        <v>29.218162627405192</v>
      </c>
      <c r="W575" s="22">
        <f t="shared" si="187"/>
        <v>30.386889132501405</v>
      </c>
      <c r="X575" s="22">
        <f t="shared" si="187"/>
        <v>31.688946518891331</v>
      </c>
      <c r="Y575" s="22">
        <f t="shared" si="187"/>
        <v>32.866459285713525</v>
      </c>
      <c r="Z575" s="22">
        <f t="shared" si="187"/>
        <v>34.181117657142067</v>
      </c>
      <c r="AA575" s="22">
        <f t="shared" si="187"/>
        <v>35.548362363427742</v>
      </c>
      <c r="AB575" s="22">
        <f t="shared" si="187"/>
        <v>37.07158534250722</v>
      </c>
      <c r="AC575" s="22">
        <f t="shared" si="187"/>
        <v>6.4081847887139078</v>
      </c>
      <c r="AD575" s="22">
        <f t="shared" si="187"/>
        <v>0</v>
      </c>
      <c r="AE575" s="22">
        <f t="shared" si="187"/>
        <v>0</v>
      </c>
      <c r="AF575" s="22">
        <f t="shared" si="187"/>
        <v>0</v>
      </c>
      <c r="AG575" s="22">
        <f t="shared" si="187"/>
        <v>0</v>
      </c>
      <c r="AH575" s="22">
        <f t="shared" si="187"/>
        <v>0</v>
      </c>
      <c r="AI575" s="22">
        <f t="shared" si="187"/>
        <v>0</v>
      </c>
      <c r="AJ575" s="22">
        <f t="shared" si="187"/>
        <v>0</v>
      </c>
      <c r="AK575" s="22">
        <f t="shared" si="187"/>
        <v>0</v>
      </c>
      <c r="AL575" s="22">
        <f t="shared" si="187"/>
        <v>0</v>
      </c>
      <c r="AM575" s="22">
        <f t="shared" si="187"/>
        <v>0</v>
      </c>
      <c r="AN575" s="22">
        <f t="shared" si="187"/>
        <v>0</v>
      </c>
      <c r="AO575" s="28"/>
    </row>
    <row r="576" spans="1:41" ht="14.4" customHeight="1" outlineLevel="1" x14ac:dyDescent="0.3">
      <c r="A576" s="18" t="s">
        <v>231</v>
      </c>
      <c r="D576" s="1" t="str">
        <f>Input!C140</f>
        <v>Известняковая мука</v>
      </c>
      <c r="H576" s="26" t="s">
        <v>245</v>
      </c>
      <c r="I576" s="20">
        <f t="shared" ref="I576:I580" si="188">SUM(L576:AN576)</f>
        <v>540.93462203829802</v>
      </c>
      <c r="L576" s="22">
        <f t="shared" ref="L576:AN576" si="189">(L557*L455)/10^6</f>
        <v>0</v>
      </c>
      <c r="M576" s="22">
        <f t="shared" si="189"/>
        <v>0</v>
      </c>
      <c r="N576" s="22">
        <f t="shared" si="189"/>
        <v>22.346419333333341</v>
      </c>
      <c r="O576" s="22">
        <f t="shared" si="189"/>
        <v>27.888331328000003</v>
      </c>
      <c r="P576" s="22">
        <f t="shared" si="189"/>
        <v>29.083327223808006</v>
      </c>
      <c r="Q576" s="22">
        <f t="shared" si="189"/>
        <v>30.164019164364806</v>
      </c>
      <c r="R576" s="22">
        <f t="shared" si="189"/>
        <v>31.370579930939403</v>
      </c>
      <c r="S576" s="22">
        <f t="shared" si="189"/>
        <v>32.625403128176977</v>
      </c>
      <c r="T576" s="22">
        <f t="shared" si="189"/>
        <v>34.023379306052838</v>
      </c>
      <c r="U576" s="22">
        <f t="shared" si="189"/>
        <v>35.287636023436228</v>
      </c>
      <c r="V576" s="22">
        <f t="shared" si="189"/>
        <v>36.699141464373675</v>
      </c>
      <c r="W576" s="22">
        <f t="shared" si="189"/>
        <v>38.167107122948622</v>
      </c>
      <c r="X576" s="22">
        <f t="shared" si="189"/>
        <v>39.802541521312783</v>
      </c>
      <c r="Y576" s="22">
        <f t="shared" si="189"/>
        <v>41.281543064181228</v>
      </c>
      <c r="Z576" s="22">
        <f t="shared" si="189"/>
        <v>42.932804786748484</v>
      </c>
      <c r="AA576" s="22">
        <f t="shared" si="189"/>
        <v>44.650116978218421</v>
      </c>
      <c r="AB576" s="22">
        <f t="shared" si="189"/>
        <v>46.563343908463189</v>
      </c>
      <c r="AC576" s="22">
        <f t="shared" si="189"/>
        <v>8.0489277539401751</v>
      </c>
      <c r="AD576" s="22">
        <f t="shared" si="189"/>
        <v>0</v>
      </c>
      <c r="AE576" s="22">
        <f t="shared" si="189"/>
        <v>0</v>
      </c>
      <c r="AF576" s="22">
        <f t="shared" si="189"/>
        <v>0</v>
      </c>
      <c r="AG576" s="22">
        <f t="shared" si="189"/>
        <v>0</v>
      </c>
      <c r="AH576" s="22">
        <f t="shared" si="189"/>
        <v>0</v>
      </c>
      <c r="AI576" s="22">
        <f t="shared" si="189"/>
        <v>0</v>
      </c>
      <c r="AJ576" s="22">
        <f t="shared" si="189"/>
        <v>0</v>
      </c>
      <c r="AK576" s="22">
        <f t="shared" si="189"/>
        <v>0</v>
      </c>
      <c r="AL576" s="22">
        <f t="shared" si="189"/>
        <v>0</v>
      </c>
      <c r="AM576" s="22">
        <f t="shared" si="189"/>
        <v>0</v>
      </c>
      <c r="AN576" s="22">
        <f t="shared" si="189"/>
        <v>0</v>
      </c>
      <c r="AO576" s="28"/>
    </row>
    <row r="577" spans="1:41" ht="14.4" customHeight="1" outlineLevel="1" x14ac:dyDescent="0.3">
      <c r="A577" s="18" t="s">
        <v>231</v>
      </c>
      <c r="D577" s="1" t="str">
        <f>Input!C141</f>
        <v>Кварцевый песок 0,1-0,5 мм</v>
      </c>
      <c r="H577" s="26" t="s">
        <v>245</v>
      </c>
      <c r="I577" s="20">
        <f t="shared" si="188"/>
        <v>1923.3471421193726</v>
      </c>
      <c r="L577" s="22">
        <f t="shared" ref="L577:AN577" si="190">(L558*L456)/10^6</f>
        <v>0</v>
      </c>
      <c r="M577" s="22">
        <f t="shared" si="190"/>
        <v>0</v>
      </c>
      <c r="N577" s="22">
        <f t="shared" si="190"/>
        <v>79.454928581600015</v>
      </c>
      <c r="O577" s="22">
        <f t="shared" si="190"/>
        <v>99.159750869836813</v>
      </c>
      <c r="P577" s="22">
        <f t="shared" si="190"/>
        <v>103.40867827697176</v>
      </c>
      <c r="Q577" s="22">
        <f t="shared" si="190"/>
        <v>107.25118654081551</v>
      </c>
      <c r="R577" s="22">
        <f t="shared" si="190"/>
        <v>111.54123400244814</v>
      </c>
      <c r="S577" s="22">
        <f t="shared" si="190"/>
        <v>116.00288336254607</v>
      </c>
      <c r="T577" s="22">
        <f t="shared" si="190"/>
        <v>120.97352746060146</v>
      </c>
      <c r="U577" s="22">
        <f t="shared" si="190"/>
        <v>125.46871864492984</v>
      </c>
      <c r="V577" s="22">
        <f t="shared" si="190"/>
        <v>130.48746739072703</v>
      </c>
      <c r="W577" s="22">
        <f t="shared" si="190"/>
        <v>135.70696608635615</v>
      </c>
      <c r="X577" s="22">
        <f t="shared" si="190"/>
        <v>141.52191663317973</v>
      </c>
      <c r="Y577" s="22">
        <f t="shared" si="190"/>
        <v>146.78065451900281</v>
      </c>
      <c r="Z577" s="22">
        <f t="shared" si="190"/>
        <v>152.6518806997629</v>
      </c>
      <c r="AA577" s="22">
        <f t="shared" si="190"/>
        <v>158.75795592775341</v>
      </c>
      <c r="AB577" s="22">
        <f t="shared" si="190"/>
        <v>165.5606256009317</v>
      </c>
      <c r="AC577" s="22">
        <f t="shared" si="190"/>
        <v>28.618767521909678</v>
      </c>
      <c r="AD577" s="22">
        <f t="shared" si="190"/>
        <v>0</v>
      </c>
      <c r="AE577" s="22">
        <f t="shared" si="190"/>
        <v>0</v>
      </c>
      <c r="AF577" s="22">
        <f t="shared" si="190"/>
        <v>0</v>
      </c>
      <c r="AG577" s="22">
        <f t="shared" si="190"/>
        <v>0</v>
      </c>
      <c r="AH577" s="22">
        <f t="shared" si="190"/>
        <v>0</v>
      </c>
      <c r="AI577" s="22">
        <f t="shared" si="190"/>
        <v>0</v>
      </c>
      <c r="AJ577" s="22">
        <f t="shared" si="190"/>
        <v>0</v>
      </c>
      <c r="AK577" s="22">
        <f t="shared" si="190"/>
        <v>0</v>
      </c>
      <c r="AL577" s="22">
        <f t="shared" si="190"/>
        <v>0</v>
      </c>
      <c r="AM577" s="22">
        <f t="shared" si="190"/>
        <v>0</v>
      </c>
      <c r="AN577" s="22">
        <f t="shared" si="190"/>
        <v>0</v>
      </c>
      <c r="AO577" s="28"/>
    </row>
    <row r="578" spans="1:41" ht="14.4" customHeight="1" outlineLevel="1" x14ac:dyDescent="0.3">
      <c r="A578" s="18" t="s">
        <v>231</v>
      </c>
      <c r="D578" s="1" t="str">
        <f>Input!C142</f>
        <v>Кварцевый песок 0,5-2,0 мм</v>
      </c>
      <c r="H578" s="26" t="s">
        <v>245</v>
      </c>
      <c r="I578" s="20">
        <f t="shared" si="188"/>
        <v>928.74313568421667</v>
      </c>
      <c r="L578" s="22">
        <f t="shared" ref="L578:AN578" si="191">(L559*L457)/10^6</f>
        <v>0</v>
      </c>
      <c r="M578" s="22">
        <f t="shared" si="191"/>
        <v>0</v>
      </c>
      <c r="N578" s="22">
        <f t="shared" si="191"/>
        <v>38.367083040000004</v>
      </c>
      <c r="O578" s="22">
        <f t="shared" si="191"/>
        <v>47.882119633919999</v>
      </c>
      <c r="P578" s="22">
        <f t="shared" si="191"/>
        <v>49.933835664261132</v>
      </c>
      <c r="Q578" s="22">
        <f t="shared" si="191"/>
        <v>51.789300596047887</v>
      </c>
      <c r="R578" s="22">
        <f t="shared" si="191"/>
        <v>53.860872619889804</v>
      </c>
      <c r="S578" s="22">
        <f t="shared" si="191"/>
        <v>56.015307524685397</v>
      </c>
      <c r="T578" s="22">
        <f t="shared" si="191"/>
        <v>58.415525085469184</v>
      </c>
      <c r="U578" s="22">
        <f t="shared" si="191"/>
        <v>60.586156618699739</v>
      </c>
      <c r="V578" s="22">
        <f t="shared" si="191"/>
        <v>63.009602883447727</v>
      </c>
      <c r="W578" s="22">
        <f t="shared" si="191"/>
        <v>65.529986998785631</v>
      </c>
      <c r="X578" s="22">
        <f t="shared" si="191"/>
        <v>68.337902058130865</v>
      </c>
      <c r="Y578" s="22">
        <f t="shared" si="191"/>
        <v>70.877233937886558</v>
      </c>
      <c r="Z578" s="22">
        <f t="shared" si="191"/>
        <v>73.712323295402015</v>
      </c>
      <c r="AA578" s="22">
        <f t="shared" si="191"/>
        <v>76.660816227218092</v>
      </c>
      <c r="AB578" s="22">
        <f t="shared" si="191"/>
        <v>79.945679695146012</v>
      </c>
      <c r="AC578" s="22">
        <f t="shared" si="191"/>
        <v>13.819389805226514</v>
      </c>
      <c r="AD578" s="22">
        <f t="shared" si="191"/>
        <v>0</v>
      </c>
      <c r="AE578" s="22">
        <f t="shared" si="191"/>
        <v>0</v>
      </c>
      <c r="AF578" s="22">
        <f t="shared" si="191"/>
        <v>0</v>
      </c>
      <c r="AG578" s="22">
        <f t="shared" si="191"/>
        <v>0</v>
      </c>
      <c r="AH578" s="22">
        <f t="shared" si="191"/>
        <v>0</v>
      </c>
      <c r="AI578" s="22">
        <f t="shared" si="191"/>
        <v>0</v>
      </c>
      <c r="AJ578" s="22">
        <f t="shared" si="191"/>
        <v>0</v>
      </c>
      <c r="AK578" s="22">
        <f t="shared" si="191"/>
        <v>0</v>
      </c>
      <c r="AL578" s="22">
        <f t="shared" si="191"/>
        <v>0</v>
      </c>
      <c r="AM578" s="22">
        <f t="shared" si="191"/>
        <v>0</v>
      </c>
      <c r="AN578" s="22">
        <f t="shared" si="191"/>
        <v>0</v>
      </c>
      <c r="AO578" s="28"/>
    </row>
    <row r="579" spans="1:41" ht="14.4" customHeight="1" outlineLevel="1" x14ac:dyDescent="0.3">
      <c r="A579" s="18" t="s">
        <v>231</v>
      </c>
      <c r="D579" s="1" t="str">
        <f>Input!C143</f>
        <v>Кварцевый или известняковый песок 0-4 мм</v>
      </c>
      <c r="H579" s="26" t="s">
        <v>245</v>
      </c>
      <c r="I579" s="20">
        <f t="shared" si="188"/>
        <v>2806.202377712525</v>
      </c>
      <c r="L579" s="22">
        <f t="shared" ref="L579:AN579" si="192">(L560*L458)/10^6</f>
        <v>0</v>
      </c>
      <c r="M579" s="22">
        <f t="shared" si="192"/>
        <v>0</v>
      </c>
      <c r="N579" s="22">
        <f t="shared" si="192"/>
        <v>115.92634768000002</v>
      </c>
      <c r="O579" s="22">
        <f t="shared" si="192"/>
        <v>144.67608190464003</v>
      </c>
      <c r="P579" s="22">
        <f t="shared" si="192"/>
        <v>150.87535292104707</v>
      </c>
      <c r="Q579" s="22">
        <f t="shared" si="192"/>
        <v>156.48165018805867</v>
      </c>
      <c r="R579" s="22">
        <f t="shared" si="192"/>
        <v>162.74091619558101</v>
      </c>
      <c r="S579" s="22">
        <f t="shared" si="192"/>
        <v>169.25055284340425</v>
      </c>
      <c r="T579" s="22">
        <f t="shared" si="192"/>
        <v>176.50282310770794</v>
      </c>
      <c r="U579" s="22">
        <f t="shared" si="192"/>
        <v>183.06139795542606</v>
      </c>
      <c r="V579" s="22">
        <f t="shared" si="192"/>
        <v>190.38385387364312</v>
      </c>
      <c r="W579" s="22">
        <f t="shared" si="192"/>
        <v>197.99920802858887</v>
      </c>
      <c r="X579" s="22">
        <f t="shared" si="192"/>
        <v>206.48333847671802</v>
      </c>
      <c r="Y579" s="22">
        <f t="shared" si="192"/>
        <v>214.15594340372172</v>
      </c>
      <c r="Z579" s="22">
        <f t="shared" si="192"/>
        <v>222.72218113987057</v>
      </c>
      <c r="AA579" s="22">
        <f t="shared" si="192"/>
        <v>231.63106838546543</v>
      </c>
      <c r="AB579" s="22">
        <f t="shared" si="192"/>
        <v>241.55630101436591</v>
      </c>
      <c r="AC579" s="22">
        <f t="shared" si="192"/>
        <v>41.755360594286564</v>
      </c>
      <c r="AD579" s="22">
        <f t="shared" si="192"/>
        <v>0</v>
      </c>
      <c r="AE579" s="22">
        <f t="shared" si="192"/>
        <v>0</v>
      </c>
      <c r="AF579" s="22">
        <f t="shared" si="192"/>
        <v>0</v>
      </c>
      <c r="AG579" s="22">
        <f t="shared" si="192"/>
        <v>0</v>
      </c>
      <c r="AH579" s="22">
        <f t="shared" si="192"/>
        <v>0</v>
      </c>
      <c r="AI579" s="22">
        <f t="shared" si="192"/>
        <v>0</v>
      </c>
      <c r="AJ579" s="22">
        <f t="shared" si="192"/>
        <v>0</v>
      </c>
      <c r="AK579" s="22">
        <f t="shared" si="192"/>
        <v>0</v>
      </c>
      <c r="AL579" s="22">
        <f t="shared" si="192"/>
        <v>0</v>
      </c>
      <c r="AM579" s="22">
        <f t="shared" si="192"/>
        <v>0</v>
      </c>
      <c r="AN579" s="22">
        <f t="shared" si="192"/>
        <v>0</v>
      </c>
      <c r="AO579" s="28"/>
    </row>
    <row r="580" spans="1:41" ht="14.4" customHeight="1" outlineLevel="1" x14ac:dyDescent="0.3">
      <c r="A580" s="18" t="s">
        <v>231</v>
      </c>
      <c r="D580" s="1" t="str">
        <f>Input!C144</f>
        <v>Керамзит 0-4 мм</v>
      </c>
      <c r="H580" s="26" t="s">
        <v>245</v>
      </c>
      <c r="I580" s="20">
        <f t="shared" si="188"/>
        <v>659.65853677970836</v>
      </c>
      <c r="L580" s="22">
        <f t="shared" ref="L580:AN580" si="193">(L561*L459)/10^6</f>
        <v>0</v>
      </c>
      <c r="M580" s="22">
        <f t="shared" si="193"/>
        <v>0</v>
      </c>
      <c r="N580" s="22">
        <f t="shared" si="193"/>
        <v>27.250994259060004</v>
      </c>
      <c r="O580" s="22">
        <f t="shared" si="193"/>
        <v>34.009240835306883</v>
      </c>
      <c r="P580" s="22">
        <f t="shared" si="193"/>
        <v>35.466513511099215</v>
      </c>
      <c r="Q580" s="22">
        <f t="shared" si="193"/>
        <v>36.784394887467933</v>
      </c>
      <c r="R580" s="22">
        <f t="shared" si="193"/>
        <v>38.255770682966649</v>
      </c>
      <c r="S580" s="22">
        <f t="shared" si="193"/>
        <v>39.786001510285324</v>
      </c>
      <c r="T580" s="22">
        <f t="shared" si="193"/>
        <v>41.49080442431508</v>
      </c>
      <c r="U580" s="22">
        <f t="shared" si="193"/>
        <v>43.032539233524616</v>
      </c>
      <c r="V580" s="22">
        <f t="shared" si="193"/>
        <v>44.753840802865589</v>
      </c>
      <c r="W580" s="22">
        <f t="shared" si="193"/>
        <v>46.543994434980213</v>
      </c>
      <c r="X580" s="22">
        <f t="shared" si="193"/>
        <v>48.538372717070871</v>
      </c>
      <c r="Y580" s="22">
        <f t="shared" si="193"/>
        <v>50.341984380874614</v>
      </c>
      <c r="Z580" s="22">
        <f t="shared" si="193"/>
        <v>52.355663756109593</v>
      </c>
      <c r="AA580" s="22">
        <f t="shared" si="193"/>
        <v>54.449890306353971</v>
      </c>
      <c r="AB580" s="22">
        <f t="shared" si="193"/>
        <v>56.783030811535824</v>
      </c>
      <c r="AC580" s="22">
        <f t="shared" si="193"/>
        <v>9.8155002258920767</v>
      </c>
      <c r="AD580" s="22">
        <f t="shared" si="193"/>
        <v>0</v>
      </c>
      <c r="AE580" s="22">
        <f t="shared" si="193"/>
        <v>0</v>
      </c>
      <c r="AF580" s="22">
        <f t="shared" si="193"/>
        <v>0</v>
      </c>
      <c r="AG580" s="22">
        <f t="shared" si="193"/>
        <v>0</v>
      </c>
      <c r="AH580" s="22">
        <f t="shared" si="193"/>
        <v>0</v>
      </c>
      <c r="AI580" s="22">
        <f t="shared" si="193"/>
        <v>0</v>
      </c>
      <c r="AJ580" s="22">
        <f t="shared" si="193"/>
        <v>0</v>
      </c>
      <c r="AK580" s="22">
        <f t="shared" si="193"/>
        <v>0</v>
      </c>
      <c r="AL580" s="22">
        <f t="shared" si="193"/>
        <v>0</v>
      </c>
      <c r="AM580" s="22">
        <f t="shared" si="193"/>
        <v>0</v>
      </c>
      <c r="AN580" s="22">
        <f t="shared" si="193"/>
        <v>0</v>
      </c>
      <c r="AO580" s="28"/>
    </row>
    <row r="581" spans="1:41" ht="14.4" customHeight="1" outlineLevel="1" x14ac:dyDescent="0.3">
      <c r="H581" s="26"/>
      <c r="I581" s="36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28"/>
    </row>
    <row r="582" spans="1:41" ht="14.4" customHeight="1" outlineLevel="1" x14ac:dyDescent="0.3">
      <c r="C582" s="2" t="s">
        <v>285</v>
      </c>
      <c r="H582" s="26"/>
      <c r="I582" s="88">
        <f t="shared" ref="I582:I586" si="194">SUM(L582:AN582)</f>
        <v>2819.9134673057947</v>
      </c>
      <c r="L582" s="34">
        <f>SUM(L583:L586)</f>
        <v>0</v>
      </c>
      <c r="M582" s="34">
        <f t="shared" ref="M582:AN582" si="195">SUM(M583:M586)</f>
        <v>0</v>
      </c>
      <c r="N582" s="34">
        <f t="shared" si="195"/>
        <v>241.44790403066676</v>
      </c>
      <c r="O582" s="34">
        <f t="shared" si="195"/>
        <v>301.32698423027205</v>
      </c>
      <c r="P582" s="34">
        <f t="shared" si="195"/>
        <v>314.23863911619395</v>
      </c>
      <c r="Q582" s="34">
        <f t="shared" si="195"/>
        <v>325.9152661434623</v>
      </c>
      <c r="R582" s="34">
        <f t="shared" si="195"/>
        <v>338.95187678920081</v>
      </c>
      <c r="S582" s="34">
        <f t="shared" si="195"/>
        <v>352.50995186076887</v>
      </c>
      <c r="T582" s="34">
        <f t="shared" si="195"/>
        <v>367.61476185283038</v>
      </c>
      <c r="U582" s="34">
        <f>SUM(U583:U586)</f>
        <v>381.27476393260764</v>
      </c>
      <c r="V582" s="34">
        <f t="shared" si="195"/>
        <v>196.63331934979195</v>
      </c>
      <c r="W582" s="34">
        <f t="shared" si="195"/>
        <v>0</v>
      </c>
      <c r="X582" s="34">
        <f t="shared" si="195"/>
        <v>0</v>
      </c>
      <c r="Y582" s="34">
        <f t="shared" si="195"/>
        <v>0</v>
      </c>
      <c r="Z582" s="34">
        <f t="shared" si="195"/>
        <v>0</v>
      </c>
      <c r="AA582" s="34">
        <f t="shared" si="195"/>
        <v>0</v>
      </c>
      <c r="AB582" s="34">
        <f t="shared" si="195"/>
        <v>0</v>
      </c>
      <c r="AC582" s="34">
        <f t="shared" si="195"/>
        <v>0</v>
      </c>
      <c r="AD582" s="34">
        <f t="shared" si="195"/>
        <v>0</v>
      </c>
      <c r="AE582" s="34">
        <f t="shared" si="195"/>
        <v>0</v>
      </c>
      <c r="AF582" s="34">
        <f t="shared" si="195"/>
        <v>0</v>
      </c>
      <c r="AG582" s="34">
        <f t="shared" si="195"/>
        <v>0</v>
      </c>
      <c r="AH582" s="34">
        <f t="shared" si="195"/>
        <v>0</v>
      </c>
      <c r="AI582" s="34">
        <f t="shared" si="195"/>
        <v>0</v>
      </c>
      <c r="AJ582" s="34">
        <f t="shared" si="195"/>
        <v>0</v>
      </c>
      <c r="AK582" s="34">
        <f t="shared" si="195"/>
        <v>0</v>
      </c>
      <c r="AL582" s="34">
        <f t="shared" si="195"/>
        <v>0</v>
      </c>
      <c r="AM582" s="34">
        <f t="shared" si="195"/>
        <v>0</v>
      </c>
      <c r="AN582" s="34">
        <f t="shared" si="195"/>
        <v>0</v>
      </c>
      <c r="AO582" s="28"/>
    </row>
    <row r="583" spans="1:41" ht="14.4" customHeight="1" outlineLevel="1" x14ac:dyDescent="0.3">
      <c r="A583" s="18" t="s">
        <v>231</v>
      </c>
      <c r="D583" s="1" t="str">
        <f>Input!C146</f>
        <v>Портландцемент_до оптимизации</v>
      </c>
      <c r="H583" s="26" t="s">
        <v>245</v>
      </c>
      <c r="I583" s="20">
        <f t="shared" si="194"/>
        <v>1236.6808787147909</v>
      </c>
      <c r="L583" s="22">
        <f t="shared" ref="L583:AN583" si="196">(L555*L461)/10^6</f>
        <v>0</v>
      </c>
      <c r="M583" s="22">
        <f t="shared" si="196"/>
        <v>0</v>
      </c>
      <c r="N583" s="22">
        <f t="shared" si="196"/>
        <v>105.88764853333338</v>
      </c>
      <c r="O583" s="22">
        <f t="shared" si="196"/>
        <v>132.14778536960003</v>
      </c>
      <c r="P583" s="22">
        <f t="shared" si="196"/>
        <v>137.81022746050567</v>
      </c>
      <c r="Q583" s="22">
        <f t="shared" si="196"/>
        <v>142.93104465575942</v>
      </c>
      <c r="R583" s="22">
        <f t="shared" si="196"/>
        <v>148.6482864419898</v>
      </c>
      <c r="S583" s="22">
        <f t="shared" si="196"/>
        <v>154.59421789966942</v>
      </c>
      <c r="T583" s="22">
        <f t="shared" si="196"/>
        <v>161.21847425021966</v>
      </c>
      <c r="U583" s="22">
        <f t="shared" si="196"/>
        <v>167.20910608028245</v>
      </c>
      <c r="V583" s="22">
        <f t="shared" si="196"/>
        <v>86.234088023431156</v>
      </c>
      <c r="W583" s="22">
        <f t="shared" si="196"/>
        <v>0</v>
      </c>
      <c r="X583" s="22">
        <f t="shared" si="196"/>
        <v>0</v>
      </c>
      <c r="Y583" s="22">
        <f t="shared" si="196"/>
        <v>0</v>
      </c>
      <c r="Z583" s="22">
        <f t="shared" si="196"/>
        <v>0</v>
      </c>
      <c r="AA583" s="22">
        <f t="shared" si="196"/>
        <v>0</v>
      </c>
      <c r="AB583" s="22">
        <f t="shared" si="196"/>
        <v>0</v>
      </c>
      <c r="AC583" s="22">
        <f t="shared" si="196"/>
        <v>0</v>
      </c>
      <c r="AD583" s="22">
        <f t="shared" si="196"/>
        <v>0</v>
      </c>
      <c r="AE583" s="22">
        <f t="shared" si="196"/>
        <v>0</v>
      </c>
      <c r="AF583" s="22">
        <f t="shared" si="196"/>
        <v>0</v>
      </c>
      <c r="AG583" s="22">
        <f t="shared" si="196"/>
        <v>0</v>
      </c>
      <c r="AH583" s="22">
        <f t="shared" si="196"/>
        <v>0</v>
      </c>
      <c r="AI583" s="22">
        <f t="shared" si="196"/>
        <v>0</v>
      </c>
      <c r="AJ583" s="22">
        <f t="shared" si="196"/>
        <v>0</v>
      </c>
      <c r="AK583" s="22">
        <f t="shared" si="196"/>
        <v>0</v>
      </c>
      <c r="AL583" s="22">
        <f t="shared" si="196"/>
        <v>0</v>
      </c>
      <c r="AM583" s="22">
        <f t="shared" si="196"/>
        <v>0</v>
      </c>
      <c r="AN583" s="22">
        <f t="shared" si="196"/>
        <v>0</v>
      </c>
      <c r="AO583" s="28"/>
    </row>
    <row r="584" spans="1:41" ht="14.4" customHeight="1" outlineLevel="1" x14ac:dyDescent="0.3">
      <c r="A584" s="18" t="s">
        <v>231</v>
      </c>
      <c r="D584" s="1" t="str">
        <f>Input!C147</f>
        <v>Эфир целлюлозы Mecellose PMC 50 US или FMC 2094</v>
      </c>
      <c r="H584" s="26" t="s">
        <v>245</v>
      </c>
      <c r="I584" s="20">
        <f t="shared" si="194"/>
        <v>284.01500635029458</v>
      </c>
      <c r="L584" s="22">
        <f t="shared" ref="L584:AN584" si="197">(L562*L462)/10^6</f>
        <v>0</v>
      </c>
      <c r="M584" s="22">
        <f t="shared" si="197"/>
        <v>0</v>
      </c>
      <c r="N584" s="22">
        <f t="shared" si="197"/>
        <v>24.318061100666668</v>
      </c>
      <c r="O584" s="22">
        <f t="shared" si="197"/>
        <v>30.348940253631998</v>
      </c>
      <c r="P584" s="22">
        <f t="shared" si="197"/>
        <v>31.649371556554758</v>
      </c>
      <c r="Q584" s="22">
        <f t="shared" si="197"/>
        <v>32.825413778328382</v>
      </c>
      <c r="R584" s="22">
        <f t="shared" si="197"/>
        <v>34.138430329461514</v>
      </c>
      <c r="S584" s="22">
        <f t="shared" si="197"/>
        <v>35.503967542639977</v>
      </c>
      <c r="T584" s="22">
        <f t="shared" si="197"/>
        <v>37.025288234056113</v>
      </c>
      <c r="U584" s="22">
        <f t="shared" si="197"/>
        <v>38.401091294119404</v>
      </c>
      <c r="V584" s="22">
        <f t="shared" si="197"/>
        <v>19.804442260835717</v>
      </c>
      <c r="W584" s="22">
        <f t="shared" si="197"/>
        <v>0</v>
      </c>
      <c r="X584" s="22">
        <f t="shared" si="197"/>
        <v>0</v>
      </c>
      <c r="Y584" s="22">
        <f t="shared" si="197"/>
        <v>0</v>
      </c>
      <c r="Z584" s="22">
        <f t="shared" si="197"/>
        <v>0</v>
      </c>
      <c r="AA584" s="22">
        <f t="shared" si="197"/>
        <v>0</v>
      </c>
      <c r="AB584" s="22">
        <f t="shared" si="197"/>
        <v>0</v>
      </c>
      <c r="AC584" s="22">
        <f t="shared" si="197"/>
        <v>0</v>
      </c>
      <c r="AD584" s="22">
        <f t="shared" si="197"/>
        <v>0</v>
      </c>
      <c r="AE584" s="22">
        <f t="shared" si="197"/>
        <v>0</v>
      </c>
      <c r="AF584" s="22">
        <f t="shared" si="197"/>
        <v>0</v>
      </c>
      <c r="AG584" s="22">
        <f t="shared" si="197"/>
        <v>0</v>
      </c>
      <c r="AH584" s="22">
        <f t="shared" si="197"/>
        <v>0</v>
      </c>
      <c r="AI584" s="22">
        <f t="shared" si="197"/>
        <v>0</v>
      </c>
      <c r="AJ584" s="22">
        <f t="shared" si="197"/>
        <v>0</v>
      </c>
      <c r="AK584" s="22">
        <f t="shared" si="197"/>
        <v>0</v>
      </c>
      <c r="AL584" s="22">
        <f t="shared" si="197"/>
        <v>0</v>
      </c>
      <c r="AM584" s="22">
        <f t="shared" si="197"/>
        <v>0</v>
      </c>
      <c r="AN584" s="22">
        <f t="shared" si="197"/>
        <v>0</v>
      </c>
      <c r="AO584" s="28"/>
    </row>
    <row r="585" spans="1:41" ht="14.4" customHeight="1" outlineLevel="1" x14ac:dyDescent="0.3">
      <c r="A585" s="18" t="s">
        <v>231</v>
      </c>
      <c r="D585" s="1" t="str">
        <f>Input!C148</f>
        <v>Редиспергируемый сополимерный порошок Neolith P 7200</v>
      </c>
      <c r="H585" s="26" t="s">
        <v>245</v>
      </c>
      <c r="I585" s="20">
        <f t="shared" si="194"/>
        <v>1229.6542828130021</v>
      </c>
      <c r="L585" s="22">
        <f t="shared" ref="L585:AN585" si="198">(L563*L463)/10^6</f>
        <v>0</v>
      </c>
      <c r="M585" s="22">
        <f t="shared" si="198"/>
        <v>0</v>
      </c>
      <c r="N585" s="22">
        <f t="shared" si="198"/>
        <v>105.2860141666667</v>
      </c>
      <c r="O585" s="22">
        <f t="shared" si="198"/>
        <v>131.39694568000002</v>
      </c>
      <c r="P585" s="22">
        <f t="shared" si="198"/>
        <v>137.02721480448005</v>
      </c>
      <c r="Q585" s="22">
        <f t="shared" si="198"/>
        <v>142.11893644748804</v>
      </c>
      <c r="R585" s="22">
        <f t="shared" si="198"/>
        <v>147.80369390538755</v>
      </c>
      <c r="S585" s="22">
        <f t="shared" si="198"/>
        <v>153.71584166160306</v>
      </c>
      <c r="T585" s="22">
        <f t="shared" si="198"/>
        <v>160.30246019197972</v>
      </c>
      <c r="U585" s="22">
        <f t="shared" si="198"/>
        <v>166.25905434118988</v>
      </c>
      <c r="V585" s="22">
        <f t="shared" si="198"/>
        <v>85.744121614207089</v>
      </c>
      <c r="W585" s="22">
        <f t="shared" si="198"/>
        <v>0</v>
      </c>
      <c r="X585" s="22">
        <f t="shared" si="198"/>
        <v>0</v>
      </c>
      <c r="Y585" s="22">
        <f t="shared" si="198"/>
        <v>0</v>
      </c>
      <c r="Z585" s="22">
        <f t="shared" si="198"/>
        <v>0</v>
      </c>
      <c r="AA585" s="22">
        <f t="shared" si="198"/>
        <v>0</v>
      </c>
      <c r="AB585" s="22">
        <f t="shared" si="198"/>
        <v>0</v>
      </c>
      <c r="AC585" s="22">
        <f t="shared" si="198"/>
        <v>0</v>
      </c>
      <c r="AD585" s="22">
        <f t="shared" si="198"/>
        <v>0</v>
      </c>
      <c r="AE585" s="22">
        <f t="shared" si="198"/>
        <v>0</v>
      </c>
      <c r="AF585" s="22">
        <f t="shared" si="198"/>
        <v>0</v>
      </c>
      <c r="AG585" s="22">
        <f t="shared" si="198"/>
        <v>0</v>
      </c>
      <c r="AH585" s="22">
        <f t="shared" si="198"/>
        <v>0</v>
      </c>
      <c r="AI585" s="22">
        <f t="shared" si="198"/>
        <v>0</v>
      </c>
      <c r="AJ585" s="22">
        <f t="shared" si="198"/>
        <v>0</v>
      </c>
      <c r="AK585" s="22">
        <f t="shared" si="198"/>
        <v>0</v>
      </c>
      <c r="AL585" s="22">
        <f t="shared" si="198"/>
        <v>0</v>
      </c>
      <c r="AM585" s="22">
        <f t="shared" si="198"/>
        <v>0</v>
      </c>
      <c r="AN585" s="22">
        <f t="shared" si="198"/>
        <v>0</v>
      </c>
      <c r="AO585" s="28"/>
    </row>
    <row r="586" spans="1:41" ht="14.4" customHeight="1" outlineLevel="1" x14ac:dyDescent="0.3">
      <c r="D586" s="1" t="str">
        <f>Input!C149</f>
        <v>Порообразователь Esapon 1214</v>
      </c>
      <c r="H586" s="26" t="s">
        <v>245</v>
      </c>
      <c r="I586" s="20">
        <f t="shared" si="194"/>
        <v>69.56329942770698</v>
      </c>
      <c r="L586" s="22">
        <f t="shared" ref="L586:AN586" si="199">(L564*L464)/10^6</f>
        <v>0</v>
      </c>
      <c r="M586" s="22">
        <f t="shared" si="199"/>
        <v>0</v>
      </c>
      <c r="N586" s="22">
        <f t="shared" si="199"/>
        <v>5.9561802300000011</v>
      </c>
      <c r="O586" s="22">
        <f t="shared" si="199"/>
        <v>7.4333129270399994</v>
      </c>
      <c r="P586" s="22">
        <f t="shared" si="199"/>
        <v>7.7518252946534405</v>
      </c>
      <c r="Q586" s="22">
        <f t="shared" si="199"/>
        <v>8.0398712618864661</v>
      </c>
      <c r="R586" s="22">
        <f t="shared" si="199"/>
        <v>8.3614661123619243</v>
      </c>
      <c r="S586" s="22">
        <f t="shared" si="199"/>
        <v>8.6959247568564031</v>
      </c>
      <c r="T586" s="22">
        <f t="shared" si="199"/>
        <v>9.068539176574852</v>
      </c>
      <c r="U586" s="22">
        <f t="shared" si="199"/>
        <v>9.4055122170158842</v>
      </c>
      <c r="V586" s="22">
        <f t="shared" si="199"/>
        <v>4.8506674513180004</v>
      </c>
      <c r="W586" s="22">
        <f t="shared" si="199"/>
        <v>0</v>
      </c>
      <c r="X586" s="22">
        <f t="shared" si="199"/>
        <v>0</v>
      </c>
      <c r="Y586" s="22">
        <f t="shared" si="199"/>
        <v>0</v>
      </c>
      <c r="Z586" s="22">
        <f t="shared" si="199"/>
        <v>0</v>
      </c>
      <c r="AA586" s="22">
        <f t="shared" si="199"/>
        <v>0</v>
      </c>
      <c r="AB586" s="22">
        <f t="shared" si="199"/>
        <v>0</v>
      </c>
      <c r="AC586" s="22">
        <f t="shared" si="199"/>
        <v>0</v>
      </c>
      <c r="AD586" s="22">
        <f t="shared" si="199"/>
        <v>0</v>
      </c>
      <c r="AE586" s="22">
        <f t="shared" si="199"/>
        <v>0</v>
      </c>
      <c r="AF586" s="22">
        <f t="shared" si="199"/>
        <v>0</v>
      </c>
      <c r="AG586" s="22">
        <f t="shared" si="199"/>
        <v>0</v>
      </c>
      <c r="AH586" s="22">
        <f t="shared" si="199"/>
        <v>0</v>
      </c>
      <c r="AI586" s="22">
        <f t="shared" si="199"/>
        <v>0</v>
      </c>
      <c r="AJ586" s="22">
        <f t="shared" si="199"/>
        <v>0</v>
      </c>
      <c r="AK586" s="22">
        <f t="shared" si="199"/>
        <v>0</v>
      </c>
      <c r="AL586" s="22">
        <f t="shared" si="199"/>
        <v>0</v>
      </c>
      <c r="AM586" s="22">
        <f t="shared" si="199"/>
        <v>0</v>
      </c>
      <c r="AN586" s="22">
        <f t="shared" si="199"/>
        <v>0</v>
      </c>
      <c r="AO586" s="28"/>
    </row>
    <row r="587" spans="1:41" ht="14.4" customHeight="1" outlineLevel="1" x14ac:dyDescent="0.3">
      <c r="H587" s="26"/>
      <c r="I587" s="36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28"/>
    </row>
    <row r="588" spans="1:41" ht="14.4" customHeight="1" outlineLevel="1" x14ac:dyDescent="0.3">
      <c r="C588" s="2" t="s">
        <v>286</v>
      </c>
      <c r="H588" s="26"/>
      <c r="I588" s="88">
        <f t="shared" ref="I588:I603" si="200">SUM(L588:AN588)</f>
        <v>2035.2228693243287</v>
      </c>
      <c r="L588" s="34">
        <f>SUM(L589:L593)</f>
        <v>0</v>
      </c>
      <c r="M588" s="34">
        <f t="shared" ref="M588:AN588" si="201">SUM(M589:M593)</f>
        <v>0</v>
      </c>
      <c r="N588" s="34">
        <f t="shared" si="201"/>
        <v>0</v>
      </c>
      <c r="O588" s="34">
        <f t="shared" si="201"/>
        <v>0</v>
      </c>
      <c r="P588" s="34">
        <f t="shared" si="201"/>
        <v>0</v>
      </c>
      <c r="Q588" s="34">
        <f t="shared" si="201"/>
        <v>0</v>
      </c>
      <c r="R588" s="34">
        <f t="shared" si="201"/>
        <v>0</v>
      </c>
      <c r="S588" s="34">
        <f t="shared" si="201"/>
        <v>0</v>
      </c>
      <c r="T588" s="34">
        <f t="shared" si="201"/>
        <v>0</v>
      </c>
      <c r="U588" s="34">
        <f t="shared" si="201"/>
        <v>0</v>
      </c>
      <c r="V588" s="34">
        <f t="shared" si="201"/>
        <v>133.47393060266251</v>
      </c>
      <c r="W588" s="34">
        <f t="shared" si="201"/>
        <v>277.62577565353797</v>
      </c>
      <c r="X588" s="34">
        <f>SUM(X589:X593)</f>
        <v>289.52184998565133</v>
      </c>
      <c r="Y588" s="34">
        <f t="shared" si="201"/>
        <v>300.28003894686674</v>
      </c>
      <c r="Z588" s="34">
        <f t="shared" si="201"/>
        <v>312.29124050474144</v>
      </c>
      <c r="AA588" s="34">
        <f t="shared" si="201"/>
        <v>324.7828901249311</v>
      </c>
      <c r="AB588" s="34">
        <f t="shared" si="201"/>
        <v>338.69961451275009</v>
      </c>
      <c r="AC588" s="34">
        <f t="shared" si="201"/>
        <v>58.547528993187569</v>
      </c>
      <c r="AD588" s="34">
        <f t="shared" si="201"/>
        <v>0</v>
      </c>
      <c r="AE588" s="34">
        <f t="shared" si="201"/>
        <v>0</v>
      </c>
      <c r="AF588" s="34">
        <f t="shared" si="201"/>
        <v>0</v>
      </c>
      <c r="AG588" s="34">
        <f t="shared" si="201"/>
        <v>0</v>
      </c>
      <c r="AH588" s="34">
        <f t="shared" si="201"/>
        <v>0</v>
      </c>
      <c r="AI588" s="34">
        <f t="shared" si="201"/>
        <v>0</v>
      </c>
      <c r="AJ588" s="34">
        <f t="shared" si="201"/>
        <v>0</v>
      </c>
      <c r="AK588" s="34">
        <f t="shared" si="201"/>
        <v>0</v>
      </c>
      <c r="AL588" s="34">
        <f t="shared" si="201"/>
        <v>0</v>
      </c>
      <c r="AM588" s="34">
        <f t="shared" si="201"/>
        <v>0</v>
      </c>
      <c r="AN588" s="34">
        <f t="shared" si="201"/>
        <v>0</v>
      </c>
      <c r="AO588" s="28"/>
    </row>
    <row r="589" spans="1:41" ht="14.4" customHeight="1" outlineLevel="1" x14ac:dyDescent="0.3">
      <c r="A589" s="18" t="s">
        <v>231</v>
      </c>
      <c r="D589" s="1" t="str">
        <f>Input!C151</f>
        <v>Портландцемент_после оптимизации</v>
      </c>
      <c r="H589" s="26" t="s">
        <v>245</v>
      </c>
      <c r="I589" s="20">
        <f t="shared" si="200"/>
        <v>1340.7477840941174</v>
      </c>
      <c r="L589" s="22">
        <f t="shared" ref="L589:AN589" si="202">(L555*L466)/10^6</f>
        <v>0</v>
      </c>
      <c r="M589" s="22">
        <f t="shared" si="202"/>
        <v>0</v>
      </c>
      <c r="N589" s="22">
        <f t="shared" si="202"/>
        <v>0</v>
      </c>
      <c r="O589" s="22">
        <f t="shared" si="202"/>
        <v>0</v>
      </c>
      <c r="P589" s="22">
        <f t="shared" si="202"/>
        <v>0</v>
      </c>
      <c r="Q589" s="22">
        <f t="shared" si="202"/>
        <v>0</v>
      </c>
      <c r="R589" s="22">
        <f t="shared" si="202"/>
        <v>0</v>
      </c>
      <c r="S589" s="22">
        <f t="shared" si="202"/>
        <v>0</v>
      </c>
      <c r="T589" s="22">
        <f t="shared" si="202"/>
        <v>0</v>
      </c>
      <c r="U589" s="22">
        <f t="shared" si="202"/>
        <v>0</v>
      </c>
      <c r="V589" s="22">
        <f t="shared" si="202"/>
        <v>87.928884539933847</v>
      </c>
      <c r="W589" s="22">
        <f t="shared" si="202"/>
        <v>182.89207984306236</v>
      </c>
      <c r="X589" s="22">
        <f t="shared" si="202"/>
        <v>190.72888019578983</v>
      </c>
      <c r="Y589" s="22">
        <f t="shared" si="202"/>
        <v>197.81607355825631</v>
      </c>
      <c r="Z589" s="22">
        <f t="shared" si="202"/>
        <v>205.7287165005865</v>
      </c>
      <c r="AA589" s="22">
        <f t="shared" si="202"/>
        <v>213.95786516061</v>
      </c>
      <c r="AB589" s="22">
        <f t="shared" si="202"/>
        <v>223.12581313625918</v>
      </c>
      <c r="AC589" s="22">
        <f t="shared" si="202"/>
        <v>38.569471159619297</v>
      </c>
      <c r="AD589" s="22">
        <f t="shared" si="202"/>
        <v>0</v>
      </c>
      <c r="AE589" s="22">
        <f t="shared" si="202"/>
        <v>0</v>
      </c>
      <c r="AF589" s="22">
        <f t="shared" si="202"/>
        <v>0</v>
      </c>
      <c r="AG589" s="22">
        <f t="shared" si="202"/>
        <v>0</v>
      </c>
      <c r="AH589" s="22">
        <f t="shared" si="202"/>
        <v>0</v>
      </c>
      <c r="AI589" s="22">
        <f t="shared" si="202"/>
        <v>0</v>
      </c>
      <c r="AJ589" s="22">
        <f t="shared" si="202"/>
        <v>0</v>
      </c>
      <c r="AK589" s="22">
        <f t="shared" si="202"/>
        <v>0</v>
      </c>
      <c r="AL589" s="22">
        <f t="shared" si="202"/>
        <v>0</v>
      </c>
      <c r="AM589" s="22">
        <f t="shared" si="202"/>
        <v>0</v>
      </c>
      <c r="AN589" s="22">
        <f t="shared" si="202"/>
        <v>0</v>
      </c>
      <c r="AO589" s="28"/>
    </row>
    <row r="590" spans="1:41" ht="14.4" customHeight="1" outlineLevel="1" x14ac:dyDescent="0.3">
      <c r="A590" s="18" t="s">
        <v>231</v>
      </c>
      <c r="D590" s="1" t="str">
        <f>Input!C152</f>
        <v>Эфир крахмала Esamid NA</v>
      </c>
      <c r="H590" s="26" t="s">
        <v>245</v>
      </c>
      <c r="I590" s="20">
        <f t="shared" si="200"/>
        <v>17.024507776275986</v>
      </c>
      <c r="L590" s="22">
        <f t="shared" ref="L590:AN590" si="203">(L565*L467)/10^6</f>
        <v>0</v>
      </c>
      <c r="M590" s="22">
        <f t="shared" si="203"/>
        <v>0</v>
      </c>
      <c r="N590" s="22">
        <f t="shared" si="203"/>
        <v>0</v>
      </c>
      <c r="O590" s="22">
        <f t="shared" si="203"/>
        <v>0</v>
      </c>
      <c r="P590" s="22">
        <f t="shared" si="203"/>
        <v>0</v>
      </c>
      <c r="Q590" s="22">
        <f t="shared" si="203"/>
        <v>0</v>
      </c>
      <c r="R590" s="22">
        <f t="shared" si="203"/>
        <v>0</v>
      </c>
      <c r="S590" s="22">
        <f t="shared" si="203"/>
        <v>0</v>
      </c>
      <c r="T590" s="22">
        <f t="shared" si="203"/>
        <v>0</v>
      </c>
      <c r="U590" s="22">
        <f t="shared" si="203"/>
        <v>0</v>
      </c>
      <c r="V590" s="22">
        <f t="shared" si="203"/>
        <v>1.1165008037815223</v>
      </c>
      <c r="W590" s="22">
        <f t="shared" si="203"/>
        <v>2.3223216718655664</v>
      </c>
      <c r="X590" s="22">
        <f t="shared" si="203"/>
        <v>2.4218315648737239</v>
      </c>
      <c r="Y590" s="22">
        <f t="shared" si="203"/>
        <v>2.5118231202897969</v>
      </c>
      <c r="Z590" s="22">
        <f t="shared" si="203"/>
        <v>2.612296045101389</v>
      </c>
      <c r="AA590" s="22">
        <f t="shared" si="203"/>
        <v>2.7167878869054438</v>
      </c>
      <c r="AB590" s="22">
        <f t="shared" si="203"/>
        <v>2.833200387045721</v>
      </c>
      <c r="AC590" s="22">
        <f t="shared" si="203"/>
        <v>0.4897462964128213</v>
      </c>
      <c r="AD590" s="22">
        <f t="shared" si="203"/>
        <v>0</v>
      </c>
      <c r="AE590" s="22">
        <f t="shared" si="203"/>
        <v>0</v>
      </c>
      <c r="AF590" s="22">
        <f t="shared" si="203"/>
        <v>0</v>
      </c>
      <c r="AG590" s="22">
        <f t="shared" si="203"/>
        <v>0</v>
      </c>
      <c r="AH590" s="22">
        <f t="shared" si="203"/>
        <v>0</v>
      </c>
      <c r="AI590" s="22">
        <f t="shared" si="203"/>
        <v>0</v>
      </c>
      <c r="AJ590" s="22">
        <f t="shared" si="203"/>
        <v>0</v>
      </c>
      <c r="AK590" s="22">
        <f t="shared" si="203"/>
        <v>0</v>
      </c>
      <c r="AL590" s="22">
        <f t="shared" si="203"/>
        <v>0</v>
      </c>
      <c r="AM590" s="22">
        <f t="shared" si="203"/>
        <v>0</v>
      </c>
      <c r="AN590" s="22">
        <f t="shared" si="203"/>
        <v>0</v>
      </c>
      <c r="AO590" s="28"/>
    </row>
    <row r="591" spans="1:41" ht="14.4" customHeight="1" outlineLevel="1" x14ac:dyDescent="0.3">
      <c r="A591" s="18" t="s">
        <v>231</v>
      </c>
      <c r="D591" s="1" t="str">
        <f>Input!C153</f>
        <v>Гидрофобизатор (олеат Na, стеараты)</v>
      </c>
      <c r="H591" s="26" t="s">
        <v>245</v>
      </c>
      <c r="I591" s="20">
        <f t="shared" si="200"/>
        <v>244.06816458023977</v>
      </c>
      <c r="L591" s="22">
        <f t="shared" ref="L591:AN591" si="204">(L566*L468)/10^6</f>
        <v>0</v>
      </c>
      <c r="M591" s="22">
        <f t="shared" si="204"/>
        <v>0</v>
      </c>
      <c r="N591" s="22">
        <f t="shared" si="204"/>
        <v>0</v>
      </c>
      <c r="O591" s="22">
        <f t="shared" si="204"/>
        <v>0</v>
      </c>
      <c r="P591" s="22">
        <f t="shared" si="204"/>
        <v>0</v>
      </c>
      <c r="Q591" s="22">
        <f t="shared" si="204"/>
        <v>0</v>
      </c>
      <c r="R591" s="22">
        <f t="shared" si="204"/>
        <v>0</v>
      </c>
      <c r="S591" s="22">
        <f t="shared" si="204"/>
        <v>0</v>
      </c>
      <c r="T591" s="22">
        <f t="shared" si="204"/>
        <v>0</v>
      </c>
      <c r="U591" s="22">
        <f t="shared" si="204"/>
        <v>0</v>
      </c>
      <c r="V591" s="22">
        <f t="shared" si="204"/>
        <v>16.006471700230669</v>
      </c>
      <c r="W591" s="22">
        <f t="shared" si="204"/>
        <v>33.293461136479792</v>
      </c>
      <c r="X591" s="22">
        <f t="shared" si="204"/>
        <v>34.720063142437461</v>
      </c>
      <c r="Y591" s="22">
        <f t="shared" si="204"/>
        <v>36.010207565216547</v>
      </c>
      <c r="Z591" s="22">
        <f t="shared" si="204"/>
        <v>37.450615867825221</v>
      </c>
      <c r="AA591" s="22">
        <f t="shared" si="204"/>
        <v>38.948640502538218</v>
      </c>
      <c r="AB591" s="22">
        <f t="shared" si="204"/>
        <v>40.617563070920951</v>
      </c>
      <c r="AC591" s="22">
        <f t="shared" si="204"/>
        <v>7.0211415945908895</v>
      </c>
      <c r="AD591" s="22">
        <f t="shared" si="204"/>
        <v>0</v>
      </c>
      <c r="AE591" s="22">
        <f t="shared" si="204"/>
        <v>0</v>
      </c>
      <c r="AF591" s="22">
        <f t="shared" si="204"/>
        <v>0</v>
      </c>
      <c r="AG591" s="22">
        <f t="shared" si="204"/>
        <v>0</v>
      </c>
      <c r="AH591" s="22">
        <f t="shared" si="204"/>
        <v>0</v>
      </c>
      <c r="AI591" s="22">
        <f t="shared" si="204"/>
        <v>0</v>
      </c>
      <c r="AJ591" s="22">
        <f t="shared" si="204"/>
        <v>0</v>
      </c>
      <c r="AK591" s="22">
        <f t="shared" si="204"/>
        <v>0</v>
      </c>
      <c r="AL591" s="22">
        <f t="shared" si="204"/>
        <v>0</v>
      </c>
      <c r="AM591" s="22">
        <f t="shared" si="204"/>
        <v>0</v>
      </c>
      <c r="AN591" s="22">
        <f t="shared" si="204"/>
        <v>0</v>
      </c>
      <c r="AO591" s="28"/>
    </row>
    <row r="592" spans="1:41" ht="14.4" customHeight="1" outlineLevel="1" x14ac:dyDescent="0.3">
      <c r="A592" s="18" t="s">
        <v>231</v>
      </c>
      <c r="D592" s="1" t="str">
        <f>Input!C154</f>
        <v>Суперпластификатор Melment F 10</v>
      </c>
      <c r="H592" s="26" t="s">
        <v>245</v>
      </c>
      <c r="I592" s="20">
        <f t="shared" si="200"/>
        <v>218.15475451369576</v>
      </c>
      <c r="L592" s="22">
        <f t="shared" ref="L592:AN592" si="205">(L567*L469)/10^6</f>
        <v>0</v>
      </c>
      <c r="M592" s="22">
        <f t="shared" si="205"/>
        <v>0</v>
      </c>
      <c r="N592" s="22">
        <f t="shared" si="205"/>
        <v>0</v>
      </c>
      <c r="O592" s="22">
        <f t="shared" si="205"/>
        <v>0</v>
      </c>
      <c r="P592" s="22">
        <f t="shared" si="205"/>
        <v>0</v>
      </c>
      <c r="Q592" s="22">
        <f t="shared" si="205"/>
        <v>0</v>
      </c>
      <c r="R592" s="22">
        <f t="shared" si="205"/>
        <v>0</v>
      </c>
      <c r="S592" s="22">
        <f t="shared" si="205"/>
        <v>0</v>
      </c>
      <c r="T592" s="22">
        <f t="shared" si="205"/>
        <v>0</v>
      </c>
      <c r="U592" s="22">
        <f t="shared" si="205"/>
        <v>0</v>
      </c>
      <c r="V592" s="22">
        <f t="shared" si="205"/>
        <v>14.307019149341983</v>
      </c>
      <c r="W592" s="22">
        <f>(W567*W469)/10^6</f>
        <v>29.758599830631322</v>
      </c>
      <c r="X592" s="22">
        <f t="shared" si="205"/>
        <v>31.033735450771257</v>
      </c>
      <c r="Y592" s="22">
        <f>(Y567*Y469)/10^6</f>
        <v>32.186901576810847</v>
      </c>
      <c r="Z592" s="22">
        <f t="shared" si="205"/>
        <v>33.474377639883279</v>
      </c>
      <c r="AA592" s="22">
        <f t="shared" si="205"/>
        <v>34.81335274547861</v>
      </c>
      <c r="AB592" s="22">
        <f t="shared" si="205"/>
        <v>36.305081065860215</v>
      </c>
      <c r="AC592" s="22">
        <f t="shared" si="205"/>
        <v>6.2756870549182757</v>
      </c>
      <c r="AD592" s="22">
        <f t="shared" si="205"/>
        <v>0</v>
      </c>
      <c r="AE592" s="22">
        <f t="shared" si="205"/>
        <v>0</v>
      </c>
      <c r="AF592" s="22">
        <f t="shared" si="205"/>
        <v>0</v>
      </c>
      <c r="AG592" s="22">
        <f t="shared" si="205"/>
        <v>0</v>
      </c>
      <c r="AH592" s="22">
        <f t="shared" si="205"/>
        <v>0</v>
      </c>
      <c r="AI592" s="22">
        <f t="shared" si="205"/>
        <v>0</v>
      </c>
      <c r="AJ592" s="22">
        <f t="shared" si="205"/>
        <v>0</v>
      </c>
      <c r="AK592" s="22">
        <f t="shared" si="205"/>
        <v>0</v>
      </c>
      <c r="AL592" s="22">
        <f t="shared" si="205"/>
        <v>0</v>
      </c>
      <c r="AM592" s="22">
        <f t="shared" si="205"/>
        <v>0</v>
      </c>
      <c r="AN592" s="22">
        <f t="shared" si="205"/>
        <v>0</v>
      </c>
      <c r="AO592" s="28"/>
    </row>
    <row r="593" spans="1:41" ht="14.4" customHeight="1" outlineLevel="1" x14ac:dyDescent="0.3">
      <c r="A593" s="18" t="s">
        <v>231</v>
      </c>
      <c r="D593" s="1" t="str">
        <f>Input!C155</f>
        <v>Ускоритель схватывания (формиат Са)</v>
      </c>
      <c r="H593" s="26" t="s">
        <v>245</v>
      </c>
      <c r="I593" s="20">
        <f t="shared" si="200"/>
        <v>215.22765835999982</v>
      </c>
      <c r="L593" s="22">
        <f t="shared" ref="L593:AN593" si="206">(L568*L470)/10^6</f>
        <v>0</v>
      </c>
      <c r="M593" s="22">
        <f t="shared" si="206"/>
        <v>0</v>
      </c>
      <c r="N593" s="22">
        <f t="shared" si="206"/>
        <v>0</v>
      </c>
      <c r="O593" s="22">
        <f t="shared" si="206"/>
        <v>0</v>
      </c>
      <c r="P593" s="22">
        <f t="shared" si="206"/>
        <v>0</v>
      </c>
      <c r="Q593" s="22">
        <f t="shared" si="206"/>
        <v>0</v>
      </c>
      <c r="R593" s="22">
        <f t="shared" si="206"/>
        <v>0</v>
      </c>
      <c r="S593" s="22">
        <f t="shared" si="206"/>
        <v>0</v>
      </c>
      <c r="T593" s="22">
        <f t="shared" si="206"/>
        <v>0</v>
      </c>
      <c r="U593" s="22">
        <f t="shared" si="206"/>
        <v>0</v>
      </c>
      <c r="V593" s="22">
        <f t="shared" si="206"/>
        <v>14.115054409374491</v>
      </c>
      <c r="W593" s="22">
        <f t="shared" si="206"/>
        <v>29.35931317149894</v>
      </c>
      <c r="X593" s="22">
        <f t="shared" si="206"/>
        <v>30.617339631779068</v>
      </c>
      <c r="Y593" s="22">
        <f>(Y568*Y470)/10^6</f>
        <v>31.755033126293256</v>
      </c>
      <c r="Z593" s="22">
        <f t="shared" si="206"/>
        <v>33.025234451344993</v>
      </c>
      <c r="AA593" s="22">
        <f t="shared" si="206"/>
        <v>34.346243829398787</v>
      </c>
      <c r="AB593" s="22">
        <f t="shared" si="206"/>
        <v>35.81795685266399</v>
      </c>
      <c r="AC593" s="22">
        <f t="shared" si="206"/>
        <v>6.1914828876462877</v>
      </c>
      <c r="AD593" s="22">
        <f t="shared" si="206"/>
        <v>0</v>
      </c>
      <c r="AE593" s="22">
        <f t="shared" si="206"/>
        <v>0</v>
      </c>
      <c r="AF593" s="22">
        <f t="shared" si="206"/>
        <v>0</v>
      </c>
      <c r="AG593" s="22">
        <f t="shared" si="206"/>
        <v>0</v>
      </c>
      <c r="AH593" s="22">
        <f t="shared" si="206"/>
        <v>0</v>
      </c>
      <c r="AI593" s="22">
        <f t="shared" si="206"/>
        <v>0</v>
      </c>
      <c r="AJ593" s="22">
        <f t="shared" si="206"/>
        <v>0</v>
      </c>
      <c r="AK593" s="22">
        <f t="shared" si="206"/>
        <v>0</v>
      </c>
      <c r="AL593" s="22">
        <f t="shared" si="206"/>
        <v>0</v>
      </c>
      <c r="AM593" s="22">
        <f t="shared" si="206"/>
        <v>0</v>
      </c>
      <c r="AN593" s="22">
        <f t="shared" si="206"/>
        <v>0</v>
      </c>
      <c r="AO593" s="28"/>
    </row>
    <row r="594" spans="1:41" ht="14.4" customHeight="1" outlineLevel="1" x14ac:dyDescent="0.3">
      <c r="H594" s="26"/>
      <c r="I594" s="36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28"/>
    </row>
    <row r="595" spans="1:41" ht="14.4" customHeight="1" outlineLevel="1" x14ac:dyDescent="0.3">
      <c r="A595" s="18" t="s">
        <v>231</v>
      </c>
      <c r="D595" s="1" t="s">
        <v>250</v>
      </c>
      <c r="H595" s="26" t="s">
        <v>245</v>
      </c>
      <c r="I595" s="20">
        <f t="shared" si="200"/>
        <v>44.897774136004152</v>
      </c>
      <c r="L595" s="22">
        <f>(L569*Input!$H$157*L$421)/10^6</f>
        <v>0</v>
      </c>
      <c r="M595" s="22">
        <f>(M569*Input!$H$157*M$421)/10^6</f>
        <v>0</v>
      </c>
      <c r="N595" s="22">
        <f>(N569*Input!$H$157*N$421)/10^6</f>
        <v>1.7182490613750001</v>
      </c>
      <c r="O595" s="22">
        <f>(O569*Input!$H$157*O$421)/10^6</f>
        <v>2.1649938173325003</v>
      </c>
      <c r="P595" s="22">
        <f>(P569*Input!$H$157*P$421)/10^6</f>
        <v>2.2794715726051509</v>
      </c>
      <c r="Q595" s="22">
        <f>(Q569*Input!$H$157*Q$421)/10^6</f>
        <v>2.3869056836090818</v>
      </c>
      <c r="R595" s="22">
        <f>(R569*Input!$H$157*R$421)/10^6</f>
        <v>2.5062509677895362</v>
      </c>
      <c r="S595" s="22">
        <f>(S569*Input!$H$157*S$421)/10^6</f>
        <v>2.6315635161790132</v>
      </c>
      <c r="T595" s="22">
        <f>(T569*Input!$H$157*T$421)/10^6</f>
        <v>2.77071194319889</v>
      </c>
      <c r="U595" s="22">
        <f>(U569*Input!$H$157*U$421)/10^6</f>
        <v>2.9012987765873621</v>
      </c>
      <c r="V595" s="22">
        <f>(V569*Input!$H$157*V$421)/10^6</f>
        <v>3.0463637154167298</v>
      </c>
      <c r="W595" s="22">
        <f>(W569*Input!$H$157*W$421)/10^6</f>
        <v>3.1986819011875669</v>
      </c>
      <c r="X595" s="22">
        <f>(X569*Input!$H$157*X$421)/10^6</f>
        <v>3.3678176839078957</v>
      </c>
      <c r="Y595" s="22">
        <f>(Y569*Input!$H$157*Y$421)/10^6</f>
        <v>3.5265467960592938</v>
      </c>
      <c r="Z595" s="22">
        <f>(Z569*Input!$H$157*Z$421)/10^6</f>
        <v>3.7028741358622579</v>
      </c>
      <c r="AA595" s="22">
        <f>(AA569*Input!$H$157*AA$421)/10^6</f>
        <v>3.8880178426553713</v>
      </c>
      <c r="AB595" s="22">
        <f>(AB569*Input!$H$157*AB$421)/10^6</f>
        <v>4.093603443650573</v>
      </c>
      <c r="AC595" s="22">
        <f>(AC569*Input!$H$157*AC$421)/10^6</f>
        <v>0.71442327858792454</v>
      </c>
      <c r="AD595" s="22">
        <f>(AD569*Input!$H$157*AD$421)/10^6</f>
        <v>0</v>
      </c>
      <c r="AE595" s="22">
        <f>(AE569*Input!$H$157*AE$421)/10^6</f>
        <v>0</v>
      </c>
      <c r="AF595" s="22">
        <f>(AF569*Input!$H$157*AF$421)/10^6</f>
        <v>0</v>
      </c>
      <c r="AG595" s="22">
        <f>(AG569*Input!$H$157*AG$421)/10^6</f>
        <v>0</v>
      </c>
      <c r="AH595" s="22">
        <f>(AH569*Input!$H$157*AH$421)/10^6</f>
        <v>0</v>
      </c>
      <c r="AI595" s="22">
        <f>(AI569*Input!$H$157*AI$421)/10^6</f>
        <v>0</v>
      </c>
      <c r="AJ595" s="22">
        <f>(AJ569*Input!$H$157*AJ$421)/10^6</f>
        <v>0</v>
      </c>
      <c r="AK595" s="22">
        <f>(AK569*Input!$H$157*AK$421)/10^6</f>
        <v>0</v>
      </c>
      <c r="AL595" s="22">
        <f>(AL569*Input!$H$157*AL$421)/10^6</f>
        <v>0</v>
      </c>
      <c r="AM595" s="22">
        <f>(AM569*Input!$H$157*AM$421)/10^6</f>
        <v>0</v>
      </c>
      <c r="AN595" s="22">
        <f>(AN569*Input!$H$157*AN$421)/10^6</f>
        <v>0</v>
      </c>
      <c r="AO595" s="28"/>
    </row>
    <row r="596" spans="1:41" ht="14.4" customHeight="1" outlineLevel="1" x14ac:dyDescent="0.3">
      <c r="H596" s="26"/>
      <c r="I596" s="36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28"/>
    </row>
    <row r="597" spans="1:41" s="2" customFormat="1" ht="14.4" customHeight="1" outlineLevel="1" x14ac:dyDescent="0.3">
      <c r="A597" s="32"/>
      <c r="B597" s="32"/>
      <c r="D597" s="2" t="s">
        <v>251</v>
      </c>
      <c r="H597" s="30" t="s">
        <v>245</v>
      </c>
      <c r="I597" s="88">
        <f t="shared" si="200"/>
        <v>335.37946566374484</v>
      </c>
      <c r="L597" s="34">
        <f>SUM(L598:L601)</f>
        <v>0</v>
      </c>
      <c r="M597" s="34">
        <f t="shared" ref="M597:AN597" si="207">SUM(M598:M601)</f>
        <v>0</v>
      </c>
      <c r="N597" s="34">
        <f>SUM(N598:N601)</f>
        <v>13.854779986666669</v>
      </c>
      <c r="O597" s="34">
        <f t="shared" si="207"/>
        <v>17.290765423360003</v>
      </c>
      <c r="P597" s="34">
        <f t="shared" si="207"/>
        <v>18.031662878760962</v>
      </c>
      <c r="Q597" s="34">
        <f t="shared" si="207"/>
        <v>18.701691881906179</v>
      </c>
      <c r="R597" s="34">
        <f t="shared" si="207"/>
        <v>19.449759557182428</v>
      </c>
      <c r="S597" s="34">
        <f t="shared" si="207"/>
        <v>20.227749939469724</v>
      </c>
      <c r="T597" s="34">
        <f t="shared" si="207"/>
        <v>21.094495169752761</v>
      </c>
      <c r="U597" s="34">
        <f t="shared" si="207"/>
        <v>21.878334334530457</v>
      </c>
      <c r="V597" s="34">
        <f t="shared" si="207"/>
        <v>22.753467707911678</v>
      </c>
      <c r="W597" s="34">
        <f t="shared" si="207"/>
        <v>23.663606416228145</v>
      </c>
      <c r="X597" s="34">
        <f t="shared" si="207"/>
        <v>24.677575743213925</v>
      </c>
      <c r="Y597" s="34">
        <f t="shared" si="207"/>
        <v>25.594556699792363</v>
      </c>
      <c r="Z597" s="34">
        <f t="shared" si="207"/>
        <v>26.618338967784059</v>
      </c>
      <c r="AA597" s="34">
        <f t="shared" si="207"/>
        <v>27.683072526495422</v>
      </c>
      <c r="AB597" s="34">
        <f t="shared" si="207"/>
        <v>28.86927322324717</v>
      </c>
      <c r="AC597" s="34">
        <f t="shared" si="207"/>
        <v>4.9903352074429073</v>
      </c>
      <c r="AD597" s="34">
        <f t="shared" si="207"/>
        <v>0</v>
      </c>
      <c r="AE597" s="34">
        <f t="shared" si="207"/>
        <v>0</v>
      </c>
      <c r="AF597" s="34">
        <f t="shared" si="207"/>
        <v>0</v>
      </c>
      <c r="AG597" s="34">
        <f t="shared" si="207"/>
        <v>0</v>
      </c>
      <c r="AH597" s="34">
        <f t="shared" si="207"/>
        <v>0</v>
      </c>
      <c r="AI597" s="34">
        <f t="shared" si="207"/>
        <v>0</v>
      </c>
      <c r="AJ597" s="34">
        <f t="shared" si="207"/>
        <v>0</v>
      </c>
      <c r="AK597" s="34">
        <f t="shared" si="207"/>
        <v>0</v>
      </c>
      <c r="AL597" s="34">
        <f t="shared" si="207"/>
        <v>0</v>
      </c>
      <c r="AM597" s="34">
        <f t="shared" si="207"/>
        <v>0</v>
      </c>
      <c r="AN597" s="34">
        <f t="shared" si="207"/>
        <v>0</v>
      </c>
      <c r="AO597" s="127"/>
    </row>
    <row r="598" spans="1:41" ht="14.4" customHeight="1" outlineLevel="1" x14ac:dyDescent="0.3">
      <c r="A598" s="18" t="s">
        <v>231</v>
      </c>
      <c r="B598" s="18">
        <f>Input!H117</f>
        <v>50</v>
      </c>
      <c r="E598" s="1" t="s">
        <v>191</v>
      </c>
      <c r="H598" s="26" t="s">
        <v>245</v>
      </c>
      <c r="I598" s="20">
        <f t="shared" si="200"/>
        <v>75.730847085361731</v>
      </c>
      <c r="L598" s="22">
        <f t="shared" ref="L598:AN598" si="208">IF($B598=50,L$570*((L432*1000)/$B598),L$571*((L432*1000)/$B598))/10^6</f>
        <v>0</v>
      </c>
      <c r="M598" s="22">
        <f t="shared" si="208"/>
        <v>0</v>
      </c>
      <c r="N598" s="22">
        <f t="shared" si="208"/>
        <v>3.128498706666667</v>
      </c>
      <c r="O598" s="22">
        <f t="shared" si="208"/>
        <v>3.9043663859200004</v>
      </c>
      <c r="P598" s="22">
        <f t="shared" si="208"/>
        <v>4.0716658113331201</v>
      </c>
      <c r="Q598" s="22">
        <f t="shared" si="208"/>
        <v>4.2229626830110725</v>
      </c>
      <c r="R598" s="22">
        <f t="shared" si="208"/>
        <v>4.3918811903315156</v>
      </c>
      <c r="S598" s="22">
        <f t="shared" si="208"/>
        <v>4.5675564379447762</v>
      </c>
      <c r="T598" s="22">
        <f t="shared" si="208"/>
        <v>4.7632731028473971</v>
      </c>
      <c r="U598" s="22">
        <f t="shared" si="208"/>
        <v>4.940269043281071</v>
      </c>
      <c r="V598" s="22">
        <f t="shared" si="208"/>
        <v>5.1378798050123144</v>
      </c>
      <c r="W598" s="22">
        <f t="shared" si="208"/>
        <v>5.3433949972128065</v>
      </c>
      <c r="X598" s="22">
        <f t="shared" si="208"/>
        <v>5.5723558129837896</v>
      </c>
      <c r="Y598" s="22">
        <f t="shared" si="208"/>
        <v>5.7794160289853727</v>
      </c>
      <c r="Z598" s="22">
        <f t="shared" si="208"/>
        <v>6.0105926701447876</v>
      </c>
      <c r="AA598" s="22">
        <f t="shared" si="208"/>
        <v>6.25101637695058</v>
      </c>
      <c r="AB598" s="22">
        <f t="shared" si="208"/>
        <v>6.5188681471848451</v>
      </c>
      <c r="AC598" s="22">
        <f t="shared" si="208"/>
        <v>1.1268498855516242</v>
      </c>
      <c r="AD598" s="22">
        <f t="shared" si="208"/>
        <v>0</v>
      </c>
      <c r="AE598" s="22">
        <f t="shared" si="208"/>
        <v>0</v>
      </c>
      <c r="AF598" s="22">
        <f t="shared" si="208"/>
        <v>0</v>
      </c>
      <c r="AG598" s="22">
        <f t="shared" si="208"/>
        <v>0</v>
      </c>
      <c r="AH598" s="22">
        <f t="shared" si="208"/>
        <v>0</v>
      </c>
      <c r="AI598" s="22">
        <f t="shared" si="208"/>
        <v>0</v>
      </c>
      <c r="AJ598" s="22">
        <f t="shared" si="208"/>
        <v>0</v>
      </c>
      <c r="AK598" s="22">
        <f t="shared" si="208"/>
        <v>0</v>
      </c>
      <c r="AL598" s="22">
        <f t="shared" si="208"/>
        <v>0</v>
      </c>
      <c r="AM598" s="22">
        <f t="shared" si="208"/>
        <v>0</v>
      </c>
      <c r="AN598" s="22">
        <f t="shared" si="208"/>
        <v>0</v>
      </c>
      <c r="AO598" s="28"/>
    </row>
    <row r="599" spans="1:41" ht="14.4" customHeight="1" outlineLevel="1" x14ac:dyDescent="0.3">
      <c r="A599" s="18" t="s">
        <v>231</v>
      </c>
      <c r="B599" s="18">
        <f>Input!H118</f>
        <v>50</v>
      </c>
      <c r="E599" s="1" t="s">
        <v>192</v>
      </c>
      <c r="H599" s="26" t="s">
        <v>245</v>
      </c>
      <c r="I599" s="20">
        <f t="shared" si="200"/>
        <v>75.730847085361731</v>
      </c>
      <c r="L599" s="22">
        <f t="shared" ref="L599:AN599" si="209">IF($B599=50,L$570*((L433*1000)/$B599),L$571*((L433*1000)/$B599))/10^6</f>
        <v>0</v>
      </c>
      <c r="M599" s="22">
        <f t="shared" si="209"/>
        <v>0</v>
      </c>
      <c r="N599" s="22">
        <f t="shared" si="209"/>
        <v>3.128498706666667</v>
      </c>
      <c r="O599" s="22">
        <f t="shared" si="209"/>
        <v>3.9043663859200004</v>
      </c>
      <c r="P599" s="22">
        <f t="shared" si="209"/>
        <v>4.0716658113331201</v>
      </c>
      <c r="Q599" s="22">
        <f t="shared" si="209"/>
        <v>4.2229626830110725</v>
      </c>
      <c r="R599" s="22">
        <f t="shared" si="209"/>
        <v>4.3918811903315156</v>
      </c>
      <c r="S599" s="22">
        <f t="shared" si="209"/>
        <v>4.5675564379447762</v>
      </c>
      <c r="T599" s="22">
        <f t="shared" si="209"/>
        <v>4.7632731028473971</v>
      </c>
      <c r="U599" s="22">
        <f t="shared" si="209"/>
        <v>4.940269043281071</v>
      </c>
      <c r="V599" s="22">
        <f t="shared" si="209"/>
        <v>5.1378798050123144</v>
      </c>
      <c r="W599" s="22">
        <f t="shared" si="209"/>
        <v>5.3433949972128065</v>
      </c>
      <c r="X599" s="22">
        <f t="shared" si="209"/>
        <v>5.5723558129837896</v>
      </c>
      <c r="Y599" s="22">
        <f t="shared" si="209"/>
        <v>5.7794160289853727</v>
      </c>
      <c r="Z599" s="22">
        <f t="shared" si="209"/>
        <v>6.0105926701447876</v>
      </c>
      <c r="AA599" s="22">
        <f t="shared" si="209"/>
        <v>6.25101637695058</v>
      </c>
      <c r="AB599" s="22">
        <f t="shared" si="209"/>
        <v>6.5188681471848451</v>
      </c>
      <c r="AC599" s="22">
        <f t="shared" si="209"/>
        <v>1.1268498855516242</v>
      </c>
      <c r="AD599" s="22">
        <f t="shared" si="209"/>
        <v>0</v>
      </c>
      <c r="AE599" s="22">
        <f t="shared" si="209"/>
        <v>0</v>
      </c>
      <c r="AF599" s="22">
        <f t="shared" si="209"/>
        <v>0</v>
      </c>
      <c r="AG599" s="22">
        <f t="shared" si="209"/>
        <v>0</v>
      </c>
      <c r="AH599" s="22">
        <f t="shared" si="209"/>
        <v>0</v>
      </c>
      <c r="AI599" s="22">
        <f t="shared" si="209"/>
        <v>0</v>
      </c>
      <c r="AJ599" s="22">
        <f t="shared" si="209"/>
        <v>0</v>
      </c>
      <c r="AK599" s="22">
        <f t="shared" si="209"/>
        <v>0</v>
      </c>
      <c r="AL599" s="22">
        <f t="shared" si="209"/>
        <v>0</v>
      </c>
      <c r="AM599" s="22">
        <f t="shared" si="209"/>
        <v>0</v>
      </c>
      <c r="AN599" s="22">
        <f t="shared" si="209"/>
        <v>0</v>
      </c>
      <c r="AO599" s="28"/>
    </row>
    <row r="600" spans="1:41" ht="14.4" customHeight="1" outlineLevel="1" x14ac:dyDescent="0.3">
      <c r="A600" s="18" t="s">
        <v>231</v>
      </c>
      <c r="B600" s="18">
        <f>Input!H119</f>
        <v>50</v>
      </c>
      <c r="E600" s="1" t="s">
        <v>193</v>
      </c>
      <c r="H600" s="26" t="s">
        <v>245</v>
      </c>
      <c r="I600" s="20">
        <f t="shared" si="200"/>
        <v>75.730847085361731</v>
      </c>
      <c r="L600" s="22">
        <f t="shared" ref="L600:AN600" si="210">IF($B600=50,L$570*((L434*1000)/$B600),L$571*((L434*1000)/$B600))/10^6</f>
        <v>0</v>
      </c>
      <c r="M600" s="22">
        <f t="shared" si="210"/>
        <v>0</v>
      </c>
      <c r="N600" s="22">
        <f t="shared" si="210"/>
        <v>3.128498706666667</v>
      </c>
      <c r="O600" s="22">
        <f t="shared" si="210"/>
        <v>3.9043663859200004</v>
      </c>
      <c r="P600" s="22">
        <f t="shared" si="210"/>
        <v>4.0716658113331201</v>
      </c>
      <c r="Q600" s="22">
        <f t="shared" si="210"/>
        <v>4.2229626830110725</v>
      </c>
      <c r="R600" s="22">
        <f t="shared" si="210"/>
        <v>4.3918811903315156</v>
      </c>
      <c r="S600" s="22">
        <f t="shared" si="210"/>
        <v>4.5675564379447762</v>
      </c>
      <c r="T600" s="22">
        <f t="shared" si="210"/>
        <v>4.7632731028473971</v>
      </c>
      <c r="U600" s="22">
        <f t="shared" si="210"/>
        <v>4.940269043281071</v>
      </c>
      <c r="V600" s="22">
        <f t="shared" si="210"/>
        <v>5.1378798050123144</v>
      </c>
      <c r="W600" s="22">
        <f t="shared" si="210"/>
        <v>5.3433949972128065</v>
      </c>
      <c r="X600" s="22">
        <f t="shared" si="210"/>
        <v>5.5723558129837896</v>
      </c>
      <c r="Y600" s="22">
        <f t="shared" si="210"/>
        <v>5.7794160289853727</v>
      </c>
      <c r="Z600" s="22">
        <f t="shared" si="210"/>
        <v>6.0105926701447876</v>
      </c>
      <c r="AA600" s="22">
        <f t="shared" si="210"/>
        <v>6.25101637695058</v>
      </c>
      <c r="AB600" s="22">
        <f t="shared" si="210"/>
        <v>6.5188681471848451</v>
      </c>
      <c r="AC600" s="22">
        <f t="shared" si="210"/>
        <v>1.1268498855516242</v>
      </c>
      <c r="AD600" s="22">
        <f t="shared" si="210"/>
        <v>0</v>
      </c>
      <c r="AE600" s="22">
        <f t="shared" si="210"/>
        <v>0</v>
      </c>
      <c r="AF600" s="22">
        <f t="shared" si="210"/>
        <v>0</v>
      </c>
      <c r="AG600" s="22">
        <f t="shared" si="210"/>
        <v>0</v>
      </c>
      <c r="AH600" s="22">
        <f t="shared" si="210"/>
        <v>0</v>
      </c>
      <c r="AI600" s="22">
        <f t="shared" si="210"/>
        <v>0</v>
      </c>
      <c r="AJ600" s="22">
        <f t="shared" si="210"/>
        <v>0</v>
      </c>
      <c r="AK600" s="22">
        <f t="shared" si="210"/>
        <v>0</v>
      </c>
      <c r="AL600" s="22">
        <f t="shared" si="210"/>
        <v>0</v>
      </c>
      <c r="AM600" s="22">
        <f t="shared" si="210"/>
        <v>0</v>
      </c>
      <c r="AN600" s="22">
        <f t="shared" si="210"/>
        <v>0</v>
      </c>
      <c r="AO600" s="28"/>
    </row>
    <row r="601" spans="1:41" ht="14.4" customHeight="1" outlineLevel="1" x14ac:dyDescent="0.3">
      <c r="A601" s="18" t="s">
        <v>231</v>
      </c>
      <c r="B601" s="18">
        <f>Input!H120</f>
        <v>25</v>
      </c>
      <c r="E601" s="1" t="s">
        <v>194</v>
      </c>
      <c r="H601" s="26" t="s">
        <v>245</v>
      </c>
      <c r="I601" s="20">
        <f t="shared" si="200"/>
        <v>108.18692440765965</v>
      </c>
      <c r="L601" s="22">
        <f t="shared" ref="L601:AN601" si="211">IF($B601=50,L$570*((L435*1000)/$B601),L$571*((L435*1000)/$B601))/10^6</f>
        <v>0</v>
      </c>
      <c r="M601" s="22">
        <f t="shared" si="211"/>
        <v>0</v>
      </c>
      <c r="N601" s="22">
        <f t="shared" si="211"/>
        <v>4.4692838666666681</v>
      </c>
      <c r="O601" s="22">
        <f t="shared" si="211"/>
        <v>5.5776662656000005</v>
      </c>
      <c r="P601" s="22">
        <f t="shared" si="211"/>
        <v>5.8166654447616013</v>
      </c>
      <c r="Q601" s="22">
        <f t="shared" si="211"/>
        <v>6.0328038328729621</v>
      </c>
      <c r="R601" s="22">
        <f t="shared" si="211"/>
        <v>6.2741159861878808</v>
      </c>
      <c r="S601" s="22">
        <f t="shared" si="211"/>
        <v>6.5250806256353959</v>
      </c>
      <c r="T601" s="22">
        <f t="shared" si="211"/>
        <v>6.8046758612105682</v>
      </c>
      <c r="U601" s="22">
        <f t="shared" si="211"/>
        <v>7.0575272046872453</v>
      </c>
      <c r="V601" s="22">
        <f t="shared" si="211"/>
        <v>7.3398282928747349</v>
      </c>
      <c r="W601" s="22">
        <f t="shared" si="211"/>
        <v>7.6334214245897245</v>
      </c>
      <c r="X601" s="22">
        <f t="shared" si="211"/>
        <v>7.9605083042625564</v>
      </c>
      <c r="Y601" s="22">
        <f t="shared" si="211"/>
        <v>8.2563086128362482</v>
      </c>
      <c r="Z601" s="22">
        <f t="shared" si="211"/>
        <v>8.5865609573496968</v>
      </c>
      <c r="AA601" s="22">
        <f t="shared" si="211"/>
        <v>8.9300233956436834</v>
      </c>
      <c r="AB601" s="22">
        <f t="shared" si="211"/>
        <v>9.3126687816926346</v>
      </c>
      <c r="AC601" s="22">
        <f t="shared" si="211"/>
        <v>1.6097855507880348</v>
      </c>
      <c r="AD601" s="22">
        <f t="shared" si="211"/>
        <v>0</v>
      </c>
      <c r="AE601" s="22">
        <f t="shared" si="211"/>
        <v>0</v>
      </c>
      <c r="AF601" s="22">
        <f t="shared" si="211"/>
        <v>0</v>
      </c>
      <c r="AG601" s="22">
        <f t="shared" si="211"/>
        <v>0</v>
      </c>
      <c r="AH601" s="22">
        <f t="shared" si="211"/>
        <v>0</v>
      </c>
      <c r="AI601" s="22">
        <f t="shared" si="211"/>
        <v>0</v>
      </c>
      <c r="AJ601" s="22">
        <f t="shared" si="211"/>
        <v>0</v>
      </c>
      <c r="AK601" s="22">
        <f t="shared" si="211"/>
        <v>0</v>
      </c>
      <c r="AL601" s="22">
        <f t="shared" si="211"/>
        <v>0</v>
      </c>
      <c r="AM601" s="22">
        <f t="shared" si="211"/>
        <v>0</v>
      </c>
      <c r="AN601" s="22">
        <f t="shared" si="211"/>
        <v>0</v>
      </c>
      <c r="AO601" s="28"/>
    </row>
    <row r="602" spans="1:41" ht="14.4" customHeight="1" outlineLevel="1" x14ac:dyDescent="0.3">
      <c r="H602" s="26"/>
      <c r="I602" s="36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28"/>
    </row>
    <row r="603" spans="1:41" ht="14.4" customHeight="1" outlineLevel="1" x14ac:dyDescent="0.3">
      <c r="C603" s="2" t="s">
        <v>37</v>
      </c>
      <c r="D603" s="2"/>
      <c r="E603" s="2"/>
      <c r="F603" s="2"/>
      <c r="G603" s="2"/>
      <c r="H603" s="30" t="s">
        <v>245</v>
      </c>
      <c r="I603" s="88">
        <f t="shared" si="200"/>
        <v>12524.966570617564</v>
      </c>
      <c r="L603" s="34">
        <f>L574+L582+L588+L595+L597</f>
        <v>0</v>
      </c>
      <c r="M603" s="34">
        <f t="shared" ref="M603:AN603" si="212">M574+M582+M588+M595+M597</f>
        <v>0</v>
      </c>
      <c r="N603" s="34">
        <f t="shared" si="212"/>
        <v>558.1578936727019</v>
      </c>
      <c r="O603" s="34">
        <f t="shared" si="212"/>
        <v>696.6016702922683</v>
      </c>
      <c r="P603" s="34">
        <f t="shared" si="212"/>
        <v>726.47228399293283</v>
      </c>
      <c r="Q603" s="34">
        <f t="shared" si="212"/>
        <v>753.48961495889978</v>
      </c>
      <c r="R603" s="34">
        <f t="shared" si="212"/>
        <v>783.65306861409192</v>
      </c>
      <c r="S603" s="34">
        <f t="shared" si="212"/>
        <v>815.0242538683334</v>
      </c>
      <c r="T603" s="34">
        <f t="shared" si="212"/>
        <v>849.97387264359361</v>
      </c>
      <c r="U603" s="34">
        <f>U574+U582+U588+U595+U597</f>
        <v>881.58523266147768</v>
      </c>
      <c r="V603" s="34">
        <f>V574+V582+V588+V595+V597</f>
        <v>850.45915041824514</v>
      </c>
      <c r="W603" s="34">
        <f>W574+W582+W588+W595+W597</f>
        <v>818.82221577511461</v>
      </c>
      <c r="X603" s="34">
        <f t="shared" si="212"/>
        <v>853.94026133807665</v>
      </c>
      <c r="Y603" s="34">
        <f t="shared" si="212"/>
        <v>885.70496103409891</v>
      </c>
      <c r="Z603" s="34">
        <f t="shared" si="212"/>
        <v>921.16842494342347</v>
      </c>
      <c r="AA603" s="34">
        <f t="shared" si="212"/>
        <v>958.05219068251881</v>
      </c>
      <c r="AB603" s="34">
        <f t="shared" si="212"/>
        <v>999.14305755259761</v>
      </c>
      <c r="AC603" s="34">
        <f t="shared" si="212"/>
        <v>172.71841816918734</v>
      </c>
      <c r="AD603" s="34">
        <f t="shared" si="212"/>
        <v>0</v>
      </c>
      <c r="AE603" s="34">
        <f t="shared" si="212"/>
        <v>0</v>
      </c>
      <c r="AF603" s="34">
        <f t="shared" si="212"/>
        <v>0</v>
      </c>
      <c r="AG603" s="34">
        <f t="shared" si="212"/>
        <v>0</v>
      </c>
      <c r="AH603" s="34">
        <f t="shared" si="212"/>
        <v>0</v>
      </c>
      <c r="AI603" s="34">
        <f t="shared" si="212"/>
        <v>0</v>
      </c>
      <c r="AJ603" s="34">
        <f t="shared" si="212"/>
        <v>0</v>
      </c>
      <c r="AK603" s="34">
        <f t="shared" si="212"/>
        <v>0</v>
      </c>
      <c r="AL603" s="34">
        <f t="shared" si="212"/>
        <v>0</v>
      </c>
      <c r="AM603" s="34">
        <f t="shared" si="212"/>
        <v>0</v>
      </c>
      <c r="AN603" s="34">
        <f t="shared" si="212"/>
        <v>0</v>
      </c>
      <c r="AO603" s="28"/>
    </row>
    <row r="604" spans="1:41" ht="14.4" customHeight="1" outlineLevel="1" x14ac:dyDescent="0.3">
      <c r="H604" s="26"/>
      <c r="I604" s="36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28"/>
    </row>
    <row r="605" spans="1:41" ht="14.4" customHeight="1" outlineLevel="1" x14ac:dyDescent="0.3">
      <c r="B605" s="18" t="str">
        <f>Input!A180</f>
        <v>Индекс роста заработной платы (RUB)</v>
      </c>
      <c r="C605" s="2" t="s">
        <v>215</v>
      </c>
      <c r="H605" s="26"/>
      <c r="I605" s="36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28"/>
    </row>
    <row r="606" spans="1:41" ht="14.4" customHeight="1" outlineLevel="1" x14ac:dyDescent="0.3">
      <c r="H606" s="26"/>
      <c r="I606" s="36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28"/>
    </row>
    <row r="607" spans="1:41" s="2" customFormat="1" ht="14.4" customHeight="1" outlineLevel="1" x14ac:dyDescent="0.3">
      <c r="A607" s="32"/>
      <c r="B607" s="32"/>
      <c r="C607" s="2" t="s">
        <v>216</v>
      </c>
      <c r="H607" s="30" t="s">
        <v>245</v>
      </c>
      <c r="I607" s="32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127"/>
    </row>
    <row r="608" spans="1:41" ht="14.4" customHeight="1" outlineLevel="1" x14ac:dyDescent="0.3">
      <c r="D608" s="1" t="s">
        <v>217</v>
      </c>
      <c r="H608" s="26" t="s">
        <v>220</v>
      </c>
      <c r="I608" s="33">
        <v>5</v>
      </c>
      <c r="L608" s="34">
        <f t="shared" ref="L608:AN608" si="213">((L609+L610)*$I$608*(L10*12))/10^6</f>
        <v>0</v>
      </c>
      <c r="M608" s="34">
        <f t="shared" si="213"/>
        <v>0</v>
      </c>
      <c r="N608" s="34">
        <f t="shared" si="213"/>
        <v>22.389119999999998</v>
      </c>
      <c r="O608" s="34">
        <f t="shared" si="213"/>
        <v>27.941621759999997</v>
      </c>
      <c r="P608" s="34">
        <f t="shared" si="213"/>
        <v>29.059286630400003</v>
      </c>
      <c r="Q608" s="34">
        <f t="shared" si="213"/>
        <v>30.221658095616004</v>
      </c>
      <c r="R608" s="34">
        <f t="shared" si="213"/>
        <v>31.430524419440644</v>
      </c>
      <c r="S608" s="34">
        <f t="shared" si="213"/>
        <v>32.687745396218276</v>
      </c>
      <c r="T608" s="34">
        <f t="shared" si="213"/>
        <v>33.995255212067008</v>
      </c>
      <c r="U608" s="34">
        <f t="shared" si="213"/>
        <v>35.355065420549693</v>
      </c>
      <c r="V608" s="34">
        <f t="shared" si="213"/>
        <v>36.769268037371681</v>
      </c>
      <c r="W608" s="34">
        <f t="shared" si="213"/>
        <v>38.240038758866547</v>
      </c>
      <c r="X608" s="34">
        <f t="shared" si="213"/>
        <v>39.769640309221217</v>
      </c>
      <c r="Y608" s="34">
        <f t="shared" si="213"/>
        <v>41.360425921590057</v>
      </c>
      <c r="Z608" s="34">
        <f t="shared" si="213"/>
        <v>43.01484295845367</v>
      </c>
      <c r="AA608" s="34">
        <f t="shared" si="213"/>
        <v>44.735436676791799</v>
      </c>
      <c r="AB608" s="34">
        <f t="shared" si="213"/>
        <v>46.524854143863486</v>
      </c>
      <c r="AC608" s="34">
        <f t="shared" si="213"/>
        <v>8.0643080516030032</v>
      </c>
      <c r="AD608" s="34">
        <f t="shared" si="213"/>
        <v>0</v>
      </c>
      <c r="AE608" s="34">
        <f t="shared" si="213"/>
        <v>0</v>
      </c>
      <c r="AF608" s="34">
        <f t="shared" si="213"/>
        <v>0</v>
      </c>
      <c r="AG608" s="34">
        <f t="shared" si="213"/>
        <v>0</v>
      </c>
      <c r="AH608" s="34">
        <f t="shared" si="213"/>
        <v>0</v>
      </c>
      <c r="AI608" s="34">
        <f t="shared" si="213"/>
        <v>0</v>
      </c>
      <c r="AJ608" s="34">
        <f t="shared" si="213"/>
        <v>0</v>
      </c>
      <c r="AK608" s="34">
        <f t="shared" si="213"/>
        <v>0</v>
      </c>
      <c r="AL608" s="34">
        <f t="shared" si="213"/>
        <v>0</v>
      </c>
      <c r="AM608" s="34">
        <f t="shared" si="213"/>
        <v>0</v>
      </c>
      <c r="AN608" s="34">
        <f t="shared" si="213"/>
        <v>0</v>
      </c>
      <c r="AO608" s="28"/>
    </row>
    <row r="609" spans="1:41" ht="14.4" customHeight="1" outlineLevel="1" x14ac:dyDescent="0.3">
      <c r="D609" s="1" t="s">
        <v>222</v>
      </c>
      <c r="H609" s="26" t="s">
        <v>221</v>
      </c>
      <c r="I609" s="33">
        <v>150000</v>
      </c>
      <c r="L609" s="22">
        <f t="shared" ref="L609:AN609" si="214">$I$609*INDEX(L$58:L$62,MATCH($B$605,$C$58:$C$62,0))</f>
        <v>150000</v>
      </c>
      <c r="M609" s="22">
        <f t="shared" si="214"/>
        <v>156000</v>
      </c>
      <c r="N609" s="22">
        <f t="shared" si="214"/>
        <v>162240.00000000003</v>
      </c>
      <c r="O609" s="22">
        <f t="shared" si="214"/>
        <v>168729.60000000001</v>
      </c>
      <c r="P609" s="22">
        <f t="shared" si="214"/>
        <v>175478.78400000004</v>
      </c>
      <c r="Q609" s="22">
        <f t="shared" si="214"/>
        <v>182497.93536000006</v>
      </c>
      <c r="R609" s="22">
        <f t="shared" si="214"/>
        <v>189797.85277440006</v>
      </c>
      <c r="S609" s="22">
        <f t="shared" si="214"/>
        <v>197389.76688537607</v>
      </c>
      <c r="T609" s="22">
        <f t="shared" si="214"/>
        <v>205285.3575607911</v>
      </c>
      <c r="U609" s="22">
        <f t="shared" si="214"/>
        <v>213496.77186322279</v>
      </c>
      <c r="V609" s="22">
        <f t="shared" si="214"/>
        <v>222036.64273775168</v>
      </c>
      <c r="W609" s="22">
        <f t="shared" si="214"/>
        <v>230918.10844726177</v>
      </c>
      <c r="X609" s="22">
        <f t="shared" si="214"/>
        <v>240154.83278515225</v>
      </c>
      <c r="Y609" s="22">
        <f t="shared" si="214"/>
        <v>249761.02609655837</v>
      </c>
      <c r="Z609" s="22">
        <f t="shared" si="214"/>
        <v>259751.46714042069</v>
      </c>
      <c r="AA609" s="22">
        <f t="shared" si="214"/>
        <v>270141.52582603751</v>
      </c>
      <c r="AB609" s="22">
        <f t="shared" si="214"/>
        <v>280947.186859079</v>
      </c>
      <c r="AC609" s="22">
        <f t="shared" si="214"/>
        <v>292185.0743334422</v>
      </c>
      <c r="AD609" s="22">
        <f t="shared" si="214"/>
        <v>0</v>
      </c>
      <c r="AE609" s="22">
        <f t="shared" si="214"/>
        <v>0</v>
      </c>
      <c r="AF609" s="22">
        <f t="shared" si="214"/>
        <v>0</v>
      </c>
      <c r="AG609" s="22">
        <f t="shared" si="214"/>
        <v>0</v>
      </c>
      <c r="AH609" s="22">
        <f t="shared" si="214"/>
        <v>0</v>
      </c>
      <c r="AI609" s="22">
        <f t="shared" si="214"/>
        <v>0</v>
      </c>
      <c r="AJ609" s="22">
        <f t="shared" si="214"/>
        <v>0</v>
      </c>
      <c r="AK609" s="22">
        <f t="shared" si="214"/>
        <v>0</v>
      </c>
      <c r="AL609" s="22">
        <f t="shared" si="214"/>
        <v>0</v>
      </c>
      <c r="AM609" s="22">
        <f t="shared" si="214"/>
        <v>0</v>
      </c>
      <c r="AN609" s="22">
        <f t="shared" si="214"/>
        <v>0</v>
      </c>
      <c r="AO609" s="28"/>
    </row>
    <row r="610" spans="1:41" ht="14.4" customHeight="1" outlineLevel="1" x14ac:dyDescent="0.3">
      <c r="D610" s="1" t="s">
        <v>60</v>
      </c>
      <c r="H610" s="26"/>
      <c r="I610" s="40"/>
      <c r="L610" s="22">
        <f>(L609)*(L39+L41)</f>
        <v>52800</v>
      </c>
      <c r="M610" s="22">
        <f t="shared" ref="M610:AN610" si="215">(M609*$I$608)*(M39+M41)</f>
        <v>274560</v>
      </c>
      <c r="N610" s="22">
        <f t="shared" si="215"/>
        <v>285542.40000000002</v>
      </c>
      <c r="O610" s="22">
        <f t="shared" si="215"/>
        <v>296964.09599999996</v>
      </c>
      <c r="P610" s="22">
        <f t="shared" si="215"/>
        <v>308842.65984000004</v>
      </c>
      <c r="Q610" s="22">
        <f t="shared" si="215"/>
        <v>321196.36623360007</v>
      </c>
      <c r="R610" s="22">
        <f t="shared" si="215"/>
        <v>334044.22088294406</v>
      </c>
      <c r="S610" s="22">
        <f t="shared" si="215"/>
        <v>347405.98971826187</v>
      </c>
      <c r="T610" s="22">
        <f t="shared" si="215"/>
        <v>361302.22930699232</v>
      </c>
      <c r="U610" s="22">
        <f t="shared" si="215"/>
        <v>375754.31847927207</v>
      </c>
      <c r="V610" s="22">
        <f t="shared" si="215"/>
        <v>390784.49121844297</v>
      </c>
      <c r="W610" s="22">
        <f t="shared" si="215"/>
        <v>406415.8708671807</v>
      </c>
      <c r="X610" s="22">
        <f t="shared" si="215"/>
        <v>422672.50570186798</v>
      </c>
      <c r="Y610" s="22">
        <f t="shared" si="215"/>
        <v>439579.40592994273</v>
      </c>
      <c r="Z610" s="22">
        <f t="shared" si="215"/>
        <v>457162.58216714044</v>
      </c>
      <c r="AA610" s="22">
        <f t="shared" si="215"/>
        <v>475449.08545382594</v>
      </c>
      <c r="AB610" s="22">
        <f t="shared" si="215"/>
        <v>494467.048871979</v>
      </c>
      <c r="AC610" s="22">
        <f t="shared" si="215"/>
        <v>514245.7308268582</v>
      </c>
      <c r="AD610" s="22">
        <f t="shared" si="215"/>
        <v>0</v>
      </c>
      <c r="AE610" s="22">
        <f t="shared" si="215"/>
        <v>0</v>
      </c>
      <c r="AF610" s="22">
        <f t="shared" si="215"/>
        <v>0</v>
      </c>
      <c r="AG610" s="22">
        <f t="shared" si="215"/>
        <v>0</v>
      </c>
      <c r="AH610" s="22">
        <f t="shared" si="215"/>
        <v>0</v>
      </c>
      <c r="AI610" s="22">
        <f t="shared" si="215"/>
        <v>0</v>
      </c>
      <c r="AJ610" s="22">
        <f t="shared" si="215"/>
        <v>0</v>
      </c>
      <c r="AK610" s="22">
        <f t="shared" si="215"/>
        <v>0</v>
      </c>
      <c r="AL610" s="22">
        <f t="shared" si="215"/>
        <v>0</v>
      </c>
      <c r="AM610" s="22">
        <f t="shared" si="215"/>
        <v>0</v>
      </c>
      <c r="AN610" s="22">
        <f t="shared" si="215"/>
        <v>0</v>
      </c>
      <c r="AO610" s="28"/>
    </row>
    <row r="611" spans="1:41" s="2" customFormat="1" ht="14.4" customHeight="1" outlineLevel="1" x14ac:dyDescent="0.3">
      <c r="A611" s="32"/>
      <c r="B611" s="32"/>
      <c r="C611" s="2" t="s">
        <v>219</v>
      </c>
      <c r="H611" s="30" t="s">
        <v>245</v>
      </c>
      <c r="I611" s="32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127"/>
    </row>
    <row r="612" spans="1:41" ht="14.4" customHeight="1" outlineLevel="1" x14ac:dyDescent="0.3">
      <c r="D612" s="1" t="s">
        <v>217</v>
      </c>
      <c r="H612" s="26" t="s">
        <v>220</v>
      </c>
      <c r="I612" s="33">
        <v>5</v>
      </c>
      <c r="L612" s="34">
        <f t="shared" ref="L612:AN612" si="216">((L613+L614)*$I$612*(L10*12))/10^6</f>
        <v>0</v>
      </c>
      <c r="M612" s="34">
        <f t="shared" si="216"/>
        <v>0</v>
      </c>
      <c r="N612" s="34">
        <f t="shared" si="216"/>
        <v>18.884736000000007</v>
      </c>
      <c r="O612" s="34">
        <f t="shared" si="216"/>
        <v>23.568150528000004</v>
      </c>
      <c r="P612" s="34">
        <f t="shared" si="216"/>
        <v>24.510876549120002</v>
      </c>
      <c r="Q612" s="34">
        <f t="shared" si="216"/>
        <v>25.491311611084804</v>
      </c>
      <c r="R612" s="34">
        <f t="shared" si="216"/>
        <v>26.5109640755282</v>
      </c>
      <c r="S612" s="34">
        <f t="shared" si="216"/>
        <v>27.571402638549337</v>
      </c>
      <c r="T612" s="34">
        <f t="shared" si="216"/>
        <v>28.674258744091304</v>
      </c>
      <c r="U612" s="34">
        <f t="shared" si="216"/>
        <v>29.821229093854964</v>
      </c>
      <c r="V612" s="34">
        <f t="shared" si="216"/>
        <v>31.014078257609157</v>
      </c>
      <c r="W612" s="34">
        <f t="shared" si="216"/>
        <v>32.254641387913516</v>
      </c>
      <c r="X612" s="34">
        <f t="shared" si="216"/>
        <v>33.544827043430068</v>
      </c>
      <c r="Y612" s="34">
        <f t="shared" si="216"/>
        <v>34.886620125167262</v>
      </c>
      <c r="Z612" s="34">
        <f t="shared" si="216"/>
        <v>36.282084930173966</v>
      </c>
      <c r="AA612" s="34">
        <f t="shared" si="216"/>
        <v>37.733368327380916</v>
      </c>
      <c r="AB612" s="34">
        <f t="shared" si="216"/>
        <v>39.242703060476153</v>
      </c>
      <c r="AC612" s="34">
        <f t="shared" si="216"/>
        <v>6.8020685304825346</v>
      </c>
      <c r="AD612" s="34">
        <f t="shared" si="216"/>
        <v>0</v>
      </c>
      <c r="AE612" s="34">
        <f t="shared" si="216"/>
        <v>0</v>
      </c>
      <c r="AF612" s="34">
        <f t="shared" si="216"/>
        <v>0</v>
      </c>
      <c r="AG612" s="34">
        <f t="shared" si="216"/>
        <v>0</v>
      </c>
      <c r="AH612" s="34">
        <f t="shared" si="216"/>
        <v>0</v>
      </c>
      <c r="AI612" s="34">
        <f t="shared" si="216"/>
        <v>0</v>
      </c>
      <c r="AJ612" s="34">
        <f t="shared" si="216"/>
        <v>0</v>
      </c>
      <c r="AK612" s="34">
        <f t="shared" si="216"/>
        <v>0</v>
      </c>
      <c r="AL612" s="34">
        <f t="shared" si="216"/>
        <v>0</v>
      </c>
      <c r="AM612" s="34">
        <f t="shared" si="216"/>
        <v>0</v>
      </c>
      <c r="AN612" s="34">
        <f t="shared" si="216"/>
        <v>0</v>
      </c>
      <c r="AO612" s="28"/>
    </row>
    <row r="613" spans="1:41" ht="14.4" customHeight="1" outlineLevel="1" x14ac:dyDescent="0.3">
      <c r="D613" s="1" t="s">
        <v>218</v>
      </c>
      <c r="H613" s="26" t="s">
        <v>221</v>
      </c>
      <c r="I613" s="33">
        <v>120000</v>
      </c>
      <c r="L613" s="22">
        <f t="shared" ref="L613:AN613" si="217">$I$613*INDEX(L$58:L$62,MATCH($B$605,$C$58:$C$62,0))</f>
        <v>120000</v>
      </c>
      <c r="M613" s="22">
        <f t="shared" si="217"/>
        <v>124800</v>
      </c>
      <c r="N613" s="22">
        <f t="shared" si="217"/>
        <v>129792.00000000001</v>
      </c>
      <c r="O613" s="22">
        <f t="shared" si="217"/>
        <v>134983.68000000002</v>
      </c>
      <c r="P613" s="22">
        <f t="shared" si="217"/>
        <v>140383.02720000001</v>
      </c>
      <c r="Q613" s="22">
        <f t="shared" si="217"/>
        <v>145998.34828800004</v>
      </c>
      <c r="R613" s="22">
        <f t="shared" si="217"/>
        <v>151838.28221952004</v>
      </c>
      <c r="S613" s="22">
        <f t="shared" si="217"/>
        <v>157911.81350830087</v>
      </c>
      <c r="T613" s="22">
        <f t="shared" si="217"/>
        <v>164228.2860486329</v>
      </c>
      <c r="U613" s="22">
        <f t="shared" si="217"/>
        <v>170797.41749057823</v>
      </c>
      <c r="V613" s="22">
        <f t="shared" si="217"/>
        <v>177629.31419020134</v>
      </c>
      <c r="W613" s="22">
        <f t="shared" si="217"/>
        <v>184734.48675780941</v>
      </c>
      <c r="X613" s="22">
        <f t="shared" si="217"/>
        <v>192123.8662281218</v>
      </c>
      <c r="Y613" s="22">
        <f t="shared" si="217"/>
        <v>199808.82087724668</v>
      </c>
      <c r="Z613" s="22">
        <f t="shared" si="217"/>
        <v>207801.17371233655</v>
      </c>
      <c r="AA613" s="22">
        <f t="shared" si="217"/>
        <v>216113.22066083</v>
      </c>
      <c r="AB613" s="22">
        <f t="shared" si="217"/>
        <v>224757.74948726321</v>
      </c>
      <c r="AC613" s="22">
        <f t="shared" si="217"/>
        <v>233748.05946675377</v>
      </c>
      <c r="AD613" s="22">
        <f t="shared" si="217"/>
        <v>0</v>
      </c>
      <c r="AE613" s="22">
        <f t="shared" si="217"/>
        <v>0</v>
      </c>
      <c r="AF613" s="22">
        <f t="shared" si="217"/>
        <v>0</v>
      </c>
      <c r="AG613" s="22">
        <f t="shared" si="217"/>
        <v>0</v>
      </c>
      <c r="AH613" s="22">
        <f t="shared" si="217"/>
        <v>0</v>
      </c>
      <c r="AI613" s="22">
        <f t="shared" si="217"/>
        <v>0</v>
      </c>
      <c r="AJ613" s="22">
        <f t="shared" si="217"/>
        <v>0</v>
      </c>
      <c r="AK613" s="22">
        <f t="shared" si="217"/>
        <v>0</v>
      </c>
      <c r="AL613" s="22">
        <f t="shared" si="217"/>
        <v>0</v>
      </c>
      <c r="AM613" s="22">
        <f t="shared" si="217"/>
        <v>0</v>
      </c>
      <c r="AN613" s="22">
        <f t="shared" si="217"/>
        <v>0</v>
      </c>
      <c r="AO613" s="28"/>
    </row>
    <row r="614" spans="1:41" ht="14.4" customHeight="1" outlineLevel="1" x14ac:dyDescent="0.3">
      <c r="D614" s="1" t="s">
        <v>60</v>
      </c>
      <c r="H614" s="26"/>
      <c r="I614" s="40"/>
      <c r="L614" s="22">
        <f>L613*(L39+L40)</f>
        <v>45840</v>
      </c>
      <c r="M614" s="22">
        <f t="shared" ref="M614:AN614" si="218">M613*$I$612*(M39+M40)</f>
        <v>238368</v>
      </c>
      <c r="N614" s="22">
        <f t="shared" si="218"/>
        <v>247902.72000000006</v>
      </c>
      <c r="O614" s="22">
        <f t="shared" si="218"/>
        <v>257818.82880000005</v>
      </c>
      <c r="P614" s="22">
        <f t="shared" si="218"/>
        <v>268131.58195200004</v>
      </c>
      <c r="Q614" s="22">
        <f t="shared" si="218"/>
        <v>278856.84523008007</v>
      </c>
      <c r="R614" s="22">
        <f t="shared" si="218"/>
        <v>290011.11903928331</v>
      </c>
      <c r="S614" s="22">
        <f t="shared" si="218"/>
        <v>301611.56380085467</v>
      </c>
      <c r="T614" s="22">
        <f t="shared" si="218"/>
        <v>313676.02635288885</v>
      </c>
      <c r="U614" s="22">
        <f t="shared" si="218"/>
        <v>326223.06740700442</v>
      </c>
      <c r="V614" s="22">
        <f t="shared" si="218"/>
        <v>339271.9901032846</v>
      </c>
      <c r="W614" s="22">
        <f t="shared" si="218"/>
        <v>352842.86970741599</v>
      </c>
      <c r="X614" s="22">
        <f t="shared" si="218"/>
        <v>366956.58449571265</v>
      </c>
      <c r="Y614" s="22">
        <f t="shared" si="218"/>
        <v>381634.84787554113</v>
      </c>
      <c r="Z614" s="22">
        <f t="shared" si="218"/>
        <v>396900.24179056281</v>
      </c>
      <c r="AA614" s="22">
        <f t="shared" si="218"/>
        <v>412776.25146218535</v>
      </c>
      <c r="AB614" s="22">
        <f t="shared" si="218"/>
        <v>429287.30152067269</v>
      </c>
      <c r="AC614" s="22">
        <f t="shared" si="218"/>
        <v>446458.79358149972</v>
      </c>
      <c r="AD614" s="22">
        <f t="shared" si="218"/>
        <v>0</v>
      </c>
      <c r="AE614" s="22">
        <f t="shared" si="218"/>
        <v>0</v>
      </c>
      <c r="AF614" s="22">
        <f t="shared" si="218"/>
        <v>0</v>
      </c>
      <c r="AG614" s="22">
        <f t="shared" si="218"/>
        <v>0</v>
      </c>
      <c r="AH614" s="22">
        <f t="shared" si="218"/>
        <v>0</v>
      </c>
      <c r="AI614" s="22">
        <f t="shared" si="218"/>
        <v>0</v>
      </c>
      <c r="AJ614" s="22">
        <f t="shared" si="218"/>
        <v>0</v>
      </c>
      <c r="AK614" s="22">
        <f t="shared" si="218"/>
        <v>0</v>
      </c>
      <c r="AL614" s="22">
        <f t="shared" si="218"/>
        <v>0</v>
      </c>
      <c r="AM614" s="22">
        <f t="shared" si="218"/>
        <v>0</v>
      </c>
      <c r="AN614" s="22">
        <f t="shared" si="218"/>
        <v>0</v>
      </c>
      <c r="AO614" s="28"/>
    </row>
    <row r="615" spans="1:41" s="2" customFormat="1" ht="14.4" customHeight="1" outlineLevel="1" x14ac:dyDescent="0.3">
      <c r="A615" s="32"/>
      <c r="B615" s="32"/>
      <c r="C615" s="2" t="s">
        <v>223</v>
      </c>
      <c r="H615" s="30" t="s">
        <v>245</v>
      </c>
      <c r="I615" s="32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127"/>
    </row>
    <row r="616" spans="1:41" ht="14.4" customHeight="1" outlineLevel="1" x14ac:dyDescent="0.3">
      <c r="D616" s="1" t="s">
        <v>217</v>
      </c>
      <c r="H616" s="26" t="s">
        <v>220</v>
      </c>
      <c r="I616" s="33">
        <v>5</v>
      </c>
      <c r="L616" s="34">
        <f t="shared" ref="L616:AN616" si="219">((L617+L618)*$I$616*(L10*12))/10^6</f>
        <v>0</v>
      </c>
      <c r="M616" s="34">
        <f t="shared" si="219"/>
        <v>0</v>
      </c>
      <c r="N616" s="34">
        <f t="shared" si="219"/>
        <v>14.163552000000001</v>
      </c>
      <c r="O616" s="34">
        <f t="shared" si="219"/>
        <v>17.676112896000003</v>
      </c>
      <c r="P616" s="34">
        <f t="shared" si="219"/>
        <v>18.383157411840003</v>
      </c>
      <c r="Q616" s="34">
        <f t="shared" si="219"/>
        <v>19.118483708313608</v>
      </c>
      <c r="R616" s="34">
        <f t="shared" si="219"/>
        <v>19.883223056646148</v>
      </c>
      <c r="S616" s="34">
        <f t="shared" si="219"/>
        <v>20.678551978911997</v>
      </c>
      <c r="T616" s="34">
        <f t="shared" si="219"/>
        <v>21.505694058068478</v>
      </c>
      <c r="U616" s="34">
        <f t="shared" si="219"/>
        <v>22.365921820391215</v>
      </c>
      <c r="V616" s="34">
        <f t="shared" si="219"/>
        <v>23.260558693206864</v>
      </c>
      <c r="W616" s="34">
        <f t="shared" si="219"/>
        <v>24.190981040935142</v>
      </c>
      <c r="X616" s="34">
        <f t="shared" si="219"/>
        <v>25.158620282572549</v>
      </c>
      <c r="Y616" s="34">
        <f t="shared" si="219"/>
        <v>26.164965093875448</v>
      </c>
      <c r="Z616" s="34">
        <f t="shared" si="219"/>
        <v>27.211563697630474</v>
      </c>
      <c r="AA616" s="34">
        <f t="shared" si="219"/>
        <v>28.300026245535687</v>
      </c>
      <c r="AB616" s="34">
        <f t="shared" si="219"/>
        <v>29.432027295357116</v>
      </c>
      <c r="AC616" s="34">
        <f t="shared" si="219"/>
        <v>5.1015513978619014</v>
      </c>
      <c r="AD616" s="34">
        <f t="shared" si="219"/>
        <v>0</v>
      </c>
      <c r="AE616" s="34">
        <f t="shared" si="219"/>
        <v>0</v>
      </c>
      <c r="AF616" s="34">
        <f t="shared" si="219"/>
        <v>0</v>
      </c>
      <c r="AG616" s="34">
        <f t="shared" si="219"/>
        <v>0</v>
      </c>
      <c r="AH616" s="34">
        <f t="shared" si="219"/>
        <v>0</v>
      </c>
      <c r="AI616" s="34">
        <f t="shared" si="219"/>
        <v>0</v>
      </c>
      <c r="AJ616" s="34">
        <f t="shared" si="219"/>
        <v>0</v>
      </c>
      <c r="AK616" s="34">
        <f t="shared" si="219"/>
        <v>0</v>
      </c>
      <c r="AL616" s="34">
        <f t="shared" si="219"/>
        <v>0</v>
      </c>
      <c r="AM616" s="34">
        <f t="shared" si="219"/>
        <v>0</v>
      </c>
      <c r="AN616" s="34">
        <f t="shared" si="219"/>
        <v>0</v>
      </c>
      <c r="AO616" s="28"/>
    </row>
    <row r="617" spans="1:41" ht="14.4" customHeight="1" outlineLevel="1" x14ac:dyDescent="0.3">
      <c r="D617" s="1" t="s">
        <v>218</v>
      </c>
      <c r="H617" s="26" t="s">
        <v>221</v>
      </c>
      <c r="I617" s="33">
        <v>90000</v>
      </c>
      <c r="L617" s="22">
        <f t="shared" ref="L617:AN617" si="220">$I$617*INDEX(L$58:L$62,MATCH($B$605,$C$58:$C$62,0))</f>
        <v>90000</v>
      </c>
      <c r="M617" s="22">
        <f t="shared" si="220"/>
        <v>93600</v>
      </c>
      <c r="N617" s="22">
        <f t="shared" si="220"/>
        <v>97344.000000000015</v>
      </c>
      <c r="O617" s="22">
        <f t="shared" si="220"/>
        <v>101237.76000000001</v>
      </c>
      <c r="P617" s="22">
        <f t="shared" si="220"/>
        <v>105287.27040000002</v>
      </c>
      <c r="Q617" s="22">
        <f t="shared" si="220"/>
        <v>109498.76121600003</v>
      </c>
      <c r="R617" s="22">
        <f t="shared" si="220"/>
        <v>113878.71166464004</v>
      </c>
      <c r="S617" s="22">
        <f t="shared" si="220"/>
        <v>118433.86013122565</v>
      </c>
      <c r="T617" s="22">
        <f t="shared" si="220"/>
        <v>123171.21453647467</v>
      </c>
      <c r="U617" s="22">
        <f t="shared" si="220"/>
        <v>128098.06311793366</v>
      </c>
      <c r="V617" s="22">
        <f t="shared" si="220"/>
        <v>133221.98564265101</v>
      </c>
      <c r="W617" s="22">
        <f t="shared" si="220"/>
        <v>138550.86506835706</v>
      </c>
      <c r="X617" s="22">
        <f t="shared" si="220"/>
        <v>144092.89967109135</v>
      </c>
      <c r="Y617" s="22">
        <f t="shared" si="220"/>
        <v>149856.61565793501</v>
      </c>
      <c r="Z617" s="22">
        <f t="shared" si="220"/>
        <v>155850.8802842524</v>
      </c>
      <c r="AA617" s="22">
        <f t="shared" si="220"/>
        <v>162084.9154956225</v>
      </c>
      <c r="AB617" s="22">
        <f t="shared" si="220"/>
        <v>168568.31211544742</v>
      </c>
      <c r="AC617" s="22">
        <f t="shared" si="220"/>
        <v>175311.04460006533</v>
      </c>
      <c r="AD617" s="22">
        <f t="shared" si="220"/>
        <v>0</v>
      </c>
      <c r="AE617" s="22">
        <f t="shared" si="220"/>
        <v>0</v>
      </c>
      <c r="AF617" s="22">
        <f t="shared" si="220"/>
        <v>0</v>
      </c>
      <c r="AG617" s="22">
        <f t="shared" si="220"/>
        <v>0</v>
      </c>
      <c r="AH617" s="22">
        <f t="shared" si="220"/>
        <v>0</v>
      </c>
      <c r="AI617" s="22">
        <f t="shared" si="220"/>
        <v>0</v>
      </c>
      <c r="AJ617" s="22">
        <f t="shared" si="220"/>
        <v>0</v>
      </c>
      <c r="AK617" s="22">
        <f t="shared" si="220"/>
        <v>0</v>
      </c>
      <c r="AL617" s="22">
        <f t="shared" si="220"/>
        <v>0</v>
      </c>
      <c r="AM617" s="22">
        <f t="shared" si="220"/>
        <v>0</v>
      </c>
      <c r="AN617" s="22">
        <f t="shared" si="220"/>
        <v>0</v>
      </c>
      <c r="AO617" s="28"/>
    </row>
    <row r="618" spans="1:41" ht="14.4" customHeight="1" outlineLevel="1" x14ac:dyDescent="0.3">
      <c r="D618" s="1" t="s">
        <v>60</v>
      </c>
      <c r="H618" s="26"/>
      <c r="I618" s="40"/>
      <c r="L618" s="22">
        <f>L617*(L39+L40)</f>
        <v>34380</v>
      </c>
      <c r="M618" s="22">
        <f t="shared" ref="M618:AN618" si="221">M617*$I$616*(M39+M40)</f>
        <v>178776</v>
      </c>
      <c r="N618" s="22">
        <f t="shared" si="221"/>
        <v>185927.04000000004</v>
      </c>
      <c r="O618" s="22">
        <f t="shared" si="221"/>
        <v>193364.12160000001</v>
      </c>
      <c r="P618" s="22">
        <f t="shared" si="221"/>
        <v>201098.68646400003</v>
      </c>
      <c r="Q618" s="22">
        <f t="shared" si="221"/>
        <v>209142.63392256005</v>
      </c>
      <c r="R618" s="22">
        <f t="shared" si="221"/>
        <v>217508.3392794625</v>
      </c>
      <c r="S618" s="22">
        <f t="shared" si="221"/>
        <v>226208.67285064099</v>
      </c>
      <c r="T618" s="22">
        <f t="shared" si="221"/>
        <v>235257.01976466662</v>
      </c>
      <c r="U618" s="22">
        <f t="shared" si="221"/>
        <v>244667.30055525331</v>
      </c>
      <c r="V618" s="22">
        <f t="shared" si="221"/>
        <v>254453.99257746342</v>
      </c>
      <c r="W618" s="22">
        <f t="shared" si="221"/>
        <v>264632.15228056198</v>
      </c>
      <c r="X618" s="22">
        <f t="shared" si="221"/>
        <v>275217.43837178446</v>
      </c>
      <c r="Y618" s="22">
        <f t="shared" si="221"/>
        <v>286226.13590665587</v>
      </c>
      <c r="Z618" s="22">
        <f t="shared" si="221"/>
        <v>297675.18134292209</v>
      </c>
      <c r="AA618" s="22">
        <f t="shared" si="221"/>
        <v>309582.18859663897</v>
      </c>
      <c r="AB618" s="22">
        <f t="shared" si="221"/>
        <v>321965.47614050453</v>
      </c>
      <c r="AC618" s="22">
        <f t="shared" si="221"/>
        <v>334844.09518612479</v>
      </c>
      <c r="AD618" s="22">
        <f t="shared" si="221"/>
        <v>0</v>
      </c>
      <c r="AE618" s="22">
        <f t="shared" si="221"/>
        <v>0</v>
      </c>
      <c r="AF618" s="22">
        <f t="shared" si="221"/>
        <v>0</v>
      </c>
      <c r="AG618" s="22">
        <f t="shared" si="221"/>
        <v>0</v>
      </c>
      <c r="AH618" s="22">
        <f t="shared" si="221"/>
        <v>0</v>
      </c>
      <c r="AI618" s="22">
        <f t="shared" si="221"/>
        <v>0</v>
      </c>
      <c r="AJ618" s="22">
        <f t="shared" si="221"/>
        <v>0</v>
      </c>
      <c r="AK618" s="22">
        <f t="shared" si="221"/>
        <v>0</v>
      </c>
      <c r="AL618" s="22">
        <f t="shared" si="221"/>
        <v>0</v>
      </c>
      <c r="AM618" s="22">
        <f t="shared" si="221"/>
        <v>0</v>
      </c>
      <c r="AN618" s="22">
        <f t="shared" si="221"/>
        <v>0</v>
      </c>
      <c r="AO618" s="28"/>
    </row>
    <row r="619" spans="1:41" ht="14.4" customHeight="1" outlineLevel="1" x14ac:dyDescent="0.3">
      <c r="C619" s="2" t="s">
        <v>37</v>
      </c>
      <c r="D619" s="2"/>
      <c r="E619" s="2"/>
      <c r="F619" s="2"/>
      <c r="G619" s="2"/>
      <c r="H619" s="30" t="s">
        <v>245</v>
      </c>
      <c r="I619" s="36"/>
      <c r="L619" s="34">
        <f>L608+L612+L616</f>
        <v>0</v>
      </c>
      <c r="M619" s="34">
        <f t="shared" ref="M619:AN619" si="222">M608+M612+M616</f>
        <v>0</v>
      </c>
      <c r="N619" s="34">
        <f t="shared" si="222"/>
        <v>55.437408000000012</v>
      </c>
      <c r="O619" s="34">
        <f t="shared" si="222"/>
        <v>69.185885184</v>
      </c>
      <c r="P619" s="34">
        <f t="shared" si="222"/>
        <v>71.953320591360011</v>
      </c>
      <c r="Q619" s="34">
        <f t="shared" si="222"/>
        <v>74.831453415014408</v>
      </c>
      <c r="R619" s="34">
        <f t="shared" si="222"/>
        <v>77.824711551614996</v>
      </c>
      <c r="S619" s="34">
        <f t="shared" si="222"/>
        <v>80.937700013679603</v>
      </c>
      <c r="T619" s="34">
        <f t="shared" si="222"/>
        <v>84.175208014226797</v>
      </c>
      <c r="U619" s="34">
        <f t="shared" si="222"/>
        <v>87.542216334795881</v>
      </c>
      <c r="V619" s="34">
        <f t="shared" si="222"/>
        <v>91.043904988187705</v>
      </c>
      <c r="W619" s="34">
        <f t="shared" si="222"/>
        <v>94.685661187715212</v>
      </c>
      <c r="X619" s="34">
        <f t="shared" si="222"/>
        <v>98.473087635223834</v>
      </c>
      <c r="Y619" s="34">
        <f t="shared" si="222"/>
        <v>102.41201114063277</v>
      </c>
      <c r="Z619" s="34">
        <f t="shared" si="222"/>
        <v>106.50849158625812</v>
      </c>
      <c r="AA619" s="34">
        <f t="shared" si="222"/>
        <v>110.7688312497084</v>
      </c>
      <c r="AB619" s="34">
        <f t="shared" si="222"/>
        <v>115.19958449969675</v>
      </c>
      <c r="AC619" s="34">
        <f t="shared" si="222"/>
        <v>19.96792797994744</v>
      </c>
      <c r="AD619" s="34">
        <f t="shared" si="222"/>
        <v>0</v>
      </c>
      <c r="AE619" s="34">
        <f t="shared" si="222"/>
        <v>0</v>
      </c>
      <c r="AF619" s="34">
        <f t="shared" si="222"/>
        <v>0</v>
      </c>
      <c r="AG619" s="34">
        <f t="shared" si="222"/>
        <v>0</v>
      </c>
      <c r="AH619" s="34">
        <f t="shared" si="222"/>
        <v>0</v>
      </c>
      <c r="AI619" s="34">
        <f t="shared" si="222"/>
        <v>0</v>
      </c>
      <c r="AJ619" s="34">
        <f t="shared" si="222"/>
        <v>0</v>
      </c>
      <c r="AK619" s="34">
        <f t="shared" si="222"/>
        <v>0</v>
      </c>
      <c r="AL619" s="34">
        <f t="shared" si="222"/>
        <v>0</v>
      </c>
      <c r="AM619" s="34">
        <f t="shared" si="222"/>
        <v>0</v>
      </c>
      <c r="AN619" s="34">
        <f t="shared" si="222"/>
        <v>0</v>
      </c>
      <c r="AO619" s="28"/>
    </row>
    <row r="620" spans="1:41" ht="14.4" customHeight="1" outlineLevel="1" x14ac:dyDescent="0.3">
      <c r="H620" s="26"/>
      <c r="I620" s="36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28"/>
    </row>
    <row r="621" spans="1:41" ht="14.4" customHeight="1" outlineLevel="1" x14ac:dyDescent="0.3">
      <c r="C621" s="2" t="s">
        <v>226</v>
      </c>
      <c r="H621" s="26"/>
      <c r="I621" s="18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28"/>
    </row>
    <row r="622" spans="1:41" ht="14.4" customHeight="1" outlineLevel="1" x14ac:dyDescent="0.3">
      <c r="A622" s="18" t="s">
        <v>231</v>
      </c>
      <c r="B622" s="18" t="str">
        <f>Input!A192</f>
        <v>CPI, (RUB)</v>
      </c>
      <c r="D622" s="1" t="s">
        <v>227</v>
      </c>
      <c r="H622" s="26" t="s">
        <v>333</v>
      </c>
      <c r="I622" s="33">
        <f>Input!H192</f>
        <v>12</v>
      </c>
      <c r="L622" s="22">
        <f t="shared" ref="L622:AN622" si="223">$I622*INDEX(L$58:L$62,MATCH($B622,$C$58:$C$62,0))*L10</f>
        <v>0</v>
      </c>
      <c r="M622" s="22">
        <f t="shared" si="223"/>
        <v>0</v>
      </c>
      <c r="N622" s="22">
        <f t="shared" si="223"/>
        <v>10.816000000000003</v>
      </c>
      <c r="O622" s="22">
        <f t="shared" si="223"/>
        <v>13.498368000000001</v>
      </c>
      <c r="P622" s="22">
        <f t="shared" si="223"/>
        <v>14.038302720000003</v>
      </c>
      <c r="Q622" s="22">
        <f t="shared" si="223"/>
        <v>14.599834828800004</v>
      </c>
      <c r="R622" s="22">
        <f t="shared" si="223"/>
        <v>15.183828221952005</v>
      </c>
      <c r="S622" s="22">
        <f t="shared" si="223"/>
        <v>15.791181350830087</v>
      </c>
      <c r="T622" s="22">
        <f t="shared" si="223"/>
        <v>16.422828604863291</v>
      </c>
      <c r="U622" s="22">
        <f t="shared" si="223"/>
        <v>17.079741749057824</v>
      </c>
      <c r="V622" s="22">
        <f t="shared" si="223"/>
        <v>17.762931419020134</v>
      </c>
      <c r="W622" s="22">
        <f t="shared" si="223"/>
        <v>18.473448675780944</v>
      </c>
      <c r="X622" s="22">
        <f t="shared" si="223"/>
        <v>19.212386622812183</v>
      </c>
      <c r="Y622" s="22">
        <f t="shared" si="223"/>
        <v>19.98088208772467</v>
      </c>
      <c r="Z622" s="22">
        <f t="shared" si="223"/>
        <v>20.780117371233654</v>
      </c>
      <c r="AA622" s="22">
        <f t="shared" si="223"/>
        <v>21.611322066083002</v>
      </c>
      <c r="AB622" s="22">
        <f t="shared" si="223"/>
        <v>22.475774948726322</v>
      </c>
      <c r="AC622" s="22">
        <f t="shared" si="223"/>
        <v>3.8958009911125626</v>
      </c>
      <c r="AD622" s="22">
        <f t="shared" si="223"/>
        <v>0</v>
      </c>
      <c r="AE622" s="22">
        <f t="shared" si="223"/>
        <v>0</v>
      </c>
      <c r="AF622" s="22">
        <f t="shared" si="223"/>
        <v>0</v>
      </c>
      <c r="AG622" s="22">
        <f t="shared" si="223"/>
        <v>0</v>
      </c>
      <c r="AH622" s="22">
        <f t="shared" si="223"/>
        <v>0</v>
      </c>
      <c r="AI622" s="22">
        <f t="shared" si="223"/>
        <v>0</v>
      </c>
      <c r="AJ622" s="22">
        <f t="shared" si="223"/>
        <v>0</v>
      </c>
      <c r="AK622" s="22">
        <f t="shared" si="223"/>
        <v>0</v>
      </c>
      <c r="AL622" s="22">
        <f t="shared" si="223"/>
        <v>0</v>
      </c>
      <c r="AM622" s="22">
        <f t="shared" si="223"/>
        <v>0</v>
      </c>
      <c r="AN622" s="22">
        <f t="shared" si="223"/>
        <v>0</v>
      </c>
      <c r="AO622" s="28"/>
    </row>
    <row r="623" spans="1:41" ht="14.4" customHeight="1" outlineLevel="1" x14ac:dyDescent="0.3">
      <c r="A623" s="18" t="s">
        <v>231</v>
      </c>
      <c r="B623" s="18" t="str">
        <f>Input!A193</f>
        <v>Индекс роста цен на естественные монополии (электроэнергия)</v>
      </c>
      <c r="D623" s="1" t="s">
        <v>228</v>
      </c>
      <c r="H623" s="26" t="s">
        <v>333</v>
      </c>
      <c r="I623" s="33">
        <f>Input!H193</f>
        <v>0.5</v>
      </c>
      <c r="L623" s="22">
        <f t="shared" ref="L623:AN623" si="224">$I623*INDEX(L$58:L$62,MATCH($B623,$C$58:$C$62,0))*L10</f>
        <v>0</v>
      </c>
      <c r="M623" s="22">
        <f t="shared" si="224"/>
        <v>0</v>
      </c>
      <c r="N623" s="22">
        <f t="shared" si="224"/>
        <v>0.45937500000000003</v>
      </c>
      <c r="O623" s="22">
        <f t="shared" si="224"/>
        <v>0.57881250000000006</v>
      </c>
      <c r="P623" s="22">
        <f t="shared" si="224"/>
        <v>0.60775312500000012</v>
      </c>
      <c r="Q623" s="22">
        <f t="shared" si="224"/>
        <v>0.63814078125000018</v>
      </c>
      <c r="R623" s="22">
        <f t="shared" si="224"/>
        <v>0.67004782031250021</v>
      </c>
      <c r="S623" s="22">
        <f t="shared" si="224"/>
        <v>0.70355021132812523</v>
      </c>
      <c r="T623" s="22">
        <f t="shared" si="224"/>
        <v>0.73872772189453151</v>
      </c>
      <c r="U623" s="22">
        <f t="shared" si="224"/>
        <v>0.77566410798925811</v>
      </c>
      <c r="V623" s="22">
        <f t="shared" si="224"/>
        <v>0.81444731338872101</v>
      </c>
      <c r="W623" s="22">
        <f t="shared" si="224"/>
        <v>0.85516967905815711</v>
      </c>
      <c r="X623" s="22">
        <f t="shared" si="224"/>
        <v>0.89792816301106504</v>
      </c>
      <c r="Y623" s="22">
        <f t="shared" si="224"/>
        <v>0.94282457116161833</v>
      </c>
      <c r="Z623" s="22">
        <f t="shared" si="224"/>
        <v>0.98996579971969934</v>
      </c>
      <c r="AA623" s="22">
        <f t="shared" si="224"/>
        <v>1.0394640897056844</v>
      </c>
      <c r="AB623" s="22">
        <f t="shared" si="224"/>
        <v>1.0914372941909687</v>
      </c>
      <c r="AC623" s="22">
        <f t="shared" si="224"/>
        <v>0.19100152648341953</v>
      </c>
      <c r="AD623" s="22">
        <f t="shared" si="224"/>
        <v>0</v>
      </c>
      <c r="AE623" s="22">
        <f t="shared" si="224"/>
        <v>0</v>
      </c>
      <c r="AF623" s="22">
        <f t="shared" si="224"/>
        <v>0</v>
      </c>
      <c r="AG623" s="22">
        <f t="shared" si="224"/>
        <v>0</v>
      </c>
      <c r="AH623" s="22">
        <f t="shared" si="224"/>
        <v>0</v>
      </c>
      <c r="AI623" s="22">
        <f t="shared" si="224"/>
        <v>0</v>
      </c>
      <c r="AJ623" s="22">
        <f t="shared" si="224"/>
        <v>0</v>
      </c>
      <c r="AK623" s="22">
        <f t="shared" si="224"/>
        <v>0</v>
      </c>
      <c r="AL623" s="22">
        <f t="shared" si="224"/>
        <v>0</v>
      </c>
      <c r="AM623" s="22">
        <f t="shared" si="224"/>
        <v>0</v>
      </c>
      <c r="AN623" s="22">
        <f t="shared" si="224"/>
        <v>0</v>
      </c>
      <c r="AO623" s="28"/>
    </row>
    <row r="624" spans="1:41" ht="14.4" customHeight="1" outlineLevel="1" x14ac:dyDescent="0.3">
      <c r="A624" s="18" t="s">
        <v>231</v>
      </c>
      <c r="B624" s="18" t="str">
        <f>Input!A194</f>
        <v>CPI, (RUB)</v>
      </c>
      <c r="D624" s="1" t="s">
        <v>230</v>
      </c>
      <c r="H624" s="26" t="s">
        <v>333</v>
      </c>
      <c r="I624" s="33">
        <f>Input!H194</f>
        <v>0.2</v>
      </c>
      <c r="L624" s="22">
        <f t="shared" ref="L624:AN624" si="225">$I624*INDEX(L$58:L$62,MATCH($B624,$C$58:$C$62,0))*L10</f>
        <v>0</v>
      </c>
      <c r="M624" s="22">
        <f t="shared" si="225"/>
        <v>0</v>
      </c>
      <c r="N624" s="22">
        <f t="shared" si="225"/>
        <v>0.18026666666666671</v>
      </c>
      <c r="O624" s="22">
        <f t="shared" si="225"/>
        <v>0.22497280000000003</v>
      </c>
      <c r="P624" s="22">
        <f t="shared" si="225"/>
        <v>0.23397171200000005</v>
      </c>
      <c r="Q624" s="22">
        <f t="shared" si="225"/>
        <v>0.24333058048000009</v>
      </c>
      <c r="R624" s="22">
        <f t="shared" si="225"/>
        <v>0.25306380369920006</v>
      </c>
      <c r="S624" s="22">
        <f t="shared" si="225"/>
        <v>0.2631863558471681</v>
      </c>
      <c r="T624" s="22">
        <f t="shared" si="225"/>
        <v>0.27371381008105483</v>
      </c>
      <c r="U624" s="22">
        <f t="shared" si="225"/>
        <v>0.28466236248429705</v>
      </c>
      <c r="V624" s="22">
        <f t="shared" si="225"/>
        <v>0.29604885698366895</v>
      </c>
      <c r="W624" s="22">
        <f t="shared" si="225"/>
        <v>0.30789081126301571</v>
      </c>
      <c r="X624" s="22">
        <f t="shared" si="225"/>
        <v>0.32020644371353635</v>
      </c>
      <c r="Y624" s="22">
        <f t="shared" si="225"/>
        <v>0.33301470146207784</v>
      </c>
      <c r="Z624" s="22">
        <f t="shared" si="225"/>
        <v>0.34633528952056092</v>
      </c>
      <c r="AA624" s="22">
        <f t="shared" si="225"/>
        <v>0.36018870110138335</v>
      </c>
      <c r="AB624" s="22">
        <f t="shared" si="225"/>
        <v>0.37459624914543871</v>
      </c>
      <c r="AC624" s="22">
        <f t="shared" si="225"/>
        <v>6.4930016518542716E-2</v>
      </c>
      <c r="AD624" s="22">
        <f t="shared" si="225"/>
        <v>0</v>
      </c>
      <c r="AE624" s="22">
        <f t="shared" si="225"/>
        <v>0</v>
      </c>
      <c r="AF624" s="22">
        <f t="shared" si="225"/>
        <v>0</v>
      </c>
      <c r="AG624" s="22">
        <f t="shared" si="225"/>
        <v>0</v>
      </c>
      <c r="AH624" s="22">
        <f t="shared" si="225"/>
        <v>0</v>
      </c>
      <c r="AI624" s="22">
        <f t="shared" si="225"/>
        <v>0</v>
      </c>
      <c r="AJ624" s="22">
        <f t="shared" si="225"/>
        <v>0</v>
      </c>
      <c r="AK624" s="22">
        <f t="shared" si="225"/>
        <v>0</v>
      </c>
      <c r="AL624" s="22">
        <f t="shared" si="225"/>
        <v>0</v>
      </c>
      <c r="AM624" s="22">
        <f t="shared" si="225"/>
        <v>0</v>
      </c>
      <c r="AN624" s="22">
        <f t="shared" si="225"/>
        <v>0</v>
      </c>
      <c r="AO624" s="28"/>
    </row>
    <row r="625" spans="1:41" ht="14.4" customHeight="1" outlineLevel="1" x14ac:dyDescent="0.3">
      <c r="A625" s="18" t="s">
        <v>231</v>
      </c>
      <c r="B625" s="18" t="str">
        <f>Input!A195</f>
        <v>CPI, (RUB)</v>
      </c>
      <c r="D625" s="1" t="s">
        <v>229</v>
      </c>
      <c r="H625" s="26" t="s">
        <v>333</v>
      </c>
      <c r="I625" s="33">
        <f>Input!H195</f>
        <v>0.5</v>
      </c>
      <c r="L625" s="22">
        <f t="shared" ref="L625:AN625" si="226">$I625*INDEX(L$58:L$62,MATCH($B625,$C$58:$C$62,0))*L10</f>
        <v>0</v>
      </c>
      <c r="M625" s="22">
        <f t="shared" si="226"/>
        <v>0</v>
      </c>
      <c r="N625" s="22">
        <f t="shared" si="226"/>
        <v>0.45066666666666672</v>
      </c>
      <c r="O625" s="22">
        <f t="shared" si="226"/>
        <v>0.56243200000000004</v>
      </c>
      <c r="P625" s="22">
        <f t="shared" si="226"/>
        <v>0.58492928000000011</v>
      </c>
      <c r="Q625" s="22">
        <f t="shared" si="226"/>
        <v>0.60832645120000017</v>
      </c>
      <c r="R625" s="22">
        <f t="shared" si="226"/>
        <v>0.63265950924800018</v>
      </c>
      <c r="S625" s="22">
        <f t="shared" si="226"/>
        <v>0.65796588961792024</v>
      </c>
      <c r="T625" s="22">
        <f t="shared" si="226"/>
        <v>0.68428452520263705</v>
      </c>
      <c r="U625" s="22">
        <f t="shared" si="226"/>
        <v>0.71165590621074259</v>
      </c>
      <c r="V625" s="22">
        <f t="shared" si="226"/>
        <v>0.74012214245917229</v>
      </c>
      <c r="W625" s="22">
        <f t="shared" si="226"/>
        <v>0.76972702815753924</v>
      </c>
      <c r="X625" s="22">
        <f t="shared" si="226"/>
        <v>0.80051610928384087</v>
      </c>
      <c r="Y625" s="22">
        <f t="shared" si="226"/>
        <v>0.83253675365519453</v>
      </c>
      <c r="Z625" s="22">
        <f t="shared" si="226"/>
        <v>0.8658382238014023</v>
      </c>
      <c r="AA625" s="22">
        <f t="shared" si="226"/>
        <v>0.90047175275345837</v>
      </c>
      <c r="AB625" s="22">
        <f t="shared" si="226"/>
        <v>0.93649062286359674</v>
      </c>
      <c r="AC625" s="22">
        <f t="shared" si="226"/>
        <v>0.16232504129635678</v>
      </c>
      <c r="AD625" s="22">
        <f t="shared" si="226"/>
        <v>0</v>
      </c>
      <c r="AE625" s="22">
        <f t="shared" si="226"/>
        <v>0</v>
      </c>
      <c r="AF625" s="22">
        <f t="shared" si="226"/>
        <v>0</v>
      </c>
      <c r="AG625" s="22">
        <f t="shared" si="226"/>
        <v>0</v>
      </c>
      <c r="AH625" s="22">
        <f t="shared" si="226"/>
        <v>0</v>
      </c>
      <c r="AI625" s="22">
        <f t="shared" si="226"/>
        <v>0</v>
      </c>
      <c r="AJ625" s="22">
        <f t="shared" si="226"/>
        <v>0</v>
      </c>
      <c r="AK625" s="22">
        <f t="shared" si="226"/>
        <v>0</v>
      </c>
      <c r="AL625" s="22">
        <f t="shared" si="226"/>
        <v>0</v>
      </c>
      <c r="AM625" s="22">
        <f t="shared" si="226"/>
        <v>0</v>
      </c>
      <c r="AN625" s="22">
        <f t="shared" si="226"/>
        <v>0</v>
      </c>
      <c r="AO625" s="28"/>
    </row>
    <row r="626" spans="1:41" ht="14.4" customHeight="1" outlineLevel="1" x14ac:dyDescent="0.3">
      <c r="A626" s="18" t="s">
        <v>231</v>
      </c>
      <c r="D626" s="1" t="s">
        <v>253</v>
      </c>
      <c r="H626" s="26" t="s">
        <v>9</v>
      </c>
      <c r="I626" s="37">
        <f>Input!H196</f>
        <v>0.1</v>
      </c>
      <c r="L626" s="22">
        <f>SUM(L622:L625)*$I$626</f>
        <v>0</v>
      </c>
      <c r="M626" s="22">
        <f t="shared" ref="M626:AN626" si="227">SUM(M622:M625)*$I$626</f>
        <v>0</v>
      </c>
      <c r="N626" s="22">
        <f t="shared" si="227"/>
        <v>1.1906308333333335</v>
      </c>
      <c r="O626" s="22">
        <f t="shared" si="227"/>
        <v>1.4864585300000002</v>
      </c>
      <c r="P626" s="22">
        <f t="shared" si="227"/>
        <v>1.5464956837000006</v>
      </c>
      <c r="Q626" s="22">
        <f t="shared" si="227"/>
        <v>1.6089632641730007</v>
      </c>
      <c r="R626" s="22">
        <f t="shared" si="227"/>
        <v>1.6739599355211707</v>
      </c>
      <c r="S626" s="22">
        <f t="shared" si="227"/>
        <v>1.74158838076233</v>
      </c>
      <c r="T626" s="22">
        <f t="shared" si="227"/>
        <v>1.8119554662041517</v>
      </c>
      <c r="U626" s="22">
        <f t="shared" si="227"/>
        <v>1.8851724125742124</v>
      </c>
      <c r="V626" s="22">
        <f t="shared" si="227"/>
        <v>1.9613549731851698</v>
      </c>
      <c r="W626" s="22">
        <f t="shared" si="227"/>
        <v>2.0406236194259657</v>
      </c>
      <c r="X626" s="22">
        <f t="shared" si="227"/>
        <v>2.1231037338820626</v>
      </c>
      <c r="Y626" s="22">
        <f t="shared" si="227"/>
        <v>2.208925811400356</v>
      </c>
      <c r="Z626" s="22">
        <f t="shared" si="227"/>
        <v>2.2982256684275315</v>
      </c>
      <c r="AA626" s="22">
        <f t="shared" si="227"/>
        <v>2.3911446609643527</v>
      </c>
      <c r="AB626" s="22">
        <f t="shared" si="227"/>
        <v>2.4878299114926326</v>
      </c>
      <c r="AC626" s="22">
        <f t="shared" si="227"/>
        <v>0.43140575754108818</v>
      </c>
      <c r="AD626" s="22">
        <f t="shared" si="227"/>
        <v>0</v>
      </c>
      <c r="AE626" s="22">
        <f t="shared" si="227"/>
        <v>0</v>
      </c>
      <c r="AF626" s="22">
        <f t="shared" si="227"/>
        <v>0</v>
      </c>
      <c r="AG626" s="22">
        <f t="shared" si="227"/>
        <v>0</v>
      </c>
      <c r="AH626" s="22">
        <f t="shared" si="227"/>
        <v>0</v>
      </c>
      <c r="AI626" s="22">
        <f t="shared" si="227"/>
        <v>0</v>
      </c>
      <c r="AJ626" s="22">
        <f t="shared" si="227"/>
        <v>0</v>
      </c>
      <c r="AK626" s="22">
        <f t="shared" si="227"/>
        <v>0</v>
      </c>
      <c r="AL626" s="22">
        <f t="shared" si="227"/>
        <v>0</v>
      </c>
      <c r="AM626" s="22">
        <f t="shared" si="227"/>
        <v>0</v>
      </c>
      <c r="AN626" s="22">
        <f t="shared" si="227"/>
        <v>0</v>
      </c>
      <c r="AO626" s="28"/>
    </row>
    <row r="627" spans="1:41" s="2" customFormat="1" ht="14.4" customHeight="1" outlineLevel="1" x14ac:dyDescent="0.3">
      <c r="A627" s="32"/>
      <c r="B627" s="32"/>
      <c r="C627" s="2" t="s">
        <v>37</v>
      </c>
      <c r="H627" s="30" t="s">
        <v>245</v>
      </c>
      <c r="I627" s="90"/>
      <c r="L627" s="34">
        <f>SUM(L622:L626)</f>
        <v>0</v>
      </c>
      <c r="M627" s="34">
        <f t="shared" ref="M627:AN627" si="228">SUM(M622:M626)</f>
        <v>0</v>
      </c>
      <c r="N627" s="34">
        <f t="shared" si="228"/>
        <v>13.096939166666669</v>
      </c>
      <c r="O627" s="34">
        <f t="shared" si="228"/>
        <v>16.351043830000002</v>
      </c>
      <c r="P627" s="34">
        <f t="shared" si="228"/>
        <v>17.011452520700004</v>
      </c>
      <c r="Q627" s="34">
        <f t="shared" si="228"/>
        <v>17.698595905903005</v>
      </c>
      <c r="R627" s="34">
        <f t="shared" si="228"/>
        <v>18.413559290732877</v>
      </c>
      <c r="S627" s="34">
        <f t="shared" si="228"/>
        <v>19.157472188385629</v>
      </c>
      <c r="T627" s="34">
        <f t="shared" si="228"/>
        <v>19.931510128245666</v>
      </c>
      <c r="U627" s="34">
        <f t="shared" si="228"/>
        <v>20.736896538316337</v>
      </c>
      <c r="V627" s="34">
        <f t="shared" si="228"/>
        <v>21.574904705036868</v>
      </c>
      <c r="W627" s="34">
        <f t="shared" si="228"/>
        <v>22.44685981368562</v>
      </c>
      <c r="X627" s="34">
        <f t="shared" si="228"/>
        <v>23.354141072702689</v>
      </c>
      <c r="Y627" s="34">
        <f t="shared" si="228"/>
        <v>24.298183925403915</v>
      </c>
      <c r="Z627" s="34">
        <f t="shared" si="228"/>
        <v>25.280482352702844</v>
      </c>
      <c r="AA627" s="34">
        <f t="shared" si="228"/>
        <v>26.302591270607881</v>
      </c>
      <c r="AB627" s="34">
        <f t="shared" si="228"/>
        <v>27.366129026418957</v>
      </c>
      <c r="AC627" s="34">
        <f t="shared" si="228"/>
        <v>4.74546333295197</v>
      </c>
      <c r="AD627" s="34">
        <f t="shared" si="228"/>
        <v>0</v>
      </c>
      <c r="AE627" s="34">
        <f t="shared" si="228"/>
        <v>0</v>
      </c>
      <c r="AF627" s="34">
        <f t="shared" si="228"/>
        <v>0</v>
      </c>
      <c r="AG627" s="34">
        <f t="shared" si="228"/>
        <v>0</v>
      </c>
      <c r="AH627" s="34">
        <f t="shared" si="228"/>
        <v>0</v>
      </c>
      <c r="AI627" s="34">
        <f t="shared" si="228"/>
        <v>0</v>
      </c>
      <c r="AJ627" s="34">
        <f t="shared" si="228"/>
        <v>0</v>
      </c>
      <c r="AK627" s="34">
        <f t="shared" si="228"/>
        <v>0</v>
      </c>
      <c r="AL627" s="34">
        <f t="shared" si="228"/>
        <v>0</v>
      </c>
      <c r="AM627" s="34">
        <f t="shared" si="228"/>
        <v>0</v>
      </c>
      <c r="AN627" s="34">
        <f t="shared" si="228"/>
        <v>0</v>
      </c>
      <c r="AO627" s="127"/>
    </row>
    <row r="628" spans="1:41" ht="14.4" customHeight="1" outlineLevel="1" x14ac:dyDescent="0.3">
      <c r="H628" s="26"/>
      <c r="I628" s="36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28"/>
    </row>
    <row r="629" spans="1:41" outlineLevel="1" x14ac:dyDescent="0.3">
      <c r="C629" s="2" t="s">
        <v>312</v>
      </c>
    </row>
    <row r="630" spans="1:41" outlineLevel="1" x14ac:dyDescent="0.3">
      <c r="A630" s="18" t="s">
        <v>231</v>
      </c>
      <c r="D630" s="1" t="s">
        <v>183</v>
      </c>
      <c r="H630" s="26" t="s">
        <v>245</v>
      </c>
      <c r="L630" s="22">
        <f t="shared" ref="L630:AN630" si="229">L112+L122+L134</f>
        <v>0</v>
      </c>
      <c r="M630" s="22">
        <f t="shared" si="229"/>
        <v>0</v>
      </c>
      <c r="N630" s="22">
        <f t="shared" si="229"/>
        <v>1.2979200000000002</v>
      </c>
      <c r="O630" s="22">
        <f t="shared" si="229"/>
        <v>13.723340800000001</v>
      </c>
      <c r="P630" s="22">
        <f t="shared" si="229"/>
        <v>14.272274432000003</v>
      </c>
      <c r="Q630" s="22">
        <f t="shared" si="229"/>
        <v>14.843165409280004</v>
      </c>
      <c r="R630" s="22">
        <f t="shared" si="229"/>
        <v>3.1632975462400008</v>
      </c>
      <c r="S630" s="22">
        <f t="shared" si="229"/>
        <v>14.475249571594244</v>
      </c>
      <c r="T630" s="22">
        <f t="shared" si="229"/>
        <v>13.275119788931159</v>
      </c>
      <c r="U630" s="22">
        <f t="shared" si="229"/>
        <v>17.364404111542118</v>
      </c>
      <c r="V630" s="22">
        <f t="shared" si="229"/>
        <v>14.358369563707942</v>
      </c>
      <c r="W630" s="22">
        <f t="shared" si="229"/>
        <v>3.848635140787696</v>
      </c>
      <c r="X630" s="22">
        <f t="shared" si="229"/>
        <v>15.530012520106514</v>
      </c>
      <c r="Y630" s="22">
        <f t="shared" si="229"/>
        <v>16.151213020910774</v>
      </c>
      <c r="Z630" s="22">
        <f t="shared" si="229"/>
        <v>6.4072028561303771</v>
      </c>
      <c r="AA630" s="22">
        <f t="shared" si="229"/>
        <v>21.971510767184384</v>
      </c>
      <c r="AB630" s="22">
        <f t="shared" si="229"/>
        <v>22.850371197871759</v>
      </c>
      <c r="AC630" s="22">
        <f t="shared" si="229"/>
        <v>2.3374805946675377</v>
      </c>
      <c r="AD630" s="22">
        <f t="shared" si="229"/>
        <v>0</v>
      </c>
      <c r="AE630" s="22">
        <f t="shared" si="229"/>
        <v>0</v>
      </c>
      <c r="AF630" s="22">
        <f t="shared" si="229"/>
        <v>0</v>
      </c>
      <c r="AG630" s="22">
        <f t="shared" si="229"/>
        <v>0</v>
      </c>
      <c r="AH630" s="22">
        <f t="shared" si="229"/>
        <v>0</v>
      </c>
      <c r="AI630" s="22">
        <f t="shared" si="229"/>
        <v>0</v>
      </c>
      <c r="AJ630" s="22">
        <f t="shared" si="229"/>
        <v>0</v>
      </c>
      <c r="AK630" s="22">
        <f t="shared" si="229"/>
        <v>0</v>
      </c>
      <c r="AL630" s="22">
        <f t="shared" si="229"/>
        <v>0</v>
      </c>
      <c r="AM630" s="22">
        <f t="shared" si="229"/>
        <v>0</v>
      </c>
      <c r="AN630" s="22">
        <f t="shared" si="229"/>
        <v>0</v>
      </c>
    </row>
    <row r="631" spans="1:41" outlineLevel="1" x14ac:dyDescent="0.3">
      <c r="A631" s="18" t="s">
        <v>231</v>
      </c>
      <c r="D631" s="1" t="s">
        <v>184</v>
      </c>
      <c r="H631" s="26" t="s">
        <v>245</v>
      </c>
      <c r="L631" s="22">
        <f t="shared" ref="L631:AN631" si="230">L113+L123+L135</f>
        <v>0</v>
      </c>
      <c r="M631" s="22">
        <f t="shared" si="230"/>
        <v>0</v>
      </c>
      <c r="N631" s="22">
        <f t="shared" si="230"/>
        <v>0</v>
      </c>
      <c r="O631" s="22">
        <f t="shared" si="230"/>
        <v>0</v>
      </c>
      <c r="P631" s="22">
        <f t="shared" si="230"/>
        <v>0</v>
      </c>
      <c r="Q631" s="22">
        <f t="shared" si="230"/>
        <v>0</v>
      </c>
      <c r="R631" s="22">
        <f t="shared" si="230"/>
        <v>22.522678529228806</v>
      </c>
      <c r="S631" s="22">
        <f t="shared" si="230"/>
        <v>0</v>
      </c>
      <c r="T631" s="22">
        <f t="shared" si="230"/>
        <v>5.4742762016210964</v>
      </c>
      <c r="U631" s="22">
        <f t="shared" si="230"/>
        <v>0</v>
      </c>
      <c r="V631" s="22">
        <f t="shared" si="230"/>
        <v>0</v>
      </c>
      <c r="W631" s="22">
        <f t="shared" si="230"/>
        <v>23.553647061620701</v>
      </c>
      <c r="X631" s="22">
        <f t="shared" si="230"/>
        <v>0</v>
      </c>
      <c r="Y631" s="22">
        <f t="shared" si="230"/>
        <v>0</v>
      </c>
      <c r="Z631" s="22">
        <f t="shared" si="230"/>
        <v>0</v>
      </c>
      <c r="AA631" s="22">
        <f t="shared" si="230"/>
        <v>0</v>
      </c>
      <c r="AB631" s="22">
        <f t="shared" si="230"/>
        <v>0</v>
      </c>
      <c r="AC631" s="22">
        <f t="shared" si="230"/>
        <v>0</v>
      </c>
      <c r="AD631" s="22">
        <f t="shared" si="230"/>
        <v>0</v>
      </c>
      <c r="AE631" s="22">
        <f t="shared" si="230"/>
        <v>0</v>
      </c>
      <c r="AF631" s="22">
        <f t="shared" si="230"/>
        <v>0</v>
      </c>
      <c r="AG631" s="22">
        <f t="shared" si="230"/>
        <v>0</v>
      </c>
      <c r="AH631" s="22">
        <f t="shared" si="230"/>
        <v>0</v>
      </c>
      <c r="AI631" s="22">
        <f t="shared" si="230"/>
        <v>0</v>
      </c>
      <c r="AJ631" s="22">
        <f t="shared" si="230"/>
        <v>0</v>
      </c>
      <c r="AK631" s="22">
        <f t="shared" si="230"/>
        <v>0</v>
      </c>
      <c r="AL631" s="22">
        <f t="shared" si="230"/>
        <v>0</v>
      </c>
      <c r="AM631" s="22">
        <f t="shared" si="230"/>
        <v>0</v>
      </c>
      <c r="AN631" s="22">
        <f t="shared" si="230"/>
        <v>0</v>
      </c>
    </row>
    <row r="632" spans="1:41" outlineLevel="1" x14ac:dyDescent="0.3">
      <c r="C632" s="2" t="s">
        <v>37</v>
      </c>
      <c r="H632" s="30" t="s">
        <v>245</v>
      </c>
      <c r="L632" s="34">
        <f>SUM(L630:L631)</f>
        <v>0</v>
      </c>
      <c r="M632" s="34">
        <f t="shared" ref="M632:AN632" si="231">SUM(M630:M631)</f>
        <v>0</v>
      </c>
      <c r="N632" s="34">
        <f t="shared" si="231"/>
        <v>1.2979200000000002</v>
      </c>
      <c r="O632" s="34">
        <f t="shared" si="231"/>
        <v>13.723340800000001</v>
      </c>
      <c r="P632" s="34">
        <f t="shared" si="231"/>
        <v>14.272274432000003</v>
      </c>
      <c r="Q632" s="34">
        <f t="shared" si="231"/>
        <v>14.843165409280004</v>
      </c>
      <c r="R632" s="34">
        <f t="shared" si="231"/>
        <v>25.685976075468808</v>
      </c>
      <c r="S632" s="34">
        <f t="shared" si="231"/>
        <v>14.475249571594244</v>
      </c>
      <c r="T632" s="34">
        <f t="shared" si="231"/>
        <v>18.749395990552255</v>
      </c>
      <c r="U632" s="34">
        <f t="shared" si="231"/>
        <v>17.364404111542118</v>
      </c>
      <c r="V632" s="34">
        <f t="shared" si="231"/>
        <v>14.358369563707942</v>
      </c>
      <c r="W632" s="34">
        <f t="shared" si="231"/>
        <v>27.402282202408397</v>
      </c>
      <c r="X632" s="34">
        <f t="shared" si="231"/>
        <v>15.530012520106514</v>
      </c>
      <c r="Y632" s="34">
        <f t="shared" si="231"/>
        <v>16.151213020910774</v>
      </c>
      <c r="Z632" s="34">
        <f t="shared" si="231"/>
        <v>6.4072028561303771</v>
      </c>
      <c r="AA632" s="34">
        <f t="shared" si="231"/>
        <v>21.971510767184384</v>
      </c>
      <c r="AB632" s="34">
        <f t="shared" si="231"/>
        <v>22.850371197871759</v>
      </c>
      <c r="AC632" s="34">
        <f t="shared" si="231"/>
        <v>2.3374805946675377</v>
      </c>
      <c r="AD632" s="34">
        <f t="shared" si="231"/>
        <v>0</v>
      </c>
      <c r="AE632" s="34">
        <f t="shared" si="231"/>
        <v>0</v>
      </c>
      <c r="AF632" s="34">
        <f t="shared" si="231"/>
        <v>0</v>
      </c>
      <c r="AG632" s="34">
        <f t="shared" si="231"/>
        <v>0</v>
      </c>
      <c r="AH632" s="34">
        <f t="shared" si="231"/>
        <v>0</v>
      </c>
      <c r="AI632" s="34">
        <f t="shared" si="231"/>
        <v>0</v>
      </c>
      <c r="AJ632" s="34">
        <f t="shared" si="231"/>
        <v>0</v>
      </c>
      <c r="AK632" s="34">
        <f t="shared" si="231"/>
        <v>0</v>
      </c>
      <c r="AL632" s="34">
        <f t="shared" si="231"/>
        <v>0</v>
      </c>
      <c r="AM632" s="34">
        <f t="shared" si="231"/>
        <v>0</v>
      </c>
      <c r="AN632" s="34">
        <f t="shared" si="231"/>
        <v>0</v>
      </c>
    </row>
    <row r="633" spans="1:41" outlineLevel="1" x14ac:dyDescent="0.3">
      <c r="C633" s="2"/>
      <c r="H633" s="30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</row>
    <row r="634" spans="1:41" s="107" customFormat="1" outlineLevel="1" x14ac:dyDescent="0.3">
      <c r="A634" s="170"/>
      <c r="B634" s="113" t="s">
        <v>404</v>
      </c>
      <c r="C634" s="113"/>
      <c r="D634" s="98"/>
      <c r="E634" s="98"/>
      <c r="F634" s="98"/>
      <c r="G634" s="98"/>
      <c r="H634" s="98"/>
      <c r="I634" s="98"/>
      <c r="J634" s="98"/>
      <c r="K634" s="98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</row>
    <row r="635" spans="1:41" outlineLevel="1" x14ac:dyDescent="0.3">
      <c r="B635" s="2"/>
      <c r="C635" s="2"/>
      <c r="H635" s="30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</row>
    <row r="636" spans="1:41" outlineLevel="1" x14ac:dyDescent="0.3">
      <c r="B636" s="2"/>
      <c r="C636" s="2" t="s">
        <v>191</v>
      </c>
      <c r="H636" s="26"/>
      <c r="I636" s="36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</row>
    <row r="637" spans="1:41" outlineLevel="1" x14ac:dyDescent="0.3">
      <c r="B637" s="2"/>
      <c r="D637" s="1" t="str">
        <f>Input!C139</f>
        <v>Гашеная известь</v>
      </c>
      <c r="H637" s="26" t="s">
        <v>225</v>
      </c>
      <c r="I637" s="159">
        <f>Input!H139</f>
        <v>0</v>
      </c>
      <c r="L637" s="22">
        <f>INDEX(L$555:L$568,MATCH($D637,$D$555:$D$568,0))*$I637</f>
        <v>0</v>
      </c>
      <c r="M637" s="22">
        <f t="shared" ref="M637:AN642" si="232">INDEX(M$555:M$568,MATCH($D637,$D$555:$D$568,0))*$I637</f>
        <v>0</v>
      </c>
      <c r="N637" s="22">
        <f t="shared" si="232"/>
        <v>0</v>
      </c>
      <c r="O637" s="22">
        <f t="shared" si="232"/>
        <v>0</v>
      </c>
      <c r="P637" s="22">
        <f t="shared" si="232"/>
        <v>0</v>
      </c>
      <c r="Q637" s="22">
        <f t="shared" si="232"/>
        <v>0</v>
      </c>
      <c r="R637" s="22">
        <f t="shared" si="232"/>
        <v>0</v>
      </c>
      <c r="S637" s="22">
        <f t="shared" si="232"/>
        <v>0</v>
      </c>
      <c r="T637" s="22">
        <f t="shared" si="232"/>
        <v>0</v>
      </c>
      <c r="U637" s="22">
        <f t="shared" si="232"/>
        <v>0</v>
      </c>
      <c r="V637" s="22">
        <f t="shared" si="232"/>
        <v>0</v>
      </c>
      <c r="W637" s="22">
        <f t="shared" si="232"/>
        <v>0</v>
      </c>
      <c r="X637" s="22">
        <f t="shared" si="232"/>
        <v>0</v>
      </c>
      <c r="Y637" s="22">
        <f t="shared" si="232"/>
        <v>0</v>
      </c>
      <c r="Z637" s="22">
        <f t="shared" si="232"/>
        <v>0</v>
      </c>
      <c r="AA637" s="22">
        <f t="shared" si="232"/>
        <v>0</v>
      </c>
      <c r="AB637" s="22">
        <f t="shared" si="232"/>
        <v>0</v>
      </c>
      <c r="AC637" s="22">
        <f t="shared" si="232"/>
        <v>0</v>
      </c>
      <c r="AD637" s="22">
        <f t="shared" si="232"/>
        <v>0</v>
      </c>
      <c r="AE637" s="22">
        <f t="shared" si="232"/>
        <v>0</v>
      </c>
      <c r="AF637" s="22">
        <f t="shared" si="232"/>
        <v>0</v>
      </c>
      <c r="AG637" s="22">
        <f t="shared" si="232"/>
        <v>0</v>
      </c>
      <c r="AH637" s="22">
        <f t="shared" si="232"/>
        <v>0</v>
      </c>
      <c r="AI637" s="22">
        <f t="shared" si="232"/>
        <v>0</v>
      </c>
      <c r="AJ637" s="22">
        <f t="shared" si="232"/>
        <v>0</v>
      </c>
      <c r="AK637" s="22">
        <f t="shared" si="232"/>
        <v>0</v>
      </c>
      <c r="AL637" s="22">
        <f t="shared" si="232"/>
        <v>0</v>
      </c>
      <c r="AM637" s="22">
        <f t="shared" si="232"/>
        <v>0</v>
      </c>
      <c r="AN637" s="22">
        <f t="shared" si="232"/>
        <v>0</v>
      </c>
    </row>
    <row r="638" spans="1:41" outlineLevel="1" x14ac:dyDescent="0.3">
      <c r="B638" s="2"/>
      <c r="D638" s="1" t="str">
        <f>Input!C140</f>
        <v>Известняковая мука</v>
      </c>
      <c r="H638" s="26" t="s">
        <v>225</v>
      </c>
      <c r="I638" s="159">
        <f>Input!H140</f>
        <v>7.4999999999999997E-2</v>
      </c>
      <c r="L638" s="22">
        <f t="shared" ref="L638:AA642" si="233">INDEX(L$555:L$568,MATCH($D638,$D$555:$D$568,0))*$I638</f>
        <v>300</v>
      </c>
      <c r="M638" s="22">
        <f t="shared" si="233"/>
        <v>312</v>
      </c>
      <c r="N638" s="22">
        <f t="shared" si="233"/>
        <v>324.48</v>
      </c>
      <c r="O638" s="22">
        <f t="shared" si="233"/>
        <v>337.45920000000001</v>
      </c>
      <c r="P638" s="22">
        <f t="shared" si="233"/>
        <v>350.95756800000004</v>
      </c>
      <c r="Q638" s="22">
        <f t="shared" si="233"/>
        <v>364.99587072000008</v>
      </c>
      <c r="R638" s="22">
        <f t="shared" si="233"/>
        <v>379.59570554880008</v>
      </c>
      <c r="S638" s="22">
        <f t="shared" si="233"/>
        <v>394.7795337707521</v>
      </c>
      <c r="T638" s="22">
        <f t="shared" si="233"/>
        <v>410.57071512158223</v>
      </c>
      <c r="U638" s="22">
        <f t="shared" si="233"/>
        <v>426.99354372644558</v>
      </c>
      <c r="V638" s="22">
        <f t="shared" si="233"/>
        <v>444.07328547550338</v>
      </c>
      <c r="W638" s="22">
        <f t="shared" si="233"/>
        <v>461.83621689452355</v>
      </c>
      <c r="X638" s="22">
        <f t="shared" si="233"/>
        <v>480.30966557030445</v>
      </c>
      <c r="Y638" s="22">
        <f t="shared" si="233"/>
        <v>499.52205219311668</v>
      </c>
      <c r="Z638" s="22">
        <f t="shared" si="233"/>
        <v>519.50293428084137</v>
      </c>
      <c r="AA638" s="22">
        <f t="shared" si="233"/>
        <v>540.28305165207507</v>
      </c>
      <c r="AB638" s="22">
        <f t="shared" si="232"/>
        <v>561.89437371815802</v>
      </c>
      <c r="AC638" s="22">
        <f t="shared" si="232"/>
        <v>584.37014866688435</v>
      </c>
      <c r="AD638" s="22">
        <f t="shared" si="232"/>
        <v>0</v>
      </c>
      <c r="AE638" s="22">
        <f t="shared" si="232"/>
        <v>0</v>
      </c>
      <c r="AF638" s="22">
        <f t="shared" si="232"/>
        <v>0</v>
      </c>
      <c r="AG638" s="22">
        <f t="shared" si="232"/>
        <v>0</v>
      </c>
      <c r="AH638" s="22">
        <f t="shared" si="232"/>
        <v>0</v>
      </c>
      <c r="AI638" s="22">
        <f t="shared" si="232"/>
        <v>0</v>
      </c>
      <c r="AJ638" s="22">
        <f t="shared" si="232"/>
        <v>0</v>
      </c>
      <c r="AK638" s="22">
        <f t="shared" si="232"/>
        <v>0</v>
      </c>
      <c r="AL638" s="22">
        <f t="shared" si="232"/>
        <v>0</v>
      </c>
      <c r="AM638" s="22">
        <f t="shared" si="232"/>
        <v>0</v>
      </c>
      <c r="AN638" s="22">
        <f t="shared" si="232"/>
        <v>0</v>
      </c>
    </row>
    <row r="639" spans="1:41" outlineLevel="1" x14ac:dyDescent="0.3">
      <c r="B639" s="2"/>
      <c r="D639" s="1" t="str">
        <f>Input!C141</f>
        <v>Кварцевый песок 0,1-0,5 мм</v>
      </c>
      <c r="H639" s="26" t="s">
        <v>225</v>
      </c>
      <c r="I639" s="159">
        <f>Input!H141</f>
        <v>0</v>
      </c>
      <c r="L639" s="22">
        <f t="shared" si="233"/>
        <v>0</v>
      </c>
      <c r="M639" s="22">
        <f t="shared" si="232"/>
        <v>0</v>
      </c>
      <c r="N639" s="22">
        <f t="shared" si="232"/>
        <v>0</v>
      </c>
      <c r="O639" s="22">
        <f t="shared" si="232"/>
        <v>0</v>
      </c>
      <c r="P639" s="22">
        <f t="shared" si="232"/>
        <v>0</v>
      </c>
      <c r="Q639" s="22">
        <f t="shared" si="232"/>
        <v>0</v>
      </c>
      <c r="R639" s="22">
        <f t="shared" si="232"/>
        <v>0</v>
      </c>
      <c r="S639" s="22">
        <f t="shared" si="232"/>
        <v>0</v>
      </c>
      <c r="T639" s="22">
        <f t="shared" si="232"/>
        <v>0</v>
      </c>
      <c r="U639" s="22">
        <f t="shared" si="232"/>
        <v>0</v>
      </c>
      <c r="V639" s="22">
        <f t="shared" si="232"/>
        <v>0</v>
      </c>
      <c r="W639" s="22">
        <f t="shared" si="232"/>
        <v>0</v>
      </c>
      <c r="X639" s="22">
        <f t="shared" si="232"/>
        <v>0</v>
      </c>
      <c r="Y639" s="22">
        <f t="shared" si="232"/>
        <v>0</v>
      </c>
      <c r="Z639" s="22">
        <f t="shared" si="232"/>
        <v>0</v>
      </c>
      <c r="AA639" s="22">
        <f t="shared" si="232"/>
        <v>0</v>
      </c>
      <c r="AB639" s="22">
        <f t="shared" si="232"/>
        <v>0</v>
      </c>
      <c r="AC639" s="22">
        <f t="shared" si="232"/>
        <v>0</v>
      </c>
      <c r="AD639" s="22">
        <f t="shared" si="232"/>
        <v>0</v>
      </c>
      <c r="AE639" s="22">
        <f t="shared" si="232"/>
        <v>0</v>
      </c>
      <c r="AF639" s="22">
        <f t="shared" si="232"/>
        <v>0</v>
      </c>
      <c r="AG639" s="22">
        <f t="shared" si="232"/>
        <v>0</v>
      </c>
      <c r="AH639" s="22">
        <f t="shared" si="232"/>
        <v>0</v>
      </c>
      <c r="AI639" s="22">
        <f t="shared" si="232"/>
        <v>0</v>
      </c>
      <c r="AJ639" s="22">
        <f t="shared" si="232"/>
        <v>0</v>
      </c>
      <c r="AK639" s="22">
        <f t="shared" si="232"/>
        <v>0</v>
      </c>
      <c r="AL639" s="22">
        <f t="shared" si="232"/>
        <v>0</v>
      </c>
      <c r="AM639" s="22">
        <f t="shared" si="232"/>
        <v>0</v>
      </c>
      <c r="AN639" s="22">
        <f t="shared" si="232"/>
        <v>0</v>
      </c>
    </row>
    <row r="640" spans="1:41" outlineLevel="1" x14ac:dyDescent="0.3">
      <c r="B640" s="2"/>
      <c r="D640" s="1" t="str">
        <f>Input!C142</f>
        <v>Кварцевый песок 0,5-2,0 мм</v>
      </c>
      <c r="H640" s="26" t="s">
        <v>225</v>
      </c>
      <c r="I640" s="159">
        <f>Input!H142</f>
        <v>0</v>
      </c>
      <c r="L640" s="22">
        <f t="shared" si="233"/>
        <v>0</v>
      </c>
      <c r="M640" s="22">
        <f t="shared" si="232"/>
        <v>0</v>
      </c>
      <c r="N640" s="22">
        <f t="shared" si="232"/>
        <v>0</v>
      </c>
      <c r="O640" s="22">
        <f t="shared" si="232"/>
        <v>0</v>
      </c>
      <c r="P640" s="22">
        <f t="shared" si="232"/>
        <v>0</v>
      </c>
      <c r="Q640" s="22">
        <f t="shared" si="232"/>
        <v>0</v>
      </c>
      <c r="R640" s="22">
        <f t="shared" si="232"/>
        <v>0</v>
      </c>
      <c r="S640" s="22">
        <f t="shared" si="232"/>
        <v>0</v>
      </c>
      <c r="T640" s="22">
        <f t="shared" si="232"/>
        <v>0</v>
      </c>
      <c r="U640" s="22">
        <f t="shared" si="232"/>
        <v>0</v>
      </c>
      <c r="V640" s="22">
        <f t="shared" si="232"/>
        <v>0</v>
      </c>
      <c r="W640" s="22">
        <f t="shared" si="232"/>
        <v>0</v>
      </c>
      <c r="X640" s="22">
        <f t="shared" si="232"/>
        <v>0</v>
      </c>
      <c r="Y640" s="22">
        <f t="shared" si="232"/>
        <v>0</v>
      </c>
      <c r="Z640" s="22">
        <f t="shared" si="232"/>
        <v>0</v>
      </c>
      <c r="AA640" s="22">
        <f t="shared" si="232"/>
        <v>0</v>
      </c>
      <c r="AB640" s="22">
        <f t="shared" si="232"/>
        <v>0</v>
      </c>
      <c r="AC640" s="22">
        <f t="shared" si="232"/>
        <v>0</v>
      </c>
      <c r="AD640" s="22">
        <f t="shared" si="232"/>
        <v>0</v>
      </c>
      <c r="AE640" s="22">
        <f t="shared" si="232"/>
        <v>0</v>
      </c>
      <c r="AF640" s="22">
        <f t="shared" si="232"/>
        <v>0</v>
      </c>
      <c r="AG640" s="22">
        <f t="shared" si="232"/>
        <v>0</v>
      </c>
      <c r="AH640" s="22">
        <f t="shared" si="232"/>
        <v>0</v>
      </c>
      <c r="AI640" s="22">
        <f t="shared" si="232"/>
        <v>0</v>
      </c>
      <c r="AJ640" s="22">
        <f t="shared" si="232"/>
        <v>0</v>
      </c>
      <c r="AK640" s="22">
        <f t="shared" si="232"/>
        <v>0</v>
      </c>
      <c r="AL640" s="22">
        <f t="shared" si="232"/>
        <v>0</v>
      </c>
      <c r="AM640" s="22">
        <f t="shared" si="232"/>
        <v>0</v>
      </c>
      <c r="AN640" s="22">
        <f t="shared" si="232"/>
        <v>0</v>
      </c>
    </row>
    <row r="641" spans="2:40" outlineLevel="1" x14ac:dyDescent="0.3">
      <c r="B641" s="2"/>
      <c r="D641" s="1" t="str">
        <f>Input!C143</f>
        <v>Кварцевый или известняковый песок 0-4 мм</v>
      </c>
      <c r="H641" s="26" t="s">
        <v>225</v>
      </c>
      <c r="I641" s="159">
        <f>Input!H143</f>
        <v>0.6744</v>
      </c>
      <c r="L641" s="22">
        <f t="shared" si="233"/>
        <v>6744</v>
      </c>
      <c r="M641" s="22">
        <f t="shared" si="232"/>
        <v>7013.76</v>
      </c>
      <c r="N641" s="22">
        <f t="shared" si="232"/>
        <v>7294.3104000000012</v>
      </c>
      <c r="O641" s="22">
        <f t="shared" si="232"/>
        <v>7586.082816000001</v>
      </c>
      <c r="P641" s="22">
        <f t="shared" si="232"/>
        <v>7889.5261286400018</v>
      </c>
      <c r="Q641" s="22">
        <f t="shared" si="232"/>
        <v>8205.1071737856018</v>
      </c>
      <c r="R641" s="22">
        <f t="shared" si="232"/>
        <v>8533.3114607370262</v>
      </c>
      <c r="S641" s="22">
        <f t="shared" si="232"/>
        <v>8874.6439191665086</v>
      </c>
      <c r="T641" s="22">
        <f t="shared" si="232"/>
        <v>9229.629675933169</v>
      </c>
      <c r="U641" s="22">
        <f t="shared" si="232"/>
        <v>9598.8148629704956</v>
      </c>
      <c r="V641" s="22">
        <f t="shared" si="232"/>
        <v>9982.7674574893153</v>
      </c>
      <c r="W641" s="22">
        <f t="shared" si="232"/>
        <v>10382.078155788889</v>
      </c>
      <c r="X641" s="22">
        <f t="shared" si="232"/>
        <v>10797.361282020445</v>
      </c>
      <c r="Y641" s="22">
        <f t="shared" si="232"/>
        <v>11229.255733301263</v>
      </c>
      <c r="Z641" s="22">
        <f t="shared" si="232"/>
        <v>11678.425962633313</v>
      </c>
      <c r="AA641" s="22">
        <f t="shared" si="232"/>
        <v>12145.563001138646</v>
      </c>
      <c r="AB641" s="22">
        <f t="shared" si="232"/>
        <v>12631.385521184193</v>
      </c>
      <c r="AC641" s="22">
        <f t="shared" si="232"/>
        <v>13136.640942031561</v>
      </c>
      <c r="AD641" s="22">
        <f t="shared" si="232"/>
        <v>0</v>
      </c>
      <c r="AE641" s="22">
        <f t="shared" si="232"/>
        <v>0</v>
      </c>
      <c r="AF641" s="22">
        <f t="shared" si="232"/>
        <v>0</v>
      </c>
      <c r="AG641" s="22">
        <f t="shared" si="232"/>
        <v>0</v>
      </c>
      <c r="AH641" s="22">
        <f t="shared" si="232"/>
        <v>0</v>
      </c>
      <c r="AI641" s="22">
        <f t="shared" si="232"/>
        <v>0</v>
      </c>
      <c r="AJ641" s="22">
        <f t="shared" si="232"/>
        <v>0</v>
      </c>
      <c r="AK641" s="22">
        <f t="shared" si="232"/>
        <v>0</v>
      </c>
      <c r="AL641" s="22">
        <f t="shared" si="232"/>
        <v>0</v>
      </c>
      <c r="AM641" s="22">
        <f t="shared" si="232"/>
        <v>0</v>
      </c>
      <c r="AN641" s="22">
        <f t="shared" si="232"/>
        <v>0</v>
      </c>
    </row>
    <row r="642" spans="2:40" outlineLevel="1" x14ac:dyDescent="0.3">
      <c r="B642" s="2"/>
      <c r="D642" s="1" t="str">
        <f>Input!C144</f>
        <v>Керамзит 0-4 мм</v>
      </c>
      <c r="H642" s="26" t="s">
        <v>225</v>
      </c>
      <c r="I642" s="159">
        <f>Input!H144</f>
        <v>0</v>
      </c>
      <c r="L642" s="22">
        <f t="shared" si="233"/>
        <v>0</v>
      </c>
      <c r="M642" s="22">
        <f t="shared" si="232"/>
        <v>0</v>
      </c>
      <c r="N642" s="22">
        <f t="shared" si="232"/>
        <v>0</v>
      </c>
      <c r="O642" s="22">
        <f t="shared" si="232"/>
        <v>0</v>
      </c>
      <c r="P642" s="22">
        <f t="shared" si="232"/>
        <v>0</v>
      </c>
      <c r="Q642" s="22">
        <f t="shared" si="232"/>
        <v>0</v>
      </c>
      <c r="R642" s="22">
        <f t="shared" si="232"/>
        <v>0</v>
      </c>
      <c r="S642" s="22">
        <f t="shared" si="232"/>
        <v>0</v>
      </c>
      <c r="T642" s="22">
        <f t="shared" si="232"/>
        <v>0</v>
      </c>
      <c r="U642" s="22">
        <f t="shared" si="232"/>
        <v>0</v>
      </c>
      <c r="V642" s="22">
        <f t="shared" si="232"/>
        <v>0</v>
      </c>
      <c r="W642" s="22">
        <f t="shared" si="232"/>
        <v>0</v>
      </c>
      <c r="X642" s="22">
        <f t="shared" si="232"/>
        <v>0</v>
      </c>
      <c r="Y642" s="22">
        <f t="shared" si="232"/>
        <v>0</v>
      </c>
      <c r="Z642" s="22">
        <f t="shared" si="232"/>
        <v>0</v>
      </c>
      <c r="AA642" s="22">
        <f t="shared" si="232"/>
        <v>0</v>
      </c>
      <c r="AB642" s="22">
        <f t="shared" si="232"/>
        <v>0</v>
      </c>
      <c r="AC642" s="22">
        <f t="shared" si="232"/>
        <v>0</v>
      </c>
      <c r="AD642" s="22">
        <f t="shared" si="232"/>
        <v>0</v>
      </c>
      <c r="AE642" s="22">
        <f t="shared" si="232"/>
        <v>0</v>
      </c>
      <c r="AF642" s="22">
        <f t="shared" si="232"/>
        <v>0</v>
      </c>
      <c r="AG642" s="22">
        <f t="shared" si="232"/>
        <v>0</v>
      </c>
      <c r="AH642" s="22">
        <f t="shared" si="232"/>
        <v>0</v>
      </c>
      <c r="AI642" s="22">
        <f t="shared" si="232"/>
        <v>0</v>
      </c>
      <c r="AJ642" s="22">
        <f t="shared" si="232"/>
        <v>0</v>
      </c>
      <c r="AK642" s="22">
        <f t="shared" si="232"/>
        <v>0</v>
      </c>
      <c r="AL642" s="22">
        <f t="shared" si="232"/>
        <v>0</v>
      </c>
      <c r="AM642" s="22">
        <f t="shared" si="232"/>
        <v>0</v>
      </c>
      <c r="AN642" s="22">
        <f t="shared" si="232"/>
        <v>0</v>
      </c>
    </row>
    <row r="643" spans="2:40" outlineLevel="1" x14ac:dyDescent="0.3">
      <c r="B643" s="2"/>
      <c r="C643" s="2"/>
      <c r="H643" s="30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</row>
    <row r="644" spans="2:40" outlineLevel="1" x14ac:dyDescent="0.3">
      <c r="B644" s="2"/>
      <c r="C644" s="2" t="s">
        <v>285</v>
      </c>
      <c r="H644" s="26"/>
      <c r="I644" s="160"/>
      <c r="L644" s="34">
        <f>SUM(L637:L642)+SUM(L645:L648)</f>
        <v>8633</v>
      </c>
      <c r="M644" s="34">
        <f t="shared" ref="M644:AN644" si="234">SUM(M637:M642)+SUM(M645:M648)</f>
        <v>8978.3200000000015</v>
      </c>
      <c r="N644" s="34">
        <f t="shared" si="234"/>
        <v>9337.4528000000028</v>
      </c>
      <c r="O644" s="34">
        <f t="shared" si="234"/>
        <v>9710.9509120000021</v>
      </c>
      <c r="P644" s="34">
        <f t="shared" si="234"/>
        <v>10099.388948480002</v>
      </c>
      <c r="Q644" s="34">
        <f t="shared" si="234"/>
        <v>10503.364506419204</v>
      </c>
      <c r="R644" s="34">
        <f t="shared" si="234"/>
        <v>10923.499086675971</v>
      </c>
      <c r="S644" s="34">
        <f t="shared" si="234"/>
        <v>11360.439050143012</v>
      </c>
      <c r="T644" s="34">
        <f t="shared" si="234"/>
        <v>11814.856612148733</v>
      </c>
      <c r="U644" s="34">
        <f t="shared" si="234"/>
        <v>12287.450876634681</v>
      </c>
      <c r="V644" s="34">
        <f t="shared" si="234"/>
        <v>12778.94891170007</v>
      </c>
      <c r="W644" s="34">
        <f t="shared" si="234"/>
        <v>13290.106868168074</v>
      </c>
      <c r="X644" s="34">
        <f t="shared" si="234"/>
        <v>13821.711142894797</v>
      </c>
      <c r="Y644" s="34">
        <f t="shared" si="234"/>
        <v>14374.579588610588</v>
      </c>
      <c r="Z644" s="34">
        <f t="shared" si="234"/>
        <v>14949.562772155012</v>
      </c>
      <c r="AA644" s="34">
        <f t="shared" si="234"/>
        <v>15547.545283041212</v>
      </c>
      <c r="AB644" s="34">
        <f t="shared" si="234"/>
        <v>16169.447094362862</v>
      </c>
      <c r="AC644" s="34">
        <f t="shared" si="234"/>
        <v>16816.224978137379</v>
      </c>
      <c r="AD644" s="34">
        <f t="shared" si="234"/>
        <v>0</v>
      </c>
      <c r="AE644" s="34">
        <f t="shared" si="234"/>
        <v>0</v>
      </c>
      <c r="AF644" s="34">
        <f t="shared" si="234"/>
        <v>0</v>
      </c>
      <c r="AG644" s="34">
        <f t="shared" si="234"/>
        <v>0</v>
      </c>
      <c r="AH644" s="34">
        <f t="shared" si="234"/>
        <v>0</v>
      </c>
      <c r="AI644" s="34">
        <f t="shared" si="234"/>
        <v>0</v>
      </c>
      <c r="AJ644" s="34">
        <f t="shared" si="234"/>
        <v>0</v>
      </c>
      <c r="AK644" s="34">
        <f t="shared" si="234"/>
        <v>0</v>
      </c>
      <c r="AL644" s="34">
        <f t="shared" si="234"/>
        <v>0</v>
      </c>
      <c r="AM644" s="34">
        <f t="shared" si="234"/>
        <v>0</v>
      </c>
      <c r="AN644" s="34">
        <f t="shared" si="234"/>
        <v>0</v>
      </c>
    </row>
    <row r="645" spans="2:40" outlineLevel="1" x14ac:dyDescent="0.3">
      <c r="B645" s="2"/>
      <c r="D645" s="1" t="s">
        <v>195</v>
      </c>
      <c r="H645" s="26" t="s">
        <v>225</v>
      </c>
      <c r="I645" s="159">
        <f>Input!H146</f>
        <v>0.25000000000000011</v>
      </c>
      <c r="L645" s="22">
        <f>INDEX(L$555:L$568,MATCH($D645,$D$555:$D$568,0))*$I645</f>
        <v>1400.0000000000007</v>
      </c>
      <c r="M645" s="22">
        <f t="shared" ref="M645:AN648" si="235">INDEX(M$555:M$568,MATCH($D645,$D$555:$D$568,0))*$I645</f>
        <v>1456.0000000000007</v>
      </c>
      <c r="N645" s="22">
        <f t="shared" si="235"/>
        <v>1514.2400000000009</v>
      </c>
      <c r="O645" s="22">
        <f t="shared" si="235"/>
        <v>1574.8096000000007</v>
      </c>
      <c r="P645" s="22">
        <f t="shared" si="235"/>
        <v>1637.8019840000011</v>
      </c>
      <c r="Q645" s="22">
        <f t="shared" si="235"/>
        <v>1703.3140633600012</v>
      </c>
      <c r="R645" s="22">
        <f t="shared" si="235"/>
        <v>1771.4466258944012</v>
      </c>
      <c r="S645" s="22">
        <f t="shared" si="235"/>
        <v>1842.3044909301775</v>
      </c>
      <c r="T645" s="22">
        <f t="shared" si="235"/>
        <v>1915.9966705673846</v>
      </c>
      <c r="U645" s="22">
        <f t="shared" si="235"/>
        <v>1992.6365373900801</v>
      </c>
      <c r="V645" s="22">
        <f t="shared" si="235"/>
        <v>2072.3419988856836</v>
      </c>
      <c r="W645" s="22">
        <f t="shared" si="235"/>
        <v>2155.2356788411107</v>
      </c>
      <c r="X645" s="22">
        <f t="shared" si="235"/>
        <v>2241.4451059947555</v>
      </c>
      <c r="Y645" s="22">
        <f t="shared" si="235"/>
        <v>2331.1029102345456</v>
      </c>
      <c r="Z645" s="22">
        <f t="shared" si="235"/>
        <v>2424.3470266439272</v>
      </c>
      <c r="AA645" s="22">
        <f t="shared" si="235"/>
        <v>2521.3209077096844</v>
      </c>
      <c r="AB645" s="22">
        <f t="shared" si="235"/>
        <v>2622.1737440180723</v>
      </c>
      <c r="AC645" s="22">
        <f t="shared" si="235"/>
        <v>2727.0606937787952</v>
      </c>
      <c r="AD645" s="22">
        <f t="shared" si="235"/>
        <v>0</v>
      </c>
      <c r="AE645" s="22">
        <f t="shared" si="235"/>
        <v>0</v>
      </c>
      <c r="AF645" s="22">
        <f t="shared" si="235"/>
        <v>0</v>
      </c>
      <c r="AG645" s="22">
        <f t="shared" si="235"/>
        <v>0</v>
      </c>
      <c r="AH645" s="22">
        <f t="shared" si="235"/>
        <v>0</v>
      </c>
      <c r="AI645" s="22">
        <f t="shared" si="235"/>
        <v>0</v>
      </c>
      <c r="AJ645" s="22">
        <f t="shared" si="235"/>
        <v>0</v>
      </c>
      <c r="AK645" s="22">
        <f t="shared" si="235"/>
        <v>0</v>
      </c>
      <c r="AL645" s="22">
        <f t="shared" si="235"/>
        <v>0</v>
      </c>
      <c r="AM645" s="22">
        <f t="shared" si="235"/>
        <v>0</v>
      </c>
      <c r="AN645" s="22">
        <f t="shared" si="235"/>
        <v>0</v>
      </c>
    </row>
    <row r="646" spans="2:40" outlineLevel="1" x14ac:dyDescent="0.3">
      <c r="B646" s="2"/>
      <c r="D646" s="1" t="str">
        <f>Input!C147</f>
        <v>Эфир целлюлозы Mecellose PMC 50 US или FMC 2094</v>
      </c>
      <c r="H646" s="26" t="s">
        <v>225</v>
      </c>
      <c r="I646" s="159">
        <f>Input!H147</f>
        <v>5.0000000000000001E-4</v>
      </c>
      <c r="L646" s="22">
        <f>INDEX(L$555:L$568,MATCH($D646,$D$555:$D$568,0))*$I646</f>
        <v>150.5</v>
      </c>
      <c r="M646" s="22">
        <f t="shared" si="235"/>
        <v>156.52000000000001</v>
      </c>
      <c r="N646" s="22">
        <f t="shared" si="235"/>
        <v>162.78080000000003</v>
      </c>
      <c r="O646" s="22">
        <f t="shared" si="235"/>
        <v>169.29203200000001</v>
      </c>
      <c r="P646" s="22">
        <f t="shared" si="235"/>
        <v>176.06371328000003</v>
      </c>
      <c r="Q646" s="22">
        <f t="shared" si="235"/>
        <v>183.10626181120006</v>
      </c>
      <c r="R646" s="22">
        <f t="shared" si="235"/>
        <v>190.43051228364806</v>
      </c>
      <c r="S646" s="22">
        <f t="shared" si="235"/>
        <v>198.04773277499399</v>
      </c>
      <c r="T646" s="22">
        <f t="shared" si="235"/>
        <v>205.96964208599374</v>
      </c>
      <c r="U646" s="22">
        <f t="shared" si="235"/>
        <v>214.20842776943354</v>
      </c>
      <c r="V646" s="22">
        <f t="shared" si="235"/>
        <v>222.77676488021086</v>
      </c>
      <c r="W646" s="22">
        <f t="shared" si="235"/>
        <v>231.68783547541929</v>
      </c>
      <c r="X646" s="22">
        <f t="shared" si="235"/>
        <v>240.95534889443613</v>
      </c>
      <c r="Y646" s="22">
        <f t="shared" si="235"/>
        <v>250.59356285021354</v>
      </c>
      <c r="Z646" s="22">
        <f t="shared" si="235"/>
        <v>260.61730536422209</v>
      </c>
      <c r="AA646" s="22">
        <f t="shared" si="235"/>
        <v>271.04199757879098</v>
      </c>
      <c r="AB646" s="22">
        <f t="shared" si="235"/>
        <v>281.88367748194264</v>
      </c>
      <c r="AC646" s="22">
        <f t="shared" si="235"/>
        <v>293.15902458122036</v>
      </c>
      <c r="AD646" s="22">
        <f t="shared" si="235"/>
        <v>0</v>
      </c>
      <c r="AE646" s="22">
        <f t="shared" si="235"/>
        <v>0</v>
      </c>
      <c r="AF646" s="22">
        <f t="shared" si="235"/>
        <v>0</v>
      </c>
      <c r="AG646" s="22">
        <f t="shared" si="235"/>
        <v>0</v>
      </c>
      <c r="AH646" s="22">
        <f t="shared" si="235"/>
        <v>0</v>
      </c>
      <c r="AI646" s="22">
        <f t="shared" si="235"/>
        <v>0</v>
      </c>
      <c r="AJ646" s="22">
        <f t="shared" si="235"/>
        <v>0</v>
      </c>
      <c r="AK646" s="22">
        <f t="shared" si="235"/>
        <v>0</v>
      </c>
      <c r="AL646" s="22">
        <f t="shared" si="235"/>
        <v>0</v>
      </c>
      <c r="AM646" s="22">
        <f t="shared" si="235"/>
        <v>0</v>
      </c>
      <c r="AN646" s="22">
        <f t="shared" si="235"/>
        <v>0</v>
      </c>
    </row>
    <row r="647" spans="2:40" outlineLevel="1" x14ac:dyDescent="0.3">
      <c r="B647" s="2"/>
      <c r="D647" s="1" t="str">
        <f>Input!C148</f>
        <v>Редиспергируемый сополимерный порошок Neolith P 7200</v>
      </c>
      <c r="H647" s="26" t="s">
        <v>225</v>
      </c>
      <c r="I647" s="159">
        <f>Input!H148</f>
        <v>0</v>
      </c>
      <c r="L647" s="22">
        <f t="shared" ref="L647:AA648" si="236">INDEX(L$555:L$568,MATCH($D647,$D$555:$D$568,0))*$I647</f>
        <v>0</v>
      </c>
      <c r="M647" s="22">
        <f t="shared" si="236"/>
        <v>0</v>
      </c>
      <c r="N647" s="22">
        <f t="shared" si="236"/>
        <v>0</v>
      </c>
      <c r="O647" s="22">
        <f t="shared" si="236"/>
        <v>0</v>
      </c>
      <c r="P647" s="22">
        <f t="shared" si="236"/>
        <v>0</v>
      </c>
      <c r="Q647" s="22">
        <f t="shared" si="236"/>
        <v>0</v>
      </c>
      <c r="R647" s="22">
        <f t="shared" si="236"/>
        <v>0</v>
      </c>
      <c r="S647" s="22">
        <f t="shared" si="236"/>
        <v>0</v>
      </c>
      <c r="T647" s="22">
        <f t="shared" si="236"/>
        <v>0</v>
      </c>
      <c r="U647" s="22">
        <f t="shared" si="236"/>
        <v>0</v>
      </c>
      <c r="V647" s="22">
        <f t="shared" si="236"/>
        <v>0</v>
      </c>
      <c r="W647" s="22">
        <f t="shared" si="236"/>
        <v>0</v>
      </c>
      <c r="X647" s="22">
        <f t="shared" si="236"/>
        <v>0</v>
      </c>
      <c r="Y647" s="22">
        <f t="shared" si="236"/>
        <v>0</v>
      </c>
      <c r="Z647" s="22">
        <f t="shared" si="236"/>
        <v>0</v>
      </c>
      <c r="AA647" s="22">
        <f t="shared" si="236"/>
        <v>0</v>
      </c>
      <c r="AB647" s="22">
        <f t="shared" si="235"/>
        <v>0</v>
      </c>
      <c r="AC647" s="22">
        <f t="shared" si="235"/>
        <v>0</v>
      </c>
      <c r="AD647" s="22">
        <f t="shared" si="235"/>
        <v>0</v>
      </c>
      <c r="AE647" s="22">
        <f t="shared" si="235"/>
        <v>0</v>
      </c>
      <c r="AF647" s="22">
        <f t="shared" si="235"/>
        <v>0</v>
      </c>
      <c r="AG647" s="22">
        <f t="shared" si="235"/>
        <v>0</v>
      </c>
      <c r="AH647" s="22">
        <f t="shared" si="235"/>
        <v>0</v>
      </c>
      <c r="AI647" s="22">
        <f t="shared" si="235"/>
        <v>0</v>
      </c>
      <c r="AJ647" s="22">
        <f t="shared" si="235"/>
        <v>0</v>
      </c>
      <c r="AK647" s="22">
        <f t="shared" si="235"/>
        <v>0</v>
      </c>
      <c r="AL647" s="22">
        <f t="shared" si="235"/>
        <v>0</v>
      </c>
      <c r="AM647" s="22">
        <f t="shared" si="235"/>
        <v>0</v>
      </c>
      <c r="AN647" s="22">
        <f t="shared" si="235"/>
        <v>0</v>
      </c>
    </row>
    <row r="648" spans="2:40" outlineLevel="1" x14ac:dyDescent="0.3">
      <c r="B648" s="2"/>
      <c r="D648" s="1" t="str">
        <f>Input!C149</f>
        <v>Порообразователь Esapon 1214</v>
      </c>
      <c r="H648" s="26" t="s">
        <v>225</v>
      </c>
      <c r="I648" s="159">
        <f>Input!H149</f>
        <v>1E-4</v>
      </c>
      <c r="L648" s="22">
        <f t="shared" si="236"/>
        <v>38.5</v>
      </c>
      <c r="M648" s="22">
        <f t="shared" si="235"/>
        <v>40.04</v>
      </c>
      <c r="N648" s="22">
        <f t="shared" si="235"/>
        <v>41.641600000000011</v>
      </c>
      <c r="O648" s="22">
        <f t="shared" si="235"/>
        <v>43.307264000000004</v>
      </c>
      <c r="P648" s="22">
        <f t="shared" si="235"/>
        <v>45.039554560000006</v>
      </c>
      <c r="Q648" s="22">
        <f t="shared" si="235"/>
        <v>46.84113674240001</v>
      </c>
      <c r="R648" s="22">
        <f t="shared" si="235"/>
        <v>48.714782212096019</v>
      </c>
      <c r="S648" s="22">
        <f t="shared" si="235"/>
        <v>50.663373500579858</v>
      </c>
      <c r="T648" s="22">
        <f t="shared" si="235"/>
        <v>52.689908440603048</v>
      </c>
      <c r="U648" s="22">
        <f t="shared" si="235"/>
        <v>54.797504778227179</v>
      </c>
      <c r="V648" s="22">
        <f t="shared" si="235"/>
        <v>56.989404969356272</v>
      </c>
      <c r="W648" s="22">
        <f t="shared" si="235"/>
        <v>59.268981168130523</v>
      </c>
      <c r="X648" s="22">
        <f t="shared" si="235"/>
        <v>61.639740414855751</v>
      </c>
      <c r="Y648" s="22">
        <f t="shared" si="235"/>
        <v>64.105330031449981</v>
      </c>
      <c r="Z648" s="22">
        <f t="shared" si="235"/>
        <v>66.66954323270798</v>
      </c>
      <c r="AA648" s="22">
        <f t="shared" si="235"/>
        <v>69.336324962016306</v>
      </c>
      <c r="AB648" s="22">
        <f t="shared" si="235"/>
        <v>72.109777960496956</v>
      </c>
      <c r="AC648" s="22">
        <f t="shared" si="235"/>
        <v>74.99416907891684</v>
      </c>
      <c r="AD648" s="22">
        <f t="shared" si="235"/>
        <v>0</v>
      </c>
      <c r="AE648" s="22">
        <f t="shared" si="235"/>
        <v>0</v>
      </c>
      <c r="AF648" s="22">
        <f t="shared" si="235"/>
        <v>0</v>
      </c>
      <c r="AG648" s="22">
        <f t="shared" si="235"/>
        <v>0</v>
      </c>
      <c r="AH648" s="22">
        <f t="shared" si="235"/>
        <v>0</v>
      </c>
      <c r="AI648" s="22">
        <f t="shared" si="235"/>
        <v>0</v>
      </c>
      <c r="AJ648" s="22">
        <f t="shared" si="235"/>
        <v>0</v>
      </c>
      <c r="AK648" s="22">
        <f t="shared" si="235"/>
        <v>0</v>
      </c>
      <c r="AL648" s="22">
        <f t="shared" si="235"/>
        <v>0</v>
      </c>
      <c r="AM648" s="22">
        <f t="shared" si="235"/>
        <v>0</v>
      </c>
      <c r="AN648" s="22">
        <f t="shared" si="235"/>
        <v>0</v>
      </c>
    </row>
    <row r="649" spans="2:40" outlineLevel="1" x14ac:dyDescent="0.3">
      <c r="B649" s="2"/>
      <c r="C649" s="2"/>
      <c r="H649" s="30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</row>
    <row r="650" spans="2:40" outlineLevel="1" x14ac:dyDescent="0.3">
      <c r="B650" s="2"/>
      <c r="C650" s="2" t="s">
        <v>286</v>
      </c>
      <c r="H650" s="26"/>
      <c r="I650" s="160"/>
      <c r="L650" s="34">
        <f>SUM(L637:L642)+SUM(L651:L655)</f>
        <v>9214.5550000000003</v>
      </c>
      <c r="M650" s="34">
        <f t="shared" ref="M650:U650" si="237">SUM(M637:M642)+SUM(M651:M655)</f>
        <v>9583.137200000001</v>
      </c>
      <c r="N650" s="34">
        <f t="shared" si="237"/>
        <v>9966.4626880000033</v>
      </c>
      <c r="O650" s="34">
        <f t="shared" si="237"/>
        <v>10365.121195520001</v>
      </c>
      <c r="P650" s="34">
        <f t="shared" si="237"/>
        <v>10779.726043340803</v>
      </c>
      <c r="Q650" s="34">
        <f t="shared" si="237"/>
        <v>11210.915085074435</v>
      </c>
      <c r="R650" s="34">
        <f t="shared" si="237"/>
        <v>11659.351688477413</v>
      </c>
      <c r="S650" s="34">
        <f t="shared" si="237"/>
        <v>12125.725756016511</v>
      </c>
      <c r="T650" s="34">
        <f t="shared" si="237"/>
        <v>12610.754786257172</v>
      </c>
      <c r="U650" s="34">
        <f t="shared" si="237"/>
        <v>13115.184977707457</v>
      </c>
      <c r="V650" s="34">
        <f t="shared" ref="V650" si="238">SUM(V637:V642)+SUM(V651:V655)</f>
        <v>13639.792376815758</v>
      </c>
      <c r="W650" s="34">
        <f t="shared" ref="W650" si="239">SUM(W637:W642)+SUM(W651:W655)</f>
        <v>14185.384071888389</v>
      </c>
      <c r="X650" s="34">
        <f t="shared" ref="X650" si="240">SUM(X637:X642)+SUM(X651:X655)</f>
        <v>14752.799434763925</v>
      </c>
      <c r="Y650" s="34">
        <f t="shared" ref="Y650" si="241">SUM(Y637:Y642)+SUM(Y651:Y655)</f>
        <v>15342.911412154481</v>
      </c>
      <c r="Z650" s="34">
        <f t="shared" ref="Z650" si="242">SUM(Z637:Z642)+SUM(Z651:Z655)</f>
        <v>15956.62786864066</v>
      </c>
      <c r="AA650" s="34">
        <f t="shared" ref="AA650" si="243">SUM(AA637:AA642)+SUM(AA651:AA655)</f>
        <v>16594.892983386286</v>
      </c>
      <c r="AB650" s="34">
        <f t="shared" ref="AB650" si="244">SUM(AB637:AB642)+SUM(AB651:AB655)</f>
        <v>17258.688702721738</v>
      </c>
      <c r="AC650" s="34">
        <f t="shared" ref="AC650:AD650" si="245">SUM(AC637:AC642)+SUM(AC651:AC655)</f>
        <v>17949.036250830613</v>
      </c>
      <c r="AD650" s="34">
        <f t="shared" si="245"/>
        <v>0</v>
      </c>
      <c r="AE650" s="34">
        <f t="shared" ref="AE650" si="246">SUM(AE637:AE642)+SUM(AE651:AE655)</f>
        <v>0</v>
      </c>
      <c r="AF650" s="34">
        <f t="shared" ref="AF650" si="247">SUM(AF637:AF642)+SUM(AF651:AF655)</f>
        <v>0</v>
      </c>
      <c r="AG650" s="34">
        <f t="shared" ref="AG650" si="248">SUM(AG637:AG642)+SUM(AG651:AG655)</f>
        <v>0</v>
      </c>
      <c r="AH650" s="34">
        <f t="shared" ref="AH650" si="249">SUM(AH637:AH642)+SUM(AH651:AH655)</f>
        <v>0</v>
      </c>
      <c r="AI650" s="34">
        <f t="shared" ref="AI650" si="250">SUM(AI637:AI642)+SUM(AI651:AI655)</f>
        <v>0</v>
      </c>
      <c r="AJ650" s="34">
        <f t="shared" ref="AJ650" si="251">SUM(AJ637:AJ642)+SUM(AJ651:AJ655)</f>
        <v>0</v>
      </c>
      <c r="AK650" s="34">
        <f t="shared" ref="AK650" si="252">SUM(AK637:AK642)+SUM(AK651:AK655)</f>
        <v>0</v>
      </c>
      <c r="AL650" s="34">
        <f t="shared" ref="AL650:AM650" si="253">SUM(AL637:AL642)+SUM(AL651:AL655)</f>
        <v>0</v>
      </c>
      <c r="AM650" s="34">
        <f t="shared" si="253"/>
        <v>0</v>
      </c>
      <c r="AN650" s="34">
        <f t="shared" ref="AN650" si="254">SUM(AN637:AN642)+SUM(AN651:AN655)</f>
        <v>0</v>
      </c>
    </row>
    <row r="651" spans="2:40" outlineLevel="1" x14ac:dyDescent="0.3">
      <c r="B651" s="2"/>
      <c r="D651" s="1" t="s">
        <v>195</v>
      </c>
      <c r="H651" s="26" t="s">
        <v>225</v>
      </c>
      <c r="I651" s="159">
        <f>Input!H151</f>
        <v>0.24355000000000004</v>
      </c>
      <c r="L651" s="22">
        <f>INDEX(L$555:L$568,MATCH($D651,$D$555:$D$568,0))*$I651</f>
        <v>1363.8800000000003</v>
      </c>
      <c r="M651" s="22">
        <f t="shared" ref="M651:AN655" si="255">INDEX(M$555:M$568,MATCH($D651,$D$555:$D$568,0))*$I651</f>
        <v>1418.4352000000003</v>
      </c>
      <c r="N651" s="22">
        <f t="shared" si="255"/>
        <v>1475.1726080000005</v>
      </c>
      <c r="O651" s="22">
        <f t="shared" si="255"/>
        <v>1534.1795123200004</v>
      </c>
      <c r="P651" s="22">
        <f t="shared" si="255"/>
        <v>1595.5466928128008</v>
      </c>
      <c r="Q651" s="22">
        <f t="shared" si="255"/>
        <v>1659.3685605253129</v>
      </c>
      <c r="R651" s="22">
        <f t="shared" si="255"/>
        <v>1725.7433029463252</v>
      </c>
      <c r="S651" s="22">
        <f t="shared" si="255"/>
        <v>1794.7730350641784</v>
      </c>
      <c r="T651" s="22">
        <f t="shared" si="255"/>
        <v>1866.5639564667456</v>
      </c>
      <c r="U651" s="22">
        <f t="shared" si="255"/>
        <v>1941.2265147254154</v>
      </c>
      <c r="V651" s="22">
        <f t="shared" si="255"/>
        <v>2018.8755753144324</v>
      </c>
      <c r="W651" s="22">
        <f t="shared" si="255"/>
        <v>2099.6305983270095</v>
      </c>
      <c r="X651" s="22">
        <f t="shared" si="255"/>
        <v>2183.6158222600902</v>
      </c>
      <c r="Y651" s="22">
        <f t="shared" si="255"/>
        <v>2270.960455150494</v>
      </c>
      <c r="Z651" s="22">
        <f t="shared" si="255"/>
        <v>2361.7988733565135</v>
      </c>
      <c r="AA651" s="22">
        <f t="shared" si="255"/>
        <v>2456.2708282907743</v>
      </c>
      <c r="AB651" s="22">
        <f t="shared" si="255"/>
        <v>2554.521661422405</v>
      </c>
      <c r="AC651" s="22">
        <f t="shared" si="255"/>
        <v>2656.7025278793017</v>
      </c>
      <c r="AD651" s="22">
        <f t="shared" si="255"/>
        <v>0</v>
      </c>
      <c r="AE651" s="22">
        <f t="shared" si="255"/>
        <v>0</v>
      </c>
      <c r="AF651" s="22">
        <f t="shared" si="255"/>
        <v>0</v>
      </c>
      <c r="AG651" s="22">
        <f t="shared" si="255"/>
        <v>0</v>
      </c>
      <c r="AH651" s="22">
        <f t="shared" si="255"/>
        <v>0</v>
      </c>
      <c r="AI651" s="22">
        <f t="shared" si="255"/>
        <v>0</v>
      </c>
      <c r="AJ651" s="22">
        <f t="shared" si="255"/>
        <v>0</v>
      </c>
      <c r="AK651" s="22">
        <f t="shared" si="255"/>
        <v>0</v>
      </c>
      <c r="AL651" s="22">
        <f t="shared" si="255"/>
        <v>0</v>
      </c>
      <c r="AM651" s="22">
        <f t="shared" si="255"/>
        <v>0</v>
      </c>
      <c r="AN651" s="22">
        <f t="shared" si="255"/>
        <v>0</v>
      </c>
    </row>
    <row r="652" spans="2:40" outlineLevel="1" x14ac:dyDescent="0.3">
      <c r="B652" s="2"/>
      <c r="D652" s="1" t="str">
        <f>Input!C152</f>
        <v>Эфир крахмала Esamid NA</v>
      </c>
      <c r="H652" s="26" t="s">
        <v>225</v>
      </c>
      <c r="I652" s="159">
        <f>Input!H152</f>
        <v>5.0000000000000002E-5</v>
      </c>
      <c r="L652" s="22">
        <f>INDEX(L$555:L$568,MATCH($D652,$D$555:$D$568,0))*$I652</f>
        <v>19.775000000000002</v>
      </c>
      <c r="M652" s="22">
        <f t="shared" si="255"/>
        <v>20.566000000000003</v>
      </c>
      <c r="N652" s="22">
        <f t="shared" si="255"/>
        <v>21.388640000000002</v>
      </c>
      <c r="O652" s="22">
        <f t="shared" si="255"/>
        <v>22.244185600000005</v>
      </c>
      <c r="P652" s="22">
        <f t="shared" si="255"/>
        <v>23.133953024000007</v>
      </c>
      <c r="Q652" s="22">
        <f t="shared" si="255"/>
        <v>24.059311144960009</v>
      </c>
      <c r="R652" s="22">
        <f t="shared" si="255"/>
        <v>25.021683590758411</v>
      </c>
      <c r="S652" s="22">
        <f t="shared" si="255"/>
        <v>26.022550934388747</v>
      </c>
      <c r="T652" s="22">
        <f t="shared" si="255"/>
        <v>27.063452971764296</v>
      </c>
      <c r="U652" s="22">
        <f t="shared" si="255"/>
        <v>28.145991090634869</v>
      </c>
      <c r="V652" s="22">
        <f t="shared" si="255"/>
        <v>29.271830734260266</v>
      </c>
      <c r="W652" s="22">
        <f t="shared" si="255"/>
        <v>30.442703963630677</v>
      </c>
      <c r="X652" s="22">
        <f t="shared" si="255"/>
        <v>31.660412122175909</v>
      </c>
      <c r="Y652" s="22">
        <f t="shared" si="255"/>
        <v>32.926828607062944</v>
      </c>
      <c r="Z652" s="22">
        <f t="shared" si="255"/>
        <v>34.243901751345462</v>
      </c>
      <c r="AA652" s="22">
        <f t="shared" si="255"/>
        <v>35.613657821399279</v>
      </c>
      <c r="AB652" s="22">
        <f t="shared" si="255"/>
        <v>37.038204134255253</v>
      </c>
      <c r="AC652" s="22">
        <f t="shared" si="255"/>
        <v>38.51973229962546</v>
      </c>
      <c r="AD652" s="22">
        <f t="shared" si="255"/>
        <v>0</v>
      </c>
      <c r="AE652" s="22">
        <f t="shared" si="255"/>
        <v>0</v>
      </c>
      <c r="AF652" s="22">
        <f t="shared" si="255"/>
        <v>0</v>
      </c>
      <c r="AG652" s="22">
        <f t="shared" si="255"/>
        <v>0</v>
      </c>
      <c r="AH652" s="22">
        <f t="shared" si="255"/>
        <v>0</v>
      </c>
      <c r="AI652" s="22">
        <f t="shared" si="255"/>
        <v>0</v>
      </c>
      <c r="AJ652" s="22">
        <f t="shared" si="255"/>
        <v>0</v>
      </c>
      <c r="AK652" s="22">
        <f t="shared" si="255"/>
        <v>0</v>
      </c>
      <c r="AL652" s="22">
        <f t="shared" si="255"/>
        <v>0</v>
      </c>
      <c r="AM652" s="22">
        <f t="shared" si="255"/>
        <v>0</v>
      </c>
      <c r="AN652" s="22">
        <f t="shared" si="255"/>
        <v>0</v>
      </c>
    </row>
    <row r="653" spans="2:40" outlineLevel="1" x14ac:dyDescent="0.3">
      <c r="B653" s="2"/>
      <c r="D653" s="1" t="str">
        <f>Input!C153</f>
        <v>Гидрофобизатор (олеат Na, стеараты)</v>
      </c>
      <c r="H653" s="26" t="s">
        <v>225</v>
      </c>
      <c r="I653" s="159">
        <f>Input!H153</f>
        <v>1E-3</v>
      </c>
      <c r="L653" s="22">
        <f>INDEX(L$555:L$568,MATCH($D653,$D$555:$D$568,0))*$I653</f>
        <v>283.5</v>
      </c>
      <c r="M653" s="22">
        <f t="shared" si="255"/>
        <v>294.84000000000003</v>
      </c>
      <c r="N653" s="22">
        <f t="shared" si="255"/>
        <v>306.63360000000006</v>
      </c>
      <c r="O653" s="22">
        <f t="shared" si="255"/>
        <v>318.89894400000003</v>
      </c>
      <c r="P653" s="22">
        <f t="shared" si="255"/>
        <v>331.65490176000003</v>
      </c>
      <c r="Q653" s="22">
        <f t="shared" si="255"/>
        <v>344.92109783040013</v>
      </c>
      <c r="R653" s="22">
        <f t="shared" si="255"/>
        <v>358.71794174361617</v>
      </c>
      <c r="S653" s="22">
        <f t="shared" si="255"/>
        <v>373.06665941336075</v>
      </c>
      <c r="T653" s="22">
        <f t="shared" si="255"/>
        <v>387.98932578989519</v>
      </c>
      <c r="U653" s="22">
        <f t="shared" si="255"/>
        <v>403.50889882149107</v>
      </c>
      <c r="V653" s="22">
        <f t="shared" si="255"/>
        <v>419.64925477435071</v>
      </c>
      <c r="W653" s="22">
        <f t="shared" si="255"/>
        <v>436.43522496532478</v>
      </c>
      <c r="X653" s="22">
        <f t="shared" si="255"/>
        <v>453.89263396393778</v>
      </c>
      <c r="Y653" s="22">
        <f t="shared" si="255"/>
        <v>472.04833932249528</v>
      </c>
      <c r="Z653" s="22">
        <f t="shared" si="255"/>
        <v>490.93027289539515</v>
      </c>
      <c r="AA653" s="22">
        <f t="shared" si="255"/>
        <v>510.56748381121093</v>
      </c>
      <c r="AB653" s="22">
        <f t="shared" si="255"/>
        <v>530.99018316365925</v>
      </c>
      <c r="AC653" s="22">
        <f t="shared" si="255"/>
        <v>552.2297904902058</v>
      </c>
      <c r="AD653" s="22">
        <f t="shared" si="255"/>
        <v>0</v>
      </c>
      <c r="AE653" s="22">
        <f t="shared" si="255"/>
        <v>0</v>
      </c>
      <c r="AF653" s="22">
        <f t="shared" si="255"/>
        <v>0</v>
      </c>
      <c r="AG653" s="22">
        <f t="shared" si="255"/>
        <v>0</v>
      </c>
      <c r="AH653" s="22">
        <f t="shared" si="255"/>
        <v>0</v>
      </c>
      <c r="AI653" s="22">
        <f t="shared" si="255"/>
        <v>0</v>
      </c>
      <c r="AJ653" s="22">
        <f t="shared" si="255"/>
        <v>0</v>
      </c>
      <c r="AK653" s="22">
        <f t="shared" si="255"/>
        <v>0</v>
      </c>
      <c r="AL653" s="22">
        <f t="shared" si="255"/>
        <v>0</v>
      </c>
      <c r="AM653" s="22">
        <f t="shared" si="255"/>
        <v>0</v>
      </c>
      <c r="AN653" s="22">
        <f t="shared" si="255"/>
        <v>0</v>
      </c>
    </row>
    <row r="654" spans="2:40" outlineLevel="1" x14ac:dyDescent="0.3">
      <c r="B654" s="2"/>
      <c r="D654" s="1" t="str">
        <f>Input!C154</f>
        <v>Суперпластификатор Melment F 10</v>
      </c>
      <c r="H654" s="26" t="s">
        <v>225</v>
      </c>
      <c r="I654" s="159">
        <f>Input!H154</f>
        <v>1E-3</v>
      </c>
      <c r="L654" s="22">
        <f t="shared" ref="L654:AA655" si="256">INDEX(L$555:L$568,MATCH($D654,$D$555:$D$568,0))*$I654</f>
        <v>253.4</v>
      </c>
      <c r="M654" s="22">
        <f t="shared" si="256"/>
        <v>263.536</v>
      </c>
      <c r="N654" s="22">
        <f t="shared" si="256"/>
        <v>274.07744000000002</v>
      </c>
      <c r="O654" s="22">
        <f t="shared" si="256"/>
        <v>285.04053760000005</v>
      </c>
      <c r="P654" s="22">
        <f t="shared" si="256"/>
        <v>296.4421591040001</v>
      </c>
      <c r="Q654" s="22">
        <f t="shared" si="256"/>
        <v>308.29984546816013</v>
      </c>
      <c r="R654" s="22">
        <f t="shared" si="256"/>
        <v>320.63183928688653</v>
      </c>
      <c r="S654" s="22">
        <f t="shared" si="256"/>
        <v>333.457112858362</v>
      </c>
      <c r="T654" s="22">
        <f t="shared" si="256"/>
        <v>346.79539737269641</v>
      </c>
      <c r="U654" s="22">
        <f t="shared" si="256"/>
        <v>360.66721326760438</v>
      </c>
      <c r="V654" s="22">
        <f t="shared" si="256"/>
        <v>375.09390179830854</v>
      </c>
      <c r="W654" s="22">
        <f t="shared" si="256"/>
        <v>390.09765787024088</v>
      </c>
      <c r="X654" s="22">
        <f t="shared" si="256"/>
        <v>405.70156418505059</v>
      </c>
      <c r="Y654" s="22">
        <f t="shared" si="256"/>
        <v>421.92962675245258</v>
      </c>
      <c r="Z654" s="22">
        <f>INDEX(Z$555:Z$568,MATCH($D654,$D$555:$D$568,0))*$I654</f>
        <v>438.80681182255069</v>
      </c>
      <c r="AA654" s="22">
        <f t="shared" si="256"/>
        <v>456.3590842954527</v>
      </c>
      <c r="AB654" s="22">
        <f t="shared" si="255"/>
        <v>474.61344766727086</v>
      </c>
      <c r="AC654" s="22">
        <f t="shared" si="255"/>
        <v>493.59798557396169</v>
      </c>
      <c r="AD654" s="22">
        <f t="shared" si="255"/>
        <v>0</v>
      </c>
      <c r="AE654" s="22">
        <f t="shared" si="255"/>
        <v>0</v>
      </c>
      <c r="AF654" s="22">
        <f t="shared" si="255"/>
        <v>0</v>
      </c>
      <c r="AG654" s="22">
        <f t="shared" si="255"/>
        <v>0</v>
      </c>
      <c r="AH654" s="22">
        <f t="shared" si="255"/>
        <v>0</v>
      </c>
      <c r="AI654" s="22">
        <f t="shared" si="255"/>
        <v>0</v>
      </c>
      <c r="AJ654" s="22">
        <f t="shared" si="255"/>
        <v>0</v>
      </c>
      <c r="AK654" s="22">
        <f t="shared" si="255"/>
        <v>0</v>
      </c>
      <c r="AL654" s="22">
        <f t="shared" si="255"/>
        <v>0</v>
      </c>
      <c r="AM654" s="22">
        <f t="shared" si="255"/>
        <v>0</v>
      </c>
      <c r="AN654" s="22">
        <f t="shared" si="255"/>
        <v>0</v>
      </c>
    </row>
    <row r="655" spans="2:40" outlineLevel="1" x14ac:dyDescent="0.3">
      <c r="B655" s="2"/>
      <c r="D655" s="1" t="str">
        <f>Input!C155</f>
        <v>Ускоритель схватывания (формиат Са)</v>
      </c>
      <c r="H655" s="26" t="s">
        <v>225</v>
      </c>
      <c r="I655" s="159">
        <f>Input!H155</f>
        <v>5.0000000000000001E-3</v>
      </c>
      <c r="L655" s="22">
        <f t="shared" si="256"/>
        <v>250</v>
      </c>
      <c r="M655" s="22">
        <f t="shared" si="255"/>
        <v>260</v>
      </c>
      <c r="N655" s="22">
        <f t="shared" si="255"/>
        <v>270.40000000000003</v>
      </c>
      <c r="O655" s="22">
        <f t="shared" si="255"/>
        <v>281.21600000000001</v>
      </c>
      <c r="P655" s="22">
        <f t="shared" si="255"/>
        <v>292.46464000000003</v>
      </c>
      <c r="Q655" s="22">
        <f t="shared" si="255"/>
        <v>304.16322560000009</v>
      </c>
      <c r="R655" s="22">
        <f t="shared" si="255"/>
        <v>316.32975462400009</v>
      </c>
      <c r="S655" s="22">
        <f t="shared" si="255"/>
        <v>328.9829448089601</v>
      </c>
      <c r="T655" s="22">
        <f t="shared" si="255"/>
        <v>342.14226260131852</v>
      </c>
      <c r="U655" s="22">
        <f t="shared" si="255"/>
        <v>355.82795310537125</v>
      </c>
      <c r="V655" s="22">
        <f t="shared" si="255"/>
        <v>370.06107122958616</v>
      </c>
      <c r="W655" s="22">
        <f>INDEX(W$555:W$568,MATCH($D655,$D$555:$D$568,0))*$I655</f>
        <v>384.86351407876958</v>
      </c>
      <c r="X655" s="22">
        <f t="shared" si="255"/>
        <v>400.25805464192047</v>
      </c>
      <c r="Y655" s="22">
        <f t="shared" si="255"/>
        <v>416.26837682759725</v>
      </c>
      <c r="Z655" s="22">
        <f t="shared" si="255"/>
        <v>432.91911190070118</v>
      </c>
      <c r="AA655" s="22">
        <f t="shared" si="255"/>
        <v>450.23587637672921</v>
      </c>
      <c r="AB655" s="22">
        <f t="shared" si="255"/>
        <v>468.24531143179843</v>
      </c>
      <c r="AC655" s="22">
        <f t="shared" si="255"/>
        <v>486.97512388907035</v>
      </c>
      <c r="AD655" s="22">
        <f t="shared" si="255"/>
        <v>0</v>
      </c>
      <c r="AE655" s="22">
        <f t="shared" si="255"/>
        <v>0</v>
      </c>
      <c r="AF655" s="22">
        <f t="shared" si="255"/>
        <v>0</v>
      </c>
      <c r="AG655" s="22">
        <f t="shared" si="255"/>
        <v>0</v>
      </c>
      <c r="AH655" s="22">
        <f t="shared" si="255"/>
        <v>0</v>
      </c>
      <c r="AI655" s="22">
        <f t="shared" si="255"/>
        <v>0</v>
      </c>
      <c r="AJ655" s="22">
        <f t="shared" si="255"/>
        <v>0</v>
      </c>
      <c r="AK655" s="22">
        <f t="shared" si="255"/>
        <v>0</v>
      </c>
      <c r="AL655" s="22">
        <f t="shared" si="255"/>
        <v>0</v>
      </c>
      <c r="AM655" s="22">
        <f t="shared" si="255"/>
        <v>0</v>
      </c>
      <c r="AN655" s="22">
        <f t="shared" si="255"/>
        <v>0</v>
      </c>
    </row>
    <row r="656" spans="2:40" outlineLevel="1" x14ac:dyDescent="0.3">
      <c r="B656" s="2"/>
      <c r="H656" s="26"/>
      <c r="I656" s="17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</row>
    <row r="657" spans="2:40" outlineLevel="1" x14ac:dyDescent="0.3">
      <c r="B657" s="2"/>
      <c r="C657" s="11" t="s">
        <v>406</v>
      </c>
      <c r="H657" s="26" t="s">
        <v>9</v>
      </c>
      <c r="I657" s="174"/>
      <c r="L657" s="158">
        <f>IFERROR((L439-L644)/L439,0)</f>
        <v>0.19310215908028788</v>
      </c>
      <c r="M657" s="158">
        <f t="shared" ref="M657:AN657" si="257">IFERROR((M439-M644)/M439,0)</f>
        <v>0.1931021590802878</v>
      </c>
      <c r="N657" s="158">
        <f t="shared" si="257"/>
        <v>0.19310215908028772</v>
      </c>
      <c r="O657" s="158">
        <f t="shared" si="257"/>
        <v>0.19310215908028772</v>
      </c>
      <c r="P657" s="158">
        <f t="shared" si="257"/>
        <v>0.19310215908028786</v>
      </c>
      <c r="Q657" s="158">
        <f t="shared" si="257"/>
        <v>0.1931021590802878</v>
      </c>
      <c r="R657" s="158">
        <f t="shared" si="257"/>
        <v>0.19310215908028794</v>
      </c>
      <c r="S657" s="158">
        <f t="shared" si="257"/>
        <v>0.19310215908028786</v>
      </c>
      <c r="T657" s="158">
        <f t="shared" si="257"/>
        <v>0.19310215908028774</v>
      </c>
      <c r="U657" s="158">
        <f t="shared" si="257"/>
        <v>0.19310215908028791</v>
      </c>
      <c r="V657" s="158">
        <f t="shared" si="257"/>
        <v>0.19310215908028777</v>
      </c>
      <c r="W657" s="158">
        <f t="shared" si="257"/>
        <v>0.1931021590802878</v>
      </c>
      <c r="X657" s="158">
        <f t="shared" si="257"/>
        <v>0.19310215908028777</v>
      </c>
      <c r="Y657" s="158">
        <f t="shared" si="257"/>
        <v>0.19310215908028788</v>
      </c>
      <c r="Z657" s="158">
        <f t="shared" si="257"/>
        <v>0.19310215908028788</v>
      </c>
      <c r="AA657" s="158">
        <f t="shared" si="257"/>
        <v>0.19310215908028788</v>
      </c>
      <c r="AB657" s="158">
        <f t="shared" si="257"/>
        <v>0.19310215908028788</v>
      </c>
      <c r="AC657" s="158">
        <f t="shared" si="257"/>
        <v>0.19310215908028777</v>
      </c>
      <c r="AD657" s="158">
        <f t="shared" si="257"/>
        <v>0</v>
      </c>
      <c r="AE657" s="158">
        <f t="shared" si="257"/>
        <v>0</v>
      </c>
      <c r="AF657" s="158">
        <f t="shared" si="257"/>
        <v>0</v>
      </c>
      <c r="AG657" s="158">
        <f t="shared" si="257"/>
        <v>0</v>
      </c>
      <c r="AH657" s="158">
        <f t="shared" si="257"/>
        <v>0</v>
      </c>
      <c r="AI657" s="158">
        <f t="shared" si="257"/>
        <v>0</v>
      </c>
      <c r="AJ657" s="158">
        <f t="shared" si="257"/>
        <v>0</v>
      </c>
      <c r="AK657" s="158">
        <f t="shared" si="257"/>
        <v>0</v>
      </c>
      <c r="AL657" s="158">
        <f t="shared" si="257"/>
        <v>0</v>
      </c>
      <c r="AM657" s="158">
        <f t="shared" si="257"/>
        <v>0</v>
      </c>
      <c r="AN657" s="158">
        <f t="shared" si="257"/>
        <v>0</v>
      </c>
    </row>
    <row r="658" spans="2:40" outlineLevel="1" x14ac:dyDescent="0.3">
      <c r="B658" s="2"/>
      <c r="C658" s="11" t="s">
        <v>407</v>
      </c>
      <c r="H658" s="26" t="s">
        <v>9</v>
      </c>
      <c r="I658" s="174"/>
      <c r="L658" s="158">
        <f>IFERROR((L439-L650)/L439,0)</f>
        <v>0.13874614449948591</v>
      </c>
      <c r="M658" s="158">
        <f t="shared" ref="M658:AN658" si="258">IFERROR((M439-M650)/M439,0)</f>
        <v>0.13874614449948591</v>
      </c>
      <c r="N658" s="158">
        <f t="shared" si="258"/>
        <v>0.13874614449948575</v>
      </c>
      <c r="O658" s="158">
        <f t="shared" si="258"/>
        <v>0.13874614449948583</v>
      </c>
      <c r="P658" s="158">
        <f t="shared" si="258"/>
        <v>0.13874614449948586</v>
      </c>
      <c r="Q658" s="158">
        <f t="shared" si="258"/>
        <v>0.13874614449948594</v>
      </c>
      <c r="R658" s="158">
        <f t="shared" si="258"/>
        <v>0.13874614449948597</v>
      </c>
      <c r="S658" s="158">
        <f t="shared" si="258"/>
        <v>0.13874614449948591</v>
      </c>
      <c r="T658" s="158">
        <f t="shared" si="258"/>
        <v>0.1387461444994858</v>
      </c>
      <c r="U658" s="158">
        <f t="shared" si="258"/>
        <v>0.13874614449948602</v>
      </c>
      <c r="V658" s="158">
        <f t="shared" si="258"/>
        <v>0.13874614449948583</v>
      </c>
      <c r="W658" s="158">
        <f t="shared" si="258"/>
        <v>0.13874614449948583</v>
      </c>
      <c r="X658" s="158">
        <f t="shared" si="258"/>
        <v>0.13874614449948586</v>
      </c>
      <c r="Y658" s="158">
        <f t="shared" si="258"/>
        <v>0.13874614449948597</v>
      </c>
      <c r="Z658" s="158">
        <f t="shared" si="258"/>
        <v>0.13874614449948597</v>
      </c>
      <c r="AA658" s="158">
        <f t="shared" si="258"/>
        <v>0.13874614449948602</v>
      </c>
      <c r="AB658" s="158">
        <f t="shared" si="258"/>
        <v>0.13874614449948605</v>
      </c>
      <c r="AC658" s="158">
        <f t="shared" si="258"/>
        <v>0.13874614449948577</v>
      </c>
      <c r="AD658" s="158">
        <f t="shared" si="258"/>
        <v>0</v>
      </c>
      <c r="AE658" s="158">
        <f t="shared" si="258"/>
        <v>0</v>
      </c>
      <c r="AF658" s="158">
        <f t="shared" si="258"/>
        <v>0</v>
      </c>
      <c r="AG658" s="158">
        <f t="shared" si="258"/>
        <v>0</v>
      </c>
      <c r="AH658" s="158">
        <f t="shared" si="258"/>
        <v>0</v>
      </c>
      <c r="AI658" s="158">
        <f t="shared" si="258"/>
        <v>0</v>
      </c>
      <c r="AJ658" s="158">
        <f t="shared" si="258"/>
        <v>0</v>
      </c>
      <c r="AK658" s="158">
        <f t="shared" si="258"/>
        <v>0</v>
      </c>
      <c r="AL658" s="158">
        <f t="shared" si="258"/>
        <v>0</v>
      </c>
      <c r="AM658" s="158">
        <f t="shared" si="258"/>
        <v>0</v>
      </c>
      <c r="AN658" s="158">
        <f t="shared" si="258"/>
        <v>0</v>
      </c>
    </row>
    <row r="659" spans="2:40" outlineLevel="1" x14ac:dyDescent="0.3">
      <c r="B659" s="2"/>
      <c r="H659" s="26"/>
      <c r="L659" s="35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</row>
    <row r="660" spans="2:40" outlineLevel="1" x14ac:dyDescent="0.3">
      <c r="B660" s="2"/>
      <c r="C660" s="2" t="s">
        <v>192</v>
      </c>
      <c r="H660" s="26"/>
      <c r="I660" s="36"/>
      <c r="L660" s="35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</row>
    <row r="661" spans="2:40" outlineLevel="1" x14ac:dyDescent="0.3">
      <c r="B661" s="2"/>
      <c r="C661" s="2"/>
      <c r="D661" s="1" t="str">
        <f>Input!C139</f>
        <v>Гашеная известь</v>
      </c>
      <c r="H661" s="26" t="s">
        <v>225</v>
      </c>
      <c r="I661" s="159">
        <f>Input!I139</f>
        <v>0.05</v>
      </c>
      <c r="L661" s="22">
        <f>INDEX(L$555:L$568,MATCH($D661,$D$555:$D$568,0))*$I661</f>
        <v>345</v>
      </c>
      <c r="M661" s="22">
        <f t="shared" ref="M661:AN666" si="259">INDEX(M$555:M$568,MATCH($D661,$D$555:$D$568,0))*$I661</f>
        <v>358.8</v>
      </c>
      <c r="N661" s="22">
        <f t="shared" si="259"/>
        <v>373.15200000000004</v>
      </c>
      <c r="O661" s="22">
        <f t="shared" si="259"/>
        <v>388.07808000000006</v>
      </c>
      <c r="P661" s="22">
        <f t="shared" si="259"/>
        <v>403.6012032000001</v>
      </c>
      <c r="Q661" s="22">
        <f t="shared" si="259"/>
        <v>419.74525132800011</v>
      </c>
      <c r="R661" s="22">
        <f t="shared" si="259"/>
        <v>436.53506138112016</v>
      </c>
      <c r="S661" s="22">
        <f t="shared" si="259"/>
        <v>453.99646383636502</v>
      </c>
      <c r="T661" s="22">
        <f t="shared" si="259"/>
        <v>472.15632238981954</v>
      </c>
      <c r="U661" s="22">
        <f t="shared" si="259"/>
        <v>491.0425752854124</v>
      </c>
      <c r="V661" s="22">
        <f t="shared" si="259"/>
        <v>510.68427829682889</v>
      </c>
      <c r="W661" s="22">
        <f t="shared" si="259"/>
        <v>531.11164942870209</v>
      </c>
      <c r="X661" s="22">
        <f t="shared" si="259"/>
        <v>552.35611540585023</v>
      </c>
      <c r="Y661" s="22">
        <f t="shared" si="259"/>
        <v>574.45036002208428</v>
      </c>
      <c r="Z661" s="22">
        <f t="shared" si="259"/>
        <v>597.42837442296764</v>
      </c>
      <c r="AA661" s="22">
        <f t="shared" si="259"/>
        <v>621.3255093998863</v>
      </c>
      <c r="AB661" s="22">
        <f t="shared" si="259"/>
        <v>646.17852977588177</v>
      </c>
      <c r="AC661" s="22">
        <f t="shared" si="259"/>
        <v>672.02567096691712</v>
      </c>
      <c r="AD661" s="22">
        <f t="shared" si="259"/>
        <v>0</v>
      </c>
      <c r="AE661" s="22">
        <f t="shared" si="259"/>
        <v>0</v>
      </c>
      <c r="AF661" s="22">
        <f t="shared" si="259"/>
        <v>0</v>
      </c>
      <c r="AG661" s="22">
        <f t="shared" si="259"/>
        <v>0</v>
      </c>
      <c r="AH661" s="22">
        <f t="shared" si="259"/>
        <v>0</v>
      </c>
      <c r="AI661" s="22">
        <f t="shared" si="259"/>
        <v>0</v>
      </c>
      <c r="AJ661" s="22">
        <f t="shared" si="259"/>
        <v>0</v>
      </c>
      <c r="AK661" s="22">
        <f t="shared" si="259"/>
        <v>0</v>
      </c>
      <c r="AL661" s="22">
        <f t="shared" si="259"/>
        <v>0</v>
      </c>
      <c r="AM661" s="22">
        <f t="shared" si="259"/>
        <v>0</v>
      </c>
      <c r="AN661" s="22">
        <f t="shared" si="259"/>
        <v>0</v>
      </c>
    </row>
    <row r="662" spans="2:40" outlineLevel="1" x14ac:dyDescent="0.3">
      <c r="B662" s="2"/>
      <c r="C662" s="2"/>
      <c r="D662" s="1" t="str">
        <f>Input!C140</f>
        <v>Известняковая мука</v>
      </c>
      <c r="H662" s="26" t="s">
        <v>225</v>
      </c>
      <c r="I662" s="159">
        <f>Input!I140</f>
        <v>0.1</v>
      </c>
      <c r="L662" s="22">
        <f t="shared" ref="L662:AA666" si="260">INDEX(L$555:L$568,MATCH($D662,$D$555:$D$568,0))*$I662</f>
        <v>400</v>
      </c>
      <c r="M662" s="22">
        <f t="shared" si="260"/>
        <v>416</v>
      </c>
      <c r="N662" s="22">
        <f t="shared" si="260"/>
        <v>432.6400000000001</v>
      </c>
      <c r="O662" s="22">
        <f t="shared" si="260"/>
        <v>449.94560000000001</v>
      </c>
      <c r="P662" s="22">
        <f t="shared" si="260"/>
        <v>467.94342400000005</v>
      </c>
      <c r="Q662" s="22">
        <f t="shared" si="260"/>
        <v>486.66116096000019</v>
      </c>
      <c r="R662" s="22">
        <f t="shared" si="260"/>
        <v>506.12760739840019</v>
      </c>
      <c r="S662" s="22">
        <f t="shared" si="260"/>
        <v>526.3727116943362</v>
      </c>
      <c r="T662" s="22">
        <f t="shared" si="260"/>
        <v>547.42762016210963</v>
      </c>
      <c r="U662" s="22">
        <f t="shared" si="260"/>
        <v>569.32472496859407</v>
      </c>
      <c r="V662" s="22">
        <f t="shared" si="260"/>
        <v>592.09771396733788</v>
      </c>
      <c r="W662" s="22">
        <f t="shared" si="260"/>
        <v>615.78162252603147</v>
      </c>
      <c r="X662" s="22">
        <f t="shared" si="260"/>
        <v>640.41288742707275</v>
      </c>
      <c r="Y662" s="22">
        <f t="shared" si="260"/>
        <v>666.02940292415565</v>
      </c>
      <c r="Z662" s="22">
        <f t="shared" si="260"/>
        <v>692.67057904112187</v>
      </c>
      <c r="AA662" s="22">
        <f t="shared" si="260"/>
        <v>720.3774022027668</v>
      </c>
      <c r="AB662" s="22">
        <f t="shared" si="259"/>
        <v>749.19249829087744</v>
      </c>
      <c r="AC662" s="22">
        <f t="shared" si="259"/>
        <v>779.16019822251258</v>
      </c>
      <c r="AD662" s="22">
        <f t="shared" si="259"/>
        <v>0</v>
      </c>
      <c r="AE662" s="22">
        <f t="shared" si="259"/>
        <v>0</v>
      </c>
      <c r="AF662" s="22">
        <f t="shared" si="259"/>
        <v>0</v>
      </c>
      <c r="AG662" s="22">
        <f t="shared" si="259"/>
        <v>0</v>
      </c>
      <c r="AH662" s="22">
        <f t="shared" si="259"/>
        <v>0</v>
      </c>
      <c r="AI662" s="22">
        <f t="shared" si="259"/>
        <v>0</v>
      </c>
      <c r="AJ662" s="22">
        <f t="shared" si="259"/>
        <v>0</v>
      </c>
      <c r="AK662" s="22">
        <f t="shared" si="259"/>
        <v>0</v>
      </c>
      <c r="AL662" s="22">
        <f t="shared" si="259"/>
        <v>0</v>
      </c>
      <c r="AM662" s="22">
        <f t="shared" si="259"/>
        <v>0</v>
      </c>
      <c r="AN662" s="22">
        <f t="shared" si="259"/>
        <v>0</v>
      </c>
    </row>
    <row r="663" spans="2:40" outlineLevel="1" x14ac:dyDescent="0.3">
      <c r="B663" s="2"/>
      <c r="C663" s="2"/>
      <c r="D663" s="1" t="str">
        <f>Input!C141</f>
        <v>Кварцевый песок 0,1-0,5 мм</v>
      </c>
      <c r="H663" s="26" t="s">
        <v>225</v>
      </c>
      <c r="I663" s="159">
        <f>Input!I141</f>
        <v>0</v>
      </c>
      <c r="L663" s="22">
        <f t="shared" si="260"/>
        <v>0</v>
      </c>
      <c r="M663" s="22">
        <f t="shared" si="259"/>
        <v>0</v>
      </c>
      <c r="N663" s="22">
        <f t="shared" si="259"/>
        <v>0</v>
      </c>
      <c r="O663" s="22">
        <f t="shared" si="259"/>
        <v>0</v>
      </c>
      <c r="P663" s="22">
        <f t="shared" si="259"/>
        <v>0</v>
      </c>
      <c r="Q663" s="22">
        <f t="shared" si="259"/>
        <v>0</v>
      </c>
      <c r="R663" s="22">
        <f t="shared" si="259"/>
        <v>0</v>
      </c>
      <c r="S663" s="22">
        <f t="shared" si="259"/>
        <v>0</v>
      </c>
      <c r="T663" s="22">
        <f t="shared" si="259"/>
        <v>0</v>
      </c>
      <c r="U663" s="22">
        <f t="shared" si="259"/>
        <v>0</v>
      </c>
      <c r="V663" s="22">
        <f t="shared" si="259"/>
        <v>0</v>
      </c>
      <c r="W663" s="22">
        <f t="shared" si="259"/>
        <v>0</v>
      </c>
      <c r="X663" s="22">
        <f t="shared" si="259"/>
        <v>0</v>
      </c>
      <c r="Y663" s="22">
        <f t="shared" si="259"/>
        <v>0</v>
      </c>
      <c r="Z663" s="22">
        <f t="shared" si="259"/>
        <v>0</v>
      </c>
      <c r="AA663" s="22">
        <f t="shared" si="259"/>
        <v>0</v>
      </c>
      <c r="AB663" s="22">
        <f t="shared" si="259"/>
        <v>0</v>
      </c>
      <c r="AC663" s="22">
        <f t="shared" si="259"/>
        <v>0</v>
      </c>
      <c r="AD663" s="22">
        <f t="shared" si="259"/>
        <v>0</v>
      </c>
      <c r="AE663" s="22">
        <f t="shared" si="259"/>
        <v>0</v>
      </c>
      <c r="AF663" s="22">
        <f t="shared" si="259"/>
        <v>0</v>
      </c>
      <c r="AG663" s="22">
        <f t="shared" si="259"/>
        <v>0</v>
      </c>
      <c r="AH663" s="22">
        <f t="shared" si="259"/>
        <v>0</v>
      </c>
      <c r="AI663" s="22">
        <f t="shared" si="259"/>
        <v>0</v>
      </c>
      <c r="AJ663" s="22">
        <f t="shared" si="259"/>
        <v>0</v>
      </c>
      <c r="AK663" s="22">
        <f t="shared" si="259"/>
        <v>0</v>
      </c>
      <c r="AL663" s="22">
        <f t="shared" si="259"/>
        <v>0</v>
      </c>
      <c r="AM663" s="22">
        <f t="shared" si="259"/>
        <v>0</v>
      </c>
      <c r="AN663" s="22">
        <f t="shared" si="259"/>
        <v>0</v>
      </c>
    </row>
    <row r="664" spans="2:40" outlineLevel="1" x14ac:dyDescent="0.3">
      <c r="B664" s="2"/>
      <c r="C664" s="2"/>
      <c r="D664" s="1" t="str">
        <f>Input!C142</f>
        <v>Кварцевый песок 0,5-2,0 мм</v>
      </c>
      <c r="H664" s="26" t="s">
        <v>225</v>
      </c>
      <c r="I664" s="159">
        <f>Input!I142</f>
        <v>0</v>
      </c>
      <c r="L664" s="22">
        <f t="shared" si="260"/>
        <v>0</v>
      </c>
      <c r="M664" s="22">
        <f t="shared" si="259"/>
        <v>0</v>
      </c>
      <c r="N664" s="22">
        <f t="shared" si="259"/>
        <v>0</v>
      </c>
      <c r="O664" s="22">
        <f t="shared" si="259"/>
        <v>0</v>
      </c>
      <c r="P664" s="22">
        <f t="shared" si="259"/>
        <v>0</v>
      </c>
      <c r="Q664" s="22">
        <f t="shared" si="259"/>
        <v>0</v>
      </c>
      <c r="R664" s="22">
        <f t="shared" si="259"/>
        <v>0</v>
      </c>
      <c r="S664" s="22">
        <f t="shared" si="259"/>
        <v>0</v>
      </c>
      <c r="T664" s="22">
        <f t="shared" si="259"/>
        <v>0</v>
      </c>
      <c r="U664" s="22">
        <f t="shared" si="259"/>
        <v>0</v>
      </c>
      <c r="V664" s="22">
        <f t="shared" si="259"/>
        <v>0</v>
      </c>
      <c r="W664" s="22">
        <f t="shared" si="259"/>
        <v>0</v>
      </c>
      <c r="X664" s="22">
        <f t="shared" si="259"/>
        <v>0</v>
      </c>
      <c r="Y664" s="22">
        <f t="shared" si="259"/>
        <v>0</v>
      </c>
      <c r="Z664" s="22">
        <f t="shared" si="259"/>
        <v>0</v>
      </c>
      <c r="AA664" s="22">
        <f t="shared" si="259"/>
        <v>0</v>
      </c>
      <c r="AB664" s="22">
        <f t="shared" si="259"/>
        <v>0</v>
      </c>
      <c r="AC664" s="22">
        <f t="shared" si="259"/>
        <v>0</v>
      </c>
      <c r="AD664" s="22">
        <f t="shared" si="259"/>
        <v>0</v>
      </c>
      <c r="AE664" s="22">
        <f t="shared" si="259"/>
        <v>0</v>
      </c>
      <c r="AF664" s="22">
        <f t="shared" si="259"/>
        <v>0</v>
      </c>
      <c r="AG664" s="22">
        <f t="shared" si="259"/>
        <v>0</v>
      </c>
      <c r="AH664" s="22">
        <f t="shared" si="259"/>
        <v>0</v>
      </c>
      <c r="AI664" s="22">
        <f t="shared" si="259"/>
        <v>0</v>
      </c>
      <c r="AJ664" s="22">
        <f t="shared" si="259"/>
        <v>0</v>
      </c>
      <c r="AK664" s="22">
        <f t="shared" si="259"/>
        <v>0</v>
      </c>
      <c r="AL664" s="22">
        <f t="shared" si="259"/>
        <v>0</v>
      </c>
      <c r="AM664" s="22">
        <f t="shared" si="259"/>
        <v>0</v>
      </c>
      <c r="AN664" s="22">
        <f t="shared" si="259"/>
        <v>0</v>
      </c>
    </row>
    <row r="665" spans="2:40" outlineLevel="1" x14ac:dyDescent="0.3">
      <c r="B665" s="2"/>
      <c r="C665" s="2"/>
      <c r="D665" s="1" t="str">
        <f>Input!C143</f>
        <v>Кварцевый или известняковый песок 0-4 мм</v>
      </c>
      <c r="H665" s="26" t="s">
        <v>225</v>
      </c>
      <c r="I665" s="159">
        <f>Input!I143</f>
        <v>0</v>
      </c>
      <c r="L665" s="22">
        <f t="shared" si="260"/>
        <v>0</v>
      </c>
      <c r="M665" s="22">
        <f t="shared" si="259"/>
        <v>0</v>
      </c>
      <c r="N665" s="22">
        <f t="shared" si="259"/>
        <v>0</v>
      </c>
      <c r="O665" s="22">
        <f t="shared" si="259"/>
        <v>0</v>
      </c>
      <c r="P665" s="22">
        <f t="shared" si="259"/>
        <v>0</v>
      </c>
      <c r="Q665" s="22">
        <f t="shared" si="259"/>
        <v>0</v>
      </c>
      <c r="R665" s="22">
        <f t="shared" si="259"/>
        <v>0</v>
      </c>
      <c r="S665" s="22">
        <f t="shared" si="259"/>
        <v>0</v>
      </c>
      <c r="T665" s="22">
        <f t="shared" si="259"/>
        <v>0</v>
      </c>
      <c r="U665" s="22">
        <f t="shared" si="259"/>
        <v>0</v>
      </c>
      <c r="V665" s="22">
        <f t="shared" si="259"/>
        <v>0</v>
      </c>
      <c r="W665" s="22">
        <f t="shared" si="259"/>
        <v>0</v>
      </c>
      <c r="X665" s="22">
        <f t="shared" si="259"/>
        <v>0</v>
      </c>
      <c r="Y665" s="22">
        <f t="shared" si="259"/>
        <v>0</v>
      </c>
      <c r="Z665" s="22">
        <f t="shared" si="259"/>
        <v>0</v>
      </c>
      <c r="AA665" s="22">
        <f t="shared" si="259"/>
        <v>0</v>
      </c>
      <c r="AB665" s="22">
        <f t="shared" si="259"/>
        <v>0</v>
      </c>
      <c r="AC665" s="22">
        <f t="shared" si="259"/>
        <v>0</v>
      </c>
      <c r="AD665" s="22">
        <f t="shared" si="259"/>
        <v>0</v>
      </c>
      <c r="AE665" s="22">
        <f t="shared" si="259"/>
        <v>0</v>
      </c>
      <c r="AF665" s="22">
        <f t="shared" si="259"/>
        <v>0</v>
      </c>
      <c r="AG665" s="22">
        <f t="shared" si="259"/>
        <v>0</v>
      </c>
      <c r="AH665" s="22">
        <f t="shared" si="259"/>
        <v>0</v>
      </c>
      <c r="AI665" s="22">
        <f t="shared" si="259"/>
        <v>0</v>
      </c>
      <c r="AJ665" s="22">
        <f t="shared" si="259"/>
        <v>0</v>
      </c>
      <c r="AK665" s="22">
        <f t="shared" si="259"/>
        <v>0</v>
      </c>
      <c r="AL665" s="22">
        <f t="shared" si="259"/>
        <v>0</v>
      </c>
      <c r="AM665" s="22">
        <f t="shared" si="259"/>
        <v>0</v>
      </c>
      <c r="AN665" s="22">
        <f t="shared" si="259"/>
        <v>0</v>
      </c>
    </row>
    <row r="666" spans="2:40" outlineLevel="1" x14ac:dyDescent="0.3">
      <c r="B666" s="2"/>
      <c r="C666" s="2"/>
      <c r="D666" s="1" t="str">
        <f>Input!C144</f>
        <v>Керамзит 0-4 мм</v>
      </c>
      <c r="H666" s="26" t="s">
        <v>225</v>
      </c>
      <c r="I666" s="159">
        <f>Input!I144</f>
        <v>0.4491</v>
      </c>
      <c r="L666" s="22">
        <f t="shared" si="260"/>
        <v>1585.3230000000001</v>
      </c>
      <c r="M666" s="22">
        <f t="shared" si="259"/>
        <v>1648.7359200000001</v>
      </c>
      <c r="N666" s="22">
        <f t="shared" si="259"/>
        <v>1714.6853568000001</v>
      </c>
      <c r="O666" s="22">
        <f t="shared" si="259"/>
        <v>1783.2727710720001</v>
      </c>
      <c r="P666" s="22">
        <f t="shared" si="259"/>
        <v>1854.6036819148803</v>
      </c>
      <c r="Q666" s="22">
        <f t="shared" si="259"/>
        <v>1928.7878291914758</v>
      </c>
      <c r="R666" s="22">
        <f t="shared" si="259"/>
        <v>2005.9393423591348</v>
      </c>
      <c r="S666" s="22">
        <f t="shared" si="259"/>
        <v>2086.1769160535005</v>
      </c>
      <c r="T666" s="22">
        <f t="shared" si="259"/>
        <v>2169.6239926956405</v>
      </c>
      <c r="U666" s="22">
        <f t="shared" si="259"/>
        <v>2256.4089524034662</v>
      </c>
      <c r="V666" s="22">
        <f t="shared" si="259"/>
        <v>2346.6653104996049</v>
      </c>
      <c r="W666" s="22">
        <f t="shared" si="259"/>
        <v>2440.5319229195889</v>
      </c>
      <c r="X666" s="22">
        <f t="shared" si="259"/>
        <v>2538.1531998363726</v>
      </c>
      <c r="Y666" s="22">
        <f t="shared" si="259"/>
        <v>2639.6793278298278</v>
      </c>
      <c r="Z666" s="22">
        <f t="shared" si="259"/>
        <v>2745.2665009430211</v>
      </c>
      <c r="AA666" s="22">
        <f t="shared" si="259"/>
        <v>2855.0771609807416</v>
      </c>
      <c r="AB666" s="22">
        <f t="shared" si="259"/>
        <v>2969.2802474199711</v>
      </c>
      <c r="AC666" s="22">
        <f t="shared" si="259"/>
        <v>3088.0514573167707</v>
      </c>
      <c r="AD666" s="22">
        <f t="shared" si="259"/>
        <v>0</v>
      </c>
      <c r="AE666" s="22">
        <f t="shared" si="259"/>
        <v>0</v>
      </c>
      <c r="AF666" s="22">
        <f t="shared" si="259"/>
        <v>0</v>
      </c>
      <c r="AG666" s="22">
        <f t="shared" si="259"/>
        <v>0</v>
      </c>
      <c r="AH666" s="22">
        <f t="shared" si="259"/>
        <v>0</v>
      </c>
      <c r="AI666" s="22">
        <f t="shared" si="259"/>
        <v>0</v>
      </c>
      <c r="AJ666" s="22">
        <f t="shared" si="259"/>
        <v>0</v>
      </c>
      <c r="AK666" s="22">
        <f t="shared" si="259"/>
        <v>0</v>
      </c>
      <c r="AL666" s="22">
        <f t="shared" si="259"/>
        <v>0</v>
      </c>
      <c r="AM666" s="22">
        <f t="shared" si="259"/>
        <v>0</v>
      </c>
      <c r="AN666" s="22">
        <f t="shared" si="259"/>
        <v>0</v>
      </c>
    </row>
    <row r="667" spans="2:40" outlineLevel="1" x14ac:dyDescent="0.3">
      <c r="B667" s="2"/>
      <c r="C667" s="2"/>
      <c r="H667" s="30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</row>
    <row r="668" spans="2:40" outlineLevel="1" x14ac:dyDescent="0.3">
      <c r="B668" s="2"/>
      <c r="C668" s="2" t="s">
        <v>285</v>
      </c>
      <c r="H668" s="26"/>
      <c r="I668" s="160"/>
      <c r="L668" s="34">
        <f>SUM(L661:L666)+SUM(L669:L672)</f>
        <v>4858.0230000000001</v>
      </c>
      <c r="M668" s="34">
        <f t="shared" ref="M668:AN668" si="261">SUM(M661:M666)+SUM(M669:M672)</f>
        <v>5052.3439200000003</v>
      </c>
      <c r="N668" s="34">
        <f t="shared" si="261"/>
        <v>5254.4376768000002</v>
      </c>
      <c r="O668" s="34">
        <f t="shared" si="261"/>
        <v>5464.6151838720007</v>
      </c>
      <c r="P668" s="34">
        <f t="shared" si="261"/>
        <v>5683.1997912268807</v>
      </c>
      <c r="Q668" s="34">
        <f t="shared" si="261"/>
        <v>5910.5277828759572</v>
      </c>
      <c r="R668" s="34">
        <f t="shared" si="261"/>
        <v>6146.9488941909949</v>
      </c>
      <c r="S668" s="34">
        <f t="shared" si="261"/>
        <v>6392.8268499586356</v>
      </c>
      <c r="T668" s="34">
        <f t="shared" si="261"/>
        <v>6648.5399239569806</v>
      </c>
      <c r="U668" s="34">
        <f t="shared" si="261"/>
        <v>6914.4815209152603</v>
      </c>
      <c r="V668" s="34">
        <f t="shared" si="261"/>
        <v>7191.0607817518712</v>
      </c>
      <c r="W668" s="34">
        <f t="shared" si="261"/>
        <v>7478.7032130219468</v>
      </c>
      <c r="X668" s="34">
        <f t="shared" si="261"/>
        <v>7777.8513415428251</v>
      </c>
      <c r="Y668" s="34">
        <f t="shared" si="261"/>
        <v>8088.9653952045392</v>
      </c>
      <c r="Z668" s="34">
        <f t="shared" si="261"/>
        <v>8412.5240110127197</v>
      </c>
      <c r="AA668" s="34">
        <f t="shared" si="261"/>
        <v>8749.0249714532292</v>
      </c>
      <c r="AB668" s="34">
        <f t="shared" si="261"/>
        <v>9098.985970311358</v>
      </c>
      <c r="AC668" s="34">
        <f t="shared" si="261"/>
        <v>9462.9454091238131</v>
      </c>
      <c r="AD668" s="34">
        <f t="shared" si="261"/>
        <v>0</v>
      </c>
      <c r="AE668" s="34">
        <f t="shared" si="261"/>
        <v>0</v>
      </c>
      <c r="AF668" s="34">
        <f t="shared" si="261"/>
        <v>0</v>
      </c>
      <c r="AG668" s="34">
        <f t="shared" si="261"/>
        <v>0</v>
      </c>
      <c r="AH668" s="34">
        <f t="shared" si="261"/>
        <v>0</v>
      </c>
      <c r="AI668" s="34">
        <f t="shared" si="261"/>
        <v>0</v>
      </c>
      <c r="AJ668" s="34">
        <f t="shared" si="261"/>
        <v>0</v>
      </c>
      <c r="AK668" s="34">
        <f t="shared" si="261"/>
        <v>0</v>
      </c>
      <c r="AL668" s="34">
        <f t="shared" si="261"/>
        <v>0</v>
      </c>
      <c r="AM668" s="34">
        <f t="shared" si="261"/>
        <v>0</v>
      </c>
      <c r="AN668" s="34">
        <f t="shared" si="261"/>
        <v>0</v>
      </c>
    </row>
    <row r="669" spans="2:40" outlineLevel="1" x14ac:dyDescent="0.3">
      <c r="B669" s="2"/>
      <c r="C669" s="2"/>
      <c r="D669" s="1" t="s">
        <v>195</v>
      </c>
      <c r="H669" s="26" t="s">
        <v>225</v>
      </c>
      <c r="I669" s="159">
        <f>Input!I146</f>
        <v>0.4</v>
      </c>
      <c r="L669" s="22">
        <f>INDEX(L$555:L$568,MATCH($D669,$D$555:$D$568,0))*$I669</f>
        <v>2240</v>
      </c>
      <c r="M669" s="22">
        <f t="shared" ref="M669:AN672" si="262">INDEX(M$555:M$568,MATCH($D669,$D$555:$D$568,0))*$I669</f>
        <v>2329.6</v>
      </c>
      <c r="N669" s="22">
        <f t="shared" si="262"/>
        <v>2422.7840000000006</v>
      </c>
      <c r="O669" s="22">
        <f t="shared" si="262"/>
        <v>2519.6953600000002</v>
      </c>
      <c r="P669" s="22">
        <f t="shared" si="262"/>
        <v>2620.4831744000007</v>
      </c>
      <c r="Q669" s="22">
        <f t="shared" si="262"/>
        <v>2725.3025013760011</v>
      </c>
      <c r="R669" s="22">
        <f t="shared" si="262"/>
        <v>2834.314601431041</v>
      </c>
      <c r="S669" s="22">
        <f t="shared" si="262"/>
        <v>2947.6871854882829</v>
      </c>
      <c r="T669" s="22">
        <f t="shared" si="262"/>
        <v>3065.5946729078141</v>
      </c>
      <c r="U669" s="22">
        <f t="shared" si="262"/>
        <v>3188.218459824127</v>
      </c>
      <c r="V669" s="22">
        <f t="shared" si="262"/>
        <v>3315.7471982170923</v>
      </c>
      <c r="W669" s="22">
        <f t="shared" si="262"/>
        <v>3448.377086145776</v>
      </c>
      <c r="X669" s="22">
        <f t="shared" si="262"/>
        <v>3586.3121695916075</v>
      </c>
      <c r="Y669" s="22">
        <f t="shared" si="262"/>
        <v>3729.7646563752714</v>
      </c>
      <c r="Z669" s="22">
        <f t="shared" si="262"/>
        <v>3878.9552426302821</v>
      </c>
      <c r="AA669" s="22">
        <f t="shared" si="262"/>
        <v>4034.113452335494</v>
      </c>
      <c r="AB669" s="22">
        <f t="shared" si="262"/>
        <v>4195.4779904289135</v>
      </c>
      <c r="AC669" s="22">
        <f t="shared" si="262"/>
        <v>4363.29711004607</v>
      </c>
      <c r="AD669" s="22">
        <f t="shared" si="262"/>
        <v>0</v>
      </c>
      <c r="AE669" s="22">
        <f t="shared" si="262"/>
        <v>0</v>
      </c>
      <c r="AF669" s="22">
        <f t="shared" si="262"/>
        <v>0</v>
      </c>
      <c r="AG669" s="22">
        <f t="shared" si="262"/>
        <v>0</v>
      </c>
      <c r="AH669" s="22">
        <f t="shared" si="262"/>
        <v>0</v>
      </c>
      <c r="AI669" s="22">
        <f t="shared" si="262"/>
        <v>0</v>
      </c>
      <c r="AJ669" s="22">
        <f t="shared" si="262"/>
        <v>0</v>
      </c>
      <c r="AK669" s="22">
        <f t="shared" si="262"/>
        <v>0</v>
      </c>
      <c r="AL669" s="22">
        <f t="shared" si="262"/>
        <v>0</v>
      </c>
      <c r="AM669" s="22">
        <f t="shared" si="262"/>
        <v>0</v>
      </c>
      <c r="AN669" s="22">
        <f t="shared" si="262"/>
        <v>0</v>
      </c>
    </row>
    <row r="670" spans="2:40" outlineLevel="1" x14ac:dyDescent="0.3">
      <c r="B670" s="2"/>
      <c r="C670" s="2"/>
      <c r="D670" s="1" t="str">
        <f>Input!C147</f>
        <v>Эфир целлюлозы Mecellose PMC 50 US или FMC 2094</v>
      </c>
      <c r="H670" s="26" t="s">
        <v>225</v>
      </c>
      <c r="I670" s="159">
        <f>Input!I147</f>
        <v>6.9999999999999999E-4</v>
      </c>
      <c r="L670" s="22">
        <f t="shared" ref="L670:AA671" si="263">INDEX(L$555:L$568,MATCH($D670,$D$555:$D$568,0))*$I670</f>
        <v>210.7</v>
      </c>
      <c r="M670" s="22">
        <f t="shared" si="263"/>
        <v>219.12799999999999</v>
      </c>
      <c r="N670" s="22">
        <f t="shared" si="263"/>
        <v>227.89312000000001</v>
      </c>
      <c r="O670" s="22">
        <f t="shared" si="263"/>
        <v>237.00884480000002</v>
      </c>
      <c r="P670" s="22">
        <f t="shared" si="263"/>
        <v>246.48919859200004</v>
      </c>
      <c r="Q670" s="22">
        <f t="shared" si="263"/>
        <v>256.34876653568011</v>
      </c>
      <c r="R670" s="22">
        <f t="shared" si="263"/>
        <v>266.60271719710727</v>
      </c>
      <c r="S670" s="22">
        <f t="shared" si="263"/>
        <v>277.26682588499159</v>
      </c>
      <c r="T670" s="22">
        <f t="shared" si="263"/>
        <v>288.35749892039127</v>
      </c>
      <c r="U670" s="22">
        <f t="shared" si="263"/>
        <v>299.89179887720695</v>
      </c>
      <c r="V670" s="22">
        <f t="shared" si="263"/>
        <v>311.88747083229521</v>
      </c>
      <c r="W670" s="22">
        <f t="shared" si="263"/>
        <v>324.362969665587</v>
      </c>
      <c r="X670" s="22">
        <f t="shared" si="263"/>
        <v>337.33748845221055</v>
      </c>
      <c r="Y670" s="22">
        <f t="shared" si="263"/>
        <v>350.83098799029898</v>
      </c>
      <c r="Z670" s="22">
        <f t="shared" si="263"/>
        <v>364.8642275099109</v>
      </c>
      <c r="AA670" s="22">
        <f t="shared" si="263"/>
        <v>379.45879661030739</v>
      </c>
      <c r="AB670" s="22">
        <f t="shared" si="262"/>
        <v>394.63714847471971</v>
      </c>
      <c r="AC670" s="22">
        <f t="shared" si="262"/>
        <v>410.42263441370847</v>
      </c>
      <c r="AD670" s="22">
        <f t="shared" si="262"/>
        <v>0</v>
      </c>
      <c r="AE670" s="22">
        <f t="shared" si="262"/>
        <v>0</v>
      </c>
      <c r="AF670" s="22">
        <f t="shared" si="262"/>
        <v>0</v>
      </c>
      <c r="AG670" s="22">
        <f t="shared" si="262"/>
        <v>0</v>
      </c>
      <c r="AH670" s="22">
        <f t="shared" si="262"/>
        <v>0</v>
      </c>
      <c r="AI670" s="22">
        <f t="shared" si="262"/>
        <v>0</v>
      </c>
      <c r="AJ670" s="22">
        <f t="shared" si="262"/>
        <v>0</v>
      </c>
      <c r="AK670" s="22">
        <f t="shared" si="262"/>
        <v>0</v>
      </c>
      <c r="AL670" s="22">
        <f t="shared" si="262"/>
        <v>0</v>
      </c>
      <c r="AM670" s="22">
        <f t="shared" si="262"/>
        <v>0</v>
      </c>
      <c r="AN670" s="22">
        <f t="shared" si="262"/>
        <v>0</v>
      </c>
    </row>
    <row r="671" spans="2:40" outlineLevel="1" x14ac:dyDescent="0.3">
      <c r="B671" s="2"/>
      <c r="C671" s="2"/>
      <c r="D671" s="1" t="str">
        <f>Input!C148</f>
        <v>Редиспергируемый сополимерный порошок Neolith P 7200</v>
      </c>
      <c r="H671" s="26" t="s">
        <v>225</v>
      </c>
      <c r="I671" s="159">
        <f>Input!I148</f>
        <v>0</v>
      </c>
      <c r="L671" s="22">
        <f t="shared" si="263"/>
        <v>0</v>
      </c>
      <c r="M671" s="22">
        <f t="shared" si="262"/>
        <v>0</v>
      </c>
      <c r="N671" s="22">
        <f t="shared" si="262"/>
        <v>0</v>
      </c>
      <c r="O671" s="22">
        <f t="shared" si="262"/>
        <v>0</v>
      </c>
      <c r="P671" s="22">
        <f t="shared" si="262"/>
        <v>0</v>
      </c>
      <c r="Q671" s="22">
        <f t="shared" si="262"/>
        <v>0</v>
      </c>
      <c r="R671" s="22">
        <f t="shared" si="262"/>
        <v>0</v>
      </c>
      <c r="S671" s="22">
        <f t="shared" si="262"/>
        <v>0</v>
      </c>
      <c r="T671" s="22">
        <f t="shared" si="262"/>
        <v>0</v>
      </c>
      <c r="U671" s="22">
        <f t="shared" si="262"/>
        <v>0</v>
      </c>
      <c r="V671" s="22">
        <f t="shared" si="262"/>
        <v>0</v>
      </c>
      <c r="W671" s="22">
        <f t="shared" si="262"/>
        <v>0</v>
      </c>
      <c r="X671" s="22">
        <f t="shared" si="262"/>
        <v>0</v>
      </c>
      <c r="Y671" s="22">
        <f t="shared" si="262"/>
        <v>0</v>
      </c>
      <c r="Z671" s="22">
        <f t="shared" si="262"/>
        <v>0</v>
      </c>
      <c r="AA671" s="22">
        <f t="shared" si="262"/>
        <v>0</v>
      </c>
      <c r="AB671" s="22">
        <f t="shared" si="262"/>
        <v>0</v>
      </c>
      <c r="AC671" s="22">
        <f t="shared" si="262"/>
        <v>0</v>
      </c>
      <c r="AD671" s="22">
        <f t="shared" si="262"/>
        <v>0</v>
      </c>
      <c r="AE671" s="22">
        <f t="shared" si="262"/>
        <v>0</v>
      </c>
      <c r="AF671" s="22">
        <f t="shared" si="262"/>
        <v>0</v>
      </c>
      <c r="AG671" s="22">
        <f t="shared" si="262"/>
        <v>0</v>
      </c>
      <c r="AH671" s="22">
        <f t="shared" si="262"/>
        <v>0</v>
      </c>
      <c r="AI671" s="22">
        <f t="shared" si="262"/>
        <v>0</v>
      </c>
      <c r="AJ671" s="22">
        <f t="shared" si="262"/>
        <v>0</v>
      </c>
      <c r="AK671" s="22">
        <f t="shared" si="262"/>
        <v>0</v>
      </c>
      <c r="AL671" s="22">
        <f t="shared" si="262"/>
        <v>0</v>
      </c>
      <c r="AM671" s="22">
        <f t="shared" si="262"/>
        <v>0</v>
      </c>
      <c r="AN671" s="22">
        <f t="shared" si="262"/>
        <v>0</v>
      </c>
    </row>
    <row r="672" spans="2:40" outlineLevel="1" x14ac:dyDescent="0.3">
      <c r="B672" s="2"/>
      <c r="C672" s="2"/>
      <c r="D672" s="1" t="str">
        <f>Input!C149</f>
        <v>Порообразователь Esapon 1214</v>
      </c>
      <c r="H672" s="26" t="s">
        <v>225</v>
      </c>
      <c r="I672" s="159">
        <f>Input!I149</f>
        <v>2.0000000000000001E-4</v>
      </c>
      <c r="L672" s="22">
        <f>INDEX(L$555:L$568,MATCH($D672,$D$555:$D$568,0))*$I672</f>
        <v>77</v>
      </c>
      <c r="M672" s="22">
        <f t="shared" si="262"/>
        <v>80.08</v>
      </c>
      <c r="N672" s="22">
        <f t="shared" si="262"/>
        <v>83.283200000000022</v>
      </c>
      <c r="O672" s="22">
        <f t="shared" si="262"/>
        <v>86.614528000000007</v>
      </c>
      <c r="P672" s="22">
        <f t="shared" si="262"/>
        <v>90.079109120000012</v>
      </c>
      <c r="Q672" s="22">
        <f t="shared" si="262"/>
        <v>93.682273484800021</v>
      </c>
      <c r="R672" s="22">
        <f t="shared" si="262"/>
        <v>97.429564424192037</v>
      </c>
      <c r="S672" s="22">
        <f t="shared" si="262"/>
        <v>101.32674700115972</v>
      </c>
      <c r="T672" s="22">
        <f t="shared" si="262"/>
        <v>105.3798168812061</v>
      </c>
      <c r="U672" s="22">
        <f t="shared" si="262"/>
        <v>109.59500955645436</v>
      </c>
      <c r="V672" s="22">
        <f t="shared" si="262"/>
        <v>113.97880993871254</v>
      </c>
      <c r="W672" s="22">
        <f t="shared" si="262"/>
        <v>118.53796233626105</v>
      </c>
      <c r="X672" s="22">
        <f t="shared" si="262"/>
        <v>123.2794808297115</v>
      </c>
      <c r="Y672" s="22">
        <f t="shared" si="262"/>
        <v>128.21066006289996</v>
      </c>
      <c r="Z672" s="22">
        <f t="shared" si="262"/>
        <v>133.33908646541596</v>
      </c>
      <c r="AA672" s="22">
        <f t="shared" si="262"/>
        <v>138.67264992403261</v>
      </c>
      <c r="AB672" s="22">
        <f t="shared" si="262"/>
        <v>144.21955592099391</v>
      </c>
      <c r="AC672" s="22">
        <f t="shared" si="262"/>
        <v>149.98833815783368</v>
      </c>
      <c r="AD672" s="22">
        <f t="shared" si="262"/>
        <v>0</v>
      </c>
      <c r="AE672" s="22">
        <f t="shared" si="262"/>
        <v>0</v>
      </c>
      <c r="AF672" s="22">
        <f t="shared" si="262"/>
        <v>0</v>
      </c>
      <c r="AG672" s="22">
        <f t="shared" si="262"/>
        <v>0</v>
      </c>
      <c r="AH672" s="22">
        <f t="shared" si="262"/>
        <v>0</v>
      </c>
      <c r="AI672" s="22">
        <f t="shared" si="262"/>
        <v>0</v>
      </c>
      <c r="AJ672" s="22">
        <f t="shared" si="262"/>
        <v>0</v>
      </c>
      <c r="AK672" s="22">
        <f t="shared" si="262"/>
        <v>0</v>
      </c>
      <c r="AL672" s="22">
        <f t="shared" si="262"/>
        <v>0</v>
      </c>
      <c r="AM672" s="22">
        <f t="shared" si="262"/>
        <v>0</v>
      </c>
      <c r="AN672" s="22">
        <f t="shared" si="262"/>
        <v>0</v>
      </c>
    </row>
    <row r="673" spans="2:40" outlineLevel="1" x14ac:dyDescent="0.3">
      <c r="B673" s="2"/>
      <c r="C673" s="2"/>
      <c r="H673" s="30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</row>
    <row r="674" spans="2:40" outlineLevel="1" x14ac:dyDescent="0.3">
      <c r="B674" s="2"/>
      <c r="C674" s="2" t="s">
        <v>286</v>
      </c>
      <c r="H674" s="26"/>
      <c r="I674" s="160"/>
      <c r="L674" s="34">
        <f>SUM(L661:L666)+SUM(L675:L679)</f>
        <v>5342.5580000000009</v>
      </c>
      <c r="M674" s="34">
        <f t="shared" ref="M674:AN674" si="264">SUM(M661:M666)+SUM(M675:M679)</f>
        <v>5556.2603200000003</v>
      </c>
      <c r="N674" s="34">
        <f t="shared" si="264"/>
        <v>5778.5107328000013</v>
      </c>
      <c r="O674" s="34">
        <f t="shared" si="264"/>
        <v>6009.6511621120007</v>
      </c>
      <c r="P674" s="34">
        <f t="shared" si="264"/>
        <v>6250.0372085964809</v>
      </c>
      <c r="Q674" s="34">
        <f t="shared" si="264"/>
        <v>6500.0386969403417</v>
      </c>
      <c r="R674" s="34">
        <f t="shared" si="264"/>
        <v>6760.0402448179557</v>
      </c>
      <c r="S674" s="34">
        <f t="shared" si="264"/>
        <v>7030.4418546106735</v>
      </c>
      <c r="T674" s="34">
        <f t="shared" si="264"/>
        <v>7311.6595287951004</v>
      </c>
      <c r="U674" s="34">
        <f t="shared" si="264"/>
        <v>7604.1259099469044</v>
      </c>
      <c r="V674" s="34">
        <f t="shared" si="264"/>
        <v>7908.2909463447822</v>
      </c>
      <c r="W674" s="34">
        <f t="shared" si="264"/>
        <v>8224.6225841985724</v>
      </c>
      <c r="X674" s="34">
        <f t="shared" si="264"/>
        <v>8553.6074875665163</v>
      </c>
      <c r="Y674" s="34">
        <f t="shared" si="264"/>
        <v>8895.7517870691772</v>
      </c>
      <c r="Z674" s="34">
        <f t="shared" si="264"/>
        <v>9251.5818585519446</v>
      </c>
      <c r="AA674" s="34">
        <f t="shared" si="264"/>
        <v>9621.645132894022</v>
      </c>
      <c r="AB674" s="34">
        <f t="shared" si="264"/>
        <v>10006.510938209783</v>
      </c>
      <c r="AC674" s="34">
        <f t="shared" si="264"/>
        <v>10406.771375738175</v>
      </c>
      <c r="AD674" s="34">
        <f t="shared" si="264"/>
        <v>0</v>
      </c>
      <c r="AE674" s="34">
        <f t="shared" si="264"/>
        <v>0</v>
      </c>
      <c r="AF674" s="34">
        <f t="shared" si="264"/>
        <v>0</v>
      </c>
      <c r="AG674" s="34">
        <f t="shared" si="264"/>
        <v>0</v>
      </c>
      <c r="AH674" s="34">
        <f t="shared" si="264"/>
        <v>0</v>
      </c>
      <c r="AI674" s="34">
        <f t="shared" si="264"/>
        <v>0</v>
      </c>
      <c r="AJ674" s="34">
        <f t="shared" si="264"/>
        <v>0</v>
      </c>
      <c r="AK674" s="34">
        <f t="shared" si="264"/>
        <v>0</v>
      </c>
      <c r="AL674" s="34">
        <f t="shared" si="264"/>
        <v>0</v>
      </c>
      <c r="AM674" s="34">
        <f t="shared" si="264"/>
        <v>0</v>
      </c>
      <c r="AN674" s="34">
        <f t="shared" si="264"/>
        <v>0</v>
      </c>
    </row>
    <row r="675" spans="2:40" outlineLevel="1" x14ac:dyDescent="0.3">
      <c r="B675" s="2"/>
      <c r="C675" s="2"/>
      <c r="D675" s="1" t="s">
        <v>195</v>
      </c>
      <c r="H675" s="26" t="s">
        <v>225</v>
      </c>
      <c r="I675" s="159">
        <f>Input!I151</f>
        <v>0.39385000000000003</v>
      </c>
      <c r="L675" s="22">
        <f>INDEX(L$555:L$568,MATCH($D675,$D$555:$D$568,0))*$I675</f>
        <v>2205.5600000000004</v>
      </c>
      <c r="M675" s="22">
        <f t="shared" ref="M675:AN679" si="265">INDEX(M$555:M$568,MATCH($D675,$D$555:$D$568,0))*$I675</f>
        <v>2293.7824000000001</v>
      </c>
      <c r="N675" s="22">
        <f t="shared" si="265"/>
        <v>2385.5336960000004</v>
      </c>
      <c r="O675" s="22">
        <f t="shared" si="265"/>
        <v>2480.9550438400001</v>
      </c>
      <c r="P675" s="22">
        <f t="shared" si="265"/>
        <v>2580.1932455936007</v>
      </c>
      <c r="Q675" s="22">
        <f t="shared" si="265"/>
        <v>2683.4009754173453</v>
      </c>
      <c r="R675" s="22">
        <f t="shared" si="265"/>
        <v>2790.7370144340389</v>
      </c>
      <c r="S675" s="22">
        <f t="shared" si="265"/>
        <v>2902.3664950114003</v>
      </c>
      <c r="T675" s="22">
        <f t="shared" si="265"/>
        <v>3018.4611548118564</v>
      </c>
      <c r="U675" s="22">
        <f t="shared" si="265"/>
        <v>3139.1996010043308</v>
      </c>
      <c r="V675" s="22">
        <f t="shared" si="265"/>
        <v>3264.7675850445048</v>
      </c>
      <c r="W675" s="22">
        <f t="shared" si="265"/>
        <v>3395.3582884462849</v>
      </c>
      <c r="X675" s="22">
        <f t="shared" si="265"/>
        <v>3531.1726199841369</v>
      </c>
      <c r="Y675" s="22">
        <f t="shared" si="265"/>
        <v>3672.4195247835019</v>
      </c>
      <c r="Z675" s="22">
        <f t="shared" si="265"/>
        <v>3819.3163057748416</v>
      </c>
      <c r="AA675" s="22">
        <f t="shared" si="265"/>
        <v>3972.0889580058356</v>
      </c>
      <c r="AB675" s="22">
        <f t="shared" si="265"/>
        <v>4130.9725163260691</v>
      </c>
      <c r="AC675" s="22">
        <f t="shared" si="265"/>
        <v>4296.2114169791121</v>
      </c>
      <c r="AD675" s="22">
        <f t="shared" si="265"/>
        <v>0</v>
      </c>
      <c r="AE675" s="22">
        <f t="shared" si="265"/>
        <v>0</v>
      </c>
      <c r="AF675" s="22">
        <f t="shared" si="265"/>
        <v>0</v>
      </c>
      <c r="AG675" s="22">
        <f t="shared" si="265"/>
        <v>0</v>
      </c>
      <c r="AH675" s="22">
        <f t="shared" si="265"/>
        <v>0</v>
      </c>
      <c r="AI675" s="22">
        <f t="shared" si="265"/>
        <v>0</v>
      </c>
      <c r="AJ675" s="22">
        <f t="shared" si="265"/>
        <v>0</v>
      </c>
      <c r="AK675" s="22">
        <f t="shared" si="265"/>
        <v>0</v>
      </c>
      <c r="AL675" s="22">
        <f t="shared" si="265"/>
        <v>0</v>
      </c>
      <c r="AM675" s="22">
        <f t="shared" si="265"/>
        <v>0</v>
      </c>
      <c r="AN675" s="22">
        <f t="shared" si="265"/>
        <v>0</v>
      </c>
    </row>
    <row r="676" spans="2:40" outlineLevel="1" x14ac:dyDescent="0.3">
      <c r="B676" s="2"/>
      <c r="C676" s="2"/>
      <c r="D676" s="1" t="str">
        <f>Input!C152</f>
        <v>Эфир крахмала Esamid NA</v>
      </c>
      <c r="H676" s="26" t="s">
        <v>225</v>
      </c>
      <c r="I676" s="159">
        <f>Input!I152</f>
        <v>5.0000000000000002E-5</v>
      </c>
      <c r="L676" s="22">
        <f t="shared" ref="L676:AA678" si="266">INDEX(L$555:L$568,MATCH($D676,$D$555:$D$568,0))*$I676</f>
        <v>19.775000000000002</v>
      </c>
      <c r="M676" s="22">
        <f t="shared" si="266"/>
        <v>20.566000000000003</v>
      </c>
      <c r="N676" s="22">
        <f t="shared" si="266"/>
        <v>21.388640000000002</v>
      </c>
      <c r="O676" s="22">
        <f t="shared" si="266"/>
        <v>22.244185600000005</v>
      </c>
      <c r="P676" s="22">
        <f t="shared" si="266"/>
        <v>23.133953024000007</v>
      </c>
      <c r="Q676" s="22">
        <f t="shared" si="266"/>
        <v>24.059311144960009</v>
      </c>
      <c r="R676" s="22">
        <f t="shared" si="266"/>
        <v>25.021683590758411</v>
      </c>
      <c r="S676" s="22">
        <f t="shared" si="266"/>
        <v>26.022550934388747</v>
      </c>
      <c r="T676" s="22">
        <f t="shared" si="266"/>
        <v>27.063452971764296</v>
      </c>
      <c r="U676" s="22">
        <f t="shared" si="266"/>
        <v>28.145991090634869</v>
      </c>
      <c r="V676" s="22">
        <f t="shared" si="266"/>
        <v>29.271830734260266</v>
      </c>
      <c r="W676" s="22">
        <f t="shared" si="266"/>
        <v>30.442703963630677</v>
      </c>
      <c r="X676" s="22">
        <f t="shared" si="266"/>
        <v>31.660412122175909</v>
      </c>
      <c r="Y676" s="22">
        <f t="shared" si="266"/>
        <v>32.926828607062944</v>
      </c>
      <c r="Z676" s="22">
        <f t="shared" si="266"/>
        <v>34.243901751345462</v>
      </c>
      <c r="AA676" s="22">
        <f t="shared" si="266"/>
        <v>35.613657821399279</v>
      </c>
      <c r="AB676" s="22">
        <f t="shared" si="265"/>
        <v>37.038204134255253</v>
      </c>
      <c r="AC676" s="22">
        <f t="shared" si="265"/>
        <v>38.51973229962546</v>
      </c>
      <c r="AD676" s="22">
        <f t="shared" si="265"/>
        <v>0</v>
      </c>
      <c r="AE676" s="22">
        <f t="shared" si="265"/>
        <v>0</v>
      </c>
      <c r="AF676" s="22">
        <f t="shared" si="265"/>
        <v>0</v>
      </c>
      <c r="AG676" s="22">
        <f t="shared" si="265"/>
        <v>0</v>
      </c>
      <c r="AH676" s="22">
        <f t="shared" si="265"/>
        <v>0</v>
      </c>
      <c r="AI676" s="22">
        <f t="shared" si="265"/>
        <v>0</v>
      </c>
      <c r="AJ676" s="22">
        <f t="shared" si="265"/>
        <v>0</v>
      </c>
      <c r="AK676" s="22">
        <f t="shared" si="265"/>
        <v>0</v>
      </c>
      <c r="AL676" s="22">
        <f t="shared" si="265"/>
        <v>0</v>
      </c>
      <c r="AM676" s="22">
        <f t="shared" si="265"/>
        <v>0</v>
      </c>
      <c r="AN676" s="22">
        <f t="shared" si="265"/>
        <v>0</v>
      </c>
    </row>
    <row r="677" spans="2:40" outlineLevel="1" x14ac:dyDescent="0.3">
      <c r="B677" s="2"/>
      <c r="C677" s="2"/>
      <c r="D677" s="1" t="str">
        <f>Input!C153</f>
        <v>Гидрофобизатор (олеат Na, стеараты)</v>
      </c>
      <c r="H677" s="26" t="s">
        <v>225</v>
      </c>
      <c r="I677" s="159">
        <f>Input!I153</f>
        <v>1E-3</v>
      </c>
      <c r="L677" s="22">
        <f t="shared" si="266"/>
        <v>283.5</v>
      </c>
      <c r="M677" s="22">
        <f t="shared" si="265"/>
        <v>294.84000000000003</v>
      </c>
      <c r="N677" s="22">
        <f t="shared" si="265"/>
        <v>306.63360000000006</v>
      </c>
      <c r="O677" s="22">
        <f t="shared" si="265"/>
        <v>318.89894400000003</v>
      </c>
      <c r="P677" s="22">
        <f t="shared" si="265"/>
        <v>331.65490176000003</v>
      </c>
      <c r="Q677" s="22">
        <f t="shared" si="265"/>
        <v>344.92109783040013</v>
      </c>
      <c r="R677" s="22">
        <f t="shared" si="265"/>
        <v>358.71794174361617</v>
      </c>
      <c r="S677" s="22">
        <f t="shared" si="265"/>
        <v>373.06665941336075</v>
      </c>
      <c r="T677" s="22">
        <f t="shared" si="265"/>
        <v>387.98932578989519</v>
      </c>
      <c r="U677" s="22">
        <f t="shared" si="265"/>
        <v>403.50889882149107</v>
      </c>
      <c r="V677" s="22">
        <f t="shared" si="265"/>
        <v>419.64925477435071</v>
      </c>
      <c r="W677" s="22">
        <f t="shared" si="265"/>
        <v>436.43522496532478</v>
      </c>
      <c r="X677" s="22">
        <f t="shared" si="265"/>
        <v>453.89263396393778</v>
      </c>
      <c r="Y677" s="22">
        <f t="shared" si="265"/>
        <v>472.04833932249528</v>
      </c>
      <c r="Z677" s="22">
        <f t="shared" si="265"/>
        <v>490.93027289539515</v>
      </c>
      <c r="AA677" s="22">
        <f t="shared" si="265"/>
        <v>510.56748381121093</v>
      </c>
      <c r="AB677" s="22">
        <f t="shared" si="265"/>
        <v>530.99018316365925</v>
      </c>
      <c r="AC677" s="22">
        <f t="shared" si="265"/>
        <v>552.2297904902058</v>
      </c>
      <c r="AD677" s="22">
        <f t="shared" si="265"/>
        <v>0</v>
      </c>
      <c r="AE677" s="22">
        <f t="shared" si="265"/>
        <v>0</v>
      </c>
      <c r="AF677" s="22">
        <f t="shared" si="265"/>
        <v>0</v>
      </c>
      <c r="AG677" s="22">
        <f t="shared" si="265"/>
        <v>0</v>
      </c>
      <c r="AH677" s="22">
        <f t="shared" si="265"/>
        <v>0</v>
      </c>
      <c r="AI677" s="22">
        <f t="shared" si="265"/>
        <v>0</v>
      </c>
      <c r="AJ677" s="22">
        <f t="shared" si="265"/>
        <v>0</v>
      </c>
      <c r="AK677" s="22">
        <f t="shared" si="265"/>
        <v>0</v>
      </c>
      <c r="AL677" s="22">
        <f t="shared" si="265"/>
        <v>0</v>
      </c>
      <c r="AM677" s="22">
        <f t="shared" si="265"/>
        <v>0</v>
      </c>
      <c r="AN677" s="22">
        <f t="shared" si="265"/>
        <v>0</v>
      </c>
    </row>
    <row r="678" spans="2:40" outlineLevel="1" x14ac:dyDescent="0.3">
      <c r="B678" s="2"/>
      <c r="C678" s="2"/>
      <c r="D678" s="1" t="str">
        <f>Input!C154</f>
        <v>Суперпластификатор Melment F 10</v>
      </c>
      <c r="H678" s="26" t="s">
        <v>225</v>
      </c>
      <c r="I678" s="159">
        <f>Input!I154</f>
        <v>1E-3</v>
      </c>
      <c r="L678" s="22">
        <f t="shared" si="266"/>
        <v>253.4</v>
      </c>
      <c r="M678" s="22">
        <f t="shared" si="265"/>
        <v>263.536</v>
      </c>
      <c r="N678" s="22">
        <f t="shared" si="265"/>
        <v>274.07744000000002</v>
      </c>
      <c r="O678" s="22">
        <f t="shared" si="265"/>
        <v>285.04053760000005</v>
      </c>
      <c r="P678" s="22">
        <f t="shared" si="265"/>
        <v>296.4421591040001</v>
      </c>
      <c r="Q678" s="22">
        <f t="shared" si="265"/>
        <v>308.29984546816013</v>
      </c>
      <c r="R678" s="22">
        <f t="shared" si="265"/>
        <v>320.63183928688653</v>
      </c>
      <c r="S678" s="22">
        <f t="shared" si="265"/>
        <v>333.457112858362</v>
      </c>
      <c r="T678" s="22">
        <f t="shared" si="265"/>
        <v>346.79539737269641</v>
      </c>
      <c r="U678" s="22">
        <f t="shared" si="265"/>
        <v>360.66721326760438</v>
      </c>
      <c r="V678" s="22">
        <f t="shared" si="265"/>
        <v>375.09390179830854</v>
      </c>
      <c r="W678" s="22">
        <f t="shared" si="265"/>
        <v>390.09765787024088</v>
      </c>
      <c r="X678" s="22">
        <f t="shared" si="265"/>
        <v>405.70156418505059</v>
      </c>
      <c r="Y678" s="22">
        <f t="shared" si="265"/>
        <v>421.92962675245258</v>
      </c>
      <c r="Z678" s="22">
        <f t="shared" si="265"/>
        <v>438.80681182255069</v>
      </c>
      <c r="AA678" s="22">
        <f t="shared" si="265"/>
        <v>456.3590842954527</v>
      </c>
      <c r="AB678" s="22">
        <f t="shared" si="265"/>
        <v>474.61344766727086</v>
      </c>
      <c r="AC678" s="22">
        <f t="shared" si="265"/>
        <v>493.59798557396169</v>
      </c>
      <c r="AD678" s="22">
        <f t="shared" si="265"/>
        <v>0</v>
      </c>
      <c r="AE678" s="22">
        <f t="shared" si="265"/>
        <v>0</v>
      </c>
      <c r="AF678" s="22">
        <f t="shared" si="265"/>
        <v>0</v>
      </c>
      <c r="AG678" s="22">
        <f t="shared" si="265"/>
        <v>0</v>
      </c>
      <c r="AH678" s="22">
        <f t="shared" si="265"/>
        <v>0</v>
      </c>
      <c r="AI678" s="22">
        <f t="shared" si="265"/>
        <v>0</v>
      </c>
      <c r="AJ678" s="22">
        <f t="shared" si="265"/>
        <v>0</v>
      </c>
      <c r="AK678" s="22">
        <f t="shared" si="265"/>
        <v>0</v>
      </c>
      <c r="AL678" s="22">
        <f t="shared" si="265"/>
        <v>0</v>
      </c>
      <c r="AM678" s="22">
        <f t="shared" si="265"/>
        <v>0</v>
      </c>
      <c r="AN678" s="22">
        <f t="shared" si="265"/>
        <v>0</v>
      </c>
    </row>
    <row r="679" spans="2:40" outlineLevel="1" x14ac:dyDescent="0.3">
      <c r="B679" s="2"/>
      <c r="C679" s="2"/>
      <c r="D679" s="1" t="str">
        <f>Input!C155</f>
        <v>Ускоритель схватывания (формиат Са)</v>
      </c>
      <c r="H679" s="26" t="s">
        <v>225</v>
      </c>
      <c r="I679" s="159">
        <f>Input!I155</f>
        <v>5.0000000000000001E-3</v>
      </c>
      <c r="L679" s="22">
        <f>INDEX(L$555:L$568,MATCH($D679,$D$555:$D$568,0))*$I679</f>
        <v>250</v>
      </c>
      <c r="M679" s="22">
        <f t="shared" si="265"/>
        <v>260</v>
      </c>
      <c r="N679" s="22">
        <f t="shared" si="265"/>
        <v>270.40000000000003</v>
      </c>
      <c r="O679" s="22">
        <f t="shared" si="265"/>
        <v>281.21600000000001</v>
      </c>
      <c r="P679" s="22">
        <f t="shared" si="265"/>
        <v>292.46464000000003</v>
      </c>
      <c r="Q679" s="22">
        <f t="shared" si="265"/>
        <v>304.16322560000009</v>
      </c>
      <c r="R679" s="22">
        <f t="shared" si="265"/>
        <v>316.32975462400009</v>
      </c>
      <c r="S679" s="22">
        <f t="shared" si="265"/>
        <v>328.9829448089601</v>
      </c>
      <c r="T679" s="22">
        <f t="shared" si="265"/>
        <v>342.14226260131852</v>
      </c>
      <c r="U679" s="22">
        <f t="shared" si="265"/>
        <v>355.82795310537125</v>
      </c>
      <c r="V679" s="22">
        <f t="shared" si="265"/>
        <v>370.06107122958616</v>
      </c>
      <c r="W679" s="22">
        <f t="shared" si="265"/>
        <v>384.86351407876958</v>
      </c>
      <c r="X679" s="22">
        <f t="shared" si="265"/>
        <v>400.25805464192047</v>
      </c>
      <c r="Y679" s="22">
        <f t="shared" si="265"/>
        <v>416.26837682759725</v>
      </c>
      <c r="Z679" s="22">
        <f t="shared" si="265"/>
        <v>432.91911190070118</v>
      </c>
      <c r="AA679" s="22">
        <f t="shared" si="265"/>
        <v>450.23587637672921</v>
      </c>
      <c r="AB679" s="22">
        <f t="shared" si="265"/>
        <v>468.24531143179843</v>
      </c>
      <c r="AC679" s="22">
        <f t="shared" si="265"/>
        <v>486.97512388907035</v>
      </c>
      <c r="AD679" s="22">
        <f t="shared" si="265"/>
        <v>0</v>
      </c>
      <c r="AE679" s="22">
        <f t="shared" si="265"/>
        <v>0</v>
      </c>
      <c r="AF679" s="22">
        <f t="shared" si="265"/>
        <v>0</v>
      </c>
      <c r="AG679" s="22">
        <f t="shared" si="265"/>
        <v>0</v>
      </c>
      <c r="AH679" s="22">
        <f t="shared" si="265"/>
        <v>0</v>
      </c>
      <c r="AI679" s="22">
        <f t="shared" si="265"/>
        <v>0</v>
      </c>
      <c r="AJ679" s="22">
        <f t="shared" si="265"/>
        <v>0</v>
      </c>
      <c r="AK679" s="22">
        <f t="shared" si="265"/>
        <v>0</v>
      </c>
      <c r="AL679" s="22">
        <f t="shared" si="265"/>
        <v>0</v>
      </c>
      <c r="AM679" s="22">
        <f t="shared" si="265"/>
        <v>0</v>
      </c>
      <c r="AN679" s="22">
        <f t="shared" si="265"/>
        <v>0</v>
      </c>
    </row>
    <row r="680" spans="2:40" outlineLevel="1" x14ac:dyDescent="0.3">
      <c r="B680" s="2"/>
      <c r="C680" s="2"/>
      <c r="H680" s="26"/>
      <c r="I680" s="17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</row>
    <row r="681" spans="2:40" outlineLevel="1" x14ac:dyDescent="0.3">
      <c r="B681" s="2"/>
      <c r="C681" s="11" t="s">
        <v>406</v>
      </c>
      <c r="H681" s="26" t="s">
        <v>9</v>
      </c>
      <c r="I681" s="174"/>
      <c r="L681" s="181">
        <f>IFERROR((L440-L668)/L440,0)</f>
        <v>0.16081827604076696</v>
      </c>
      <c r="M681" s="181">
        <f t="shared" ref="M681:AN681" si="267">IFERROR((M440-M668)/M440,0)</f>
        <v>0.16081827604076698</v>
      </c>
      <c r="N681" s="181">
        <f t="shared" si="267"/>
        <v>0.16081827604076701</v>
      </c>
      <c r="O681" s="181">
        <f t="shared" si="267"/>
        <v>0.16081827604076693</v>
      </c>
      <c r="P681" s="181">
        <f t="shared" si="267"/>
        <v>0.16081827604076704</v>
      </c>
      <c r="Q681" s="181">
        <f t="shared" si="267"/>
        <v>0.1608182760407669</v>
      </c>
      <c r="R681" s="181">
        <f t="shared" si="267"/>
        <v>0.16081827604076698</v>
      </c>
      <c r="S681" s="181">
        <f t="shared" si="267"/>
        <v>0.16081827604076693</v>
      </c>
      <c r="T681" s="181">
        <f t="shared" si="267"/>
        <v>0.16081827604076701</v>
      </c>
      <c r="U681" s="181">
        <f t="shared" si="267"/>
        <v>0.16081827604076698</v>
      </c>
      <c r="V681" s="181">
        <f t="shared" si="267"/>
        <v>0.16081827604076701</v>
      </c>
      <c r="W681" s="181">
        <f t="shared" si="267"/>
        <v>0.16081827604076684</v>
      </c>
      <c r="X681" s="181">
        <f t="shared" si="267"/>
        <v>0.16081827604076687</v>
      </c>
      <c r="Y681" s="181">
        <f t="shared" si="267"/>
        <v>0.16081827604076696</v>
      </c>
      <c r="Z681" s="181">
        <f t="shared" si="267"/>
        <v>0.1608182760407669</v>
      </c>
      <c r="AA681" s="181">
        <f t="shared" si="267"/>
        <v>0.16081827604076679</v>
      </c>
      <c r="AB681" s="181">
        <f t="shared" si="267"/>
        <v>0.16081827604076698</v>
      </c>
      <c r="AC681" s="181">
        <f t="shared" si="267"/>
        <v>0.1608182760407669</v>
      </c>
      <c r="AD681" s="181">
        <f t="shared" si="267"/>
        <v>0</v>
      </c>
      <c r="AE681" s="181">
        <f t="shared" si="267"/>
        <v>0</v>
      </c>
      <c r="AF681" s="181">
        <f t="shared" si="267"/>
        <v>0</v>
      </c>
      <c r="AG681" s="181">
        <f t="shared" si="267"/>
        <v>0</v>
      </c>
      <c r="AH681" s="181">
        <f t="shared" si="267"/>
        <v>0</v>
      </c>
      <c r="AI681" s="181">
        <f t="shared" si="267"/>
        <v>0</v>
      </c>
      <c r="AJ681" s="181">
        <f t="shared" si="267"/>
        <v>0</v>
      </c>
      <c r="AK681" s="181">
        <f t="shared" si="267"/>
        <v>0</v>
      </c>
      <c r="AL681" s="181">
        <f t="shared" si="267"/>
        <v>0</v>
      </c>
      <c r="AM681" s="181">
        <f t="shared" si="267"/>
        <v>0</v>
      </c>
      <c r="AN681" s="181">
        <f t="shared" si="267"/>
        <v>0</v>
      </c>
    </row>
    <row r="682" spans="2:40" outlineLevel="1" x14ac:dyDescent="0.3">
      <c r="B682" s="2"/>
      <c r="C682" s="11" t="s">
        <v>407</v>
      </c>
      <c r="H682" s="26" t="s">
        <v>9</v>
      </c>
      <c r="I682" s="174"/>
      <c r="L682" s="181">
        <f>IFERROR((L440-L674)/L440,0)</f>
        <v>7.7119018828813113E-2</v>
      </c>
      <c r="M682" s="181">
        <f t="shared" ref="M682:AN682" si="268">IFERROR((M440-M674)/M440,0)</f>
        <v>7.7119018828813279E-2</v>
      </c>
      <c r="N682" s="181">
        <f t="shared" si="268"/>
        <v>7.7119018828813127E-2</v>
      </c>
      <c r="O682" s="181">
        <f t="shared" si="268"/>
        <v>7.7119018828813224E-2</v>
      </c>
      <c r="P682" s="181">
        <f t="shared" si="268"/>
        <v>7.7119018828813307E-2</v>
      </c>
      <c r="Q682" s="181">
        <f t="shared" si="268"/>
        <v>7.7119018828813155E-2</v>
      </c>
      <c r="R682" s="181">
        <f t="shared" si="268"/>
        <v>7.7119018828813099E-2</v>
      </c>
      <c r="S682" s="181">
        <f t="shared" si="268"/>
        <v>7.7119018828813224E-2</v>
      </c>
      <c r="T682" s="181">
        <f t="shared" si="268"/>
        <v>7.7119018828813252E-2</v>
      </c>
      <c r="U682" s="181">
        <f t="shared" si="268"/>
        <v>7.7119018828813293E-2</v>
      </c>
      <c r="V682" s="181">
        <f t="shared" si="268"/>
        <v>7.7119018828813196E-2</v>
      </c>
      <c r="W682" s="181">
        <f t="shared" si="268"/>
        <v>7.7119018828813252E-2</v>
      </c>
      <c r="X682" s="181">
        <f t="shared" si="268"/>
        <v>7.7119018828813224E-2</v>
      </c>
      <c r="Y682" s="181">
        <f t="shared" si="268"/>
        <v>7.7119018828813377E-2</v>
      </c>
      <c r="Z682" s="181">
        <f t="shared" si="268"/>
        <v>7.711901882881321E-2</v>
      </c>
      <c r="AA682" s="181">
        <f t="shared" si="268"/>
        <v>7.7119018828813196E-2</v>
      </c>
      <c r="AB682" s="181">
        <f t="shared" si="268"/>
        <v>7.7119018828813293E-2</v>
      </c>
      <c r="AC682" s="181">
        <f t="shared" si="268"/>
        <v>7.7119018828813238E-2</v>
      </c>
      <c r="AD682" s="181">
        <f t="shared" si="268"/>
        <v>0</v>
      </c>
      <c r="AE682" s="181">
        <f t="shared" si="268"/>
        <v>0</v>
      </c>
      <c r="AF682" s="181">
        <f t="shared" si="268"/>
        <v>0</v>
      </c>
      <c r="AG682" s="181">
        <f t="shared" si="268"/>
        <v>0</v>
      </c>
      <c r="AH682" s="181">
        <f t="shared" si="268"/>
        <v>0</v>
      </c>
      <c r="AI682" s="181">
        <f t="shared" si="268"/>
        <v>0</v>
      </c>
      <c r="AJ682" s="181">
        <f t="shared" si="268"/>
        <v>0</v>
      </c>
      <c r="AK682" s="181">
        <f t="shared" si="268"/>
        <v>0</v>
      </c>
      <c r="AL682" s="181">
        <f t="shared" si="268"/>
        <v>0</v>
      </c>
      <c r="AM682" s="181">
        <f t="shared" si="268"/>
        <v>0</v>
      </c>
      <c r="AN682" s="181">
        <f t="shared" si="268"/>
        <v>0</v>
      </c>
    </row>
    <row r="683" spans="2:40" outlineLevel="1" x14ac:dyDescent="0.3">
      <c r="B683" s="2"/>
      <c r="C683" s="2"/>
      <c r="H683" s="26"/>
      <c r="I683" s="36"/>
      <c r="L683" s="35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</row>
    <row r="684" spans="2:40" outlineLevel="1" x14ac:dyDescent="0.3">
      <c r="B684" s="2"/>
      <c r="C684" s="2" t="s">
        <v>193</v>
      </c>
      <c r="H684" s="26"/>
      <c r="I684" s="36"/>
      <c r="L684" s="35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</row>
    <row r="685" spans="2:40" outlineLevel="1" x14ac:dyDescent="0.3">
      <c r="B685" s="2"/>
      <c r="C685" s="2"/>
      <c r="D685" s="1" t="str">
        <f>Input!C139</f>
        <v>Гашеная известь</v>
      </c>
      <c r="H685" s="26" t="s">
        <v>225</v>
      </c>
      <c r="I685" s="159">
        <f>Input!J139</f>
        <v>0.05</v>
      </c>
      <c r="L685" s="22">
        <f>INDEX(L$555:L$568,MATCH($D685,$D$555:$D$568,0))*$I685</f>
        <v>345</v>
      </c>
      <c r="M685" s="22">
        <f t="shared" ref="M685:AN690" si="269">INDEX(M$555:M$568,MATCH($D685,$D$555:$D$568,0))*$I685</f>
        <v>358.8</v>
      </c>
      <c r="N685" s="22">
        <f t="shared" si="269"/>
        <v>373.15200000000004</v>
      </c>
      <c r="O685" s="22">
        <f t="shared" si="269"/>
        <v>388.07808000000006</v>
      </c>
      <c r="P685" s="22">
        <f t="shared" si="269"/>
        <v>403.6012032000001</v>
      </c>
      <c r="Q685" s="22">
        <f t="shared" si="269"/>
        <v>419.74525132800011</v>
      </c>
      <c r="R685" s="22">
        <f t="shared" si="269"/>
        <v>436.53506138112016</v>
      </c>
      <c r="S685" s="22">
        <f t="shared" si="269"/>
        <v>453.99646383636502</v>
      </c>
      <c r="T685" s="22">
        <f t="shared" si="269"/>
        <v>472.15632238981954</v>
      </c>
      <c r="U685" s="22">
        <f t="shared" si="269"/>
        <v>491.0425752854124</v>
      </c>
      <c r="V685" s="22">
        <f t="shared" si="269"/>
        <v>510.68427829682889</v>
      </c>
      <c r="W685" s="22">
        <f t="shared" si="269"/>
        <v>531.11164942870209</v>
      </c>
      <c r="X685" s="22">
        <f t="shared" si="269"/>
        <v>552.35611540585023</v>
      </c>
      <c r="Y685" s="22">
        <f t="shared" si="269"/>
        <v>574.45036002208428</v>
      </c>
      <c r="Z685" s="22">
        <f t="shared" si="269"/>
        <v>597.42837442296764</v>
      </c>
      <c r="AA685" s="22">
        <f t="shared" si="269"/>
        <v>621.3255093998863</v>
      </c>
      <c r="AB685" s="22">
        <f t="shared" si="269"/>
        <v>646.17852977588177</v>
      </c>
      <c r="AC685" s="22">
        <f t="shared" si="269"/>
        <v>672.02567096691712</v>
      </c>
      <c r="AD685" s="22">
        <f t="shared" si="269"/>
        <v>0</v>
      </c>
      <c r="AE685" s="22">
        <f t="shared" si="269"/>
        <v>0</v>
      </c>
      <c r="AF685" s="22">
        <f t="shared" si="269"/>
        <v>0</v>
      </c>
      <c r="AG685" s="22">
        <f t="shared" si="269"/>
        <v>0</v>
      </c>
      <c r="AH685" s="22">
        <f t="shared" si="269"/>
        <v>0</v>
      </c>
      <c r="AI685" s="22">
        <f t="shared" si="269"/>
        <v>0</v>
      </c>
      <c r="AJ685" s="22">
        <f t="shared" si="269"/>
        <v>0</v>
      </c>
      <c r="AK685" s="22">
        <f t="shared" si="269"/>
        <v>0</v>
      </c>
      <c r="AL685" s="22">
        <f t="shared" si="269"/>
        <v>0</v>
      </c>
      <c r="AM685" s="22">
        <f t="shared" si="269"/>
        <v>0</v>
      </c>
      <c r="AN685" s="22">
        <f t="shared" si="269"/>
        <v>0</v>
      </c>
    </row>
    <row r="686" spans="2:40" outlineLevel="1" x14ac:dyDescent="0.3">
      <c r="B686" s="2"/>
      <c r="C686" s="2"/>
      <c r="D686" s="1" t="str">
        <f>Input!C140</f>
        <v>Известняковая мука</v>
      </c>
      <c r="H686" s="26" t="s">
        <v>225</v>
      </c>
      <c r="I686" s="159">
        <f>Input!J140</f>
        <v>0.1</v>
      </c>
      <c r="L686" s="22">
        <f t="shared" ref="L686:AA690" si="270">INDEX(L$555:L$568,MATCH($D686,$D$555:$D$568,0))*$I686</f>
        <v>400</v>
      </c>
      <c r="M686" s="22">
        <f t="shared" si="270"/>
        <v>416</v>
      </c>
      <c r="N686" s="22">
        <f t="shared" si="270"/>
        <v>432.6400000000001</v>
      </c>
      <c r="O686" s="22">
        <f t="shared" si="270"/>
        <v>449.94560000000001</v>
      </c>
      <c r="P686" s="22">
        <f t="shared" si="270"/>
        <v>467.94342400000005</v>
      </c>
      <c r="Q686" s="22">
        <f t="shared" si="270"/>
        <v>486.66116096000019</v>
      </c>
      <c r="R686" s="22">
        <f t="shared" si="270"/>
        <v>506.12760739840019</v>
      </c>
      <c r="S686" s="22">
        <f t="shared" si="270"/>
        <v>526.3727116943362</v>
      </c>
      <c r="T686" s="22">
        <f t="shared" si="270"/>
        <v>547.42762016210963</v>
      </c>
      <c r="U686" s="22">
        <f t="shared" si="270"/>
        <v>569.32472496859407</v>
      </c>
      <c r="V686" s="22">
        <f t="shared" si="270"/>
        <v>592.09771396733788</v>
      </c>
      <c r="W686" s="22">
        <f t="shared" si="270"/>
        <v>615.78162252603147</v>
      </c>
      <c r="X686" s="22">
        <f t="shared" si="270"/>
        <v>640.41288742707275</v>
      </c>
      <c r="Y686" s="22">
        <f t="shared" si="270"/>
        <v>666.02940292415565</v>
      </c>
      <c r="Z686" s="22">
        <f t="shared" si="270"/>
        <v>692.67057904112187</v>
      </c>
      <c r="AA686" s="22">
        <f t="shared" si="270"/>
        <v>720.3774022027668</v>
      </c>
      <c r="AB686" s="22">
        <f t="shared" si="269"/>
        <v>749.19249829087744</v>
      </c>
      <c r="AC686" s="22">
        <f t="shared" si="269"/>
        <v>779.16019822251258</v>
      </c>
      <c r="AD686" s="22">
        <f t="shared" si="269"/>
        <v>0</v>
      </c>
      <c r="AE686" s="22">
        <f t="shared" si="269"/>
        <v>0</v>
      </c>
      <c r="AF686" s="22">
        <f t="shared" si="269"/>
        <v>0</v>
      </c>
      <c r="AG686" s="22">
        <f t="shared" si="269"/>
        <v>0</v>
      </c>
      <c r="AH686" s="22">
        <f t="shared" si="269"/>
        <v>0</v>
      </c>
      <c r="AI686" s="22">
        <f t="shared" si="269"/>
        <v>0</v>
      </c>
      <c r="AJ686" s="22">
        <f t="shared" si="269"/>
        <v>0</v>
      </c>
      <c r="AK686" s="22">
        <f t="shared" si="269"/>
        <v>0</v>
      </c>
      <c r="AL686" s="22">
        <f t="shared" si="269"/>
        <v>0</v>
      </c>
      <c r="AM686" s="22">
        <f t="shared" si="269"/>
        <v>0</v>
      </c>
      <c r="AN686" s="22">
        <f t="shared" si="269"/>
        <v>0</v>
      </c>
    </row>
    <row r="687" spans="2:40" outlineLevel="1" x14ac:dyDescent="0.3">
      <c r="B687" s="2"/>
      <c r="C687" s="2"/>
      <c r="D687" s="1" t="str">
        <f>Input!C141</f>
        <v>Кварцевый песок 0,1-0,5 мм</v>
      </c>
      <c r="H687" s="26" t="s">
        <v>225</v>
      </c>
      <c r="I687" s="159">
        <f>Input!J141</f>
        <v>0.30690000000000001</v>
      </c>
      <c r="L687" s="22">
        <f t="shared" si="270"/>
        <v>1595.88</v>
      </c>
      <c r="M687" s="22">
        <f t="shared" si="269"/>
        <v>1659.7152000000001</v>
      </c>
      <c r="N687" s="22">
        <f t="shared" si="269"/>
        <v>1726.1038080000003</v>
      </c>
      <c r="O687" s="22">
        <f t="shared" si="269"/>
        <v>1795.14796032</v>
      </c>
      <c r="P687" s="22">
        <f t="shared" si="269"/>
        <v>1866.9538787328006</v>
      </c>
      <c r="Q687" s="22">
        <f t="shared" si="269"/>
        <v>1941.6320338821126</v>
      </c>
      <c r="R687" s="22">
        <f t="shared" si="269"/>
        <v>2019.2973152373972</v>
      </c>
      <c r="S687" s="22">
        <f t="shared" si="269"/>
        <v>2100.0692078468933</v>
      </c>
      <c r="T687" s="22">
        <f t="shared" si="269"/>
        <v>2184.0719761607688</v>
      </c>
      <c r="U687" s="22">
        <f t="shared" si="269"/>
        <v>2271.4348552071997</v>
      </c>
      <c r="V687" s="22">
        <f t="shared" si="269"/>
        <v>2362.2922494154877</v>
      </c>
      <c r="W687" s="22">
        <f t="shared" si="269"/>
        <v>2456.7839393921076</v>
      </c>
      <c r="X687" s="22">
        <f t="shared" si="269"/>
        <v>2555.0552969677919</v>
      </c>
      <c r="Y687" s="22">
        <f t="shared" si="269"/>
        <v>2657.2575088465037</v>
      </c>
      <c r="Z687" s="22">
        <f t="shared" si="269"/>
        <v>2763.5478092003636</v>
      </c>
      <c r="AA687" s="22">
        <f t="shared" si="269"/>
        <v>2874.0897215683785</v>
      </c>
      <c r="AB687" s="22">
        <f t="shared" si="269"/>
        <v>2989.0533104311139</v>
      </c>
      <c r="AC687" s="22">
        <f t="shared" si="269"/>
        <v>3108.6154428483583</v>
      </c>
      <c r="AD687" s="22">
        <f t="shared" si="269"/>
        <v>0</v>
      </c>
      <c r="AE687" s="22">
        <f t="shared" si="269"/>
        <v>0</v>
      </c>
      <c r="AF687" s="22">
        <f t="shared" si="269"/>
        <v>0</v>
      </c>
      <c r="AG687" s="22">
        <f t="shared" si="269"/>
        <v>0</v>
      </c>
      <c r="AH687" s="22">
        <f t="shared" si="269"/>
        <v>0</v>
      </c>
      <c r="AI687" s="22">
        <f t="shared" si="269"/>
        <v>0</v>
      </c>
      <c r="AJ687" s="22">
        <f t="shared" si="269"/>
        <v>0</v>
      </c>
      <c r="AK687" s="22">
        <f t="shared" si="269"/>
        <v>0</v>
      </c>
      <c r="AL687" s="22">
        <f t="shared" si="269"/>
        <v>0</v>
      </c>
      <c r="AM687" s="22">
        <f t="shared" si="269"/>
        <v>0</v>
      </c>
      <c r="AN687" s="22">
        <f t="shared" si="269"/>
        <v>0</v>
      </c>
    </row>
    <row r="688" spans="2:40" outlineLevel="1" x14ac:dyDescent="0.3">
      <c r="B688" s="2"/>
      <c r="C688" s="2"/>
      <c r="D688" s="1" t="str">
        <f>Input!C142</f>
        <v>Кварцевый песок 0,5-2,0 мм</v>
      </c>
      <c r="H688" s="26" t="s">
        <v>225</v>
      </c>
      <c r="I688" s="159">
        <f>Input!J142</f>
        <v>0.372</v>
      </c>
      <c r="L688" s="22">
        <f t="shared" si="270"/>
        <v>2232</v>
      </c>
      <c r="M688" s="22">
        <f t="shared" si="269"/>
        <v>2321.2800000000002</v>
      </c>
      <c r="N688" s="22">
        <f t="shared" si="269"/>
        <v>2414.1312000000003</v>
      </c>
      <c r="O688" s="22">
        <f t="shared" si="269"/>
        <v>2510.6964480000001</v>
      </c>
      <c r="P688" s="22">
        <f t="shared" si="269"/>
        <v>2611.1243059200006</v>
      </c>
      <c r="Q688" s="22">
        <f t="shared" si="269"/>
        <v>2715.5692781568005</v>
      </c>
      <c r="R688" s="22">
        <f t="shared" si="269"/>
        <v>2824.1920492830727</v>
      </c>
      <c r="S688" s="22">
        <f t="shared" si="269"/>
        <v>2937.1597312543959</v>
      </c>
      <c r="T688" s="22">
        <f t="shared" si="269"/>
        <v>3054.6461205045721</v>
      </c>
      <c r="U688" s="22">
        <f t="shared" si="269"/>
        <v>3176.8319653247549</v>
      </c>
      <c r="V688" s="22">
        <f t="shared" si="269"/>
        <v>3303.9052439377456</v>
      </c>
      <c r="W688" s="22">
        <f t="shared" si="269"/>
        <v>3436.0614536952553</v>
      </c>
      <c r="X688" s="22">
        <f t="shared" si="269"/>
        <v>3573.5039118430655</v>
      </c>
      <c r="Y688" s="22">
        <f t="shared" si="269"/>
        <v>3716.4440683167886</v>
      </c>
      <c r="Z688" s="22">
        <f t="shared" si="269"/>
        <v>3865.1018310494601</v>
      </c>
      <c r="AA688" s="22">
        <f t="shared" si="269"/>
        <v>4019.7059042914384</v>
      </c>
      <c r="AB688" s="22">
        <f t="shared" si="269"/>
        <v>4180.4941404630954</v>
      </c>
      <c r="AC688" s="22">
        <f t="shared" si="269"/>
        <v>4347.7139060816198</v>
      </c>
      <c r="AD688" s="22">
        <f t="shared" si="269"/>
        <v>0</v>
      </c>
      <c r="AE688" s="22">
        <f t="shared" si="269"/>
        <v>0</v>
      </c>
      <c r="AF688" s="22">
        <f t="shared" si="269"/>
        <v>0</v>
      </c>
      <c r="AG688" s="22">
        <f t="shared" si="269"/>
        <v>0</v>
      </c>
      <c r="AH688" s="22">
        <f t="shared" si="269"/>
        <v>0</v>
      </c>
      <c r="AI688" s="22">
        <f t="shared" si="269"/>
        <v>0</v>
      </c>
      <c r="AJ688" s="22">
        <f t="shared" si="269"/>
        <v>0</v>
      </c>
      <c r="AK688" s="22">
        <f t="shared" si="269"/>
        <v>0</v>
      </c>
      <c r="AL688" s="22">
        <f t="shared" si="269"/>
        <v>0</v>
      </c>
      <c r="AM688" s="22">
        <f t="shared" si="269"/>
        <v>0</v>
      </c>
      <c r="AN688" s="22">
        <f t="shared" si="269"/>
        <v>0</v>
      </c>
    </row>
    <row r="689" spans="2:40" outlineLevel="1" x14ac:dyDescent="0.3">
      <c r="B689" s="2"/>
      <c r="C689" s="2"/>
      <c r="D689" s="1" t="str">
        <f>Input!C143</f>
        <v>Кварцевый или известняковый песок 0-4 мм</v>
      </c>
      <c r="H689" s="26" t="s">
        <v>225</v>
      </c>
      <c r="I689" s="159">
        <f>Input!J143</f>
        <v>0</v>
      </c>
      <c r="L689" s="22">
        <f t="shared" si="270"/>
        <v>0</v>
      </c>
      <c r="M689" s="22">
        <f t="shared" si="269"/>
        <v>0</v>
      </c>
      <c r="N689" s="22">
        <f t="shared" si="269"/>
        <v>0</v>
      </c>
      <c r="O689" s="22">
        <f t="shared" si="269"/>
        <v>0</v>
      </c>
      <c r="P689" s="22">
        <f t="shared" si="269"/>
        <v>0</v>
      </c>
      <c r="Q689" s="22">
        <f t="shared" si="269"/>
        <v>0</v>
      </c>
      <c r="R689" s="22">
        <f t="shared" si="269"/>
        <v>0</v>
      </c>
      <c r="S689" s="22">
        <f t="shared" si="269"/>
        <v>0</v>
      </c>
      <c r="T689" s="22">
        <f t="shared" si="269"/>
        <v>0</v>
      </c>
      <c r="U689" s="22">
        <f t="shared" si="269"/>
        <v>0</v>
      </c>
      <c r="V689" s="22">
        <f t="shared" si="269"/>
        <v>0</v>
      </c>
      <c r="W689" s="22">
        <f t="shared" si="269"/>
        <v>0</v>
      </c>
      <c r="X689" s="22">
        <f t="shared" si="269"/>
        <v>0</v>
      </c>
      <c r="Y689" s="22">
        <f t="shared" si="269"/>
        <v>0</v>
      </c>
      <c r="Z689" s="22">
        <f t="shared" si="269"/>
        <v>0</v>
      </c>
      <c r="AA689" s="22">
        <f t="shared" si="269"/>
        <v>0</v>
      </c>
      <c r="AB689" s="22">
        <f t="shared" si="269"/>
        <v>0</v>
      </c>
      <c r="AC689" s="22">
        <f t="shared" si="269"/>
        <v>0</v>
      </c>
      <c r="AD689" s="22">
        <f t="shared" si="269"/>
        <v>0</v>
      </c>
      <c r="AE689" s="22">
        <f t="shared" si="269"/>
        <v>0</v>
      </c>
      <c r="AF689" s="22">
        <f t="shared" si="269"/>
        <v>0</v>
      </c>
      <c r="AG689" s="22">
        <f t="shared" si="269"/>
        <v>0</v>
      </c>
      <c r="AH689" s="22">
        <f t="shared" si="269"/>
        <v>0</v>
      </c>
      <c r="AI689" s="22">
        <f t="shared" si="269"/>
        <v>0</v>
      </c>
      <c r="AJ689" s="22">
        <f t="shared" si="269"/>
        <v>0</v>
      </c>
      <c r="AK689" s="22">
        <f t="shared" si="269"/>
        <v>0</v>
      </c>
      <c r="AL689" s="22">
        <f t="shared" si="269"/>
        <v>0</v>
      </c>
      <c r="AM689" s="22">
        <f t="shared" si="269"/>
        <v>0</v>
      </c>
      <c r="AN689" s="22">
        <f t="shared" si="269"/>
        <v>0</v>
      </c>
    </row>
    <row r="690" spans="2:40" outlineLevel="1" x14ac:dyDescent="0.3">
      <c r="B690" s="2"/>
      <c r="C690" s="2"/>
      <c r="D690" s="1" t="str">
        <f>Input!C144</f>
        <v>Керамзит 0-4 мм</v>
      </c>
      <c r="H690" s="26" t="s">
        <v>225</v>
      </c>
      <c r="I690" s="159">
        <f>Input!J144</f>
        <v>0</v>
      </c>
      <c r="L690" s="22">
        <f t="shared" si="270"/>
        <v>0</v>
      </c>
      <c r="M690" s="22">
        <f t="shared" si="269"/>
        <v>0</v>
      </c>
      <c r="N690" s="22">
        <f t="shared" si="269"/>
        <v>0</v>
      </c>
      <c r="O690" s="22">
        <f t="shared" si="269"/>
        <v>0</v>
      </c>
      <c r="P690" s="22">
        <f t="shared" si="269"/>
        <v>0</v>
      </c>
      <c r="Q690" s="22">
        <f t="shared" si="269"/>
        <v>0</v>
      </c>
      <c r="R690" s="22">
        <f t="shared" si="269"/>
        <v>0</v>
      </c>
      <c r="S690" s="22">
        <f t="shared" si="269"/>
        <v>0</v>
      </c>
      <c r="T690" s="22">
        <f t="shared" si="269"/>
        <v>0</v>
      </c>
      <c r="U690" s="22">
        <f t="shared" si="269"/>
        <v>0</v>
      </c>
      <c r="V690" s="22">
        <f t="shared" si="269"/>
        <v>0</v>
      </c>
      <c r="W690" s="22">
        <f t="shared" si="269"/>
        <v>0</v>
      </c>
      <c r="X690" s="22">
        <f t="shared" si="269"/>
        <v>0</v>
      </c>
      <c r="Y690" s="22">
        <f t="shared" si="269"/>
        <v>0</v>
      </c>
      <c r="Z690" s="22">
        <f t="shared" si="269"/>
        <v>0</v>
      </c>
      <c r="AA690" s="22">
        <f t="shared" si="269"/>
        <v>0</v>
      </c>
      <c r="AB690" s="22">
        <f t="shared" si="269"/>
        <v>0</v>
      </c>
      <c r="AC690" s="22">
        <f t="shared" si="269"/>
        <v>0</v>
      </c>
      <c r="AD690" s="22">
        <f t="shared" si="269"/>
        <v>0</v>
      </c>
      <c r="AE690" s="22">
        <f t="shared" si="269"/>
        <v>0</v>
      </c>
      <c r="AF690" s="22">
        <f t="shared" si="269"/>
        <v>0</v>
      </c>
      <c r="AG690" s="22">
        <f t="shared" si="269"/>
        <v>0</v>
      </c>
      <c r="AH690" s="22">
        <f t="shared" si="269"/>
        <v>0</v>
      </c>
      <c r="AI690" s="22">
        <f t="shared" si="269"/>
        <v>0</v>
      </c>
      <c r="AJ690" s="22">
        <f t="shared" si="269"/>
        <v>0</v>
      </c>
      <c r="AK690" s="22">
        <f t="shared" si="269"/>
        <v>0</v>
      </c>
      <c r="AL690" s="22">
        <f t="shared" si="269"/>
        <v>0</v>
      </c>
      <c r="AM690" s="22">
        <f t="shared" si="269"/>
        <v>0</v>
      </c>
      <c r="AN690" s="22">
        <f t="shared" si="269"/>
        <v>0</v>
      </c>
    </row>
    <row r="691" spans="2:40" outlineLevel="1" x14ac:dyDescent="0.3">
      <c r="B691" s="2"/>
      <c r="C691" s="2"/>
      <c r="H691" s="30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</row>
    <row r="692" spans="2:40" outlineLevel="1" x14ac:dyDescent="0.3">
      <c r="B692" s="2"/>
      <c r="C692" s="2" t="s">
        <v>285</v>
      </c>
      <c r="H692" s="26"/>
      <c r="I692" s="160"/>
      <c r="L692" s="34">
        <f>SUM(L685:L690)+SUM(L693:L696)</f>
        <v>9252.380000000001</v>
      </c>
      <c r="M692" s="34">
        <f t="shared" ref="M692:AN692" si="271">SUM(M685:M690)+SUM(M693:M696)</f>
        <v>9622.4752000000008</v>
      </c>
      <c r="N692" s="34">
        <f t="shared" si="271"/>
        <v>10007.374208000001</v>
      </c>
      <c r="O692" s="34">
        <f t="shared" si="271"/>
        <v>10407.66917632</v>
      </c>
      <c r="P692" s="34">
        <f t="shared" si="271"/>
        <v>10823.975943372803</v>
      </c>
      <c r="Q692" s="34">
        <f t="shared" si="271"/>
        <v>11256.934981107715</v>
      </c>
      <c r="R692" s="34">
        <f t="shared" si="271"/>
        <v>11707.212380352023</v>
      </c>
      <c r="S692" s="34">
        <f t="shared" si="271"/>
        <v>12175.500875566106</v>
      </c>
      <c r="T692" s="34">
        <f t="shared" si="271"/>
        <v>12662.52091058875</v>
      </c>
      <c r="U692" s="34">
        <f t="shared" si="271"/>
        <v>13169.021747012301</v>
      </c>
      <c r="V692" s="34">
        <f t="shared" si="271"/>
        <v>13695.782616892793</v>
      </c>
      <c r="W692" s="34">
        <f t="shared" si="271"/>
        <v>14243.613921568507</v>
      </c>
      <c r="X692" s="34">
        <f t="shared" si="271"/>
        <v>14813.358478431248</v>
      </c>
      <c r="Y692" s="34">
        <f t="shared" si="271"/>
        <v>15405.892817568498</v>
      </c>
      <c r="Z692" s="34">
        <f t="shared" si="271"/>
        <v>16022.128530271239</v>
      </c>
      <c r="AA692" s="34">
        <f t="shared" si="271"/>
        <v>16663.013671482087</v>
      </c>
      <c r="AB692" s="34">
        <f t="shared" si="271"/>
        <v>17329.53421834137</v>
      </c>
      <c r="AC692" s="34">
        <f t="shared" si="271"/>
        <v>18022.715587075028</v>
      </c>
      <c r="AD692" s="34">
        <f t="shared" si="271"/>
        <v>0</v>
      </c>
      <c r="AE692" s="34">
        <f t="shared" si="271"/>
        <v>0</v>
      </c>
      <c r="AF692" s="34">
        <f t="shared" si="271"/>
        <v>0</v>
      </c>
      <c r="AG692" s="34">
        <f t="shared" si="271"/>
        <v>0</v>
      </c>
      <c r="AH692" s="34">
        <f t="shared" si="271"/>
        <v>0</v>
      </c>
      <c r="AI692" s="34">
        <f t="shared" si="271"/>
        <v>0</v>
      </c>
      <c r="AJ692" s="34">
        <f t="shared" si="271"/>
        <v>0</v>
      </c>
      <c r="AK692" s="34">
        <f t="shared" si="271"/>
        <v>0</v>
      </c>
      <c r="AL692" s="34">
        <f t="shared" si="271"/>
        <v>0</v>
      </c>
      <c r="AM692" s="34">
        <f t="shared" si="271"/>
        <v>0</v>
      </c>
      <c r="AN692" s="34">
        <f t="shared" si="271"/>
        <v>0</v>
      </c>
    </row>
    <row r="693" spans="2:40" outlineLevel="1" x14ac:dyDescent="0.3">
      <c r="B693" s="2"/>
      <c r="C693" s="2"/>
      <c r="D693" s="1" t="s">
        <v>195</v>
      </c>
      <c r="H693" s="26" t="s">
        <v>225</v>
      </c>
      <c r="I693" s="159">
        <f>Input!J146</f>
        <v>0.15000000000000002</v>
      </c>
      <c r="L693" s="22">
        <f>INDEX(L$555:L$568,MATCH($D693,$D$555:$D$568,0))*$I693</f>
        <v>840.00000000000011</v>
      </c>
      <c r="M693" s="22">
        <f t="shared" ref="M693:AN696" si="272">INDEX(M$555:M$568,MATCH($D693,$D$555:$D$568,0))*$I693</f>
        <v>873.60000000000014</v>
      </c>
      <c r="N693" s="22">
        <f t="shared" si="272"/>
        <v>908.54400000000032</v>
      </c>
      <c r="O693" s="22">
        <f t="shared" si="272"/>
        <v>944.88576000000012</v>
      </c>
      <c r="P693" s="22">
        <f t="shared" si="272"/>
        <v>982.68119040000033</v>
      </c>
      <c r="Q693" s="22">
        <f t="shared" si="272"/>
        <v>1021.9884380160005</v>
      </c>
      <c r="R693" s="22">
        <f t="shared" si="272"/>
        <v>1062.8679755366404</v>
      </c>
      <c r="S693" s="22">
        <f t="shared" si="272"/>
        <v>1105.3826945581061</v>
      </c>
      <c r="T693" s="22">
        <f t="shared" si="272"/>
        <v>1149.5980023404304</v>
      </c>
      <c r="U693" s="22">
        <f t="shared" si="272"/>
        <v>1195.5819224340478</v>
      </c>
      <c r="V693" s="22">
        <f t="shared" si="272"/>
        <v>1243.4051993314097</v>
      </c>
      <c r="W693" s="22">
        <f t="shared" si="272"/>
        <v>1293.141407304666</v>
      </c>
      <c r="X693" s="22">
        <f t="shared" si="272"/>
        <v>1344.8670635968529</v>
      </c>
      <c r="Y693" s="22">
        <f t="shared" si="272"/>
        <v>1398.661746140727</v>
      </c>
      <c r="Z693" s="22">
        <f t="shared" si="272"/>
        <v>1454.6082159863561</v>
      </c>
      <c r="AA693" s="22">
        <f t="shared" si="272"/>
        <v>1512.7925446258103</v>
      </c>
      <c r="AB693" s="22">
        <f t="shared" si="272"/>
        <v>1573.3042464108428</v>
      </c>
      <c r="AC693" s="22">
        <f t="shared" si="272"/>
        <v>1636.2364162672766</v>
      </c>
      <c r="AD693" s="22">
        <f t="shared" si="272"/>
        <v>0</v>
      </c>
      <c r="AE693" s="22">
        <f t="shared" si="272"/>
        <v>0</v>
      </c>
      <c r="AF693" s="22">
        <f t="shared" si="272"/>
        <v>0</v>
      </c>
      <c r="AG693" s="22">
        <f t="shared" si="272"/>
        <v>0</v>
      </c>
      <c r="AH693" s="22">
        <f t="shared" si="272"/>
        <v>0</v>
      </c>
      <c r="AI693" s="22">
        <f t="shared" si="272"/>
        <v>0</v>
      </c>
      <c r="AJ693" s="22">
        <f t="shared" si="272"/>
        <v>0</v>
      </c>
      <c r="AK693" s="22">
        <f t="shared" si="272"/>
        <v>0</v>
      </c>
      <c r="AL693" s="22">
        <f t="shared" si="272"/>
        <v>0</v>
      </c>
      <c r="AM693" s="22">
        <f t="shared" si="272"/>
        <v>0</v>
      </c>
      <c r="AN693" s="22">
        <f t="shared" si="272"/>
        <v>0</v>
      </c>
    </row>
    <row r="694" spans="2:40" outlineLevel="1" x14ac:dyDescent="0.3">
      <c r="B694" s="2"/>
      <c r="C694" s="2"/>
      <c r="D694" s="1" t="str">
        <f>Input!C147</f>
        <v>Эфир целлюлозы Mecellose PMC 50 US или FMC 2094</v>
      </c>
      <c r="H694" s="26" t="s">
        <v>225</v>
      </c>
      <c r="I694" s="159">
        <f>Input!J147</f>
        <v>1E-3</v>
      </c>
      <c r="L694" s="22">
        <f t="shared" ref="L694:AA695" si="273">INDEX(L$555:L$568,MATCH($D694,$D$555:$D$568,0))*$I694</f>
        <v>301</v>
      </c>
      <c r="M694" s="22">
        <f t="shared" si="273"/>
        <v>313.04000000000002</v>
      </c>
      <c r="N694" s="22">
        <f t="shared" si="273"/>
        <v>325.56160000000006</v>
      </c>
      <c r="O694" s="22">
        <f t="shared" si="273"/>
        <v>338.58406400000001</v>
      </c>
      <c r="P694" s="22">
        <f t="shared" si="273"/>
        <v>352.12742656000006</v>
      </c>
      <c r="Q694" s="22">
        <f t="shared" si="273"/>
        <v>366.21252362240011</v>
      </c>
      <c r="R694" s="22">
        <f t="shared" si="273"/>
        <v>380.86102456729611</v>
      </c>
      <c r="S694" s="22">
        <f t="shared" si="273"/>
        <v>396.09546554998798</v>
      </c>
      <c r="T694" s="22">
        <f t="shared" si="273"/>
        <v>411.93928417198748</v>
      </c>
      <c r="U694" s="22">
        <f t="shared" si="273"/>
        <v>428.41685553886708</v>
      </c>
      <c r="V694" s="22">
        <f t="shared" si="273"/>
        <v>445.55352976042172</v>
      </c>
      <c r="W694" s="22">
        <f t="shared" si="273"/>
        <v>463.37567095083858</v>
      </c>
      <c r="X694" s="22">
        <f t="shared" si="273"/>
        <v>481.91069778887226</v>
      </c>
      <c r="Y694" s="22">
        <f t="shared" si="273"/>
        <v>501.18712570042709</v>
      </c>
      <c r="Z694" s="22">
        <f t="shared" si="273"/>
        <v>521.23461072844418</v>
      </c>
      <c r="AA694" s="22">
        <f t="shared" si="273"/>
        <v>542.08399515758197</v>
      </c>
      <c r="AB694" s="22">
        <f t="shared" si="272"/>
        <v>563.76735496388528</v>
      </c>
      <c r="AC694" s="22">
        <f t="shared" si="272"/>
        <v>586.31804916244073</v>
      </c>
      <c r="AD694" s="22">
        <f t="shared" si="272"/>
        <v>0</v>
      </c>
      <c r="AE694" s="22">
        <f t="shared" si="272"/>
        <v>0</v>
      </c>
      <c r="AF694" s="22">
        <f t="shared" si="272"/>
        <v>0</v>
      </c>
      <c r="AG694" s="22">
        <f t="shared" si="272"/>
        <v>0</v>
      </c>
      <c r="AH694" s="22">
        <f t="shared" si="272"/>
        <v>0</v>
      </c>
      <c r="AI694" s="22">
        <f t="shared" si="272"/>
        <v>0</v>
      </c>
      <c r="AJ694" s="22">
        <f t="shared" si="272"/>
        <v>0</v>
      </c>
      <c r="AK694" s="22">
        <f t="shared" si="272"/>
        <v>0</v>
      </c>
      <c r="AL694" s="22">
        <f t="shared" si="272"/>
        <v>0</v>
      </c>
      <c r="AM694" s="22">
        <f t="shared" si="272"/>
        <v>0</v>
      </c>
      <c r="AN694" s="22">
        <f t="shared" si="272"/>
        <v>0</v>
      </c>
    </row>
    <row r="695" spans="2:40" outlineLevel="1" x14ac:dyDescent="0.3">
      <c r="B695" s="2"/>
      <c r="C695" s="2"/>
      <c r="D695" s="1" t="str">
        <f>Input!C148</f>
        <v>Редиспергируемый сополимерный порошок Neolith P 7200</v>
      </c>
      <c r="H695" s="26" t="s">
        <v>225</v>
      </c>
      <c r="I695" s="159">
        <f>Input!J148</f>
        <v>0.02</v>
      </c>
      <c r="L695" s="22">
        <f t="shared" si="273"/>
        <v>3500</v>
      </c>
      <c r="M695" s="22">
        <f t="shared" si="272"/>
        <v>3640</v>
      </c>
      <c r="N695" s="22">
        <f t="shared" si="272"/>
        <v>3785.6000000000008</v>
      </c>
      <c r="O695" s="22">
        <f t="shared" si="272"/>
        <v>3937.0240000000003</v>
      </c>
      <c r="P695" s="22">
        <f t="shared" si="272"/>
        <v>4094.5049600000011</v>
      </c>
      <c r="Q695" s="22">
        <f t="shared" si="272"/>
        <v>4258.2851584000009</v>
      </c>
      <c r="R695" s="22">
        <f t="shared" si="272"/>
        <v>4428.6165647360012</v>
      </c>
      <c r="S695" s="22">
        <f t="shared" si="272"/>
        <v>4605.7612273254417</v>
      </c>
      <c r="T695" s="22">
        <f t="shared" si="272"/>
        <v>4789.9916764184591</v>
      </c>
      <c r="U695" s="22">
        <f t="shared" si="272"/>
        <v>4981.5913434751983</v>
      </c>
      <c r="V695" s="22">
        <f t="shared" si="272"/>
        <v>5180.8549972142055</v>
      </c>
      <c r="W695" s="22">
        <f t="shared" si="272"/>
        <v>5388.089197102775</v>
      </c>
      <c r="X695" s="22">
        <f t="shared" si="272"/>
        <v>5603.6127649868858</v>
      </c>
      <c r="Y695" s="22">
        <f t="shared" si="272"/>
        <v>5827.7572755863621</v>
      </c>
      <c r="Z695" s="22">
        <f t="shared" si="272"/>
        <v>6060.8675666098161</v>
      </c>
      <c r="AA695" s="22">
        <f t="shared" si="272"/>
        <v>6303.3022692742088</v>
      </c>
      <c r="AB695" s="22">
        <f t="shared" si="272"/>
        <v>6555.4343600451775</v>
      </c>
      <c r="AC695" s="22">
        <f t="shared" si="272"/>
        <v>6817.6517344469848</v>
      </c>
      <c r="AD695" s="22">
        <f t="shared" si="272"/>
        <v>0</v>
      </c>
      <c r="AE695" s="22">
        <f t="shared" si="272"/>
        <v>0</v>
      </c>
      <c r="AF695" s="22">
        <f t="shared" si="272"/>
        <v>0</v>
      </c>
      <c r="AG695" s="22">
        <f t="shared" si="272"/>
        <v>0</v>
      </c>
      <c r="AH695" s="22">
        <f t="shared" si="272"/>
        <v>0</v>
      </c>
      <c r="AI695" s="22">
        <f t="shared" si="272"/>
        <v>0</v>
      </c>
      <c r="AJ695" s="22">
        <f t="shared" si="272"/>
        <v>0</v>
      </c>
      <c r="AK695" s="22">
        <f t="shared" si="272"/>
        <v>0</v>
      </c>
      <c r="AL695" s="22">
        <f t="shared" si="272"/>
        <v>0</v>
      </c>
      <c r="AM695" s="22">
        <f t="shared" si="272"/>
        <v>0</v>
      </c>
      <c r="AN695" s="22">
        <f t="shared" si="272"/>
        <v>0</v>
      </c>
    </row>
    <row r="696" spans="2:40" outlineLevel="1" x14ac:dyDescent="0.3">
      <c r="B696" s="2"/>
      <c r="C696" s="2"/>
      <c r="D696" s="1" t="str">
        <f>Input!C149</f>
        <v>Порообразователь Esapon 1214</v>
      </c>
      <c r="H696" s="26" t="s">
        <v>225</v>
      </c>
      <c r="I696" s="159">
        <f>Input!J149</f>
        <v>1E-4</v>
      </c>
      <c r="L696" s="22">
        <f>INDEX(L$555:L$568,MATCH($D696,$D$555:$D$568,0))*$I696</f>
        <v>38.5</v>
      </c>
      <c r="M696" s="22">
        <f t="shared" si="272"/>
        <v>40.04</v>
      </c>
      <c r="N696" s="22">
        <f t="shared" si="272"/>
        <v>41.641600000000011</v>
      </c>
      <c r="O696" s="22">
        <f t="shared" si="272"/>
        <v>43.307264000000004</v>
      </c>
      <c r="P696" s="22">
        <f t="shared" si="272"/>
        <v>45.039554560000006</v>
      </c>
      <c r="Q696" s="22">
        <f t="shared" si="272"/>
        <v>46.84113674240001</v>
      </c>
      <c r="R696" s="22">
        <f t="shared" si="272"/>
        <v>48.714782212096019</v>
      </c>
      <c r="S696" s="22">
        <f t="shared" si="272"/>
        <v>50.663373500579858</v>
      </c>
      <c r="T696" s="22">
        <f t="shared" si="272"/>
        <v>52.689908440603048</v>
      </c>
      <c r="U696" s="22">
        <f t="shared" si="272"/>
        <v>54.797504778227179</v>
      </c>
      <c r="V696" s="22">
        <f t="shared" si="272"/>
        <v>56.989404969356272</v>
      </c>
      <c r="W696" s="22">
        <f t="shared" si="272"/>
        <v>59.268981168130523</v>
      </c>
      <c r="X696" s="22">
        <f t="shared" si="272"/>
        <v>61.639740414855751</v>
      </c>
      <c r="Y696" s="22">
        <f t="shared" si="272"/>
        <v>64.105330031449981</v>
      </c>
      <c r="Z696" s="22">
        <f t="shared" si="272"/>
        <v>66.66954323270798</v>
      </c>
      <c r="AA696" s="22">
        <f t="shared" si="272"/>
        <v>69.336324962016306</v>
      </c>
      <c r="AB696" s="22">
        <f t="shared" si="272"/>
        <v>72.109777960496956</v>
      </c>
      <c r="AC696" s="22">
        <f t="shared" si="272"/>
        <v>74.99416907891684</v>
      </c>
      <c r="AD696" s="22">
        <f t="shared" si="272"/>
        <v>0</v>
      </c>
      <c r="AE696" s="22">
        <f t="shared" si="272"/>
        <v>0</v>
      </c>
      <c r="AF696" s="22">
        <f t="shared" si="272"/>
        <v>0</v>
      </c>
      <c r="AG696" s="22">
        <f t="shared" si="272"/>
        <v>0</v>
      </c>
      <c r="AH696" s="22">
        <f t="shared" si="272"/>
        <v>0</v>
      </c>
      <c r="AI696" s="22">
        <f t="shared" si="272"/>
        <v>0</v>
      </c>
      <c r="AJ696" s="22">
        <f t="shared" si="272"/>
        <v>0</v>
      </c>
      <c r="AK696" s="22">
        <f t="shared" si="272"/>
        <v>0</v>
      </c>
      <c r="AL696" s="22">
        <f t="shared" si="272"/>
        <v>0</v>
      </c>
      <c r="AM696" s="22">
        <f t="shared" si="272"/>
        <v>0</v>
      </c>
      <c r="AN696" s="22">
        <f t="shared" si="272"/>
        <v>0</v>
      </c>
    </row>
    <row r="697" spans="2:40" outlineLevel="1" x14ac:dyDescent="0.3">
      <c r="B697" s="2"/>
      <c r="C697" s="2"/>
      <c r="H697" s="30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</row>
    <row r="698" spans="2:40" outlineLevel="1" x14ac:dyDescent="0.3">
      <c r="B698" s="2"/>
      <c r="C698" s="2" t="s">
        <v>286</v>
      </c>
      <c r="H698" s="26"/>
      <c r="I698" s="160"/>
      <c r="L698" s="34">
        <f>SUM(L685:L690)+SUM(L699:L703)</f>
        <v>6298.2350000000006</v>
      </c>
      <c r="M698" s="34">
        <f t="shared" ref="M698:AN698" si="274">SUM(M685:M690)+SUM(M699:M703)</f>
        <v>6550.1644000000006</v>
      </c>
      <c r="N698" s="34">
        <f t="shared" si="274"/>
        <v>6812.1709760000012</v>
      </c>
      <c r="O698" s="34">
        <f t="shared" si="274"/>
        <v>7084.6578150400001</v>
      </c>
      <c r="P698" s="34">
        <f t="shared" si="274"/>
        <v>7368.0441276416022</v>
      </c>
      <c r="Q698" s="34">
        <f t="shared" si="274"/>
        <v>7662.7658927472667</v>
      </c>
      <c r="R698" s="34">
        <f t="shared" si="274"/>
        <v>7969.2765284571569</v>
      </c>
      <c r="S698" s="34">
        <f t="shared" si="274"/>
        <v>8288.0475895954442</v>
      </c>
      <c r="T698" s="34">
        <f t="shared" si="274"/>
        <v>8619.5694931792605</v>
      </c>
      <c r="U698" s="34">
        <f t="shared" si="274"/>
        <v>8964.3522729064316</v>
      </c>
      <c r="V698" s="34">
        <f t="shared" si="274"/>
        <v>9322.9263638226912</v>
      </c>
      <c r="W698" s="34">
        <f t="shared" si="274"/>
        <v>9695.8434183755999</v>
      </c>
      <c r="X698" s="34">
        <f t="shared" si="274"/>
        <v>10083.677155110623</v>
      </c>
      <c r="Y698" s="34">
        <f t="shared" si="274"/>
        <v>10487.024241315048</v>
      </c>
      <c r="Z698" s="34">
        <f t="shared" si="274"/>
        <v>10906.505210967651</v>
      </c>
      <c r="AA698" s="34">
        <f t="shared" si="274"/>
        <v>11342.765419406358</v>
      </c>
      <c r="AB698" s="34">
        <f t="shared" si="274"/>
        <v>11796.47603618261</v>
      </c>
      <c r="AC698" s="34">
        <f t="shared" si="274"/>
        <v>12268.335077629916</v>
      </c>
      <c r="AD698" s="34">
        <f t="shared" si="274"/>
        <v>0</v>
      </c>
      <c r="AE698" s="34">
        <f t="shared" si="274"/>
        <v>0</v>
      </c>
      <c r="AF698" s="34">
        <f t="shared" si="274"/>
        <v>0</v>
      </c>
      <c r="AG698" s="34">
        <f t="shared" si="274"/>
        <v>0</v>
      </c>
      <c r="AH698" s="34">
        <f t="shared" si="274"/>
        <v>0</v>
      </c>
      <c r="AI698" s="34">
        <f t="shared" si="274"/>
        <v>0</v>
      </c>
      <c r="AJ698" s="34">
        <f t="shared" si="274"/>
        <v>0</v>
      </c>
      <c r="AK698" s="34">
        <f t="shared" si="274"/>
        <v>0</v>
      </c>
      <c r="AL698" s="34">
        <f t="shared" si="274"/>
        <v>0</v>
      </c>
      <c r="AM698" s="34">
        <f t="shared" si="274"/>
        <v>0</v>
      </c>
      <c r="AN698" s="34">
        <f t="shared" si="274"/>
        <v>0</v>
      </c>
    </row>
    <row r="699" spans="2:40" outlineLevel="1" x14ac:dyDescent="0.3">
      <c r="B699" s="2"/>
      <c r="C699" s="2"/>
      <c r="D699" s="1" t="s">
        <v>195</v>
      </c>
      <c r="H699" s="26" t="s">
        <v>225</v>
      </c>
      <c r="I699" s="159">
        <f>Input!J151</f>
        <v>0.16405000000000003</v>
      </c>
      <c r="L699" s="22">
        <f>INDEX(L$555:L$568,MATCH($D699,$D$555:$D$568,0))*$I699</f>
        <v>918.68000000000018</v>
      </c>
      <c r="M699" s="22">
        <f t="shared" ref="M699:AN703" si="275">INDEX(M$555:M$568,MATCH($D699,$D$555:$D$568,0))*$I699</f>
        <v>955.4272000000002</v>
      </c>
      <c r="N699" s="22">
        <f t="shared" si="275"/>
        <v>993.6442880000003</v>
      </c>
      <c r="O699" s="22">
        <f t="shared" si="275"/>
        <v>1033.3900595200002</v>
      </c>
      <c r="P699" s="22">
        <f t="shared" si="275"/>
        <v>1074.7256619008006</v>
      </c>
      <c r="Q699" s="22">
        <f t="shared" si="275"/>
        <v>1117.7146883768326</v>
      </c>
      <c r="R699" s="22">
        <f t="shared" si="275"/>
        <v>1162.4232759119059</v>
      </c>
      <c r="S699" s="22">
        <f t="shared" si="275"/>
        <v>1208.9202069483822</v>
      </c>
      <c r="T699" s="22">
        <f t="shared" si="275"/>
        <v>1257.2770152263174</v>
      </c>
      <c r="U699" s="22">
        <f t="shared" si="275"/>
        <v>1307.5680958353703</v>
      </c>
      <c r="V699" s="22">
        <f t="shared" si="275"/>
        <v>1359.8708196687851</v>
      </c>
      <c r="W699" s="22">
        <f t="shared" si="275"/>
        <v>1414.2656524555366</v>
      </c>
      <c r="X699" s="22">
        <f t="shared" si="275"/>
        <v>1470.8362785537583</v>
      </c>
      <c r="Y699" s="22">
        <f t="shared" si="275"/>
        <v>1529.6697296959085</v>
      </c>
      <c r="Z699" s="22">
        <f t="shared" si="275"/>
        <v>1590.8565188837447</v>
      </c>
      <c r="AA699" s="22">
        <f t="shared" si="275"/>
        <v>1654.4907796390946</v>
      </c>
      <c r="AB699" s="22">
        <f t="shared" si="275"/>
        <v>1720.6704108246583</v>
      </c>
      <c r="AC699" s="22">
        <f t="shared" si="275"/>
        <v>1789.4972272576449</v>
      </c>
      <c r="AD699" s="22">
        <f t="shared" si="275"/>
        <v>0</v>
      </c>
      <c r="AE699" s="22">
        <f t="shared" si="275"/>
        <v>0</v>
      </c>
      <c r="AF699" s="22">
        <f t="shared" si="275"/>
        <v>0</v>
      </c>
      <c r="AG699" s="22">
        <f t="shared" si="275"/>
        <v>0</v>
      </c>
      <c r="AH699" s="22">
        <f t="shared" si="275"/>
        <v>0</v>
      </c>
      <c r="AI699" s="22">
        <f t="shared" si="275"/>
        <v>0</v>
      </c>
      <c r="AJ699" s="22">
        <f t="shared" si="275"/>
        <v>0</v>
      </c>
      <c r="AK699" s="22">
        <f t="shared" si="275"/>
        <v>0</v>
      </c>
      <c r="AL699" s="22">
        <f t="shared" si="275"/>
        <v>0</v>
      </c>
      <c r="AM699" s="22">
        <f t="shared" si="275"/>
        <v>0</v>
      </c>
      <c r="AN699" s="22">
        <f t="shared" si="275"/>
        <v>0</v>
      </c>
    </row>
    <row r="700" spans="2:40" outlineLevel="1" x14ac:dyDescent="0.3">
      <c r="B700" s="2"/>
      <c r="C700" s="2"/>
      <c r="D700" s="1" t="str">
        <f>Input!C152</f>
        <v>Эфир крахмала Esamid NA</v>
      </c>
      <c r="H700" s="26" t="s">
        <v>225</v>
      </c>
      <c r="I700" s="159">
        <f>Input!J152</f>
        <v>5.0000000000000002E-5</v>
      </c>
      <c r="L700" s="22">
        <f t="shared" ref="L700:AA703" si="276">INDEX(L$555:L$568,MATCH($D700,$D$555:$D$568,0))*$I700</f>
        <v>19.775000000000002</v>
      </c>
      <c r="M700" s="22">
        <f t="shared" si="276"/>
        <v>20.566000000000003</v>
      </c>
      <c r="N700" s="22">
        <f t="shared" si="276"/>
        <v>21.388640000000002</v>
      </c>
      <c r="O700" s="22">
        <f t="shared" si="276"/>
        <v>22.244185600000005</v>
      </c>
      <c r="P700" s="22">
        <f t="shared" si="276"/>
        <v>23.133953024000007</v>
      </c>
      <c r="Q700" s="22">
        <f t="shared" si="276"/>
        <v>24.059311144960009</v>
      </c>
      <c r="R700" s="22">
        <f t="shared" si="276"/>
        <v>25.021683590758411</v>
      </c>
      <c r="S700" s="22">
        <f t="shared" si="276"/>
        <v>26.022550934388747</v>
      </c>
      <c r="T700" s="22">
        <f t="shared" si="276"/>
        <v>27.063452971764296</v>
      </c>
      <c r="U700" s="22">
        <f t="shared" si="276"/>
        <v>28.145991090634869</v>
      </c>
      <c r="V700" s="22">
        <f t="shared" si="276"/>
        <v>29.271830734260266</v>
      </c>
      <c r="W700" s="22">
        <f t="shared" si="276"/>
        <v>30.442703963630677</v>
      </c>
      <c r="X700" s="22">
        <f t="shared" si="276"/>
        <v>31.660412122175909</v>
      </c>
      <c r="Y700" s="22">
        <f t="shared" si="276"/>
        <v>32.926828607062944</v>
      </c>
      <c r="Z700" s="22">
        <f t="shared" si="276"/>
        <v>34.243901751345462</v>
      </c>
      <c r="AA700" s="22">
        <f t="shared" si="276"/>
        <v>35.613657821399279</v>
      </c>
      <c r="AB700" s="22">
        <f t="shared" si="275"/>
        <v>37.038204134255253</v>
      </c>
      <c r="AC700" s="22">
        <f t="shared" si="275"/>
        <v>38.51973229962546</v>
      </c>
      <c r="AD700" s="22">
        <f t="shared" si="275"/>
        <v>0</v>
      </c>
      <c r="AE700" s="22">
        <f t="shared" si="275"/>
        <v>0</v>
      </c>
      <c r="AF700" s="22">
        <f t="shared" si="275"/>
        <v>0</v>
      </c>
      <c r="AG700" s="22">
        <f t="shared" si="275"/>
        <v>0</v>
      </c>
      <c r="AH700" s="22">
        <f t="shared" si="275"/>
        <v>0</v>
      </c>
      <c r="AI700" s="22">
        <f t="shared" si="275"/>
        <v>0</v>
      </c>
      <c r="AJ700" s="22">
        <f t="shared" si="275"/>
        <v>0</v>
      </c>
      <c r="AK700" s="22">
        <f t="shared" si="275"/>
        <v>0</v>
      </c>
      <c r="AL700" s="22">
        <f t="shared" si="275"/>
        <v>0</v>
      </c>
      <c r="AM700" s="22">
        <f t="shared" si="275"/>
        <v>0</v>
      </c>
      <c r="AN700" s="22">
        <f t="shared" si="275"/>
        <v>0</v>
      </c>
    </row>
    <row r="701" spans="2:40" outlineLevel="1" x14ac:dyDescent="0.3">
      <c r="B701" s="2"/>
      <c r="C701" s="2"/>
      <c r="D701" s="1" t="str">
        <f>Input!C153</f>
        <v>Гидрофобизатор (олеат Na, стеараты)</v>
      </c>
      <c r="H701" s="26" t="s">
        <v>225</v>
      </c>
      <c r="I701" s="159">
        <f>Input!J153</f>
        <v>1E-3</v>
      </c>
      <c r="L701" s="22">
        <f t="shared" si="276"/>
        <v>283.5</v>
      </c>
      <c r="M701" s="22">
        <f t="shared" si="275"/>
        <v>294.84000000000003</v>
      </c>
      <c r="N701" s="22">
        <f t="shared" si="275"/>
        <v>306.63360000000006</v>
      </c>
      <c r="O701" s="22">
        <f t="shared" si="275"/>
        <v>318.89894400000003</v>
      </c>
      <c r="P701" s="22">
        <f t="shared" si="275"/>
        <v>331.65490176000003</v>
      </c>
      <c r="Q701" s="22">
        <f t="shared" si="275"/>
        <v>344.92109783040013</v>
      </c>
      <c r="R701" s="22">
        <f t="shared" si="275"/>
        <v>358.71794174361617</v>
      </c>
      <c r="S701" s="22">
        <f t="shared" si="275"/>
        <v>373.06665941336075</v>
      </c>
      <c r="T701" s="22">
        <f t="shared" si="275"/>
        <v>387.98932578989519</v>
      </c>
      <c r="U701" s="22">
        <f t="shared" si="275"/>
        <v>403.50889882149107</v>
      </c>
      <c r="V701" s="22">
        <f t="shared" si="275"/>
        <v>419.64925477435071</v>
      </c>
      <c r="W701" s="22">
        <f t="shared" si="275"/>
        <v>436.43522496532478</v>
      </c>
      <c r="X701" s="22">
        <f t="shared" si="275"/>
        <v>453.89263396393778</v>
      </c>
      <c r="Y701" s="22">
        <f t="shared" si="275"/>
        <v>472.04833932249528</v>
      </c>
      <c r="Z701" s="22">
        <f t="shared" si="275"/>
        <v>490.93027289539515</v>
      </c>
      <c r="AA701" s="22">
        <f t="shared" si="275"/>
        <v>510.56748381121093</v>
      </c>
      <c r="AB701" s="22">
        <f t="shared" si="275"/>
        <v>530.99018316365925</v>
      </c>
      <c r="AC701" s="22">
        <f t="shared" si="275"/>
        <v>552.2297904902058</v>
      </c>
      <c r="AD701" s="22">
        <f t="shared" si="275"/>
        <v>0</v>
      </c>
      <c r="AE701" s="22">
        <f t="shared" si="275"/>
        <v>0</v>
      </c>
      <c r="AF701" s="22">
        <f t="shared" si="275"/>
        <v>0</v>
      </c>
      <c r="AG701" s="22">
        <f t="shared" si="275"/>
        <v>0</v>
      </c>
      <c r="AH701" s="22">
        <f t="shared" si="275"/>
        <v>0</v>
      </c>
      <c r="AI701" s="22">
        <f t="shared" si="275"/>
        <v>0</v>
      </c>
      <c r="AJ701" s="22">
        <f t="shared" si="275"/>
        <v>0</v>
      </c>
      <c r="AK701" s="22">
        <f t="shared" si="275"/>
        <v>0</v>
      </c>
      <c r="AL701" s="22">
        <f t="shared" si="275"/>
        <v>0</v>
      </c>
      <c r="AM701" s="22">
        <f t="shared" si="275"/>
        <v>0</v>
      </c>
      <c r="AN701" s="22">
        <f t="shared" si="275"/>
        <v>0</v>
      </c>
    </row>
    <row r="702" spans="2:40" outlineLevel="1" x14ac:dyDescent="0.3">
      <c r="B702" s="2"/>
      <c r="C702" s="2"/>
      <c r="D702" s="1" t="str">
        <f>Input!C154</f>
        <v>Суперпластификатор Melment F 10</v>
      </c>
      <c r="H702" s="26" t="s">
        <v>225</v>
      </c>
      <c r="I702" s="159">
        <f>Input!J154</f>
        <v>1E-3</v>
      </c>
      <c r="L702" s="22">
        <f t="shared" si="276"/>
        <v>253.4</v>
      </c>
      <c r="M702" s="22">
        <f t="shared" si="275"/>
        <v>263.536</v>
      </c>
      <c r="N702" s="22">
        <f t="shared" si="275"/>
        <v>274.07744000000002</v>
      </c>
      <c r="O702" s="22">
        <f t="shared" si="275"/>
        <v>285.04053760000005</v>
      </c>
      <c r="P702" s="22">
        <f t="shared" si="275"/>
        <v>296.4421591040001</v>
      </c>
      <c r="Q702" s="22">
        <f t="shared" si="275"/>
        <v>308.29984546816013</v>
      </c>
      <c r="R702" s="22">
        <f t="shared" si="275"/>
        <v>320.63183928688653</v>
      </c>
      <c r="S702" s="22">
        <f t="shared" si="275"/>
        <v>333.457112858362</v>
      </c>
      <c r="T702" s="22">
        <f t="shared" si="275"/>
        <v>346.79539737269641</v>
      </c>
      <c r="U702" s="22">
        <f t="shared" si="275"/>
        <v>360.66721326760438</v>
      </c>
      <c r="V702" s="22">
        <f t="shared" si="275"/>
        <v>375.09390179830854</v>
      </c>
      <c r="W702" s="22">
        <f t="shared" si="275"/>
        <v>390.09765787024088</v>
      </c>
      <c r="X702" s="22">
        <f t="shared" si="275"/>
        <v>405.70156418505059</v>
      </c>
      <c r="Y702" s="22">
        <f t="shared" si="275"/>
        <v>421.92962675245258</v>
      </c>
      <c r="Z702" s="22">
        <f t="shared" si="275"/>
        <v>438.80681182255069</v>
      </c>
      <c r="AA702" s="22">
        <f t="shared" si="275"/>
        <v>456.3590842954527</v>
      </c>
      <c r="AB702" s="22">
        <f t="shared" si="275"/>
        <v>474.61344766727086</v>
      </c>
      <c r="AC702" s="22">
        <f t="shared" si="275"/>
        <v>493.59798557396169</v>
      </c>
      <c r="AD702" s="22">
        <f t="shared" si="275"/>
        <v>0</v>
      </c>
      <c r="AE702" s="22">
        <f t="shared" si="275"/>
        <v>0</v>
      </c>
      <c r="AF702" s="22">
        <f t="shared" si="275"/>
        <v>0</v>
      </c>
      <c r="AG702" s="22">
        <f t="shared" si="275"/>
        <v>0</v>
      </c>
      <c r="AH702" s="22">
        <f t="shared" si="275"/>
        <v>0</v>
      </c>
      <c r="AI702" s="22">
        <f t="shared" si="275"/>
        <v>0</v>
      </c>
      <c r="AJ702" s="22">
        <f t="shared" si="275"/>
        <v>0</v>
      </c>
      <c r="AK702" s="22">
        <f t="shared" si="275"/>
        <v>0</v>
      </c>
      <c r="AL702" s="22">
        <f t="shared" si="275"/>
        <v>0</v>
      </c>
      <c r="AM702" s="22">
        <f t="shared" si="275"/>
        <v>0</v>
      </c>
      <c r="AN702" s="22">
        <f t="shared" si="275"/>
        <v>0</v>
      </c>
    </row>
    <row r="703" spans="2:40" outlineLevel="1" x14ac:dyDescent="0.3">
      <c r="B703" s="2"/>
      <c r="C703" s="2"/>
      <c r="D703" s="1" t="str">
        <f>Input!C155</f>
        <v>Ускоритель схватывания (формиат Са)</v>
      </c>
      <c r="H703" s="26" t="s">
        <v>225</v>
      </c>
      <c r="I703" s="159">
        <f>Input!J155</f>
        <v>5.0000000000000001E-3</v>
      </c>
      <c r="L703" s="22">
        <f t="shared" si="276"/>
        <v>250</v>
      </c>
      <c r="M703" s="22">
        <f t="shared" si="275"/>
        <v>260</v>
      </c>
      <c r="N703" s="22">
        <f t="shared" si="275"/>
        <v>270.40000000000003</v>
      </c>
      <c r="O703" s="22">
        <f t="shared" si="275"/>
        <v>281.21600000000001</v>
      </c>
      <c r="P703" s="22">
        <f t="shared" si="275"/>
        <v>292.46464000000003</v>
      </c>
      <c r="Q703" s="22">
        <f t="shared" si="275"/>
        <v>304.16322560000009</v>
      </c>
      <c r="R703" s="22">
        <f t="shared" si="275"/>
        <v>316.32975462400009</v>
      </c>
      <c r="S703" s="22">
        <f t="shared" si="275"/>
        <v>328.9829448089601</v>
      </c>
      <c r="T703" s="22">
        <f t="shared" si="275"/>
        <v>342.14226260131852</v>
      </c>
      <c r="U703" s="22">
        <f t="shared" si="275"/>
        <v>355.82795310537125</v>
      </c>
      <c r="V703" s="22">
        <f t="shared" si="275"/>
        <v>370.06107122958616</v>
      </c>
      <c r="W703" s="22">
        <f t="shared" si="275"/>
        <v>384.86351407876958</v>
      </c>
      <c r="X703" s="22">
        <f t="shared" si="275"/>
        <v>400.25805464192047</v>
      </c>
      <c r="Y703" s="22">
        <f t="shared" si="275"/>
        <v>416.26837682759725</v>
      </c>
      <c r="Z703" s="22">
        <f t="shared" si="275"/>
        <v>432.91911190070118</v>
      </c>
      <c r="AA703" s="22">
        <f t="shared" si="275"/>
        <v>450.23587637672921</v>
      </c>
      <c r="AB703" s="22">
        <f t="shared" si="275"/>
        <v>468.24531143179843</v>
      </c>
      <c r="AC703" s="22">
        <f t="shared" si="275"/>
        <v>486.97512388907035</v>
      </c>
      <c r="AD703" s="22">
        <f t="shared" si="275"/>
        <v>0</v>
      </c>
      <c r="AE703" s="22">
        <f t="shared" si="275"/>
        <v>0</v>
      </c>
      <c r="AF703" s="22">
        <f t="shared" si="275"/>
        <v>0</v>
      </c>
      <c r="AG703" s="22">
        <f t="shared" si="275"/>
        <v>0</v>
      </c>
      <c r="AH703" s="22">
        <f t="shared" si="275"/>
        <v>0</v>
      </c>
      <c r="AI703" s="22">
        <f t="shared" si="275"/>
        <v>0</v>
      </c>
      <c r="AJ703" s="22">
        <f t="shared" si="275"/>
        <v>0</v>
      </c>
      <c r="AK703" s="22">
        <f t="shared" si="275"/>
        <v>0</v>
      </c>
      <c r="AL703" s="22">
        <f t="shared" si="275"/>
        <v>0</v>
      </c>
      <c r="AM703" s="22">
        <f t="shared" si="275"/>
        <v>0</v>
      </c>
      <c r="AN703" s="22">
        <f t="shared" si="275"/>
        <v>0</v>
      </c>
    </row>
    <row r="704" spans="2:40" outlineLevel="1" x14ac:dyDescent="0.3">
      <c r="B704" s="2"/>
      <c r="I704" s="17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</row>
    <row r="705" spans="2:40" outlineLevel="1" x14ac:dyDescent="0.3">
      <c r="B705" s="2"/>
      <c r="C705" s="11" t="s">
        <v>406</v>
      </c>
      <c r="H705" s="26" t="s">
        <v>9</v>
      </c>
      <c r="I705" s="174"/>
      <c r="L705" s="181">
        <f>IFERROR((L441-L692)/L441,0)</f>
        <v>0.1831570583561401</v>
      </c>
      <c r="M705" s="181">
        <f t="shared" ref="M705:AN705" si="277">IFERROR((M441-M692)/M441,0)</f>
        <v>0.18315705835614013</v>
      </c>
      <c r="N705" s="181">
        <f t="shared" si="277"/>
        <v>0.18315705835614021</v>
      </c>
      <c r="O705" s="181">
        <f t="shared" si="277"/>
        <v>0.1831570583561403</v>
      </c>
      <c r="P705" s="181">
        <f t="shared" si="277"/>
        <v>0.18315705835614007</v>
      </c>
      <c r="Q705" s="181">
        <f t="shared" si="277"/>
        <v>0.18315705835614021</v>
      </c>
      <c r="R705" s="181">
        <f t="shared" si="277"/>
        <v>0.18315705835614032</v>
      </c>
      <c r="S705" s="181">
        <f t="shared" si="277"/>
        <v>0.18315705835614024</v>
      </c>
      <c r="T705" s="181">
        <f t="shared" si="277"/>
        <v>0.18315705835614021</v>
      </c>
      <c r="U705" s="181">
        <f t="shared" si="277"/>
        <v>0.18315705835614024</v>
      </c>
      <c r="V705" s="181">
        <f t="shared" si="277"/>
        <v>0.18315705835614013</v>
      </c>
      <c r="W705" s="181">
        <f t="shared" si="277"/>
        <v>0.18315705835614007</v>
      </c>
      <c r="X705" s="181">
        <f t="shared" si="277"/>
        <v>0.1831570583561401</v>
      </c>
      <c r="Y705" s="181">
        <f t="shared" si="277"/>
        <v>0.18315705835614018</v>
      </c>
      <c r="Z705" s="181">
        <f t="shared" si="277"/>
        <v>0.18315705835614013</v>
      </c>
      <c r="AA705" s="181">
        <f t="shared" si="277"/>
        <v>0.18315705835614007</v>
      </c>
      <c r="AB705" s="181">
        <f t="shared" si="277"/>
        <v>0.18315705835614024</v>
      </c>
      <c r="AC705" s="181">
        <f t="shared" si="277"/>
        <v>0.18315705835614013</v>
      </c>
      <c r="AD705" s="181">
        <f t="shared" si="277"/>
        <v>0</v>
      </c>
      <c r="AE705" s="181">
        <f t="shared" si="277"/>
        <v>0</v>
      </c>
      <c r="AF705" s="181">
        <f t="shared" si="277"/>
        <v>0</v>
      </c>
      <c r="AG705" s="181">
        <f t="shared" si="277"/>
        <v>0</v>
      </c>
      <c r="AH705" s="181">
        <f t="shared" si="277"/>
        <v>0</v>
      </c>
      <c r="AI705" s="181">
        <f t="shared" si="277"/>
        <v>0</v>
      </c>
      <c r="AJ705" s="181">
        <f t="shared" si="277"/>
        <v>0</v>
      </c>
      <c r="AK705" s="181">
        <f t="shared" si="277"/>
        <v>0</v>
      </c>
      <c r="AL705" s="181">
        <f t="shared" si="277"/>
        <v>0</v>
      </c>
      <c r="AM705" s="181">
        <f t="shared" si="277"/>
        <v>0</v>
      </c>
      <c r="AN705" s="181">
        <f t="shared" si="277"/>
        <v>0</v>
      </c>
    </row>
    <row r="706" spans="2:40" outlineLevel="1" x14ac:dyDescent="0.3">
      <c r="B706" s="2"/>
      <c r="C706" s="11" t="s">
        <v>407</v>
      </c>
      <c r="H706" s="26" t="s">
        <v>9</v>
      </c>
      <c r="I706" s="174"/>
      <c r="L706" s="181">
        <f>IFERROR((L441-L698)/L441,0)</f>
        <v>0.44396265560165971</v>
      </c>
      <c r="M706" s="181">
        <f t="shared" ref="M706:AN706" si="278">IFERROR((M441-M698)/M441,0)</f>
        <v>0.44396265560165971</v>
      </c>
      <c r="N706" s="181">
        <f t="shared" si="278"/>
        <v>0.44396265560165971</v>
      </c>
      <c r="O706" s="181">
        <f t="shared" si="278"/>
        <v>0.44396265560165982</v>
      </c>
      <c r="P706" s="181">
        <f t="shared" si="278"/>
        <v>0.44396265560165965</v>
      </c>
      <c r="Q706" s="181">
        <f t="shared" si="278"/>
        <v>0.44396265560165976</v>
      </c>
      <c r="R706" s="181">
        <f t="shared" si="278"/>
        <v>0.44396265560165976</v>
      </c>
      <c r="S706" s="181">
        <f t="shared" si="278"/>
        <v>0.44396265560165976</v>
      </c>
      <c r="T706" s="181">
        <f t="shared" si="278"/>
        <v>0.44396265560165982</v>
      </c>
      <c r="U706" s="181">
        <f t="shared" si="278"/>
        <v>0.44396265560165982</v>
      </c>
      <c r="V706" s="181">
        <f t="shared" si="278"/>
        <v>0.44396265560165965</v>
      </c>
      <c r="W706" s="181">
        <f t="shared" si="278"/>
        <v>0.44396265560165965</v>
      </c>
      <c r="X706" s="181">
        <f t="shared" si="278"/>
        <v>0.44396265560165971</v>
      </c>
      <c r="Y706" s="181">
        <f t="shared" si="278"/>
        <v>0.44396265560165976</v>
      </c>
      <c r="Z706" s="181">
        <f t="shared" si="278"/>
        <v>0.44396265560165971</v>
      </c>
      <c r="AA706" s="181">
        <f t="shared" si="278"/>
        <v>0.44396265560165959</v>
      </c>
      <c r="AB706" s="181">
        <f t="shared" si="278"/>
        <v>0.44396265560165982</v>
      </c>
      <c r="AC706" s="181">
        <f t="shared" si="278"/>
        <v>0.44396265560165976</v>
      </c>
      <c r="AD706" s="181">
        <f t="shared" si="278"/>
        <v>0</v>
      </c>
      <c r="AE706" s="181">
        <f t="shared" si="278"/>
        <v>0</v>
      </c>
      <c r="AF706" s="181">
        <f t="shared" si="278"/>
        <v>0</v>
      </c>
      <c r="AG706" s="181">
        <f t="shared" si="278"/>
        <v>0</v>
      </c>
      <c r="AH706" s="181">
        <f t="shared" si="278"/>
        <v>0</v>
      </c>
      <c r="AI706" s="181">
        <f t="shared" si="278"/>
        <v>0</v>
      </c>
      <c r="AJ706" s="181">
        <f t="shared" si="278"/>
        <v>0</v>
      </c>
      <c r="AK706" s="181">
        <f t="shared" si="278"/>
        <v>0</v>
      </c>
      <c r="AL706" s="181">
        <f t="shared" si="278"/>
        <v>0</v>
      </c>
      <c r="AM706" s="181">
        <f t="shared" si="278"/>
        <v>0</v>
      </c>
      <c r="AN706" s="181">
        <f t="shared" si="278"/>
        <v>0</v>
      </c>
    </row>
    <row r="707" spans="2:40" outlineLevel="1" x14ac:dyDescent="0.3">
      <c r="C707" s="2"/>
      <c r="H707" s="26"/>
      <c r="I707" s="36"/>
      <c r="L707" s="35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</row>
    <row r="708" spans="2:40" outlineLevel="1" x14ac:dyDescent="0.3">
      <c r="C708" s="2" t="s">
        <v>194</v>
      </c>
      <c r="H708" s="26"/>
      <c r="I708" s="36"/>
      <c r="L708" s="35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</row>
    <row r="709" spans="2:40" outlineLevel="1" x14ac:dyDescent="0.3">
      <c r="C709" s="2"/>
      <c r="D709" s="1" t="str">
        <f>Input!C139</f>
        <v>Гашеная известь</v>
      </c>
      <c r="H709" s="26" t="s">
        <v>225</v>
      </c>
      <c r="I709" s="159">
        <f>Input!K139</f>
        <v>0.05</v>
      </c>
      <c r="L709" s="22">
        <f>INDEX(L$555:L$568,MATCH($D709,$D$555:$D$568,0))*$I709</f>
        <v>345</v>
      </c>
      <c r="M709" s="22">
        <f t="shared" ref="M709:AN714" si="279">INDEX(M$555:M$568,MATCH($D709,$D$555:$D$568,0))*$I709</f>
        <v>358.8</v>
      </c>
      <c r="N709" s="22">
        <f t="shared" si="279"/>
        <v>373.15200000000004</v>
      </c>
      <c r="O709" s="22">
        <f t="shared" si="279"/>
        <v>388.07808000000006</v>
      </c>
      <c r="P709" s="22">
        <f t="shared" si="279"/>
        <v>403.6012032000001</v>
      </c>
      <c r="Q709" s="22">
        <f t="shared" si="279"/>
        <v>419.74525132800011</v>
      </c>
      <c r="R709" s="22">
        <f t="shared" si="279"/>
        <v>436.53506138112016</v>
      </c>
      <c r="S709" s="22">
        <f t="shared" si="279"/>
        <v>453.99646383636502</v>
      </c>
      <c r="T709" s="22">
        <f t="shared" si="279"/>
        <v>472.15632238981954</v>
      </c>
      <c r="U709" s="22">
        <f t="shared" si="279"/>
        <v>491.0425752854124</v>
      </c>
      <c r="V709" s="22">
        <f t="shared" si="279"/>
        <v>510.68427829682889</v>
      </c>
      <c r="W709" s="22">
        <f t="shared" si="279"/>
        <v>531.11164942870209</v>
      </c>
      <c r="X709" s="22">
        <f t="shared" si="279"/>
        <v>552.35611540585023</v>
      </c>
      <c r="Y709" s="22">
        <f t="shared" si="279"/>
        <v>574.45036002208428</v>
      </c>
      <c r="Z709" s="22">
        <f t="shared" si="279"/>
        <v>597.42837442296764</v>
      </c>
      <c r="AA709" s="22">
        <f t="shared" si="279"/>
        <v>621.3255093998863</v>
      </c>
      <c r="AB709" s="22">
        <f t="shared" si="279"/>
        <v>646.17852977588177</v>
      </c>
      <c r="AC709" s="22">
        <f t="shared" si="279"/>
        <v>672.02567096691712</v>
      </c>
      <c r="AD709" s="22">
        <f t="shared" si="279"/>
        <v>0</v>
      </c>
      <c r="AE709" s="22">
        <f t="shared" si="279"/>
        <v>0</v>
      </c>
      <c r="AF709" s="22">
        <f t="shared" si="279"/>
        <v>0</v>
      </c>
      <c r="AG709" s="22">
        <f t="shared" si="279"/>
        <v>0</v>
      </c>
      <c r="AH709" s="22">
        <f t="shared" si="279"/>
        <v>0</v>
      </c>
      <c r="AI709" s="22">
        <f t="shared" si="279"/>
        <v>0</v>
      </c>
      <c r="AJ709" s="22">
        <f t="shared" si="279"/>
        <v>0</v>
      </c>
      <c r="AK709" s="22">
        <f t="shared" si="279"/>
        <v>0</v>
      </c>
      <c r="AL709" s="22">
        <f t="shared" si="279"/>
        <v>0</v>
      </c>
      <c r="AM709" s="22">
        <f t="shared" si="279"/>
        <v>0</v>
      </c>
      <c r="AN709" s="22">
        <f t="shared" si="279"/>
        <v>0</v>
      </c>
    </row>
    <row r="710" spans="2:40" outlineLevel="1" x14ac:dyDescent="0.3">
      <c r="C710" s="2"/>
      <c r="D710" s="1" t="str">
        <f>Input!C140</f>
        <v>Известняковая мука</v>
      </c>
      <c r="H710" s="26" t="s">
        <v>225</v>
      </c>
      <c r="I710" s="159">
        <f>Input!K140</f>
        <v>0.05</v>
      </c>
      <c r="L710" s="22">
        <f t="shared" ref="L710:AA713" si="280">INDEX(L$555:L$568,MATCH($D710,$D$555:$D$568,0))*$I710</f>
        <v>200</v>
      </c>
      <c r="M710" s="22">
        <f t="shared" si="280"/>
        <v>208</v>
      </c>
      <c r="N710" s="22">
        <f t="shared" si="280"/>
        <v>216.32000000000005</v>
      </c>
      <c r="O710" s="22">
        <f t="shared" si="280"/>
        <v>224.97280000000001</v>
      </c>
      <c r="P710" s="22">
        <f t="shared" si="280"/>
        <v>233.97171200000003</v>
      </c>
      <c r="Q710" s="22">
        <f t="shared" si="280"/>
        <v>243.33058048000009</v>
      </c>
      <c r="R710" s="22">
        <f t="shared" si="280"/>
        <v>253.06380369920009</v>
      </c>
      <c r="S710" s="22">
        <f t="shared" si="280"/>
        <v>263.1863558471681</v>
      </c>
      <c r="T710" s="22">
        <f t="shared" si="280"/>
        <v>273.71381008105482</v>
      </c>
      <c r="U710" s="22">
        <f t="shared" si="280"/>
        <v>284.66236248429703</v>
      </c>
      <c r="V710" s="22">
        <f t="shared" si="280"/>
        <v>296.04885698366894</v>
      </c>
      <c r="W710" s="22">
        <f t="shared" si="280"/>
        <v>307.89081126301573</v>
      </c>
      <c r="X710" s="22">
        <f t="shared" si="280"/>
        <v>320.20644371353637</v>
      </c>
      <c r="Y710" s="22">
        <f t="shared" si="280"/>
        <v>333.01470146207782</v>
      </c>
      <c r="Z710" s="22">
        <f t="shared" si="280"/>
        <v>346.33528952056093</v>
      </c>
      <c r="AA710" s="22">
        <f t="shared" si="280"/>
        <v>360.1887011013834</v>
      </c>
      <c r="AB710" s="22">
        <f t="shared" si="279"/>
        <v>374.59624914543872</v>
      </c>
      <c r="AC710" s="22">
        <f t="shared" si="279"/>
        <v>389.58009911125629</v>
      </c>
      <c r="AD710" s="22">
        <f t="shared" si="279"/>
        <v>0</v>
      </c>
      <c r="AE710" s="22">
        <f t="shared" si="279"/>
        <v>0</v>
      </c>
      <c r="AF710" s="22">
        <f t="shared" si="279"/>
        <v>0</v>
      </c>
      <c r="AG710" s="22">
        <f t="shared" si="279"/>
        <v>0</v>
      </c>
      <c r="AH710" s="22">
        <f t="shared" si="279"/>
        <v>0</v>
      </c>
      <c r="AI710" s="22">
        <f t="shared" si="279"/>
        <v>0</v>
      </c>
      <c r="AJ710" s="22">
        <f t="shared" si="279"/>
        <v>0</v>
      </c>
      <c r="AK710" s="22">
        <f t="shared" si="279"/>
        <v>0</v>
      </c>
      <c r="AL710" s="22">
        <f t="shared" si="279"/>
        <v>0</v>
      </c>
      <c r="AM710" s="22">
        <f t="shared" si="279"/>
        <v>0</v>
      </c>
      <c r="AN710" s="22">
        <f t="shared" si="279"/>
        <v>0</v>
      </c>
    </row>
    <row r="711" spans="2:40" outlineLevel="1" x14ac:dyDescent="0.3">
      <c r="C711" s="2"/>
      <c r="D711" s="1" t="str">
        <f>Input!C141</f>
        <v>Кварцевый песок 0,1-0,5 мм</v>
      </c>
      <c r="H711" s="26" t="s">
        <v>225</v>
      </c>
      <c r="I711" s="159">
        <f>Input!K141</f>
        <v>0.58199999999999996</v>
      </c>
      <c r="L711" s="22">
        <f t="shared" si="280"/>
        <v>3026.3999999999996</v>
      </c>
      <c r="M711" s="22">
        <f t="shared" si="279"/>
        <v>3147.4559999999997</v>
      </c>
      <c r="N711" s="22">
        <f t="shared" si="279"/>
        <v>3273.3542400000001</v>
      </c>
      <c r="O711" s="22">
        <f t="shared" si="279"/>
        <v>3404.2884095999998</v>
      </c>
      <c r="P711" s="22">
        <f t="shared" si="279"/>
        <v>3540.4599459840006</v>
      </c>
      <c r="Q711" s="22">
        <f t="shared" si="279"/>
        <v>3682.0783438233607</v>
      </c>
      <c r="R711" s="22">
        <f t="shared" si="279"/>
        <v>3829.3614775762953</v>
      </c>
      <c r="S711" s="22">
        <f t="shared" si="279"/>
        <v>3982.5359366793477</v>
      </c>
      <c r="T711" s="22">
        <f t="shared" si="279"/>
        <v>4141.8373741465211</v>
      </c>
      <c r="U711" s="22">
        <f t="shared" si="279"/>
        <v>4307.5108691123824</v>
      </c>
      <c r="V711" s="22">
        <f t="shared" si="279"/>
        <v>4479.8113038768779</v>
      </c>
      <c r="W711" s="22">
        <f t="shared" si="279"/>
        <v>4659.0037560319533</v>
      </c>
      <c r="X711" s="22">
        <f t="shared" si="279"/>
        <v>4845.3639062732318</v>
      </c>
      <c r="Y711" s="22">
        <f t="shared" si="279"/>
        <v>5039.1784625241608</v>
      </c>
      <c r="Z711" s="22">
        <f t="shared" si="279"/>
        <v>5240.7456010251271</v>
      </c>
      <c r="AA711" s="22">
        <f t="shared" si="279"/>
        <v>5450.3754250661332</v>
      </c>
      <c r="AB711" s="22">
        <f t="shared" si="279"/>
        <v>5668.3904420687786</v>
      </c>
      <c r="AC711" s="22">
        <f t="shared" si="279"/>
        <v>5895.1260597515293</v>
      </c>
      <c r="AD711" s="22">
        <f t="shared" si="279"/>
        <v>0</v>
      </c>
      <c r="AE711" s="22">
        <f t="shared" si="279"/>
        <v>0</v>
      </c>
      <c r="AF711" s="22">
        <f t="shared" si="279"/>
        <v>0</v>
      </c>
      <c r="AG711" s="22">
        <f t="shared" si="279"/>
        <v>0</v>
      </c>
      <c r="AH711" s="22">
        <f t="shared" si="279"/>
        <v>0</v>
      </c>
      <c r="AI711" s="22">
        <f t="shared" si="279"/>
        <v>0</v>
      </c>
      <c r="AJ711" s="22">
        <f t="shared" si="279"/>
        <v>0</v>
      </c>
      <c r="AK711" s="22">
        <f t="shared" si="279"/>
        <v>0</v>
      </c>
      <c r="AL711" s="22">
        <f t="shared" si="279"/>
        <v>0</v>
      </c>
      <c r="AM711" s="22">
        <f t="shared" si="279"/>
        <v>0</v>
      </c>
      <c r="AN711" s="22">
        <f t="shared" si="279"/>
        <v>0</v>
      </c>
    </row>
    <row r="712" spans="2:40" outlineLevel="1" x14ac:dyDescent="0.3">
      <c r="C712" s="2"/>
      <c r="D712" s="1" t="str">
        <f>Input!C142</f>
        <v>Кварцевый песок 0,5-2,0 мм</v>
      </c>
      <c r="H712" s="26" t="s">
        <v>225</v>
      </c>
      <c r="I712" s="159">
        <f>Input!K142</f>
        <v>0</v>
      </c>
      <c r="L712" s="22">
        <f t="shared" si="280"/>
        <v>0</v>
      </c>
      <c r="M712" s="22">
        <f t="shared" si="279"/>
        <v>0</v>
      </c>
      <c r="N712" s="22">
        <f t="shared" si="279"/>
        <v>0</v>
      </c>
      <c r="O712" s="22">
        <f t="shared" si="279"/>
        <v>0</v>
      </c>
      <c r="P712" s="22">
        <f t="shared" si="279"/>
        <v>0</v>
      </c>
      <c r="Q712" s="22">
        <f t="shared" si="279"/>
        <v>0</v>
      </c>
      <c r="R712" s="22">
        <f t="shared" si="279"/>
        <v>0</v>
      </c>
      <c r="S712" s="22">
        <f t="shared" si="279"/>
        <v>0</v>
      </c>
      <c r="T712" s="22">
        <f t="shared" si="279"/>
        <v>0</v>
      </c>
      <c r="U712" s="22">
        <f t="shared" si="279"/>
        <v>0</v>
      </c>
      <c r="V712" s="22">
        <f t="shared" si="279"/>
        <v>0</v>
      </c>
      <c r="W712" s="22">
        <f t="shared" si="279"/>
        <v>0</v>
      </c>
      <c r="X712" s="22">
        <f t="shared" si="279"/>
        <v>0</v>
      </c>
      <c r="Y712" s="22">
        <f t="shared" si="279"/>
        <v>0</v>
      </c>
      <c r="Z712" s="22">
        <f t="shared" si="279"/>
        <v>0</v>
      </c>
      <c r="AA712" s="22">
        <f t="shared" si="279"/>
        <v>0</v>
      </c>
      <c r="AB712" s="22">
        <f t="shared" si="279"/>
        <v>0</v>
      </c>
      <c r="AC712" s="22">
        <f t="shared" si="279"/>
        <v>0</v>
      </c>
      <c r="AD712" s="22">
        <f t="shared" si="279"/>
        <v>0</v>
      </c>
      <c r="AE712" s="22">
        <f t="shared" si="279"/>
        <v>0</v>
      </c>
      <c r="AF712" s="22">
        <f t="shared" si="279"/>
        <v>0</v>
      </c>
      <c r="AG712" s="22">
        <f t="shared" si="279"/>
        <v>0</v>
      </c>
      <c r="AH712" s="22">
        <f t="shared" si="279"/>
        <v>0</v>
      </c>
      <c r="AI712" s="22">
        <f t="shared" si="279"/>
        <v>0</v>
      </c>
      <c r="AJ712" s="22">
        <f t="shared" si="279"/>
        <v>0</v>
      </c>
      <c r="AK712" s="22">
        <f t="shared" si="279"/>
        <v>0</v>
      </c>
      <c r="AL712" s="22">
        <f t="shared" si="279"/>
        <v>0</v>
      </c>
      <c r="AM712" s="22">
        <f t="shared" si="279"/>
        <v>0</v>
      </c>
      <c r="AN712" s="22">
        <f t="shared" si="279"/>
        <v>0</v>
      </c>
    </row>
    <row r="713" spans="2:40" outlineLevel="1" x14ac:dyDescent="0.3">
      <c r="C713" s="2"/>
      <c r="D713" s="1" t="str">
        <f>Input!C143</f>
        <v>Кварцевый или известняковый песок 0-4 мм</v>
      </c>
      <c r="H713" s="26" t="s">
        <v>225</v>
      </c>
      <c r="I713" s="159">
        <f>Input!K143</f>
        <v>0</v>
      </c>
      <c r="L713" s="22">
        <f t="shared" si="280"/>
        <v>0</v>
      </c>
      <c r="M713" s="22">
        <f t="shared" si="279"/>
        <v>0</v>
      </c>
      <c r="N713" s="22">
        <f t="shared" si="279"/>
        <v>0</v>
      </c>
      <c r="O713" s="22">
        <f t="shared" si="279"/>
        <v>0</v>
      </c>
      <c r="P713" s="22">
        <f t="shared" si="279"/>
        <v>0</v>
      </c>
      <c r="Q713" s="22">
        <f t="shared" si="279"/>
        <v>0</v>
      </c>
      <c r="R713" s="22">
        <f t="shared" si="279"/>
        <v>0</v>
      </c>
      <c r="S713" s="22">
        <f t="shared" si="279"/>
        <v>0</v>
      </c>
      <c r="T713" s="22">
        <f t="shared" si="279"/>
        <v>0</v>
      </c>
      <c r="U713" s="22">
        <f t="shared" si="279"/>
        <v>0</v>
      </c>
      <c r="V713" s="22">
        <f t="shared" si="279"/>
        <v>0</v>
      </c>
      <c r="W713" s="22">
        <f t="shared" si="279"/>
        <v>0</v>
      </c>
      <c r="X713" s="22">
        <f t="shared" si="279"/>
        <v>0</v>
      </c>
      <c r="Y713" s="22">
        <f t="shared" si="279"/>
        <v>0</v>
      </c>
      <c r="Z713" s="22">
        <f t="shared" si="279"/>
        <v>0</v>
      </c>
      <c r="AA713" s="22">
        <f t="shared" si="279"/>
        <v>0</v>
      </c>
      <c r="AB713" s="22">
        <f t="shared" si="279"/>
        <v>0</v>
      </c>
      <c r="AC713" s="22">
        <f t="shared" si="279"/>
        <v>0</v>
      </c>
      <c r="AD713" s="22">
        <f t="shared" si="279"/>
        <v>0</v>
      </c>
      <c r="AE713" s="22">
        <f t="shared" si="279"/>
        <v>0</v>
      </c>
      <c r="AF713" s="22">
        <f t="shared" si="279"/>
        <v>0</v>
      </c>
      <c r="AG713" s="22">
        <f t="shared" si="279"/>
        <v>0</v>
      </c>
      <c r="AH713" s="22">
        <f t="shared" si="279"/>
        <v>0</v>
      </c>
      <c r="AI713" s="22">
        <f t="shared" si="279"/>
        <v>0</v>
      </c>
      <c r="AJ713" s="22">
        <f t="shared" si="279"/>
        <v>0</v>
      </c>
      <c r="AK713" s="22">
        <f t="shared" si="279"/>
        <v>0</v>
      </c>
      <c r="AL713" s="22">
        <f t="shared" si="279"/>
        <v>0</v>
      </c>
      <c r="AM713" s="22">
        <f t="shared" si="279"/>
        <v>0</v>
      </c>
      <c r="AN713" s="22">
        <f t="shared" si="279"/>
        <v>0</v>
      </c>
    </row>
    <row r="714" spans="2:40" outlineLevel="1" x14ac:dyDescent="0.3">
      <c r="C714" s="2"/>
      <c r="D714" s="1" t="str">
        <f>Input!C144</f>
        <v>Керамзит 0-4 мм</v>
      </c>
      <c r="H714" s="26" t="s">
        <v>225</v>
      </c>
      <c r="I714" s="159">
        <f>Input!K144</f>
        <v>0</v>
      </c>
      <c r="L714" s="22">
        <f>INDEX(L$555:L$568,MATCH($D714,$D$555:$D$568,0))*$I714</f>
        <v>0</v>
      </c>
      <c r="M714" s="22">
        <f t="shared" si="279"/>
        <v>0</v>
      </c>
      <c r="N714" s="22">
        <f t="shared" si="279"/>
        <v>0</v>
      </c>
      <c r="O714" s="22">
        <f t="shared" si="279"/>
        <v>0</v>
      </c>
      <c r="P714" s="22">
        <f t="shared" si="279"/>
        <v>0</v>
      </c>
      <c r="Q714" s="22">
        <f t="shared" si="279"/>
        <v>0</v>
      </c>
      <c r="R714" s="22">
        <f t="shared" si="279"/>
        <v>0</v>
      </c>
      <c r="S714" s="22">
        <f t="shared" si="279"/>
        <v>0</v>
      </c>
      <c r="T714" s="22">
        <f t="shared" si="279"/>
        <v>0</v>
      </c>
      <c r="U714" s="22">
        <f t="shared" si="279"/>
        <v>0</v>
      </c>
      <c r="V714" s="22">
        <f t="shared" si="279"/>
        <v>0</v>
      </c>
      <c r="W714" s="22">
        <f t="shared" si="279"/>
        <v>0</v>
      </c>
      <c r="X714" s="22">
        <f t="shared" si="279"/>
        <v>0</v>
      </c>
      <c r="Y714" s="22">
        <f t="shared" si="279"/>
        <v>0</v>
      </c>
      <c r="Z714" s="22">
        <f t="shared" si="279"/>
        <v>0</v>
      </c>
      <c r="AA714" s="22">
        <f t="shared" si="279"/>
        <v>0</v>
      </c>
      <c r="AB714" s="22">
        <f t="shared" si="279"/>
        <v>0</v>
      </c>
      <c r="AC714" s="22">
        <f t="shared" si="279"/>
        <v>0</v>
      </c>
      <c r="AD714" s="22">
        <f t="shared" si="279"/>
        <v>0</v>
      </c>
      <c r="AE714" s="22">
        <f t="shared" si="279"/>
        <v>0</v>
      </c>
      <c r="AF714" s="22">
        <f t="shared" si="279"/>
        <v>0</v>
      </c>
      <c r="AG714" s="22">
        <f t="shared" si="279"/>
        <v>0</v>
      </c>
      <c r="AH714" s="22">
        <f t="shared" si="279"/>
        <v>0</v>
      </c>
      <c r="AI714" s="22">
        <f t="shared" si="279"/>
        <v>0</v>
      </c>
      <c r="AJ714" s="22">
        <f t="shared" si="279"/>
        <v>0</v>
      </c>
      <c r="AK714" s="22">
        <f t="shared" si="279"/>
        <v>0</v>
      </c>
      <c r="AL714" s="22">
        <f t="shared" si="279"/>
        <v>0</v>
      </c>
      <c r="AM714" s="22">
        <f t="shared" si="279"/>
        <v>0</v>
      </c>
      <c r="AN714" s="22">
        <f t="shared" si="279"/>
        <v>0</v>
      </c>
    </row>
    <row r="715" spans="2:40" outlineLevel="1" x14ac:dyDescent="0.3">
      <c r="B715" s="2"/>
      <c r="C715" s="2"/>
      <c r="H715" s="30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</row>
    <row r="716" spans="2:40" outlineLevel="1" x14ac:dyDescent="0.3">
      <c r="C716" s="2" t="s">
        <v>285</v>
      </c>
      <c r="H716" s="26"/>
      <c r="I716" s="160"/>
      <c r="L716" s="34">
        <f>SUM(L709:L714)+SUM(L717:L720)</f>
        <v>8821.4000000000015</v>
      </c>
      <c r="M716" s="34">
        <f t="shared" ref="M716:AN716" si="281">SUM(M709:M714)+SUM(M717:M720)</f>
        <v>9174.2560000000012</v>
      </c>
      <c r="N716" s="34">
        <f t="shared" si="281"/>
        <v>9541.2262400000018</v>
      </c>
      <c r="O716" s="34">
        <f t="shared" si="281"/>
        <v>9922.8752896000005</v>
      </c>
      <c r="P716" s="34">
        <f t="shared" si="281"/>
        <v>10319.790301184003</v>
      </c>
      <c r="Q716" s="34">
        <f t="shared" si="281"/>
        <v>10732.581913231363</v>
      </c>
      <c r="R716" s="34">
        <f t="shared" si="281"/>
        <v>11161.885189760618</v>
      </c>
      <c r="S716" s="34">
        <f t="shared" si="281"/>
        <v>11608.360597351044</v>
      </c>
      <c r="T716" s="34">
        <f t="shared" si="281"/>
        <v>12072.695021245087</v>
      </c>
      <c r="U716" s="34">
        <f t="shared" si="281"/>
        <v>12555.60282209489</v>
      </c>
      <c r="V716" s="34">
        <f t="shared" si="281"/>
        <v>13057.826934978686</v>
      </c>
      <c r="W716" s="34">
        <f t="shared" si="281"/>
        <v>13580.140012377833</v>
      </c>
      <c r="X716" s="34">
        <f t="shared" si="281"/>
        <v>14123.345612872949</v>
      </c>
      <c r="Y716" s="34">
        <f t="shared" si="281"/>
        <v>14688.279437387866</v>
      </c>
      <c r="Z716" s="34">
        <f t="shared" si="281"/>
        <v>15275.810614883381</v>
      </c>
      <c r="AA716" s="34">
        <f t="shared" si="281"/>
        <v>15886.843039478717</v>
      </c>
      <c r="AB716" s="34">
        <f t="shared" si="281"/>
        <v>16522.316761057868</v>
      </c>
      <c r="AC716" s="34">
        <f t="shared" si="281"/>
        <v>17183.209431500181</v>
      </c>
      <c r="AD716" s="34">
        <f t="shared" si="281"/>
        <v>0</v>
      </c>
      <c r="AE716" s="34">
        <f t="shared" si="281"/>
        <v>0</v>
      </c>
      <c r="AF716" s="34">
        <f t="shared" si="281"/>
        <v>0</v>
      </c>
      <c r="AG716" s="34">
        <f t="shared" si="281"/>
        <v>0</v>
      </c>
      <c r="AH716" s="34">
        <f t="shared" si="281"/>
        <v>0</v>
      </c>
      <c r="AI716" s="34">
        <f t="shared" si="281"/>
        <v>0</v>
      </c>
      <c r="AJ716" s="34">
        <f t="shared" si="281"/>
        <v>0</v>
      </c>
      <c r="AK716" s="34">
        <f t="shared" si="281"/>
        <v>0</v>
      </c>
      <c r="AL716" s="34">
        <f t="shared" si="281"/>
        <v>0</v>
      </c>
      <c r="AM716" s="34">
        <f t="shared" si="281"/>
        <v>0</v>
      </c>
      <c r="AN716" s="34">
        <f t="shared" si="281"/>
        <v>0</v>
      </c>
    </row>
    <row r="717" spans="2:40" outlineLevel="1" x14ac:dyDescent="0.3">
      <c r="C717" s="2"/>
      <c r="D717" s="1" t="s">
        <v>195</v>
      </c>
      <c r="H717" s="26" t="s">
        <v>225</v>
      </c>
      <c r="I717" s="159">
        <f>Input!K146</f>
        <v>0.30000000000000016</v>
      </c>
      <c r="L717" s="22">
        <f>INDEX(L$555:L$568,MATCH($D717,$D$555:$D$568,0))*$I717</f>
        <v>1680.0000000000009</v>
      </c>
      <c r="M717" s="22">
        <f t="shared" ref="M717:AN720" si="282">INDEX(M$555:M$568,MATCH($D717,$D$555:$D$568,0))*$I717</f>
        <v>1747.200000000001</v>
      </c>
      <c r="N717" s="22">
        <f t="shared" si="282"/>
        <v>1817.0880000000013</v>
      </c>
      <c r="O717" s="22">
        <f t="shared" si="282"/>
        <v>1889.7715200000011</v>
      </c>
      <c r="P717" s="22">
        <f t="shared" si="282"/>
        <v>1965.3623808000016</v>
      </c>
      <c r="Q717" s="22">
        <f t="shared" si="282"/>
        <v>2043.9768760320017</v>
      </c>
      <c r="R717" s="22">
        <f t="shared" si="282"/>
        <v>2125.7359510732817</v>
      </c>
      <c r="S717" s="22">
        <f t="shared" si="282"/>
        <v>2210.7653891162131</v>
      </c>
      <c r="T717" s="22">
        <f t="shared" si="282"/>
        <v>2299.1960046808617</v>
      </c>
      <c r="U717" s="22">
        <f t="shared" si="282"/>
        <v>2391.1638448680965</v>
      </c>
      <c r="V717" s="22">
        <f t="shared" si="282"/>
        <v>2486.8103986628203</v>
      </c>
      <c r="W717" s="22">
        <f t="shared" si="282"/>
        <v>2586.2828146093329</v>
      </c>
      <c r="X717" s="22">
        <f t="shared" si="282"/>
        <v>2689.7341271937071</v>
      </c>
      <c r="Y717" s="22">
        <f t="shared" si="282"/>
        <v>2797.3234922814549</v>
      </c>
      <c r="Z717" s="22">
        <f t="shared" si="282"/>
        <v>2909.2164319727131</v>
      </c>
      <c r="AA717" s="22">
        <f t="shared" si="282"/>
        <v>3025.5850892516219</v>
      </c>
      <c r="AB717" s="22">
        <f t="shared" si="282"/>
        <v>3146.6084928216869</v>
      </c>
      <c r="AC717" s="22">
        <f t="shared" si="282"/>
        <v>3272.4728325345545</v>
      </c>
      <c r="AD717" s="22">
        <f t="shared" si="282"/>
        <v>0</v>
      </c>
      <c r="AE717" s="22">
        <f t="shared" si="282"/>
        <v>0</v>
      </c>
      <c r="AF717" s="22">
        <f t="shared" si="282"/>
        <v>0</v>
      </c>
      <c r="AG717" s="22">
        <f t="shared" si="282"/>
        <v>0</v>
      </c>
      <c r="AH717" s="22">
        <f t="shared" si="282"/>
        <v>0</v>
      </c>
      <c r="AI717" s="22">
        <f t="shared" si="282"/>
        <v>0</v>
      </c>
      <c r="AJ717" s="22">
        <f t="shared" si="282"/>
        <v>0</v>
      </c>
      <c r="AK717" s="22">
        <f t="shared" si="282"/>
        <v>0</v>
      </c>
      <c r="AL717" s="22">
        <f t="shared" si="282"/>
        <v>0</v>
      </c>
      <c r="AM717" s="22">
        <f t="shared" si="282"/>
        <v>0</v>
      </c>
      <c r="AN717" s="22">
        <f t="shared" si="282"/>
        <v>0</v>
      </c>
    </row>
    <row r="718" spans="2:40" outlineLevel="1" x14ac:dyDescent="0.3">
      <c r="C718" s="2"/>
      <c r="D718" s="1" t="str">
        <f>Input!C147</f>
        <v>Эфир целлюлозы Mecellose PMC 50 US или FMC 2094</v>
      </c>
      <c r="H718" s="26" t="s">
        <v>225</v>
      </c>
      <c r="I718" s="159">
        <f>Input!K147</f>
        <v>2.5000000000000001E-3</v>
      </c>
      <c r="L718" s="22">
        <f t="shared" ref="L718:AA720" si="283">INDEX(L$555:L$568,MATCH($D718,$D$555:$D$568,0))*$I718</f>
        <v>752.5</v>
      </c>
      <c r="M718" s="22">
        <f t="shared" si="283"/>
        <v>782.6</v>
      </c>
      <c r="N718" s="22">
        <f t="shared" si="283"/>
        <v>813.90400000000011</v>
      </c>
      <c r="O718" s="22">
        <f t="shared" si="283"/>
        <v>846.46016000000009</v>
      </c>
      <c r="P718" s="22">
        <f t="shared" si="283"/>
        <v>880.31856640000012</v>
      </c>
      <c r="Q718" s="22">
        <f t="shared" si="283"/>
        <v>915.53130905600028</v>
      </c>
      <c r="R718" s="22">
        <f t="shared" si="283"/>
        <v>952.15256141824023</v>
      </c>
      <c r="S718" s="22">
        <f t="shared" si="283"/>
        <v>990.23866387496992</v>
      </c>
      <c r="T718" s="22">
        <f t="shared" si="283"/>
        <v>1029.8482104299687</v>
      </c>
      <c r="U718" s="22">
        <f t="shared" si="283"/>
        <v>1071.0421388471677</v>
      </c>
      <c r="V718" s="22">
        <f t="shared" si="283"/>
        <v>1113.8838244010544</v>
      </c>
      <c r="W718" s="22">
        <f t="shared" si="283"/>
        <v>1158.4391773770965</v>
      </c>
      <c r="X718" s="22">
        <f t="shared" si="283"/>
        <v>1204.7767444721806</v>
      </c>
      <c r="Y718" s="22">
        <f t="shared" si="283"/>
        <v>1252.9678142510677</v>
      </c>
      <c r="Z718" s="22">
        <f t="shared" si="283"/>
        <v>1303.0865268211105</v>
      </c>
      <c r="AA718" s="22">
        <f t="shared" si="283"/>
        <v>1355.209987893955</v>
      </c>
      <c r="AB718" s="22">
        <f t="shared" si="282"/>
        <v>1409.4183874097132</v>
      </c>
      <c r="AC718" s="22">
        <f t="shared" si="282"/>
        <v>1465.7951229061018</v>
      </c>
      <c r="AD718" s="22">
        <f t="shared" si="282"/>
        <v>0</v>
      </c>
      <c r="AE718" s="22">
        <f t="shared" si="282"/>
        <v>0</v>
      </c>
      <c r="AF718" s="22">
        <f t="shared" si="282"/>
        <v>0</v>
      </c>
      <c r="AG718" s="22">
        <f t="shared" si="282"/>
        <v>0</v>
      </c>
      <c r="AH718" s="22">
        <f t="shared" si="282"/>
        <v>0</v>
      </c>
      <c r="AI718" s="22">
        <f t="shared" si="282"/>
        <v>0</v>
      </c>
      <c r="AJ718" s="22">
        <f t="shared" si="282"/>
        <v>0</v>
      </c>
      <c r="AK718" s="22">
        <f t="shared" si="282"/>
        <v>0</v>
      </c>
      <c r="AL718" s="22">
        <f t="shared" si="282"/>
        <v>0</v>
      </c>
      <c r="AM718" s="22">
        <f t="shared" si="282"/>
        <v>0</v>
      </c>
      <c r="AN718" s="22">
        <f t="shared" si="282"/>
        <v>0</v>
      </c>
    </row>
    <row r="719" spans="2:40" outlineLevel="1" x14ac:dyDescent="0.3">
      <c r="C719" s="2"/>
      <c r="D719" s="1" t="str">
        <f>Input!C148</f>
        <v>Редиспергируемый сополимерный порошок Neolith P 7200</v>
      </c>
      <c r="H719" s="26" t="s">
        <v>225</v>
      </c>
      <c r="I719" s="159">
        <f>Input!K148</f>
        <v>1.4999999999999999E-2</v>
      </c>
      <c r="L719" s="22">
        <f t="shared" si="283"/>
        <v>2625</v>
      </c>
      <c r="M719" s="22">
        <f t="shared" si="282"/>
        <v>2730</v>
      </c>
      <c r="N719" s="22">
        <f t="shared" si="282"/>
        <v>2839.2000000000003</v>
      </c>
      <c r="O719" s="22">
        <f t="shared" si="282"/>
        <v>2952.768</v>
      </c>
      <c r="P719" s="22">
        <f t="shared" si="282"/>
        <v>3070.8787200000006</v>
      </c>
      <c r="Q719" s="22">
        <f t="shared" si="282"/>
        <v>3193.7138688000009</v>
      </c>
      <c r="R719" s="22">
        <f t="shared" si="282"/>
        <v>3321.4624235520009</v>
      </c>
      <c r="S719" s="22">
        <f t="shared" si="282"/>
        <v>3454.3209204940808</v>
      </c>
      <c r="T719" s="22">
        <f t="shared" si="282"/>
        <v>3592.4937573138445</v>
      </c>
      <c r="U719" s="22">
        <f t="shared" si="282"/>
        <v>3736.1935076063987</v>
      </c>
      <c r="V719" s="22">
        <f t="shared" si="282"/>
        <v>3885.6412479106543</v>
      </c>
      <c r="W719" s="22">
        <f t="shared" si="282"/>
        <v>4041.066897827081</v>
      </c>
      <c r="X719" s="22">
        <f t="shared" si="282"/>
        <v>4202.7095737401642</v>
      </c>
      <c r="Y719" s="22">
        <f t="shared" si="282"/>
        <v>4370.8179566897716</v>
      </c>
      <c r="Z719" s="22">
        <f t="shared" si="282"/>
        <v>4545.6506749573618</v>
      </c>
      <c r="AA719" s="22">
        <f t="shared" si="282"/>
        <v>4727.4767019556557</v>
      </c>
      <c r="AB719" s="22">
        <f t="shared" si="282"/>
        <v>4916.5757700338827</v>
      </c>
      <c r="AC719" s="22">
        <f t="shared" si="282"/>
        <v>5113.2388008352382</v>
      </c>
      <c r="AD719" s="22">
        <f t="shared" si="282"/>
        <v>0</v>
      </c>
      <c r="AE719" s="22">
        <f t="shared" si="282"/>
        <v>0</v>
      </c>
      <c r="AF719" s="22">
        <f t="shared" si="282"/>
        <v>0</v>
      </c>
      <c r="AG719" s="22">
        <f t="shared" si="282"/>
        <v>0</v>
      </c>
      <c r="AH719" s="22">
        <f t="shared" si="282"/>
        <v>0</v>
      </c>
      <c r="AI719" s="22">
        <f t="shared" si="282"/>
        <v>0</v>
      </c>
      <c r="AJ719" s="22">
        <f t="shared" si="282"/>
        <v>0</v>
      </c>
      <c r="AK719" s="22">
        <f t="shared" si="282"/>
        <v>0</v>
      </c>
      <c r="AL719" s="22">
        <f t="shared" si="282"/>
        <v>0</v>
      </c>
      <c r="AM719" s="22">
        <f t="shared" si="282"/>
        <v>0</v>
      </c>
      <c r="AN719" s="22">
        <f t="shared" si="282"/>
        <v>0</v>
      </c>
    </row>
    <row r="720" spans="2:40" outlineLevel="1" x14ac:dyDescent="0.3">
      <c r="C720" s="2"/>
      <c r="D720" s="1" t="str">
        <f>Input!C149</f>
        <v>Порообразователь Esapon 1214</v>
      </c>
      <c r="H720" s="26" t="s">
        <v>225</v>
      </c>
      <c r="I720" s="159">
        <f>Input!K149</f>
        <v>5.0000000000000001E-4</v>
      </c>
      <c r="L720" s="22">
        <f t="shared" si="283"/>
        <v>192.5</v>
      </c>
      <c r="M720" s="22">
        <f t="shared" si="282"/>
        <v>200.20000000000002</v>
      </c>
      <c r="N720" s="22">
        <f t="shared" si="282"/>
        <v>208.20800000000003</v>
      </c>
      <c r="O720" s="22">
        <f t="shared" si="282"/>
        <v>216.53632000000002</v>
      </c>
      <c r="P720" s="22">
        <f t="shared" si="282"/>
        <v>225.19777280000005</v>
      </c>
      <c r="Q720" s="22">
        <f t="shared" si="282"/>
        <v>234.20568371200005</v>
      </c>
      <c r="R720" s="22">
        <f t="shared" si="282"/>
        <v>243.5739110604801</v>
      </c>
      <c r="S720" s="22">
        <f t="shared" si="282"/>
        <v>253.3168675028993</v>
      </c>
      <c r="T720" s="22">
        <f t="shared" si="282"/>
        <v>263.44954220301526</v>
      </c>
      <c r="U720" s="22">
        <f t="shared" si="282"/>
        <v>273.98752389113588</v>
      </c>
      <c r="V720" s="22">
        <f t="shared" si="282"/>
        <v>284.94702484678135</v>
      </c>
      <c r="W720" s="22">
        <f t="shared" si="282"/>
        <v>296.34490584065259</v>
      </c>
      <c r="X720" s="22">
        <f t="shared" si="282"/>
        <v>308.19870207427874</v>
      </c>
      <c r="Y720" s="22">
        <f t="shared" si="282"/>
        <v>320.52665015724989</v>
      </c>
      <c r="Z720" s="22">
        <f t="shared" si="282"/>
        <v>333.34771616353993</v>
      </c>
      <c r="AA720" s="22">
        <f t="shared" si="282"/>
        <v>346.68162481008153</v>
      </c>
      <c r="AB720" s="22">
        <f t="shared" si="282"/>
        <v>360.54888980248478</v>
      </c>
      <c r="AC720" s="22">
        <f t="shared" si="282"/>
        <v>374.97084539458416</v>
      </c>
      <c r="AD720" s="22">
        <f t="shared" si="282"/>
        <v>0</v>
      </c>
      <c r="AE720" s="22">
        <f t="shared" si="282"/>
        <v>0</v>
      </c>
      <c r="AF720" s="22">
        <f t="shared" si="282"/>
        <v>0</v>
      </c>
      <c r="AG720" s="22">
        <f t="shared" si="282"/>
        <v>0</v>
      </c>
      <c r="AH720" s="22">
        <f t="shared" si="282"/>
        <v>0</v>
      </c>
      <c r="AI720" s="22">
        <f t="shared" si="282"/>
        <v>0</v>
      </c>
      <c r="AJ720" s="22">
        <f t="shared" si="282"/>
        <v>0</v>
      </c>
      <c r="AK720" s="22">
        <f t="shared" si="282"/>
        <v>0</v>
      </c>
      <c r="AL720" s="22">
        <f t="shared" si="282"/>
        <v>0</v>
      </c>
      <c r="AM720" s="22">
        <f t="shared" si="282"/>
        <v>0</v>
      </c>
      <c r="AN720" s="22">
        <f t="shared" si="282"/>
        <v>0</v>
      </c>
    </row>
    <row r="721" spans="1:41" outlineLevel="1" x14ac:dyDescent="0.3">
      <c r="B721" s="2"/>
      <c r="C721" s="2"/>
      <c r="H721" s="30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</row>
    <row r="722" spans="1:41" outlineLevel="1" x14ac:dyDescent="0.3">
      <c r="C722" s="2" t="s">
        <v>286</v>
      </c>
      <c r="H722" s="26"/>
      <c r="I722" s="160"/>
      <c r="L722" s="34">
        <f>SUM(L709:L714)+SUM(L723:L727)</f>
        <v>6119.3950000000004</v>
      </c>
      <c r="M722" s="34">
        <f t="shared" ref="M722:AM722" si="284">SUM(M709:M714)+SUM(M723:M727)</f>
        <v>6364.1707999999999</v>
      </c>
      <c r="N722" s="34">
        <f t="shared" si="284"/>
        <v>6618.7376320000012</v>
      </c>
      <c r="O722" s="34">
        <f t="shared" si="284"/>
        <v>6883.4871372799998</v>
      </c>
      <c r="P722" s="34">
        <f t="shared" si="284"/>
        <v>7158.8266227712011</v>
      </c>
      <c r="Q722" s="34">
        <f t="shared" si="284"/>
        <v>7445.1796876820499</v>
      </c>
      <c r="R722" s="34">
        <f t="shared" si="284"/>
        <v>7742.9868751893318</v>
      </c>
      <c r="S722" s="34">
        <f t="shared" si="284"/>
        <v>8052.7063501969069</v>
      </c>
      <c r="T722" s="34">
        <f t="shared" si="284"/>
        <v>8374.8146042047829</v>
      </c>
      <c r="U722" s="34">
        <f t="shared" si="284"/>
        <v>8709.8071883729754</v>
      </c>
      <c r="V722" s="34">
        <f t="shared" si="284"/>
        <v>9058.1994759078934</v>
      </c>
      <c r="W722" s="34">
        <f t="shared" si="284"/>
        <v>9420.5274549442092</v>
      </c>
      <c r="X722" s="34">
        <f t="shared" si="284"/>
        <v>9797.3485531419792</v>
      </c>
      <c r="Y722" s="34">
        <f t="shared" si="284"/>
        <v>10189.242495267659</v>
      </c>
      <c r="Z722" s="34">
        <f t="shared" si="284"/>
        <v>10596.812195078364</v>
      </c>
      <c r="AA722" s="34">
        <f t="shared" si="284"/>
        <v>11020.6846828815</v>
      </c>
      <c r="AB722" s="34">
        <f t="shared" si="284"/>
        <v>11461.512070196761</v>
      </c>
      <c r="AC722" s="34">
        <f t="shared" si="284"/>
        <v>11919.972553004631</v>
      </c>
      <c r="AD722" s="34">
        <f t="shared" si="284"/>
        <v>0</v>
      </c>
      <c r="AE722" s="34">
        <f t="shared" si="284"/>
        <v>0</v>
      </c>
      <c r="AF722" s="34">
        <f t="shared" si="284"/>
        <v>0</v>
      </c>
      <c r="AG722" s="34">
        <f t="shared" si="284"/>
        <v>0</v>
      </c>
      <c r="AH722" s="34">
        <f t="shared" si="284"/>
        <v>0</v>
      </c>
      <c r="AI722" s="34">
        <f t="shared" si="284"/>
        <v>0</v>
      </c>
      <c r="AJ722" s="34">
        <f t="shared" si="284"/>
        <v>0</v>
      </c>
      <c r="AK722" s="34">
        <f t="shared" si="284"/>
        <v>0</v>
      </c>
      <c r="AL722" s="34">
        <f t="shared" si="284"/>
        <v>0</v>
      </c>
      <c r="AM722" s="34">
        <f t="shared" si="284"/>
        <v>0</v>
      </c>
      <c r="AN722" s="34">
        <f>SUM(AN709:AN714)+SUM(AN723:AN727)</f>
        <v>0</v>
      </c>
    </row>
    <row r="723" spans="1:41" outlineLevel="1" x14ac:dyDescent="0.3">
      <c r="C723" s="2"/>
      <c r="D723" s="1" t="s">
        <v>195</v>
      </c>
      <c r="H723" s="26" t="s">
        <v>225</v>
      </c>
      <c r="I723" s="159">
        <f>Input!K151</f>
        <v>0.31095000000000006</v>
      </c>
      <c r="L723" s="22">
        <f>INDEX(L$555:L$568,MATCH($D723,$D$555:$D$568,0))*$I723</f>
        <v>1741.3200000000004</v>
      </c>
      <c r="M723" s="22">
        <f t="shared" ref="M723:AN727" si="285">INDEX(M$555:M$568,MATCH($D723,$D$555:$D$568,0))*$I723</f>
        <v>1810.9728000000005</v>
      </c>
      <c r="N723" s="22">
        <f t="shared" si="285"/>
        <v>1883.4117120000008</v>
      </c>
      <c r="O723" s="22">
        <f t="shared" si="285"/>
        <v>1958.7481804800004</v>
      </c>
      <c r="P723" s="22">
        <f t="shared" si="285"/>
        <v>2037.0981076992009</v>
      </c>
      <c r="Q723" s="22">
        <f t="shared" si="285"/>
        <v>2118.5820320071689</v>
      </c>
      <c r="R723" s="22">
        <f t="shared" si="285"/>
        <v>2203.3253132874556</v>
      </c>
      <c r="S723" s="22">
        <f t="shared" si="285"/>
        <v>2291.4583258189541</v>
      </c>
      <c r="T723" s="22">
        <f t="shared" si="285"/>
        <v>2383.1166588517121</v>
      </c>
      <c r="U723" s="22">
        <f t="shared" si="285"/>
        <v>2478.4413252057811</v>
      </c>
      <c r="V723" s="22">
        <f t="shared" si="285"/>
        <v>2577.5789782140127</v>
      </c>
      <c r="W723" s="22">
        <f t="shared" si="285"/>
        <v>2680.6821373425728</v>
      </c>
      <c r="X723" s="22">
        <f t="shared" si="285"/>
        <v>2787.9094228362765</v>
      </c>
      <c r="Y723" s="22">
        <f t="shared" si="285"/>
        <v>2899.425799749727</v>
      </c>
      <c r="Z723" s="22">
        <f t="shared" si="285"/>
        <v>3015.402831739716</v>
      </c>
      <c r="AA723" s="22">
        <f t="shared" si="285"/>
        <v>3136.0189450093048</v>
      </c>
      <c r="AB723" s="22">
        <f t="shared" si="285"/>
        <v>3261.4597028096773</v>
      </c>
      <c r="AC723" s="22">
        <f t="shared" si="285"/>
        <v>3391.9180909220645</v>
      </c>
      <c r="AD723" s="22">
        <f t="shared" si="285"/>
        <v>0</v>
      </c>
      <c r="AE723" s="22">
        <f t="shared" si="285"/>
        <v>0</v>
      </c>
      <c r="AF723" s="22">
        <f t="shared" si="285"/>
        <v>0</v>
      </c>
      <c r="AG723" s="22">
        <f t="shared" si="285"/>
        <v>0</v>
      </c>
      <c r="AH723" s="22">
        <f t="shared" si="285"/>
        <v>0</v>
      </c>
      <c r="AI723" s="22">
        <f t="shared" si="285"/>
        <v>0</v>
      </c>
      <c r="AJ723" s="22">
        <f t="shared" si="285"/>
        <v>0</v>
      </c>
      <c r="AK723" s="22">
        <f t="shared" si="285"/>
        <v>0</v>
      </c>
      <c r="AL723" s="22">
        <f t="shared" si="285"/>
        <v>0</v>
      </c>
      <c r="AM723" s="22">
        <f t="shared" si="285"/>
        <v>0</v>
      </c>
      <c r="AN723" s="22">
        <f t="shared" si="285"/>
        <v>0</v>
      </c>
    </row>
    <row r="724" spans="1:41" outlineLevel="1" x14ac:dyDescent="0.3">
      <c r="C724" s="2"/>
      <c r="D724" s="1" t="str">
        <f>Input!C152</f>
        <v>Эфир крахмала Esamid NA</v>
      </c>
      <c r="H724" s="26" t="s">
        <v>225</v>
      </c>
      <c r="I724" s="159">
        <f>Input!K152</f>
        <v>5.0000000000000002E-5</v>
      </c>
      <c r="L724" s="22">
        <f t="shared" ref="L724:AA727" si="286">INDEX(L$555:L$568,MATCH($D724,$D$555:$D$568,0))*$I724</f>
        <v>19.775000000000002</v>
      </c>
      <c r="M724" s="22">
        <f t="shared" si="286"/>
        <v>20.566000000000003</v>
      </c>
      <c r="N724" s="22">
        <f t="shared" si="286"/>
        <v>21.388640000000002</v>
      </c>
      <c r="O724" s="22">
        <f t="shared" si="286"/>
        <v>22.244185600000005</v>
      </c>
      <c r="P724" s="22">
        <f t="shared" si="286"/>
        <v>23.133953024000007</v>
      </c>
      <c r="Q724" s="22">
        <f t="shared" si="286"/>
        <v>24.059311144960009</v>
      </c>
      <c r="R724" s="22">
        <f t="shared" si="286"/>
        <v>25.021683590758411</v>
      </c>
      <c r="S724" s="22">
        <f t="shared" si="286"/>
        <v>26.022550934388747</v>
      </c>
      <c r="T724" s="22">
        <f t="shared" si="286"/>
        <v>27.063452971764296</v>
      </c>
      <c r="U724" s="22">
        <f t="shared" si="286"/>
        <v>28.145991090634869</v>
      </c>
      <c r="V724" s="22">
        <f t="shared" si="286"/>
        <v>29.271830734260266</v>
      </c>
      <c r="W724" s="22">
        <f t="shared" si="286"/>
        <v>30.442703963630677</v>
      </c>
      <c r="X724" s="22">
        <f t="shared" si="286"/>
        <v>31.660412122175909</v>
      </c>
      <c r="Y724" s="22">
        <f t="shared" si="286"/>
        <v>32.926828607062944</v>
      </c>
      <c r="Z724" s="22">
        <f t="shared" si="286"/>
        <v>34.243901751345462</v>
      </c>
      <c r="AA724" s="22">
        <f t="shared" si="286"/>
        <v>35.613657821399279</v>
      </c>
      <c r="AB724" s="22">
        <f t="shared" si="285"/>
        <v>37.038204134255253</v>
      </c>
      <c r="AC724" s="22">
        <f t="shared" si="285"/>
        <v>38.51973229962546</v>
      </c>
      <c r="AD724" s="22">
        <f t="shared" si="285"/>
        <v>0</v>
      </c>
      <c r="AE724" s="22">
        <f t="shared" si="285"/>
        <v>0</v>
      </c>
      <c r="AF724" s="22">
        <f t="shared" si="285"/>
        <v>0</v>
      </c>
      <c r="AG724" s="22">
        <f t="shared" si="285"/>
        <v>0</v>
      </c>
      <c r="AH724" s="22">
        <f t="shared" si="285"/>
        <v>0</v>
      </c>
      <c r="AI724" s="22">
        <f t="shared" si="285"/>
        <v>0</v>
      </c>
      <c r="AJ724" s="22">
        <f t="shared" si="285"/>
        <v>0</v>
      </c>
      <c r="AK724" s="22">
        <f t="shared" si="285"/>
        <v>0</v>
      </c>
      <c r="AL724" s="22">
        <f t="shared" si="285"/>
        <v>0</v>
      </c>
      <c r="AM724" s="22">
        <f t="shared" si="285"/>
        <v>0</v>
      </c>
      <c r="AN724" s="22">
        <f t="shared" si="285"/>
        <v>0</v>
      </c>
    </row>
    <row r="725" spans="1:41" outlineLevel="1" x14ac:dyDescent="0.3">
      <c r="C725" s="2"/>
      <c r="D725" s="1" t="str">
        <f>Input!C153</f>
        <v>Гидрофобизатор (олеат Na, стеараты)</v>
      </c>
      <c r="H725" s="26" t="s">
        <v>225</v>
      </c>
      <c r="I725" s="159">
        <f>Input!K153</f>
        <v>1E-3</v>
      </c>
      <c r="L725" s="22">
        <f t="shared" si="286"/>
        <v>283.5</v>
      </c>
      <c r="M725" s="22">
        <f t="shared" si="285"/>
        <v>294.84000000000003</v>
      </c>
      <c r="N725" s="22">
        <f t="shared" si="285"/>
        <v>306.63360000000006</v>
      </c>
      <c r="O725" s="22">
        <f t="shared" si="285"/>
        <v>318.89894400000003</v>
      </c>
      <c r="P725" s="22">
        <f t="shared" si="285"/>
        <v>331.65490176000003</v>
      </c>
      <c r="Q725" s="22">
        <f t="shared" si="285"/>
        <v>344.92109783040013</v>
      </c>
      <c r="R725" s="22">
        <f t="shared" si="285"/>
        <v>358.71794174361617</v>
      </c>
      <c r="S725" s="22">
        <f t="shared" si="285"/>
        <v>373.06665941336075</v>
      </c>
      <c r="T725" s="22">
        <f t="shared" si="285"/>
        <v>387.98932578989519</v>
      </c>
      <c r="U725" s="22">
        <f t="shared" si="285"/>
        <v>403.50889882149107</v>
      </c>
      <c r="V725" s="22">
        <f t="shared" si="285"/>
        <v>419.64925477435071</v>
      </c>
      <c r="W725" s="22">
        <f t="shared" si="285"/>
        <v>436.43522496532478</v>
      </c>
      <c r="X725" s="22">
        <f t="shared" si="285"/>
        <v>453.89263396393778</v>
      </c>
      <c r="Y725" s="22">
        <f t="shared" si="285"/>
        <v>472.04833932249528</v>
      </c>
      <c r="Z725" s="22">
        <f t="shared" si="285"/>
        <v>490.93027289539515</v>
      </c>
      <c r="AA725" s="22">
        <f t="shared" si="285"/>
        <v>510.56748381121093</v>
      </c>
      <c r="AB725" s="22">
        <f t="shared" si="285"/>
        <v>530.99018316365925</v>
      </c>
      <c r="AC725" s="22">
        <f t="shared" si="285"/>
        <v>552.2297904902058</v>
      </c>
      <c r="AD725" s="22">
        <f t="shared" si="285"/>
        <v>0</v>
      </c>
      <c r="AE725" s="22">
        <f t="shared" si="285"/>
        <v>0</v>
      </c>
      <c r="AF725" s="22">
        <f t="shared" si="285"/>
        <v>0</v>
      </c>
      <c r="AG725" s="22">
        <f t="shared" si="285"/>
        <v>0</v>
      </c>
      <c r="AH725" s="22">
        <f t="shared" si="285"/>
        <v>0</v>
      </c>
      <c r="AI725" s="22">
        <f t="shared" si="285"/>
        <v>0</v>
      </c>
      <c r="AJ725" s="22">
        <f t="shared" si="285"/>
        <v>0</v>
      </c>
      <c r="AK725" s="22">
        <f t="shared" si="285"/>
        <v>0</v>
      </c>
      <c r="AL725" s="22">
        <f t="shared" si="285"/>
        <v>0</v>
      </c>
      <c r="AM725" s="22">
        <f t="shared" si="285"/>
        <v>0</v>
      </c>
      <c r="AN725" s="22">
        <f t="shared" si="285"/>
        <v>0</v>
      </c>
    </row>
    <row r="726" spans="1:41" outlineLevel="1" x14ac:dyDescent="0.3">
      <c r="C726" s="2"/>
      <c r="D726" s="1" t="str">
        <f>Input!C154</f>
        <v>Суперпластификатор Melment F 10</v>
      </c>
      <c r="H726" s="26" t="s">
        <v>225</v>
      </c>
      <c r="I726" s="159">
        <f>Input!K154</f>
        <v>1E-3</v>
      </c>
      <c r="L726" s="22">
        <f t="shared" si="286"/>
        <v>253.4</v>
      </c>
      <c r="M726" s="22">
        <f t="shared" si="285"/>
        <v>263.536</v>
      </c>
      <c r="N726" s="22">
        <f t="shared" si="285"/>
        <v>274.07744000000002</v>
      </c>
      <c r="O726" s="22">
        <f t="shared" si="285"/>
        <v>285.04053760000005</v>
      </c>
      <c r="P726" s="22">
        <f t="shared" si="285"/>
        <v>296.4421591040001</v>
      </c>
      <c r="Q726" s="22">
        <f t="shared" si="285"/>
        <v>308.29984546816013</v>
      </c>
      <c r="R726" s="22">
        <f t="shared" si="285"/>
        <v>320.63183928688653</v>
      </c>
      <c r="S726" s="22">
        <f t="shared" si="285"/>
        <v>333.457112858362</v>
      </c>
      <c r="T726" s="22">
        <f t="shared" si="285"/>
        <v>346.79539737269641</v>
      </c>
      <c r="U726" s="22">
        <f t="shared" si="285"/>
        <v>360.66721326760438</v>
      </c>
      <c r="V726" s="22">
        <f t="shared" si="285"/>
        <v>375.09390179830854</v>
      </c>
      <c r="W726" s="22">
        <f t="shared" si="285"/>
        <v>390.09765787024088</v>
      </c>
      <c r="X726" s="22">
        <f t="shared" si="285"/>
        <v>405.70156418505059</v>
      </c>
      <c r="Y726" s="22">
        <f t="shared" si="285"/>
        <v>421.92962675245258</v>
      </c>
      <c r="Z726" s="22">
        <f t="shared" si="285"/>
        <v>438.80681182255069</v>
      </c>
      <c r="AA726" s="22">
        <f t="shared" si="285"/>
        <v>456.3590842954527</v>
      </c>
      <c r="AB726" s="22">
        <f t="shared" si="285"/>
        <v>474.61344766727086</v>
      </c>
      <c r="AC726" s="22">
        <f t="shared" si="285"/>
        <v>493.59798557396169</v>
      </c>
      <c r="AD726" s="22">
        <f t="shared" si="285"/>
        <v>0</v>
      </c>
      <c r="AE726" s="22">
        <f t="shared" si="285"/>
        <v>0</v>
      </c>
      <c r="AF726" s="22">
        <f t="shared" si="285"/>
        <v>0</v>
      </c>
      <c r="AG726" s="22">
        <f t="shared" si="285"/>
        <v>0</v>
      </c>
      <c r="AH726" s="22">
        <f t="shared" si="285"/>
        <v>0</v>
      </c>
      <c r="AI726" s="22">
        <f t="shared" si="285"/>
        <v>0</v>
      </c>
      <c r="AJ726" s="22">
        <f t="shared" si="285"/>
        <v>0</v>
      </c>
      <c r="AK726" s="22">
        <f t="shared" si="285"/>
        <v>0</v>
      </c>
      <c r="AL726" s="22">
        <f t="shared" si="285"/>
        <v>0</v>
      </c>
      <c r="AM726" s="22">
        <f t="shared" si="285"/>
        <v>0</v>
      </c>
      <c r="AN726" s="22">
        <f t="shared" si="285"/>
        <v>0</v>
      </c>
    </row>
    <row r="727" spans="1:41" outlineLevel="1" x14ac:dyDescent="0.3">
      <c r="C727" s="2"/>
      <c r="D727" s="1" t="str">
        <f>Input!C155</f>
        <v>Ускоритель схватывания (формиат Са)</v>
      </c>
      <c r="H727" s="26" t="s">
        <v>225</v>
      </c>
      <c r="I727" s="159">
        <f>Input!K155</f>
        <v>5.0000000000000001E-3</v>
      </c>
      <c r="L727" s="22">
        <f t="shared" si="286"/>
        <v>250</v>
      </c>
      <c r="M727" s="22">
        <f t="shared" si="285"/>
        <v>260</v>
      </c>
      <c r="N727" s="22">
        <f t="shared" si="285"/>
        <v>270.40000000000003</v>
      </c>
      <c r="O727" s="22">
        <f t="shared" si="285"/>
        <v>281.21600000000001</v>
      </c>
      <c r="P727" s="22">
        <f t="shared" si="285"/>
        <v>292.46464000000003</v>
      </c>
      <c r="Q727" s="22">
        <f t="shared" si="285"/>
        <v>304.16322560000009</v>
      </c>
      <c r="R727" s="22">
        <f t="shared" si="285"/>
        <v>316.32975462400009</v>
      </c>
      <c r="S727" s="22">
        <f t="shared" si="285"/>
        <v>328.9829448089601</v>
      </c>
      <c r="T727" s="22">
        <f t="shared" si="285"/>
        <v>342.14226260131852</v>
      </c>
      <c r="U727" s="22">
        <f t="shared" si="285"/>
        <v>355.82795310537125</v>
      </c>
      <c r="V727" s="22">
        <f t="shared" si="285"/>
        <v>370.06107122958616</v>
      </c>
      <c r="W727" s="22">
        <f t="shared" si="285"/>
        <v>384.86351407876958</v>
      </c>
      <c r="X727" s="22">
        <f t="shared" si="285"/>
        <v>400.25805464192047</v>
      </c>
      <c r="Y727" s="22">
        <f t="shared" si="285"/>
        <v>416.26837682759725</v>
      </c>
      <c r="Z727" s="22">
        <f t="shared" si="285"/>
        <v>432.91911190070118</v>
      </c>
      <c r="AA727" s="22">
        <f t="shared" si="285"/>
        <v>450.23587637672921</v>
      </c>
      <c r="AB727" s="22">
        <f t="shared" si="285"/>
        <v>468.24531143179843</v>
      </c>
      <c r="AC727" s="22">
        <f t="shared" si="285"/>
        <v>486.97512388907035</v>
      </c>
      <c r="AD727" s="22">
        <f t="shared" si="285"/>
        <v>0</v>
      </c>
      <c r="AE727" s="22">
        <f t="shared" si="285"/>
        <v>0</v>
      </c>
      <c r="AF727" s="22">
        <f t="shared" si="285"/>
        <v>0</v>
      </c>
      <c r="AG727" s="22">
        <f t="shared" si="285"/>
        <v>0</v>
      </c>
      <c r="AH727" s="22">
        <f t="shared" si="285"/>
        <v>0</v>
      </c>
      <c r="AI727" s="22">
        <f t="shared" si="285"/>
        <v>0</v>
      </c>
      <c r="AJ727" s="22">
        <f t="shared" si="285"/>
        <v>0</v>
      </c>
      <c r="AK727" s="22">
        <f t="shared" si="285"/>
        <v>0</v>
      </c>
      <c r="AL727" s="22">
        <f t="shared" si="285"/>
        <v>0</v>
      </c>
      <c r="AM727" s="22">
        <f t="shared" si="285"/>
        <v>0</v>
      </c>
      <c r="AN727" s="22">
        <f t="shared" si="285"/>
        <v>0</v>
      </c>
    </row>
    <row r="728" spans="1:41" outlineLevel="1" x14ac:dyDescent="0.3">
      <c r="C728" s="2"/>
      <c r="H728" s="30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</row>
    <row r="729" spans="1:41" outlineLevel="1" x14ac:dyDescent="0.3">
      <c r="C729" s="11" t="s">
        <v>406</v>
      </c>
      <c r="H729" s="26" t="s">
        <v>9</v>
      </c>
      <c r="L729" s="181">
        <f>IFERROR((L442-L716)/L442,0)</f>
        <v>0.26438679441956642</v>
      </c>
      <c r="M729" s="181">
        <f t="shared" ref="M729:AN729" si="287">IFERROR((M442-M716)/M442,0)</f>
        <v>0.26438679441956647</v>
      </c>
      <c r="N729" s="181">
        <f t="shared" si="287"/>
        <v>0.26438679441956647</v>
      </c>
      <c r="O729" s="181">
        <f t="shared" si="287"/>
        <v>0.26438679441956653</v>
      </c>
      <c r="P729" s="181">
        <f t="shared" si="287"/>
        <v>0.26438679441956653</v>
      </c>
      <c r="Q729" s="181">
        <f t="shared" si="287"/>
        <v>0.26438679441956647</v>
      </c>
      <c r="R729" s="181">
        <f t="shared" si="287"/>
        <v>0.26438679441956647</v>
      </c>
      <c r="S729" s="181">
        <f t="shared" si="287"/>
        <v>0.26438679441956647</v>
      </c>
      <c r="T729" s="181">
        <f t="shared" si="287"/>
        <v>0.26438679441956642</v>
      </c>
      <c r="U729" s="181">
        <f t="shared" si="287"/>
        <v>0.26438679441956642</v>
      </c>
      <c r="V729" s="181">
        <f t="shared" si="287"/>
        <v>0.26438679441956653</v>
      </c>
      <c r="W729" s="181">
        <f t="shared" si="287"/>
        <v>0.26438679441956647</v>
      </c>
      <c r="X729" s="181">
        <f t="shared" si="287"/>
        <v>0.26438679441956653</v>
      </c>
      <c r="Y729" s="181">
        <f t="shared" si="287"/>
        <v>0.26438679441956653</v>
      </c>
      <c r="Z729" s="181">
        <f t="shared" si="287"/>
        <v>0.26438679441956647</v>
      </c>
      <c r="AA729" s="181">
        <f t="shared" si="287"/>
        <v>0.26438679441956642</v>
      </c>
      <c r="AB729" s="181">
        <f t="shared" si="287"/>
        <v>0.26438679441956636</v>
      </c>
      <c r="AC729" s="181">
        <f t="shared" si="287"/>
        <v>0.26438679441956647</v>
      </c>
      <c r="AD729" s="181">
        <f t="shared" si="287"/>
        <v>0</v>
      </c>
      <c r="AE729" s="181">
        <f t="shared" si="287"/>
        <v>0</v>
      </c>
      <c r="AF729" s="181">
        <f t="shared" si="287"/>
        <v>0</v>
      </c>
      <c r="AG729" s="181">
        <f t="shared" si="287"/>
        <v>0</v>
      </c>
      <c r="AH729" s="181">
        <f t="shared" si="287"/>
        <v>0</v>
      </c>
      <c r="AI729" s="181">
        <f t="shared" si="287"/>
        <v>0</v>
      </c>
      <c r="AJ729" s="181">
        <f t="shared" si="287"/>
        <v>0</v>
      </c>
      <c r="AK729" s="181">
        <f t="shared" si="287"/>
        <v>0</v>
      </c>
      <c r="AL729" s="181">
        <f t="shared" si="287"/>
        <v>0</v>
      </c>
      <c r="AM729" s="181">
        <f t="shared" si="287"/>
        <v>0</v>
      </c>
      <c r="AN729" s="181">
        <f t="shared" si="287"/>
        <v>0</v>
      </c>
    </row>
    <row r="730" spans="1:41" outlineLevel="1" x14ac:dyDescent="0.3">
      <c r="C730" s="11" t="s">
        <v>407</v>
      </c>
      <c r="H730" s="26" t="s">
        <v>9</v>
      </c>
      <c r="L730" s="181">
        <f>IFERROR((L442-L722)/L442,0)</f>
        <v>0.48970596819519835</v>
      </c>
      <c r="M730" s="181">
        <f t="shared" ref="M730:AN730" si="288">IFERROR((M442-M722)/M442,0)</f>
        <v>0.48970596819519846</v>
      </c>
      <c r="N730" s="181">
        <f t="shared" si="288"/>
        <v>0.48970596819519835</v>
      </c>
      <c r="O730" s="181">
        <f t="shared" si="288"/>
        <v>0.48970596819519846</v>
      </c>
      <c r="P730" s="181">
        <f t="shared" si="288"/>
        <v>0.48970596819519846</v>
      </c>
      <c r="Q730" s="181">
        <f t="shared" si="288"/>
        <v>0.4897059681951984</v>
      </c>
      <c r="R730" s="181">
        <f t="shared" si="288"/>
        <v>0.48970596819519846</v>
      </c>
      <c r="S730" s="181">
        <f t="shared" si="288"/>
        <v>0.48970596819519835</v>
      </c>
      <c r="T730" s="181">
        <f t="shared" si="288"/>
        <v>0.48970596819519835</v>
      </c>
      <c r="U730" s="181">
        <f t="shared" si="288"/>
        <v>0.48970596819519829</v>
      </c>
      <c r="V730" s="181">
        <f t="shared" si="288"/>
        <v>0.48970596819519846</v>
      </c>
      <c r="W730" s="181">
        <f t="shared" si="288"/>
        <v>0.4897059681951984</v>
      </c>
      <c r="X730" s="181">
        <f t="shared" si="288"/>
        <v>0.4897059681951984</v>
      </c>
      <c r="Y730" s="181">
        <f t="shared" si="288"/>
        <v>0.48970596819519835</v>
      </c>
      <c r="Z730" s="181">
        <f t="shared" si="288"/>
        <v>0.4897059681951984</v>
      </c>
      <c r="AA730" s="181">
        <f t="shared" si="288"/>
        <v>0.4897059681951984</v>
      </c>
      <c r="AB730" s="181">
        <f t="shared" si="288"/>
        <v>0.48970596819519835</v>
      </c>
      <c r="AC730" s="181">
        <f t="shared" si="288"/>
        <v>0.4897059681951984</v>
      </c>
      <c r="AD730" s="181">
        <f t="shared" si="288"/>
        <v>0</v>
      </c>
      <c r="AE730" s="181">
        <f t="shared" si="288"/>
        <v>0</v>
      </c>
      <c r="AF730" s="181">
        <f t="shared" si="288"/>
        <v>0</v>
      </c>
      <c r="AG730" s="181">
        <f t="shared" si="288"/>
        <v>0</v>
      </c>
      <c r="AH730" s="181">
        <f t="shared" si="288"/>
        <v>0</v>
      </c>
      <c r="AI730" s="181">
        <f t="shared" si="288"/>
        <v>0</v>
      </c>
      <c r="AJ730" s="181">
        <f t="shared" si="288"/>
        <v>0</v>
      </c>
      <c r="AK730" s="181">
        <f t="shared" si="288"/>
        <v>0</v>
      </c>
      <c r="AL730" s="181">
        <f t="shared" si="288"/>
        <v>0</v>
      </c>
      <c r="AM730" s="181">
        <f t="shared" si="288"/>
        <v>0</v>
      </c>
      <c r="AN730" s="181">
        <f t="shared" si="288"/>
        <v>0</v>
      </c>
    </row>
    <row r="731" spans="1:41" ht="15.75" outlineLevel="1" thickBot="1" x14ac:dyDescent="0.35"/>
    <row r="732" spans="1:41" s="106" customFormat="1" ht="18" customHeight="1" thickTop="1" thickBot="1" x14ac:dyDescent="0.35">
      <c r="A732" s="53"/>
      <c r="B732" s="53"/>
      <c r="C732" s="50" t="s">
        <v>131</v>
      </c>
      <c r="D732" s="51"/>
      <c r="E732" s="51"/>
      <c r="F732" s="51"/>
      <c r="G732" s="51"/>
      <c r="H732" s="52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</row>
    <row r="733" spans="1:41" ht="15.75" outlineLevel="1" thickTop="1" x14ac:dyDescent="0.3"/>
    <row r="734" spans="1:41" s="107" customFormat="1" outlineLevel="1" x14ac:dyDescent="0.3">
      <c r="A734" s="170"/>
      <c r="B734" s="170"/>
      <c r="C734" s="113" t="s">
        <v>325</v>
      </c>
      <c r="D734" s="98"/>
      <c r="E734" s="98"/>
      <c r="F734" s="98"/>
      <c r="G734" s="98"/>
      <c r="H734" s="98"/>
      <c r="I734" s="98"/>
      <c r="J734" s="98"/>
      <c r="K734" s="98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</row>
    <row r="735" spans="1:41" outlineLevel="1" x14ac:dyDescent="0.3"/>
    <row r="736" spans="1:41" outlineLevel="1" x14ac:dyDescent="0.3">
      <c r="C736" s="1" t="s">
        <v>65</v>
      </c>
      <c r="H736" s="26" t="s">
        <v>245</v>
      </c>
      <c r="L736" s="22">
        <f t="shared" ref="L736:U737" si="289">SUMIF($B$763:$B$789,$C736,L$763:L$789)</f>
        <v>0</v>
      </c>
      <c r="M736" s="22">
        <f t="shared" si="289"/>
        <v>27.415741179661016</v>
      </c>
      <c r="N736" s="22">
        <f t="shared" si="289"/>
        <v>44.999930757966098</v>
      </c>
      <c r="O736" s="22">
        <f t="shared" si="289"/>
        <v>32.400404181423724</v>
      </c>
      <c r="P736" s="22">
        <f t="shared" si="289"/>
        <v>26.849148753717511</v>
      </c>
      <c r="Q736" s="22">
        <f t="shared" si="289"/>
        <v>20.260063322847454</v>
      </c>
      <c r="R736" s="22">
        <f t="shared" si="289"/>
        <v>15.866096465536719</v>
      </c>
      <c r="S736" s="22">
        <f t="shared" si="289"/>
        <v>12.972875039548018</v>
      </c>
      <c r="T736" s="22">
        <f t="shared" si="289"/>
        <v>10.079653613559319</v>
      </c>
      <c r="U736" s="22">
        <f t="shared" si="289"/>
        <v>7.1864321875706194</v>
      </c>
      <c r="V736" s="22">
        <f t="shared" ref="V736:AE737" si="290">SUMIF($B$763:$B$789,$C736,V$763:V$789)</f>
        <v>4.2932107615819195</v>
      </c>
      <c r="W736" s="22">
        <f t="shared" si="290"/>
        <v>1.39998933559322</v>
      </c>
      <c r="X736" s="22">
        <f t="shared" si="290"/>
        <v>0</v>
      </c>
      <c r="Y736" s="22">
        <f t="shared" si="290"/>
        <v>0</v>
      </c>
      <c r="Z736" s="22">
        <f t="shared" si="290"/>
        <v>0</v>
      </c>
      <c r="AA736" s="22">
        <f t="shared" si="290"/>
        <v>0</v>
      </c>
      <c r="AB736" s="22">
        <f t="shared" si="290"/>
        <v>0</v>
      </c>
      <c r="AC736" s="22">
        <f t="shared" si="290"/>
        <v>0</v>
      </c>
      <c r="AD736" s="22">
        <f t="shared" si="290"/>
        <v>0</v>
      </c>
      <c r="AE736" s="22">
        <f t="shared" si="290"/>
        <v>0</v>
      </c>
      <c r="AF736" s="22">
        <f t="shared" ref="AF736:AN737" si="291">SUMIF($B$763:$B$789,$C736,AF$763:AF$789)</f>
        <v>0</v>
      </c>
      <c r="AG736" s="22">
        <f t="shared" si="291"/>
        <v>0</v>
      </c>
      <c r="AH736" s="22">
        <f t="shared" si="291"/>
        <v>0</v>
      </c>
      <c r="AI736" s="22">
        <f t="shared" si="291"/>
        <v>0</v>
      </c>
      <c r="AJ736" s="22">
        <f t="shared" si="291"/>
        <v>0</v>
      </c>
      <c r="AK736" s="22">
        <f t="shared" si="291"/>
        <v>0</v>
      </c>
      <c r="AL736" s="22">
        <f t="shared" si="291"/>
        <v>0</v>
      </c>
      <c r="AM736" s="22">
        <f t="shared" si="291"/>
        <v>0</v>
      </c>
      <c r="AN736" s="22">
        <f t="shared" si="291"/>
        <v>0</v>
      </c>
    </row>
    <row r="737" spans="3:40" outlineLevel="1" x14ac:dyDescent="0.3">
      <c r="C737" s="1" t="s">
        <v>66</v>
      </c>
      <c r="H737" s="26" t="s">
        <v>245</v>
      </c>
      <c r="L737" s="22">
        <f t="shared" si="289"/>
        <v>0</v>
      </c>
      <c r="M737" s="22">
        <f t="shared" si="289"/>
        <v>0</v>
      </c>
      <c r="N737" s="22">
        <f t="shared" si="289"/>
        <v>0</v>
      </c>
      <c r="O737" s="22">
        <f t="shared" si="289"/>
        <v>0</v>
      </c>
      <c r="P737" s="22">
        <f t="shared" si="289"/>
        <v>0</v>
      </c>
      <c r="Q737" s="22">
        <f t="shared" si="289"/>
        <v>0</v>
      </c>
      <c r="R737" s="22">
        <f t="shared" si="289"/>
        <v>0</v>
      </c>
      <c r="S737" s="22">
        <f t="shared" si="289"/>
        <v>0</v>
      </c>
      <c r="T737" s="22">
        <f t="shared" si="289"/>
        <v>0</v>
      </c>
      <c r="U737" s="22">
        <f t="shared" si="289"/>
        <v>0</v>
      </c>
      <c r="V737" s="22">
        <f t="shared" si="290"/>
        <v>0</v>
      </c>
      <c r="W737" s="22">
        <f t="shared" si="290"/>
        <v>0</v>
      </c>
      <c r="X737" s="22">
        <f t="shared" si="290"/>
        <v>0</v>
      </c>
      <c r="Y737" s="22">
        <f t="shared" si="290"/>
        <v>0</v>
      </c>
      <c r="Z737" s="22">
        <f t="shared" si="290"/>
        <v>0</v>
      </c>
      <c r="AA737" s="22">
        <f t="shared" si="290"/>
        <v>0</v>
      </c>
      <c r="AB737" s="22">
        <f t="shared" si="290"/>
        <v>0</v>
      </c>
      <c r="AC737" s="22">
        <f t="shared" si="290"/>
        <v>0</v>
      </c>
      <c r="AD737" s="22">
        <f t="shared" si="290"/>
        <v>0</v>
      </c>
      <c r="AE737" s="22">
        <f t="shared" si="290"/>
        <v>0</v>
      </c>
      <c r="AF737" s="22">
        <f t="shared" si="291"/>
        <v>0</v>
      </c>
      <c r="AG737" s="22">
        <f t="shared" si="291"/>
        <v>0</v>
      </c>
      <c r="AH737" s="22">
        <f t="shared" si="291"/>
        <v>0</v>
      </c>
      <c r="AI737" s="22">
        <f t="shared" si="291"/>
        <v>0</v>
      </c>
      <c r="AJ737" s="22">
        <f t="shared" si="291"/>
        <v>0</v>
      </c>
      <c r="AK737" s="22">
        <f t="shared" si="291"/>
        <v>0</v>
      </c>
      <c r="AL737" s="22">
        <f t="shared" si="291"/>
        <v>0</v>
      </c>
      <c r="AM737" s="22">
        <f t="shared" si="291"/>
        <v>0</v>
      </c>
      <c r="AN737" s="22">
        <f t="shared" si="291"/>
        <v>0</v>
      </c>
    </row>
    <row r="738" spans="3:40" outlineLevel="1" x14ac:dyDescent="0.3">
      <c r="C738" s="1" t="s">
        <v>323</v>
      </c>
      <c r="H738" s="26" t="s">
        <v>245</v>
      </c>
      <c r="L738" s="22">
        <f t="shared" ref="L738:AN738" si="292">L736-L737</f>
        <v>0</v>
      </c>
      <c r="M738" s="22">
        <f>M736-M737</f>
        <v>27.415741179661016</v>
      </c>
      <c r="N738" s="22">
        <f>N736-N737</f>
        <v>44.999930757966098</v>
      </c>
      <c r="O738" s="22">
        <f t="shared" si="292"/>
        <v>32.400404181423724</v>
      </c>
      <c r="P738" s="22">
        <f t="shared" si="292"/>
        <v>26.849148753717511</v>
      </c>
      <c r="Q738" s="22">
        <f t="shared" si="292"/>
        <v>20.260063322847454</v>
      </c>
      <c r="R738" s="22">
        <f t="shared" si="292"/>
        <v>15.866096465536719</v>
      </c>
      <c r="S738" s="22">
        <f t="shared" si="292"/>
        <v>12.972875039548018</v>
      </c>
      <c r="T738" s="22">
        <f t="shared" si="292"/>
        <v>10.079653613559319</v>
      </c>
      <c r="U738" s="22">
        <f t="shared" si="292"/>
        <v>7.1864321875706194</v>
      </c>
      <c r="V738" s="22">
        <f t="shared" si="292"/>
        <v>4.2932107615819195</v>
      </c>
      <c r="W738" s="22">
        <f t="shared" si="292"/>
        <v>1.39998933559322</v>
      </c>
      <c r="X738" s="22">
        <f t="shared" si="292"/>
        <v>0</v>
      </c>
      <c r="Y738" s="22">
        <f t="shared" si="292"/>
        <v>0</v>
      </c>
      <c r="Z738" s="22">
        <f t="shared" si="292"/>
        <v>0</v>
      </c>
      <c r="AA738" s="22">
        <f t="shared" si="292"/>
        <v>0</v>
      </c>
      <c r="AB738" s="22">
        <f t="shared" si="292"/>
        <v>0</v>
      </c>
      <c r="AC738" s="22">
        <f t="shared" si="292"/>
        <v>0</v>
      </c>
      <c r="AD738" s="22">
        <f t="shared" si="292"/>
        <v>0</v>
      </c>
      <c r="AE738" s="22">
        <f t="shared" si="292"/>
        <v>0</v>
      </c>
      <c r="AF738" s="22">
        <f t="shared" si="292"/>
        <v>0</v>
      </c>
      <c r="AG738" s="22">
        <f t="shared" si="292"/>
        <v>0</v>
      </c>
      <c r="AH738" s="22">
        <f t="shared" si="292"/>
        <v>0</v>
      </c>
      <c r="AI738" s="22">
        <f t="shared" si="292"/>
        <v>0</v>
      </c>
      <c r="AJ738" s="22">
        <f t="shared" si="292"/>
        <v>0</v>
      </c>
      <c r="AK738" s="22">
        <f t="shared" si="292"/>
        <v>0</v>
      </c>
      <c r="AL738" s="22">
        <f t="shared" si="292"/>
        <v>0</v>
      </c>
      <c r="AM738" s="22">
        <f t="shared" si="292"/>
        <v>0</v>
      </c>
      <c r="AN738" s="22">
        <f t="shared" si="292"/>
        <v>0</v>
      </c>
    </row>
    <row r="739" spans="3:40" outlineLevel="1" x14ac:dyDescent="0.3">
      <c r="C739" s="1" t="s">
        <v>321</v>
      </c>
      <c r="H739" s="26" t="s">
        <v>245</v>
      </c>
      <c r="L739" s="22">
        <f t="shared" ref="L739:AN739" si="293">SUMIF($B$763:$B$789,$C739,L$763:L$789)</f>
        <v>0</v>
      </c>
      <c r="M739" s="22">
        <f t="shared" si="293"/>
        <v>0</v>
      </c>
      <c r="N739" s="22">
        <f t="shared" si="293"/>
        <v>23.145771407909599</v>
      </c>
      <c r="O739" s="22">
        <f>SUMIF($B$763:$B$789,$C739,O$763:O$789)</f>
        <v>23.145771407909599</v>
      </c>
      <c r="P739" s="22">
        <f t="shared" si="293"/>
        <v>23.145771407909599</v>
      </c>
      <c r="Q739" s="22">
        <f t="shared" si="293"/>
        <v>23.145771407909599</v>
      </c>
      <c r="R739" s="22">
        <f t="shared" si="293"/>
        <v>23.145771407909599</v>
      </c>
      <c r="S739" s="22">
        <f t="shared" si="293"/>
        <v>23.145771407909599</v>
      </c>
      <c r="T739" s="22">
        <f t="shared" si="293"/>
        <v>23.145771407909599</v>
      </c>
      <c r="U739" s="22">
        <f t="shared" si="293"/>
        <v>23.145771407909599</v>
      </c>
      <c r="V739" s="22">
        <f t="shared" si="293"/>
        <v>23.145771407909599</v>
      </c>
      <c r="W739" s="22">
        <f t="shared" si="293"/>
        <v>11.19991468474576</v>
      </c>
      <c r="X739" s="22">
        <f t="shared" si="293"/>
        <v>0</v>
      </c>
      <c r="Y739" s="22">
        <f t="shared" si="293"/>
        <v>0</v>
      </c>
      <c r="Z739" s="22">
        <f t="shared" si="293"/>
        <v>0</v>
      </c>
      <c r="AA739" s="22">
        <f t="shared" si="293"/>
        <v>0</v>
      </c>
      <c r="AB739" s="22">
        <f t="shared" si="293"/>
        <v>0</v>
      </c>
      <c r="AC739" s="22">
        <f t="shared" si="293"/>
        <v>0</v>
      </c>
      <c r="AD739" s="22">
        <f t="shared" si="293"/>
        <v>0</v>
      </c>
      <c r="AE739" s="22">
        <f t="shared" si="293"/>
        <v>0</v>
      </c>
      <c r="AF739" s="22">
        <f t="shared" si="293"/>
        <v>0</v>
      </c>
      <c r="AG739" s="22">
        <f t="shared" si="293"/>
        <v>0</v>
      </c>
      <c r="AH739" s="22">
        <f t="shared" si="293"/>
        <v>0</v>
      </c>
      <c r="AI739" s="22">
        <f t="shared" si="293"/>
        <v>0</v>
      </c>
      <c r="AJ739" s="22">
        <f t="shared" si="293"/>
        <v>0</v>
      </c>
      <c r="AK739" s="22">
        <f t="shared" si="293"/>
        <v>0</v>
      </c>
      <c r="AL739" s="22">
        <f t="shared" si="293"/>
        <v>0</v>
      </c>
      <c r="AM739" s="22">
        <f t="shared" si="293"/>
        <v>0</v>
      </c>
      <c r="AN739" s="22">
        <f t="shared" si="293"/>
        <v>0</v>
      </c>
    </row>
    <row r="740" spans="3:40" outlineLevel="1" x14ac:dyDescent="0.3">
      <c r="C740" s="1" t="s">
        <v>324</v>
      </c>
      <c r="H740" s="26" t="s">
        <v>245</v>
      </c>
      <c r="L740" s="22">
        <f>IF(L9&lt;YEAR(Input!$H$12),Расчеты!L736,IF(L9=YEAR(Input!$H$12),Расчеты!L736*(1-Расчеты!L10),0))</f>
        <v>0</v>
      </c>
      <c r="M740" s="22">
        <f>IF(M9&lt;YEAR(Input!$H$12),Расчеты!M736,IF(M9=YEAR(Input!$H$12),Расчеты!M736*(1-Расчеты!M10),0))</f>
        <v>27.415741179661016</v>
      </c>
      <c r="N740" s="22">
        <f>IF(N9&lt;YEAR(Input!$H$12),Расчеты!N736,IF(N9=YEAR(Input!$H$12),Расчеты!N736*(1-Расчеты!N10),0))</f>
        <v>7.4999884596610142</v>
      </c>
      <c r="O740" s="22">
        <f>IF(O9&lt;YEAR(Input!$H$12),Расчеты!O736,IF(O9=YEAR(Input!$H$12),Расчеты!O736*(1-Расчеты!O10),0))</f>
        <v>0</v>
      </c>
      <c r="P740" s="22">
        <f>IF(P9&lt;YEAR(Input!$H$12),Расчеты!P736,IF(P9=YEAR(Input!$H$12),Расчеты!P736*(1-Расчеты!P10),0))</f>
        <v>0</v>
      </c>
      <c r="Q740" s="22">
        <f>IF(Q9&lt;YEAR(Input!$H$12),Расчеты!Q736,IF(Q9=YEAR(Input!$H$12),Расчеты!Q736*(1-Расчеты!Q10),0))</f>
        <v>0</v>
      </c>
      <c r="R740" s="22">
        <f>IF(R9&lt;YEAR(Input!$H$12),Расчеты!R736,IF(R9=YEAR(Input!$H$12),Расчеты!R736*(1-Расчеты!R10),0))</f>
        <v>0</v>
      </c>
      <c r="S740" s="22">
        <f>IF(S9&lt;YEAR(Input!$H$12),Расчеты!S736,IF(S9=YEAR(Input!$H$12),Расчеты!S736*(1-Расчеты!S10),0))</f>
        <v>0</v>
      </c>
      <c r="T740" s="22">
        <f>IF(T9&lt;YEAR(Input!$H$12),Расчеты!T736,IF(T9=YEAR(Input!$H$12),Расчеты!T736*(1-Расчеты!T10),0))</f>
        <v>0</v>
      </c>
      <c r="U740" s="22">
        <f>IF(U9&lt;YEAR(Input!$H$12),Расчеты!U736,IF(U9=YEAR(Input!$H$12),Расчеты!U736*(1-Расчеты!U10),0))</f>
        <v>0</v>
      </c>
      <c r="V740" s="22">
        <f>IF(V9&lt;YEAR(Input!$H$12),Расчеты!V736,IF(V9=YEAR(Input!$H$12),Расчеты!V736*(1-Расчеты!V10),0))</f>
        <v>0</v>
      </c>
      <c r="W740" s="22">
        <f>IF(W9&lt;YEAR(Input!$H$12),Расчеты!W736,IF(W9=YEAR(Input!$H$12),Расчеты!W736*(1-Расчеты!W10),0))</f>
        <v>0</v>
      </c>
      <c r="X740" s="22">
        <f>IF(X9&lt;YEAR(Input!$H$12),Расчеты!X736,IF(X9=YEAR(Input!$H$12),Расчеты!X736*(1-Расчеты!X10),0))</f>
        <v>0</v>
      </c>
      <c r="Y740" s="22">
        <f>IF(Y9&lt;YEAR(Input!$H$12),Расчеты!Y736,IF(Y9=YEAR(Input!$H$12),Расчеты!Y736*(1-Расчеты!Y10),0))</f>
        <v>0</v>
      </c>
      <c r="Z740" s="22">
        <f>IF(Z9&lt;YEAR(Input!$H$12),Расчеты!Z736,IF(Z9=YEAR(Input!$H$12),Расчеты!Z736*(1-Расчеты!Z10),0))</f>
        <v>0</v>
      </c>
      <c r="AA740" s="22">
        <f>IF(AA9&lt;YEAR(Input!$H$12),Расчеты!AA736,IF(AA9=YEAR(Input!$H$12),Расчеты!AA736*(1-Расчеты!AA10),0))</f>
        <v>0</v>
      </c>
      <c r="AB740" s="22">
        <f>IF(AB9&lt;YEAR(Input!$H$12),Расчеты!AB736,IF(AB9=YEAR(Input!$H$12),Расчеты!AB736*(1-Расчеты!AB10),0))</f>
        <v>0</v>
      </c>
      <c r="AC740" s="22">
        <f>IF(AC9&lt;YEAR(Input!$H$12),Расчеты!AC736,IF(AC9=YEAR(Input!$H$12),Расчеты!AC736*(1-Расчеты!AC10),0))</f>
        <v>0</v>
      </c>
      <c r="AD740" s="22">
        <f>IF(AD9&lt;YEAR(Input!$H$12),Расчеты!AD736,IF(AD9=YEAR(Input!$H$12),Расчеты!AD736*(1-Расчеты!AD10),0))</f>
        <v>0</v>
      </c>
      <c r="AE740" s="22">
        <f>IF(AE9&lt;YEAR(Input!$H$12),Расчеты!AE736,IF(AE9=YEAR(Input!$H$12),Расчеты!AE736*(1-Расчеты!AE10),0))</f>
        <v>0</v>
      </c>
      <c r="AF740" s="22">
        <f>IF(AF9&lt;YEAR(Input!$H$12),Расчеты!AF736,IF(AF9=YEAR(Input!$H$12),Расчеты!AF736*(1-Расчеты!AF10),0))</f>
        <v>0</v>
      </c>
      <c r="AG740" s="22">
        <f>IF(AG9&lt;YEAR(Input!$H$12),Расчеты!AG736,IF(AG9=YEAR(Input!$H$12),Расчеты!AG736*(1-Расчеты!AG10),0))</f>
        <v>0</v>
      </c>
      <c r="AH740" s="22">
        <f>IF(AH9&lt;YEAR(Input!$H$12),Расчеты!AH736,IF(AH9=YEAR(Input!$H$12),Расчеты!AH736*(1-Расчеты!AH10),0))</f>
        <v>0</v>
      </c>
      <c r="AI740" s="22">
        <f>IF(AI9&lt;YEAR(Input!$H$12),Расчеты!AI736,IF(AI9=YEAR(Input!$H$12),Расчеты!AI736*(1-Расчеты!AI10),0))</f>
        <v>0</v>
      </c>
      <c r="AJ740" s="22">
        <f>IF(AJ9&lt;YEAR(Input!$H$12),Расчеты!AJ736,IF(AJ9=YEAR(Input!$H$12),Расчеты!AJ736*(1-Расчеты!AJ10),0))</f>
        <v>0</v>
      </c>
      <c r="AK740" s="22">
        <f>IF(AK9&lt;YEAR(Input!$H$12),Расчеты!AK736,IF(AK9=YEAR(Input!$H$12),Расчеты!AK736*(1-Расчеты!AK10),0))</f>
        <v>0</v>
      </c>
      <c r="AL740" s="22">
        <f>IF(AL9&lt;YEAR(Input!$H$12),Расчеты!AL736,IF(AL9=YEAR(Input!$H$12),Расчеты!AL736*(1-Расчеты!AL10),0))</f>
        <v>0</v>
      </c>
      <c r="AM740" s="22">
        <f>IF(AM9&lt;YEAR(Input!$H$12),Расчеты!AM736,IF(AM9=YEAR(Input!$H$12),Расчеты!AM736*(1-Расчеты!AM10),0))</f>
        <v>0</v>
      </c>
      <c r="AN740" s="22">
        <f>IF(AN9&lt;YEAR(Input!$H$12),Расчеты!AN736,IF(AN9=YEAR(Input!$H$12),Расчеты!AN736*(1-Расчеты!AN10),0))</f>
        <v>0</v>
      </c>
    </row>
    <row r="741" spans="3:40" outlineLevel="1" x14ac:dyDescent="0.3">
      <c r="C741" s="1" t="s">
        <v>95</v>
      </c>
      <c r="H741" s="26" t="s">
        <v>245</v>
      </c>
      <c r="L741" s="22">
        <f>L736-L740</f>
        <v>0</v>
      </c>
      <c r="M741" s="22">
        <f t="shared" ref="M741:AN741" si="294">M736-M740</f>
        <v>0</v>
      </c>
      <c r="N741" s="22">
        <f>N736-N740</f>
        <v>37.499942298305086</v>
      </c>
      <c r="O741" s="22">
        <f t="shared" si="294"/>
        <v>32.400404181423724</v>
      </c>
      <c r="P741" s="22">
        <f t="shared" si="294"/>
        <v>26.849148753717511</v>
      </c>
      <c r="Q741" s="22">
        <f t="shared" si="294"/>
        <v>20.260063322847454</v>
      </c>
      <c r="R741" s="22">
        <f t="shared" si="294"/>
        <v>15.866096465536719</v>
      </c>
      <c r="S741" s="22">
        <f t="shared" si="294"/>
        <v>12.972875039548018</v>
      </c>
      <c r="T741" s="22">
        <f t="shared" si="294"/>
        <v>10.079653613559319</v>
      </c>
      <c r="U741" s="22">
        <f t="shared" si="294"/>
        <v>7.1864321875706194</v>
      </c>
      <c r="V741" s="22">
        <f t="shared" si="294"/>
        <v>4.2932107615819195</v>
      </c>
      <c r="W741" s="22">
        <f t="shared" si="294"/>
        <v>1.39998933559322</v>
      </c>
      <c r="X741" s="22">
        <f t="shared" si="294"/>
        <v>0</v>
      </c>
      <c r="Y741" s="22">
        <f t="shared" si="294"/>
        <v>0</v>
      </c>
      <c r="Z741" s="22">
        <f t="shared" si="294"/>
        <v>0</v>
      </c>
      <c r="AA741" s="22">
        <f t="shared" si="294"/>
        <v>0</v>
      </c>
      <c r="AB741" s="22">
        <f t="shared" si="294"/>
        <v>0</v>
      </c>
      <c r="AC741" s="22">
        <f t="shared" si="294"/>
        <v>0</v>
      </c>
      <c r="AD741" s="22">
        <f t="shared" si="294"/>
        <v>0</v>
      </c>
      <c r="AE741" s="22">
        <f t="shared" si="294"/>
        <v>0</v>
      </c>
      <c r="AF741" s="22">
        <f t="shared" si="294"/>
        <v>0</v>
      </c>
      <c r="AG741" s="22">
        <f t="shared" si="294"/>
        <v>0</v>
      </c>
      <c r="AH741" s="22">
        <f t="shared" si="294"/>
        <v>0</v>
      </c>
      <c r="AI741" s="22">
        <f t="shared" si="294"/>
        <v>0</v>
      </c>
      <c r="AJ741" s="22">
        <f t="shared" si="294"/>
        <v>0</v>
      </c>
      <c r="AK741" s="22">
        <f t="shared" si="294"/>
        <v>0</v>
      </c>
      <c r="AL741" s="22">
        <f t="shared" si="294"/>
        <v>0</v>
      </c>
      <c r="AM741" s="22">
        <f t="shared" si="294"/>
        <v>0</v>
      </c>
      <c r="AN741" s="22">
        <f t="shared" si="294"/>
        <v>0</v>
      </c>
    </row>
    <row r="742" spans="3:40" outlineLevel="1" x14ac:dyDescent="0.3">
      <c r="C742" s="1" t="s">
        <v>67</v>
      </c>
      <c r="H742" s="26" t="s">
        <v>245</v>
      </c>
      <c r="L742" s="22">
        <f t="shared" ref="L742:U743" si="295">SUMIF($B$763:$B$789,$C742,L$763:L$789)</f>
        <v>0</v>
      </c>
      <c r="M742" s="22">
        <f t="shared" si="295"/>
        <v>107.51271050847457</v>
      </c>
      <c r="N742" s="22">
        <f t="shared" si="295"/>
        <v>219.51185735593219</v>
      </c>
      <c r="O742" s="22">
        <f t="shared" si="295"/>
        <v>196.36608594802257</v>
      </c>
      <c r="P742" s="22">
        <f t="shared" si="295"/>
        <v>173.22031454011295</v>
      </c>
      <c r="Q742" s="22">
        <f t="shared" si="295"/>
        <v>150.07454313220336</v>
      </c>
      <c r="R742" s="22">
        <f t="shared" si="295"/>
        <v>126.92877172429375</v>
      </c>
      <c r="S742" s="22">
        <f t="shared" si="295"/>
        <v>103.78300031638415</v>
      </c>
      <c r="T742" s="22">
        <f t="shared" si="295"/>
        <v>80.637228908474555</v>
      </c>
      <c r="U742" s="22">
        <f t="shared" si="295"/>
        <v>57.491457500564955</v>
      </c>
      <c r="V742" s="22">
        <f t="shared" ref="V742:AE743" si="296">SUMIF($B$763:$B$789,$C742,V$763:V$789)</f>
        <v>34.345686092655356</v>
      </c>
      <c r="W742" s="22">
        <f t="shared" si="296"/>
        <v>11.19991468474576</v>
      </c>
      <c r="X742" s="22">
        <f t="shared" si="296"/>
        <v>0</v>
      </c>
      <c r="Y742" s="22">
        <f t="shared" si="296"/>
        <v>0</v>
      </c>
      <c r="Z742" s="22">
        <f t="shared" si="296"/>
        <v>0</v>
      </c>
      <c r="AA742" s="22">
        <f t="shared" si="296"/>
        <v>0</v>
      </c>
      <c r="AB742" s="22">
        <f t="shared" si="296"/>
        <v>0</v>
      </c>
      <c r="AC742" s="22">
        <f t="shared" si="296"/>
        <v>0</v>
      </c>
      <c r="AD742" s="22">
        <f t="shared" si="296"/>
        <v>0</v>
      </c>
      <c r="AE742" s="22">
        <f t="shared" si="296"/>
        <v>0</v>
      </c>
      <c r="AF742" s="22">
        <f t="shared" ref="AF742:AN743" si="297">SUMIF($B$763:$B$789,$C742,AF$763:AF$789)</f>
        <v>0</v>
      </c>
      <c r="AG742" s="22">
        <f t="shared" si="297"/>
        <v>0</v>
      </c>
      <c r="AH742" s="22">
        <f t="shared" si="297"/>
        <v>0</v>
      </c>
      <c r="AI742" s="22">
        <f t="shared" si="297"/>
        <v>0</v>
      </c>
      <c r="AJ742" s="22">
        <f t="shared" si="297"/>
        <v>0</v>
      </c>
      <c r="AK742" s="22">
        <f t="shared" si="297"/>
        <v>0</v>
      </c>
      <c r="AL742" s="22">
        <f t="shared" si="297"/>
        <v>0</v>
      </c>
      <c r="AM742" s="22">
        <f t="shared" si="297"/>
        <v>0</v>
      </c>
      <c r="AN742" s="22">
        <f t="shared" si="297"/>
        <v>0</v>
      </c>
    </row>
    <row r="743" spans="3:40" outlineLevel="1" x14ac:dyDescent="0.3">
      <c r="C743" s="1" t="s">
        <v>63</v>
      </c>
      <c r="H743" s="26" t="s">
        <v>245</v>
      </c>
      <c r="L743" s="22">
        <f t="shared" si="295"/>
        <v>0</v>
      </c>
      <c r="M743" s="22">
        <f t="shared" si="295"/>
        <v>107.51271050847457</v>
      </c>
      <c r="N743" s="22">
        <f t="shared" si="295"/>
        <v>196.36608594802257</v>
      </c>
      <c r="O743" s="22">
        <f t="shared" si="295"/>
        <v>173.22031454011295</v>
      </c>
      <c r="P743" s="22">
        <f t="shared" si="295"/>
        <v>150.07454313220336</v>
      </c>
      <c r="Q743" s="22">
        <f t="shared" si="295"/>
        <v>126.92877172429375</v>
      </c>
      <c r="R743" s="22">
        <f t="shared" si="295"/>
        <v>103.78300031638415</v>
      </c>
      <c r="S743" s="22">
        <f t="shared" si="295"/>
        <v>80.637228908474555</v>
      </c>
      <c r="T743" s="22">
        <f t="shared" si="295"/>
        <v>57.491457500564955</v>
      </c>
      <c r="U743" s="22">
        <f t="shared" si="295"/>
        <v>34.345686092655356</v>
      </c>
      <c r="V743" s="22">
        <f t="shared" si="296"/>
        <v>11.19991468474576</v>
      </c>
      <c r="W743" s="22">
        <f t="shared" si="296"/>
        <v>0</v>
      </c>
      <c r="X743" s="22">
        <f t="shared" si="296"/>
        <v>0</v>
      </c>
      <c r="Y743" s="22">
        <f t="shared" si="296"/>
        <v>0</v>
      </c>
      <c r="Z743" s="22">
        <f t="shared" si="296"/>
        <v>0</v>
      </c>
      <c r="AA743" s="22">
        <f t="shared" si="296"/>
        <v>0</v>
      </c>
      <c r="AB743" s="22">
        <f t="shared" si="296"/>
        <v>0</v>
      </c>
      <c r="AC743" s="22">
        <f t="shared" si="296"/>
        <v>0</v>
      </c>
      <c r="AD743" s="22">
        <f t="shared" si="296"/>
        <v>0</v>
      </c>
      <c r="AE743" s="22">
        <f t="shared" si="296"/>
        <v>0</v>
      </c>
      <c r="AF743" s="22">
        <f t="shared" si="297"/>
        <v>0</v>
      </c>
      <c r="AG743" s="22">
        <f t="shared" si="297"/>
        <v>0</v>
      </c>
      <c r="AH743" s="22">
        <f t="shared" si="297"/>
        <v>0</v>
      </c>
      <c r="AI743" s="22">
        <f t="shared" si="297"/>
        <v>0</v>
      </c>
      <c r="AJ743" s="22">
        <f t="shared" si="297"/>
        <v>0</v>
      </c>
      <c r="AK743" s="22">
        <f t="shared" si="297"/>
        <v>0</v>
      </c>
      <c r="AL743" s="22">
        <f t="shared" si="297"/>
        <v>0</v>
      </c>
      <c r="AM743" s="22">
        <f t="shared" si="297"/>
        <v>0</v>
      </c>
      <c r="AN743" s="22">
        <f t="shared" si="297"/>
        <v>0</v>
      </c>
    </row>
    <row r="744" spans="3:40" outlineLevel="1" x14ac:dyDescent="0.3">
      <c r="C744" s="1" t="s">
        <v>408</v>
      </c>
      <c r="H744" s="26" t="s">
        <v>245</v>
      </c>
      <c r="L744" s="22">
        <f>M739</f>
        <v>0</v>
      </c>
      <c r="M744" s="22">
        <f t="shared" ref="M744:N744" si="298">N739</f>
        <v>23.145771407909599</v>
      </c>
      <c r="N744" s="22">
        <f t="shared" si="298"/>
        <v>23.145771407909599</v>
      </c>
      <c r="O744" s="22">
        <f t="shared" ref="O744:AN744" si="299">P739</f>
        <v>23.145771407909599</v>
      </c>
      <c r="P744" s="22">
        <f t="shared" si="299"/>
        <v>23.145771407909599</v>
      </c>
      <c r="Q744" s="22">
        <f t="shared" si="299"/>
        <v>23.145771407909599</v>
      </c>
      <c r="R744" s="22">
        <f t="shared" si="299"/>
        <v>23.145771407909599</v>
      </c>
      <c r="S744" s="22">
        <f t="shared" si="299"/>
        <v>23.145771407909599</v>
      </c>
      <c r="T744" s="22">
        <f t="shared" si="299"/>
        <v>23.145771407909599</v>
      </c>
      <c r="U744" s="22">
        <f t="shared" si="299"/>
        <v>23.145771407909599</v>
      </c>
      <c r="V744" s="22">
        <f t="shared" si="299"/>
        <v>11.19991468474576</v>
      </c>
      <c r="W744" s="22">
        <f t="shared" si="299"/>
        <v>0</v>
      </c>
      <c r="X744" s="22">
        <f t="shared" si="299"/>
        <v>0</v>
      </c>
      <c r="Y744" s="22">
        <f t="shared" si="299"/>
        <v>0</v>
      </c>
      <c r="Z744" s="22">
        <f t="shared" si="299"/>
        <v>0</v>
      </c>
      <c r="AA744" s="22">
        <f t="shared" si="299"/>
        <v>0</v>
      </c>
      <c r="AB744" s="22">
        <f t="shared" si="299"/>
        <v>0</v>
      </c>
      <c r="AC744" s="22">
        <f t="shared" si="299"/>
        <v>0</v>
      </c>
      <c r="AD744" s="22">
        <f t="shared" si="299"/>
        <v>0</v>
      </c>
      <c r="AE744" s="22">
        <f t="shared" si="299"/>
        <v>0</v>
      </c>
      <c r="AF744" s="22">
        <f t="shared" si="299"/>
        <v>0</v>
      </c>
      <c r="AG744" s="22">
        <f t="shared" si="299"/>
        <v>0</v>
      </c>
      <c r="AH744" s="22">
        <f t="shared" si="299"/>
        <v>0</v>
      </c>
      <c r="AI744" s="22">
        <f t="shared" si="299"/>
        <v>0</v>
      </c>
      <c r="AJ744" s="22">
        <f t="shared" si="299"/>
        <v>0</v>
      </c>
      <c r="AK744" s="22">
        <f t="shared" si="299"/>
        <v>0</v>
      </c>
      <c r="AL744" s="22">
        <f t="shared" si="299"/>
        <v>0</v>
      </c>
      <c r="AM744" s="22">
        <f t="shared" si="299"/>
        <v>0</v>
      </c>
      <c r="AN744" s="22">
        <f t="shared" si="299"/>
        <v>0</v>
      </c>
    </row>
    <row r="745" spans="3:40" outlineLevel="1" x14ac:dyDescent="0.3">
      <c r="C745" s="1" t="s">
        <v>409</v>
      </c>
      <c r="H745" s="26" t="s">
        <v>245</v>
      </c>
      <c r="L745" s="22">
        <f>L743-L744</f>
        <v>0</v>
      </c>
      <c r="M745" s="22">
        <f t="shared" ref="M745:N745" si="300">M743-M744</f>
        <v>84.366939100564963</v>
      </c>
      <c r="N745" s="22">
        <f t="shared" si="300"/>
        <v>173.22031454011298</v>
      </c>
      <c r="O745" s="22">
        <f t="shared" ref="O745" si="301">O743-O744</f>
        <v>150.07454313220336</v>
      </c>
      <c r="P745" s="22">
        <f t="shared" ref="P745" si="302">P743-P744</f>
        <v>126.92877172429377</v>
      </c>
      <c r="Q745" s="22">
        <f t="shared" ref="Q745" si="303">Q743-Q744</f>
        <v>103.78300031638415</v>
      </c>
      <c r="R745" s="22">
        <f t="shared" ref="R745" si="304">R743-R744</f>
        <v>80.637228908474555</v>
      </c>
      <c r="S745" s="22">
        <f t="shared" ref="S745" si="305">S743-S744</f>
        <v>57.491457500564955</v>
      </c>
      <c r="T745" s="22">
        <f t="shared" ref="T745" si="306">T743-T744</f>
        <v>34.345686092655356</v>
      </c>
      <c r="U745" s="22">
        <f t="shared" ref="U745" si="307">U743-U744</f>
        <v>11.199914684745757</v>
      </c>
      <c r="V745" s="22">
        <f t="shared" ref="V745" si="308">V743-V744</f>
        <v>0</v>
      </c>
      <c r="W745" s="22">
        <f t="shared" ref="W745" si="309">W743-W744</f>
        <v>0</v>
      </c>
      <c r="X745" s="22">
        <f t="shared" ref="X745" si="310">X743-X744</f>
        <v>0</v>
      </c>
      <c r="Y745" s="22">
        <f t="shared" ref="Y745" si="311">Y743-Y744</f>
        <v>0</v>
      </c>
      <c r="Z745" s="22">
        <f t="shared" ref="Z745" si="312">Z743-Z744</f>
        <v>0</v>
      </c>
      <c r="AA745" s="22">
        <f t="shared" ref="AA745" si="313">AA743-AA744</f>
        <v>0</v>
      </c>
      <c r="AB745" s="22">
        <f t="shared" ref="AB745" si="314">AB743-AB744</f>
        <v>0</v>
      </c>
      <c r="AC745" s="22">
        <f t="shared" ref="AC745" si="315">AC743-AC744</f>
        <v>0</v>
      </c>
      <c r="AD745" s="22">
        <f t="shared" ref="AD745" si="316">AD743-AD744</f>
        <v>0</v>
      </c>
      <c r="AE745" s="22">
        <f t="shared" ref="AE745" si="317">AE743-AE744</f>
        <v>0</v>
      </c>
      <c r="AF745" s="22">
        <f t="shared" ref="AF745" si="318">AF743-AF744</f>
        <v>0</v>
      </c>
      <c r="AG745" s="22">
        <f t="shared" ref="AG745" si="319">AG743-AG744</f>
        <v>0</v>
      </c>
      <c r="AH745" s="22">
        <f t="shared" ref="AH745" si="320">AH743-AH744</f>
        <v>0</v>
      </c>
      <c r="AI745" s="22">
        <f t="shared" ref="AI745" si="321">AI743-AI744</f>
        <v>0</v>
      </c>
      <c r="AJ745" s="22">
        <f t="shared" ref="AJ745" si="322">AJ743-AJ744</f>
        <v>0</v>
      </c>
      <c r="AK745" s="22">
        <f t="shared" ref="AK745" si="323">AK743-AK744</f>
        <v>0</v>
      </c>
      <c r="AL745" s="22">
        <f t="shared" ref="AL745" si="324">AL743-AL744</f>
        <v>0</v>
      </c>
      <c r="AM745" s="22">
        <f t="shared" ref="AM745" si="325">AM743-AM744</f>
        <v>0</v>
      </c>
      <c r="AN745" s="22">
        <f t="shared" ref="AN745" si="326">AN743-AN744</f>
        <v>0</v>
      </c>
    </row>
    <row r="746" spans="3:40" outlineLevel="1" x14ac:dyDescent="0.3">
      <c r="N746" s="38"/>
    </row>
    <row r="747" spans="3:40" outlineLevel="1" x14ac:dyDescent="0.3">
      <c r="C747" s="2" t="s">
        <v>397</v>
      </c>
      <c r="H747" s="30" t="s">
        <v>245</v>
      </c>
      <c r="L747" s="33">
        <f t="shared" ref="L747:AN747" si="327">L80</f>
        <v>0</v>
      </c>
      <c r="M747" s="33">
        <f t="shared" si="327"/>
        <v>134.3908881355932</v>
      </c>
      <c r="N747" s="33">
        <f t="shared" si="327"/>
        <v>139.99893355932201</v>
      </c>
      <c r="O747" s="33">
        <f t="shared" si="327"/>
        <v>0</v>
      </c>
      <c r="P747" s="33">
        <f t="shared" si="327"/>
        <v>0</v>
      </c>
      <c r="Q747" s="33">
        <f t="shared" si="327"/>
        <v>0</v>
      </c>
      <c r="R747" s="33">
        <f t="shared" si="327"/>
        <v>0</v>
      </c>
      <c r="S747" s="33">
        <f t="shared" si="327"/>
        <v>0</v>
      </c>
      <c r="T747" s="33">
        <f t="shared" si="327"/>
        <v>0</v>
      </c>
      <c r="U747" s="33">
        <f t="shared" si="327"/>
        <v>0</v>
      </c>
      <c r="V747" s="33">
        <f t="shared" si="327"/>
        <v>0</v>
      </c>
      <c r="W747" s="33">
        <f t="shared" si="327"/>
        <v>0</v>
      </c>
      <c r="X747" s="33">
        <f t="shared" si="327"/>
        <v>0</v>
      </c>
      <c r="Y747" s="33">
        <f t="shared" si="327"/>
        <v>0</v>
      </c>
      <c r="Z747" s="33">
        <f t="shared" si="327"/>
        <v>0</v>
      </c>
      <c r="AA747" s="33">
        <f t="shared" si="327"/>
        <v>0</v>
      </c>
      <c r="AB747" s="33">
        <f t="shared" si="327"/>
        <v>0</v>
      </c>
      <c r="AC747" s="33">
        <f t="shared" si="327"/>
        <v>0</v>
      </c>
      <c r="AD747" s="33">
        <f t="shared" si="327"/>
        <v>0</v>
      </c>
      <c r="AE747" s="33">
        <f t="shared" si="327"/>
        <v>0</v>
      </c>
      <c r="AF747" s="33">
        <f t="shared" si="327"/>
        <v>0</v>
      </c>
      <c r="AG747" s="33">
        <f t="shared" si="327"/>
        <v>0</v>
      </c>
      <c r="AH747" s="33">
        <f t="shared" si="327"/>
        <v>0</v>
      </c>
      <c r="AI747" s="33">
        <f t="shared" si="327"/>
        <v>0</v>
      </c>
      <c r="AJ747" s="33">
        <f t="shared" si="327"/>
        <v>0</v>
      </c>
      <c r="AK747" s="33">
        <f t="shared" si="327"/>
        <v>0</v>
      </c>
      <c r="AL747" s="33">
        <f t="shared" si="327"/>
        <v>0</v>
      </c>
      <c r="AM747" s="33">
        <f t="shared" si="327"/>
        <v>0</v>
      </c>
      <c r="AN747" s="33">
        <f t="shared" si="327"/>
        <v>0</v>
      </c>
    </row>
    <row r="748" spans="3:40" outlineLevel="1" x14ac:dyDescent="0.3">
      <c r="C748" s="2"/>
      <c r="H748" s="3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</row>
    <row r="749" spans="3:40" outlineLevel="1" x14ac:dyDescent="0.3">
      <c r="C749" s="1" t="s">
        <v>106</v>
      </c>
      <c r="H749" s="30" t="s">
        <v>9</v>
      </c>
      <c r="I749" s="37">
        <f>Input!H208</f>
        <v>0.8</v>
      </c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</row>
    <row r="750" spans="3:40" outlineLevel="1" x14ac:dyDescent="0.3"/>
    <row r="751" spans="3:40" outlineLevel="1" x14ac:dyDescent="0.3">
      <c r="C751" s="1" t="s">
        <v>315</v>
      </c>
      <c r="H751" s="26" t="s">
        <v>245</v>
      </c>
      <c r="L751" s="22">
        <f>L747*$I$749</f>
        <v>0</v>
      </c>
      <c r="M751" s="22">
        <f>M747*$I$749</f>
        <v>107.51271050847457</v>
      </c>
      <c r="N751" s="22">
        <f t="shared" ref="N751:AN751" si="328">N747*$I$749</f>
        <v>111.99914684745761</v>
      </c>
      <c r="O751" s="22">
        <f t="shared" si="328"/>
        <v>0</v>
      </c>
      <c r="P751" s="22">
        <f t="shared" si="328"/>
        <v>0</v>
      </c>
      <c r="Q751" s="22">
        <f t="shared" si="328"/>
        <v>0</v>
      </c>
      <c r="R751" s="22">
        <f t="shared" si="328"/>
        <v>0</v>
      </c>
      <c r="S751" s="22">
        <f t="shared" si="328"/>
        <v>0</v>
      </c>
      <c r="T751" s="22">
        <f t="shared" si="328"/>
        <v>0</v>
      </c>
      <c r="U751" s="22">
        <f t="shared" si="328"/>
        <v>0</v>
      </c>
      <c r="V751" s="22">
        <f t="shared" si="328"/>
        <v>0</v>
      </c>
      <c r="W751" s="22">
        <f t="shared" si="328"/>
        <v>0</v>
      </c>
      <c r="X751" s="22">
        <f t="shared" si="328"/>
        <v>0</v>
      </c>
      <c r="Y751" s="22">
        <f t="shared" si="328"/>
        <v>0</v>
      </c>
      <c r="Z751" s="22">
        <f t="shared" si="328"/>
        <v>0</v>
      </c>
      <c r="AA751" s="22">
        <f t="shared" si="328"/>
        <v>0</v>
      </c>
      <c r="AB751" s="22">
        <f t="shared" si="328"/>
        <v>0</v>
      </c>
      <c r="AC751" s="22">
        <f t="shared" si="328"/>
        <v>0</v>
      </c>
      <c r="AD751" s="22">
        <f t="shared" si="328"/>
        <v>0</v>
      </c>
      <c r="AE751" s="22">
        <f t="shared" si="328"/>
        <v>0</v>
      </c>
      <c r="AF751" s="22">
        <f t="shared" si="328"/>
        <v>0</v>
      </c>
      <c r="AG751" s="22">
        <f t="shared" si="328"/>
        <v>0</v>
      </c>
      <c r="AH751" s="22">
        <f t="shared" si="328"/>
        <v>0</v>
      </c>
      <c r="AI751" s="22">
        <f t="shared" si="328"/>
        <v>0</v>
      </c>
      <c r="AJ751" s="22">
        <f t="shared" si="328"/>
        <v>0</v>
      </c>
      <c r="AK751" s="22">
        <f t="shared" si="328"/>
        <v>0</v>
      </c>
      <c r="AL751" s="22">
        <f t="shared" si="328"/>
        <v>0</v>
      </c>
      <c r="AM751" s="22">
        <f t="shared" si="328"/>
        <v>0</v>
      </c>
      <c r="AN751" s="22">
        <f t="shared" si="328"/>
        <v>0</v>
      </c>
    </row>
    <row r="752" spans="3:40" outlineLevel="1" x14ac:dyDescent="0.3"/>
    <row r="753" spans="2:40" outlineLevel="1" x14ac:dyDescent="0.3">
      <c r="C753" s="1" t="s">
        <v>369</v>
      </c>
      <c r="H753" s="26" t="s">
        <v>9</v>
      </c>
      <c r="I753" s="146">
        <f>Input!H209</f>
        <v>5.5E-2</v>
      </c>
      <c r="L753" s="158">
        <f t="shared" ref="L753:AN753" si="329">($I$753+L46)</f>
        <v>0.26500000000000001</v>
      </c>
      <c r="M753" s="158">
        <f t="shared" si="329"/>
        <v>0.255</v>
      </c>
      <c r="N753" s="158">
        <f t="shared" si="329"/>
        <v>0.20499999999999999</v>
      </c>
      <c r="O753" s="158">
        <f t="shared" si="329"/>
        <v>0.16500000000000001</v>
      </c>
      <c r="P753" s="158">
        <f t="shared" si="329"/>
        <v>0.155</v>
      </c>
      <c r="Q753" s="158">
        <f t="shared" si="329"/>
        <v>0.13500000000000001</v>
      </c>
      <c r="R753" s="158">
        <f t="shared" si="329"/>
        <v>0.125</v>
      </c>
      <c r="S753" s="158">
        <f t="shared" si="329"/>
        <v>0.125</v>
      </c>
      <c r="T753" s="158">
        <f t="shared" si="329"/>
        <v>0.125</v>
      </c>
      <c r="U753" s="158">
        <f t="shared" si="329"/>
        <v>0.125</v>
      </c>
      <c r="V753" s="158">
        <f t="shared" si="329"/>
        <v>0.125</v>
      </c>
      <c r="W753" s="158">
        <f t="shared" si="329"/>
        <v>0.125</v>
      </c>
      <c r="X753" s="158">
        <f t="shared" si="329"/>
        <v>0.125</v>
      </c>
      <c r="Y753" s="158">
        <f t="shared" si="329"/>
        <v>0.125</v>
      </c>
      <c r="Z753" s="158">
        <f t="shared" si="329"/>
        <v>0.125</v>
      </c>
      <c r="AA753" s="158">
        <f t="shared" si="329"/>
        <v>0.125</v>
      </c>
      <c r="AB753" s="158">
        <f t="shared" si="329"/>
        <v>0.125</v>
      </c>
      <c r="AC753" s="158">
        <f t="shared" si="329"/>
        <v>0.125</v>
      </c>
      <c r="AD753" s="158">
        <f t="shared" si="329"/>
        <v>5.5E-2</v>
      </c>
      <c r="AE753" s="158">
        <f t="shared" si="329"/>
        <v>5.5E-2</v>
      </c>
      <c r="AF753" s="158">
        <f t="shared" si="329"/>
        <v>5.5E-2</v>
      </c>
      <c r="AG753" s="158">
        <f t="shared" si="329"/>
        <v>5.5E-2</v>
      </c>
      <c r="AH753" s="158">
        <f t="shared" si="329"/>
        <v>5.5E-2</v>
      </c>
      <c r="AI753" s="158">
        <f t="shared" si="329"/>
        <v>5.5E-2</v>
      </c>
      <c r="AJ753" s="158">
        <f t="shared" si="329"/>
        <v>5.5E-2</v>
      </c>
      <c r="AK753" s="158">
        <f t="shared" si="329"/>
        <v>5.5E-2</v>
      </c>
      <c r="AL753" s="158">
        <f t="shared" si="329"/>
        <v>5.5E-2</v>
      </c>
      <c r="AM753" s="158">
        <f t="shared" si="329"/>
        <v>5.5E-2</v>
      </c>
      <c r="AN753" s="158">
        <f t="shared" si="329"/>
        <v>5.5E-2</v>
      </c>
    </row>
    <row r="754" spans="2:40" outlineLevel="1" x14ac:dyDescent="0.3">
      <c r="H754" s="26"/>
    </row>
    <row r="755" spans="2:40" outlineLevel="1" x14ac:dyDescent="0.3">
      <c r="C755" s="1" t="s">
        <v>47</v>
      </c>
      <c r="H755" s="26" t="s">
        <v>33</v>
      </c>
      <c r="I755" s="142">
        <f>Input!H211</f>
        <v>10</v>
      </c>
    </row>
    <row r="756" spans="2:40" outlineLevel="1" x14ac:dyDescent="0.3">
      <c r="H756" s="26"/>
      <c r="N756" s="144"/>
    </row>
    <row r="757" spans="2:40" outlineLevel="1" x14ac:dyDescent="0.3">
      <c r="C757" s="1" t="s">
        <v>145</v>
      </c>
      <c r="H757" s="26" t="s">
        <v>44</v>
      </c>
      <c r="I757" s="142">
        <f>YEAR(Input!H12)</f>
        <v>2026</v>
      </c>
    </row>
    <row r="758" spans="2:40" outlineLevel="1" x14ac:dyDescent="0.3"/>
    <row r="759" spans="2:40" outlineLevel="1" x14ac:dyDescent="0.3">
      <c r="C759" s="1" t="s">
        <v>316</v>
      </c>
      <c r="I759" s="69" t="str">
        <f>IF(Input!J212=1,"Аннуитетный платеж","Дифференцированный платеж")</f>
        <v>Дифференцированный платеж</v>
      </c>
      <c r="L759" s="144"/>
    </row>
    <row r="760" spans="2:40" outlineLevel="1" x14ac:dyDescent="0.3"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</row>
    <row r="761" spans="2:40" outlineLevel="1" x14ac:dyDescent="0.3">
      <c r="C761" s="2" t="s">
        <v>61</v>
      </c>
      <c r="H761" s="26" t="s">
        <v>44</v>
      </c>
      <c r="I761" s="142">
        <f>YEAR(Input!H11)</f>
        <v>2025</v>
      </c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</row>
    <row r="762" spans="2:40" outlineLevel="1" x14ac:dyDescent="0.3">
      <c r="C762" s="1" t="s">
        <v>64</v>
      </c>
      <c r="H762" s="26" t="s">
        <v>33</v>
      </c>
      <c r="L762" s="22">
        <f t="shared" ref="L762:AN762" si="330">IFERROR(IF(L9&lt;$I$757,0,IF(L9&gt;=$I$761,MAX($I$761+$I$755-L9,0),0)),0)</f>
        <v>0</v>
      </c>
      <c r="M762" s="22">
        <f t="shared" si="330"/>
        <v>0</v>
      </c>
      <c r="N762" s="22">
        <f t="shared" si="330"/>
        <v>9</v>
      </c>
      <c r="O762" s="22">
        <f t="shared" si="330"/>
        <v>8</v>
      </c>
      <c r="P762" s="22">
        <f t="shared" si="330"/>
        <v>7</v>
      </c>
      <c r="Q762" s="22">
        <f t="shared" si="330"/>
        <v>6</v>
      </c>
      <c r="R762" s="22">
        <f t="shared" si="330"/>
        <v>5</v>
      </c>
      <c r="S762" s="22">
        <f t="shared" si="330"/>
        <v>4</v>
      </c>
      <c r="T762" s="22">
        <f t="shared" si="330"/>
        <v>3</v>
      </c>
      <c r="U762" s="22">
        <f t="shared" si="330"/>
        <v>2</v>
      </c>
      <c r="V762" s="22">
        <f t="shared" si="330"/>
        <v>1</v>
      </c>
      <c r="W762" s="22">
        <f t="shared" si="330"/>
        <v>0</v>
      </c>
      <c r="X762" s="22">
        <f t="shared" si="330"/>
        <v>0</v>
      </c>
      <c r="Y762" s="22">
        <f t="shared" si="330"/>
        <v>0</v>
      </c>
      <c r="Z762" s="22">
        <f t="shared" si="330"/>
        <v>0</v>
      </c>
      <c r="AA762" s="22">
        <f t="shared" si="330"/>
        <v>0</v>
      </c>
      <c r="AB762" s="22">
        <f t="shared" si="330"/>
        <v>0</v>
      </c>
      <c r="AC762" s="22">
        <f t="shared" si="330"/>
        <v>0</v>
      </c>
      <c r="AD762" s="22">
        <f t="shared" si="330"/>
        <v>0</v>
      </c>
      <c r="AE762" s="22">
        <f t="shared" si="330"/>
        <v>0</v>
      </c>
      <c r="AF762" s="22">
        <f t="shared" si="330"/>
        <v>0</v>
      </c>
      <c r="AG762" s="22">
        <f t="shared" si="330"/>
        <v>0</v>
      </c>
      <c r="AH762" s="22">
        <f t="shared" si="330"/>
        <v>0</v>
      </c>
      <c r="AI762" s="22">
        <f t="shared" si="330"/>
        <v>0</v>
      </c>
      <c r="AJ762" s="22">
        <f t="shared" si="330"/>
        <v>0</v>
      </c>
      <c r="AK762" s="22">
        <f t="shared" si="330"/>
        <v>0</v>
      </c>
      <c r="AL762" s="22">
        <f t="shared" si="330"/>
        <v>0</v>
      </c>
      <c r="AM762" s="22">
        <f t="shared" si="330"/>
        <v>0</v>
      </c>
      <c r="AN762" s="22">
        <f t="shared" si="330"/>
        <v>0</v>
      </c>
    </row>
    <row r="763" spans="2:40" outlineLevel="1" x14ac:dyDescent="0.3">
      <c r="B763" s="18" t="s">
        <v>67</v>
      </c>
      <c r="C763" s="1" t="s">
        <v>67</v>
      </c>
      <c r="H763" s="26" t="s">
        <v>245</v>
      </c>
      <c r="K763" s="38"/>
      <c r="L763" s="22">
        <f t="shared" ref="L763:AN763" si="331">IF(L9=$I$761,L751,K769)</f>
        <v>0</v>
      </c>
      <c r="M763" s="22">
        <f t="shared" si="331"/>
        <v>107.51271050847457</v>
      </c>
      <c r="N763" s="22">
        <f t="shared" si="331"/>
        <v>107.51271050847457</v>
      </c>
      <c r="O763" s="22">
        <f t="shared" si="331"/>
        <v>95.566853785310727</v>
      </c>
      <c r="P763" s="22">
        <f t="shared" si="331"/>
        <v>83.620997062146884</v>
      </c>
      <c r="Q763" s="22">
        <f t="shared" si="331"/>
        <v>71.675140338983041</v>
      </c>
      <c r="R763" s="22">
        <f t="shared" si="331"/>
        <v>59.729283615819199</v>
      </c>
      <c r="S763" s="22">
        <f t="shared" si="331"/>
        <v>47.783426892655356</v>
      </c>
      <c r="T763" s="22">
        <f t="shared" si="331"/>
        <v>35.837570169491514</v>
      </c>
      <c r="U763" s="22">
        <f t="shared" si="331"/>
        <v>23.891713446327678</v>
      </c>
      <c r="V763" s="22">
        <f t="shared" si="331"/>
        <v>11.945856723163839</v>
      </c>
      <c r="W763" s="22">
        <f t="shared" si="331"/>
        <v>0</v>
      </c>
      <c r="X763" s="22">
        <f t="shared" si="331"/>
        <v>0</v>
      </c>
      <c r="Y763" s="22">
        <f t="shared" si="331"/>
        <v>0</v>
      </c>
      <c r="Z763" s="22">
        <f t="shared" si="331"/>
        <v>0</v>
      </c>
      <c r="AA763" s="22">
        <f t="shared" si="331"/>
        <v>0</v>
      </c>
      <c r="AB763" s="22">
        <f t="shared" si="331"/>
        <v>0</v>
      </c>
      <c r="AC763" s="22">
        <f t="shared" si="331"/>
        <v>0</v>
      </c>
      <c r="AD763" s="22">
        <f t="shared" si="331"/>
        <v>0</v>
      </c>
      <c r="AE763" s="22">
        <f t="shared" si="331"/>
        <v>0</v>
      </c>
      <c r="AF763" s="22">
        <f t="shared" si="331"/>
        <v>0</v>
      </c>
      <c r="AG763" s="22">
        <f t="shared" si="331"/>
        <v>0</v>
      </c>
      <c r="AH763" s="22">
        <f t="shared" si="331"/>
        <v>0</v>
      </c>
      <c r="AI763" s="22">
        <f t="shared" si="331"/>
        <v>0</v>
      </c>
      <c r="AJ763" s="22">
        <f t="shared" si="331"/>
        <v>0</v>
      </c>
      <c r="AK763" s="22">
        <f t="shared" si="331"/>
        <v>0</v>
      </c>
      <c r="AL763" s="22">
        <f t="shared" si="331"/>
        <v>0</v>
      </c>
      <c r="AM763" s="22">
        <f t="shared" si="331"/>
        <v>0</v>
      </c>
      <c r="AN763" s="22">
        <f t="shared" si="331"/>
        <v>0</v>
      </c>
    </row>
    <row r="764" spans="2:40" outlineLevel="1" x14ac:dyDescent="0.3">
      <c r="B764" s="18" t="s">
        <v>65</v>
      </c>
      <c r="C764" s="1" t="s">
        <v>65</v>
      </c>
      <c r="H764" s="26" t="s">
        <v>245</v>
      </c>
      <c r="I764" s="22">
        <f>SUM(L764:AN764)</f>
        <v>110.26025755480225</v>
      </c>
      <c r="J764" s="38"/>
      <c r="L764" s="22">
        <f>L763*L753</f>
        <v>0</v>
      </c>
      <c r="M764" s="22">
        <f>M763*M753</f>
        <v>27.415741179661016</v>
      </c>
      <c r="N764" s="22">
        <f>N763*N753</f>
        <v>22.040105654237287</v>
      </c>
      <c r="O764" s="22">
        <f t="shared" ref="O764:AN764" si="332">O763*O753</f>
        <v>15.768530874576271</v>
      </c>
      <c r="P764" s="22">
        <f>P763*P753</f>
        <v>12.961254544632768</v>
      </c>
      <c r="Q764" s="22">
        <f t="shared" si="332"/>
        <v>9.6761439457627105</v>
      </c>
      <c r="R764" s="22">
        <f t="shared" si="332"/>
        <v>7.4661604519773999</v>
      </c>
      <c r="S764" s="22">
        <f t="shared" si="332"/>
        <v>5.9729283615819195</v>
      </c>
      <c r="T764" s="22">
        <f t="shared" si="332"/>
        <v>4.4796962711864392</v>
      </c>
      <c r="U764" s="22">
        <f t="shared" si="332"/>
        <v>2.9864641807909598</v>
      </c>
      <c r="V764" s="22">
        <f t="shared" si="332"/>
        <v>1.4932320903954799</v>
      </c>
      <c r="W764" s="22">
        <f t="shared" si="332"/>
        <v>0</v>
      </c>
      <c r="X764" s="22">
        <f t="shared" si="332"/>
        <v>0</v>
      </c>
      <c r="Y764" s="22">
        <f t="shared" si="332"/>
        <v>0</v>
      </c>
      <c r="Z764" s="22">
        <f t="shared" si="332"/>
        <v>0</v>
      </c>
      <c r="AA764" s="22">
        <f t="shared" si="332"/>
        <v>0</v>
      </c>
      <c r="AB764" s="22">
        <f t="shared" si="332"/>
        <v>0</v>
      </c>
      <c r="AC764" s="22">
        <f t="shared" si="332"/>
        <v>0</v>
      </c>
      <c r="AD764" s="22">
        <f t="shared" si="332"/>
        <v>0</v>
      </c>
      <c r="AE764" s="22">
        <f t="shared" si="332"/>
        <v>0</v>
      </c>
      <c r="AF764" s="22">
        <f t="shared" si="332"/>
        <v>0</v>
      </c>
      <c r="AG764" s="22">
        <f t="shared" si="332"/>
        <v>0</v>
      </c>
      <c r="AH764" s="22">
        <f t="shared" si="332"/>
        <v>0</v>
      </c>
      <c r="AI764" s="22">
        <f t="shared" si="332"/>
        <v>0</v>
      </c>
      <c r="AJ764" s="22">
        <f t="shared" si="332"/>
        <v>0</v>
      </c>
      <c r="AK764" s="22">
        <f t="shared" si="332"/>
        <v>0</v>
      </c>
      <c r="AL764" s="22">
        <f t="shared" si="332"/>
        <v>0</v>
      </c>
      <c r="AM764" s="22">
        <f t="shared" si="332"/>
        <v>0</v>
      </c>
      <c r="AN764" s="22">
        <f t="shared" si="332"/>
        <v>0</v>
      </c>
    </row>
    <row r="765" spans="2:40" outlineLevel="1" x14ac:dyDescent="0.3">
      <c r="B765" s="18" t="s">
        <v>66</v>
      </c>
      <c r="C765" s="1" t="s">
        <v>66</v>
      </c>
      <c r="H765" s="26" t="s">
        <v>245</v>
      </c>
      <c r="I765" s="22">
        <f>SUM(L765:AN765)</f>
        <v>0</v>
      </c>
      <c r="L765" s="22">
        <f>IF(AND(Input!$J$213=TRUE,Расчеты!L9&lt;Расчеты!$I$757),Расчеты!L764,IF(AND(Input!$J$213=TRUE,Расчеты!L9=Расчеты!$I$757),Расчеты!L764*(1-Расчеты!L10),0))</f>
        <v>0</v>
      </c>
      <c r="M765" s="22">
        <f>IF(AND(Input!$J$213=TRUE,Расчеты!M9&lt;Расчеты!$I$757),Расчеты!M764,IF(AND(Input!$J$213=TRUE,Расчеты!M9=Расчеты!$I$757),Расчеты!M764*(1-Расчеты!M10),0))</f>
        <v>0</v>
      </c>
      <c r="N765" s="22">
        <f>IF(AND(Input!$J$213=TRUE,Расчеты!N9&lt;Расчеты!$I$757),Расчеты!N764,IF(AND(Input!$J$213=TRUE,Расчеты!N9=Расчеты!$I$757),Расчеты!N764*(1-Расчеты!N10),0))</f>
        <v>0</v>
      </c>
      <c r="O765" s="22">
        <f>IF(AND(Input!$J$213=TRUE,Расчеты!O9&lt;Расчеты!$I$757),Расчеты!O764,IF(AND(Input!$J$213=TRUE,Расчеты!O9=Расчеты!$I$757),Расчеты!O764*(1-Расчеты!O10),0))</f>
        <v>0</v>
      </c>
      <c r="P765" s="22">
        <f>IF(AND(Input!$J$213=TRUE,Расчеты!P9&lt;Расчеты!$I$757),Расчеты!P764,IF(AND(Input!$J$213=TRUE,Расчеты!P9=Расчеты!$I$757),Расчеты!P764*(1-Расчеты!P10),0))</f>
        <v>0</v>
      </c>
      <c r="Q765" s="22">
        <f>IF(AND(Input!$J$213=TRUE,Расчеты!Q9&lt;Расчеты!$I$757),Расчеты!Q764,IF(AND(Input!$J$213=TRUE,Расчеты!Q9=Расчеты!$I$757),Расчеты!Q764*(1-Расчеты!Q10),0))</f>
        <v>0</v>
      </c>
      <c r="R765" s="22">
        <f>IF(AND(Input!$J$213=TRUE,Расчеты!R9&lt;Расчеты!$I$757),Расчеты!R764,IF(AND(Input!$J$213=TRUE,Расчеты!R9=Расчеты!$I$757),Расчеты!R764*(1-Расчеты!R10),0))</f>
        <v>0</v>
      </c>
      <c r="S765" s="22">
        <f>IF(AND(Input!$J$213=TRUE,Расчеты!S9&lt;Расчеты!$I$757),Расчеты!S764,IF(AND(Input!$J$213=TRUE,Расчеты!S9=Расчеты!$I$757),Расчеты!S764*(1-Расчеты!S10),0))</f>
        <v>0</v>
      </c>
      <c r="T765" s="22">
        <f>IF(AND(Input!$J$213=TRUE,Расчеты!T9&lt;Расчеты!$I$757),Расчеты!T764,IF(AND(Input!$J$213=TRUE,Расчеты!T9=Расчеты!$I$757),Расчеты!T764*(1-Расчеты!T10),0))</f>
        <v>0</v>
      </c>
      <c r="U765" s="22">
        <f>IF(AND(Input!$J$213=TRUE,Расчеты!U9&lt;Расчеты!$I$757),Расчеты!U764,IF(AND(Input!$J$213=TRUE,Расчеты!U9=Расчеты!$I$757),Расчеты!U764*(1-Расчеты!U10),0))</f>
        <v>0</v>
      </c>
      <c r="V765" s="22">
        <f>IF(AND(Input!$J$213=TRUE,Расчеты!V9&lt;Расчеты!$I$757),Расчеты!V764,IF(AND(Input!$J$213=TRUE,Расчеты!V9=Расчеты!$I$757),Расчеты!V764*(1-Расчеты!V10),0))</f>
        <v>0</v>
      </c>
      <c r="W765" s="22">
        <f>IF(AND(Input!$J$213=TRUE,Расчеты!W9&lt;Расчеты!$I$757),Расчеты!W764,IF(AND(Input!$J$213=TRUE,Расчеты!W9=Расчеты!$I$757),Расчеты!W764*(1-Расчеты!W10),0))</f>
        <v>0</v>
      </c>
      <c r="X765" s="22">
        <f>IF(AND(Input!$J$213=TRUE,Расчеты!X9&lt;Расчеты!$I$757),Расчеты!X764,IF(AND(Input!$J$213=TRUE,Расчеты!X9=Расчеты!$I$757),Расчеты!X764*(1-Расчеты!X10),0))</f>
        <v>0</v>
      </c>
      <c r="Y765" s="22">
        <f>IF(AND(Input!$J$213=TRUE,Расчеты!Y9&lt;Расчеты!$I$757),Расчеты!Y764,IF(AND(Input!$J$213=TRUE,Расчеты!Y9=Расчеты!$I$757),Расчеты!Y764*(1-Расчеты!Y10),0))</f>
        <v>0</v>
      </c>
      <c r="Z765" s="22">
        <f>IF(AND(Input!$J$213=TRUE,Расчеты!Z9&lt;Расчеты!$I$757),Расчеты!Z764,IF(AND(Input!$J$213=TRUE,Расчеты!Z9=Расчеты!$I$757),Расчеты!Z764*(1-Расчеты!Z10),0))</f>
        <v>0</v>
      </c>
      <c r="AA765" s="22">
        <f>IF(AND(Input!$J$213=TRUE,Расчеты!AA9&lt;Расчеты!$I$757),Расчеты!AA764,IF(AND(Input!$J$213=TRUE,Расчеты!AA9=Расчеты!$I$757),Расчеты!AA764*(1-Расчеты!AA10),0))</f>
        <v>0</v>
      </c>
      <c r="AB765" s="22">
        <f>IF(AND(Input!$J$213=TRUE,Расчеты!AB9&lt;Расчеты!$I$757),Расчеты!AB764,IF(AND(Input!$J$213=TRUE,Расчеты!AB9=Расчеты!$I$757),Расчеты!AB764*(1-Расчеты!AB10),0))</f>
        <v>0</v>
      </c>
      <c r="AC765" s="22">
        <f>IF(AND(Input!$J$213=TRUE,Расчеты!AC9&lt;Расчеты!$I$757),Расчеты!AC764,IF(AND(Input!$J$213=TRUE,Расчеты!AC9=Расчеты!$I$757),Расчеты!AC764*(1-Расчеты!AC10),0))</f>
        <v>0</v>
      </c>
      <c r="AD765" s="22">
        <f>IF(AND(Input!$J$213=TRUE,Расчеты!AD9&lt;Расчеты!$I$757),Расчеты!AD764,IF(AND(Input!$J$213=TRUE,Расчеты!AD9=Расчеты!$I$757),Расчеты!AD764*(1-Расчеты!AD10),0))</f>
        <v>0</v>
      </c>
      <c r="AE765" s="22">
        <f>IF(AND(Input!$J$213=TRUE,Расчеты!AE9&lt;Расчеты!$I$757),Расчеты!AE764,IF(AND(Input!$J$213=TRUE,Расчеты!AE9=Расчеты!$I$757),Расчеты!AE764*(1-Расчеты!AE10),0))</f>
        <v>0</v>
      </c>
      <c r="AF765" s="22">
        <f>IF(AND(Input!$J$213=TRUE,Расчеты!AF9&lt;Расчеты!$I$757),Расчеты!AF764,IF(AND(Input!$J$213=TRUE,Расчеты!AF9=Расчеты!$I$757),Расчеты!AF764*(1-Расчеты!AF10),0))</f>
        <v>0</v>
      </c>
      <c r="AG765" s="22">
        <f>IF(AND(Input!$J$213=TRUE,Расчеты!AG9&lt;Расчеты!$I$757),Расчеты!AG764,IF(AND(Input!$J$213=TRUE,Расчеты!AG9=Расчеты!$I$757),Расчеты!AG764*(1-Расчеты!AG10),0))</f>
        <v>0</v>
      </c>
      <c r="AH765" s="22">
        <f>IF(AND(Input!$J$213=TRUE,Расчеты!AH9&lt;Расчеты!$I$757),Расчеты!AH764,IF(AND(Input!$J$213=TRUE,Расчеты!AH9=Расчеты!$I$757),Расчеты!AH764*(1-Расчеты!AH10),0))</f>
        <v>0</v>
      </c>
      <c r="AI765" s="22">
        <f>IF(AND(Input!$J$213=TRUE,Расчеты!AI9&lt;Расчеты!$I$757),Расчеты!AI764,IF(AND(Input!$J$213=TRUE,Расчеты!AI9=Расчеты!$I$757),Расчеты!AI764*(1-Расчеты!AI10),0))</f>
        <v>0</v>
      </c>
      <c r="AJ765" s="22">
        <f>IF(AND(Input!$J$213=TRUE,Расчеты!AJ9&lt;Расчеты!$I$757),Расчеты!AJ764,IF(AND(Input!$J$213=TRUE,Расчеты!AJ9=Расчеты!$I$757),Расчеты!AJ764*(1-Расчеты!AJ10),0))</f>
        <v>0</v>
      </c>
      <c r="AK765" s="22">
        <f>IF(AND(Input!$J$213=TRUE,Расчеты!AK9&lt;Расчеты!$I$757),Расчеты!AK764,IF(AND(Input!$J$213=TRUE,Расчеты!AK9=Расчеты!$I$757),Расчеты!AK764*(1-Расчеты!AK10),0))</f>
        <v>0</v>
      </c>
      <c r="AL765" s="22">
        <f>IF(AND(Input!$J$213=TRUE,Расчеты!AL9&lt;Расчеты!$I$757),Расчеты!AL764,IF(AND(Input!$J$213=TRUE,Расчеты!AL9=Расчеты!$I$757),Расчеты!AL764*(1-Расчеты!AL10),0))</f>
        <v>0</v>
      </c>
      <c r="AM765" s="22">
        <f>IF(AND(Input!$J$213=TRUE,Расчеты!AM9&lt;Расчеты!$I$757),Расчеты!AM764,IF(AND(Input!$J$213=TRUE,Расчеты!AM9=Расчеты!$I$757),Расчеты!AM764*(1-Расчеты!AM10),0))</f>
        <v>0</v>
      </c>
      <c r="AN765" s="22">
        <f>IF(AND(Input!$J$213=TRUE,Расчеты!AN9&lt;Расчеты!$I$757),Расчеты!AN764,IF(AND(Input!$J$213=TRUE,Расчеты!AN9=Расчеты!$I$757),Расчеты!AN764*(1-Расчеты!AN10),0))</f>
        <v>0</v>
      </c>
    </row>
    <row r="766" spans="2:40" outlineLevel="1" x14ac:dyDescent="0.3">
      <c r="B766" s="18" t="s">
        <v>321</v>
      </c>
      <c r="C766" s="1" t="s">
        <v>68</v>
      </c>
      <c r="H766" s="26" t="s">
        <v>245</v>
      </c>
      <c r="I766" s="22">
        <f>SUM(L766:AN766)</f>
        <v>0</v>
      </c>
      <c r="J766" s="38"/>
      <c r="L766" s="22">
        <f t="shared" ref="L766:AN766" si="333">IFERROR(IF($I$759="Аннуитетный платеж",-PPMT(L753/12*L11,1,L762,L763),0),0)</f>
        <v>0</v>
      </c>
      <c r="M766" s="22">
        <f t="shared" si="333"/>
        <v>0</v>
      </c>
      <c r="N766" s="22">
        <f t="shared" si="333"/>
        <v>0</v>
      </c>
      <c r="O766" s="22">
        <f t="shared" si="333"/>
        <v>0</v>
      </c>
      <c r="P766" s="22">
        <f t="shared" si="333"/>
        <v>0</v>
      </c>
      <c r="Q766" s="22">
        <f t="shared" si="333"/>
        <v>0</v>
      </c>
      <c r="R766" s="22">
        <f t="shared" si="333"/>
        <v>0</v>
      </c>
      <c r="S766" s="22">
        <f t="shared" si="333"/>
        <v>0</v>
      </c>
      <c r="T766" s="22">
        <f t="shared" si="333"/>
        <v>0</v>
      </c>
      <c r="U766" s="22">
        <f t="shared" si="333"/>
        <v>0</v>
      </c>
      <c r="V766" s="22">
        <f t="shared" si="333"/>
        <v>0</v>
      </c>
      <c r="W766" s="22">
        <f t="shared" si="333"/>
        <v>0</v>
      </c>
      <c r="X766" s="22">
        <f t="shared" si="333"/>
        <v>0</v>
      </c>
      <c r="Y766" s="22">
        <f t="shared" si="333"/>
        <v>0</v>
      </c>
      <c r="Z766" s="22">
        <f t="shared" si="333"/>
        <v>0</v>
      </c>
      <c r="AA766" s="22">
        <f t="shared" si="333"/>
        <v>0</v>
      </c>
      <c r="AB766" s="22">
        <f t="shared" si="333"/>
        <v>0</v>
      </c>
      <c r="AC766" s="22">
        <f t="shared" si="333"/>
        <v>0</v>
      </c>
      <c r="AD766" s="22">
        <f t="shared" si="333"/>
        <v>0</v>
      </c>
      <c r="AE766" s="22">
        <f t="shared" si="333"/>
        <v>0</v>
      </c>
      <c r="AF766" s="22">
        <f t="shared" si="333"/>
        <v>0</v>
      </c>
      <c r="AG766" s="22">
        <f t="shared" si="333"/>
        <v>0</v>
      </c>
      <c r="AH766" s="22">
        <f t="shared" si="333"/>
        <v>0</v>
      </c>
      <c r="AI766" s="22">
        <f t="shared" si="333"/>
        <v>0</v>
      </c>
      <c r="AJ766" s="22">
        <f t="shared" si="333"/>
        <v>0</v>
      </c>
      <c r="AK766" s="22">
        <f t="shared" si="333"/>
        <v>0</v>
      </c>
      <c r="AL766" s="22">
        <f t="shared" si="333"/>
        <v>0</v>
      </c>
      <c r="AM766" s="22">
        <f t="shared" si="333"/>
        <v>0</v>
      </c>
      <c r="AN766" s="22">
        <f t="shared" si="333"/>
        <v>0</v>
      </c>
    </row>
    <row r="767" spans="2:40" outlineLevel="1" x14ac:dyDescent="0.3">
      <c r="C767" s="1" t="s">
        <v>62</v>
      </c>
      <c r="H767" s="26" t="s">
        <v>245</v>
      </c>
      <c r="I767" s="22">
        <f>SUM(L767:AN767)</f>
        <v>0</v>
      </c>
      <c r="J767" s="38"/>
      <c r="L767" s="22">
        <f t="shared" ref="L767:AN767" si="334">IFERROR(IF($I$759="Аннуитетный платеж",-PMT(L753/12*L11,L762,L763),0),0)</f>
        <v>0</v>
      </c>
      <c r="M767" s="22">
        <f t="shared" si="334"/>
        <v>0</v>
      </c>
      <c r="N767" s="22">
        <f t="shared" si="334"/>
        <v>0</v>
      </c>
      <c r="O767" s="22">
        <f t="shared" si="334"/>
        <v>0</v>
      </c>
      <c r="P767" s="22">
        <f t="shared" si="334"/>
        <v>0</v>
      </c>
      <c r="Q767" s="22">
        <f t="shared" si="334"/>
        <v>0</v>
      </c>
      <c r="R767" s="22">
        <f t="shared" si="334"/>
        <v>0</v>
      </c>
      <c r="S767" s="22">
        <f t="shared" si="334"/>
        <v>0</v>
      </c>
      <c r="T767" s="22">
        <f t="shared" si="334"/>
        <v>0</v>
      </c>
      <c r="U767" s="22">
        <f t="shared" si="334"/>
        <v>0</v>
      </c>
      <c r="V767" s="22">
        <f t="shared" si="334"/>
        <v>0</v>
      </c>
      <c r="W767" s="22">
        <f t="shared" si="334"/>
        <v>0</v>
      </c>
      <c r="X767" s="22">
        <f t="shared" si="334"/>
        <v>0</v>
      </c>
      <c r="Y767" s="22">
        <f t="shared" si="334"/>
        <v>0</v>
      </c>
      <c r="Z767" s="22">
        <f t="shared" si="334"/>
        <v>0</v>
      </c>
      <c r="AA767" s="22">
        <f t="shared" si="334"/>
        <v>0</v>
      </c>
      <c r="AB767" s="22">
        <f t="shared" si="334"/>
        <v>0</v>
      </c>
      <c r="AC767" s="22">
        <f t="shared" si="334"/>
        <v>0</v>
      </c>
      <c r="AD767" s="22">
        <f t="shared" si="334"/>
        <v>0</v>
      </c>
      <c r="AE767" s="22">
        <f t="shared" si="334"/>
        <v>0</v>
      </c>
      <c r="AF767" s="22">
        <f t="shared" si="334"/>
        <v>0</v>
      </c>
      <c r="AG767" s="22">
        <f t="shared" si="334"/>
        <v>0</v>
      </c>
      <c r="AH767" s="22">
        <f t="shared" si="334"/>
        <v>0</v>
      </c>
      <c r="AI767" s="22">
        <f t="shared" si="334"/>
        <v>0</v>
      </c>
      <c r="AJ767" s="22">
        <f t="shared" si="334"/>
        <v>0</v>
      </c>
      <c r="AK767" s="22">
        <f t="shared" si="334"/>
        <v>0</v>
      </c>
      <c r="AL767" s="22">
        <f t="shared" si="334"/>
        <v>0</v>
      </c>
      <c r="AM767" s="22">
        <f t="shared" si="334"/>
        <v>0</v>
      </c>
      <c r="AN767" s="22">
        <f t="shared" si="334"/>
        <v>0</v>
      </c>
    </row>
    <row r="768" spans="2:40" outlineLevel="1" x14ac:dyDescent="0.3">
      <c r="B768" s="18" t="s">
        <v>321</v>
      </c>
      <c r="C768" s="1" t="s">
        <v>322</v>
      </c>
      <c r="H768" s="26" t="s">
        <v>245</v>
      </c>
      <c r="I768" s="22">
        <f>SUM(L768:AN768)</f>
        <v>107.51271050847457</v>
      </c>
      <c r="L768" s="22">
        <f t="shared" ref="L768:AN768" si="335">IFERROR(IF($I$759="Дифференцированный платеж",IF(L9&gt;=$I$757,L763/L762,0),0),0)</f>
        <v>0</v>
      </c>
      <c r="M768" s="22">
        <f t="shared" si="335"/>
        <v>0</v>
      </c>
      <c r="N768" s="22">
        <f t="shared" si="335"/>
        <v>11.945856723163841</v>
      </c>
      <c r="O768" s="22">
        <f t="shared" si="335"/>
        <v>11.945856723163841</v>
      </c>
      <c r="P768" s="22">
        <f t="shared" si="335"/>
        <v>11.945856723163841</v>
      </c>
      <c r="Q768" s="22">
        <f t="shared" si="335"/>
        <v>11.945856723163841</v>
      </c>
      <c r="R768" s="22">
        <f t="shared" si="335"/>
        <v>11.945856723163839</v>
      </c>
      <c r="S768" s="22">
        <f t="shared" si="335"/>
        <v>11.945856723163839</v>
      </c>
      <c r="T768" s="22">
        <f t="shared" si="335"/>
        <v>11.945856723163837</v>
      </c>
      <c r="U768" s="22">
        <f t="shared" si="335"/>
        <v>11.945856723163839</v>
      </c>
      <c r="V768" s="22">
        <f t="shared" si="335"/>
        <v>11.945856723163839</v>
      </c>
      <c r="W768" s="22">
        <f t="shared" si="335"/>
        <v>0</v>
      </c>
      <c r="X768" s="22">
        <f t="shared" si="335"/>
        <v>0</v>
      </c>
      <c r="Y768" s="22">
        <f t="shared" si="335"/>
        <v>0</v>
      </c>
      <c r="Z768" s="22">
        <f t="shared" si="335"/>
        <v>0</v>
      </c>
      <c r="AA768" s="22">
        <f t="shared" si="335"/>
        <v>0</v>
      </c>
      <c r="AB768" s="22">
        <f t="shared" si="335"/>
        <v>0</v>
      </c>
      <c r="AC768" s="22">
        <f t="shared" si="335"/>
        <v>0</v>
      </c>
      <c r="AD768" s="22">
        <f t="shared" si="335"/>
        <v>0</v>
      </c>
      <c r="AE768" s="22">
        <f t="shared" si="335"/>
        <v>0</v>
      </c>
      <c r="AF768" s="22">
        <f t="shared" si="335"/>
        <v>0</v>
      </c>
      <c r="AG768" s="22">
        <f t="shared" si="335"/>
        <v>0</v>
      </c>
      <c r="AH768" s="22">
        <f t="shared" si="335"/>
        <v>0</v>
      </c>
      <c r="AI768" s="22">
        <f t="shared" si="335"/>
        <v>0</v>
      </c>
      <c r="AJ768" s="22">
        <f t="shared" si="335"/>
        <v>0</v>
      </c>
      <c r="AK768" s="22">
        <f t="shared" si="335"/>
        <v>0</v>
      </c>
      <c r="AL768" s="22">
        <f t="shared" si="335"/>
        <v>0</v>
      </c>
      <c r="AM768" s="22">
        <f t="shared" si="335"/>
        <v>0</v>
      </c>
      <c r="AN768" s="22">
        <f t="shared" si="335"/>
        <v>0</v>
      </c>
    </row>
    <row r="769" spans="2:40" outlineLevel="1" x14ac:dyDescent="0.3">
      <c r="B769" s="18" t="s">
        <v>63</v>
      </c>
      <c r="C769" s="1" t="s">
        <v>63</v>
      </c>
      <c r="H769" s="26" t="s">
        <v>245</v>
      </c>
      <c r="K769" s="89">
        <v>0</v>
      </c>
      <c r="L769" s="22">
        <f>L763+L765-L766-L768</f>
        <v>0</v>
      </c>
      <c r="M769" s="22">
        <f t="shared" ref="M769:AN769" si="336">M763+M765-M766-M768</f>
        <v>107.51271050847457</v>
      </c>
      <c r="N769" s="22">
        <f>N763+N765-N766-N768</f>
        <v>95.566853785310727</v>
      </c>
      <c r="O769" s="22">
        <f t="shared" si="336"/>
        <v>83.620997062146884</v>
      </c>
      <c r="P769" s="22">
        <f t="shared" si="336"/>
        <v>71.675140338983041</v>
      </c>
      <c r="Q769" s="22">
        <f t="shared" si="336"/>
        <v>59.729283615819199</v>
      </c>
      <c r="R769" s="22">
        <f t="shared" si="336"/>
        <v>47.783426892655356</v>
      </c>
      <c r="S769" s="22">
        <f t="shared" si="336"/>
        <v>35.837570169491514</v>
      </c>
      <c r="T769" s="22">
        <f t="shared" si="336"/>
        <v>23.891713446327678</v>
      </c>
      <c r="U769" s="22">
        <f t="shared" si="336"/>
        <v>11.945856723163839</v>
      </c>
      <c r="V769" s="22">
        <f t="shared" si="336"/>
        <v>0</v>
      </c>
      <c r="W769" s="22">
        <f t="shared" si="336"/>
        <v>0</v>
      </c>
      <c r="X769" s="22">
        <f t="shared" si="336"/>
        <v>0</v>
      </c>
      <c r="Y769" s="22">
        <f t="shared" si="336"/>
        <v>0</v>
      </c>
      <c r="Z769" s="22">
        <f t="shared" si="336"/>
        <v>0</v>
      </c>
      <c r="AA769" s="22">
        <f t="shared" si="336"/>
        <v>0</v>
      </c>
      <c r="AB769" s="22">
        <f t="shared" si="336"/>
        <v>0</v>
      </c>
      <c r="AC769" s="22">
        <f t="shared" si="336"/>
        <v>0</v>
      </c>
      <c r="AD769" s="22">
        <f t="shared" si="336"/>
        <v>0</v>
      </c>
      <c r="AE769" s="22">
        <f t="shared" si="336"/>
        <v>0</v>
      </c>
      <c r="AF769" s="22">
        <f t="shared" si="336"/>
        <v>0</v>
      </c>
      <c r="AG769" s="22">
        <f t="shared" si="336"/>
        <v>0</v>
      </c>
      <c r="AH769" s="22">
        <f t="shared" si="336"/>
        <v>0</v>
      </c>
      <c r="AI769" s="22">
        <f t="shared" si="336"/>
        <v>0</v>
      </c>
      <c r="AJ769" s="22">
        <f t="shared" si="336"/>
        <v>0</v>
      </c>
      <c r="AK769" s="22">
        <f t="shared" si="336"/>
        <v>0</v>
      </c>
      <c r="AL769" s="22">
        <f t="shared" si="336"/>
        <v>0</v>
      </c>
      <c r="AM769" s="22">
        <f t="shared" si="336"/>
        <v>0</v>
      </c>
      <c r="AN769" s="22">
        <f t="shared" si="336"/>
        <v>0</v>
      </c>
    </row>
    <row r="770" spans="2:40" outlineLevel="1" x14ac:dyDescent="0.3">
      <c r="N770" s="143"/>
    </row>
    <row r="771" spans="2:40" outlineLevel="1" x14ac:dyDescent="0.3">
      <c r="C771" s="2" t="s">
        <v>61</v>
      </c>
      <c r="H771" s="26" t="s">
        <v>44</v>
      </c>
      <c r="I771" s="142">
        <f>I761+1</f>
        <v>2026</v>
      </c>
      <c r="N771" s="144"/>
      <c r="O771" s="38"/>
      <c r="P771" s="38"/>
      <c r="Q771" s="38"/>
      <c r="R771" s="38"/>
      <c r="S771" s="38"/>
    </row>
    <row r="772" spans="2:40" outlineLevel="1" x14ac:dyDescent="0.3">
      <c r="C772" s="1" t="s">
        <v>64</v>
      </c>
      <c r="H772" s="26" t="s">
        <v>33</v>
      </c>
      <c r="L772" s="130">
        <f t="shared" ref="L772:AN772" si="337">IFERROR(IF(L9&lt;$I$757,0,IF(L9&gt;=$I$771,MAX($I$771+$I$755-L9,0),0)),0)</f>
        <v>0</v>
      </c>
      <c r="M772" s="130">
        <f t="shared" si="337"/>
        <v>0</v>
      </c>
      <c r="N772" s="130">
        <f t="shared" si="337"/>
        <v>10</v>
      </c>
      <c r="O772" s="130">
        <f t="shared" si="337"/>
        <v>9</v>
      </c>
      <c r="P772" s="130">
        <f t="shared" si="337"/>
        <v>8</v>
      </c>
      <c r="Q772" s="130">
        <f t="shared" si="337"/>
        <v>7</v>
      </c>
      <c r="R772" s="130">
        <f t="shared" si="337"/>
        <v>6</v>
      </c>
      <c r="S772" s="130">
        <f t="shared" si="337"/>
        <v>5</v>
      </c>
      <c r="T772" s="130">
        <f t="shared" si="337"/>
        <v>4</v>
      </c>
      <c r="U772" s="130">
        <f t="shared" si="337"/>
        <v>3</v>
      </c>
      <c r="V772" s="130">
        <f t="shared" si="337"/>
        <v>2</v>
      </c>
      <c r="W772" s="130">
        <f t="shared" si="337"/>
        <v>1</v>
      </c>
      <c r="X772" s="130">
        <f t="shared" si="337"/>
        <v>0</v>
      </c>
      <c r="Y772" s="130">
        <f t="shared" si="337"/>
        <v>0</v>
      </c>
      <c r="Z772" s="130">
        <f t="shared" si="337"/>
        <v>0</v>
      </c>
      <c r="AA772" s="130">
        <f t="shared" si="337"/>
        <v>0</v>
      </c>
      <c r="AB772" s="130">
        <f t="shared" si="337"/>
        <v>0</v>
      </c>
      <c r="AC772" s="130">
        <f t="shared" si="337"/>
        <v>0</v>
      </c>
      <c r="AD772" s="130">
        <f t="shared" si="337"/>
        <v>0</v>
      </c>
      <c r="AE772" s="130">
        <f t="shared" si="337"/>
        <v>0</v>
      </c>
      <c r="AF772" s="130">
        <f t="shared" si="337"/>
        <v>0</v>
      </c>
      <c r="AG772" s="130">
        <f t="shared" si="337"/>
        <v>0</v>
      </c>
      <c r="AH772" s="130">
        <f t="shared" si="337"/>
        <v>0</v>
      </c>
      <c r="AI772" s="130">
        <f t="shared" si="337"/>
        <v>0</v>
      </c>
      <c r="AJ772" s="130">
        <f t="shared" si="337"/>
        <v>0</v>
      </c>
      <c r="AK772" s="130">
        <f t="shared" si="337"/>
        <v>0</v>
      </c>
      <c r="AL772" s="130">
        <f t="shared" si="337"/>
        <v>0</v>
      </c>
      <c r="AM772" s="130">
        <f t="shared" si="337"/>
        <v>0</v>
      </c>
      <c r="AN772" s="130">
        <f t="shared" si="337"/>
        <v>0</v>
      </c>
    </row>
    <row r="773" spans="2:40" outlineLevel="1" x14ac:dyDescent="0.3">
      <c r="B773" s="18" t="s">
        <v>67</v>
      </c>
      <c r="C773" s="1" t="s">
        <v>67</v>
      </c>
      <c r="H773" s="26" t="s">
        <v>245</v>
      </c>
      <c r="L773" s="22">
        <f t="shared" ref="L773:AN773" si="338">IF(L9=$I$771,L751,K779)</f>
        <v>0</v>
      </c>
      <c r="M773" s="22">
        <f t="shared" si="338"/>
        <v>0</v>
      </c>
      <c r="N773" s="22">
        <f t="shared" si="338"/>
        <v>111.99914684745761</v>
      </c>
      <c r="O773" s="22">
        <f t="shared" si="338"/>
        <v>100.79923216271185</v>
      </c>
      <c r="P773" s="22">
        <f t="shared" si="338"/>
        <v>89.599317477966082</v>
      </c>
      <c r="Q773" s="22">
        <f t="shared" si="338"/>
        <v>78.399402793220318</v>
      </c>
      <c r="R773" s="22">
        <f t="shared" si="338"/>
        <v>67.199488108474554</v>
      </c>
      <c r="S773" s="22">
        <f t="shared" si="338"/>
        <v>55.999573423728798</v>
      </c>
      <c r="T773" s="22">
        <f t="shared" si="338"/>
        <v>44.799658738983041</v>
      </c>
      <c r="U773" s="22">
        <f t="shared" si="338"/>
        <v>33.599744054237277</v>
      </c>
      <c r="V773" s="22">
        <f t="shared" si="338"/>
        <v>22.39982936949152</v>
      </c>
      <c r="W773" s="22">
        <f t="shared" si="338"/>
        <v>11.19991468474576</v>
      </c>
      <c r="X773" s="22">
        <f t="shared" si="338"/>
        <v>0</v>
      </c>
      <c r="Y773" s="22">
        <f t="shared" si="338"/>
        <v>0</v>
      </c>
      <c r="Z773" s="22">
        <f t="shared" si="338"/>
        <v>0</v>
      </c>
      <c r="AA773" s="22">
        <f t="shared" si="338"/>
        <v>0</v>
      </c>
      <c r="AB773" s="22">
        <f t="shared" si="338"/>
        <v>0</v>
      </c>
      <c r="AC773" s="22">
        <f t="shared" si="338"/>
        <v>0</v>
      </c>
      <c r="AD773" s="22">
        <f t="shared" si="338"/>
        <v>0</v>
      </c>
      <c r="AE773" s="22">
        <f t="shared" si="338"/>
        <v>0</v>
      </c>
      <c r="AF773" s="22">
        <f t="shared" si="338"/>
        <v>0</v>
      </c>
      <c r="AG773" s="22">
        <f t="shared" si="338"/>
        <v>0</v>
      </c>
      <c r="AH773" s="22">
        <f t="shared" si="338"/>
        <v>0</v>
      </c>
      <c r="AI773" s="22">
        <f t="shared" si="338"/>
        <v>0</v>
      </c>
      <c r="AJ773" s="22">
        <f t="shared" si="338"/>
        <v>0</v>
      </c>
      <c r="AK773" s="22">
        <f t="shared" si="338"/>
        <v>0</v>
      </c>
      <c r="AL773" s="22">
        <f t="shared" si="338"/>
        <v>0</v>
      </c>
      <c r="AM773" s="22">
        <f t="shared" si="338"/>
        <v>0</v>
      </c>
      <c r="AN773" s="22">
        <f t="shared" si="338"/>
        <v>0</v>
      </c>
    </row>
    <row r="774" spans="2:40" outlineLevel="1" x14ac:dyDescent="0.3">
      <c r="B774" s="18" t="s">
        <v>65</v>
      </c>
      <c r="C774" s="1" t="s">
        <v>65</v>
      </c>
      <c r="H774" s="26" t="s">
        <v>245</v>
      </c>
      <c r="I774" s="22">
        <f>SUM(L774:AN774)</f>
        <v>93.463288044203338</v>
      </c>
      <c r="J774" s="38"/>
      <c r="L774" s="22">
        <f>L773*L753</f>
        <v>0</v>
      </c>
      <c r="M774" s="22">
        <f t="shared" ref="M774:AN774" si="339">M773*M753</f>
        <v>0</v>
      </c>
      <c r="N774" s="22">
        <f t="shared" si="339"/>
        <v>22.959825103728807</v>
      </c>
      <c r="O774" s="22">
        <f t="shared" si="339"/>
        <v>16.631873306847456</v>
      </c>
      <c r="P774" s="22">
        <f t="shared" si="339"/>
        <v>13.887894209084743</v>
      </c>
      <c r="Q774" s="22">
        <f t="shared" si="339"/>
        <v>10.583919377084744</v>
      </c>
      <c r="R774" s="22">
        <f t="shared" si="339"/>
        <v>8.3999360135593193</v>
      </c>
      <c r="S774" s="22">
        <f t="shared" si="339"/>
        <v>6.9999466779660997</v>
      </c>
      <c r="T774" s="22">
        <f t="shared" si="339"/>
        <v>5.5999573423728801</v>
      </c>
      <c r="U774" s="22">
        <f t="shared" si="339"/>
        <v>4.1999680067796596</v>
      </c>
      <c r="V774" s="22">
        <f t="shared" si="339"/>
        <v>2.7999786711864401</v>
      </c>
      <c r="W774" s="22">
        <f t="shared" si="339"/>
        <v>1.39998933559322</v>
      </c>
      <c r="X774" s="22">
        <f t="shared" si="339"/>
        <v>0</v>
      </c>
      <c r="Y774" s="22">
        <f t="shared" si="339"/>
        <v>0</v>
      </c>
      <c r="Z774" s="22">
        <f t="shared" si="339"/>
        <v>0</v>
      </c>
      <c r="AA774" s="22">
        <f t="shared" si="339"/>
        <v>0</v>
      </c>
      <c r="AB774" s="22">
        <f t="shared" si="339"/>
        <v>0</v>
      </c>
      <c r="AC774" s="22">
        <f t="shared" si="339"/>
        <v>0</v>
      </c>
      <c r="AD774" s="22">
        <f t="shared" si="339"/>
        <v>0</v>
      </c>
      <c r="AE774" s="22">
        <f t="shared" si="339"/>
        <v>0</v>
      </c>
      <c r="AF774" s="22">
        <f t="shared" si="339"/>
        <v>0</v>
      </c>
      <c r="AG774" s="22">
        <f t="shared" si="339"/>
        <v>0</v>
      </c>
      <c r="AH774" s="22">
        <f t="shared" si="339"/>
        <v>0</v>
      </c>
      <c r="AI774" s="22">
        <f t="shared" si="339"/>
        <v>0</v>
      </c>
      <c r="AJ774" s="22">
        <f t="shared" si="339"/>
        <v>0</v>
      </c>
      <c r="AK774" s="22">
        <f t="shared" si="339"/>
        <v>0</v>
      </c>
      <c r="AL774" s="22">
        <f t="shared" si="339"/>
        <v>0</v>
      </c>
      <c r="AM774" s="22">
        <f t="shared" si="339"/>
        <v>0</v>
      </c>
      <c r="AN774" s="22">
        <f t="shared" si="339"/>
        <v>0</v>
      </c>
    </row>
    <row r="775" spans="2:40" outlineLevel="1" x14ac:dyDescent="0.3">
      <c r="B775" s="18" t="s">
        <v>66</v>
      </c>
      <c r="C775" s="1" t="s">
        <v>66</v>
      </c>
      <c r="H775" s="26" t="s">
        <v>245</v>
      </c>
      <c r="I775" s="22">
        <f>SUM(L775:AN775)</f>
        <v>0</v>
      </c>
      <c r="J775" s="38"/>
      <c r="L775" s="22">
        <f>IF(AND(Input!$J$213=TRUE,Расчеты!L9&lt;Расчеты!$I$757),Расчеты!L774,IF(AND(Input!$J$213=TRUE,Расчеты!L9=Расчеты!$I$757),Расчеты!L774*(1-Расчеты!L10),0))</f>
        <v>0</v>
      </c>
      <c r="M775" s="22">
        <f>IF(AND(Input!$J$213=TRUE,Расчеты!M9&lt;Расчеты!$I$757),Расчеты!M774,IF(AND(Input!$J$213=TRUE,Расчеты!M9=Расчеты!$I$757),Расчеты!M774*(1-Расчеты!M10),0))</f>
        <v>0</v>
      </c>
      <c r="N775" s="22">
        <f>IF(AND(Input!$J$213=TRUE,Расчеты!N9&lt;Расчеты!$I$757),Расчеты!N774,IF(AND(Input!$J$213=TRUE,Расчеты!N9=Расчеты!$I$757),Расчеты!N774*(1-Расчеты!N10),0))</f>
        <v>0</v>
      </c>
      <c r="O775" s="22">
        <f>IF(AND(Input!$J$213=TRUE,Расчеты!O9&lt;Расчеты!$I$757),Расчеты!O774,IF(AND(Input!$J$213=TRUE,Расчеты!O9=Расчеты!$I$757),Расчеты!O774*(1-Расчеты!O10),0))</f>
        <v>0</v>
      </c>
      <c r="P775" s="22">
        <f>IF(AND(Input!$J$213=TRUE,Расчеты!P9&lt;Расчеты!$I$757),Расчеты!P774,IF(AND(Input!$J$213=TRUE,Расчеты!P9=Расчеты!$I$757),Расчеты!P774*(1-Расчеты!P10),0))</f>
        <v>0</v>
      </c>
      <c r="Q775" s="22">
        <f>IF(AND(Input!$J$213=TRUE,Расчеты!Q9&lt;Расчеты!$I$757),Расчеты!Q774,IF(AND(Input!$J$213=TRUE,Расчеты!Q9=Расчеты!$I$757),Расчеты!Q774*(1-Расчеты!Q10),0))</f>
        <v>0</v>
      </c>
      <c r="R775" s="22">
        <f>IF(AND(Input!$J$213=TRUE,Расчеты!R9&lt;Расчеты!$I$757),Расчеты!R774,IF(AND(Input!$J$213=TRUE,Расчеты!R9=Расчеты!$I$757),Расчеты!R774*(1-Расчеты!R10),0))</f>
        <v>0</v>
      </c>
      <c r="S775" s="22">
        <f>IF(AND(Input!$J$213=TRUE,Расчеты!S9&lt;Расчеты!$I$757),Расчеты!S774,IF(AND(Input!$J$213=TRUE,Расчеты!S9=Расчеты!$I$757),Расчеты!S774*(1-Расчеты!S10),0))</f>
        <v>0</v>
      </c>
      <c r="T775" s="22">
        <f>IF(AND(Input!$J$213=TRUE,Расчеты!T9&lt;Расчеты!$I$757),Расчеты!T774,IF(AND(Input!$J$213=TRUE,Расчеты!T9=Расчеты!$I$757),Расчеты!T774*(1-Расчеты!T10),0))</f>
        <v>0</v>
      </c>
      <c r="U775" s="22">
        <f>IF(AND(Input!$J$213=TRUE,Расчеты!U9&lt;Расчеты!$I$757),Расчеты!U774,IF(AND(Input!$J$213=TRUE,Расчеты!U9=Расчеты!$I$757),Расчеты!U774*(1-Расчеты!U10),0))</f>
        <v>0</v>
      </c>
      <c r="V775" s="22">
        <f>IF(AND(Input!$J$213=TRUE,Расчеты!V9&lt;Расчеты!$I$757),Расчеты!V774,IF(AND(Input!$J$213=TRUE,Расчеты!V9=Расчеты!$I$757),Расчеты!V774*(1-Расчеты!V10),0))</f>
        <v>0</v>
      </c>
      <c r="W775" s="22">
        <f>IF(AND(Input!$J$213=TRUE,Расчеты!W9&lt;Расчеты!$I$757),Расчеты!W774,IF(AND(Input!$J$213=TRUE,Расчеты!W9=Расчеты!$I$757),Расчеты!W774*(1-Расчеты!W10),0))</f>
        <v>0</v>
      </c>
      <c r="X775" s="22">
        <f>IF(AND(Input!$J$213=TRUE,Расчеты!X9&lt;Расчеты!$I$757),Расчеты!X774,IF(AND(Input!$J$213=TRUE,Расчеты!X9=Расчеты!$I$757),Расчеты!X774*(1-Расчеты!X10),0))</f>
        <v>0</v>
      </c>
      <c r="Y775" s="22">
        <f>IF(AND(Input!$J$213=TRUE,Расчеты!Y9&lt;Расчеты!$I$757),Расчеты!Y774,IF(AND(Input!$J$213=TRUE,Расчеты!Y9=Расчеты!$I$757),Расчеты!Y774*(1-Расчеты!Y10),0))</f>
        <v>0</v>
      </c>
      <c r="Z775" s="22">
        <f>IF(AND(Input!$J$213=TRUE,Расчеты!Z9&lt;Расчеты!$I$757),Расчеты!Z774,IF(AND(Input!$J$213=TRUE,Расчеты!Z9=Расчеты!$I$757),Расчеты!Z774*(1-Расчеты!Z10),0))</f>
        <v>0</v>
      </c>
      <c r="AA775" s="22">
        <f>IF(AND(Input!$J$213=TRUE,Расчеты!AA9&lt;Расчеты!$I$757),Расчеты!AA774,IF(AND(Input!$J$213=TRUE,Расчеты!AA9=Расчеты!$I$757),Расчеты!AA774*(1-Расчеты!AA10),0))</f>
        <v>0</v>
      </c>
      <c r="AB775" s="22">
        <f>IF(AND(Input!$J$213=TRUE,Расчеты!AB9&lt;Расчеты!$I$757),Расчеты!AB774,IF(AND(Input!$J$213=TRUE,Расчеты!AB9=Расчеты!$I$757),Расчеты!AB774*(1-Расчеты!AB10),0))</f>
        <v>0</v>
      </c>
      <c r="AC775" s="22">
        <f>IF(AND(Input!$J$213=TRUE,Расчеты!AC9&lt;Расчеты!$I$757),Расчеты!AC774,IF(AND(Input!$J$213=TRUE,Расчеты!AC9=Расчеты!$I$757),Расчеты!AC774*(1-Расчеты!AC10),0))</f>
        <v>0</v>
      </c>
      <c r="AD775" s="22">
        <f>IF(AND(Input!$J$213=TRUE,Расчеты!AD9&lt;Расчеты!$I$757),Расчеты!AD774,IF(AND(Input!$J$213=TRUE,Расчеты!AD9=Расчеты!$I$757),Расчеты!AD774*(1-Расчеты!AD10),0))</f>
        <v>0</v>
      </c>
      <c r="AE775" s="22">
        <f>IF(AND(Input!$J$213=TRUE,Расчеты!AE9&lt;Расчеты!$I$757),Расчеты!AE774,IF(AND(Input!$J$213=TRUE,Расчеты!AE9=Расчеты!$I$757),Расчеты!AE774*(1-Расчеты!AE10),0))</f>
        <v>0</v>
      </c>
      <c r="AF775" s="22">
        <f>IF(AND(Input!$J$213=TRUE,Расчеты!AF9&lt;Расчеты!$I$757),Расчеты!AF774,IF(AND(Input!$J$213=TRUE,Расчеты!AF9=Расчеты!$I$757),Расчеты!AF774*(1-Расчеты!AF10),0))</f>
        <v>0</v>
      </c>
      <c r="AG775" s="22">
        <f>IF(AND(Input!$J$213=TRUE,Расчеты!AG9&lt;Расчеты!$I$757),Расчеты!AG774,IF(AND(Input!$J$213=TRUE,Расчеты!AG9=Расчеты!$I$757),Расчеты!AG774*(1-Расчеты!AG10),0))</f>
        <v>0</v>
      </c>
      <c r="AH775" s="22">
        <f>IF(AND(Input!$J$213=TRUE,Расчеты!AH9&lt;Расчеты!$I$757),Расчеты!AH774,IF(AND(Input!$J$213=TRUE,Расчеты!AH9=Расчеты!$I$757),Расчеты!AH774*(1-Расчеты!AH10),0))</f>
        <v>0</v>
      </c>
      <c r="AI775" s="22">
        <f>IF(AND(Input!$J$213=TRUE,Расчеты!AI9&lt;Расчеты!$I$757),Расчеты!AI774,IF(AND(Input!$J$213=TRUE,Расчеты!AI9=Расчеты!$I$757),Расчеты!AI774*(1-Расчеты!AI10),0))</f>
        <v>0</v>
      </c>
      <c r="AJ775" s="22">
        <f>IF(AND(Input!$J$213=TRUE,Расчеты!AJ9&lt;Расчеты!$I$757),Расчеты!AJ774,IF(AND(Input!$J$213=TRUE,Расчеты!AJ9=Расчеты!$I$757),Расчеты!AJ774*(1-Расчеты!AJ10),0))</f>
        <v>0</v>
      </c>
      <c r="AK775" s="22">
        <f>IF(AND(Input!$J$213=TRUE,Расчеты!AK9&lt;Расчеты!$I$757),Расчеты!AK774,IF(AND(Input!$J$213=TRUE,Расчеты!AK9=Расчеты!$I$757),Расчеты!AK774*(1-Расчеты!AK10),0))</f>
        <v>0</v>
      </c>
      <c r="AL775" s="22">
        <f>IF(AND(Input!$J$213=TRUE,Расчеты!AL9&lt;Расчеты!$I$757),Расчеты!AL774,IF(AND(Input!$J$213=TRUE,Расчеты!AL9=Расчеты!$I$757),Расчеты!AL774*(1-Расчеты!AL10),0))</f>
        <v>0</v>
      </c>
      <c r="AM775" s="22">
        <f>IF(AND(Input!$J$213=TRUE,Расчеты!AM9&lt;Расчеты!$I$757),Расчеты!AM774,IF(AND(Input!$J$213=TRUE,Расчеты!AM9=Расчеты!$I$757),Расчеты!AM774*(1-Расчеты!AM10),0))</f>
        <v>0</v>
      </c>
      <c r="AN775" s="22">
        <f>IF(AND(Input!$J$213=TRUE,Расчеты!AN9&lt;Расчеты!$I$757),Расчеты!AN774,IF(AND(Input!$J$213=TRUE,Расчеты!AN9=Расчеты!$I$757),Расчеты!AN774*(1-Расчеты!AN10),0))</f>
        <v>0</v>
      </c>
    </row>
    <row r="776" spans="2:40" outlineLevel="1" x14ac:dyDescent="0.3">
      <c r="B776" s="18" t="s">
        <v>321</v>
      </c>
      <c r="C776" s="1" t="s">
        <v>68</v>
      </c>
      <c r="H776" s="26" t="s">
        <v>245</v>
      </c>
      <c r="I776" s="22">
        <f>SUM(L776:AN776)</f>
        <v>0</v>
      </c>
      <c r="L776" s="22">
        <f>IFERROR(IF($I$759="Аннуитетный платеж",-PPMT(L753/12*L11,1,L772,L773),0),0)</f>
        <v>0</v>
      </c>
      <c r="M776" s="22">
        <f t="shared" ref="M776:AN776" si="340">IFERROR(IF($I$759="Аннуитетный платеж",-PPMT($L$753/12*M11,1,M772,M773),0),0)</f>
        <v>0</v>
      </c>
      <c r="N776" s="22">
        <f t="shared" si="340"/>
        <v>0</v>
      </c>
      <c r="O776" s="22">
        <f t="shared" si="340"/>
        <v>0</v>
      </c>
      <c r="P776" s="22">
        <f t="shared" si="340"/>
        <v>0</v>
      </c>
      <c r="Q776" s="22">
        <f t="shared" si="340"/>
        <v>0</v>
      </c>
      <c r="R776" s="22">
        <f t="shared" si="340"/>
        <v>0</v>
      </c>
      <c r="S776" s="22">
        <f t="shared" si="340"/>
        <v>0</v>
      </c>
      <c r="T776" s="22">
        <f t="shared" si="340"/>
        <v>0</v>
      </c>
      <c r="U776" s="22">
        <f t="shared" si="340"/>
        <v>0</v>
      </c>
      <c r="V776" s="22">
        <f t="shared" si="340"/>
        <v>0</v>
      </c>
      <c r="W776" s="22">
        <f t="shared" si="340"/>
        <v>0</v>
      </c>
      <c r="X776" s="22">
        <f t="shared" si="340"/>
        <v>0</v>
      </c>
      <c r="Y776" s="22">
        <f t="shared" si="340"/>
        <v>0</v>
      </c>
      <c r="Z776" s="22">
        <f t="shared" si="340"/>
        <v>0</v>
      </c>
      <c r="AA776" s="22">
        <f t="shared" si="340"/>
        <v>0</v>
      </c>
      <c r="AB776" s="22">
        <f t="shared" si="340"/>
        <v>0</v>
      </c>
      <c r="AC776" s="22">
        <f t="shared" si="340"/>
        <v>0</v>
      </c>
      <c r="AD776" s="22">
        <f t="shared" si="340"/>
        <v>0</v>
      </c>
      <c r="AE776" s="22">
        <f t="shared" si="340"/>
        <v>0</v>
      </c>
      <c r="AF776" s="22">
        <f t="shared" si="340"/>
        <v>0</v>
      </c>
      <c r="AG776" s="22">
        <f t="shared" si="340"/>
        <v>0</v>
      </c>
      <c r="AH776" s="22">
        <f t="shared" si="340"/>
        <v>0</v>
      </c>
      <c r="AI776" s="22">
        <f t="shared" si="340"/>
        <v>0</v>
      </c>
      <c r="AJ776" s="22">
        <f t="shared" si="340"/>
        <v>0</v>
      </c>
      <c r="AK776" s="22">
        <f t="shared" si="340"/>
        <v>0</v>
      </c>
      <c r="AL776" s="22">
        <f t="shared" si="340"/>
        <v>0</v>
      </c>
      <c r="AM776" s="22">
        <f t="shared" si="340"/>
        <v>0</v>
      </c>
      <c r="AN776" s="22">
        <f t="shared" si="340"/>
        <v>0</v>
      </c>
    </row>
    <row r="777" spans="2:40" outlineLevel="1" x14ac:dyDescent="0.3">
      <c r="C777" s="1" t="s">
        <v>62</v>
      </c>
      <c r="H777" s="26" t="s">
        <v>245</v>
      </c>
      <c r="I777" s="22">
        <f>SUM(L777:AN777)</f>
        <v>0</v>
      </c>
      <c r="J777" s="38"/>
      <c r="L777" s="22">
        <f>IFERROR(IF($I$759="Аннуитетный платеж",-PMT(L753/12*L11,L772,L773),0),0)</f>
        <v>0</v>
      </c>
      <c r="M777" s="22">
        <f t="shared" ref="M777:AN777" si="341">IFERROR(IF($I$759="Аннуитетный платеж",-PMT($L$753/12*M11,M772,M773),0),0)</f>
        <v>0</v>
      </c>
      <c r="N777" s="22">
        <f t="shared" si="341"/>
        <v>0</v>
      </c>
      <c r="O777" s="22">
        <f t="shared" si="341"/>
        <v>0</v>
      </c>
      <c r="P777" s="22">
        <f t="shared" si="341"/>
        <v>0</v>
      </c>
      <c r="Q777" s="22">
        <f t="shared" si="341"/>
        <v>0</v>
      </c>
      <c r="R777" s="22">
        <f t="shared" si="341"/>
        <v>0</v>
      </c>
      <c r="S777" s="22">
        <f t="shared" si="341"/>
        <v>0</v>
      </c>
      <c r="T777" s="22">
        <f t="shared" si="341"/>
        <v>0</v>
      </c>
      <c r="U777" s="22">
        <f t="shared" si="341"/>
        <v>0</v>
      </c>
      <c r="V777" s="22">
        <f t="shared" si="341"/>
        <v>0</v>
      </c>
      <c r="W777" s="22">
        <f t="shared" si="341"/>
        <v>0</v>
      </c>
      <c r="X777" s="22">
        <f t="shared" si="341"/>
        <v>0</v>
      </c>
      <c r="Y777" s="22">
        <f t="shared" si="341"/>
        <v>0</v>
      </c>
      <c r="Z777" s="22">
        <f t="shared" si="341"/>
        <v>0</v>
      </c>
      <c r="AA777" s="22">
        <f t="shared" si="341"/>
        <v>0</v>
      </c>
      <c r="AB777" s="22">
        <f t="shared" si="341"/>
        <v>0</v>
      </c>
      <c r="AC777" s="22">
        <f t="shared" si="341"/>
        <v>0</v>
      </c>
      <c r="AD777" s="22">
        <f t="shared" si="341"/>
        <v>0</v>
      </c>
      <c r="AE777" s="22">
        <f t="shared" si="341"/>
        <v>0</v>
      </c>
      <c r="AF777" s="22">
        <f t="shared" si="341"/>
        <v>0</v>
      </c>
      <c r="AG777" s="22">
        <f t="shared" si="341"/>
        <v>0</v>
      </c>
      <c r="AH777" s="22">
        <f t="shared" si="341"/>
        <v>0</v>
      </c>
      <c r="AI777" s="22">
        <f t="shared" si="341"/>
        <v>0</v>
      </c>
      <c r="AJ777" s="22">
        <f t="shared" si="341"/>
        <v>0</v>
      </c>
      <c r="AK777" s="22">
        <f t="shared" si="341"/>
        <v>0</v>
      </c>
      <c r="AL777" s="22">
        <f t="shared" si="341"/>
        <v>0</v>
      </c>
      <c r="AM777" s="22">
        <f t="shared" si="341"/>
        <v>0</v>
      </c>
      <c r="AN777" s="22">
        <f t="shared" si="341"/>
        <v>0</v>
      </c>
    </row>
    <row r="778" spans="2:40" outlineLevel="1" x14ac:dyDescent="0.3">
      <c r="B778" s="18" t="s">
        <v>321</v>
      </c>
      <c r="C778" s="1" t="s">
        <v>322</v>
      </c>
      <c r="H778" s="26" t="s">
        <v>245</v>
      </c>
      <c r="I778" s="22">
        <f>SUM(L778:AN778)</f>
        <v>111.99914684745761</v>
      </c>
      <c r="L778" s="22">
        <f t="shared" ref="L778:AN778" si="342">IFERROR(IF($I$759="Дифференцированный платеж",IF(L9&gt;=$I$757,L773/L772,0),0),0)</f>
        <v>0</v>
      </c>
      <c r="M778" s="22">
        <f t="shared" si="342"/>
        <v>0</v>
      </c>
      <c r="N778" s="22">
        <f t="shared" si="342"/>
        <v>11.19991468474576</v>
      </c>
      <c r="O778" s="22">
        <f t="shared" si="342"/>
        <v>11.19991468474576</v>
      </c>
      <c r="P778" s="22">
        <f t="shared" si="342"/>
        <v>11.19991468474576</v>
      </c>
      <c r="Q778" s="22">
        <f t="shared" si="342"/>
        <v>11.19991468474576</v>
      </c>
      <c r="R778" s="22">
        <f t="shared" si="342"/>
        <v>11.199914684745758</v>
      </c>
      <c r="S778" s="22">
        <f t="shared" si="342"/>
        <v>11.19991468474576</v>
      </c>
      <c r="T778" s="22">
        <f t="shared" si="342"/>
        <v>11.19991468474576</v>
      </c>
      <c r="U778" s="22">
        <f t="shared" si="342"/>
        <v>11.199914684745758</v>
      </c>
      <c r="V778" s="22">
        <f t="shared" si="342"/>
        <v>11.19991468474576</v>
      </c>
      <c r="W778" s="22">
        <f t="shared" si="342"/>
        <v>11.19991468474576</v>
      </c>
      <c r="X778" s="22">
        <f t="shared" si="342"/>
        <v>0</v>
      </c>
      <c r="Y778" s="22">
        <f t="shared" si="342"/>
        <v>0</v>
      </c>
      <c r="Z778" s="22">
        <f t="shared" si="342"/>
        <v>0</v>
      </c>
      <c r="AA778" s="22">
        <f t="shared" si="342"/>
        <v>0</v>
      </c>
      <c r="AB778" s="22">
        <f t="shared" si="342"/>
        <v>0</v>
      </c>
      <c r="AC778" s="22">
        <f t="shared" si="342"/>
        <v>0</v>
      </c>
      <c r="AD778" s="22">
        <f t="shared" si="342"/>
        <v>0</v>
      </c>
      <c r="AE778" s="22">
        <f t="shared" si="342"/>
        <v>0</v>
      </c>
      <c r="AF778" s="22">
        <f t="shared" si="342"/>
        <v>0</v>
      </c>
      <c r="AG778" s="22">
        <f t="shared" si="342"/>
        <v>0</v>
      </c>
      <c r="AH778" s="22">
        <f t="shared" si="342"/>
        <v>0</v>
      </c>
      <c r="AI778" s="22">
        <f t="shared" si="342"/>
        <v>0</v>
      </c>
      <c r="AJ778" s="22">
        <f t="shared" si="342"/>
        <v>0</v>
      </c>
      <c r="AK778" s="22">
        <f t="shared" si="342"/>
        <v>0</v>
      </c>
      <c r="AL778" s="22">
        <f t="shared" si="342"/>
        <v>0</v>
      </c>
      <c r="AM778" s="22">
        <f t="shared" si="342"/>
        <v>0</v>
      </c>
      <c r="AN778" s="22">
        <f t="shared" si="342"/>
        <v>0</v>
      </c>
    </row>
    <row r="779" spans="2:40" outlineLevel="1" x14ac:dyDescent="0.3">
      <c r="B779" s="18" t="s">
        <v>63</v>
      </c>
      <c r="C779" s="1" t="s">
        <v>63</v>
      </c>
      <c r="H779" s="26" t="s">
        <v>245</v>
      </c>
      <c r="K779" s="87">
        <v>0</v>
      </c>
      <c r="L779" s="22">
        <f>L773+L775-L776-L778</f>
        <v>0</v>
      </c>
      <c r="M779" s="22">
        <f t="shared" ref="M779:AN779" si="343">M773+M775-M776-M778</f>
        <v>0</v>
      </c>
      <c r="N779" s="22">
        <f>N773+N775-N776-N778</f>
        <v>100.79923216271185</v>
      </c>
      <c r="O779" s="22">
        <f t="shared" si="343"/>
        <v>89.599317477966082</v>
      </c>
      <c r="P779" s="22">
        <f t="shared" si="343"/>
        <v>78.399402793220318</v>
      </c>
      <c r="Q779" s="22">
        <f t="shared" si="343"/>
        <v>67.199488108474554</v>
      </c>
      <c r="R779" s="22">
        <f t="shared" si="343"/>
        <v>55.999573423728798</v>
      </c>
      <c r="S779" s="22">
        <f t="shared" si="343"/>
        <v>44.799658738983041</v>
      </c>
      <c r="T779" s="22">
        <f t="shared" si="343"/>
        <v>33.599744054237277</v>
      </c>
      <c r="U779" s="22">
        <f t="shared" si="343"/>
        <v>22.39982936949152</v>
      </c>
      <c r="V779" s="22">
        <f t="shared" si="343"/>
        <v>11.19991468474576</v>
      </c>
      <c r="W779" s="22">
        <f t="shared" si="343"/>
        <v>0</v>
      </c>
      <c r="X779" s="22">
        <f t="shared" si="343"/>
        <v>0</v>
      </c>
      <c r="Y779" s="22">
        <f t="shared" si="343"/>
        <v>0</v>
      </c>
      <c r="Z779" s="22">
        <f t="shared" si="343"/>
        <v>0</v>
      </c>
      <c r="AA779" s="22">
        <f t="shared" si="343"/>
        <v>0</v>
      </c>
      <c r="AB779" s="22">
        <f t="shared" si="343"/>
        <v>0</v>
      </c>
      <c r="AC779" s="22">
        <f t="shared" si="343"/>
        <v>0</v>
      </c>
      <c r="AD779" s="22">
        <f t="shared" si="343"/>
        <v>0</v>
      </c>
      <c r="AE779" s="22">
        <f t="shared" si="343"/>
        <v>0</v>
      </c>
      <c r="AF779" s="22">
        <f t="shared" si="343"/>
        <v>0</v>
      </c>
      <c r="AG779" s="22">
        <f t="shared" si="343"/>
        <v>0</v>
      </c>
      <c r="AH779" s="22">
        <f t="shared" si="343"/>
        <v>0</v>
      </c>
      <c r="AI779" s="22">
        <f t="shared" si="343"/>
        <v>0</v>
      </c>
      <c r="AJ779" s="22">
        <f t="shared" si="343"/>
        <v>0</v>
      </c>
      <c r="AK779" s="22">
        <f t="shared" si="343"/>
        <v>0</v>
      </c>
      <c r="AL779" s="22">
        <f t="shared" si="343"/>
        <v>0</v>
      </c>
      <c r="AM779" s="22">
        <f t="shared" si="343"/>
        <v>0</v>
      </c>
      <c r="AN779" s="22">
        <f t="shared" si="343"/>
        <v>0</v>
      </c>
    </row>
    <row r="780" spans="2:40" outlineLevel="1" x14ac:dyDescent="0.3"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</row>
    <row r="781" spans="2:40" outlineLevel="1" x14ac:dyDescent="0.3">
      <c r="C781" s="2" t="s">
        <v>61</v>
      </c>
      <c r="H781" s="26" t="s">
        <v>44</v>
      </c>
      <c r="I781" s="142">
        <f>I771+1</f>
        <v>2027</v>
      </c>
    </row>
    <row r="782" spans="2:40" outlineLevel="1" x14ac:dyDescent="0.3">
      <c r="C782" s="1" t="s">
        <v>64</v>
      </c>
      <c r="H782" s="26" t="s">
        <v>33</v>
      </c>
      <c r="L782" s="130">
        <f t="shared" ref="L782:AN782" si="344">IFERROR(IF(L9&lt;$I$757,0,IF(L9&gt;=$I$781,MAX($I$781+$I$755-L9,0),0)),0)</f>
        <v>0</v>
      </c>
      <c r="M782" s="130">
        <f t="shared" si="344"/>
        <v>0</v>
      </c>
      <c r="N782" s="130">
        <f t="shared" si="344"/>
        <v>0</v>
      </c>
      <c r="O782" s="130">
        <f t="shared" si="344"/>
        <v>10</v>
      </c>
      <c r="P782" s="130">
        <f t="shared" si="344"/>
        <v>9</v>
      </c>
      <c r="Q782" s="130">
        <f t="shared" si="344"/>
        <v>8</v>
      </c>
      <c r="R782" s="130">
        <f t="shared" si="344"/>
        <v>7</v>
      </c>
      <c r="S782" s="130">
        <f t="shared" si="344"/>
        <v>6</v>
      </c>
      <c r="T782" s="130">
        <f t="shared" si="344"/>
        <v>5</v>
      </c>
      <c r="U782" s="130">
        <f t="shared" si="344"/>
        <v>4</v>
      </c>
      <c r="V782" s="130">
        <f t="shared" si="344"/>
        <v>3</v>
      </c>
      <c r="W782" s="130">
        <f t="shared" si="344"/>
        <v>2</v>
      </c>
      <c r="X782" s="130">
        <f t="shared" si="344"/>
        <v>1</v>
      </c>
      <c r="Y782" s="130">
        <f t="shared" si="344"/>
        <v>0</v>
      </c>
      <c r="Z782" s="130">
        <f t="shared" si="344"/>
        <v>0</v>
      </c>
      <c r="AA782" s="130">
        <f t="shared" si="344"/>
        <v>0</v>
      </c>
      <c r="AB782" s="130">
        <f t="shared" si="344"/>
        <v>0</v>
      </c>
      <c r="AC782" s="130">
        <f t="shared" si="344"/>
        <v>0</v>
      </c>
      <c r="AD782" s="130">
        <f t="shared" si="344"/>
        <v>0</v>
      </c>
      <c r="AE782" s="130">
        <f t="shared" si="344"/>
        <v>0</v>
      </c>
      <c r="AF782" s="130">
        <f t="shared" si="344"/>
        <v>0</v>
      </c>
      <c r="AG782" s="130">
        <f t="shared" si="344"/>
        <v>0</v>
      </c>
      <c r="AH782" s="130">
        <f t="shared" si="344"/>
        <v>0</v>
      </c>
      <c r="AI782" s="130">
        <f t="shared" si="344"/>
        <v>0</v>
      </c>
      <c r="AJ782" s="130">
        <f t="shared" si="344"/>
        <v>0</v>
      </c>
      <c r="AK782" s="130">
        <f t="shared" si="344"/>
        <v>0</v>
      </c>
      <c r="AL782" s="130">
        <f t="shared" si="344"/>
        <v>0</v>
      </c>
      <c r="AM782" s="130">
        <f t="shared" si="344"/>
        <v>0</v>
      </c>
      <c r="AN782" s="130">
        <f t="shared" si="344"/>
        <v>0</v>
      </c>
    </row>
    <row r="783" spans="2:40" outlineLevel="1" x14ac:dyDescent="0.3">
      <c r="B783" s="18" t="s">
        <v>67</v>
      </c>
      <c r="C783" s="1" t="s">
        <v>67</v>
      </c>
      <c r="H783" s="26" t="s">
        <v>245</v>
      </c>
      <c r="L783" s="22">
        <f t="shared" ref="L783:AN783" si="345">IF(L9=$I$781,L751,K789)</f>
        <v>0</v>
      </c>
      <c r="M783" s="22">
        <f t="shared" si="345"/>
        <v>0</v>
      </c>
      <c r="N783" s="22">
        <f t="shared" si="345"/>
        <v>0</v>
      </c>
      <c r="O783" s="22">
        <f t="shared" si="345"/>
        <v>0</v>
      </c>
      <c r="P783" s="22">
        <f t="shared" si="345"/>
        <v>0</v>
      </c>
      <c r="Q783" s="22">
        <f t="shared" si="345"/>
        <v>0</v>
      </c>
      <c r="R783" s="22">
        <f t="shared" si="345"/>
        <v>0</v>
      </c>
      <c r="S783" s="22">
        <f t="shared" si="345"/>
        <v>0</v>
      </c>
      <c r="T783" s="22">
        <f t="shared" si="345"/>
        <v>0</v>
      </c>
      <c r="U783" s="22">
        <f t="shared" si="345"/>
        <v>0</v>
      </c>
      <c r="V783" s="22">
        <f t="shared" si="345"/>
        <v>0</v>
      </c>
      <c r="W783" s="22">
        <f t="shared" si="345"/>
        <v>0</v>
      </c>
      <c r="X783" s="22">
        <f t="shared" si="345"/>
        <v>0</v>
      </c>
      <c r="Y783" s="22">
        <f t="shared" si="345"/>
        <v>0</v>
      </c>
      <c r="Z783" s="22">
        <f t="shared" si="345"/>
        <v>0</v>
      </c>
      <c r="AA783" s="22">
        <f t="shared" si="345"/>
        <v>0</v>
      </c>
      <c r="AB783" s="22">
        <f t="shared" si="345"/>
        <v>0</v>
      </c>
      <c r="AC783" s="22">
        <f t="shared" si="345"/>
        <v>0</v>
      </c>
      <c r="AD783" s="22">
        <f t="shared" si="345"/>
        <v>0</v>
      </c>
      <c r="AE783" s="22">
        <f t="shared" si="345"/>
        <v>0</v>
      </c>
      <c r="AF783" s="22">
        <f t="shared" si="345"/>
        <v>0</v>
      </c>
      <c r="AG783" s="22">
        <f t="shared" si="345"/>
        <v>0</v>
      </c>
      <c r="AH783" s="22">
        <f t="shared" si="345"/>
        <v>0</v>
      </c>
      <c r="AI783" s="22">
        <f t="shared" si="345"/>
        <v>0</v>
      </c>
      <c r="AJ783" s="22">
        <f t="shared" si="345"/>
        <v>0</v>
      </c>
      <c r="AK783" s="22">
        <f t="shared" si="345"/>
        <v>0</v>
      </c>
      <c r="AL783" s="22">
        <f t="shared" si="345"/>
        <v>0</v>
      </c>
      <c r="AM783" s="22">
        <f t="shared" si="345"/>
        <v>0</v>
      </c>
      <c r="AN783" s="22">
        <f t="shared" si="345"/>
        <v>0</v>
      </c>
    </row>
    <row r="784" spans="2:40" outlineLevel="1" x14ac:dyDescent="0.3">
      <c r="B784" s="18" t="s">
        <v>65</v>
      </c>
      <c r="C784" s="1" t="s">
        <v>65</v>
      </c>
      <c r="H784" s="26" t="s">
        <v>245</v>
      </c>
      <c r="I784" s="22">
        <f>SUM(L784:AN784)</f>
        <v>0</v>
      </c>
      <c r="L784" s="22">
        <f>L783*$L$753</f>
        <v>0</v>
      </c>
      <c r="M784" s="22">
        <f t="shared" ref="M784:AN784" si="346">M783*$L$753</f>
        <v>0</v>
      </c>
      <c r="N784" s="22">
        <f t="shared" si="346"/>
        <v>0</v>
      </c>
      <c r="O784" s="22">
        <f t="shared" si="346"/>
        <v>0</v>
      </c>
      <c r="P784" s="22">
        <f t="shared" si="346"/>
        <v>0</v>
      </c>
      <c r="Q784" s="22">
        <f t="shared" si="346"/>
        <v>0</v>
      </c>
      <c r="R784" s="22">
        <f t="shared" si="346"/>
        <v>0</v>
      </c>
      <c r="S784" s="22">
        <f t="shared" si="346"/>
        <v>0</v>
      </c>
      <c r="T784" s="22">
        <f t="shared" si="346"/>
        <v>0</v>
      </c>
      <c r="U784" s="22">
        <f t="shared" si="346"/>
        <v>0</v>
      </c>
      <c r="V784" s="22">
        <f t="shared" si="346"/>
        <v>0</v>
      </c>
      <c r="W784" s="22">
        <f t="shared" si="346"/>
        <v>0</v>
      </c>
      <c r="X784" s="22">
        <f t="shared" si="346"/>
        <v>0</v>
      </c>
      <c r="Y784" s="22">
        <f t="shared" si="346"/>
        <v>0</v>
      </c>
      <c r="Z784" s="22">
        <f t="shared" si="346"/>
        <v>0</v>
      </c>
      <c r="AA784" s="22">
        <f t="shared" si="346"/>
        <v>0</v>
      </c>
      <c r="AB784" s="22">
        <f t="shared" si="346"/>
        <v>0</v>
      </c>
      <c r="AC784" s="22">
        <f t="shared" si="346"/>
        <v>0</v>
      </c>
      <c r="AD784" s="22">
        <f t="shared" si="346"/>
        <v>0</v>
      </c>
      <c r="AE784" s="22">
        <f t="shared" si="346"/>
        <v>0</v>
      </c>
      <c r="AF784" s="22">
        <f t="shared" si="346"/>
        <v>0</v>
      </c>
      <c r="AG784" s="22">
        <f t="shared" si="346"/>
        <v>0</v>
      </c>
      <c r="AH784" s="22">
        <f t="shared" si="346"/>
        <v>0</v>
      </c>
      <c r="AI784" s="22">
        <f t="shared" si="346"/>
        <v>0</v>
      </c>
      <c r="AJ784" s="22">
        <f t="shared" si="346"/>
        <v>0</v>
      </c>
      <c r="AK784" s="22">
        <f t="shared" si="346"/>
        <v>0</v>
      </c>
      <c r="AL784" s="22">
        <f t="shared" si="346"/>
        <v>0</v>
      </c>
      <c r="AM784" s="22">
        <f t="shared" si="346"/>
        <v>0</v>
      </c>
      <c r="AN784" s="22">
        <f t="shared" si="346"/>
        <v>0</v>
      </c>
    </row>
    <row r="785" spans="1:41" outlineLevel="1" x14ac:dyDescent="0.3">
      <c r="B785" s="18" t="s">
        <v>66</v>
      </c>
      <c r="C785" s="1" t="s">
        <v>66</v>
      </c>
      <c r="H785" s="26" t="s">
        <v>245</v>
      </c>
      <c r="I785" s="22">
        <f>SUM(L785:AN785)</f>
        <v>0</v>
      </c>
      <c r="L785" s="22">
        <f>IF(AND(Input!$J$213=TRUE,Расчеты!L9&lt;Расчеты!$I$757),Расчеты!L784,IF(AND(Input!$J$213=TRUE,Расчеты!L9=Расчеты!$I$757),Расчеты!L784*(1-Расчеты!L10),0))</f>
        <v>0</v>
      </c>
      <c r="M785" s="22">
        <f>IF(AND(Input!$J$213=TRUE,Расчеты!M9&lt;Расчеты!$I$757),Расчеты!M784,IF(AND(Input!$J$213=TRUE,Расчеты!M9=Расчеты!$I$757),Расчеты!M784*(1-Расчеты!M10),0))</f>
        <v>0</v>
      </c>
      <c r="N785" s="22">
        <f>IF(AND(Input!$J$213=TRUE,Расчеты!N9&lt;Расчеты!$I$757),Расчеты!N784,IF(AND(Input!$J$213=TRUE,Расчеты!N9=Расчеты!$I$757),Расчеты!N784*(1-Расчеты!N10),0))</f>
        <v>0</v>
      </c>
      <c r="O785" s="22">
        <f>IF(AND(Input!$J$213=TRUE,Расчеты!O9&lt;Расчеты!$I$757),Расчеты!O784,IF(AND(Input!$J$213=TRUE,Расчеты!O9=Расчеты!$I$757),Расчеты!O784*(1-Расчеты!O10),0))</f>
        <v>0</v>
      </c>
      <c r="P785" s="22">
        <f>IF(AND(Input!$J$213=TRUE,Расчеты!P9&lt;Расчеты!$I$757),Расчеты!P784,IF(AND(Input!$J$213=TRUE,Расчеты!P9=Расчеты!$I$757),Расчеты!P784*(1-Расчеты!P10),0))</f>
        <v>0</v>
      </c>
      <c r="Q785" s="22">
        <f>IF(AND(Input!$J$213=TRUE,Расчеты!Q9&lt;Расчеты!$I$757),Расчеты!Q784,IF(AND(Input!$J$213=TRUE,Расчеты!Q9=Расчеты!$I$757),Расчеты!Q784*(1-Расчеты!Q10),0))</f>
        <v>0</v>
      </c>
      <c r="R785" s="22">
        <f>IF(AND(Input!$J$213=TRUE,Расчеты!R9&lt;Расчеты!$I$757),Расчеты!R784,IF(AND(Input!$J$213=TRUE,Расчеты!R9=Расчеты!$I$757),Расчеты!R784*(1-Расчеты!R10),0))</f>
        <v>0</v>
      </c>
      <c r="S785" s="22">
        <f>IF(AND(Input!$J$213=TRUE,Расчеты!S9&lt;Расчеты!$I$757),Расчеты!S784,IF(AND(Input!$J$213=TRUE,Расчеты!S9=Расчеты!$I$757),Расчеты!S784*(1-Расчеты!S10),0))</f>
        <v>0</v>
      </c>
      <c r="T785" s="22">
        <f>IF(AND(Input!$J$213=TRUE,Расчеты!T9&lt;Расчеты!$I$757),Расчеты!T784,IF(AND(Input!$J$213=TRUE,Расчеты!T9=Расчеты!$I$757),Расчеты!T784*(1-Расчеты!T10),0))</f>
        <v>0</v>
      </c>
      <c r="U785" s="22">
        <f>IF(AND(Input!$J$213=TRUE,Расчеты!U9&lt;Расчеты!$I$757),Расчеты!U784,IF(AND(Input!$J$213=TRUE,Расчеты!U9=Расчеты!$I$757),Расчеты!U784*(1-Расчеты!U10),0))</f>
        <v>0</v>
      </c>
      <c r="V785" s="22">
        <f>IF(AND(Input!$J$213=TRUE,Расчеты!V9&lt;Расчеты!$I$757),Расчеты!V784,IF(AND(Input!$J$213=TRUE,Расчеты!V9=Расчеты!$I$757),Расчеты!V784*(1-Расчеты!V10),0))</f>
        <v>0</v>
      </c>
      <c r="W785" s="22">
        <f>IF(AND(Input!$J$213=TRUE,Расчеты!W9&lt;Расчеты!$I$757),Расчеты!W784,IF(AND(Input!$J$213=TRUE,Расчеты!W9=Расчеты!$I$757),Расчеты!W784*(1-Расчеты!W10),0))</f>
        <v>0</v>
      </c>
      <c r="X785" s="22">
        <f>IF(AND(Input!$J$213=TRUE,Расчеты!X9&lt;Расчеты!$I$757),Расчеты!X784,IF(AND(Input!$J$213=TRUE,Расчеты!X9=Расчеты!$I$757),Расчеты!X784*(1-Расчеты!X10),0))</f>
        <v>0</v>
      </c>
      <c r="Y785" s="22">
        <f>IF(AND(Input!$J$213=TRUE,Расчеты!Y9&lt;Расчеты!$I$757),Расчеты!Y784,IF(AND(Input!$J$213=TRUE,Расчеты!Y9=Расчеты!$I$757),Расчеты!Y784*(1-Расчеты!Y10),0))</f>
        <v>0</v>
      </c>
      <c r="Z785" s="22">
        <f>IF(AND(Input!$J$213=TRUE,Расчеты!Z9&lt;Расчеты!$I$757),Расчеты!Z784,IF(AND(Input!$J$213=TRUE,Расчеты!Z9=Расчеты!$I$757),Расчеты!Z784*(1-Расчеты!Z10),0))</f>
        <v>0</v>
      </c>
      <c r="AA785" s="22">
        <f>IF(AND(Input!$J$213=TRUE,Расчеты!AA9&lt;Расчеты!$I$757),Расчеты!AA784,IF(AND(Input!$J$213=TRUE,Расчеты!AA9=Расчеты!$I$757),Расчеты!AA784*(1-Расчеты!AA10),0))</f>
        <v>0</v>
      </c>
      <c r="AB785" s="22">
        <f>IF(AND(Input!$J$213=TRUE,Расчеты!AB9&lt;Расчеты!$I$757),Расчеты!AB784,IF(AND(Input!$J$213=TRUE,Расчеты!AB9=Расчеты!$I$757),Расчеты!AB784*(1-Расчеты!AB10),0))</f>
        <v>0</v>
      </c>
      <c r="AC785" s="22">
        <f>IF(AND(Input!$J$213=TRUE,Расчеты!AC9&lt;Расчеты!$I$757),Расчеты!AC784,IF(AND(Input!$J$213=TRUE,Расчеты!AC9=Расчеты!$I$757),Расчеты!AC784*(1-Расчеты!AC10),0))</f>
        <v>0</v>
      </c>
      <c r="AD785" s="22">
        <f>IF(AND(Input!$J$213=TRUE,Расчеты!AD9&lt;Расчеты!$I$757),Расчеты!AD784,IF(AND(Input!$J$213=TRUE,Расчеты!AD9=Расчеты!$I$757),Расчеты!AD784*(1-Расчеты!AD10),0))</f>
        <v>0</v>
      </c>
      <c r="AE785" s="22">
        <f>IF(AND(Input!$J$213=TRUE,Расчеты!AE9&lt;Расчеты!$I$757),Расчеты!AE784,IF(AND(Input!$J$213=TRUE,Расчеты!AE9=Расчеты!$I$757),Расчеты!AE784*(1-Расчеты!AE10),0))</f>
        <v>0</v>
      </c>
      <c r="AF785" s="22">
        <f>IF(AND(Input!$J$213=TRUE,Расчеты!AF9&lt;Расчеты!$I$757),Расчеты!AF784,IF(AND(Input!$J$213=TRUE,Расчеты!AF9=Расчеты!$I$757),Расчеты!AF784*(1-Расчеты!AF10),0))</f>
        <v>0</v>
      </c>
      <c r="AG785" s="22">
        <f>IF(AND(Input!$J$213=TRUE,Расчеты!AG9&lt;Расчеты!$I$757),Расчеты!AG784,IF(AND(Input!$J$213=TRUE,Расчеты!AG9=Расчеты!$I$757),Расчеты!AG784*(1-Расчеты!AG10),0))</f>
        <v>0</v>
      </c>
      <c r="AH785" s="22">
        <f>IF(AND(Input!$J$213=TRUE,Расчеты!AH9&lt;Расчеты!$I$757),Расчеты!AH784,IF(AND(Input!$J$213=TRUE,Расчеты!AH9=Расчеты!$I$757),Расчеты!AH784*(1-Расчеты!AH10),0))</f>
        <v>0</v>
      </c>
      <c r="AI785" s="22">
        <f>IF(AND(Input!$J$213=TRUE,Расчеты!AI9&lt;Расчеты!$I$757),Расчеты!AI784,IF(AND(Input!$J$213=TRUE,Расчеты!AI9=Расчеты!$I$757),Расчеты!AI784*(1-Расчеты!AI10),0))</f>
        <v>0</v>
      </c>
      <c r="AJ785" s="22">
        <f>IF(AND(Input!$J$213=TRUE,Расчеты!AJ9&lt;Расчеты!$I$757),Расчеты!AJ784,IF(AND(Input!$J$213=TRUE,Расчеты!AJ9=Расчеты!$I$757),Расчеты!AJ784*(1-Расчеты!AJ10),0))</f>
        <v>0</v>
      </c>
      <c r="AK785" s="22">
        <f>IF(AND(Input!$J$213=TRUE,Расчеты!AK9&lt;Расчеты!$I$757),Расчеты!AK784,IF(AND(Input!$J$213=TRUE,Расчеты!AK9=Расчеты!$I$757),Расчеты!AK784*(1-Расчеты!AK10),0))</f>
        <v>0</v>
      </c>
      <c r="AL785" s="22">
        <f>IF(AND(Input!$J$213=TRUE,Расчеты!AL9&lt;Расчеты!$I$757),Расчеты!AL784,IF(AND(Input!$J$213=TRUE,Расчеты!AL9=Расчеты!$I$757),Расчеты!AL784*(1-Расчеты!AL10),0))</f>
        <v>0</v>
      </c>
      <c r="AM785" s="22">
        <f>IF(AND(Input!$J$213=TRUE,Расчеты!AM9&lt;Расчеты!$I$757),Расчеты!AM784,IF(AND(Input!$J$213=TRUE,Расчеты!AM9=Расчеты!$I$757),Расчеты!AM784*(1-Расчеты!AM10),0))</f>
        <v>0</v>
      </c>
      <c r="AN785" s="22">
        <f>IF(AND(Input!$J$213=TRUE,Расчеты!AN9&lt;Расчеты!$I$757),Расчеты!AN784,IF(AND(Input!$J$213=TRUE,Расчеты!AN9=Расчеты!$I$757),Расчеты!AN784*(1-Расчеты!AN10),0))</f>
        <v>0</v>
      </c>
    </row>
    <row r="786" spans="1:41" outlineLevel="1" x14ac:dyDescent="0.3">
      <c r="B786" s="18" t="s">
        <v>321</v>
      </c>
      <c r="C786" s="1" t="s">
        <v>68</v>
      </c>
      <c r="H786" s="26" t="s">
        <v>245</v>
      </c>
      <c r="I786" s="22">
        <f>SUM(L786:AN786)</f>
        <v>0</v>
      </c>
      <c r="L786" s="22">
        <f t="shared" ref="L786:AN786" si="347">IFERROR(IF($I$759="Аннуитетный платеж",-PPMT($L$753/12*L11,1,L782,L783),0),0)</f>
        <v>0</v>
      </c>
      <c r="M786" s="22">
        <f t="shared" si="347"/>
        <v>0</v>
      </c>
      <c r="N786" s="22">
        <f t="shared" si="347"/>
        <v>0</v>
      </c>
      <c r="O786" s="22">
        <f t="shared" si="347"/>
        <v>0</v>
      </c>
      <c r="P786" s="22">
        <f t="shared" si="347"/>
        <v>0</v>
      </c>
      <c r="Q786" s="22">
        <f t="shared" si="347"/>
        <v>0</v>
      </c>
      <c r="R786" s="22">
        <f t="shared" si="347"/>
        <v>0</v>
      </c>
      <c r="S786" s="22">
        <f t="shared" si="347"/>
        <v>0</v>
      </c>
      <c r="T786" s="22">
        <f t="shared" si="347"/>
        <v>0</v>
      </c>
      <c r="U786" s="22">
        <f t="shared" si="347"/>
        <v>0</v>
      </c>
      <c r="V786" s="22">
        <f t="shared" si="347"/>
        <v>0</v>
      </c>
      <c r="W786" s="22">
        <f t="shared" si="347"/>
        <v>0</v>
      </c>
      <c r="X786" s="22">
        <f t="shared" si="347"/>
        <v>0</v>
      </c>
      <c r="Y786" s="22">
        <f t="shared" si="347"/>
        <v>0</v>
      </c>
      <c r="Z786" s="22">
        <f t="shared" si="347"/>
        <v>0</v>
      </c>
      <c r="AA786" s="22">
        <f t="shared" si="347"/>
        <v>0</v>
      </c>
      <c r="AB786" s="22">
        <f t="shared" si="347"/>
        <v>0</v>
      </c>
      <c r="AC786" s="22">
        <f t="shared" si="347"/>
        <v>0</v>
      </c>
      <c r="AD786" s="22">
        <f t="shared" si="347"/>
        <v>0</v>
      </c>
      <c r="AE786" s="22">
        <f t="shared" si="347"/>
        <v>0</v>
      </c>
      <c r="AF786" s="22">
        <f t="shared" si="347"/>
        <v>0</v>
      </c>
      <c r="AG786" s="22">
        <f t="shared" si="347"/>
        <v>0</v>
      </c>
      <c r="AH786" s="22">
        <f t="shared" si="347"/>
        <v>0</v>
      </c>
      <c r="AI786" s="22">
        <f t="shared" si="347"/>
        <v>0</v>
      </c>
      <c r="AJ786" s="22">
        <f t="shared" si="347"/>
        <v>0</v>
      </c>
      <c r="AK786" s="22">
        <f t="shared" si="347"/>
        <v>0</v>
      </c>
      <c r="AL786" s="22">
        <f t="shared" si="347"/>
        <v>0</v>
      </c>
      <c r="AM786" s="22">
        <f t="shared" si="347"/>
        <v>0</v>
      </c>
      <c r="AN786" s="22">
        <f t="shared" si="347"/>
        <v>0</v>
      </c>
    </row>
    <row r="787" spans="1:41" outlineLevel="1" x14ac:dyDescent="0.3">
      <c r="C787" s="1" t="s">
        <v>62</v>
      </c>
      <c r="H787" s="26" t="s">
        <v>245</v>
      </c>
      <c r="I787" s="22">
        <f>SUM(L787:AN787)</f>
        <v>0</v>
      </c>
      <c r="L787" s="22">
        <f t="shared" ref="L787:AN787" si="348">IFERROR(IF($I$759="Аннуитетный платеж",-PMT($L$753/12*L11,L782,L783),0),0)</f>
        <v>0</v>
      </c>
      <c r="M787" s="22">
        <f t="shared" si="348"/>
        <v>0</v>
      </c>
      <c r="N787" s="22">
        <f t="shared" si="348"/>
        <v>0</v>
      </c>
      <c r="O787" s="22">
        <f t="shared" si="348"/>
        <v>0</v>
      </c>
      <c r="P787" s="22">
        <f t="shared" si="348"/>
        <v>0</v>
      </c>
      <c r="Q787" s="22">
        <f t="shared" si="348"/>
        <v>0</v>
      </c>
      <c r="R787" s="22">
        <f t="shared" si="348"/>
        <v>0</v>
      </c>
      <c r="S787" s="22">
        <f t="shared" si="348"/>
        <v>0</v>
      </c>
      <c r="T787" s="22">
        <f t="shared" si="348"/>
        <v>0</v>
      </c>
      <c r="U787" s="22">
        <f t="shared" si="348"/>
        <v>0</v>
      </c>
      <c r="V787" s="22">
        <f t="shared" si="348"/>
        <v>0</v>
      </c>
      <c r="W787" s="22">
        <f t="shared" si="348"/>
        <v>0</v>
      </c>
      <c r="X787" s="22">
        <f t="shared" si="348"/>
        <v>0</v>
      </c>
      <c r="Y787" s="22">
        <f t="shared" si="348"/>
        <v>0</v>
      </c>
      <c r="Z787" s="22">
        <f t="shared" si="348"/>
        <v>0</v>
      </c>
      <c r="AA787" s="22">
        <f t="shared" si="348"/>
        <v>0</v>
      </c>
      <c r="AB787" s="22">
        <f t="shared" si="348"/>
        <v>0</v>
      </c>
      <c r="AC787" s="22">
        <f t="shared" si="348"/>
        <v>0</v>
      </c>
      <c r="AD787" s="22">
        <f t="shared" si="348"/>
        <v>0</v>
      </c>
      <c r="AE787" s="22">
        <f t="shared" si="348"/>
        <v>0</v>
      </c>
      <c r="AF787" s="22">
        <f t="shared" si="348"/>
        <v>0</v>
      </c>
      <c r="AG787" s="22">
        <f t="shared" si="348"/>
        <v>0</v>
      </c>
      <c r="AH787" s="22">
        <f t="shared" si="348"/>
        <v>0</v>
      </c>
      <c r="AI787" s="22">
        <f t="shared" si="348"/>
        <v>0</v>
      </c>
      <c r="AJ787" s="22">
        <f t="shared" si="348"/>
        <v>0</v>
      </c>
      <c r="AK787" s="22">
        <f t="shared" si="348"/>
        <v>0</v>
      </c>
      <c r="AL787" s="22">
        <f t="shared" si="348"/>
        <v>0</v>
      </c>
      <c r="AM787" s="22">
        <f t="shared" si="348"/>
        <v>0</v>
      </c>
      <c r="AN787" s="22">
        <f t="shared" si="348"/>
        <v>0</v>
      </c>
    </row>
    <row r="788" spans="1:41" outlineLevel="1" x14ac:dyDescent="0.3">
      <c r="B788" s="18" t="s">
        <v>321</v>
      </c>
      <c r="C788" s="1" t="s">
        <v>322</v>
      </c>
      <c r="H788" s="26" t="s">
        <v>245</v>
      </c>
      <c r="I788" s="22">
        <f>SUM(L788:AN788)</f>
        <v>0</v>
      </c>
      <c r="L788" s="22">
        <f t="shared" ref="L788:AN788" si="349">IFERROR(IF($I$759="Дифференцированный платеж",IF(L9&gt;=$I$757,L783/L782,0),0),0)</f>
        <v>0</v>
      </c>
      <c r="M788" s="22">
        <f t="shared" si="349"/>
        <v>0</v>
      </c>
      <c r="N788" s="22">
        <f t="shared" si="349"/>
        <v>0</v>
      </c>
      <c r="O788" s="22">
        <f t="shared" si="349"/>
        <v>0</v>
      </c>
      <c r="P788" s="22">
        <f t="shared" si="349"/>
        <v>0</v>
      </c>
      <c r="Q788" s="22">
        <f t="shared" si="349"/>
        <v>0</v>
      </c>
      <c r="R788" s="22">
        <f t="shared" si="349"/>
        <v>0</v>
      </c>
      <c r="S788" s="22">
        <f t="shared" si="349"/>
        <v>0</v>
      </c>
      <c r="T788" s="22">
        <f t="shared" si="349"/>
        <v>0</v>
      </c>
      <c r="U788" s="22">
        <f t="shared" si="349"/>
        <v>0</v>
      </c>
      <c r="V788" s="22">
        <f t="shared" si="349"/>
        <v>0</v>
      </c>
      <c r="W788" s="22">
        <f t="shared" si="349"/>
        <v>0</v>
      </c>
      <c r="X788" s="22">
        <f t="shared" si="349"/>
        <v>0</v>
      </c>
      <c r="Y788" s="22">
        <f t="shared" si="349"/>
        <v>0</v>
      </c>
      <c r="Z788" s="22">
        <f t="shared" si="349"/>
        <v>0</v>
      </c>
      <c r="AA788" s="22">
        <f t="shared" si="349"/>
        <v>0</v>
      </c>
      <c r="AB788" s="22">
        <f t="shared" si="349"/>
        <v>0</v>
      </c>
      <c r="AC788" s="22">
        <f t="shared" si="349"/>
        <v>0</v>
      </c>
      <c r="AD788" s="22">
        <f t="shared" si="349"/>
        <v>0</v>
      </c>
      <c r="AE788" s="22">
        <f t="shared" si="349"/>
        <v>0</v>
      </c>
      <c r="AF788" s="22">
        <f t="shared" si="349"/>
        <v>0</v>
      </c>
      <c r="AG788" s="22">
        <f t="shared" si="349"/>
        <v>0</v>
      </c>
      <c r="AH788" s="22">
        <f t="shared" si="349"/>
        <v>0</v>
      </c>
      <c r="AI788" s="22">
        <f t="shared" si="349"/>
        <v>0</v>
      </c>
      <c r="AJ788" s="22">
        <f t="shared" si="349"/>
        <v>0</v>
      </c>
      <c r="AK788" s="22">
        <f t="shared" si="349"/>
        <v>0</v>
      </c>
      <c r="AL788" s="22">
        <f t="shared" si="349"/>
        <v>0</v>
      </c>
      <c r="AM788" s="22">
        <f t="shared" si="349"/>
        <v>0</v>
      </c>
      <c r="AN788" s="22">
        <f t="shared" si="349"/>
        <v>0</v>
      </c>
    </row>
    <row r="789" spans="1:41" outlineLevel="1" x14ac:dyDescent="0.3">
      <c r="B789" s="18" t="s">
        <v>63</v>
      </c>
      <c r="C789" s="1" t="s">
        <v>63</v>
      </c>
      <c r="H789" s="26" t="s">
        <v>245</v>
      </c>
      <c r="K789" s="87">
        <v>0</v>
      </c>
      <c r="L789" s="22">
        <f>L783+L785-L786-L788</f>
        <v>0</v>
      </c>
      <c r="M789" s="22">
        <f t="shared" ref="M789:T789" si="350">M783+M785-M786-M788</f>
        <v>0</v>
      </c>
      <c r="N789" s="22">
        <f t="shared" si="350"/>
        <v>0</v>
      </c>
      <c r="O789" s="22">
        <f t="shared" si="350"/>
        <v>0</v>
      </c>
      <c r="P789" s="22">
        <f t="shared" si="350"/>
        <v>0</v>
      </c>
      <c r="Q789" s="22">
        <f t="shared" si="350"/>
        <v>0</v>
      </c>
      <c r="R789" s="22">
        <f t="shared" si="350"/>
        <v>0</v>
      </c>
      <c r="S789" s="22">
        <f t="shared" si="350"/>
        <v>0</v>
      </c>
      <c r="T789" s="22">
        <f t="shared" si="350"/>
        <v>0</v>
      </c>
      <c r="U789" s="22">
        <f t="shared" ref="U789" si="351">U783+U785-U786-U788</f>
        <v>0</v>
      </c>
      <c r="V789" s="22">
        <f t="shared" ref="V789" si="352">V783+V785-V786-V788</f>
        <v>0</v>
      </c>
      <c r="W789" s="22">
        <f t="shared" ref="W789" si="353">W783+W785-W786-W788</f>
        <v>0</v>
      </c>
      <c r="X789" s="22">
        <f t="shared" ref="X789" si="354">X783+X785-X786-X788</f>
        <v>0</v>
      </c>
      <c r="Y789" s="22">
        <f t="shared" ref="Y789" si="355">Y783+Y785-Y786-Y788</f>
        <v>0</v>
      </c>
      <c r="Z789" s="22">
        <f t="shared" ref="Z789" si="356">Z783+Z785-Z786-Z788</f>
        <v>0</v>
      </c>
      <c r="AA789" s="22">
        <f t="shared" ref="AA789:AB789" si="357">AA783+AA785-AA786-AA788</f>
        <v>0</v>
      </c>
      <c r="AB789" s="22">
        <f t="shared" si="357"/>
        <v>0</v>
      </c>
      <c r="AC789" s="22">
        <f t="shared" ref="AC789" si="358">AC783+AC785-AC786-AC788</f>
        <v>0</v>
      </c>
      <c r="AD789" s="22">
        <f t="shared" ref="AD789" si="359">AD783+AD785-AD786-AD788</f>
        <v>0</v>
      </c>
      <c r="AE789" s="22">
        <f t="shared" ref="AE789" si="360">AE783+AE785-AE786-AE788</f>
        <v>0</v>
      </c>
      <c r="AF789" s="22">
        <f t="shared" ref="AF789" si="361">AF783+AF785-AF786-AF788</f>
        <v>0</v>
      </c>
      <c r="AG789" s="22">
        <f t="shared" ref="AG789" si="362">AG783+AG785-AG786-AG788</f>
        <v>0</v>
      </c>
      <c r="AH789" s="22">
        <f t="shared" ref="AH789" si="363">AH783+AH785-AH786-AH788</f>
        <v>0</v>
      </c>
      <c r="AI789" s="22">
        <f t="shared" ref="AI789:AJ789" si="364">AI783+AI785-AI786-AI788</f>
        <v>0</v>
      </c>
      <c r="AJ789" s="22">
        <f t="shared" si="364"/>
        <v>0</v>
      </c>
      <c r="AK789" s="22">
        <f t="shared" ref="AK789" si="365">AK783+AK785-AK786-AK788</f>
        <v>0</v>
      </c>
      <c r="AL789" s="22">
        <f t="shared" ref="AL789" si="366">AL783+AL785-AL786-AL788</f>
        <v>0</v>
      </c>
      <c r="AM789" s="22">
        <f t="shared" ref="AM789" si="367">AM783+AM785-AM786-AM788</f>
        <v>0</v>
      </c>
      <c r="AN789" s="22">
        <f t="shared" ref="AN789" si="368">AN783+AN785-AN786-AN788</f>
        <v>0</v>
      </c>
    </row>
    <row r="790" spans="1:41" outlineLevel="1" x14ac:dyDescent="0.3"/>
    <row r="791" spans="1:41" outlineLevel="1" x14ac:dyDescent="0.3">
      <c r="C791" s="2" t="s">
        <v>318</v>
      </c>
      <c r="H791" s="30" t="s">
        <v>245</v>
      </c>
      <c r="L791" s="34">
        <f>L792+L793</f>
        <v>0</v>
      </c>
      <c r="M791" s="34">
        <f t="shared" ref="M791:AN791" si="369">M792+M793</f>
        <v>54.293918806779651</v>
      </c>
      <c r="N791" s="34">
        <f t="shared" si="369"/>
        <v>72.9997174698305</v>
      </c>
      <c r="O791" s="34">
        <f t="shared" si="369"/>
        <v>0</v>
      </c>
      <c r="P791" s="34">
        <f t="shared" si="369"/>
        <v>0</v>
      </c>
      <c r="Q791" s="34">
        <f t="shared" si="369"/>
        <v>0</v>
      </c>
      <c r="R791" s="34">
        <f t="shared" si="369"/>
        <v>0</v>
      </c>
      <c r="S791" s="34">
        <f t="shared" si="369"/>
        <v>0</v>
      </c>
      <c r="T791" s="34">
        <f t="shared" si="369"/>
        <v>0</v>
      </c>
      <c r="U791" s="34">
        <f t="shared" si="369"/>
        <v>0</v>
      </c>
      <c r="V791" s="34">
        <f t="shared" si="369"/>
        <v>0</v>
      </c>
      <c r="W791" s="34">
        <f t="shared" si="369"/>
        <v>0</v>
      </c>
      <c r="X791" s="34">
        <f t="shared" si="369"/>
        <v>0</v>
      </c>
      <c r="Y791" s="34">
        <f t="shared" si="369"/>
        <v>0</v>
      </c>
      <c r="Z791" s="34">
        <f t="shared" si="369"/>
        <v>0</v>
      </c>
      <c r="AA791" s="34">
        <f t="shared" si="369"/>
        <v>0</v>
      </c>
      <c r="AB791" s="34">
        <f t="shared" si="369"/>
        <v>0</v>
      </c>
      <c r="AC791" s="34">
        <f t="shared" si="369"/>
        <v>0</v>
      </c>
      <c r="AD791" s="34">
        <f t="shared" si="369"/>
        <v>0</v>
      </c>
      <c r="AE791" s="34">
        <f t="shared" si="369"/>
        <v>0</v>
      </c>
      <c r="AF791" s="34">
        <f t="shared" si="369"/>
        <v>0</v>
      </c>
      <c r="AG791" s="34">
        <f t="shared" si="369"/>
        <v>0</v>
      </c>
      <c r="AH791" s="34">
        <f t="shared" si="369"/>
        <v>0</v>
      </c>
      <c r="AI791" s="34">
        <f t="shared" si="369"/>
        <v>0</v>
      </c>
      <c r="AJ791" s="34">
        <f t="shared" si="369"/>
        <v>0</v>
      </c>
      <c r="AK791" s="34">
        <f t="shared" si="369"/>
        <v>0</v>
      </c>
      <c r="AL791" s="34">
        <f t="shared" si="369"/>
        <v>0</v>
      </c>
      <c r="AM791" s="34">
        <f t="shared" si="369"/>
        <v>0</v>
      </c>
      <c r="AN791" s="34">
        <f t="shared" si="369"/>
        <v>0</v>
      </c>
    </row>
    <row r="792" spans="1:41" outlineLevel="1" x14ac:dyDescent="0.3">
      <c r="C792" s="2"/>
      <c r="D792" s="1" t="s">
        <v>320</v>
      </c>
      <c r="H792" s="26" t="s">
        <v>245</v>
      </c>
      <c r="L792" s="22">
        <f>L747*(1-$I$749)</f>
        <v>0</v>
      </c>
      <c r="M792" s="22">
        <f>M747*(1-$I$749)</f>
        <v>26.878177627118635</v>
      </c>
      <c r="N792" s="22">
        <f>N747*(1-$I$749)</f>
        <v>27.999786711864395</v>
      </c>
      <c r="O792" s="22">
        <f t="shared" ref="O792:AN792" si="370">O747*(1-$I$749)</f>
        <v>0</v>
      </c>
      <c r="P792" s="22">
        <f t="shared" si="370"/>
        <v>0</v>
      </c>
      <c r="Q792" s="22">
        <f t="shared" si="370"/>
        <v>0</v>
      </c>
      <c r="R792" s="22">
        <f t="shared" si="370"/>
        <v>0</v>
      </c>
      <c r="S792" s="22">
        <f t="shared" si="370"/>
        <v>0</v>
      </c>
      <c r="T792" s="22">
        <f t="shared" si="370"/>
        <v>0</v>
      </c>
      <c r="U792" s="22">
        <f t="shared" si="370"/>
        <v>0</v>
      </c>
      <c r="V792" s="22">
        <f t="shared" si="370"/>
        <v>0</v>
      </c>
      <c r="W792" s="22">
        <f t="shared" si="370"/>
        <v>0</v>
      </c>
      <c r="X792" s="22">
        <f t="shared" si="370"/>
        <v>0</v>
      </c>
      <c r="Y792" s="22">
        <f t="shared" si="370"/>
        <v>0</v>
      </c>
      <c r="Z792" s="22">
        <f t="shared" si="370"/>
        <v>0</v>
      </c>
      <c r="AA792" s="22">
        <f t="shared" si="370"/>
        <v>0</v>
      </c>
      <c r="AB792" s="22">
        <f t="shared" si="370"/>
        <v>0</v>
      </c>
      <c r="AC792" s="22">
        <f t="shared" si="370"/>
        <v>0</v>
      </c>
      <c r="AD792" s="22">
        <f t="shared" si="370"/>
        <v>0</v>
      </c>
      <c r="AE792" s="22">
        <f t="shared" si="370"/>
        <v>0</v>
      </c>
      <c r="AF792" s="22">
        <f t="shared" si="370"/>
        <v>0</v>
      </c>
      <c r="AG792" s="22">
        <f t="shared" si="370"/>
        <v>0</v>
      </c>
      <c r="AH792" s="22">
        <f t="shared" si="370"/>
        <v>0</v>
      </c>
      <c r="AI792" s="22">
        <f t="shared" si="370"/>
        <v>0</v>
      </c>
      <c r="AJ792" s="22">
        <f t="shared" si="370"/>
        <v>0</v>
      </c>
      <c r="AK792" s="22">
        <f t="shared" si="370"/>
        <v>0</v>
      </c>
      <c r="AL792" s="22">
        <f t="shared" si="370"/>
        <v>0</v>
      </c>
      <c r="AM792" s="22">
        <f t="shared" si="370"/>
        <v>0</v>
      </c>
      <c r="AN792" s="22">
        <f t="shared" si="370"/>
        <v>0</v>
      </c>
    </row>
    <row r="793" spans="1:41" outlineLevel="1" x14ac:dyDescent="0.3">
      <c r="C793" s="2"/>
      <c r="D793" s="1" t="s">
        <v>377</v>
      </c>
      <c r="H793" s="26" t="s">
        <v>245</v>
      </c>
      <c r="L793" s="22">
        <f>IF(Input!$J$213=FALSE,IF(L9&lt;=YEAR(Input!$H$12),Расчеты!L736,0),0)</f>
        <v>0</v>
      </c>
      <c r="M793" s="22">
        <f>IF(Input!$J$213=FALSE,IF(M9&lt;=YEAR(Input!$H$12),Расчеты!M736,0),0)</f>
        <v>27.415741179661016</v>
      </c>
      <c r="N793" s="22">
        <f>IF(Input!$J$213=FALSE,IF(N9&lt;=YEAR(Input!$H$12),Расчеты!N736,0),0)</f>
        <v>44.999930757966098</v>
      </c>
      <c r="O793" s="22">
        <f>IF(Input!$J$213=FALSE,IF(O9&lt;=YEAR(Input!$H$12),Расчеты!O736,0),0)</f>
        <v>0</v>
      </c>
      <c r="P793" s="22">
        <f>IF(Input!$J$213=FALSE,IF(P9&lt;=YEAR(Input!$H$12),Расчеты!P736,0),0)</f>
        <v>0</v>
      </c>
      <c r="Q793" s="22">
        <f>IF(Input!$J$213=FALSE,IF(Q9&lt;=YEAR(Input!$H$12),Расчеты!Q736,0),0)</f>
        <v>0</v>
      </c>
      <c r="R793" s="22">
        <f>IF(Input!$J$213=FALSE,IF(R9&lt;=YEAR(Input!$H$12),Расчеты!R736,0),0)</f>
        <v>0</v>
      </c>
      <c r="S793" s="22">
        <f>IF(Input!$J$213=FALSE,IF(S9&lt;=YEAR(Input!$H$12),Расчеты!S736,0),0)</f>
        <v>0</v>
      </c>
      <c r="T793" s="22">
        <f>IF(Input!$J$213=FALSE,IF(T9&lt;=YEAR(Input!$H$12),Расчеты!T736,0),0)</f>
        <v>0</v>
      </c>
      <c r="U793" s="22">
        <f>IF(Input!$J$213=FALSE,IF(U9&lt;=YEAR(Input!$H$12),Расчеты!U736,0),0)</f>
        <v>0</v>
      </c>
      <c r="V793" s="22">
        <f>IF(Input!$J$213=FALSE,IF(V9&lt;=YEAR(Input!$H$12),Расчеты!V736,0),0)</f>
        <v>0</v>
      </c>
      <c r="W793" s="22">
        <f>IF(Input!$J$213=FALSE,IF(W9&lt;=YEAR(Input!$H$12),Расчеты!W736,0),0)</f>
        <v>0</v>
      </c>
      <c r="X793" s="22">
        <f>IF(Input!$J$213=FALSE,IF(X9&lt;=YEAR(Input!$H$12),Расчеты!X736,0),0)</f>
        <v>0</v>
      </c>
      <c r="Y793" s="22">
        <f>IF(Input!$J$213=FALSE,IF(Y9&lt;=YEAR(Input!$H$12),Расчеты!Y736,0),0)</f>
        <v>0</v>
      </c>
      <c r="Z793" s="22">
        <f>IF(Input!$J$213=FALSE,IF(Z9&lt;=YEAR(Input!$H$12),Расчеты!Z736,0),0)</f>
        <v>0</v>
      </c>
      <c r="AA793" s="22">
        <f>IF(Input!$J$213=FALSE,IF(AA9&lt;=YEAR(Input!$H$12),Расчеты!AA736,0),0)</f>
        <v>0</v>
      </c>
      <c r="AB793" s="22">
        <f>IF(Input!$J$213=FALSE,IF(AB9&lt;=YEAR(Input!$H$12),Расчеты!AB736,0),0)</f>
        <v>0</v>
      </c>
      <c r="AC793" s="22">
        <f>IF(Input!$J$213=FALSE,IF(AC9&lt;=YEAR(Input!$H$12),Расчеты!AC736,0),0)</f>
        <v>0</v>
      </c>
      <c r="AD793" s="22">
        <f>IF(Input!$J$213=FALSE,IF(AD9&lt;=YEAR(Input!$H$12),Расчеты!AD736,0),0)</f>
        <v>0</v>
      </c>
      <c r="AE793" s="22">
        <f>IF(Input!$J$213=FALSE,IF(AE9&lt;=YEAR(Input!$H$12),Расчеты!AE736,0),0)</f>
        <v>0</v>
      </c>
      <c r="AF793" s="22">
        <f>IF(Input!$J$213=FALSE,IF(AF9&lt;=YEAR(Input!$H$12),Расчеты!AF736,0),0)</f>
        <v>0</v>
      </c>
      <c r="AG793" s="22">
        <f>IF(Input!$J$213=FALSE,IF(AG9&lt;=YEAR(Input!$H$12),Расчеты!AG736,0),0)</f>
        <v>0</v>
      </c>
      <c r="AH793" s="22">
        <f>IF(Input!$J$213=FALSE,IF(AH9&lt;=YEAR(Input!$H$12),Расчеты!AH736,0),0)</f>
        <v>0</v>
      </c>
      <c r="AI793" s="22">
        <f>IF(Input!$J$213=FALSE,IF(AI9&lt;=YEAR(Input!$H$12),Расчеты!AI736,0),0)</f>
        <v>0</v>
      </c>
      <c r="AJ793" s="22">
        <f>IF(Input!$J$213=FALSE,IF(AJ9&lt;=YEAR(Input!$H$12),Расчеты!AJ736,0),0)</f>
        <v>0</v>
      </c>
      <c r="AK793" s="22">
        <f>IF(Input!$J$213=FALSE,IF(AK9&lt;=YEAR(Input!$H$12),Расчеты!AK736,0),0)</f>
        <v>0</v>
      </c>
      <c r="AL793" s="22">
        <f>IF(Input!$J$213=FALSE,IF(AL9&lt;=YEAR(Input!$H$12),Расчеты!AL736,0),0)</f>
        <v>0</v>
      </c>
      <c r="AM793" s="22">
        <f>IF(Input!$J$213=FALSE,IF(AM9&lt;=YEAR(Input!$H$12),Расчеты!AM736,0),0)</f>
        <v>0</v>
      </c>
      <c r="AN793" s="22">
        <f>IF(Input!$J$213=FALSE,IF(AN9&lt;=YEAR(Input!$H$12),Расчеты!AN736,0),0)</f>
        <v>0</v>
      </c>
    </row>
    <row r="794" spans="1:41" ht="15.75" outlineLevel="1" thickBot="1" x14ac:dyDescent="0.35"/>
    <row r="795" spans="1:41" s="106" customFormat="1" ht="18" customHeight="1" thickTop="1" thickBot="1" x14ac:dyDescent="0.35">
      <c r="A795" s="53"/>
      <c r="B795" s="53"/>
      <c r="C795" s="50" t="s">
        <v>134</v>
      </c>
      <c r="D795" s="51"/>
      <c r="E795" s="51"/>
      <c r="F795" s="51"/>
      <c r="G795" s="51"/>
      <c r="H795" s="52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</row>
    <row r="796" spans="1:41" ht="15.75" outlineLevel="1" thickTop="1" x14ac:dyDescent="0.3"/>
    <row r="797" spans="1:41" s="107" customFormat="1" outlineLevel="1" x14ac:dyDescent="0.3">
      <c r="A797" s="170"/>
      <c r="B797" s="170"/>
      <c r="C797" s="113" t="s">
        <v>46</v>
      </c>
      <c r="D797" s="98"/>
      <c r="E797" s="98"/>
      <c r="F797" s="98"/>
      <c r="G797" s="98"/>
      <c r="H797" s="98"/>
      <c r="I797" s="98"/>
      <c r="J797" s="98"/>
      <c r="K797" s="98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</row>
    <row r="798" spans="1:41" ht="14.4" customHeight="1" outlineLevel="1" x14ac:dyDescent="0.3"/>
    <row r="799" spans="1:41" ht="14.4" customHeight="1" outlineLevel="1" x14ac:dyDescent="0.3">
      <c r="C799" s="1" t="s">
        <v>135</v>
      </c>
      <c r="H799" s="26" t="s">
        <v>9</v>
      </c>
      <c r="L799" s="146">
        <f t="shared" ref="L799:AN799" si="371">L36</f>
        <v>2.1999999999999999E-2</v>
      </c>
      <c r="M799" s="146">
        <f t="shared" si="371"/>
        <v>2.1999999999999999E-2</v>
      </c>
      <c r="N799" s="146">
        <f t="shared" si="371"/>
        <v>2.1999999999999999E-2</v>
      </c>
      <c r="O799" s="146">
        <f t="shared" si="371"/>
        <v>2.1999999999999999E-2</v>
      </c>
      <c r="P799" s="146">
        <f t="shared" si="371"/>
        <v>2.1999999999999999E-2</v>
      </c>
      <c r="Q799" s="146">
        <f t="shared" si="371"/>
        <v>2.1999999999999999E-2</v>
      </c>
      <c r="R799" s="146">
        <f t="shared" si="371"/>
        <v>2.1999999999999999E-2</v>
      </c>
      <c r="S799" s="146">
        <f t="shared" si="371"/>
        <v>2.1999999999999999E-2</v>
      </c>
      <c r="T799" s="146">
        <f t="shared" si="371"/>
        <v>2.1999999999999999E-2</v>
      </c>
      <c r="U799" s="146">
        <f t="shared" si="371"/>
        <v>2.1999999999999999E-2</v>
      </c>
      <c r="V799" s="146">
        <f t="shared" si="371"/>
        <v>2.1999999999999999E-2</v>
      </c>
      <c r="W799" s="146">
        <f t="shared" si="371"/>
        <v>2.1999999999999999E-2</v>
      </c>
      <c r="X799" s="146">
        <f t="shared" si="371"/>
        <v>2.1999999999999999E-2</v>
      </c>
      <c r="Y799" s="146">
        <f t="shared" si="371"/>
        <v>2.1999999999999999E-2</v>
      </c>
      <c r="Z799" s="146">
        <f t="shared" si="371"/>
        <v>2.1999999999999999E-2</v>
      </c>
      <c r="AA799" s="146">
        <f t="shared" si="371"/>
        <v>2.1999999999999999E-2</v>
      </c>
      <c r="AB799" s="146">
        <f t="shared" si="371"/>
        <v>2.1999999999999999E-2</v>
      </c>
      <c r="AC799" s="146">
        <f t="shared" si="371"/>
        <v>2.1999999999999999E-2</v>
      </c>
      <c r="AD799" s="146">
        <f t="shared" si="371"/>
        <v>0</v>
      </c>
      <c r="AE799" s="146">
        <f t="shared" si="371"/>
        <v>0</v>
      </c>
      <c r="AF799" s="146">
        <f t="shared" si="371"/>
        <v>0</v>
      </c>
      <c r="AG799" s="146">
        <f t="shared" si="371"/>
        <v>0</v>
      </c>
      <c r="AH799" s="146">
        <f t="shared" si="371"/>
        <v>0</v>
      </c>
      <c r="AI799" s="146">
        <f t="shared" si="371"/>
        <v>0</v>
      </c>
      <c r="AJ799" s="146">
        <f t="shared" si="371"/>
        <v>0</v>
      </c>
      <c r="AK799" s="146">
        <f t="shared" si="371"/>
        <v>0</v>
      </c>
      <c r="AL799" s="146">
        <f t="shared" si="371"/>
        <v>0</v>
      </c>
      <c r="AM799" s="146">
        <f t="shared" si="371"/>
        <v>0</v>
      </c>
      <c r="AN799" s="146">
        <f t="shared" si="371"/>
        <v>0</v>
      </c>
    </row>
    <row r="800" spans="1:41" ht="14.4" customHeight="1" outlineLevel="1" x14ac:dyDescent="0.3">
      <c r="H800" s="26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  <c r="AC800" s="182"/>
      <c r="AD800" s="182"/>
      <c r="AE800" s="182"/>
      <c r="AF800" s="182"/>
      <c r="AG800" s="182"/>
      <c r="AH800" s="182"/>
      <c r="AI800" s="182"/>
      <c r="AJ800" s="182"/>
      <c r="AK800" s="182"/>
      <c r="AL800" s="182"/>
      <c r="AM800" s="182"/>
      <c r="AN800" s="182"/>
    </row>
    <row r="801" spans="1:41" ht="14.4" customHeight="1" outlineLevel="1" x14ac:dyDescent="0.3">
      <c r="C801" s="1" t="s">
        <v>410</v>
      </c>
      <c r="H801" s="26" t="s">
        <v>9</v>
      </c>
      <c r="I801" s="79">
        <f>Input!H49</f>
        <v>0.5</v>
      </c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  <c r="AC801" s="182"/>
      <c r="AD801" s="182"/>
      <c r="AE801" s="182"/>
      <c r="AF801" s="182"/>
      <c r="AG801" s="182"/>
      <c r="AH801" s="182"/>
      <c r="AI801" s="182"/>
      <c r="AJ801" s="182"/>
      <c r="AK801" s="182"/>
      <c r="AL801" s="182"/>
      <c r="AM801" s="182"/>
      <c r="AN801" s="182"/>
    </row>
    <row r="802" spans="1:41" ht="14.4" customHeight="1" outlineLevel="1" x14ac:dyDescent="0.3"/>
    <row r="803" spans="1:41" outlineLevel="1" x14ac:dyDescent="0.3">
      <c r="C803" s="1" t="s">
        <v>327</v>
      </c>
      <c r="H803" s="26" t="s">
        <v>245</v>
      </c>
      <c r="L803" s="145">
        <f>L201+L247+L331+L371</f>
        <v>0</v>
      </c>
      <c r="M803" s="145">
        <f t="shared" ref="M803:AN803" si="372">M201+M247+M331+M371</f>
        <v>0</v>
      </c>
      <c r="N803" s="145">
        <f>N201+N247+N331+N371</f>
        <v>198.20978038361457</v>
      </c>
      <c r="O803" s="145">
        <f t="shared" si="372"/>
        <v>182.12987725148471</v>
      </c>
      <c r="P803" s="145">
        <f t="shared" si="372"/>
        <v>140.82588394414915</v>
      </c>
      <c r="Q803" s="145">
        <f t="shared" si="372"/>
        <v>99.521890636813566</v>
      </c>
      <c r="R803" s="145">
        <f t="shared" si="372"/>
        <v>58.217897329477985</v>
      </c>
      <c r="S803" s="145">
        <f t="shared" si="372"/>
        <v>33.975410574007071</v>
      </c>
      <c r="T803" s="145">
        <f t="shared" si="372"/>
        <v>27.634085052367684</v>
      </c>
      <c r="U803" s="145">
        <f t="shared" si="372"/>
        <v>22.132414212695188</v>
      </c>
      <c r="V803" s="145">
        <f t="shared" si="372"/>
        <v>16.630743373022689</v>
      </c>
      <c r="W803" s="145">
        <f t="shared" si="372"/>
        <v>13.869236785971784</v>
      </c>
      <c r="X803" s="145">
        <f t="shared" si="372"/>
        <v>11.230822555806842</v>
      </c>
      <c r="Y803" s="145">
        <f t="shared" si="372"/>
        <v>5.9753364299062648</v>
      </c>
      <c r="Z803" s="145">
        <f t="shared" si="372"/>
        <v>14.321553825755604</v>
      </c>
      <c r="AA803" s="145">
        <f t="shared" si="372"/>
        <v>18.971635713416422</v>
      </c>
      <c r="AB803" s="145">
        <f t="shared" si="372"/>
        <v>6.3238785711388079</v>
      </c>
      <c r="AC803" s="145">
        <f t="shared" si="372"/>
        <v>0</v>
      </c>
      <c r="AD803" s="145">
        <f t="shared" si="372"/>
        <v>0</v>
      </c>
      <c r="AE803" s="145">
        <f t="shared" si="372"/>
        <v>0</v>
      </c>
      <c r="AF803" s="145">
        <f t="shared" si="372"/>
        <v>0</v>
      </c>
      <c r="AG803" s="145">
        <f t="shared" si="372"/>
        <v>0</v>
      </c>
      <c r="AH803" s="145">
        <f t="shared" si="372"/>
        <v>0</v>
      </c>
      <c r="AI803" s="145">
        <f t="shared" si="372"/>
        <v>0</v>
      </c>
      <c r="AJ803" s="145">
        <f t="shared" si="372"/>
        <v>0</v>
      </c>
      <c r="AK803" s="145">
        <f t="shared" si="372"/>
        <v>0</v>
      </c>
      <c r="AL803" s="145">
        <f t="shared" si="372"/>
        <v>0</v>
      </c>
      <c r="AM803" s="145">
        <f t="shared" si="372"/>
        <v>0</v>
      </c>
      <c r="AN803" s="145">
        <f t="shared" si="372"/>
        <v>0</v>
      </c>
    </row>
    <row r="804" spans="1:41" outlineLevel="1" x14ac:dyDescent="0.3"/>
    <row r="805" spans="1:41" outlineLevel="1" x14ac:dyDescent="0.3">
      <c r="C805" s="1" t="s">
        <v>328</v>
      </c>
      <c r="H805" s="26" t="s">
        <v>245</v>
      </c>
      <c r="L805" s="145">
        <f>L203+L249+L331+L371</f>
        <v>0</v>
      </c>
      <c r="M805" s="145">
        <f t="shared" ref="M805:AN805" si="373">M203+M249+M331+M371</f>
        <v>0</v>
      </c>
      <c r="N805" s="145">
        <f t="shared" si="373"/>
        <v>171.95123850417923</v>
      </c>
      <c r="O805" s="145">
        <f t="shared" si="373"/>
        <v>157.9992285451977</v>
      </c>
      <c r="P805" s="145">
        <f t="shared" si="373"/>
        <v>122.16536621468927</v>
      </c>
      <c r="Q805" s="145">
        <f t="shared" si="373"/>
        <v>86.33150388418079</v>
      </c>
      <c r="R805" s="145">
        <f t="shared" si="373"/>
        <v>50.497641553672331</v>
      </c>
      <c r="S805" s="145">
        <f t="shared" si="373"/>
        <v>29.688534879401416</v>
      </c>
      <c r="T805" s="145">
        <f t="shared" si="373"/>
        <v>24.336488364209494</v>
      </c>
      <c r="U805" s="145">
        <f t="shared" si="373"/>
        <v>19.416746351859029</v>
      </c>
      <c r="V805" s="145">
        <f t="shared" si="373"/>
        <v>14.497004339508564</v>
      </c>
      <c r="W805" s="145">
        <f t="shared" si="373"/>
        <v>12.317426579779694</v>
      </c>
      <c r="X805" s="145">
        <f t="shared" si="373"/>
        <v>10.260941176936786</v>
      </c>
      <c r="Y805" s="145">
        <f t="shared" si="373"/>
        <v>5.5873838783582421</v>
      </c>
      <c r="Z805" s="145">
        <f t="shared" si="373"/>
        <v>14.273059756812099</v>
      </c>
      <c r="AA805" s="145">
        <f t="shared" si="373"/>
        <v>18.971635713416422</v>
      </c>
      <c r="AB805" s="145">
        <f t="shared" si="373"/>
        <v>6.3238785711388079</v>
      </c>
      <c r="AC805" s="145">
        <f t="shared" si="373"/>
        <v>0</v>
      </c>
      <c r="AD805" s="145">
        <f t="shared" si="373"/>
        <v>0</v>
      </c>
      <c r="AE805" s="145">
        <f t="shared" si="373"/>
        <v>0</v>
      </c>
      <c r="AF805" s="145">
        <f t="shared" si="373"/>
        <v>0</v>
      </c>
      <c r="AG805" s="145">
        <f t="shared" si="373"/>
        <v>0</v>
      </c>
      <c r="AH805" s="145">
        <f t="shared" si="373"/>
        <v>0</v>
      </c>
      <c r="AI805" s="145">
        <f t="shared" si="373"/>
        <v>0</v>
      </c>
      <c r="AJ805" s="145">
        <f t="shared" si="373"/>
        <v>0</v>
      </c>
      <c r="AK805" s="145">
        <f t="shared" si="373"/>
        <v>0</v>
      </c>
      <c r="AL805" s="145">
        <f t="shared" si="373"/>
        <v>0</v>
      </c>
      <c r="AM805" s="145">
        <f t="shared" si="373"/>
        <v>0</v>
      </c>
      <c r="AN805" s="145">
        <f t="shared" si="373"/>
        <v>0</v>
      </c>
    </row>
    <row r="806" spans="1:41" outlineLevel="1" x14ac:dyDescent="0.3"/>
    <row r="807" spans="1:41" outlineLevel="1" x14ac:dyDescent="0.3">
      <c r="C807" s="1" t="s">
        <v>329</v>
      </c>
      <c r="H807" s="26" t="s">
        <v>245</v>
      </c>
      <c r="I807" s="22">
        <f>SUM(L807:AN807)</f>
        <v>9.349674913035912</v>
      </c>
      <c r="L807" s="22">
        <f>L799*L803*$I$801</f>
        <v>0</v>
      </c>
      <c r="M807" s="22">
        <f t="shared" ref="M807:AN807" si="374">M799*M803*$I$801</f>
        <v>0</v>
      </c>
      <c r="N807" s="22">
        <f t="shared" si="374"/>
        <v>2.1803075842197601</v>
      </c>
      <c r="O807" s="22">
        <f t="shared" si="374"/>
        <v>2.0034286497663318</v>
      </c>
      <c r="P807" s="22">
        <f t="shared" si="374"/>
        <v>1.5490847233856406</v>
      </c>
      <c r="Q807" s="22">
        <f t="shared" si="374"/>
        <v>1.0947407970049492</v>
      </c>
      <c r="R807" s="22">
        <f t="shared" si="374"/>
        <v>0.64039687062425776</v>
      </c>
      <c r="S807" s="22">
        <f t="shared" si="374"/>
        <v>0.37372951631407775</v>
      </c>
      <c r="T807" s="22">
        <f t="shared" si="374"/>
        <v>0.30397493557604449</v>
      </c>
      <c r="U807" s="22">
        <f t="shared" si="374"/>
        <v>0.24345655633964705</v>
      </c>
      <c r="V807" s="22">
        <f t="shared" si="374"/>
        <v>0.18293817710324956</v>
      </c>
      <c r="W807" s="22">
        <f t="shared" si="374"/>
        <v>0.15256160464568963</v>
      </c>
      <c r="X807" s="22">
        <f t="shared" si="374"/>
        <v>0.12353904811387525</v>
      </c>
      <c r="Y807" s="22">
        <f t="shared" si="374"/>
        <v>6.5728700728968914E-2</v>
      </c>
      <c r="Z807" s="22">
        <f t="shared" si="374"/>
        <v>0.15753709208331163</v>
      </c>
      <c r="AA807" s="22">
        <f t="shared" si="374"/>
        <v>0.20868799284758063</v>
      </c>
      <c r="AB807" s="22">
        <f t="shared" si="374"/>
        <v>6.9562664282526887E-2</v>
      </c>
      <c r="AC807" s="22">
        <f t="shared" si="374"/>
        <v>0</v>
      </c>
      <c r="AD807" s="22">
        <f t="shared" si="374"/>
        <v>0</v>
      </c>
      <c r="AE807" s="22">
        <f t="shared" si="374"/>
        <v>0</v>
      </c>
      <c r="AF807" s="22">
        <f t="shared" si="374"/>
        <v>0</v>
      </c>
      <c r="AG807" s="22">
        <f t="shared" si="374"/>
        <v>0</v>
      </c>
      <c r="AH807" s="22">
        <f t="shared" si="374"/>
        <v>0</v>
      </c>
      <c r="AI807" s="22">
        <f t="shared" si="374"/>
        <v>0</v>
      </c>
      <c r="AJ807" s="22">
        <f t="shared" si="374"/>
        <v>0</v>
      </c>
      <c r="AK807" s="22">
        <f t="shared" si="374"/>
        <v>0</v>
      </c>
      <c r="AL807" s="22">
        <f t="shared" si="374"/>
        <v>0</v>
      </c>
      <c r="AM807" s="22">
        <f t="shared" si="374"/>
        <v>0</v>
      </c>
      <c r="AN807" s="22">
        <f t="shared" si="374"/>
        <v>0</v>
      </c>
    </row>
    <row r="808" spans="1:41" outlineLevel="1" x14ac:dyDescent="0.3"/>
    <row r="809" spans="1:41" outlineLevel="1" x14ac:dyDescent="0.3">
      <c r="C809" s="1" t="s">
        <v>330</v>
      </c>
      <c r="H809" s="26" t="s">
        <v>245</v>
      </c>
      <c r="I809" s="22">
        <f>SUM(L809:AN809)</f>
        <v>8.1907988614467389</v>
      </c>
      <c r="L809" s="22">
        <f>L805*L799*$I$801</f>
        <v>0</v>
      </c>
      <c r="M809" s="22">
        <f t="shared" ref="M809:AN809" si="375">M805*M799*$I$801</f>
        <v>0</v>
      </c>
      <c r="N809" s="22">
        <f t="shared" si="375"/>
        <v>1.8914636235459714</v>
      </c>
      <c r="O809" s="22">
        <f t="shared" si="375"/>
        <v>1.7379915139971744</v>
      </c>
      <c r="P809" s="22">
        <f t="shared" si="375"/>
        <v>1.3438190283615818</v>
      </c>
      <c r="Q809" s="22">
        <f t="shared" si="375"/>
        <v>0.94964654272598858</v>
      </c>
      <c r="R809" s="22">
        <f t="shared" si="375"/>
        <v>0.55547405709039566</v>
      </c>
      <c r="S809" s="22">
        <f t="shared" si="375"/>
        <v>0.32657388367341555</v>
      </c>
      <c r="T809" s="22">
        <f t="shared" si="375"/>
        <v>0.26770137200630439</v>
      </c>
      <c r="U809" s="22">
        <f t="shared" si="375"/>
        <v>0.21358420987044929</v>
      </c>
      <c r="V809" s="22">
        <f t="shared" si="375"/>
        <v>0.15946704773459419</v>
      </c>
      <c r="W809" s="22">
        <f t="shared" si="375"/>
        <v>0.13549169237757663</v>
      </c>
      <c r="X809" s="22">
        <f t="shared" si="375"/>
        <v>0.11287035294630464</v>
      </c>
      <c r="Y809" s="22">
        <f t="shared" si="375"/>
        <v>6.1461222661940658E-2</v>
      </c>
      <c r="Z809" s="22">
        <f t="shared" si="375"/>
        <v>0.15700365732493307</v>
      </c>
      <c r="AA809" s="22">
        <f t="shared" si="375"/>
        <v>0.20868799284758063</v>
      </c>
      <c r="AB809" s="22">
        <f t="shared" si="375"/>
        <v>6.9562664282526887E-2</v>
      </c>
      <c r="AC809" s="22">
        <f t="shared" si="375"/>
        <v>0</v>
      </c>
      <c r="AD809" s="22">
        <f t="shared" si="375"/>
        <v>0</v>
      </c>
      <c r="AE809" s="22">
        <f t="shared" si="375"/>
        <v>0</v>
      </c>
      <c r="AF809" s="22">
        <f t="shared" si="375"/>
        <v>0</v>
      </c>
      <c r="AG809" s="22">
        <f t="shared" si="375"/>
        <v>0</v>
      </c>
      <c r="AH809" s="22">
        <f t="shared" si="375"/>
        <v>0</v>
      </c>
      <c r="AI809" s="22">
        <f t="shared" si="375"/>
        <v>0</v>
      </c>
      <c r="AJ809" s="22">
        <f t="shared" si="375"/>
        <v>0</v>
      </c>
      <c r="AK809" s="22">
        <f t="shared" si="375"/>
        <v>0</v>
      </c>
      <c r="AL809" s="22">
        <f t="shared" si="375"/>
        <v>0</v>
      </c>
      <c r="AM809" s="22">
        <f t="shared" si="375"/>
        <v>0</v>
      </c>
      <c r="AN809" s="22">
        <f t="shared" si="375"/>
        <v>0</v>
      </c>
    </row>
    <row r="810" spans="1:41" outlineLevel="1" x14ac:dyDescent="0.3"/>
    <row r="811" spans="1:41" s="107" customFormat="1" outlineLevel="1" x14ac:dyDescent="0.3">
      <c r="A811" s="170"/>
      <c r="B811" s="170"/>
      <c r="C811" s="113" t="s">
        <v>331</v>
      </c>
      <c r="D811" s="98"/>
      <c r="E811" s="98"/>
      <c r="F811" s="98"/>
      <c r="G811" s="98"/>
      <c r="H811" s="98"/>
      <c r="I811" s="98"/>
      <c r="J811" s="98"/>
      <c r="K811" s="98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</row>
    <row r="812" spans="1:41" outlineLevel="1" x14ac:dyDescent="0.3"/>
    <row r="813" spans="1:41" outlineLevel="1" x14ac:dyDescent="0.3">
      <c r="C813" s="1" t="s">
        <v>233</v>
      </c>
      <c r="H813" s="26" t="s">
        <v>237</v>
      </c>
      <c r="L813" s="145">
        <f t="shared" ref="L813:AN813" si="376">L38</f>
        <v>2.5</v>
      </c>
      <c r="M813" s="145">
        <f t="shared" si="376"/>
        <v>2.5</v>
      </c>
      <c r="N813" s="145">
        <f t="shared" si="376"/>
        <v>2.5</v>
      </c>
      <c r="O813" s="145">
        <f t="shared" si="376"/>
        <v>2.5</v>
      </c>
      <c r="P813" s="145">
        <f t="shared" si="376"/>
        <v>2.5</v>
      </c>
      <c r="Q813" s="145">
        <f t="shared" si="376"/>
        <v>2.5</v>
      </c>
      <c r="R813" s="145">
        <f t="shared" si="376"/>
        <v>2.5</v>
      </c>
      <c r="S813" s="145">
        <f t="shared" si="376"/>
        <v>2.5</v>
      </c>
      <c r="T813" s="145">
        <f t="shared" si="376"/>
        <v>2.5</v>
      </c>
      <c r="U813" s="145">
        <f t="shared" si="376"/>
        <v>2.5</v>
      </c>
      <c r="V813" s="145">
        <f t="shared" si="376"/>
        <v>2.5</v>
      </c>
      <c r="W813" s="145">
        <f t="shared" si="376"/>
        <v>2.5</v>
      </c>
      <c r="X813" s="145">
        <f t="shared" si="376"/>
        <v>2.5</v>
      </c>
      <c r="Y813" s="145">
        <f t="shared" si="376"/>
        <v>2.5</v>
      </c>
      <c r="Z813" s="145">
        <f t="shared" si="376"/>
        <v>2.5</v>
      </c>
      <c r="AA813" s="145">
        <f t="shared" si="376"/>
        <v>2.5</v>
      </c>
      <c r="AB813" s="145">
        <f t="shared" si="376"/>
        <v>2.5</v>
      </c>
      <c r="AC813" s="145">
        <f t="shared" si="376"/>
        <v>2.5</v>
      </c>
      <c r="AD813" s="145">
        <f t="shared" si="376"/>
        <v>0</v>
      </c>
      <c r="AE813" s="145">
        <f t="shared" si="376"/>
        <v>0</v>
      </c>
      <c r="AF813" s="145">
        <f t="shared" si="376"/>
        <v>0</v>
      </c>
      <c r="AG813" s="145">
        <f t="shared" si="376"/>
        <v>0</v>
      </c>
      <c r="AH813" s="145">
        <f t="shared" si="376"/>
        <v>0</v>
      </c>
      <c r="AI813" s="145">
        <f t="shared" si="376"/>
        <v>0</v>
      </c>
      <c r="AJ813" s="145">
        <f t="shared" si="376"/>
        <v>0</v>
      </c>
      <c r="AK813" s="145">
        <f t="shared" si="376"/>
        <v>0</v>
      </c>
      <c r="AL813" s="145">
        <f t="shared" si="376"/>
        <v>0</v>
      </c>
      <c r="AM813" s="145">
        <f t="shared" si="376"/>
        <v>0</v>
      </c>
      <c r="AN813" s="145">
        <f t="shared" si="376"/>
        <v>0</v>
      </c>
    </row>
    <row r="814" spans="1:41" outlineLevel="1" x14ac:dyDescent="0.3"/>
    <row r="815" spans="1:41" outlineLevel="1" x14ac:dyDescent="0.3">
      <c r="C815" s="1" t="s">
        <v>238</v>
      </c>
      <c r="H815" s="26" t="s">
        <v>239</v>
      </c>
      <c r="I815" s="148">
        <f>Input!H102</f>
        <v>1500</v>
      </c>
    </row>
    <row r="816" spans="1:41" outlineLevel="1" x14ac:dyDescent="0.3">
      <c r="H816" s="26"/>
      <c r="I816" s="3"/>
    </row>
    <row r="817" spans="1:41" outlineLevel="1" x14ac:dyDescent="0.3">
      <c r="C817" s="1" t="s">
        <v>331</v>
      </c>
      <c r="H817" s="26" t="s">
        <v>245</v>
      </c>
      <c r="I817" s="22">
        <f>SUM(L817:AN817)</f>
        <v>6.0000000000000026E-2</v>
      </c>
      <c r="L817" s="147">
        <f>IF(L9&gt;=YEAR(Input!$H$12),($I$815*L813)/10^6,0)</f>
        <v>0</v>
      </c>
      <c r="M817" s="147">
        <f>IF(M9&gt;=YEAR(Input!$H$12),($I$815*M813)/10^6,0)</f>
        <v>0</v>
      </c>
      <c r="N817" s="147">
        <f>IF(N9&gt;=YEAR(Input!$H$12),($I$815*N813)/10^6,0)</f>
        <v>3.7499999999999999E-3</v>
      </c>
      <c r="O817" s="147">
        <f>IF(O9&gt;=YEAR(Input!$H$12),($I$815*O813)/10^6,0)</f>
        <v>3.7499999999999999E-3</v>
      </c>
      <c r="P817" s="147">
        <f>IF(P9&gt;=YEAR(Input!$H$12),($I$815*P813)/10^6,0)</f>
        <v>3.7499999999999999E-3</v>
      </c>
      <c r="Q817" s="147">
        <f>IF(Q9&gt;=YEAR(Input!$H$12),($I$815*Q813)/10^6,0)</f>
        <v>3.7499999999999999E-3</v>
      </c>
      <c r="R817" s="147">
        <f>IF(R9&gt;=YEAR(Input!$H$12),($I$815*R813)/10^6,0)</f>
        <v>3.7499999999999999E-3</v>
      </c>
      <c r="S817" s="147">
        <f>IF(S9&gt;=YEAR(Input!$H$12),($I$815*S813)/10^6,0)</f>
        <v>3.7499999999999999E-3</v>
      </c>
      <c r="T817" s="147">
        <f>IF(T9&gt;=YEAR(Input!$H$12),($I$815*T813)/10^6,0)</f>
        <v>3.7499999999999999E-3</v>
      </c>
      <c r="U817" s="147">
        <f>IF(U9&gt;=YEAR(Input!$H$12),($I$815*U813)/10^6,0)</f>
        <v>3.7499999999999999E-3</v>
      </c>
      <c r="V817" s="147">
        <f>IF(V9&gt;=YEAR(Input!$H$12),($I$815*V813)/10^6,0)</f>
        <v>3.7499999999999999E-3</v>
      </c>
      <c r="W817" s="147">
        <f>IF(W9&gt;=YEAR(Input!$H$12),($I$815*W813)/10^6,0)</f>
        <v>3.7499999999999999E-3</v>
      </c>
      <c r="X817" s="147">
        <f>IF(X9&gt;=YEAR(Input!$H$12),($I$815*X813)/10^6,0)</f>
        <v>3.7499999999999999E-3</v>
      </c>
      <c r="Y817" s="147">
        <f>IF(Y9&gt;=YEAR(Input!$H$12),($I$815*Y813)/10^6,0)</f>
        <v>3.7499999999999999E-3</v>
      </c>
      <c r="Z817" s="147">
        <f>IF(Z9&gt;=YEAR(Input!$H$12),($I$815*Z813)/10^6,0)</f>
        <v>3.7499999999999999E-3</v>
      </c>
      <c r="AA817" s="147">
        <f>IF(AA9&gt;=YEAR(Input!$H$12),($I$815*AA813)/10^6,0)</f>
        <v>3.7499999999999999E-3</v>
      </c>
      <c r="AB817" s="147">
        <f>IF(AB9&gt;=YEAR(Input!$H$12),($I$815*AB813)/10^6,0)</f>
        <v>3.7499999999999999E-3</v>
      </c>
      <c r="AC817" s="147">
        <f>IF(AC9&gt;=YEAR(Input!$H$12),($I$815*AC813)/10^6,0)</f>
        <v>3.7499999999999999E-3</v>
      </c>
      <c r="AD817" s="147">
        <f>IF(AD9&gt;=YEAR(Input!$H$12),($I$815*AD813)/10^6,0)</f>
        <v>0</v>
      </c>
      <c r="AE817" s="147">
        <f>IF(AE9&gt;=YEAR(Input!$H$12),($I$815*AE813)/10^6,0)</f>
        <v>0</v>
      </c>
      <c r="AF817" s="147">
        <f>IF(AF9&gt;=YEAR(Input!$H$12),($I$815*AF813)/10^6,0)</f>
        <v>0</v>
      </c>
      <c r="AG817" s="147">
        <f>IF(AG9&gt;=YEAR(Input!$H$12),($I$815*AG813)/10^6,0)</f>
        <v>0</v>
      </c>
      <c r="AH817" s="147">
        <f>IF(AH9&gt;=YEAR(Input!$H$12),($I$815*AH813)/10^6,0)</f>
        <v>0</v>
      </c>
      <c r="AI817" s="147">
        <f>IF(AI9&gt;=YEAR(Input!$H$12),($I$815*AI813)/10^6,0)</f>
        <v>0</v>
      </c>
      <c r="AJ817" s="147">
        <f>IF(AJ9&gt;=YEAR(Input!$H$12),($I$815*AJ813)/10^6,0)</f>
        <v>0</v>
      </c>
      <c r="AK817" s="147">
        <f>IF(AK9&gt;=YEAR(Input!$H$12),($I$815*AK813)/10^6,0)</f>
        <v>0</v>
      </c>
      <c r="AL817" s="147">
        <f>IF(AL9&gt;=YEAR(Input!$H$12),($I$815*AL813)/10^6,0)</f>
        <v>0</v>
      </c>
      <c r="AM817" s="147">
        <f>IF(AM9&gt;=YEAR(Input!$H$12),($I$815*AM813)/10^6,0)</f>
        <v>0</v>
      </c>
      <c r="AN817" s="147">
        <f>IF(AN9&gt;=YEAR(Input!$H$12),($I$815*AN813)/10^6,0)</f>
        <v>0</v>
      </c>
    </row>
    <row r="818" spans="1:41" outlineLevel="1" x14ac:dyDescent="0.3">
      <c r="H818" s="26"/>
      <c r="I818" s="3"/>
      <c r="K818" s="35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  <c r="AB818" s="150"/>
      <c r="AC818" s="150"/>
      <c r="AD818" s="150"/>
      <c r="AE818" s="150"/>
      <c r="AF818" s="150"/>
      <c r="AG818" s="150"/>
      <c r="AH818" s="150"/>
      <c r="AI818" s="150"/>
      <c r="AJ818" s="150"/>
      <c r="AK818" s="150"/>
      <c r="AL818" s="150"/>
      <c r="AM818" s="150"/>
      <c r="AN818" s="150"/>
    </row>
    <row r="819" spans="1:41" s="107" customFormat="1" outlineLevel="1" x14ac:dyDescent="0.3">
      <c r="A819" s="170"/>
      <c r="B819" s="170"/>
      <c r="C819" s="113" t="s">
        <v>326</v>
      </c>
      <c r="D819" s="98"/>
      <c r="E819" s="98"/>
      <c r="F819" s="98"/>
      <c r="G819" s="98"/>
      <c r="H819" s="98"/>
      <c r="I819" s="98"/>
      <c r="J819" s="98"/>
      <c r="K819" s="98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</row>
    <row r="820" spans="1:41" outlineLevel="1" x14ac:dyDescent="0.3"/>
    <row r="821" spans="1:41" outlineLevel="1" x14ac:dyDescent="0.3">
      <c r="C821" s="1" t="s">
        <v>232</v>
      </c>
      <c r="H821" s="26" t="s">
        <v>9</v>
      </c>
      <c r="L821" s="146">
        <f t="shared" ref="L821:AN821" si="377">L37</f>
        <v>1.4999999999999999E-2</v>
      </c>
      <c r="M821" s="146">
        <f t="shared" si="377"/>
        <v>1.4999999999999999E-2</v>
      </c>
      <c r="N821" s="146">
        <f t="shared" si="377"/>
        <v>1.4999999999999999E-2</v>
      </c>
      <c r="O821" s="146">
        <f t="shared" si="377"/>
        <v>1.4999999999999999E-2</v>
      </c>
      <c r="P821" s="146">
        <f t="shared" si="377"/>
        <v>1.4999999999999999E-2</v>
      </c>
      <c r="Q821" s="146">
        <f t="shared" si="377"/>
        <v>1.4999999999999999E-2</v>
      </c>
      <c r="R821" s="146">
        <f t="shared" si="377"/>
        <v>1.4999999999999999E-2</v>
      </c>
      <c r="S821" s="146">
        <f t="shared" si="377"/>
        <v>1.4999999999999999E-2</v>
      </c>
      <c r="T821" s="146">
        <f t="shared" si="377"/>
        <v>1.4999999999999999E-2</v>
      </c>
      <c r="U821" s="146">
        <f t="shared" si="377"/>
        <v>1.4999999999999999E-2</v>
      </c>
      <c r="V821" s="146">
        <f t="shared" si="377"/>
        <v>1.4999999999999999E-2</v>
      </c>
      <c r="W821" s="146">
        <f t="shared" si="377"/>
        <v>1.4999999999999999E-2</v>
      </c>
      <c r="X821" s="146">
        <f t="shared" si="377"/>
        <v>1.4999999999999999E-2</v>
      </c>
      <c r="Y821" s="146">
        <f t="shared" si="377"/>
        <v>1.4999999999999999E-2</v>
      </c>
      <c r="Z821" s="146">
        <f t="shared" si="377"/>
        <v>1.4999999999999999E-2</v>
      </c>
      <c r="AA821" s="146">
        <f t="shared" si="377"/>
        <v>1.4999999999999999E-2</v>
      </c>
      <c r="AB821" s="146">
        <f t="shared" si="377"/>
        <v>1.4999999999999999E-2</v>
      </c>
      <c r="AC821" s="146">
        <f t="shared" si="377"/>
        <v>1.4999999999999999E-2</v>
      </c>
      <c r="AD821" s="146">
        <f t="shared" si="377"/>
        <v>0</v>
      </c>
      <c r="AE821" s="146">
        <f t="shared" si="377"/>
        <v>0</v>
      </c>
      <c r="AF821" s="146">
        <f t="shared" si="377"/>
        <v>0</v>
      </c>
      <c r="AG821" s="146">
        <f t="shared" si="377"/>
        <v>0</v>
      </c>
      <c r="AH821" s="146">
        <f t="shared" si="377"/>
        <v>0</v>
      </c>
      <c r="AI821" s="146">
        <f t="shared" si="377"/>
        <v>0</v>
      </c>
      <c r="AJ821" s="146">
        <f t="shared" si="377"/>
        <v>0</v>
      </c>
      <c r="AK821" s="146">
        <f t="shared" si="377"/>
        <v>0</v>
      </c>
      <c r="AL821" s="146">
        <f t="shared" si="377"/>
        <v>0</v>
      </c>
      <c r="AM821" s="146">
        <f t="shared" si="377"/>
        <v>0</v>
      </c>
      <c r="AN821" s="146">
        <f t="shared" si="377"/>
        <v>0</v>
      </c>
    </row>
    <row r="822" spans="1:41" outlineLevel="1" x14ac:dyDescent="0.3"/>
    <row r="823" spans="1:41" outlineLevel="1" x14ac:dyDescent="0.3">
      <c r="B823" s="18" t="str">
        <f>Input!A104</f>
        <v>CPI, (RUB)</v>
      </c>
      <c r="C823" s="1" t="s">
        <v>332</v>
      </c>
      <c r="H823" s="26" t="s">
        <v>245</v>
      </c>
      <c r="I823" s="21">
        <f>Input!H104</f>
        <v>0</v>
      </c>
      <c r="L823" s="22">
        <f t="shared" ref="L823:AN823" si="378">INDEX(L$58:L$62,MATCH($B$823,$C$58:$C$62,0))*$I$823</f>
        <v>0</v>
      </c>
      <c r="M823" s="22">
        <f t="shared" si="378"/>
        <v>0</v>
      </c>
      <c r="N823" s="22">
        <f t="shared" si="378"/>
        <v>0</v>
      </c>
      <c r="O823" s="22">
        <f t="shared" si="378"/>
        <v>0</v>
      </c>
      <c r="P823" s="22">
        <f t="shared" si="378"/>
        <v>0</v>
      </c>
      <c r="Q823" s="22">
        <f t="shared" si="378"/>
        <v>0</v>
      </c>
      <c r="R823" s="22">
        <f t="shared" si="378"/>
        <v>0</v>
      </c>
      <c r="S823" s="22">
        <f t="shared" si="378"/>
        <v>0</v>
      </c>
      <c r="T823" s="22">
        <f t="shared" si="378"/>
        <v>0</v>
      </c>
      <c r="U823" s="22">
        <f t="shared" si="378"/>
        <v>0</v>
      </c>
      <c r="V823" s="22">
        <f t="shared" si="378"/>
        <v>0</v>
      </c>
      <c r="W823" s="22">
        <f t="shared" si="378"/>
        <v>0</v>
      </c>
      <c r="X823" s="22">
        <f t="shared" si="378"/>
        <v>0</v>
      </c>
      <c r="Y823" s="22">
        <f t="shared" si="378"/>
        <v>0</v>
      </c>
      <c r="Z823" s="22">
        <f t="shared" si="378"/>
        <v>0</v>
      </c>
      <c r="AA823" s="22">
        <f t="shared" si="378"/>
        <v>0</v>
      </c>
      <c r="AB823" s="22">
        <f t="shared" si="378"/>
        <v>0</v>
      </c>
      <c r="AC823" s="22">
        <f t="shared" si="378"/>
        <v>0</v>
      </c>
      <c r="AD823" s="22">
        <f t="shared" si="378"/>
        <v>0</v>
      </c>
      <c r="AE823" s="22">
        <f t="shared" si="378"/>
        <v>0</v>
      </c>
      <c r="AF823" s="22">
        <f t="shared" si="378"/>
        <v>0</v>
      </c>
      <c r="AG823" s="22">
        <f t="shared" si="378"/>
        <v>0</v>
      </c>
      <c r="AH823" s="22">
        <f t="shared" si="378"/>
        <v>0</v>
      </c>
      <c r="AI823" s="22">
        <f t="shared" si="378"/>
        <v>0</v>
      </c>
      <c r="AJ823" s="22">
        <f t="shared" si="378"/>
        <v>0</v>
      </c>
      <c r="AK823" s="22">
        <f t="shared" si="378"/>
        <v>0</v>
      </c>
      <c r="AL823" s="22">
        <f t="shared" si="378"/>
        <v>0</v>
      </c>
      <c r="AM823" s="22">
        <f t="shared" si="378"/>
        <v>0</v>
      </c>
      <c r="AN823" s="22">
        <f t="shared" si="378"/>
        <v>0</v>
      </c>
    </row>
    <row r="824" spans="1:41" outlineLevel="1" x14ac:dyDescent="0.3"/>
    <row r="825" spans="1:41" outlineLevel="1" x14ac:dyDescent="0.3">
      <c r="C825" s="1" t="s">
        <v>326</v>
      </c>
      <c r="H825" s="26" t="s">
        <v>245</v>
      </c>
      <c r="I825" s="22">
        <f>SUM(L825:AN825)</f>
        <v>0</v>
      </c>
      <c r="L825" s="22">
        <f>IF(L9&gt;=YEAR(Input!$H$12),Расчеты!L821*Расчеты!L823,0)</f>
        <v>0</v>
      </c>
      <c r="M825" s="22">
        <f>IF(M9&gt;=YEAR(Input!$H$12),Расчеты!M821*Расчеты!M823,0)</f>
        <v>0</v>
      </c>
      <c r="N825" s="22">
        <f>IF(N9&gt;=YEAR(Input!$H$12),Расчеты!N821*Расчеты!N823,0)</f>
        <v>0</v>
      </c>
      <c r="O825" s="22">
        <f>IF(O9&gt;=YEAR(Input!$H$12),Расчеты!O821*Расчеты!O823,0)</f>
        <v>0</v>
      </c>
      <c r="P825" s="22">
        <f>IF(P9&gt;=YEAR(Input!$H$12),Расчеты!P821*Расчеты!P823,0)</f>
        <v>0</v>
      </c>
      <c r="Q825" s="22">
        <f>IF(Q9&gt;=YEAR(Input!$H$12),Расчеты!Q821*Расчеты!Q823,0)</f>
        <v>0</v>
      </c>
      <c r="R825" s="22">
        <f>IF(R9&gt;=YEAR(Input!$H$12),Расчеты!R821*Расчеты!R823,0)</f>
        <v>0</v>
      </c>
      <c r="S825" s="22">
        <f>IF(S9&gt;=YEAR(Input!$H$12),Расчеты!S821*Расчеты!S823,0)</f>
        <v>0</v>
      </c>
      <c r="T825" s="22">
        <f>IF(T9&gt;=YEAR(Input!$H$12),Расчеты!T821*Расчеты!T823,0)</f>
        <v>0</v>
      </c>
      <c r="U825" s="22">
        <f>IF(U9&gt;=YEAR(Input!$H$12),Расчеты!U821*Расчеты!U823,0)</f>
        <v>0</v>
      </c>
      <c r="V825" s="22">
        <f>IF(V9&gt;=YEAR(Input!$H$12),Расчеты!V821*Расчеты!V823,0)</f>
        <v>0</v>
      </c>
      <c r="W825" s="22">
        <f>IF(W9&gt;=YEAR(Input!$H$12),Расчеты!W821*Расчеты!W823,0)</f>
        <v>0</v>
      </c>
      <c r="X825" s="22">
        <f>IF(X9&gt;=YEAR(Input!$H$12),Расчеты!X821*Расчеты!X823,0)</f>
        <v>0</v>
      </c>
      <c r="Y825" s="22">
        <f>IF(Y9&gt;=YEAR(Input!$H$12),Расчеты!Y821*Расчеты!Y823,0)</f>
        <v>0</v>
      </c>
      <c r="Z825" s="22">
        <f>IF(Z9&gt;=YEAR(Input!$H$12),Расчеты!Z821*Расчеты!Z823,0)</f>
        <v>0</v>
      </c>
      <c r="AA825" s="22">
        <f>IF(AA9&gt;=YEAR(Input!$H$12),Расчеты!AA821*Расчеты!AA823,0)</f>
        <v>0</v>
      </c>
      <c r="AB825" s="22">
        <f>IF(AB9&gt;=YEAR(Input!$H$12),Расчеты!AB821*Расчеты!AB823,0)</f>
        <v>0</v>
      </c>
      <c r="AC825" s="22">
        <f>IF(AC9&gt;=YEAR(Input!$H$12),Расчеты!AC821*Расчеты!AC823,0)</f>
        <v>0</v>
      </c>
      <c r="AD825" s="22">
        <f>IF(AD9&gt;=YEAR(Input!$H$12),Расчеты!AD821*Расчеты!AD823,0)</f>
        <v>0</v>
      </c>
      <c r="AE825" s="22">
        <f>IF(AE9&gt;=YEAR(Input!$H$12),Расчеты!AE821*Расчеты!AE823,0)</f>
        <v>0</v>
      </c>
      <c r="AF825" s="22">
        <f>IF(AF9&gt;=YEAR(Input!$H$12),Расчеты!AF821*Расчеты!AF823,0)</f>
        <v>0</v>
      </c>
      <c r="AG825" s="22">
        <f>IF(AG9&gt;=YEAR(Input!$H$12),Расчеты!AG821*Расчеты!AG823,0)</f>
        <v>0</v>
      </c>
      <c r="AH825" s="22">
        <f>IF(AH9&gt;=YEAR(Input!$H$12),Расчеты!AH821*Расчеты!AH823,0)</f>
        <v>0</v>
      </c>
      <c r="AI825" s="22">
        <f>IF(AI9&gt;=YEAR(Input!$H$12),Расчеты!AI821*Расчеты!AI823,0)</f>
        <v>0</v>
      </c>
      <c r="AJ825" s="22">
        <f>IF(AJ9&gt;=YEAR(Input!$H$12),Расчеты!AJ821*Расчеты!AJ823,0)</f>
        <v>0</v>
      </c>
      <c r="AK825" s="22">
        <f>IF(AK9&gt;=YEAR(Input!$H$12),Расчеты!AK821*Расчеты!AK823,0)</f>
        <v>0</v>
      </c>
      <c r="AL825" s="22">
        <f>IF(AL9&gt;=YEAR(Input!$H$12),Расчеты!AL821*Расчеты!AL823,0)</f>
        <v>0</v>
      </c>
      <c r="AM825" s="22">
        <f>IF(AM9&gt;=YEAR(Input!$H$12),Расчеты!AM821*Расчеты!AM823,0)</f>
        <v>0</v>
      </c>
      <c r="AN825" s="22">
        <f>IF(AN9&gt;=YEAR(Input!$H$12),Расчеты!AN821*Расчеты!AN823,0)</f>
        <v>0</v>
      </c>
    </row>
    <row r="826" spans="1:41" outlineLevel="1" x14ac:dyDescent="0.3"/>
    <row r="827" spans="1:41" s="107" customFormat="1" outlineLevel="1" x14ac:dyDescent="0.3">
      <c r="A827" s="170"/>
      <c r="B827" s="170"/>
      <c r="C827" s="113" t="s">
        <v>12</v>
      </c>
      <c r="D827" s="98"/>
      <c r="E827" s="98"/>
      <c r="F827" s="98"/>
      <c r="G827" s="98"/>
      <c r="H827" s="98"/>
      <c r="I827" s="98"/>
      <c r="J827" s="98"/>
      <c r="K827" s="98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</row>
    <row r="828" spans="1:41" outlineLevel="1" x14ac:dyDescent="0.3"/>
    <row r="829" spans="1:41" outlineLevel="1" x14ac:dyDescent="0.3">
      <c r="C829" s="1" t="s">
        <v>123</v>
      </c>
      <c r="H829" s="26" t="s">
        <v>9</v>
      </c>
      <c r="L829" s="37">
        <f t="shared" ref="L829:AN829" si="379">L33</f>
        <v>0.5</v>
      </c>
      <c r="M829" s="37">
        <f t="shared" si="379"/>
        <v>0.5</v>
      </c>
      <c r="N829" s="37">
        <f t="shared" si="379"/>
        <v>0.5</v>
      </c>
      <c r="O829" s="37">
        <f t="shared" si="379"/>
        <v>0.5</v>
      </c>
      <c r="P829" s="37">
        <f t="shared" si="379"/>
        <v>0.5</v>
      </c>
      <c r="Q829" s="37">
        <f t="shared" si="379"/>
        <v>0.5</v>
      </c>
      <c r="R829" s="37">
        <f t="shared" si="379"/>
        <v>0.5</v>
      </c>
      <c r="S829" s="37">
        <f t="shared" si="379"/>
        <v>0.5</v>
      </c>
      <c r="T829" s="37">
        <f t="shared" si="379"/>
        <v>0.5</v>
      </c>
      <c r="U829" s="37">
        <f t="shared" si="379"/>
        <v>0.5</v>
      </c>
      <c r="V829" s="37">
        <f t="shared" si="379"/>
        <v>0.5</v>
      </c>
      <c r="W829" s="37">
        <f t="shared" si="379"/>
        <v>0.5</v>
      </c>
      <c r="X829" s="37">
        <f t="shared" si="379"/>
        <v>0.5</v>
      </c>
      <c r="Y829" s="37">
        <f t="shared" si="379"/>
        <v>0.5</v>
      </c>
      <c r="Z829" s="37">
        <f t="shared" si="379"/>
        <v>0.5</v>
      </c>
      <c r="AA829" s="37">
        <f t="shared" si="379"/>
        <v>0.5</v>
      </c>
      <c r="AB829" s="37">
        <f t="shared" si="379"/>
        <v>0.5</v>
      </c>
      <c r="AC829" s="37">
        <f t="shared" si="379"/>
        <v>0.5</v>
      </c>
      <c r="AD829" s="37">
        <f t="shared" si="379"/>
        <v>0</v>
      </c>
      <c r="AE829" s="37">
        <f t="shared" si="379"/>
        <v>0</v>
      </c>
      <c r="AF829" s="37">
        <f t="shared" si="379"/>
        <v>0</v>
      </c>
      <c r="AG829" s="37">
        <f t="shared" si="379"/>
        <v>0</v>
      </c>
      <c r="AH829" s="37">
        <f t="shared" si="379"/>
        <v>0</v>
      </c>
      <c r="AI829" s="37">
        <f t="shared" si="379"/>
        <v>0</v>
      </c>
      <c r="AJ829" s="37">
        <f t="shared" si="379"/>
        <v>0</v>
      </c>
      <c r="AK829" s="37">
        <f t="shared" si="379"/>
        <v>0</v>
      </c>
      <c r="AL829" s="37">
        <f t="shared" si="379"/>
        <v>0</v>
      </c>
      <c r="AM829" s="37">
        <f t="shared" si="379"/>
        <v>0</v>
      </c>
      <c r="AN829" s="37">
        <f t="shared" si="379"/>
        <v>0</v>
      </c>
    </row>
    <row r="830" spans="1:41" outlineLevel="1" x14ac:dyDescent="0.3">
      <c r="H830" s="26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  <c r="AC830" s="149"/>
      <c r="AD830" s="149"/>
      <c r="AE830" s="149"/>
      <c r="AF830" s="149"/>
      <c r="AG830" s="149"/>
      <c r="AH830" s="149"/>
      <c r="AI830" s="149"/>
      <c r="AJ830" s="149"/>
      <c r="AK830" s="149"/>
      <c r="AL830" s="149"/>
      <c r="AM830" s="149"/>
      <c r="AN830" s="149"/>
    </row>
    <row r="831" spans="1:41" outlineLevel="1" x14ac:dyDescent="0.3">
      <c r="C831" s="1" t="s">
        <v>124</v>
      </c>
      <c r="H831" s="26" t="s">
        <v>9</v>
      </c>
      <c r="L831" s="37">
        <f t="shared" ref="L831:AN831" si="380">L35</f>
        <v>0.2</v>
      </c>
      <c r="M831" s="37">
        <f t="shared" si="380"/>
        <v>0.25</v>
      </c>
      <c r="N831" s="37">
        <f t="shared" si="380"/>
        <v>0.25</v>
      </c>
      <c r="O831" s="37">
        <f t="shared" si="380"/>
        <v>0.25</v>
      </c>
      <c r="P831" s="37">
        <f t="shared" si="380"/>
        <v>0.25</v>
      </c>
      <c r="Q831" s="37">
        <f t="shared" si="380"/>
        <v>0.25</v>
      </c>
      <c r="R831" s="37">
        <f t="shared" si="380"/>
        <v>0.25</v>
      </c>
      <c r="S831" s="37">
        <f t="shared" si="380"/>
        <v>0.25</v>
      </c>
      <c r="T831" s="37">
        <f t="shared" si="380"/>
        <v>0.25</v>
      </c>
      <c r="U831" s="37">
        <f t="shared" si="380"/>
        <v>0.25</v>
      </c>
      <c r="V831" s="37">
        <f t="shared" si="380"/>
        <v>0.25</v>
      </c>
      <c r="W831" s="37">
        <f t="shared" si="380"/>
        <v>0.25</v>
      </c>
      <c r="X831" s="37">
        <f t="shared" si="380"/>
        <v>0.25</v>
      </c>
      <c r="Y831" s="37">
        <f t="shared" si="380"/>
        <v>0.25</v>
      </c>
      <c r="Z831" s="37">
        <f t="shared" si="380"/>
        <v>0.25</v>
      </c>
      <c r="AA831" s="37">
        <f t="shared" si="380"/>
        <v>0.25</v>
      </c>
      <c r="AB831" s="37">
        <f t="shared" si="380"/>
        <v>0.25</v>
      </c>
      <c r="AC831" s="37">
        <f t="shared" si="380"/>
        <v>0.25</v>
      </c>
      <c r="AD831" s="37">
        <f t="shared" si="380"/>
        <v>0</v>
      </c>
      <c r="AE831" s="37">
        <f t="shared" si="380"/>
        <v>0</v>
      </c>
      <c r="AF831" s="37">
        <f t="shared" si="380"/>
        <v>0</v>
      </c>
      <c r="AG831" s="37">
        <f t="shared" si="380"/>
        <v>0</v>
      </c>
      <c r="AH831" s="37">
        <f t="shared" si="380"/>
        <v>0</v>
      </c>
      <c r="AI831" s="37">
        <f t="shared" si="380"/>
        <v>0</v>
      </c>
      <c r="AJ831" s="37">
        <f t="shared" si="380"/>
        <v>0</v>
      </c>
      <c r="AK831" s="37">
        <f t="shared" si="380"/>
        <v>0</v>
      </c>
      <c r="AL831" s="37">
        <f t="shared" si="380"/>
        <v>0</v>
      </c>
      <c r="AM831" s="37">
        <f t="shared" si="380"/>
        <v>0</v>
      </c>
      <c r="AN831" s="37">
        <f t="shared" si="380"/>
        <v>0</v>
      </c>
    </row>
    <row r="832" spans="1:41" outlineLevel="1" x14ac:dyDescent="0.3"/>
    <row r="833" spans="3:40" outlineLevel="1" x14ac:dyDescent="0.3">
      <c r="C833" s="2" t="s">
        <v>336</v>
      </c>
      <c r="I833" s="18" t="s">
        <v>348</v>
      </c>
    </row>
    <row r="834" spans="3:40" outlineLevel="1" x14ac:dyDescent="0.3">
      <c r="C834" s="2"/>
      <c r="I834" s="18"/>
    </row>
    <row r="835" spans="3:40" outlineLevel="1" x14ac:dyDescent="0.3">
      <c r="C835" s="2"/>
      <c r="D835" s="1" t="s">
        <v>339</v>
      </c>
      <c r="H835" s="26" t="s">
        <v>245</v>
      </c>
      <c r="I835" s="34">
        <f>SUM(L835:AN835)</f>
        <v>1599.6471876589869</v>
      </c>
      <c r="L835" s="33">
        <f>PL_BS_CF!L32</f>
        <v>0</v>
      </c>
      <c r="M835" s="33">
        <f>PL_BS_CF!M32</f>
        <v>0</v>
      </c>
      <c r="N835" s="33">
        <f>PL_BS_CF!N32</f>
        <v>-20.028995064769042</v>
      </c>
      <c r="O835" s="33">
        <f>PL_BS_CF!O32</f>
        <v>-20.250708280845139</v>
      </c>
      <c r="P835" s="33">
        <f>PL_BS_CF!P32</f>
        <v>-11.500898722990772</v>
      </c>
      <c r="Q835" s="33">
        <f>PL_BS_CF!Q32</f>
        <v>-2.5194321266515765</v>
      </c>
      <c r="R835" s="33">
        <f>PL_BS_CF!R32</f>
        <v>-5.4398812019576805</v>
      </c>
      <c r="S835" s="33">
        <f>PL_BS_CF!S32</f>
        <v>41.775047545751107</v>
      </c>
      <c r="T835" s="33">
        <f>PL_BS_CF!T32</f>
        <v>50.463188227408267</v>
      </c>
      <c r="U835" s="33">
        <f>PL_BS_CF!U32</f>
        <v>57.730581104049449</v>
      </c>
      <c r="V835" s="33">
        <f>PL_BS_CF!V32</f>
        <v>122.59618254092051</v>
      </c>
      <c r="W835" s="33">
        <f>PL_BS_CF!W32</f>
        <v>184.79540069887497</v>
      </c>
      <c r="X835" s="33">
        <f>PL_BS_CF!X32</f>
        <v>216.85846849148624</v>
      </c>
      <c r="Y835" s="33">
        <f>PL_BS_CF!Y32</f>
        <v>225.37499755166394</v>
      </c>
      <c r="Z835" s="33">
        <f>PL_BS_CF!Z32</f>
        <v>236.92494118144563</v>
      </c>
      <c r="AA835" s="33">
        <f>PL_BS_CF!AA32</f>
        <v>232.45907773164672</v>
      </c>
      <c r="AB835" s="33">
        <f>PL_BS_CF!AB32</f>
        <v>243.71851789946186</v>
      </c>
      <c r="AC835" s="33">
        <f>PL_BS_CF!AC32</f>
        <v>46.690700083492708</v>
      </c>
      <c r="AD835" s="33">
        <f>PL_BS_CF!AD32</f>
        <v>0</v>
      </c>
      <c r="AE835" s="33">
        <f>PL_BS_CF!AE32</f>
        <v>0</v>
      </c>
      <c r="AF835" s="33">
        <f>PL_BS_CF!AF32</f>
        <v>0</v>
      </c>
      <c r="AG835" s="33">
        <f>PL_BS_CF!AG32</f>
        <v>0</v>
      </c>
      <c r="AH835" s="33">
        <f>PL_BS_CF!AH32</f>
        <v>0</v>
      </c>
      <c r="AI835" s="33">
        <f>PL_BS_CF!AI32</f>
        <v>0</v>
      </c>
      <c r="AJ835" s="33">
        <f>PL_BS_CF!AJ32</f>
        <v>0</v>
      </c>
      <c r="AK835" s="33">
        <f>PL_BS_CF!AK32</f>
        <v>0</v>
      </c>
      <c r="AL835" s="33">
        <f>PL_BS_CF!AL32</f>
        <v>0</v>
      </c>
      <c r="AM835" s="33">
        <f>PL_BS_CF!AM32</f>
        <v>0</v>
      </c>
      <c r="AN835" s="33">
        <f>PL_BS_CF!AN32</f>
        <v>0</v>
      </c>
    </row>
    <row r="836" spans="3:40" outlineLevel="1" x14ac:dyDescent="0.3">
      <c r="C836" s="2"/>
      <c r="D836" s="1" t="s">
        <v>18</v>
      </c>
      <c r="H836" s="26" t="s">
        <v>245</v>
      </c>
      <c r="I836" s="22">
        <f>SUM(L836:AN836)</f>
        <v>59.739915397214212</v>
      </c>
      <c r="L836" s="22">
        <f>IF(L835&lt;0,-L835,0)</f>
        <v>0</v>
      </c>
      <c r="M836" s="22">
        <f t="shared" ref="M836:AN836" si="381">IF(M835&lt;0,-M835,0)</f>
        <v>0</v>
      </c>
      <c r="N836" s="22">
        <f t="shared" si="381"/>
        <v>20.028995064769042</v>
      </c>
      <c r="O836" s="22">
        <f t="shared" si="381"/>
        <v>20.250708280845139</v>
      </c>
      <c r="P836" s="22">
        <f t="shared" si="381"/>
        <v>11.500898722990772</v>
      </c>
      <c r="Q836" s="22">
        <f t="shared" si="381"/>
        <v>2.5194321266515765</v>
      </c>
      <c r="R836" s="22">
        <f t="shared" si="381"/>
        <v>5.4398812019576805</v>
      </c>
      <c r="S836" s="22">
        <f t="shared" si="381"/>
        <v>0</v>
      </c>
      <c r="T836" s="22">
        <f t="shared" si="381"/>
        <v>0</v>
      </c>
      <c r="U836" s="22">
        <f t="shared" si="381"/>
        <v>0</v>
      </c>
      <c r="V836" s="22">
        <f t="shared" si="381"/>
        <v>0</v>
      </c>
      <c r="W836" s="22">
        <f t="shared" si="381"/>
        <v>0</v>
      </c>
      <c r="X836" s="22">
        <f t="shared" si="381"/>
        <v>0</v>
      </c>
      <c r="Y836" s="22">
        <f t="shared" si="381"/>
        <v>0</v>
      </c>
      <c r="Z836" s="22">
        <f t="shared" si="381"/>
        <v>0</v>
      </c>
      <c r="AA836" s="22">
        <f t="shared" si="381"/>
        <v>0</v>
      </c>
      <c r="AB836" s="22">
        <f t="shared" si="381"/>
        <v>0</v>
      </c>
      <c r="AC836" s="22">
        <f t="shared" si="381"/>
        <v>0</v>
      </c>
      <c r="AD836" s="22">
        <f t="shared" si="381"/>
        <v>0</v>
      </c>
      <c r="AE836" s="22">
        <f t="shared" si="381"/>
        <v>0</v>
      </c>
      <c r="AF836" s="22">
        <f t="shared" si="381"/>
        <v>0</v>
      </c>
      <c r="AG836" s="22">
        <f t="shared" si="381"/>
        <v>0</v>
      </c>
      <c r="AH836" s="22">
        <f t="shared" si="381"/>
        <v>0</v>
      </c>
      <c r="AI836" s="22">
        <f t="shared" si="381"/>
        <v>0</v>
      </c>
      <c r="AJ836" s="22">
        <f t="shared" si="381"/>
        <v>0</v>
      </c>
      <c r="AK836" s="22">
        <f t="shared" si="381"/>
        <v>0</v>
      </c>
      <c r="AL836" s="22">
        <f t="shared" si="381"/>
        <v>0</v>
      </c>
      <c r="AM836" s="22">
        <f t="shared" si="381"/>
        <v>0</v>
      </c>
      <c r="AN836" s="22">
        <f t="shared" si="381"/>
        <v>0</v>
      </c>
    </row>
    <row r="837" spans="3:40" outlineLevel="1" x14ac:dyDescent="0.3">
      <c r="C837" s="2"/>
      <c r="D837" s="1" t="s">
        <v>19</v>
      </c>
      <c r="H837" s="26" t="s">
        <v>245</v>
      </c>
      <c r="I837" s="22">
        <f>SUM(L837:AN837)</f>
        <v>0</v>
      </c>
      <c r="L837" s="22">
        <f>IF(L835&gt;0,MIN(L835*L829,L839),0)</f>
        <v>0</v>
      </c>
      <c r="M837" s="22">
        <f t="shared" ref="M837:AN837" si="382">IF(M835&gt;0,MIN(M835*M829,M839),0)</f>
        <v>0</v>
      </c>
      <c r="N837" s="22">
        <f t="shared" si="382"/>
        <v>0</v>
      </c>
      <c r="O837" s="22">
        <f t="shared" si="382"/>
        <v>0</v>
      </c>
      <c r="P837" s="22">
        <f t="shared" si="382"/>
        <v>0</v>
      </c>
      <c r="Q837" s="22">
        <f t="shared" si="382"/>
        <v>0</v>
      </c>
      <c r="R837" s="22">
        <f t="shared" si="382"/>
        <v>0</v>
      </c>
      <c r="S837" s="22">
        <f t="shared" si="382"/>
        <v>0</v>
      </c>
      <c r="T837" s="22">
        <f t="shared" si="382"/>
        <v>0</v>
      </c>
      <c r="U837" s="22">
        <f t="shared" si="382"/>
        <v>0</v>
      </c>
      <c r="V837" s="22">
        <f t="shared" si="382"/>
        <v>0</v>
      </c>
      <c r="W837" s="22">
        <f t="shared" si="382"/>
        <v>0</v>
      </c>
      <c r="X837" s="22">
        <f t="shared" si="382"/>
        <v>0</v>
      </c>
      <c r="Y837" s="22">
        <f t="shared" si="382"/>
        <v>0</v>
      </c>
      <c r="Z837" s="22">
        <f t="shared" si="382"/>
        <v>0</v>
      </c>
      <c r="AA837" s="22">
        <f t="shared" si="382"/>
        <v>0</v>
      </c>
      <c r="AB837" s="22">
        <f t="shared" si="382"/>
        <v>0</v>
      </c>
      <c r="AC837" s="22">
        <f t="shared" si="382"/>
        <v>0</v>
      </c>
      <c r="AD837" s="22">
        <f t="shared" si="382"/>
        <v>0</v>
      </c>
      <c r="AE837" s="22">
        <f t="shared" si="382"/>
        <v>0</v>
      </c>
      <c r="AF837" s="22">
        <f t="shared" si="382"/>
        <v>0</v>
      </c>
      <c r="AG837" s="22">
        <f t="shared" si="382"/>
        <v>0</v>
      </c>
      <c r="AH837" s="22">
        <f t="shared" si="382"/>
        <v>0</v>
      </c>
      <c r="AI837" s="22">
        <f t="shared" si="382"/>
        <v>0</v>
      </c>
      <c r="AJ837" s="22">
        <f t="shared" si="382"/>
        <v>0</v>
      </c>
      <c r="AK837" s="22">
        <f t="shared" si="382"/>
        <v>0</v>
      </c>
      <c r="AL837" s="22">
        <f t="shared" si="382"/>
        <v>0</v>
      </c>
      <c r="AM837" s="22">
        <f t="shared" si="382"/>
        <v>0</v>
      </c>
      <c r="AN837" s="22">
        <f t="shared" si="382"/>
        <v>0</v>
      </c>
    </row>
    <row r="838" spans="3:40" outlineLevel="1" x14ac:dyDescent="0.3">
      <c r="C838" s="2"/>
      <c r="I838" s="18"/>
    </row>
    <row r="839" spans="3:40" outlineLevel="1" x14ac:dyDescent="0.3">
      <c r="C839" s="2"/>
      <c r="D839" s="1" t="s">
        <v>20</v>
      </c>
      <c r="H839" s="26" t="s">
        <v>245</v>
      </c>
      <c r="I839" s="18"/>
      <c r="L839" s="22">
        <f>K841</f>
        <v>0</v>
      </c>
      <c r="M839" s="22">
        <f t="shared" ref="M839:AN839" si="383">L841</f>
        <v>0</v>
      </c>
      <c r="N839" s="22">
        <f t="shared" si="383"/>
        <v>0</v>
      </c>
      <c r="O839" s="22">
        <f t="shared" si="383"/>
        <v>0</v>
      </c>
      <c r="P839" s="22">
        <f t="shared" si="383"/>
        <v>0</v>
      </c>
      <c r="Q839" s="22">
        <f t="shared" si="383"/>
        <v>0</v>
      </c>
      <c r="R839" s="22">
        <f t="shared" si="383"/>
        <v>0</v>
      </c>
      <c r="S839" s="22">
        <f t="shared" si="383"/>
        <v>0</v>
      </c>
      <c r="T839" s="22">
        <f t="shared" si="383"/>
        <v>0</v>
      </c>
      <c r="U839" s="22">
        <f t="shared" si="383"/>
        <v>0</v>
      </c>
      <c r="V839" s="22">
        <f t="shared" si="383"/>
        <v>0</v>
      </c>
      <c r="W839" s="22">
        <f t="shared" si="383"/>
        <v>0</v>
      </c>
      <c r="X839" s="22">
        <f t="shared" si="383"/>
        <v>0</v>
      </c>
      <c r="Y839" s="22">
        <f t="shared" si="383"/>
        <v>0</v>
      </c>
      <c r="Z839" s="22">
        <f t="shared" si="383"/>
        <v>0</v>
      </c>
      <c r="AA839" s="22">
        <f t="shared" si="383"/>
        <v>0</v>
      </c>
      <c r="AB839" s="22">
        <f t="shared" si="383"/>
        <v>0</v>
      </c>
      <c r="AC839" s="22">
        <f t="shared" si="383"/>
        <v>0</v>
      </c>
      <c r="AD839" s="22">
        <f t="shared" si="383"/>
        <v>0</v>
      </c>
      <c r="AE839" s="22">
        <f t="shared" si="383"/>
        <v>0</v>
      </c>
      <c r="AF839" s="22">
        <f t="shared" si="383"/>
        <v>0</v>
      </c>
      <c r="AG839" s="22">
        <f t="shared" si="383"/>
        <v>0</v>
      </c>
      <c r="AH839" s="22">
        <f t="shared" si="383"/>
        <v>0</v>
      </c>
      <c r="AI839" s="22">
        <f t="shared" si="383"/>
        <v>0</v>
      </c>
      <c r="AJ839" s="22">
        <f t="shared" si="383"/>
        <v>0</v>
      </c>
      <c r="AK839" s="22">
        <f t="shared" si="383"/>
        <v>0</v>
      </c>
      <c r="AL839" s="22">
        <f t="shared" si="383"/>
        <v>0</v>
      </c>
      <c r="AM839" s="22">
        <f t="shared" si="383"/>
        <v>0</v>
      </c>
      <c r="AN839" s="22">
        <f t="shared" si="383"/>
        <v>0</v>
      </c>
    </row>
    <row r="840" spans="3:40" outlineLevel="1" x14ac:dyDescent="0.3">
      <c r="C840" s="2"/>
      <c r="D840" s="1" t="s">
        <v>21</v>
      </c>
      <c r="H840" s="26" t="s">
        <v>245</v>
      </c>
      <c r="I840" s="18"/>
      <c r="K840" s="87">
        <v>0</v>
      </c>
      <c r="L840" s="22">
        <f>L839+L836-L837</f>
        <v>0</v>
      </c>
      <c r="M840" s="22">
        <f t="shared" ref="M840:AN840" si="384">M839+M836-M837</f>
        <v>0</v>
      </c>
      <c r="N840" s="22">
        <f t="shared" si="384"/>
        <v>20.028995064769042</v>
      </c>
      <c r="O840" s="22">
        <f t="shared" si="384"/>
        <v>20.250708280845139</v>
      </c>
      <c r="P840" s="22">
        <f t="shared" si="384"/>
        <v>11.500898722990772</v>
      </c>
      <c r="Q840" s="22">
        <f t="shared" si="384"/>
        <v>2.5194321266515765</v>
      </c>
      <c r="R840" s="22">
        <f t="shared" si="384"/>
        <v>5.4398812019576805</v>
      </c>
      <c r="S840" s="22">
        <f t="shared" si="384"/>
        <v>0</v>
      </c>
      <c r="T840" s="22">
        <f t="shared" si="384"/>
        <v>0</v>
      </c>
      <c r="U840" s="22">
        <f t="shared" si="384"/>
        <v>0</v>
      </c>
      <c r="V840" s="22">
        <f t="shared" si="384"/>
        <v>0</v>
      </c>
      <c r="W840" s="22">
        <f t="shared" si="384"/>
        <v>0</v>
      </c>
      <c r="X840" s="22">
        <f t="shared" si="384"/>
        <v>0</v>
      </c>
      <c r="Y840" s="22">
        <f t="shared" si="384"/>
        <v>0</v>
      </c>
      <c r="Z840" s="22">
        <f t="shared" si="384"/>
        <v>0</v>
      </c>
      <c r="AA840" s="22">
        <f t="shared" si="384"/>
        <v>0</v>
      </c>
      <c r="AB840" s="22">
        <f t="shared" si="384"/>
        <v>0</v>
      </c>
      <c r="AC840" s="22">
        <f t="shared" si="384"/>
        <v>0</v>
      </c>
      <c r="AD840" s="22">
        <f t="shared" si="384"/>
        <v>0</v>
      </c>
      <c r="AE840" s="22">
        <f t="shared" si="384"/>
        <v>0</v>
      </c>
      <c r="AF840" s="22">
        <f t="shared" si="384"/>
        <v>0</v>
      </c>
      <c r="AG840" s="22">
        <f t="shared" si="384"/>
        <v>0</v>
      </c>
      <c r="AH840" s="22">
        <f t="shared" si="384"/>
        <v>0</v>
      </c>
      <c r="AI840" s="22">
        <f t="shared" si="384"/>
        <v>0</v>
      </c>
      <c r="AJ840" s="22">
        <f t="shared" si="384"/>
        <v>0</v>
      </c>
      <c r="AK840" s="22">
        <f t="shared" si="384"/>
        <v>0</v>
      </c>
      <c r="AL840" s="22">
        <f t="shared" si="384"/>
        <v>0</v>
      </c>
      <c r="AM840" s="22">
        <f t="shared" si="384"/>
        <v>0</v>
      </c>
      <c r="AN840" s="22">
        <f t="shared" si="384"/>
        <v>0</v>
      </c>
    </row>
    <row r="841" spans="3:40" outlineLevel="1" x14ac:dyDescent="0.3">
      <c r="C841" s="2"/>
      <c r="I841" s="18"/>
    </row>
    <row r="842" spans="3:40" outlineLevel="1" x14ac:dyDescent="0.3">
      <c r="C842" s="2"/>
      <c r="D842" s="1" t="s">
        <v>137</v>
      </c>
      <c r="H842" s="26" t="s">
        <v>245</v>
      </c>
      <c r="I842" s="22">
        <f>SUM(L842:AN842)</f>
        <v>1659.3871030562011</v>
      </c>
      <c r="L842" s="22">
        <f>MAX(L835-L837,0)</f>
        <v>0</v>
      </c>
      <c r="M842" s="22">
        <f t="shared" ref="M842:AN842" si="385">MAX(M835-M837,0)</f>
        <v>0</v>
      </c>
      <c r="N842" s="22">
        <f t="shared" si="385"/>
        <v>0</v>
      </c>
      <c r="O842" s="22">
        <f t="shared" si="385"/>
        <v>0</v>
      </c>
      <c r="P842" s="22">
        <f t="shared" si="385"/>
        <v>0</v>
      </c>
      <c r="Q842" s="22">
        <f t="shared" si="385"/>
        <v>0</v>
      </c>
      <c r="R842" s="22">
        <f t="shared" si="385"/>
        <v>0</v>
      </c>
      <c r="S842" s="22">
        <f t="shared" si="385"/>
        <v>41.775047545751107</v>
      </c>
      <c r="T842" s="22">
        <f t="shared" si="385"/>
        <v>50.463188227408267</v>
      </c>
      <c r="U842" s="22">
        <f t="shared" si="385"/>
        <v>57.730581104049449</v>
      </c>
      <c r="V842" s="22">
        <f t="shared" si="385"/>
        <v>122.59618254092051</v>
      </c>
      <c r="W842" s="22">
        <f t="shared" si="385"/>
        <v>184.79540069887497</v>
      </c>
      <c r="X842" s="22">
        <f t="shared" si="385"/>
        <v>216.85846849148624</v>
      </c>
      <c r="Y842" s="22">
        <f t="shared" si="385"/>
        <v>225.37499755166394</v>
      </c>
      <c r="Z842" s="22">
        <f t="shared" si="385"/>
        <v>236.92494118144563</v>
      </c>
      <c r="AA842" s="22">
        <f t="shared" si="385"/>
        <v>232.45907773164672</v>
      </c>
      <c r="AB842" s="22">
        <f t="shared" si="385"/>
        <v>243.71851789946186</v>
      </c>
      <c r="AC842" s="22">
        <f t="shared" si="385"/>
        <v>46.690700083492708</v>
      </c>
      <c r="AD842" s="22">
        <f t="shared" si="385"/>
        <v>0</v>
      </c>
      <c r="AE842" s="22">
        <f t="shared" si="385"/>
        <v>0</v>
      </c>
      <c r="AF842" s="22">
        <f t="shared" si="385"/>
        <v>0</v>
      </c>
      <c r="AG842" s="22">
        <f t="shared" si="385"/>
        <v>0</v>
      </c>
      <c r="AH842" s="22">
        <f t="shared" si="385"/>
        <v>0</v>
      </c>
      <c r="AI842" s="22">
        <f t="shared" si="385"/>
        <v>0</v>
      </c>
      <c r="AJ842" s="22">
        <f t="shared" si="385"/>
        <v>0</v>
      </c>
      <c r="AK842" s="22">
        <f t="shared" si="385"/>
        <v>0</v>
      </c>
      <c r="AL842" s="22">
        <f t="shared" si="385"/>
        <v>0</v>
      </c>
      <c r="AM842" s="22">
        <f t="shared" si="385"/>
        <v>0</v>
      </c>
      <c r="AN842" s="22">
        <f t="shared" si="385"/>
        <v>0</v>
      </c>
    </row>
    <row r="843" spans="3:40" outlineLevel="1" x14ac:dyDescent="0.3">
      <c r="C843" s="2"/>
      <c r="D843" s="2" t="s">
        <v>22</v>
      </c>
      <c r="H843" s="30" t="s">
        <v>245</v>
      </c>
      <c r="I843" s="22">
        <f>SUM(L843:AN843)</f>
        <v>414.84677576405028</v>
      </c>
      <c r="L843" s="34">
        <f>L842*L831</f>
        <v>0</v>
      </c>
      <c r="M843" s="34">
        <f t="shared" ref="M843:AN843" si="386">M842*M831</f>
        <v>0</v>
      </c>
      <c r="N843" s="34">
        <f t="shared" si="386"/>
        <v>0</v>
      </c>
      <c r="O843" s="34">
        <f t="shared" si="386"/>
        <v>0</v>
      </c>
      <c r="P843" s="34">
        <f t="shared" si="386"/>
        <v>0</v>
      </c>
      <c r="Q843" s="34">
        <f t="shared" si="386"/>
        <v>0</v>
      </c>
      <c r="R843" s="34">
        <f t="shared" si="386"/>
        <v>0</v>
      </c>
      <c r="S843" s="34">
        <f t="shared" si="386"/>
        <v>10.443761886437777</v>
      </c>
      <c r="T843" s="34">
        <f t="shared" si="386"/>
        <v>12.615797056852067</v>
      </c>
      <c r="U843" s="34">
        <f t="shared" si="386"/>
        <v>14.432645276012362</v>
      </c>
      <c r="V843" s="34">
        <f t="shared" si="386"/>
        <v>30.649045635230127</v>
      </c>
      <c r="W843" s="34">
        <f t="shared" si="386"/>
        <v>46.198850174718743</v>
      </c>
      <c r="X843" s="34">
        <f t="shared" si="386"/>
        <v>54.214617122871559</v>
      </c>
      <c r="Y843" s="34">
        <f t="shared" si="386"/>
        <v>56.343749387915985</v>
      </c>
      <c r="Z843" s="34">
        <f t="shared" si="386"/>
        <v>59.231235295361408</v>
      </c>
      <c r="AA843" s="34">
        <f t="shared" si="386"/>
        <v>58.114769432911679</v>
      </c>
      <c r="AB843" s="34">
        <f t="shared" si="386"/>
        <v>60.929629474865465</v>
      </c>
      <c r="AC843" s="34">
        <f t="shared" si="386"/>
        <v>11.672675020873177</v>
      </c>
      <c r="AD843" s="34">
        <f t="shared" si="386"/>
        <v>0</v>
      </c>
      <c r="AE843" s="34">
        <f t="shared" si="386"/>
        <v>0</v>
      </c>
      <c r="AF843" s="34">
        <f t="shared" si="386"/>
        <v>0</v>
      </c>
      <c r="AG843" s="34">
        <f t="shared" si="386"/>
        <v>0</v>
      </c>
      <c r="AH843" s="34">
        <f t="shared" si="386"/>
        <v>0</v>
      </c>
      <c r="AI843" s="34">
        <f t="shared" si="386"/>
        <v>0</v>
      </c>
      <c r="AJ843" s="34">
        <f t="shared" si="386"/>
        <v>0</v>
      </c>
      <c r="AK843" s="34">
        <f t="shared" si="386"/>
        <v>0</v>
      </c>
      <c r="AL843" s="34">
        <f t="shared" si="386"/>
        <v>0</v>
      </c>
      <c r="AM843" s="34">
        <f t="shared" si="386"/>
        <v>0</v>
      </c>
      <c r="AN843" s="34">
        <f t="shared" si="386"/>
        <v>0</v>
      </c>
    </row>
    <row r="844" spans="3:40" outlineLevel="1" x14ac:dyDescent="0.3"/>
    <row r="845" spans="3:40" outlineLevel="1" x14ac:dyDescent="0.3">
      <c r="C845" s="2" t="s">
        <v>337</v>
      </c>
      <c r="I845" s="18" t="s">
        <v>136</v>
      </c>
    </row>
    <row r="846" spans="3:40" outlineLevel="1" x14ac:dyDescent="0.3">
      <c r="I846" s="18"/>
    </row>
    <row r="847" spans="3:40" outlineLevel="1" x14ac:dyDescent="0.3">
      <c r="D847" s="1" t="s">
        <v>344</v>
      </c>
      <c r="H847" s="26" t="s">
        <v>245</v>
      </c>
      <c r="I847" s="22">
        <f t="shared" ref="I847:I853" si="387">SUM(L847:AN847)</f>
        <v>2123.2825769280157</v>
      </c>
      <c r="L847" s="33">
        <f>PL_BS_CF!L22</f>
        <v>0</v>
      </c>
      <c r="M847" s="33">
        <f>PL_BS_CF!M22</f>
        <v>0</v>
      </c>
      <c r="N847" s="33">
        <f>PL_BS_CF!N22</f>
        <v>54.088612161078409</v>
      </c>
      <c r="O847" s="33">
        <f>PL_BS_CF!O22</f>
        <v>56.090893813629421</v>
      </c>
      <c r="P847" s="33">
        <f>PL_BS_CF!P22</f>
        <v>59.289447943777574</v>
      </c>
      <c r="Q847" s="33">
        <f>PL_BS_CF!Q22</f>
        <v>61.681829109246713</v>
      </c>
      <c r="R847" s="33">
        <f>PL_BS_CF!R22</f>
        <v>54.367413176629874</v>
      </c>
      <c r="S847" s="33">
        <f>PL_BS_CF!S22</f>
        <v>69.040275444022498</v>
      </c>
      <c r="T847" s="33">
        <f>PL_BS_CF!T22</f>
        <v>68.681717286355337</v>
      </c>
      <c r="U847" s="33">
        <f>PL_BS_CF!U22</f>
        <v>73.05588873700782</v>
      </c>
      <c r="V847" s="33">
        <f>PL_BS_CF!V22</f>
        <v>146.13010088477776</v>
      </c>
      <c r="W847" s="33">
        <f>PL_BS_CF!W22</f>
        <v>205.18991290297163</v>
      </c>
      <c r="X847" s="33">
        <f>PL_BS_CF!X22</f>
        <v>227.3565853740424</v>
      </c>
      <c r="Y847" s="33">
        <f>PL_BS_CF!Y22</f>
        <v>235.43358033326757</v>
      </c>
      <c r="Z847" s="33">
        <f>PL_BS_CF!Z22</f>
        <v>255.10631645064663</v>
      </c>
      <c r="AA847" s="33">
        <f>PL_BS_CF!AA22</f>
        <v>249.90993152962739</v>
      </c>
      <c r="AB847" s="33">
        <f>PL_BS_CF!AB22</f>
        <v>261.1693716974425</v>
      </c>
      <c r="AC847" s="33">
        <f>PL_BS_CF!AC22</f>
        <v>46.690700083492708</v>
      </c>
      <c r="AD847" s="33">
        <f>PL_BS_CF!AD22</f>
        <v>0</v>
      </c>
      <c r="AE847" s="33">
        <f>PL_BS_CF!AE22</f>
        <v>0</v>
      </c>
      <c r="AF847" s="33">
        <f>PL_BS_CF!AF22</f>
        <v>0</v>
      </c>
      <c r="AG847" s="33">
        <f>PL_BS_CF!AG22</f>
        <v>0</v>
      </c>
      <c r="AH847" s="33">
        <f>PL_BS_CF!AH22</f>
        <v>0</v>
      </c>
      <c r="AI847" s="33">
        <f>PL_BS_CF!AI22</f>
        <v>0</v>
      </c>
      <c r="AJ847" s="33">
        <f>PL_BS_CF!AJ22</f>
        <v>0</v>
      </c>
      <c r="AK847" s="33">
        <f>PL_BS_CF!AK22</f>
        <v>0</v>
      </c>
      <c r="AL847" s="33">
        <f>PL_BS_CF!AL22</f>
        <v>0</v>
      </c>
      <c r="AM847" s="33">
        <f>PL_BS_CF!AM22</f>
        <v>0</v>
      </c>
      <c r="AN847" s="33">
        <f>PL_BS_CF!AN22</f>
        <v>0</v>
      </c>
    </row>
    <row r="848" spans="3:40" outlineLevel="1" x14ac:dyDescent="0.3">
      <c r="E848" s="1" t="s">
        <v>340</v>
      </c>
      <c r="H848" s="26" t="s">
        <v>245</v>
      </c>
      <c r="I848" s="22">
        <f t="shared" si="387"/>
        <v>9.349674913035912</v>
      </c>
      <c r="L848" s="33">
        <f>L807</f>
        <v>0</v>
      </c>
      <c r="M848" s="33">
        <f t="shared" ref="M848:AN848" si="388">M807</f>
        <v>0</v>
      </c>
      <c r="N848" s="33">
        <f t="shared" si="388"/>
        <v>2.1803075842197601</v>
      </c>
      <c r="O848" s="33">
        <f t="shared" si="388"/>
        <v>2.0034286497663318</v>
      </c>
      <c r="P848" s="33">
        <f t="shared" si="388"/>
        <v>1.5490847233856406</v>
      </c>
      <c r="Q848" s="33">
        <f t="shared" si="388"/>
        <v>1.0947407970049492</v>
      </c>
      <c r="R848" s="33">
        <f t="shared" si="388"/>
        <v>0.64039687062425776</v>
      </c>
      <c r="S848" s="33">
        <f t="shared" si="388"/>
        <v>0.37372951631407775</v>
      </c>
      <c r="T848" s="33">
        <f t="shared" si="388"/>
        <v>0.30397493557604449</v>
      </c>
      <c r="U848" s="33">
        <f t="shared" si="388"/>
        <v>0.24345655633964705</v>
      </c>
      <c r="V848" s="33">
        <f t="shared" si="388"/>
        <v>0.18293817710324956</v>
      </c>
      <c r="W848" s="33">
        <f t="shared" si="388"/>
        <v>0.15256160464568963</v>
      </c>
      <c r="X848" s="33">
        <f t="shared" si="388"/>
        <v>0.12353904811387525</v>
      </c>
      <c r="Y848" s="33">
        <f t="shared" si="388"/>
        <v>6.5728700728968914E-2</v>
      </c>
      <c r="Z848" s="33">
        <f t="shared" si="388"/>
        <v>0.15753709208331163</v>
      </c>
      <c r="AA848" s="33">
        <f t="shared" si="388"/>
        <v>0.20868799284758063</v>
      </c>
      <c r="AB848" s="33">
        <f t="shared" si="388"/>
        <v>6.9562664282526887E-2</v>
      </c>
      <c r="AC848" s="33">
        <f t="shared" si="388"/>
        <v>0</v>
      </c>
      <c r="AD848" s="33">
        <f t="shared" si="388"/>
        <v>0</v>
      </c>
      <c r="AE848" s="33">
        <f t="shared" si="388"/>
        <v>0</v>
      </c>
      <c r="AF848" s="33">
        <f t="shared" si="388"/>
        <v>0</v>
      </c>
      <c r="AG848" s="33">
        <f t="shared" si="388"/>
        <v>0</v>
      </c>
      <c r="AH848" s="33">
        <f t="shared" si="388"/>
        <v>0</v>
      </c>
      <c r="AI848" s="33">
        <f t="shared" si="388"/>
        <v>0</v>
      </c>
      <c r="AJ848" s="33">
        <f t="shared" si="388"/>
        <v>0</v>
      </c>
      <c r="AK848" s="33">
        <f t="shared" si="388"/>
        <v>0</v>
      </c>
      <c r="AL848" s="33">
        <f t="shared" si="388"/>
        <v>0</v>
      </c>
      <c r="AM848" s="33">
        <f t="shared" si="388"/>
        <v>0</v>
      </c>
      <c r="AN848" s="33">
        <f t="shared" si="388"/>
        <v>0</v>
      </c>
    </row>
    <row r="849" spans="1:40" outlineLevel="1" x14ac:dyDescent="0.3">
      <c r="E849" s="1" t="s">
        <v>341</v>
      </c>
      <c r="H849" s="26" t="s">
        <v>245</v>
      </c>
      <c r="I849" s="22">
        <f t="shared" si="387"/>
        <v>8.1907988614467389</v>
      </c>
      <c r="L849" s="33">
        <f>L809</f>
        <v>0</v>
      </c>
      <c r="M849" s="33">
        <f t="shared" ref="M849:AN849" si="389">M809</f>
        <v>0</v>
      </c>
      <c r="N849" s="33">
        <f t="shared" si="389"/>
        <v>1.8914636235459714</v>
      </c>
      <c r="O849" s="33">
        <f t="shared" si="389"/>
        <v>1.7379915139971744</v>
      </c>
      <c r="P849" s="33">
        <f t="shared" si="389"/>
        <v>1.3438190283615818</v>
      </c>
      <c r="Q849" s="33">
        <f t="shared" si="389"/>
        <v>0.94964654272598858</v>
      </c>
      <c r="R849" s="33">
        <f t="shared" si="389"/>
        <v>0.55547405709039566</v>
      </c>
      <c r="S849" s="33">
        <f t="shared" si="389"/>
        <v>0.32657388367341555</v>
      </c>
      <c r="T849" s="33">
        <f t="shared" si="389"/>
        <v>0.26770137200630439</v>
      </c>
      <c r="U849" s="33">
        <f t="shared" si="389"/>
        <v>0.21358420987044929</v>
      </c>
      <c r="V849" s="33">
        <f t="shared" si="389"/>
        <v>0.15946704773459419</v>
      </c>
      <c r="W849" s="33">
        <f t="shared" si="389"/>
        <v>0.13549169237757663</v>
      </c>
      <c r="X849" s="33">
        <f t="shared" si="389"/>
        <v>0.11287035294630464</v>
      </c>
      <c r="Y849" s="33">
        <f t="shared" si="389"/>
        <v>6.1461222661940658E-2</v>
      </c>
      <c r="Z849" s="33">
        <f t="shared" si="389"/>
        <v>0.15700365732493307</v>
      </c>
      <c r="AA849" s="33">
        <f t="shared" si="389"/>
        <v>0.20868799284758063</v>
      </c>
      <c r="AB849" s="33">
        <f t="shared" si="389"/>
        <v>6.9562664282526887E-2</v>
      </c>
      <c r="AC849" s="33">
        <f t="shared" si="389"/>
        <v>0</v>
      </c>
      <c r="AD849" s="33">
        <f t="shared" si="389"/>
        <v>0</v>
      </c>
      <c r="AE849" s="33">
        <f t="shared" si="389"/>
        <v>0</v>
      </c>
      <c r="AF849" s="33">
        <f t="shared" si="389"/>
        <v>0</v>
      </c>
      <c r="AG849" s="33">
        <f t="shared" si="389"/>
        <v>0</v>
      </c>
      <c r="AH849" s="33">
        <f t="shared" si="389"/>
        <v>0</v>
      </c>
      <c r="AI849" s="33">
        <f t="shared" si="389"/>
        <v>0</v>
      </c>
      <c r="AJ849" s="33">
        <f t="shared" si="389"/>
        <v>0</v>
      </c>
      <c r="AK849" s="33">
        <f t="shared" si="389"/>
        <v>0</v>
      </c>
      <c r="AL849" s="33">
        <f t="shared" si="389"/>
        <v>0</v>
      </c>
      <c r="AM849" s="33">
        <f t="shared" si="389"/>
        <v>0</v>
      </c>
      <c r="AN849" s="33">
        <f t="shared" si="389"/>
        <v>0</v>
      </c>
    </row>
    <row r="850" spans="1:40" outlineLevel="1" x14ac:dyDescent="0.3">
      <c r="D850" s="1" t="s">
        <v>343</v>
      </c>
      <c r="H850" s="26" t="s">
        <v>245</v>
      </c>
      <c r="I850" s="22">
        <f t="shared" si="387"/>
        <v>319.91184367002336</v>
      </c>
      <c r="L850" s="33">
        <f t="shared" ref="L850:AN850" si="390">L153</f>
        <v>0</v>
      </c>
      <c r="M850" s="33">
        <f t="shared" si="390"/>
        <v>0</v>
      </c>
      <c r="N850" s="33">
        <f t="shared" si="390"/>
        <v>31.768258033192083</v>
      </c>
      <c r="O850" s="33">
        <f t="shared" si="390"/>
        <v>38.121909639830498</v>
      </c>
      <c r="P850" s="33">
        <f t="shared" si="390"/>
        <v>38.121909639830498</v>
      </c>
      <c r="Q850" s="33">
        <f t="shared" si="390"/>
        <v>38.121909639830498</v>
      </c>
      <c r="R850" s="33">
        <f t="shared" si="390"/>
        <v>38.121909639830498</v>
      </c>
      <c r="S850" s="33">
        <f t="shared" si="390"/>
        <v>12.546566376757269</v>
      </c>
      <c r="T850" s="33">
        <f t="shared" si="390"/>
        <v>7.2077893216724993</v>
      </c>
      <c r="U850" s="33">
        <f t="shared" si="390"/>
        <v>7.2077893216724993</v>
      </c>
      <c r="V850" s="33">
        <f t="shared" si="390"/>
        <v>18.309621458560084</v>
      </c>
      <c r="W850" s="33">
        <f t="shared" si="390"/>
        <v>18.063436744788163</v>
      </c>
      <c r="X850" s="33">
        <f t="shared" si="390"/>
        <v>9.8579951725019299</v>
      </c>
      <c r="Y850" s="33">
        <f t="shared" si="390"/>
        <v>9.4766539542815913</v>
      </c>
      <c r="Z850" s="33">
        <f t="shared" si="390"/>
        <v>18.084387131313996</v>
      </c>
      <c r="AA850" s="33">
        <f t="shared" si="390"/>
        <v>17.45085379798066</v>
      </c>
      <c r="AB850" s="33">
        <f t="shared" si="390"/>
        <v>17.450853797980656</v>
      </c>
      <c r="AC850" s="33">
        <f t="shared" si="390"/>
        <v>0</v>
      </c>
      <c r="AD850" s="33">
        <f t="shared" si="390"/>
        <v>0</v>
      </c>
      <c r="AE850" s="33">
        <f t="shared" si="390"/>
        <v>0</v>
      </c>
      <c r="AF850" s="33">
        <f t="shared" si="390"/>
        <v>0</v>
      </c>
      <c r="AG850" s="33">
        <f t="shared" si="390"/>
        <v>0</v>
      </c>
      <c r="AH850" s="33">
        <f t="shared" si="390"/>
        <v>0</v>
      </c>
      <c r="AI850" s="33">
        <f t="shared" si="390"/>
        <v>0</v>
      </c>
      <c r="AJ850" s="33">
        <f t="shared" si="390"/>
        <v>0</v>
      </c>
      <c r="AK850" s="33">
        <f t="shared" si="390"/>
        <v>0</v>
      </c>
      <c r="AL850" s="33">
        <f t="shared" si="390"/>
        <v>0</v>
      </c>
      <c r="AM850" s="33">
        <f t="shared" si="390"/>
        <v>0</v>
      </c>
      <c r="AN850" s="33">
        <f t="shared" si="390"/>
        <v>0</v>
      </c>
    </row>
    <row r="851" spans="1:40" s="2" customFormat="1" outlineLevel="1" x14ac:dyDescent="0.3">
      <c r="A851" s="32"/>
      <c r="B851" s="32"/>
      <c r="D851" s="2" t="s">
        <v>346</v>
      </c>
      <c r="H851" s="30" t="s">
        <v>245</v>
      </c>
      <c r="I851" s="34">
        <f t="shared" si="387"/>
        <v>1804.5296093095819</v>
      </c>
      <c r="L851" s="34">
        <f>L847+L848-L849-L850</f>
        <v>0</v>
      </c>
      <c r="M851" s="34">
        <f t="shared" ref="M851:AN851" si="391">M847+M848-M849-M850</f>
        <v>0</v>
      </c>
      <c r="N851" s="34">
        <f t="shared" si="391"/>
        <v>22.609198088560113</v>
      </c>
      <c r="O851" s="34">
        <f t="shared" si="391"/>
        <v>18.234421309568084</v>
      </c>
      <c r="P851" s="34">
        <f t="shared" si="391"/>
        <v>21.372803998971136</v>
      </c>
      <c r="Q851" s="34">
        <f t="shared" si="391"/>
        <v>23.705013723695181</v>
      </c>
      <c r="R851" s="34">
        <f t="shared" si="391"/>
        <v>16.330426350333241</v>
      </c>
      <c r="S851" s="34">
        <f t="shared" si="391"/>
        <v>56.540864699905882</v>
      </c>
      <c r="T851" s="34">
        <f t="shared" si="391"/>
        <v>61.510201528252587</v>
      </c>
      <c r="U851" s="34">
        <f t="shared" si="391"/>
        <v>65.877971761804531</v>
      </c>
      <c r="V851" s="34">
        <f t="shared" si="391"/>
        <v>127.84395055558633</v>
      </c>
      <c r="W851" s="34">
        <f t="shared" si="391"/>
        <v>187.14354607045158</v>
      </c>
      <c r="X851" s="34">
        <f t="shared" si="391"/>
        <v>217.50925889670805</v>
      </c>
      <c r="Y851" s="34">
        <f t="shared" si="391"/>
        <v>225.96119385705302</v>
      </c>
      <c r="Z851" s="34">
        <f t="shared" si="391"/>
        <v>237.02246275409101</v>
      </c>
      <c r="AA851" s="34">
        <f t="shared" si="391"/>
        <v>232.45907773164672</v>
      </c>
      <c r="AB851" s="34">
        <f t="shared" si="391"/>
        <v>243.71851789946186</v>
      </c>
      <c r="AC851" s="34">
        <f t="shared" si="391"/>
        <v>46.690700083492708</v>
      </c>
      <c r="AD851" s="34">
        <f t="shared" si="391"/>
        <v>0</v>
      </c>
      <c r="AE851" s="34">
        <f t="shared" si="391"/>
        <v>0</v>
      </c>
      <c r="AF851" s="34">
        <f t="shared" si="391"/>
        <v>0</v>
      </c>
      <c r="AG851" s="34">
        <f t="shared" si="391"/>
        <v>0</v>
      </c>
      <c r="AH851" s="34">
        <f t="shared" si="391"/>
        <v>0</v>
      </c>
      <c r="AI851" s="34">
        <f t="shared" si="391"/>
        <v>0</v>
      </c>
      <c r="AJ851" s="34">
        <f t="shared" si="391"/>
        <v>0</v>
      </c>
      <c r="AK851" s="34">
        <f t="shared" si="391"/>
        <v>0</v>
      </c>
      <c r="AL851" s="34">
        <f t="shared" si="391"/>
        <v>0</v>
      </c>
      <c r="AM851" s="34">
        <f t="shared" si="391"/>
        <v>0</v>
      </c>
      <c r="AN851" s="34">
        <f t="shared" si="391"/>
        <v>0</v>
      </c>
    </row>
    <row r="852" spans="1:40" outlineLevel="1" x14ac:dyDescent="0.3">
      <c r="D852" s="1" t="s">
        <v>18</v>
      </c>
      <c r="H852" s="26" t="s">
        <v>245</v>
      </c>
      <c r="I852" s="22">
        <f t="shared" si="387"/>
        <v>0</v>
      </c>
      <c r="J852" s="151"/>
      <c r="L852" s="22">
        <f>IF(L851&lt;0,-L851,0)</f>
        <v>0</v>
      </c>
      <c r="M852" s="22">
        <f t="shared" ref="M852:AN852" si="392">IF(M851&lt;0,-M851,0)</f>
        <v>0</v>
      </c>
      <c r="N852" s="22">
        <f t="shared" si="392"/>
        <v>0</v>
      </c>
      <c r="O852" s="22">
        <f t="shared" si="392"/>
        <v>0</v>
      </c>
      <c r="P852" s="22">
        <f t="shared" si="392"/>
        <v>0</v>
      </c>
      <c r="Q852" s="22">
        <f t="shared" si="392"/>
        <v>0</v>
      </c>
      <c r="R852" s="22">
        <f t="shared" si="392"/>
        <v>0</v>
      </c>
      <c r="S852" s="22">
        <f t="shared" si="392"/>
        <v>0</v>
      </c>
      <c r="T852" s="22">
        <f t="shared" si="392"/>
        <v>0</v>
      </c>
      <c r="U852" s="22">
        <f t="shared" si="392"/>
        <v>0</v>
      </c>
      <c r="V852" s="22">
        <f t="shared" si="392"/>
        <v>0</v>
      </c>
      <c r="W852" s="22">
        <f t="shared" si="392"/>
        <v>0</v>
      </c>
      <c r="X852" s="22">
        <f t="shared" si="392"/>
        <v>0</v>
      </c>
      <c r="Y852" s="22">
        <f t="shared" si="392"/>
        <v>0</v>
      </c>
      <c r="Z852" s="22">
        <f t="shared" si="392"/>
        <v>0</v>
      </c>
      <c r="AA852" s="22">
        <f t="shared" si="392"/>
        <v>0</v>
      </c>
      <c r="AB852" s="22">
        <f t="shared" si="392"/>
        <v>0</v>
      </c>
      <c r="AC852" s="22">
        <f t="shared" si="392"/>
        <v>0</v>
      </c>
      <c r="AD852" s="22">
        <f t="shared" si="392"/>
        <v>0</v>
      </c>
      <c r="AE852" s="22">
        <f t="shared" si="392"/>
        <v>0</v>
      </c>
      <c r="AF852" s="22">
        <f t="shared" si="392"/>
        <v>0</v>
      </c>
      <c r="AG852" s="22">
        <f t="shared" si="392"/>
        <v>0</v>
      </c>
      <c r="AH852" s="22">
        <f t="shared" si="392"/>
        <v>0</v>
      </c>
      <c r="AI852" s="22">
        <f t="shared" si="392"/>
        <v>0</v>
      </c>
      <c r="AJ852" s="22">
        <f t="shared" si="392"/>
        <v>0</v>
      </c>
      <c r="AK852" s="22">
        <f t="shared" si="392"/>
        <v>0</v>
      </c>
      <c r="AL852" s="22">
        <f t="shared" si="392"/>
        <v>0</v>
      </c>
      <c r="AM852" s="22">
        <f t="shared" si="392"/>
        <v>0</v>
      </c>
      <c r="AN852" s="22">
        <f t="shared" si="392"/>
        <v>0</v>
      </c>
    </row>
    <row r="853" spans="1:40" outlineLevel="1" x14ac:dyDescent="0.3">
      <c r="D853" s="1" t="s">
        <v>19</v>
      </c>
      <c r="H853" s="26" t="s">
        <v>245</v>
      </c>
      <c r="I853" s="22">
        <f t="shared" si="387"/>
        <v>0</v>
      </c>
      <c r="L853" s="22">
        <f>IF(L851&gt;0,MIN(L851*L829,L855),0)</f>
        <v>0</v>
      </c>
      <c r="M853" s="22">
        <f t="shared" ref="M853:AN853" si="393">IF(M851&gt;0,MIN(M851*M829,M855),0)</f>
        <v>0</v>
      </c>
      <c r="N853" s="22">
        <f t="shared" si="393"/>
        <v>0</v>
      </c>
      <c r="O853" s="22">
        <f t="shared" si="393"/>
        <v>0</v>
      </c>
      <c r="P853" s="22">
        <f t="shared" si="393"/>
        <v>0</v>
      </c>
      <c r="Q853" s="22">
        <f t="shared" si="393"/>
        <v>0</v>
      </c>
      <c r="R853" s="22">
        <f t="shared" si="393"/>
        <v>0</v>
      </c>
      <c r="S853" s="22">
        <f t="shared" si="393"/>
        <v>0</v>
      </c>
      <c r="T853" s="22">
        <f t="shared" si="393"/>
        <v>0</v>
      </c>
      <c r="U853" s="22">
        <f t="shared" si="393"/>
        <v>0</v>
      </c>
      <c r="V853" s="22">
        <f t="shared" si="393"/>
        <v>0</v>
      </c>
      <c r="W853" s="22">
        <f t="shared" si="393"/>
        <v>0</v>
      </c>
      <c r="X853" s="22">
        <f t="shared" si="393"/>
        <v>0</v>
      </c>
      <c r="Y853" s="22">
        <f t="shared" si="393"/>
        <v>0</v>
      </c>
      <c r="Z853" s="22">
        <f t="shared" si="393"/>
        <v>0</v>
      </c>
      <c r="AA853" s="22">
        <f t="shared" si="393"/>
        <v>0</v>
      </c>
      <c r="AB853" s="22">
        <f t="shared" si="393"/>
        <v>0</v>
      </c>
      <c r="AC853" s="22">
        <f t="shared" si="393"/>
        <v>0</v>
      </c>
      <c r="AD853" s="22">
        <f t="shared" si="393"/>
        <v>0</v>
      </c>
      <c r="AE853" s="22">
        <f t="shared" si="393"/>
        <v>0</v>
      </c>
      <c r="AF853" s="22">
        <f t="shared" si="393"/>
        <v>0</v>
      </c>
      <c r="AG853" s="22">
        <f t="shared" si="393"/>
        <v>0</v>
      </c>
      <c r="AH853" s="22">
        <f t="shared" si="393"/>
        <v>0</v>
      </c>
      <c r="AI853" s="22">
        <f t="shared" si="393"/>
        <v>0</v>
      </c>
      <c r="AJ853" s="22">
        <f t="shared" si="393"/>
        <v>0</v>
      </c>
      <c r="AK853" s="22">
        <f t="shared" si="393"/>
        <v>0</v>
      </c>
      <c r="AL853" s="22">
        <f t="shared" si="393"/>
        <v>0</v>
      </c>
      <c r="AM853" s="22">
        <f t="shared" si="393"/>
        <v>0</v>
      </c>
      <c r="AN853" s="22">
        <f t="shared" si="393"/>
        <v>0</v>
      </c>
    </row>
    <row r="854" spans="1:40" outlineLevel="1" x14ac:dyDescent="0.3"/>
    <row r="855" spans="1:40" outlineLevel="1" x14ac:dyDescent="0.3">
      <c r="D855" s="1" t="s">
        <v>20</v>
      </c>
      <c r="H855" s="26" t="s">
        <v>245</v>
      </c>
      <c r="I855" s="18"/>
      <c r="L855" s="22">
        <f>K856</f>
        <v>0</v>
      </c>
      <c r="M855" s="22">
        <f t="shared" ref="M855:AN855" si="394">L856</f>
        <v>0</v>
      </c>
      <c r="N855" s="22">
        <f t="shared" si="394"/>
        <v>0</v>
      </c>
      <c r="O855" s="22">
        <f t="shared" si="394"/>
        <v>0</v>
      </c>
      <c r="P855" s="22">
        <f t="shared" si="394"/>
        <v>0</v>
      </c>
      <c r="Q855" s="22">
        <f t="shared" si="394"/>
        <v>0</v>
      </c>
      <c r="R855" s="22">
        <f t="shared" si="394"/>
        <v>0</v>
      </c>
      <c r="S855" s="22">
        <f t="shared" si="394"/>
        <v>0</v>
      </c>
      <c r="T855" s="22">
        <f t="shared" si="394"/>
        <v>0</v>
      </c>
      <c r="U855" s="22">
        <f t="shared" si="394"/>
        <v>0</v>
      </c>
      <c r="V855" s="22">
        <f t="shared" si="394"/>
        <v>0</v>
      </c>
      <c r="W855" s="22">
        <f t="shared" si="394"/>
        <v>0</v>
      </c>
      <c r="X855" s="22">
        <f t="shared" si="394"/>
        <v>0</v>
      </c>
      <c r="Y855" s="22">
        <f t="shared" si="394"/>
        <v>0</v>
      </c>
      <c r="Z855" s="22">
        <f t="shared" si="394"/>
        <v>0</v>
      </c>
      <c r="AA855" s="22">
        <f t="shared" si="394"/>
        <v>0</v>
      </c>
      <c r="AB855" s="22">
        <f t="shared" si="394"/>
        <v>0</v>
      </c>
      <c r="AC855" s="22">
        <f t="shared" si="394"/>
        <v>0</v>
      </c>
      <c r="AD855" s="22">
        <f t="shared" si="394"/>
        <v>0</v>
      </c>
      <c r="AE855" s="22">
        <f t="shared" si="394"/>
        <v>0</v>
      </c>
      <c r="AF855" s="22">
        <f t="shared" si="394"/>
        <v>0</v>
      </c>
      <c r="AG855" s="22">
        <f t="shared" si="394"/>
        <v>0</v>
      </c>
      <c r="AH855" s="22">
        <f t="shared" si="394"/>
        <v>0</v>
      </c>
      <c r="AI855" s="22">
        <f t="shared" si="394"/>
        <v>0</v>
      </c>
      <c r="AJ855" s="22">
        <f t="shared" si="394"/>
        <v>0</v>
      </c>
      <c r="AK855" s="22">
        <f t="shared" si="394"/>
        <v>0</v>
      </c>
      <c r="AL855" s="22">
        <f t="shared" si="394"/>
        <v>0</v>
      </c>
      <c r="AM855" s="22">
        <f t="shared" si="394"/>
        <v>0</v>
      </c>
      <c r="AN855" s="22">
        <f t="shared" si="394"/>
        <v>0</v>
      </c>
    </row>
    <row r="856" spans="1:40" outlineLevel="1" x14ac:dyDescent="0.3">
      <c r="D856" s="1" t="s">
        <v>21</v>
      </c>
      <c r="H856" s="26" t="s">
        <v>245</v>
      </c>
      <c r="I856" s="18"/>
      <c r="K856" s="87">
        <v>0</v>
      </c>
      <c r="L856" s="22">
        <f>L855+L852-L853</f>
        <v>0</v>
      </c>
      <c r="M856" s="22">
        <f t="shared" ref="M856:AN856" si="395">M855+M852-M853</f>
        <v>0</v>
      </c>
      <c r="N856" s="22">
        <f t="shared" si="395"/>
        <v>0</v>
      </c>
      <c r="O856" s="22">
        <f t="shared" si="395"/>
        <v>0</v>
      </c>
      <c r="P856" s="22">
        <f t="shared" si="395"/>
        <v>0</v>
      </c>
      <c r="Q856" s="22">
        <f t="shared" si="395"/>
        <v>0</v>
      </c>
      <c r="R856" s="22">
        <f t="shared" si="395"/>
        <v>0</v>
      </c>
      <c r="S856" s="22">
        <f t="shared" si="395"/>
        <v>0</v>
      </c>
      <c r="T856" s="22">
        <f t="shared" si="395"/>
        <v>0</v>
      </c>
      <c r="U856" s="22">
        <f t="shared" si="395"/>
        <v>0</v>
      </c>
      <c r="V856" s="22">
        <f t="shared" si="395"/>
        <v>0</v>
      </c>
      <c r="W856" s="22">
        <f t="shared" si="395"/>
        <v>0</v>
      </c>
      <c r="X856" s="22">
        <f t="shared" si="395"/>
        <v>0</v>
      </c>
      <c r="Y856" s="22">
        <f t="shared" si="395"/>
        <v>0</v>
      </c>
      <c r="Z856" s="22">
        <f t="shared" si="395"/>
        <v>0</v>
      </c>
      <c r="AA856" s="22">
        <f t="shared" si="395"/>
        <v>0</v>
      </c>
      <c r="AB856" s="22">
        <f t="shared" si="395"/>
        <v>0</v>
      </c>
      <c r="AC856" s="22">
        <f t="shared" si="395"/>
        <v>0</v>
      </c>
      <c r="AD856" s="22">
        <f t="shared" si="395"/>
        <v>0</v>
      </c>
      <c r="AE856" s="22">
        <f t="shared" si="395"/>
        <v>0</v>
      </c>
      <c r="AF856" s="22">
        <f t="shared" si="395"/>
        <v>0</v>
      </c>
      <c r="AG856" s="22">
        <f t="shared" si="395"/>
        <v>0</v>
      </c>
      <c r="AH856" s="22">
        <f t="shared" si="395"/>
        <v>0</v>
      </c>
      <c r="AI856" s="22">
        <f t="shared" si="395"/>
        <v>0</v>
      </c>
      <c r="AJ856" s="22">
        <f t="shared" si="395"/>
        <v>0</v>
      </c>
      <c r="AK856" s="22">
        <f t="shared" si="395"/>
        <v>0</v>
      </c>
      <c r="AL856" s="22">
        <f t="shared" si="395"/>
        <v>0</v>
      </c>
      <c r="AM856" s="22">
        <f t="shared" si="395"/>
        <v>0</v>
      </c>
      <c r="AN856" s="22">
        <f t="shared" si="395"/>
        <v>0</v>
      </c>
    </row>
    <row r="857" spans="1:40" outlineLevel="1" x14ac:dyDescent="0.3">
      <c r="I857" s="18"/>
    </row>
    <row r="858" spans="1:40" outlineLevel="1" x14ac:dyDescent="0.3">
      <c r="D858" s="1" t="s">
        <v>137</v>
      </c>
      <c r="H858" s="26" t="s">
        <v>245</v>
      </c>
      <c r="I858" s="22">
        <f>SUM(L858:AN858)</f>
        <v>1804.5296093095819</v>
      </c>
      <c r="L858" s="22">
        <f>MAX(L851-L853,0)</f>
        <v>0</v>
      </c>
      <c r="M858" s="22">
        <f t="shared" ref="M858:AN858" si="396">MAX(M851-M853,0)</f>
        <v>0</v>
      </c>
      <c r="N858" s="22">
        <f t="shared" si="396"/>
        <v>22.609198088560113</v>
      </c>
      <c r="O858" s="22">
        <f t="shared" si="396"/>
        <v>18.234421309568084</v>
      </c>
      <c r="P858" s="22">
        <f t="shared" si="396"/>
        <v>21.372803998971136</v>
      </c>
      <c r="Q858" s="22">
        <f t="shared" si="396"/>
        <v>23.705013723695181</v>
      </c>
      <c r="R858" s="22">
        <f t="shared" si="396"/>
        <v>16.330426350333241</v>
      </c>
      <c r="S858" s="22">
        <f t="shared" si="396"/>
        <v>56.540864699905882</v>
      </c>
      <c r="T858" s="22">
        <f t="shared" si="396"/>
        <v>61.510201528252587</v>
      </c>
      <c r="U858" s="22">
        <f t="shared" si="396"/>
        <v>65.877971761804531</v>
      </c>
      <c r="V858" s="22">
        <f t="shared" si="396"/>
        <v>127.84395055558633</v>
      </c>
      <c r="W858" s="22">
        <f t="shared" si="396"/>
        <v>187.14354607045158</v>
      </c>
      <c r="X858" s="22">
        <f t="shared" si="396"/>
        <v>217.50925889670805</v>
      </c>
      <c r="Y858" s="22">
        <f t="shared" si="396"/>
        <v>225.96119385705302</v>
      </c>
      <c r="Z858" s="22">
        <f t="shared" si="396"/>
        <v>237.02246275409101</v>
      </c>
      <c r="AA858" s="22">
        <f t="shared" si="396"/>
        <v>232.45907773164672</v>
      </c>
      <c r="AB858" s="22">
        <f t="shared" si="396"/>
        <v>243.71851789946186</v>
      </c>
      <c r="AC858" s="22">
        <f t="shared" si="396"/>
        <v>46.690700083492708</v>
      </c>
      <c r="AD858" s="22">
        <f t="shared" si="396"/>
        <v>0</v>
      </c>
      <c r="AE858" s="22">
        <f t="shared" si="396"/>
        <v>0</v>
      </c>
      <c r="AF858" s="22">
        <f t="shared" si="396"/>
        <v>0</v>
      </c>
      <c r="AG858" s="22">
        <f t="shared" si="396"/>
        <v>0</v>
      </c>
      <c r="AH858" s="22">
        <f t="shared" si="396"/>
        <v>0</v>
      </c>
      <c r="AI858" s="22">
        <f t="shared" si="396"/>
        <v>0</v>
      </c>
      <c r="AJ858" s="22">
        <f t="shared" si="396"/>
        <v>0</v>
      </c>
      <c r="AK858" s="22">
        <f t="shared" si="396"/>
        <v>0</v>
      </c>
      <c r="AL858" s="22">
        <f t="shared" si="396"/>
        <v>0</v>
      </c>
      <c r="AM858" s="22">
        <f t="shared" si="396"/>
        <v>0</v>
      </c>
      <c r="AN858" s="22">
        <f t="shared" si="396"/>
        <v>0</v>
      </c>
    </row>
    <row r="859" spans="1:40" outlineLevel="1" x14ac:dyDescent="0.3">
      <c r="D859" s="2" t="s">
        <v>22</v>
      </c>
      <c r="H859" s="30" t="s">
        <v>245</v>
      </c>
      <c r="I859" s="22">
        <f>SUM(L859:AN859)</f>
        <v>451.13240232739548</v>
      </c>
      <c r="L859" s="34">
        <f>L858*L831</f>
        <v>0</v>
      </c>
      <c r="M859" s="34">
        <f t="shared" ref="M859:AN859" si="397">M858*M831</f>
        <v>0</v>
      </c>
      <c r="N859" s="34">
        <f t="shared" si="397"/>
        <v>5.6522995221400283</v>
      </c>
      <c r="O859" s="34">
        <f t="shared" si="397"/>
        <v>4.5586053273920211</v>
      </c>
      <c r="P859" s="34">
        <f t="shared" si="397"/>
        <v>5.3432009997427841</v>
      </c>
      <c r="Q859" s="34">
        <f t="shared" si="397"/>
        <v>5.9262534309237953</v>
      </c>
      <c r="R859" s="34">
        <f t="shared" si="397"/>
        <v>4.0826065875833102</v>
      </c>
      <c r="S859" s="34">
        <f t="shared" si="397"/>
        <v>14.13521617497647</v>
      </c>
      <c r="T859" s="34">
        <f t="shared" si="397"/>
        <v>15.377550382063147</v>
      </c>
      <c r="U859" s="34">
        <f t="shared" si="397"/>
        <v>16.469492940451133</v>
      </c>
      <c r="V859" s="34">
        <f t="shared" si="397"/>
        <v>31.960987638896583</v>
      </c>
      <c r="W859" s="34">
        <f t="shared" si="397"/>
        <v>46.785886517612894</v>
      </c>
      <c r="X859" s="34">
        <f t="shared" si="397"/>
        <v>54.377314724177012</v>
      </c>
      <c r="Y859" s="34">
        <f t="shared" si="397"/>
        <v>56.490298464263255</v>
      </c>
      <c r="Z859" s="34">
        <f t="shared" si="397"/>
        <v>59.255615688522752</v>
      </c>
      <c r="AA859" s="34">
        <f t="shared" si="397"/>
        <v>58.114769432911679</v>
      </c>
      <c r="AB859" s="34">
        <f t="shared" si="397"/>
        <v>60.929629474865465</v>
      </c>
      <c r="AC859" s="34">
        <f t="shared" si="397"/>
        <v>11.672675020873177</v>
      </c>
      <c r="AD859" s="34">
        <f t="shared" si="397"/>
        <v>0</v>
      </c>
      <c r="AE859" s="34">
        <f t="shared" si="397"/>
        <v>0</v>
      </c>
      <c r="AF859" s="34">
        <f t="shared" si="397"/>
        <v>0</v>
      </c>
      <c r="AG859" s="34">
        <f t="shared" si="397"/>
        <v>0</v>
      </c>
      <c r="AH859" s="34">
        <f t="shared" si="397"/>
        <v>0</v>
      </c>
      <c r="AI859" s="34">
        <f t="shared" si="397"/>
        <v>0</v>
      </c>
      <c r="AJ859" s="34">
        <f t="shared" si="397"/>
        <v>0</v>
      </c>
      <c r="AK859" s="34">
        <f t="shared" si="397"/>
        <v>0</v>
      </c>
      <c r="AL859" s="34">
        <f t="shared" si="397"/>
        <v>0</v>
      </c>
      <c r="AM859" s="34">
        <f t="shared" si="397"/>
        <v>0</v>
      </c>
      <c r="AN859" s="34">
        <f t="shared" si="397"/>
        <v>0</v>
      </c>
    </row>
    <row r="860" spans="1:40" outlineLevel="1" x14ac:dyDescent="0.3">
      <c r="I860" s="18"/>
    </row>
    <row r="861" spans="1:40" outlineLevel="1" x14ac:dyDescent="0.3">
      <c r="C861" s="2" t="s">
        <v>338</v>
      </c>
      <c r="I861" s="18" t="s">
        <v>347</v>
      </c>
    </row>
    <row r="862" spans="1:40" outlineLevel="1" x14ac:dyDescent="0.3">
      <c r="I862" s="18"/>
    </row>
    <row r="863" spans="1:40" outlineLevel="1" x14ac:dyDescent="0.3">
      <c r="D863" s="1" t="s">
        <v>344</v>
      </c>
      <c r="H863" s="26" t="s">
        <v>245</v>
      </c>
      <c r="I863" s="22">
        <f t="shared" ref="I863:I868" si="398">SUM(L863:AN863)</f>
        <v>2123.2825769280157</v>
      </c>
      <c r="L863" s="33">
        <f>PL_BS_CF!L22</f>
        <v>0</v>
      </c>
      <c r="M863" s="33">
        <f>PL_BS_CF!M22</f>
        <v>0</v>
      </c>
      <c r="N863" s="33">
        <f>PL_BS_CF!N22</f>
        <v>54.088612161078409</v>
      </c>
      <c r="O863" s="33">
        <f>PL_BS_CF!O22</f>
        <v>56.090893813629421</v>
      </c>
      <c r="P863" s="33">
        <f>PL_BS_CF!P22</f>
        <v>59.289447943777574</v>
      </c>
      <c r="Q863" s="33">
        <f>PL_BS_CF!Q22</f>
        <v>61.681829109246713</v>
      </c>
      <c r="R863" s="33">
        <f>PL_BS_CF!R22</f>
        <v>54.367413176629874</v>
      </c>
      <c r="S863" s="33">
        <f>PL_BS_CF!S22</f>
        <v>69.040275444022498</v>
      </c>
      <c r="T863" s="33">
        <f>PL_BS_CF!T22</f>
        <v>68.681717286355337</v>
      </c>
      <c r="U863" s="33">
        <f>PL_BS_CF!U22</f>
        <v>73.05588873700782</v>
      </c>
      <c r="V863" s="33">
        <f>PL_BS_CF!V22</f>
        <v>146.13010088477776</v>
      </c>
      <c r="W863" s="33">
        <f>PL_BS_CF!W22</f>
        <v>205.18991290297163</v>
      </c>
      <c r="X863" s="33">
        <f>PL_BS_CF!X22</f>
        <v>227.3565853740424</v>
      </c>
      <c r="Y863" s="33">
        <f>PL_BS_CF!Y22</f>
        <v>235.43358033326757</v>
      </c>
      <c r="Z863" s="33">
        <f>PL_BS_CF!Z22</f>
        <v>255.10631645064663</v>
      </c>
      <c r="AA863" s="33">
        <f>PL_BS_CF!AA22</f>
        <v>249.90993152962739</v>
      </c>
      <c r="AB863" s="33">
        <f>PL_BS_CF!AB22</f>
        <v>261.1693716974425</v>
      </c>
      <c r="AC863" s="33">
        <f>PL_BS_CF!AC22</f>
        <v>46.690700083492708</v>
      </c>
      <c r="AD863" s="33">
        <f>PL_BS_CF!AD22</f>
        <v>0</v>
      </c>
      <c r="AE863" s="33">
        <f>PL_BS_CF!AE22</f>
        <v>0</v>
      </c>
      <c r="AF863" s="33">
        <f>PL_BS_CF!AF22</f>
        <v>0</v>
      </c>
      <c r="AG863" s="33">
        <f>PL_BS_CF!AG22</f>
        <v>0</v>
      </c>
      <c r="AH863" s="33">
        <f>PL_BS_CF!AH22</f>
        <v>0</v>
      </c>
      <c r="AI863" s="33">
        <f>PL_BS_CF!AI22</f>
        <v>0</v>
      </c>
      <c r="AJ863" s="33">
        <f>PL_BS_CF!AJ22</f>
        <v>0</v>
      </c>
      <c r="AK863" s="33">
        <f>PL_BS_CF!AK22</f>
        <v>0</v>
      </c>
      <c r="AL863" s="33">
        <f>PL_BS_CF!AL22</f>
        <v>0</v>
      </c>
      <c r="AM863" s="33">
        <f>PL_BS_CF!AM22</f>
        <v>0</v>
      </c>
      <c r="AN863" s="33">
        <f>PL_BS_CF!AN22</f>
        <v>0</v>
      </c>
    </row>
    <row r="864" spans="1:40" outlineLevel="1" x14ac:dyDescent="0.3">
      <c r="D864" s="1" t="s">
        <v>342</v>
      </c>
      <c r="H864" s="26" t="s">
        <v>245</v>
      </c>
      <c r="I864" s="22">
        <f t="shared" si="398"/>
        <v>203.72354559900563</v>
      </c>
      <c r="L864" s="33">
        <f>L736</f>
        <v>0</v>
      </c>
      <c r="M864" s="33">
        <f t="shared" ref="M864:AN864" si="399">M736</f>
        <v>27.415741179661016</v>
      </c>
      <c r="N864" s="33">
        <f t="shared" si="399"/>
        <v>44.999930757966098</v>
      </c>
      <c r="O864" s="33">
        <f t="shared" si="399"/>
        <v>32.400404181423724</v>
      </c>
      <c r="P864" s="33">
        <f t="shared" si="399"/>
        <v>26.849148753717511</v>
      </c>
      <c r="Q864" s="33">
        <f t="shared" si="399"/>
        <v>20.260063322847454</v>
      </c>
      <c r="R864" s="33">
        <f t="shared" si="399"/>
        <v>15.866096465536719</v>
      </c>
      <c r="S864" s="33">
        <f t="shared" si="399"/>
        <v>12.972875039548018</v>
      </c>
      <c r="T864" s="33">
        <f t="shared" si="399"/>
        <v>10.079653613559319</v>
      </c>
      <c r="U864" s="33">
        <f t="shared" si="399"/>
        <v>7.1864321875706194</v>
      </c>
      <c r="V864" s="33">
        <f t="shared" si="399"/>
        <v>4.2932107615819195</v>
      </c>
      <c r="W864" s="33">
        <f t="shared" si="399"/>
        <v>1.39998933559322</v>
      </c>
      <c r="X864" s="33">
        <f t="shared" si="399"/>
        <v>0</v>
      </c>
      <c r="Y864" s="33">
        <f t="shared" si="399"/>
        <v>0</v>
      </c>
      <c r="Z864" s="33">
        <f t="shared" si="399"/>
        <v>0</v>
      </c>
      <c r="AA864" s="33">
        <f t="shared" si="399"/>
        <v>0</v>
      </c>
      <c r="AB864" s="33">
        <f t="shared" si="399"/>
        <v>0</v>
      </c>
      <c r="AC864" s="33">
        <f t="shared" si="399"/>
        <v>0</v>
      </c>
      <c r="AD864" s="33">
        <f t="shared" si="399"/>
        <v>0</v>
      </c>
      <c r="AE864" s="33">
        <f t="shared" si="399"/>
        <v>0</v>
      </c>
      <c r="AF864" s="33">
        <f t="shared" si="399"/>
        <v>0</v>
      </c>
      <c r="AG864" s="33">
        <f t="shared" si="399"/>
        <v>0</v>
      </c>
      <c r="AH864" s="33">
        <f t="shared" si="399"/>
        <v>0</v>
      </c>
      <c r="AI864" s="33">
        <f t="shared" si="399"/>
        <v>0</v>
      </c>
      <c r="AJ864" s="33">
        <f t="shared" si="399"/>
        <v>0</v>
      </c>
      <c r="AK864" s="33">
        <f t="shared" si="399"/>
        <v>0</v>
      </c>
      <c r="AL864" s="33">
        <f t="shared" si="399"/>
        <v>0</v>
      </c>
      <c r="AM864" s="33">
        <f t="shared" si="399"/>
        <v>0</v>
      </c>
      <c r="AN864" s="33">
        <f t="shared" si="399"/>
        <v>0</v>
      </c>
    </row>
    <row r="865" spans="1:41" outlineLevel="1" x14ac:dyDescent="0.3">
      <c r="D865" s="1" t="s">
        <v>343</v>
      </c>
      <c r="H865" s="26" t="s">
        <v>245</v>
      </c>
      <c r="I865" s="22">
        <f t="shared" si="398"/>
        <v>319.91184367002336</v>
      </c>
      <c r="L865" s="33">
        <f t="shared" ref="L865:AN865" si="400">L153</f>
        <v>0</v>
      </c>
      <c r="M865" s="33">
        <f t="shared" si="400"/>
        <v>0</v>
      </c>
      <c r="N865" s="33">
        <f t="shared" si="400"/>
        <v>31.768258033192083</v>
      </c>
      <c r="O865" s="33">
        <f t="shared" si="400"/>
        <v>38.121909639830498</v>
      </c>
      <c r="P865" s="33">
        <f t="shared" si="400"/>
        <v>38.121909639830498</v>
      </c>
      <c r="Q865" s="33">
        <f t="shared" si="400"/>
        <v>38.121909639830498</v>
      </c>
      <c r="R865" s="33">
        <f t="shared" si="400"/>
        <v>38.121909639830498</v>
      </c>
      <c r="S865" s="33">
        <f t="shared" si="400"/>
        <v>12.546566376757269</v>
      </c>
      <c r="T865" s="33">
        <f t="shared" si="400"/>
        <v>7.2077893216724993</v>
      </c>
      <c r="U865" s="33">
        <f t="shared" si="400"/>
        <v>7.2077893216724993</v>
      </c>
      <c r="V865" s="33">
        <f t="shared" si="400"/>
        <v>18.309621458560084</v>
      </c>
      <c r="W865" s="33">
        <f t="shared" si="400"/>
        <v>18.063436744788163</v>
      </c>
      <c r="X865" s="33">
        <f t="shared" si="400"/>
        <v>9.8579951725019299</v>
      </c>
      <c r="Y865" s="33">
        <f t="shared" si="400"/>
        <v>9.4766539542815913</v>
      </c>
      <c r="Z865" s="33">
        <f t="shared" si="400"/>
        <v>18.084387131313996</v>
      </c>
      <c r="AA865" s="33">
        <f t="shared" si="400"/>
        <v>17.45085379798066</v>
      </c>
      <c r="AB865" s="33">
        <f t="shared" si="400"/>
        <v>17.450853797980656</v>
      </c>
      <c r="AC865" s="33">
        <f t="shared" si="400"/>
        <v>0</v>
      </c>
      <c r="AD865" s="33">
        <f t="shared" si="400"/>
        <v>0</v>
      </c>
      <c r="AE865" s="33">
        <f t="shared" si="400"/>
        <v>0</v>
      </c>
      <c r="AF865" s="33">
        <f t="shared" si="400"/>
        <v>0</v>
      </c>
      <c r="AG865" s="33">
        <f t="shared" si="400"/>
        <v>0</v>
      </c>
      <c r="AH865" s="33">
        <f t="shared" si="400"/>
        <v>0</v>
      </c>
      <c r="AI865" s="33">
        <f t="shared" si="400"/>
        <v>0</v>
      </c>
      <c r="AJ865" s="33">
        <f t="shared" si="400"/>
        <v>0</v>
      </c>
      <c r="AK865" s="33">
        <f t="shared" si="400"/>
        <v>0</v>
      </c>
      <c r="AL865" s="33">
        <f t="shared" si="400"/>
        <v>0</v>
      </c>
      <c r="AM865" s="33">
        <f t="shared" si="400"/>
        <v>0</v>
      </c>
      <c r="AN865" s="33">
        <f t="shared" si="400"/>
        <v>0</v>
      </c>
    </row>
    <row r="866" spans="1:41" outlineLevel="1" x14ac:dyDescent="0.3">
      <c r="D866" s="2" t="s">
        <v>345</v>
      </c>
      <c r="H866" s="30" t="s">
        <v>245</v>
      </c>
      <c r="I866" s="34">
        <f t="shared" si="398"/>
        <v>1599.6471876589869</v>
      </c>
      <c r="L866" s="34">
        <f>L863-L864-L865</f>
        <v>0</v>
      </c>
      <c r="M866" s="34">
        <f t="shared" ref="M866:AN866" si="401">M863-M864-M865</f>
        <v>-27.415741179661016</v>
      </c>
      <c r="N866" s="34">
        <f>N863-N864-N865</f>
        <v>-22.679576630079772</v>
      </c>
      <c r="O866" s="34">
        <f t="shared" si="401"/>
        <v>-14.431420007624801</v>
      </c>
      <c r="P866" s="34">
        <f t="shared" si="401"/>
        <v>-5.6816104497704387</v>
      </c>
      <c r="Q866" s="34">
        <f t="shared" si="401"/>
        <v>3.2998561465687644</v>
      </c>
      <c r="R866" s="34">
        <f t="shared" si="401"/>
        <v>0.37940707126265494</v>
      </c>
      <c r="S866" s="34">
        <f t="shared" si="401"/>
        <v>43.520834027717214</v>
      </c>
      <c r="T866" s="34">
        <f t="shared" si="401"/>
        <v>51.394274351123521</v>
      </c>
      <c r="U866" s="34">
        <f t="shared" si="401"/>
        <v>58.661667227764703</v>
      </c>
      <c r="V866" s="34">
        <f t="shared" si="401"/>
        <v>123.52726866463576</v>
      </c>
      <c r="W866" s="34">
        <f t="shared" si="401"/>
        <v>185.72648682259023</v>
      </c>
      <c r="X866" s="34">
        <f t="shared" si="401"/>
        <v>217.49859020154048</v>
      </c>
      <c r="Y866" s="34">
        <f t="shared" si="401"/>
        <v>225.95692637898597</v>
      </c>
      <c r="Z866" s="34">
        <f t="shared" si="401"/>
        <v>237.02192931933263</v>
      </c>
      <c r="AA866" s="34">
        <f t="shared" si="401"/>
        <v>232.45907773164672</v>
      </c>
      <c r="AB866" s="34">
        <f t="shared" si="401"/>
        <v>243.71851789946186</v>
      </c>
      <c r="AC866" s="34">
        <f t="shared" si="401"/>
        <v>46.690700083492708</v>
      </c>
      <c r="AD866" s="34">
        <f t="shared" si="401"/>
        <v>0</v>
      </c>
      <c r="AE866" s="34">
        <f t="shared" si="401"/>
        <v>0</v>
      </c>
      <c r="AF866" s="34">
        <f t="shared" si="401"/>
        <v>0</v>
      </c>
      <c r="AG866" s="34">
        <f t="shared" si="401"/>
        <v>0</v>
      </c>
      <c r="AH866" s="34">
        <f t="shared" si="401"/>
        <v>0</v>
      </c>
      <c r="AI866" s="34">
        <f t="shared" si="401"/>
        <v>0</v>
      </c>
      <c r="AJ866" s="34">
        <f t="shared" si="401"/>
        <v>0</v>
      </c>
      <c r="AK866" s="34">
        <f t="shared" si="401"/>
        <v>0</v>
      </c>
      <c r="AL866" s="34">
        <f t="shared" si="401"/>
        <v>0</v>
      </c>
      <c r="AM866" s="34">
        <f t="shared" si="401"/>
        <v>0</v>
      </c>
      <c r="AN866" s="34">
        <f t="shared" si="401"/>
        <v>0</v>
      </c>
    </row>
    <row r="867" spans="1:41" outlineLevel="1" x14ac:dyDescent="0.3">
      <c r="D867" s="1" t="s">
        <v>18</v>
      </c>
      <c r="H867" s="26" t="s">
        <v>245</v>
      </c>
      <c r="I867" s="22">
        <f t="shared" si="398"/>
        <v>70.208348267136017</v>
      </c>
      <c r="L867" s="22">
        <f>IF(L866&lt;0,-L866,0)</f>
        <v>0</v>
      </c>
      <c r="M867" s="22">
        <f t="shared" ref="M867:AN867" si="402">IF(M866&lt;0,-M866,0)</f>
        <v>27.415741179661016</v>
      </c>
      <c r="N867" s="22">
        <f t="shared" si="402"/>
        <v>22.679576630079772</v>
      </c>
      <c r="O867" s="22">
        <f t="shared" si="402"/>
        <v>14.431420007624801</v>
      </c>
      <c r="P867" s="22">
        <f t="shared" si="402"/>
        <v>5.6816104497704387</v>
      </c>
      <c r="Q867" s="22">
        <f t="shared" si="402"/>
        <v>0</v>
      </c>
      <c r="R867" s="22">
        <f t="shared" si="402"/>
        <v>0</v>
      </c>
      <c r="S867" s="22">
        <f t="shared" si="402"/>
        <v>0</v>
      </c>
      <c r="T867" s="22">
        <f t="shared" si="402"/>
        <v>0</v>
      </c>
      <c r="U867" s="22">
        <f t="shared" si="402"/>
        <v>0</v>
      </c>
      <c r="V867" s="22">
        <f t="shared" si="402"/>
        <v>0</v>
      </c>
      <c r="W867" s="22">
        <f t="shared" si="402"/>
        <v>0</v>
      </c>
      <c r="X867" s="22">
        <f t="shared" si="402"/>
        <v>0</v>
      </c>
      <c r="Y867" s="22">
        <f t="shared" si="402"/>
        <v>0</v>
      </c>
      <c r="Z867" s="22">
        <f t="shared" si="402"/>
        <v>0</v>
      </c>
      <c r="AA867" s="22">
        <f t="shared" si="402"/>
        <v>0</v>
      </c>
      <c r="AB867" s="22">
        <f t="shared" si="402"/>
        <v>0</v>
      </c>
      <c r="AC867" s="22">
        <f t="shared" si="402"/>
        <v>0</v>
      </c>
      <c r="AD867" s="22">
        <f t="shared" si="402"/>
        <v>0</v>
      </c>
      <c r="AE867" s="22">
        <f t="shared" si="402"/>
        <v>0</v>
      </c>
      <c r="AF867" s="22">
        <f t="shared" si="402"/>
        <v>0</v>
      </c>
      <c r="AG867" s="22">
        <f t="shared" si="402"/>
        <v>0</v>
      </c>
      <c r="AH867" s="22">
        <f t="shared" si="402"/>
        <v>0</v>
      </c>
      <c r="AI867" s="22">
        <f t="shared" si="402"/>
        <v>0</v>
      </c>
      <c r="AJ867" s="22">
        <f t="shared" si="402"/>
        <v>0</v>
      </c>
      <c r="AK867" s="22">
        <f t="shared" si="402"/>
        <v>0</v>
      </c>
      <c r="AL867" s="22">
        <f t="shared" si="402"/>
        <v>0</v>
      </c>
      <c r="AM867" s="22">
        <f t="shared" si="402"/>
        <v>0</v>
      </c>
      <c r="AN867" s="22">
        <f t="shared" si="402"/>
        <v>0</v>
      </c>
    </row>
    <row r="868" spans="1:41" outlineLevel="1" x14ac:dyDescent="0.3">
      <c r="D868" s="1" t="s">
        <v>19</v>
      </c>
      <c r="H868" s="26" t="s">
        <v>245</v>
      </c>
      <c r="I868" s="22">
        <f t="shared" si="398"/>
        <v>70.208348267136017</v>
      </c>
      <c r="L868" s="22">
        <f>IF(L866&gt;0,MIN(L866*L829,L870),0)</f>
        <v>0</v>
      </c>
      <c r="M868" s="22">
        <f t="shared" ref="M868:AN868" si="403">IF(M866&gt;0,MIN(M866*M829,M870),0)</f>
        <v>0</v>
      </c>
      <c r="N868" s="22">
        <f t="shared" si="403"/>
        <v>0</v>
      </c>
      <c r="O868" s="22">
        <f t="shared" si="403"/>
        <v>0</v>
      </c>
      <c r="P868" s="22">
        <f t="shared" si="403"/>
        <v>0</v>
      </c>
      <c r="Q868" s="22">
        <f t="shared" si="403"/>
        <v>1.6499280732843822</v>
      </c>
      <c r="R868" s="22">
        <f t="shared" si="403"/>
        <v>0.18970353563132747</v>
      </c>
      <c r="S868" s="22">
        <f t="shared" si="403"/>
        <v>21.760417013858607</v>
      </c>
      <c r="T868" s="22">
        <f t="shared" si="403"/>
        <v>25.69713717556176</v>
      </c>
      <c r="U868" s="22">
        <f t="shared" si="403"/>
        <v>20.91116246879994</v>
      </c>
      <c r="V868" s="22">
        <f t="shared" si="403"/>
        <v>0</v>
      </c>
      <c r="W868" s="22">
        <f t="shared" si="403"/>
        <v>0</v>
      </c>
      <c r="X868" s="22">
        <f t="shared" si="403"/>
        <v>0</v>
      </c>
      <c r="Y868" s="22">
        <f t="shared" si="403"/>
        <v>0</v>
      </c>
      <c r="Z868" s="22">
        <f t="shared" si="403"/>
        <v>0</v>
      </c>
      <c r="AA868" s="22">
        <f t="shared" si="403"/>
        <v>0</v>
      </c>
      <c r="AB868" s="22">
        <f t="shared" si="403"/>
        <v>0</v>
      </c>
      <c r="AC868" s="22">
        <f t="shared" si="403"/>
        <v>0</v>
      </c>
      <c r="AD868" s="22">
        <f t="shared" si="403"/>
        <v>0</v>
      </c>
      <c r="AE868" s="22">
        <f t="shared" si="403"/>
        <v>0</v>
      </c>
      <c r="AF868" s="22">
        <f t="shared" si="403"/>
        <v>0</v>
      </c>
      <c r="AG868" s="22">
        <f t="shared" si="403"/>
        <v>0</v>
      </c>
      <c r="AH868" s="22">
        <f t="shared" si="403"/>
        <v>0</v>
      </c>
      <c r="AI868" s="22">
        <f t="shared" si="403"/>
        <v>0</v>
      </c>
      <c r="AJ868" s="22">
        <f t="shared" si="403"/>
        <v>0</v>
      </c>
      <c r="AK868" s="22">
        <f t="shared" si="403"/>
        <v>0</v>
      </c>
      <c r="AL868" s="22">
        <f t="shared" si="403"/>
        <v>0</v>
      </c>
      <c r="AM868" s="22">
        <f t="shared" si="403"/>
        <v>0</v>
      </c>
      <c r="AN868" s="22">
        <f t="shared" si="403"/>
        <v>0</v>
      </c>
    </row>
    <row r="869" spans="1:41" outlineLevel="1" x14ac:dyDescent="0.3"/>
    <row r="870" spans="1:41" outlineLevel="1" x14ac:dyDescent="0.3">
      <c r="D870" s="1" t="s">
        <v>20</v>
      </c>
      <c r="H870" s="26" t="s">
        <v>245</v>
      </c>
      <c r="L870" s="22">
        <f>K871</f>
        <v>0</v>
      </c>
      <c r="M870" s="22">
        <f t="shared" ref="M870:AN870" si="404">L871</f>
        <v>0</v>
      </c>
      <c r="N870" s="22">
        <f>M871</f>
        <v>27.415741179661016</v>
      </c>
      <c r="O870" s="22">
        <f t="shared" si="404"/>
        <v>50.095317809740791</v>
      </c>
      <c r="P870" s="22">
        <f t="shared" si="404"/>
        <v>64.526737817365586</v>
      </c>
      <c r="Q870" s="22">
        <f t="shared" si="404"/>
        <v>70.208348267136017</v>
      </c>
      <c r="R870" s="22">
        <f t="shared" si="404"/>
        <v>68.558420193851632</v>
      </c>
      <c r="S870" s="22">
        <f t="shared" si="404"/>
        <v>68.368716658220308</v>
      </c>
      <c r="T870" s="22">
        <f t="shared" si="404"/>
        <v>46.608299644361701</v>
      </c>
      <c r="U870" s="22">
        <f t="shared" si="404"/>
        <v>20.91116246879994</v>
      </c>
      <c r="V870" s="22">
        <f t="shared" si="404"/>
        <v>0</v>
      </c>
      <c r="W870" s="22">
        <f t="shared" si="404"/>
        <v>0</v>
      </c>
      <c r="X870" s="22">
        <f t="shared" si="404"/>
        <v>0</v>
      </c>
      <c r="Y870" s="22">
        <f t="shared" si="404"/>
        <v>0</v>
      </c>
      <c r="Z870" s="22">
        <f t="shared" si="404"/>
        <v>0</v>
      </c>
      <c r="AA870" s="22">
        <f t="shared" si="404"/>
        <v>0</v>
      </c>
      <c r="AB870" s="22">
        <f t="shared" si="404"/>
        <v>0</v>
      </c>
      <c r="AC870" s="22">
        <f t="shared" si="404"/>
        <v>0</v>
      </c>
      <c r="AD870" s="22">
        <f t="shared" si="404"/>
        <v>0</v>
      </c>
      <c r="AE870" s="22">
        <f t="shared" si="404"/>
        <v>0</v>
      </c>
      <c r="AF870" s="22">
        <f t="shared" si="404"/>
        <v>0</v>
      </c>
      <c r="AG870" s="22">
        <f t="shared" si="404"/>
        <v>0</v>
      </c>
      <c r="AH870" s="22">
        <f t="shared" si="404"/>
        <v>0</v>
      </c>
      <c r="AI870" s="22">
        <f t="shared" si="404"/>
        <v>0</v>
      </c>
      <c r="AJ870" s="22">
        <f t="shared" si="404"/>
        <v>0</v>
      </c>
      <c r="AK870" s="22">
        <f t="shared" si="404"/>
        <v>0</v>
      </c>
      <c r="AL870" s="22">
        <f t="shared" si="404"/>
        <v>0</v>
      </c>
      <c r="AM870" s="22">
        <f t="shared" si="404"/>
        <v>0</v>
      </c>
      <c r="AN870" s="22">
        <f t="shared" si="404"/>
        <v>0</v>
      </c>
    </row>
    <row r="871" spans="1:41" outlineLevel="1" x14ac:dyDescent="0.3">
      <c r="D871" s="1" t="s">
        <v>21</v>
      </c>
      <c r="H871" s="26" t="s">
        <v>245</v>
      </c>
      <c r="K871" s="87">
        <v>0</v>
      </c>
      <c r="L871" s="22">
        <f>L870+L867-L868</f>
        <v>0</v>
      </c>
      <c r="M871" s="22">
        <f t="shared" ref="M871:AN871" si="405">M870+M867-M868</f>
        <v>27.415741179661016</v>
      </c>
      <c r="N871" s="22">
        <f t="shared" si="405"/>
        <v>50.095317809740791</v>
      </c>
      <c r="O871" s="22">
        <f t="shared" si="405"/>
        <v>64.526737817365586</v>
      </c>
      <c r="P871" s="22">
        <f t="shared" si="405"/>
        <v>70.208348267136017</v>
      </c>
      <c r="Q871" s="22">
        <f t="shared" si="405"/>
        <v>68.558420193851632</v>
      </c>
      <c r="R871" s="22">
        <f t="shared" si="405"/>
        <v>68.368716658220308</v>
      </c>
      <c r="S871" s="22">
        <f t="shared" si="405"/>
        <v>46.608299644361701</v>
      </c>
      <c r="T871" s="22">
        <f t="shared" si="405"/>
        <v>20.91116246879994</v>
      </c>
      <c r="U871" s="22">
        <f t="shared" si="405"/>
        <v>0</v>
      </c>
      <c r="V871" s="22">
        <f t="shared" si="405"/>
        <v>0</v>
      </c>
      <c r="W871" s="22">
        <f t="shared" si="405"/>
        <v>0</v>
      </c>
      <c r="X871" s="22">
        <f t="shared" si="405"/>
        <v>0</v>
      </c>
      <c r="Y871" s="22">
        <f t="shared" si="405"/>
        <v>0</v>
      </c>
      <c r="Z871" s="22">
        <f t="shared" si="405"/>
        <v>0</v>
      </c>
      <c r="AA871" s="22">
        <f t="shared" si="405"/>
        <v>0</v>
      </c>
      <c r="AB871" s="22">
        <f t="shared" si="405"/>
        <v>0</v>
      </c>
      <c r="AC871" s="22">
        <f t="shared" si="405"/>
        <v>0</v>
      </c>
      <c r="AD871" s="22">
        <f t="shared" si="405"/>
        <v>0</v>
      </c>
      <c r="AE871" s="22">
        <f t="shared" si="405"/>
        <v>0</v>
      </c>
      <c r="AF871" s="22">
        <f t="shared" si="405"/>
        <v>0</v>
      </c>
      <c r="AG871" s="22">
        <f t="shared" si="405"/>
        <v>0</v>
      </c>
      <c r="AH871" s="22">
        <f t="shared" si="405"/>
        <v>0</v>
      </c>
      <c r="AI871" s="22">
        <f t="shared" si="405"/>
        <v>0</v>
      </c>
      <c r="AJ871" s="22">
        <f t="shared" si="405"/>
        <v>0</v>
      </c>
      <c r="AK871" s="22">
        <f t="shared" si="405"/>
        <v>0</v>
      </c>
      <c r="AL871" s="22">
        <f t="shared" si="405"/>
        <v>0</v>
      </c>
      <c r="AM871" s="22">
        <f t="shared" si="405"/>
        <v>0</v>
      </c>
      <c r="AN871" s="22">
        <f t="shared" si="405"/>
        <v>0</v>
      </c>
    </row>
    <row r="872" spans="1:41" outlineLevel="1" x14ac:dyDescent="0.3"/>
    <row r="873" spans="1:41" outlineLevel="1" x14ac:dyDescent="0.3">
      <c r="D873" s="1" t="s">
        <v>137</v>
      </c>
      <c r="H873" s="26" t="s">
        <v>245</v>
      </c>
      <c r="I873" s="22">
        <f>SUM(L873:AN873)</f>
        <v>1599.6471876589869</v>
      </c>
      <c r="L873" s="22">
        <f>MAX(L866-L868,0)</f>
        <v>0</v>
      </c>
      <c r="M873" s="22">
        <f t="shared" ref="M873:AN873" si="406">MAX(M866-M868,0)</f>
        <v>0</v>
      </c>
      <c r="N873" s="22">
        <f t="shared" si="406"/>
        <v>0</v>
      </c>
      <c r="O873" s="22">
        <f t="shared" si="406"/>
        <v>0</v>
      </c>
      <c r="P873" s="22">
        <f t="shared" si="406"/>
        <v>0</v>
      </c>
      <c r="Q873" s="22">
        <f t="shared" si="406"/>
        <v>1.6499280732843822</v>
      </c>
      <c r="R873" s="22">
        <f t="shared" si="406"/>
        <v>0.18970353563132747</v>
      </c>
      <c r="S873" s="22">
        <f t="shared" si="406"/>
        <v>21.760417013858607</v>
      </c>
      <c r="T873" s="22">
        <f t="shared" si="406"/>
        <v>25.69713717556176</v>
      </c>
      <c r="U873" s="22">
        <f t="shared" si="406"/>
        <v>37.750504758964766</v>
      </c>
      <c r="V873" s="22">
        <f t="shared" si="406"/>
        <v>123.52726866463576</v>
      </c>
      <c r="W873" s="22">
        <f t="shared" si="406"/>
        <v>185.72648682259023</v>
      </c>
      <c r="X873" s="22">
        <f t="shared" si="406"/>
        <v>217.49859020154048</v>
      </c>
      <c r="Y873" s="22">
        <f t="shared" si="406"/>
        <v>225.95692637898597</v>
      </c>
      <c r="Z873" s="22">
        <f t="shared" si="406"/>
        <v>237.02192931933263</v>
      </c>
      <c r="AA873" s="22">
        <f t="shared" si="406"/>
        <v>232.45907773164672</v>
      </c>
      <c r="AB873" s="22">
        <f t="shared" si="406"/>
        <v>243.71851789946186</v>
      </c>
      <c r="AC873" s="22">
        <f t="shared" si="406"/>
        <v>46.690700083492708</v>
      </c>
      <c r="AD873" s="22">
        <f t="shared" si="406"/>
        <v>0</v>
      </c>
      <c r="AE873" s="22">
        <f t="shared" si="406"/>
        <v>0</v>
      </c>
      <c r="AF873" s="22">
        <f t="shared" si="406"/>
        <v>0</v>
      </c>
      <c r="AG873" s="22">
        <f t="shared" si="406"/>
        <v>0</v>
      </c>
      <c r="AH873" s="22">
        <f t="shared" si="406"/>
        <v>0</v>
      </c>
      <c r="AI873" s="22">
        <f t="shared" si="406"/>
        <v>0</v>
      </c>
      <c r="AJ873" s="22">
        <f t="shared" si="406"/>
        <v>0</v>
      </c>
      <c r="AK873" s="22">
        <f t="shared" si="406"/>
        <v>0</v>
      </c>
      <c r="AL873" s="22">
        <f t="shared" si="406"/>
        <v>0</v>
      </c>
      <c r="AM873" s="22">
        <f t="shared" si="406"/>
        <v>0</v>
      </c>
      <c r="AN873" s="22">
        <f t="shared" si="406"/>
        <v>0</v>
      </c>
    </row>
    <row r="874" spans="1:41" outlineLevel="1" x14ac:dyDescent="0.3">
      <c r="D874" s="2" t="s">
        <v>22</v>
      </c>
      <c r="H874" s="30" t="s">
        <v>245</v>
      </c>
      <c r="I874" s="22">
        <f>SUM(L874:AN874)</f>
        <v>399.91179691474673</v>
      </c>
      <c r="J874" s="38"/>
      <c r="L874" s="34">
        <f>L873*L831</f>
        <v>0</v>
      </c>
      <c r="M874" s="34">
        <f t="shared" ref="M874:AN874" si="407">M873*M831</f>
        <v>0</v>
      </c>
      <c r="N874" s="34">
        <f t="shared" si="407"/>
        <v>0</v>
      </c>
      <c r="O874" s="34">
        <f t="shared" si="407"/>
        <v>0</v>
      </c>
      <c r="P874" s="34">
        <f t="shared" si="407"/>
        <v>0</v>
      </c>
      <c r="Q874" s="34">
        <f t="shared" si="407"/>
        <v>0.41248201832109554</v>
      </c>
      <c r="R874" s="34">
        <f t="shared" si="407"/>
        <v>4.7425883907831867E-2</v>
      </c>
      <c r="S874" s="34">
        <f t="shared" si="407"/>
        <v>5.4401042534646518</v>
      </c>
      <c r="T874" s="34">
        <f t="shared" si="407"/>
        <v>6.4242842938904401</v>
      </c>
      <c r="U874" s="34">
        <f t="shared" si="407"/>
        <v>9.4376261897411915</v>
      </c>
      <c r="V874" s="34">
        <f t="shared" si="407"/>
        <v>30.881817166158939</v>
      </c>
      <c r="W874" s="34">
        <f t="shared" si="407"/>
        <v>46.431621705647558</v>
      </c>
      <c r="X874" s="34">
        <f t="shared" si="407"/>
        <v>54.37464755038512</v>
      </c>
      <c r="Y874" s="34">
        <f t="shared" si="407"/>
        <v>56.489231594746492</v>
      </c>
      <c r="Z874" s="34">
        <f t="shared" si="407"/>
        <v>59.255482329833157</v>
      </c>
      <c r="AA874" s="34">
        <f t="shared" si="407"/>
        <v>58.114769432911679</v>
      </c>
      <c r="AB874" s="34">
        <f t="shared" si="407"/>
        <v>60.929629474865465</v>
      </c>
      <c r="AC874" s="34">
        <f t="shared" si="407"/>
        <v>11.672675020873177</v>
      </c>
      <c r="AD874" s="34">
        <f t="shared" si="407"/>
        <v>0</v>
      </c>
      <c r="AE874" s="34">
        <f t="shared" si="407"/>
        <v>0</v>
      </c>
      <c r="AF874" s="34">
        <f t="shared" si="407"/>
        <v>0</v>
      </c>
      <c r="AG874" s="34">
        <f t="shared" si="407"/>
        <v>0</v>
      </c>
      <c r="AH874" s="34">
        <f t="shared" si="407"/>
        <v>0</v>
      </c>
      <c r="AI874" s="34">
        <f t="shared" si="407"/>
        <v>0</v>
      </c>
      <c r="AJ874" s="34">
        <f t="shared" si="407"/>
        <v>0</v>
      </c>
      <c r="AK874" s="34">
        <f t="shared" si="407"/>
        <v>0</v>
      </c>
      <c r="AL874" s="34">
        <f t="shared" si="407"/>
        <v>0</v>
      </c>
      <c r="AM874" s="34">
        <f t="shared" si="407"/>
        <v>0</v>
      </c>
      <c r="AN874" s="34">
        <f t="shared" si="407"/>
        <v>0</v>
      </c>
    </row>
    <row r="875" spans="1:41" outlineLevel="1" x14ac:dyDescent="0.3">
      <c r="D875" s="2"/>
      <c r="H875" s="30"/>
      <c r="I875" s="35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</row>
    <row r="876" spans="1:41" outlineLevel="1" x14ac:dyDescent="0.3">
      <c r="D876" s="1" t="s">
        <v>373</v>
      </c>
      <c r="H876" s="26" t="s">
        <v>245</v>
      </c>
      <c r="I876" s="35"/>
      <c r="K876" s="87"/>
      <c r="L876" s="22">
        <f>L874-L843+K876</f>
        <v>0</v>
      </c>
      <c r="M876" s="22">
        <f t="shared" ref="M876" si="408">M874-M843+L876</f>
        <v>0</v>
      </c>
      <c r="N876" s="22">
        <f>N874-N843+M876</f>
        <v>0</v>
      </c>
      <c r="O876" s="22">
        <f>O874-O843+N876</f>
        <v>0</v>
      </c>
      <c r="P876" s="22">
        <f>P874-P843+O876</f>
        <v>0</v>
      </c>
      <c r="Q876" s="22">
        <f t="shared" ref="Q876:AN876" si="409">Q874-Q843+P876</f>
        <v>0.41248201832109554</v>
      </c>
      <c r="R876" s="22">
        <f t="shared" si="409"/>
        <v>0.45990790222892741</v>
      </c>
      <c r="S876" s="22">
        <f>S874-S843+R876</f>
        <v>-4.5437497307441976</v>
      </c>
      <c r="T876" s="22">
        <f t="shared" si="409"/>
        <v>-10.735262493705825</v>
      </c>
      <c r="U876" s="22">
        <f t="shared" si="409"/>
        <v>-15.730281579976996</v>
      </c>
      <c r="V876" s="22">
        <f t="shared" si="409"/>
        <v>-15.497510049048184</v>
      </c>
      <c r="W876" s="22">
        <f t="shared" si="409"/>
        <v>-15.264738518119369</v>
      </c>
      <c r="X876" s="22">
        <f t="shared" si="409"/>
        <v>-15.104708090605808</v>
      </c>
      <c r="Y876" s="22">
        <f>Y874-Y843+X876</f>
        <v>-14.9592258837753</v>
      </c>
      <c r="Z876" s="22">
        <f t="shared" si="409"/>
        <v>-14.934978849303551</v>
      </c>
      <c r="AA876" s="22">
        <f t="shared" si="409"/>
        <v>-14.934978849303551</v>
      </c>
      <c r="AB876" s="22">
        <f t="shared" si="409"/>
        <v>-14.934978849303551</v>
      </c>
      <c r="AC876" s="22">
        <f t="shared" si="409"/>
        <v>-14.934978849303551</v>
      </c>
      <c r="AD876" s="22">
        <f t="shared" si="409"/>
        <v>-14.934978849303551</v>
      </c>
      <c r="AE876" s="22">
        <f t="shared" si="409"/>
        <v>-14.934978849303551</v>
      </c>
      <c r="AF876" s="22">
        <f t="shared" si="409"/>
        <v>-14.934978849303551</v>
      </c>
      <c r="AG876" s="22">
        <f t="shared" si="409"/>
        <v>-14.934978849303551</v>
      </c>
      <c r="AH876" s="22">
        <f t="shared" si="409"/>
        <v>-14.934978849303551</v>
      </c>
      <c r="AI876" s="22">
        <f t="shared" si="409"/>
        <v>-14.934978849303551</v>
      </c>
      <c r="AJ876" s="22">
        <f t="shared" si="409"/>
        <v>-14.934978849303551</v>
      </c>
      <c r="AK876" s="22">
        <f t="shared" si="409"/>
        <v>-14.934978849303551</v>
      </c>
      <c r="AL876" s="22">
        <f t="shared" si="409"/>
        <v>-14.934978849303551</v>
      </c>
      <c r="AM876" s="22">
        <f t="shared" si="409"/>
        <v>-14.934978849303551</v>
      </c>
      <c r="AN876" s="22">
        <f t="shared" si="409"/>
        <v>-14.934978849303551</v>
      </c>
    </row>
    <row r="877" spans="1:41" outlineLevel="1" x14ac:dyDescent="0.3">
      <c r="H877" s="26"/>
      <c r="I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</row>
    <row r="878" spans="1:41" s="107" customFormat="1" outlineLevel="1" x14ac:dyDescent="0.3">
      <c r="A878" s="170"/>
      <c r="B878" s="98"/>
      <c r="C878" s="113" t="s">
        <v>231</v>
      </c>
      <c r="D878" s="98"/>
      <c r="E878" s="98"/>
      <c r="F878" s="98"/>
      <c r="G878" s="98"/>
      <c r="H878" s="98"/>
      <c r="I878" s="98"/>
      <c r="J878" s="98"/>
      <c r="K878" s="98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</row>
    <row r="879" spans="1:41" outlineLevel="1" x14ac:dyDescent="0.3">
      <c r="H879" s="26"/>
      <c r="I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</row>
    <row r="880" spans="1:41" outlineLevel="1" x14ac:dyDescent="0.3">
      <c r="B880" s="1" t="s">
        <v>385</v>
      </c>
      <c r="H880" s="26" t="s">
        <v>9</v>
      </c>
      <c r="I880" s="35"/>
      <c r="K880" s="35"/>
      <c r="L880" s="37">
        <f t="shared" ref="L880:AN880" si="410">L34</f>
        <v>0.2</v>
      </c>
      <c r="M880" s="37">
        <f t="shared" si="410"/>
        <v>0.2</v>
      </c>
      <c r="N880" s="37">
        <f t="shared" si="410"/>
        <v>0.2</v>
      </c>
      <c r="O880" s="37">
        <f t="shared" si="410"/>
        <v>0.2</v>
      </c>
      <c r="P880" s="37">
        <f t="shared" si="410"/>
        <v>0.2</v>
      </c>
      <c r="Q880" s="37">
        <f t="shared" si="410"/>
        <v>0.2</v>
      </c>
      <c r="R880" s="37">
        <f t="shared" si="410"/>
        <v>0.2</v>
      </c>
      <c r="S880" s="37">
        <f t="shared" si="410"/>
        <v>0.2</v>
      </c>
      <c r="T880" s="37">
        <f t="shared" si="410"/>
        <v>0.2</v>
      </c>
      <c r="U880" s="37">
        <f t="shared" si="410"/>
        <v>0.2</v>
      </c>
      <c r="V880" s="37">
        <f t="shared" si="410"/>
        <v>0.2</v>
      </c>
      <c r="W880" s="37">
        <f t="shared" si="410"/>
        <v>0.2</v>
      </c>
      <c r="X880" s="37">
        <f t="shared" si="410"/>
        <v>0.2</v>
      </c>
      <c r="Y880" s="37">
        <f t="shared" si="410"/>
        <v>0.2</v>
      </c>
      <c r="Z880" s="37">
        <f t="shared" si="410"/>
        <v>0.2</v>
      </c>
      <c r="AA880" s="37">
        <f t="shared" si="410"/>
        <v>0.2</v>
      </c>
      <c r="AB880" s="37">
        <f t="shared" si="410"/>
        <v>0.2</v>
      </c>
      <c r="AC880" s="37">
        <f t="shared" si="410"/>
        <v>0.2</v>
      </c>
      <c r="AD880" s="37">
        <f t="shared" si="410"/>
        <v>0</v>
      </c>
      <c r="AE880" s="37">
        <f t="shared" si="410"/>
        <v>0</v>
      </c>
      <c r="AF880" s="37">
        <f t="shared" si="410"/>
        <v>0</v>
      </c>
      <c r="AG880" s="37">
        <f t="shared" si="410"/>
        <v>0</v>
      </c>
      <c r="AH880" s="37">
        <f t="shared" si="410"/>
        <v>0</v>
      </c>
      <c r="AI880" s="37">
        <f t="shared" si="410"/>
        <v>0</v>
      </c>
      <c r="AJ880" s="37">
        <f t="shared" si="410"/>
        <v>0</v>
      </c>
      <c r="AK880" s="37">
        <f t="shared" si="410"/>
        <v>0</v>
      </c>
      <c r="AL880" s="37">
        <f t="shared" si="410"/>
        <v>0</v>
      </c>
      <c r="AM880" s="37">
        <f t="shared" si="410"/>
        <v>0</v>
      </c>
      <c r="AN880" s="37">
        <f t="shared" si="410"/>
        <v>0</v>
      </c>
    </row>
    <row r="881" spans="1:40" outlineLevel="1" x14ac:dyDescent="0.3">
      <c r="B881" s="1"/>
      <c r="H881" s="26"/>
      <c r="I881" s="35"/>
      <c r="K881" s="35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  <c r="AC881" s="149"/>
      <c r="AD881" s="149"/>
      <c r="AE881" s="149"/>
      <c r="AF881" s="149"/>
      <c r="AG881" s="149"/>
      <c r="AH881" s="149"/>
      <c r="AI881" s="149"/>
      <c r="AJ881" s="149"/>
      <c r="AK881" s="149"/>
      <c r="AL881" s="149"/>
      <c r="AM881" s="149"/>
      <c r="AN881" s="149"/>
    </row>
    <row r="882" spans="1:40" outlineLevel="1" x14ac:dyDescent="0.3">
      <c r="B882" s="2" t="s">
        <v>381</v>
      </c>
      <c r="H882" s="26"/>
      <c r="I882" s="35"/>
      <c r="K882" s="35"/>
      <c r="L882" s="34">
        <f t="shared" ref="L882:AN882" si="411">L883*L880</f>
        <v>0</v>
      </c>
      <c r="M882" s="34">
        <f t="shared" si="411"/>
        <v>0</v>
      </c>
      <c r="N882" s="34">
        <f t="shared" si="411"/>
        <v>136.85256611693336</v>
      </c>
      <c r="O882" s="34">
        <f t="shared" si="411"/>
        <v>170.79200251393283</v>
      </c>
      <c r="P882" s="34">
        <f t="shared" si="411"/>
        <v>178.11032284083123</v>
      </c>
      <c r="Q882" s="34">
        <f t="shared" si="411"/>
        <v>184.72862991906979</v>
      </c>
      <c r="R882" s="34">
        <f t="shared" si="411"/>
        <v>192.11777511583256</v>
      </c>
      <c r="S882" s="34">
        <f t="shared" si="411"/>
        <v>199.80248612046591</v>
      </c>
      <c r="T882" s="34">
        <f t="shared" si="411"/>
        <v>208.36388579970995</v>
      </c>
      <c r="U882" s="34">
        <f t="shared" si="411"/>
        <v>216.10636898789591</v>
      </c>
      <c r="V882" s="34">
        <f t="shared" si="411"/>
        <v>224.75062374741174</v>
      </c>
      <c r="W882" s="34">
        <f t="shared" si="411"/>
        <v>233.74064869730825</v>
      </c>
      <c r="X882" s="34">
        <f t="shared" si="411"/>
        <v>243.75627539765321</v>
      </c>
      <c r="Y882" s="34">
        <f t="shared" si="411"/>
        <v>252.81388563100859</v>
      </c>
      <c r="Z882" s="34">
        <f t="shared" si="411"/>
        <v>262.92644105624896</v>
      </c>
      <c r="AA882" s="34">
        <f t="shared" si="411"/>
        <v>273.4434986984989</v>
      </c>
      <c r="AB882" s="34">
        <f t="shared" si="411"/>
        <v>285.16036532766202</v>
      </c>
      <c r="AC882" s="34">
        <f t="shared" si="411"/>
        <v>49.292748032049403</v>
      </c>
      <c r="AD882" s="34">
        <f t="shared" si="411"/>
        <v>0</v>
      </c>
      <c r="AE882" s="34">
        <f t="shared" si="411"/>
        <v>0</v>
      </c>
      <c r="AF882" s="34">
        <f t="shared" si="411"/>
        <v>0</v>
      </c>
      <c r="AG882" s="34">
        <f t="shared" si="411"/>
        <v>0</v>
      </c>
      <c r="AH882" s="34">
        <f t="shared" si="411"/>
        <v>0</v>
      </c>
      <c r="AI882" s="34">
        <f t="shared" si="411"/>
        <v>0</v>
      </c>
      <c r="AJ882" s="34">
        <f t="shared" si="411"/>
        <v>0</v>
      </c>
      <c r="AK882" s="34">
        <f t="shared" si="411"/>
        <v>0</v>
      </c>
      <c r="AL882" s="34">
        <f t="shared" si="411"/>
        <v>0</v>
      </c>
      <c r="AM882" s="34">
        <f t="shared" si="411"/>
        <v>0</v>
      </c>
      <c r="AN882" s="34">
        <f t="shared" si="411"/>
        <v>0</v>
      </c>
    </row>
    <row r="883" spans="1:40" outlineLevel="1" x14ac:dyDescent="0.3">
      <c r="C883" s="1" t="s">
        <v>384</v>
      </c>
      <c r="H883" s="26" t="s">
        <v>245</v>
      </c>
      <c r="I883" s="35"/>
      <c r="K883" s="35"/>
      <c r="L883" s="33">
        <f t="shared" ref="L883:AN883" si="412">L444</f>
        <v>0</v>
      </c>
      <c r="M883" s="33">
        <f t="shared" si="412"/>
        <v>0</v>
      </c>
      <c r="N883" s="33">
        <f t="shared" si="412"/>
        <v>684.26283058466674</v>
      </c>
      <c r="O883" s="33">
        <f t="shared" si="412"/>
        <v>853.96001256966406</v>
      </c>
      <c r="P883" s="33">
        <f t="shared" si="412"/>
        <v>890.55161420415607</v>
      </c>
      <c r="Q883" s="33">
        <f t="shared" si="412"/>
        <v>923.64314959534886</v>
      </c>
      <c r="R883" s="33">
        <f t="shared" si="412"/>
        <v>960.58887557916273</v>
      </c>
      <c r="S883" s="33">
        <f t="shared" si="412"/>
        <v>999.01243060232946</v>
      </c>
      <c r="T883" s="33">
        <f t="shared" si="412"/>
        <v>1041.8194289985497</v>
      </c>
      <c r="U883" s="33">
        <f t="shared" si="412"/>
        <v>1080.5318449394795</v>
      </c>
      <c r="V883" s="33">
        <f t="shared" si="412"/>
        <v>1123.7531187370587</v>
      </c>
      <c r="W883" s="33">
        <f t="shared" si="412"/>
        <v>1168.7032434865412</v>
      </c>
      <c r="X883" s="33">
        <f t="shared" si="412"/>
        <v>1218.7813769882659</v>
      </c>
      <c r="Y883" s="33">
        <f t="shared" si="412"/>
        <v>1264.0694281550429</v>
      </c>
      <c r="Z883" s="33">
        <f t="shared" si="412"/>
        <v>1314.6322052812448</v>
      </c>
      <c r="AA883" s="33">
        <f t="shared" si="412"/>
        <v>1367.2174934924944</v>
      </c>
      <c r="AB883" s="33">
        <f t="shared" si="412"/>
        <v>1425.8018266383101</v>
      </c>
      <c r="AC883" s="33">
        <f t="shared" si="412"/>
        <v>246.463740160247</v>
      </c>
      <c r="AD883" s="33">
        <f t="shared" si="412"/>
        <v>0</v>
      </c>
      <c r="AE883" s="33">
        <f t="shared" si="412"/>
        <v>0</v>
      </c>
      <c r="AF883" s="33">
        <f t="shared" si="412"/>
        <v>0</v>
      </c>
      <c r="AG883" s="33">
        <f t="shared" si="412"/>
        <v>0</v>
      </c>
      <c r="AH883" s="33">
        <f t="shared" si="412"/>
        <v>0</v>
      </c>
      <c r="AI883" s="33">
        <f t="shared" si="412"/>
        <v>0</v>
      </c>
      <c r="AJ883" s="33">
        <f t="shared" si="412"/>
        <v>0</v>
      </c>
      <c r="AK883" s="33">
        <f t="shared" si="412"/>
        <v>0</v>
      </c>
      <c r="AL883" s="33">
        <f t="shared" si="412"/>
        <v>0</v>
      </c>
      <c r="AM883" s="33">
        <f t="shared" si="412"/>
        <v>0</v>
      </c>
      <c r="AN883" s="33">
        <f t="shared" si="412"/>
        <v>0</v>
      </c>
    </row>
    <row r="884" spans="1:40" outlineLevel="1" x14ac:dyDescent="0.3">
      <c r="H884" s="26"/>
      <c r="I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</row>
    <row r="885" spans="1:40" outlineLevel="1" x14ac:dyDescent="0.3">
      <c r="B885" s="2" t="s">
        <v>380</v>
      </c>
      <c r="H885" s="26"/>
      <c r="I885" s="35"/>
      <c r="K885" s="35"/>
      <c r="L885" s="34">
        <f t="shared" ref="L885:AN885" si="413">SUM(L886:L887)*L880</f>
        <v>0</v>
      </c>
      <c r="M885" s="34">
        <f t="shared" si="413"/>
        <v>22.398481355932205</v>
      </c>
      <c r="N885" s="34">
        <f t="shared" si="413"/>
        <v>136.65247011509402</v>
      </c>
      <c r="O885" s="34">
        <f t="shared" si="413"/>
        <v>143.84854839904565</v>
      </c>
      <c r="P885" s="34">
        <f t="shared" si="413"/>
        <v>150.00083713019589</v>
      </c>
      <c r="Q885" s="34">
        <f t="shared" si="413"/>
        <v>155.59830100243926</v>
      </c>
      <c r="R885" s="34">
        <f t="shared" si="413"/>
        <v>163.87822757358632</v>
      </c>
      <c r="S885" s="34">
        <f t="shared" si="413"/>
        <v>168.88704378417174</v>
      </c>
      <c r="T885" s="34">
        <f t="shared" si="413"/>
        <v>175.91724791716334</v>
      </c>
      <c r="U885" s="34">
        <f t="shared" si="413"/>
        <v>182.05620421886408</v>
      </c>
      <c r="V885" s="34">
        <f t="shared" si="413"/>
        <v>180.74908430188941</v>
      </c>
      <c r="W885" s="34">
        <f t="shared" si="413"/>
        <v>174.781100316536</v>
      </c>
      <c r="X885" s="34">
        <f t="shared" si="413"/>
        <v>183.36797964188031</v>
      </c>
      <c r="Y885" s="34">
        <f t="shared" si="413"/>
        <v>185.23087159608272</v>
      </c>
      <c r="Z885" s="34">
        <f t="shared" si="413"/>
        <v>197.6364619366708</v>
      </c>
      <c r="AA885" s="34">
        <f t="shared" si="413"/>
        <v>201.26525854406219</v>
      </c>
      <c r="AB885" s="34">
        <f t="shared" si="413"/>
        <v>209.87191155537766</v>
      </c>
      <c r="AC885" s="34">
        <f t="shared" si="413"/>
        <v>35.960272419361367</v>
      </c>
      <c r="AD885" s="34">
        <f t="shared" si="413"/>
        <v>0</v>
      </c>
      <c r="AE885" s="34">
        <f t="shared" si="413"/>
        <v>0</v>
      </c>
      <c r="AF885" s="34">
        <f t="shared" si="413"/>
        <v>0</v>
      </c>
      <c r="AG885" s="34">
        <f t="shared" si="413"/>
        <v>0</v>
      </c>
      <c r="AH885" s="34">
        <f t="shared" si="413"/>
        <v>0</v>
      </c>
      <c r="AI885" s="34">
        <f t="shared" si="413"/>
        <v>0</v>
      </c>
      <c r="AJ885" s="34">
        <f t="shared" si="413"/>
        <v>0</v>
      </c>
      <c r="AK885" s="34">
        <f t="shared" si="413"/>
        <v>0</v>
      </c>
      <c r="AL885" s="34">
        <f t="shared" si="413"/>
        <v>0</v>
      </c>
      <c r="AM885" s="34">
        <f t="shared" si="413"/>
        <v>0</v>
      </c>
      <c r="AN885" s="34">
        <f t="shared" si="413"/>
        <v>0</v>
      </c>
    </row>
    <row r="886" spans="1:40" outlineLevel="1" x14ac:dyDescent="0.3">
      <c r="A886" s="18" t="s">
        <v>231</v>
      </c>
      <c r="B886" s="2"/>
      <c r="C886" s="1" t="s">
        <v>382</v>
      </c>
      <c r="H886" s="26" t="s">
        <v>245</v>
      </c>
      <c r="I886" s="35"/>
      <c r="K886" s="35"/>
      <c r="L886" s="22">
        <f t="shared" ref="L886:AN886" si="414">SUMIF($A$575:$A$631,$A$886,L$575:L$631)</f>
        <v>0</v>
      </c>
      <c r="M886" s="22">
        <f t="shared" si="414"/>
        <v>0</v>
      </c>
      <c r="N886" s="22">
        <f t="shared" si="414"/>
        <v>566.59657260936831</v>
      </c>
      <c r="O886" s="22">
        <f t="shared" si="414"/>
        <v>719.24274199522824</v>
      </c>
      <c r="P886" s="22">
        <f t="shared" si="414"/>
        <v>750.00418565097948</v>
      </c>
      <c r="Q886" s="22">
        <f t="shared" si="414"/>
        <v>777.99150501219617</v>
      </c>
      <c r="R886" s="22">
        <f t="shared" si="414"/>
        <v>819.39113786793155</v>
      </c>
      <c r="S886" s="22">
        <f t="shared" si="414"/>
        <v>839.96105087145679</v>
      </c>
      <c r="T886" s="22">
        <f t="shared" si="414"/>
        <v>879.58623958581666</v>
      </c>
      <c r="U886" s="22">
        <f t="shared" si="414"/>
        <v>910.28102109432041</v>
      </c>
      <c r="V886" s="22">
        <f t="shared" si="414"/>
        <v>881.54175723567187</v>
      </c>
      <c r="W886" s="22">
        <f t="shared" si="414"/>
        <v>868.67135779120861</v>
      </c>
      <c r="X886" s="22">
        <f t="shared" si="414"/>
        <v>892.82441493088618</v>
      </c>
      <c r="Y886" s="22">
        <f t="shared" si="414"/>
        <v>926.15435798041358</v>
      </c>
      <c r="Z886" s="22">
        <f t="shared" si="414"/>
        <v>952.85611015225663</v>
      </c>
      <c r="AA886" s="22">
        <f t="shared" si="414"/>
        <v>1006.3262927203109</v>
      </c>
      <c r="AB886" s="22">
        <f t="shared" si="414"/>
        <v>1049.3595577768883</v>
      </c>
      <c r="AC886" s="22">
        <f t="shared" si="414"/>
        <v>179.80136209680683</v>
      </c>
      <c r="AD886" s="22">
        <f t="shared" si="414"/>
        <v>0</v>
      </c>
      <c r="AE886" s="22">
        <f t="shared" si="414"/>
        <v>0</v>
      </c>
      <c r="AF886" s="22">
        <f t="shared" si="414"/>
        <v>0</v>
      </c>
      <c r="AG886" s="22">
        <f t="shared" si="414"/>
        <v>0</v>
      </c>
      <c r="AH886" s="22">
        <f t="shared" si="414"/>
        <v>0</v>
      </c>
      <c r="AI886" s="22">
        <f t="shared" si="414"/>
        <v>0</v>
      </c>
      <c r="AJ886" s="22">
        <f t="shared" si="414"/>
        <v>0</v>
      </c>
      <c r="AK886" s="22">
        <f t="shared" si="414"/>
        <v>0</v>
      </c>
      <c r="AL886" s="22">
        <f t="shared" si="414"/>
        <v>0</v>
      </c>
      <c r="AM886" s="22">
        <f t="shared" si="414"/>
        <v>0</v>
      </c>
      <c r="AN886" s="22">
        <f t="shared" si="414"/>
        <v>0</v>
      </c>
    </row>
    <row r="887" spans="1:40" outlineLevel="1" x14ac:dyDescent="0.3">
      <c r="B887" s="2"/>
      <c r="C887" s="1" t="s">
        <v>383</v>
      </c>
      <c r="H887" s="26" t="s">
        <v>245</v>
      </c>
      <c r="I887" s="184"/>
      <c r="K887" s="35"/>
      <c r="L887" s="22">
        <f>(L78-L74)+L114+L124+L136</f>
        <v>0</v>
      </c>
      <c r="M887" s="22">
        <f t="shared" ref="M887:AN887" si="415">(M78-M74)+M114+M124+M136</f>
        <v>111.99240677966101</v>
      </c>
      <c r="N887" s="22">
        <f t="shared" si="415"/>
        <v>116.66577796610169</v>
      </c>
      <c r="O887" s="22">
        <f t="shared" si="415"/>
        <v>0</v>
      </c>
      <c r="P887" s="22">
        <f t="shared" si="415"/>
        <v>0</v>
      </c>
      <c r="Q887" s="22">
        <f t="shared" si="415"/>
        <v>0</v>
      </c>
      <c r="R887" s="22">
        <f t="shared" si="415"/>
        <v>0</v>
      </c>
      <c r="S887" s="22">
        <f t="shared" si="415"/>
        <v>4.4741680494018574</v>
      </c>
      <c r="T887" s="22">
        <f t="shared" si="415"/>
        <v>0</v>
      </c>
      <c r="U887" s="22">
        <f t="shared" si="415"/>
        <v>0</v>
      </c>
      <c r="V887" s="22">
        <f t="shared" si="415"/>
        <v>22.203664273775168</v>
      </c>
      <c r="W887" s="22">
        <f t="shared" si="415"/>
        <v>5.2341437914712667</v>
      </c>
      <c r="X887" s="22">
        <f t="shared" si="415"/>
        <v>24.015483278515227</v>
      </c>
      <c r="Y887" s="22">
        <f t="shared" si="415"/>
        <v>0</v>
      </c>
      <c r="Z887" s="22">
        <f t="shared" si="415"/>
        <v>35.32619953109721</v>
      </c>
      <c r="AA887" s="22">
        <f t="shared" si="415"/>
        <v>0</v>
      </c>
      <c r="AB887" s="22">
        <f t="shared" si="415"/>
        <v>0</v>
      </c>
      <c r="AC887" s="22">
        <f t="shared" si="415"/>
        <v>0</v>
      </c>
      <c r="AD887" s="22">
        <f t="shared" si="415"/>
        <v>0</v>
      </c>
      <c r="AE887" s="22">
        <f t="shared" si="415"/>
        <v>0</v>
      </c>
      <c r="AF887" s="22">
        <f t="shared" si="415"/>
        <v>0</v>
      </c>
      <c r="AG887" s="22">
        <f t="shared" si="415"/>
        <v>0</v>
      </c>
      <c r="AH887" s="22">
        <f t="shared" si="415"/>
        <v>0</v>
      </c>
      <c r="AI887" s="22">
        <f t="shared" si="415"/>
        <v>0</v>
      </c>
      <c r="AJ887" s="22">
        <f t="shared" si="415"/>
        <v>0</v>
      </c>
      <c r="AK887" s="22">
        <f t="shared" si="415"/>
        <v>0</v>
      </c>
      <c r="AL887" s="22">
        <f t="shared" si="415"/>
        <v>0</v>
      </c>
      <c r="AM887" s="22">
        <f t="shared" si="415"/>
        <v>0</v>
      </c>
      <c r="AN887" s="22">
        <f t="shared" si="415"/>
        <v>0</v>
      </c>
    </row>
    <row r="888" spans="1:40" outlineLevel="1" x14ac:dyDescent="0.3">
      <c r="H888" s="26"/>
      <c r="I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</row>
    <row r="889" spans="1:40" outlineLevel="1" x14ac:dyDescent="0.3">
      <c r="B889" s="1" t="s">
        <v>386</v>
      </c>
      <c r="H889" s="26" t="s">
        <v>245</v>
      </c>
      <c r="I889" s="35"/>
      <c r="K889" s="35"/>
      <c r="L889" s="22">
        <f>L882-L885</f>
        <v>0</v>
      </c>
      <c r="M889" s="22">
        <f>M882-M885</f>
        <v>-22.398481355932205</v>
      </c>
      <c r="N889" s="22">
        <f t="shared" ref="N889:AN889" si="416">N882-N885</f>
        <v>0.2000960018393414</v>
      </c>
      <c r="O889" s="22">
        <f t="shared" si="416"/>
        <v>26.943454114887174</v>
      </c>
      <c r="P889" s="22">
        <f t="shared" si="416"/>
        <v>28.10948571063534</v>
      </c>
      <c r="Q889" s="22">
        <f t="shared" si="416"/>
        <v>29.130328916630532</v>
      </c>
      <c r="R889" s="22">
        <f t="shared" si="416"/>
        <v>28.239547542246243</v>
      </c>
      <c r="S889" s="22">
        <f t="shared" si="416"/>
        <v>30.915442336294177</v>
      </c>
      <c r="T889" s="22">
        <f t="shared" si="416"/>
        <v>32.446637882546611</v>
      </c>
      <c r="U889" s="22">
        <f t="shared" si="416"/>
        <v>34.050164769031824</v>
      </c>
      <c r="V889" s="22">
        <f t="shared" si="416"/>
        <v>44.001539445522326</v>
      </c>
      <c r="W889" s="22">
        <f t="shared" si="416"/>
        <v>58.959548380772247</v>
      </c>
      <c r="X889" s="22">
        <f t="shared" si="416"/>
        <v>60.388295755772901</v>
      </c>
      <c r="Y889" s="22">
        <f t="shared" si="416"/>
        <v>67.583014034925867</v>
      </c>
      <c r="Z889" s="22">
        <f t="shared" si="416"/>
        <v>65.289979119578163</v>
      </c>
      <c r="AA889" s="22">
        <f t="shared" si="416"/>
        <v>72.178240154436708</v>
      </c>
      <c r="AB889" s="22">
        <f t="shared" si="416"/>
        <v>75.288453772284356</v>
      </c>
      <c r="AC889" s="22">
        <f t="shared" si="416"/>
        <v>13.332475612688036</v>
      </c>
      <c r="AD889" s="22">
        <f t="shared" si="416"/>
        <v>0</v>
      </c>
      <c r="AE889" s="22">
        <f t="shared" si="416"/>
        <v>0</v>
      </c>
      <c r="AF889" s="22">
        <f t="shared" si="416"/>
        <v>0</v>
      </c>
      <c r="AG889" s="22">
        <f t="shared" si="416"/>
        <v>0</v>
      </c>
      <c r="AH889" s="22">
        <f t="shared" si="416"/>
        <v>0</v>
      </c>
      <c r="AI889" s="22">
        <f t="shared" si="416"/>
        <v>0</v>
      </c>
      <c r="AJ889" s="22">
        <f t="shared" si="416"/>
        <v>0</v>
      </c>
      <c r="AK889" s="22">
        <f t="shared" si="416"/>
        <v>0</v>
      </c>
      <c r="AL889" s="22">
        <f t="shared" si="416"/>
        <v>0</v>
      </c>
      <c r="AM889" s="22">
        <f t="shared" si="416"/>
        <v>0</v>
      </c>
      <c r="AN889" s="22">
        <f t="shared" si="416"/>
        <v>0</v>
      </c>
    </row>
    <row r="890" spans="1:40" outlineLevel="1" x14ac:dyDescent="0.3">
      <c r="H890" s="26"/>
      <c r="I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</row>
    <row r="891" spans="1:40" outlineLevel="1" x14ac:dyDescent="0.3">
      <c r="B891" s="1" t="s">
        <v>388</v>
      </c>
      <c r="H891" s="26" t="s">
        <v>245</v>
      </c>
      <c r="L891" s="22">
        <f>K894</f>
        <v>0</v>
      </c>
      <c r="M891" s="22">
        <f t="shared" ref="M891:AN891" si="417">L894</f>
        <v>0</v>
      </c>
      <c r="N891" s="22">
        <f>M894</f>
        <v>0</v>
      </c>
      <c r="O891" s="22">
        <f t="shared" si="417"/>
        <v>0</v>
      </c>
      <c r="P891" s="22">
        <f t="shared" si="417"/>
        <v>0</v>
      </c>
      <c r="Q891" s="22">
        <f t="shared" si="417"/>
        <v>0</v>
      </c>
      <c r="R891" s="22">
        <f t="shared" si="417"/>
        <v>0</v>
      </c>
      <c r="S891" s="22">
        <f t="shared" si="417"/>
        <v>0</v>
      </c>
      <c r="T891" s="22">
        <f t="shared" si="417"/>
        <v>0</v>
      </c>
      <c r="U891" s="22">
        <f t="shared" si="417"/>
        <v>0</v>
      </c>
      <c r="V891" s="22">
        <f t="shared" si="417"/>
        <v>0</v>
      </c>
      <c r="W891" s="22">
        <f t="shared" si="417"/>
        <v>0</v>
      </c>
      <c r="X891" s="22">
        <f t="shared" si="417"/>
        <v>0</v>
      </c>
      <c r="Y891" s="22">
        <f t="shared" si="417"/>
        <v>0</v>
      </c>
      <c r="Z891" s="22">
        <f t="shared" si="417"/>
        <v>0</v>
      </c>
      <c r="AA891" s="22">
        <f t="shared" si="417"/>
        <v>0</v>
      </c>
      <c r="AB891" s="22">
        <f t="shared" si="417"/>
        <v>0</v>
      </c>
      <c r="AC891" s="22">
        <f t="shared" si="417"/>
        <v>0</v>
      </c>
      <c r="AD891" s="22">
        <f t="shared" si="417"/>
        <v>0</v>
      </c>
      <c r="AE891" s="22">
        <f t="shared" si="417"/>
        <v>0</v>
      </c>
      <c r="AF891" s="22">
        <f t="shared" si="417"/>
        <v>0</v>
      </c>
      <c r="AG891" s="22">
        <f t="shared" si="417"/>
        <v>0</v>
      </c>
      <c r="AH891" s="22">
        <f t="shared" si="417"/>
        <v>0</v>
      </c>
      <c r="AI891" s="22">
        <f t="shared" si="417"/>
        <v>0</v>
      </c>
      <c r="AJ891" s="22">
        <f t="shared" si="417"/>
        <v>0</v>
      </c>
      <c r="AK891" s="22">
        <f t="shared" si="417"/>
        <v>0</v>
      </c>
      <c r="AL891" s="22">
        <f t="shared" si="417"/>
        <v>0</v>
      </c>
      <c r="AM891" s="22">
        <f t="shared" si="417"/>
        <v>0</v>
      </c>
      <c r="AN891" s="22">
        <f t="shared" si="417"/>
        <v>0</v>
      </c>
    </row>
    <row r="892" spans="1:40" outlineLevel="1" x14ac:dyDescent="0.3">
      <c r="B892" s="1" t="s">
        <v>390</v>
      </c>
      <c r="H892" s="26" t="s">
        <v>245</v>
      </c>
      <c r="L892" s="22">
        <f>IF(AND(Input!$I$17=TRUE,L889&lt;0),-L889,0)</f>
        <v>0</v>
      </c>
      <c r="M892" s="22">
        <f>IF(AND(Input!$I$17=TRUE,M889&lt;0),-M889,0)</f>
        <v>22.398481355932205</v>
      </c>
      <c r="N892" s="22">
        <f>IF(AND(Input!$I$17=TRUE,N889&lt;0),-N889,0)</f>
        <v>0</v>
      </c>
      <c r="O892" s="22">
        <f>IF(AND(Input!$I$17=TRUE,O889&lt;0),-O889,0)</f>
        <v>0</v>
      </c>
      <c r="P892" s="22">
        <f>IF(AND(Input!$I$17=TRUE,P889&lt;0),-P889,0)</f>
        <v>0</v>
      </c>
      <c r="Q892" s="22">
        <f>IF(AND(Input!$I$17=TRUE,Q889&lt;0),-Q889,0)</f>
        <v>0</v>
      </c>
      <c r="R892" s="22">
        <f>IF(AND(Input!$I$17=TRUE,R889&lt;0),-R889,0)</f>
        <v>0</v>
      </c>
      <c r="S892" s="22">
        <f>IF(AND(Input!$I$17=TRUE,S889&lt;0),-S889,0)</f>
        <v>0</v>
      </c>
      <c r="T892" s="22">
        <f>IF(AND(Input!$I$17=TRUE,T889&lt;0),-T889,0)</f>
        <v>0</v>
      </c>
      <c r="U892" s="22">
        <f>IF(AND(Input!$I$17=TRUE,U889&lt;0),-U889,0)</f>
        <v>0</v>
      </c>
      <c r="V892" s="22">
        <f>IF(AND(Input!$I$17=TRUE,V889&lt;0),-V889,0)</f>
        <v>0</v>
      </c>
      <c r="W892" s="22">
        <f>IF(AND(Input!$I$17=TRUE,W889&lt;0),-W889,0)</f>
        <v>0</v>
      </c>
      <c r="X892" s="22">
        <f>IF(AND(Input!$I$17=TRUE,X889&lt;0),-X889,0)</f>
        <v>0</v>
      </c>
      <c r="Y892" s="22">
        <f>IF(AND(Input!$I$17=TRUE,Y889&lt;0),-Y889,0)</f>
        <v>0</v>
      </c>
      <c r="Z892" s="22">
        <f>IF(AND(Input!$I$17=TRUE,Z889&lt;0),-Z889,0)</f>
        <v>0</v>
      </c>
      <c r="AA892" s="22">
        <f>IF(AND(Input!$I$17=TRUE,AA889&lt;0),-AA889,0)</f>
        <v>0</v>
      </c>
      <c r="AB892" s="22">
        <f>IF(AND(Input!$I$17=TRUE,AB889&lt;0),-AB889,0)</f>
        <v>0</v>
      </c>
      <c r="AC892" s="22">
        <f>IF(AND(Input!$I$17=TRUE,AC889&lt;0),-AC889,0)</f>
        <v>0</v>
      </c>
      <c r="AD892" s="22">
        <f>IF(AND(Input!$I$17=TRUE,AD889&lt;0),-AD889,0)</f>
        <v>0</v>
      </c>
      <c r="AE892" s="22">
        <f>IF(AND(Input!$I$17=TRUE,AE889&lt;0),-AE889,0)</f>
        <v>0</v>
      </c>
      <c r="AF892" s="22">
        <f>IF(AND(Input!$I$17=TRUE,AF889&lt;0),-AF889,0)</f>
        <v>0</v>
      </c>
      <c r="AG892" s="22">
        <f>IF(AND(Input!$I$17=TRUE,AG889&lt;0),-AG889,0)</f>
        <v>0</v>
      </c>
      <c r="AH892" s="22">
        <f>IF(AND(Input!$I$17=TRUE,AH889&lt;0),-AH889,0)</f>
        <v>0</v>
      </c>
      <c r="AI892" s="22">
        <f>IF(AND(Input!$I$17=TRUE,AI889&lt;0),-AI889,0)</f>
        <v>0</v>
      </c>
      <c r="AJ892" s="22">
        <f>IF(AND(Input!$I$17=TRUE,AJ889&lt;0),-AJ889,0)</f>
        <v>0</v>
      </c>
      <c r="AK892" s="22">
        <f>IF(AND(Input!$I$17=TRUE,AK889&lt;0),-AK889,0)</f>
        <v>0</v>
      </c>
      <c r="AL892" s="22">
        <f>IF(AND(Input!$I$17=TRUE,AL889&lt;0),-AL889,0)</f>
        <v>0</v>
      </c>
      <c r="AM892" s="22">
        <f>IF(AND(Input!$I$17=TRUE,AM889&lt;0),-AM889,0)</f>
        <v>0</v>
      </c>
      <c r="AN892" s="22">
        <f>IF(AND(Input!$I$17=TRUE,AN889&lt;0),-AN889,0)</f>
        <v>0</v>
      </c>
    </row>
    <row r="893" spans="1:40" outlineLevel="1" x14ac:dyDescent="0.3">
      <c r="B893" s="1" t="s">
        <v>393</v>
      </c>
      <c r="H893" s="26" t="s">
        <v>245</v>
      </c>
      <c r="I893" s="35"/>
      <c r="K893" s="35"/>
      <c r="L893" s="22">
        <f>MAX(MIN(L889,L891),0)</f>
        <v>0</v>
      </c>
      <c r="M893" s="22">
        <f>MAX(MIN(M889,M891),0)</f>
        <v>0</v>
      </c>
      <c r="N893" s="22">
        <f t="shared" ref="N893:AN893" si="418">MAX(MIN(N889,N891),0)</f>
        <v>0</v>
      </c>
      <c r="O893" s="22">
        <f>MAX(MIN(O889,O891),0)</f>
        <v>0</v>
      </c>
      <c r="P893" s="22">
        <f t="shared" si="418"/>
        <v>0</v>
      </c>
      <c r="Q893" s="22">
        <f t="shared" si="418"/>
        <v>0</v>
      </c>
      <c r="R893" s="22">
        <f t="shared" si="418"/>
        <v>0</v>
      </c>
      <c r="S893" s="22">
        <f t="shared" si="418"/>
        <v>0</v>
      </c>
      <c r="T893" s="22">
        <f t="shared" si="418"/>
        <v>0</v>
      </c>
      <c r="U893" s="22">
        <f t="shared" si="418"/>
        <v>0</v>
      </c>
      <c r="V893" s="22">
        <f t="shared" si="418"/>
        <v>0</v>
      </c>
      <c r="W893" s="22">
        <f t="shared" si="418"/>
        <v>0</v>
      </c>
      <c r="X893" s="22">
        <f t="shared" si="418"/>
        <v>0</v>
      </c>
      <c r="Y893" s="22">
        <f t="shared" si="418"/>
        <v>0</v>
      </c>
      <c r="Z893" s="22">
        <f t="shared" si="418"/>
        <v>0</v>
      </c>
      <c r="AA893" s="22">
        <f t="shared" si="418"/>
        <v>0</v>
      </c>
      <c r="AB893" s="22">
        <f t="shared" si="418"/>
        <v>0</v>
      </c>
      <c r="AC893" s="22">
        <f t="shared" si="418"/>
        <v>0</v>
      </c>
      <c r="AD893" s="22">
        <f t="shared" si="418"/>
        <v>0</v>
      </c>
      <c r="AE893" s="22">
        <f t="shared" si="418"/>
        <v>0</v>
      </c>
      <c r="AF893" s="22">
        <f t="shared" si="418"/>
        <v>0</v>
      </c>
      <c r="AG893" s="22">
        <f t="shared" si="418"/>
        <v>0</v>
      </c>
      <c r="AH893" s="22">
        <f t="shared" si="418"/>
        <v>0</v>
      </c>
      <c r="AI893" s="22">
        <f t="shared" si="418"/>
        <v>0</v>
      </c>
      <c r="AJ893" s="22">
        <f t="shared" si="418"/>
        <v>0</v>
      </c>
      <c r="AK893" s="22">
        <f t="shared" si="418"/>
        <v>0</v>
      </c>
      <c r="AL893" s="22">
        <f t="shared" si="418"/>
        <v>0</v>
      </c>
      <c r="AM893" s="22">
        <f t="shared" si="418"/>
        <v>0</v>
      </c>
      <c r="AN893" s="22">
        <f t="shared" si="418"/>
        <v>0</v>
      </c>
    </row>
    <row r="894" spans="1:40" outlineLevel="1" x14ac:dyDescent="0.3">
      <c r="B894" s="1" t="s">
        <v>389</v>
      </c>
      <c r="H894" s="26" t="s">
        <v>245</v>
      </c>
      <c r="I894" s="35"/>
      <c r="K894" s="89">
        <v>0</v>
      </c>
      <c r="L894" s="22">
        <f>IF(L889&lt;0,-L889,0)+L891-L892-L893</f>
        <v>0</v>
      </c>
      <c r="M894" s="22">
        <f>IF(M889&lt;0,-M889,0)+M891-M892-M893</f>
        <v>0</v>
      </c>
      <c r="N894" s="22">
        <f t="shared" ref="N894:AN894" si="419">IF(N889&lt;0,-N889,0)+N891-N892-N893</f>
        <v>0</v>
      </c>
      <c r="O894" s="22">
        <f t="shared" si="419"/>
        <v>0</v>
      </c>
      <c r="P894" s="22">
        <f t="shared" si="419"/>
        <v>0</v>
      </c>
      <c r="Q894" s="22">
        <f t="shared" si="419"/>
        <v>0</v>
      </c>
      <c r="R894" s="22">
        <f t="shared" si="419"/>
        <v>0</v>
      </c>
      <c r="S894" s="22">
        <f t="shared" si="419"/>
        <v>0</v>
      </c>
      <c r="T894" s="22">
        <f t="shared" si="419"/>
        <v>0</v>
      </c>
      <c r="U894" s="22">
        <f t="shared" si="419"/>
        <v>0</v>
      </c>
      <c r="V894" s="22">
        <f t="shared" si="419"/>
        <v>0</v>
      </c>
      <c r="W894" s="22">
        <f t="shared" si="419"/>
        <v>0</v>
      </c>
      <c r="X894" s="22">
        <f t="shared" si="419"/>
        <v>0</v>
      </c>
      <c r="Y894" s="22">
        <f t="shared" si="419"/>
        <v>0</v>
      </c>
      <c r="Z894" s="22">
        <f t="shared" si="419"/>
        <v>0</v>
      </c>
      <c r="AA894" s="22">
        <f t="shared" si="419"/>
        <v>0</v>
      </c>
      <c r="AB894" s="22">
        <f t="shared" si="419"/>
        <v>0</v>
      </c>
      <c r="AC894" s="22">
        <f t="shared" si="419"/>
        <v>0</v>
      </c>
      <c r="AD894" s="22">
        <f t="shared" si="419"/>
        <v>0</v>
      </c>
      <c r="AE894" s="22">
        <f t="shared" si="419"/>
        <v>0</v>
      </c>
      <c r="AF894" s="22">
        <f t="shared" si="419"/>
        <v>0</v>
      </c>
      <c r="AG894" s="22">
        <f t="shared" si="419"/>
        <v>0</v>
      </c>
      <c r="AH894" s="22">
        <f t="shared" si="419"/>
        <v>0</v>
      </c>
      <c r="AI894" s="22">
        <f t="shared" si="419"/>
        <v>0</v>
      </c>
      <c r="AJ894" s="22">
        <f t="shared" si="419"/>
        <v>0</v>
      </c>
      <c r="AK894" s="22">
        <f t="shared" si="419"/>
        <v>0</v>
      </c>
      <c r="AL894" s="22">
        <f t="shared" si="419"/>
        <v>0</v>
      </c>
      <c r="AM894" s="22">
        <f t="shared" si="419"/>
        <v>0</v>
      </c>
      <c r="AN894" s="22">
        <f t="shared" si="419"/>
        <v>0</v>
      </c>
    </row>
    <row r="895" spans="1:40" outlineLevel="1" x14ac:dyDescent="0.3">
      <c r="H895" s="26"/>
      <c r="I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</row>
    <row r="896" spans="1:40" outlineLevel="1" x14ac:dyDescent="0.3">
      <c r="B896" s="1" t="s">
        <v>390</v>
      </c>
      <c r="H896" s="26" t="s">
        <v>245</v>
      </c>
      <c r="I896" s="35"/>
      <c r="K896" s="35"/>
      <c r="L896" s="22">
        <f>L892</f>
        <v>0</v>
      </c>
      <c r="M896" s="22">
        <f t="shared" ref="M896:AN896" si="420">M892</f>
        <v>22.398481355932205</v>
      </c>
      <c r="N896" s="22">
        <f t="shared" si="420"/>
        <v>0</v>
      </c>
      <c r="O896" s="22">
        <f t="shared" si="420"/>
        <v>0</v>
      </c>
      <c r="P896" s="22">
        <f t="shared" si="420"/>
        <v>0</v>
      </c>
      <c r="Q896" s="22">
        <f t="shared" si="420"/>
        <v>0</v>
      </c>
      <c r="R896" s="22">
        <f t="shared" si="420"/>
        <v>0</v>
      </c>
      <c r="S896" s="22">
        <f t="shared" si="420"/>
        <v>0</v>
      </c>
      <c r="T896" s="22">
        <f t="shared" si="420"/>
        <v>0</v>
      </c>
      <c r="U896" s="22">
        <f t="shared" si="420"/>
        <v>0</v>
      </c>
      <c r="V896" s="22">
        <f t="shared" si="420"/>
        <v>0</v>
      </c>
      <c r="W896" s="22">
        <f t="shared" si="420"/>
        <v>0</v>
      </c>
      <c r="X896" s="22">
        <f t="shared" si="420"/>
        <v>0</v>
      </c>
      <c r="Y896" s="22">
        <f t="shared" si="420"/>
        <v>0</v>
      </c>
      <c r="Z896" s="22">
        <f t="shared" si="420"/>
        <v>0</v>
      </c>
      <c r="AA896" s="22">
        <f t="shared" si="420"/>
        <v>0</v>
      </c>
      <c r="AB896" s="22">
        <f t="shared" si="420"/>
        <v>0</v>
      </c>
      <c r="AC896" s="22">
        <f t="shared" si="420"/>
        <v>0</v>
      </c>
      <c r="AD896" s="22">
        <f t="shared" si="420"/>
        <v>0</v>
      </c>
      <c r="AE896" s="22">
        <f t="shared" si="420"/>
        <v>0</v>
      </c>
      <c r="AF896" s="22">
        <f t="shared" si="420"/>
        <v>0</v>
      </c>
      <c r="AG896" s="22">
        <f t="shared" si="420"/>
        <v>0</v>
      </c>
      <c r="AH896" s="22">
        <f t="shared" si="420"/>
        <v>0</v>
      </c>
      <c r="AI896" s="22">
        <f t="shared" si="420"/>
        <v>0</v>
      </c>
      <c r="AJ896" s="22">
        <f t="shared" si="420"/>
        <v>0</v>
      </c>
      <c r="AK896" s="22">
        <f t="shared" si="420"/>
        <v>0</v>
      </c>
      <c r="AL896" s="22">
        <f t="shared" si="420"/>
        <v>0</v>
      </c>
      <c r="AM896" s="22">
        <f t="shared" si="420"/>
        <v>0</v>
      </c>
      <c r="AN896" s="22">
        <f t="shared" si="420"/>
        <v>0</v>
      </c>
    </row>
    <row r="897" spans="1:41" outlineLevel="1" x14ac:dyDescent="0.3">
      <c r="B897" s="1" t="s">
        <v>391</v>
      </c>
      <c r="H897" s="26" t="s">
        <v>245</v>
      </c>
      <c r="I897" s="35"/>
      <c r="K897" s="35"/>
      <c r="L897" s="22">
        <f>IF(L889&lt;0,0,L889-L893)</f>
        <v>0</v>
      </c>
      <c r="M897" s="22">
        <f t="shared" ref="M897:AN897" si="421">IF(M889&lt;0,0,M889-M893)</f>
        <v>0</v>
      </c>
      <c r="N897" s="22">
        <f t="shared" si="421"/>
        <v>0.2000960018393414</v>
      </c>
      <c r="O897" s="22">
        <f t="shared" si="421"/>
        <v>26.943454114887174</v>
      </c>
      <c r="P897" s="22">
        <f t="shared" si="421"/>
        <v>28.10948571063534</v>
      </c>
      <c r="Q897" s="22">
        <f t="shared" si="421"/>
        <v>29.130328916630532</v>
      </c>
      <c r="R897" s="22">
        <f t="shared" si="421"/>
        <v>28.239547542246243</v>
      </c>
      <c r="S897" s="22">
        <f t="shared" si="421"/>
        <v>30.915442336294177</v>
      </c>
      <c r="T897" s="22">
        <f t="shared" si="421"/>
        <v>32.446637882546611</v>
      </c>
      <c r="U897" s="22">
        <f t="shared" si="421"/>
        <v>34.050164769031824</v>
      </c>
      <c r="V897" s="22">
        <f t="shared" si="421"/>
        <v>44.001539445522326</v>
      </c>
      <c r="W897" s="22">
        <f t="shared" si="421"/>
        <v>58.959548380772247</v>
      </c>
      <c r="X897" s="22">
        <f t="shared" si="421"/>
        <v>60.388295755772901</v>
      </c>
      <c r="Y897" s="22">
        <f t="shared" si="421"/>
        <v>67.583014034925867</v>
      </c>
      <c r="Z897" s="22">
        <f t="shared" si="421"/>
        <v>65.289979119578163</v>
      </c>
      <c r="AA897" s="22">
        <f t="shared" si="421"/>
        <v>72.178240154436708</v>
      </c>
      <c r="AB897" s="22">
        <f t="shared" si="421"/>
        <v>75.288453772284356</v>
      </c>
      <c r="AC897" s="22">
        <f t="shared" si="421"/>
        <v>13.332475612688036</v>
      </c>
      <c r="AD897" s="22">
        <f t="shared" si="421"/>
        <v>0</v>
      </c>
      <c r="AE897" s="22">
        <f t="shared" si="421"/>
        <v>0</v>
      </c>
      <c r="AF897" s="22">
        <f t="shared" si="421"/>
        <v>0</v>
      </c>
      <c r="AG897" s="22">
        <f t="shared" si="421"/>
        <v>0</v>
      </c>
      <c r="AH897" s="22">
        <f t="shared" si="421"/>
        <v>0</v>
      </c>
      <c r="AI897" s="22">
        <f t="shared" si="421"/>
        <v>0</v>
      </c>
      <c r="AJ897" s="22">
        <f t="shared" si="421"/>
        <v>0</v>
      </c>
      <c r="AK897" s="22">
        <f t="shared" si="421"/>
        <v>0</v>
      </c>
      <c r="AL897" s="22">
        <f t="shared" si="421"/>
        <v>0</v>
      </c>
      <c r="AM897" s="22">
        <f t="shared" si="421"/>
        <v>0</v>
      </c>
      <c r="AN897" s="22">
        <f t="shared" si="421"/>
        <v>0</v>
      </c>
    </row>
    <row r="898" spans="1:41" outlineLevel="1" x14ac:dyDescent="0.3">
      <c r="B898" s="1"/>
      <c r="H898" s="26"/>
      <c r="I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</row>
    <row r="899" spans="1:41" outlineLevel="1" x14ac:dyDescent="0.3">
      <c r="B899" s="1" t="s">
        <v>392</v>
      </c>
      <c r="H899" s="26" t="s">
        <v>245</v>
      </c>
      <c r="I899" s="35"/>
      <c r="K899" s="35"/>
      <c r="L899" s="22">
        <f>L889+L896-L897</f>
        <v>0</v>
      </c>
      <c r="M899" s="22">
        <f t="shared" ref="M899:AN899" si="422">M889+M896-M897</f>
        <v>0</v>
      </c>
      <c r="N899" s="22">
        <f t="shared" si="422"/>
        <v>0</v>
      </c>
      <c r="O899" s="22">
        <f>O889+O896-O897</f>
        <v>0</v>
      </c>
      <c r="P899" s="22">
        <f t="shared" si="422"/>
        <v>0</v>
      </c>
      <c r="Q899" s="22">
        <f t="shared" si="422"/>
        <v>0</v>
      </c>
      <c r="R899" s="22">
        <f t="shared" si="422"/>
        <v>0</v>
      </c>
      <c r="S899" s="22">
        <f t="shared" si="422"/>
        <v>0</v>
      </c>
      <c r="T899" s="22">
        <f t="shared" si="422"/>
        <v>0</v>
      </c>
      <c r="U899" s="22">
        <f t="shared" si="422"/>
        <v>0</v>
      </c>
      <c r="V899" s="22">
        <f t="shared" si="422"/>
        <v>0</v>
      </c>
      <c r="W899" s="22">
        <f t="shared" si="422"/>
        <v>0</v>
      </c>
      <c r="X899" s="22">
        <f t="shared" si="422"/>
        <v>0</v>
      </c>
      <c r="Y899" s="22">
        <f t="shared" si="422"/>
        <v>0</v>
      </c>
      <c r="Z899" s="22">
        <f t="shared" si="422"/>
        <v>0</v>
      </c>
      <c r="AA899" s="22">
        <f t="shared" si="422"/>
        <v>0</v>
      </c>
      <c r="AB899" s="22">
        <f t="shared" si="422"/>
        <v>0</v>
      </c>
      <c r="AC899" s="22">
        <f t="shared" si="422"/>
        <v>0</v>
      </c>
      <c r="AD899" s="22">
        <f t="shared" si="422"/>
        <v>0</v>
      </c>
      <c r="AE899" s="22">
        <f t="shared" si="422"/>
        <v>0</v>
      </c>
      <c r="AF899" s="22">
        <f t="shared" si="422"/>
        <v>0</v>
      </c>
      <c r="AG899" s="22">
        <f t="shared" si="422"/>
        <v>0</v>
      </c>
      <c r="AH899" s="22">
        <f t="shared" si="422"/>
        <v>0</v>
      </c>
      <c r="AI899" s="22">
        <f t="shared" si="422"/>
        <v>0</v>
      </c>
      <c r="AJ899" s="22">
        <f t="shared" si="422"/>
        <v>0</v>
      </c>
      <c r="AK899" s="22">
        <f t="shared" si="422"/>
        <v>0</v>
      </c>
      <c r="AL899" s="22">
        <f t="shared" si="422"/>
        <v>0</v>
      </c>
      <c r="AM899" s="22">
        <f t="shared" si="422"/>
        <v>0</v>
      </c>
      <c r="AN899" s="22">
        <f t="shared" si="422"/>
        <v>0</v>
      </c>
    </row>
    <row r="900" spans="1:41" ht="15.75" outlineLevel="1" thickBot="1" x14ac:dyDescent="0.35">
      <c r="D900" s="2"/>
      <c r="H900" s="30"/>
      <c r="I900" s="35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</row>
    <row r="901" spans="1:41" s="106" customFormat="1" ht="18" customHeight="1" thickTop="1" thickBot="1" x14ac:dyDescent="0.35">
      <c r="A901" s="53"/>
      <c r="B901" s="53"/>
      <c r="C901" s="50" t="s">
        <v>74</v>
      </c>
      <c r="D901" s="51"/>
      <c r="E901" s="51"/>
      <c r="F901" s="51"/>
      <c r="G901" s="51"/>
      <c r="H901" s="52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</row>
    <row r="902" spans="1:41" ht="15.75" outlineLevel="1" thickTop="1" x14ac:dyDescent="0.3">
      <c r="D902" s="2"/>
      <c r="H902" s="30"/>
      <c r="I902" s="35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</row>
    <row r="903" spans="1:41" outlineLevel="1" x14ac:dyDescent="0.3">
      <c r="C903" s="2" t="s">
        <v>77</v>
      </c>
      <c r="D903" s="2"/>
      <c r="H903" s="30"/>
      <c r="I903" s="35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</row>
    <row r="904" spans="1:41" outlineLevel="1" x14ac:dyDescent="0.3">
      <c r="D904" s="2"/>
      <c r="H904" s="30"/>
      <c r="I904" s="35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</row>
    <row r="905" spans="1:41" outlineLevel="1" x14ac:dyDescent="0.3">
      <c r="C905" s="1" t="s">
        <v>142</v>
      </c>
      <c r="D905" s="2"/>
      <c r="H905" s="26" t="s">
        <v>10</v>
      </c>
      <c r="I905" s="148">
        <f>Input!H200</f>
        <v>30</v>
      </c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</row>
    <row r="906" spans="1:41" outlineLevel="1" x14ac:dyDescent="0.3">
      <c r="C906" s="1" t="s">
        <v>143</v>
      </c>
      <c r="D906" s="2"/>
      <c r="H906" s="26" t="s">
        <v>10</v>
      </c>
      <c r="I906" s="148">
        <f>Input!H201</f>
        <v>30</v>
      </c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</row>
    <row r="907" spans="1:41" outlineLevel="1" x14ac:dyDescent="0.3">
      <c r="C907" s="1" t="s">
        <v>79</v>
      </c>
      <c r="D907" s="2"/>
      <c r="H907" s="26" t="s">
        <v>10</v>
      </c>
      <c r="I907" s="148">
        <f>Input!H202</f>
        <v>10</v>
      </c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</row>
    <row r="908" spans="1:41" outlineLevel="1" x14ac:dyDescent="0.3">
      <c r="C908" s="1" t="s">
        <v>378</v>
      </c>
      <c r="D908" s="2"/>
      <c r="H908" s="26" t="s">
        <v>10</v>
      </c>
      <c r="I908" s="148">
        <f>Input!H203</f>
        <v>90</v>
      </c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</row>
    <row r="909" spans="1:41" outlineLevel="1" x14ac:dyDescent="0.3">
      <c r="C909" s="1" t="s">
        <v>394</v>
      </c>
      <c r="D909" s="2"/>
      <c r="H909" s="26" t="s">
        <v>10</v>
      </c>
      <c r="I909" s="148">
        <f>Input!H204</f>
        <v>90</v>
      </c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</row>
    <row r="910" spans="1:41" outlineLevel="1" x14ac:dyDescent="0.3">
      <c r="D910" s="2"/>
      <c r="H910" s="30"/>
      <c r="I910" s="35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</row>
    <row r="911" spans="1:41" outlineLevel="1" x14ac:dyDescent="0.3">
      <c r="C911" s="2" t="s">
        <v>78</v>
      </c>
      <c r="D911" s="2"/>
      <c r="H911" s="30"/>
      <c r="I911" s="35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</row>
    <row r="912" spans="1:41" outlineLevel="1" x14ac:dyDescent="0.3">
      <c r="D912" s="2"/>
      <c r="H912" s="30"/>
      <c r="I912" s="35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</row>
    <row r="913" spans="3:40" outlineLevel="1" x14ac:dyDescent="0.3">
      <c r="C913" s="1" t="s">
        <v>0</v>
      </c>
      <c r="D913" s="2"/>
      <c r="H913" s="26" t="s">
        <v>245</v>
      </c>
      <c r="I913" s="35"/>
      <c r="L913" s="33">
        <f t="shared" ref="L913:AN913" si="423">L444</f>
        <v>0</v>
      </c>
      <c r="M913" s="33">
        <f t="shared" si="423"/>
        <v>0</v>
      </c>
      <c r="N913" s="33">
        <f t="shared" si="423"/>
        <v>684.26283058466674</v>
      </c>
      <c r="O913" s="33">
        <f t="shared" si="423"/>
        <v>853.96001256966406</v>
      </c>
      <c r="P913" s="33">
        <f t="shared" si="423"/>
        <v>890.55161420415607</v>
      </c>
      <c r="Q913" s="33">
        <f t="shared" si="423"/>
        <v>923.64314959534886</v>
      </c>
      <c r="R913" s="33">
        <f t="shared" si="423"/>
        <v>960.58887557916273</v>
      </c>
      <c r="S913" s="33">
        <f t="shared" si="423"/>
        <v>999.01243060232946</v>
      </c>
      <c r="T913" s="33">
        <f t="shared" si="423"/>
        <v>1041.8194289985497</v>
      </c>
      <c r="U913" s="33">
        <f t="shared" si="423"/>
        <v>1080.5318449394795</v>
      </c>
      <c r="V913" s="33">
        <f t="shared" si="423"/>
        <v>1123.7531187370587</v>
      </c>
      <c r="W913" s="33">
        <f t="shared" si="423"/>
        <v>1168.7032434865412</v>
      </c>
      <c r="X913" s="33">
        <f t="shared" si="423"/>
        <v>1218.7813769882659</v>
      </c>
      <c r="Y913" s="33">
        <f t="shared" si="423"/>
        <v>1264.0694281550429</v>
      </c>
      <c r="Z913" s="33">
        <f t="shared" si="423"/>
        <v>1314.6322052812448</v>
      </c>
      <c r="AA913" s="33">
        <f t="shared" si="423"/>
        <v>1367.2174934924944</v>
      </c>
      <c r="AB913" s="33">
        <f t="shared" si="423"/>
        <v>1425.8018266383101</v>
      </c>
      <c r="AC913" s="33">
        <f t="shared" si="423"/>
        <v>246.463740160247</v>
      </c>
      <c r="AD913" s="33">
        <f t="shared" si="423"/>
        <v>0</v>
      </c>
      <c r="AE913" s="33">
        <f t="shared" si="423"/>
        <v>0</v>
      </c>
      <c r="AF913" s="33">
        <f t="shared" si="423"/>
        <v>0</v>
      </c>
      <c r="AG913" s="33">
        <f t="shared" si="423"/>
        <v>0</v>
      </c>
      <c r="AH913" s="33">
        <f t="shared" si="423"/>
        <v>0</v>
      </c>
      <c r="AI913" s="33">
        <f t="shared" si="423"/>
        <v>0</v>
      </c>
      <c r="AJ913" s="33">
        <f t="shared" si="423"/>
        <v>0</v>
      </c>
      <c r="AK913" s="33">
        <f t="shared" si="423"/>
        <v>0</v>
      </c>
      <c r="AL913" s="33">
        <f t="shared" si="423"/>
        <v>0</v>
      </c>
      <c r="AM913" s="33">
        <f t="shared" si="423"/>
        <v>0</v>
      </c>
      <c r="AN913" s="33">
        <f t="shared" si="423"/>
        <v>0</v>
      </c>
    </row>
    <row r="914" spans="3:40" outlineLevel="1" x14ac:dyDescent="0.3">
      <c r="C914" s="1" t="s">
        <v>36</v>
      </c>
      <c r="D914" s="2"/>
      <c r="H914" s="26" t="s">
        <v>245</v>
      </c>
      <c r="I914" s="35"/>
      <c r="L914" s="33">
        <f t="shared" ref="L914:AN914" si="424">L574+L582+L588+L597</f>
        <v>0</v>
      </c>
      <c r="M914" s="33">
        <f t="shared" si="424"/>
        <v>0</v>
      </c>
      <c r="N914" s="33">
        <f t="shared" si="424"/>
        <v>556.43964461132691</v>
      </c>
      <c r="O914" s="33">
        <f t="shared" si="424"/>
        <v>694.43667647493578</v>
      </c>
      <c r="P914" s="33">
        <f t="shared" si="424"/>
        <v>724.19281242032764</v>
      </c>
      <c r="Q914" s="33">
        <f t="shared" si="424"/>
        <v>751.10270927529075</v>
      </c>
      <c r="R914" s="33">
        <f t="shared" si="424"/>
        <v>781.14681764630234</v>
      </c>
      <c r="S914" s="33">
        <f t="shared" si="424"/>
        <v>812.39269035215443</v>
      </c>
      <c r="T914" s="33">
        <f t="shared" si="424"/>
        <v>847.20316070039473</v>
      </c>
      <c r="U914" s="33">
        <f t="shared" si="424"/>
        <v>878.68393388489028</v>
      </c>
      <c r="V914" s="33">
        <f t="shared" si="424"/>
        <v>847.41278670282838</v>
      </c>
      <c r="W914" s="33">
        <f t="shared" si="424"/>
        <v>815.62353387392704</v>
      </c>
      <c r="X914" s="33">
        <f t="shared" si="424"/>
        <v>850.57244365416875</v>
      </c>
      <c r="Y914" s="33">
        <f t="shared" si="424"/>
        <v>882.17841423803964</v>
      </c>
      <c r="Z914" s="33">
        <f t="shared" si="424"/>
        <v>917.46555080756127</v>
      </c>
      <c r="AA914" s="33">
        <f t="shared" si="424"/>
        <v>954.16417283986345</v>
      </c>
      <c r="AB914" s="33">
        <f t="shared" si="424"/>
        <v>995.04945410894709</v>
      </c>
      <c r="AC914" s="33">
        <f t="shared" si="424"/>
        <v>172.00399489059942</v>
      </c>
      <c r="AD914" s="33">
        <f t="shared" si="424"/>
        <v>0</v>
      </c>
      <c r="AE914" s="33">
        <f t="shared" si="424"/>
        <v>0</v>
      </c>
      <c r="AF914" s="33">
        <f t="shared" si="424"/>
        <v>0</v>
      </c>
      <c r="AG914" s="33">
        <f t="shared" si="424"/>
        <v>0</v>
      </c>
      <c r="AH914" s="33">
        <f t="shared" si="424"/>
        <v>0</v>
      </c>
      <c r="AI914" s="33">
        <f t="shared" si="424"/>
        <v>0</v>
      </c>
      <c r="AJ914" s="33">
        <f t="shared" si="424"/>
        <v>0</v>
      </c>
      <c r="AK914" s="33">
        <f t="shared" si="424"/>
        <v>0</v>
      </c>
      <c r="AL914" s="33">
        <f t="shared" si="424"/>
        <v>0</v>
      </c>
      <c r="AM914" s="33">
        <f t="shared" si="424"/>
        <v>0</v>
      </c>
      <c r="AN914" s="33">
        <f t="shared" si="424"/>
        <v>0</v>
      </c>
    </row>
    <row r="915" spans="3:40" outlineLevel="1" x14ac:dyDescent="0.3">
      <c r="C915" s="1" t="s">
        <v>355</v>
      </c>
      <c r="D915" s="2"/>
      <c r="H915" s="26" t="s">
        <v>245</v>
      </c>
      <c r="I915" s="35"/>
      <c r="L915" s="33">
        <f t="shared" ref="L915:AN915" si="425">L603+L619+L627+L632+L874+L807+L817+L825</f>
        <v>0</v>
      </c>
      <c r="M915" s="33">
        <f t="shared" si="425"/>
        <v>0</v>
      </c>
      <c r="N915" s="33">
        <f t="shared" si="425"/>
        <v>630.17421842358829</v>
      </c>
      <c r="O915" s="33">
        <f t="shared" si="425"/>
        <v>797.86911875603448</v>
      </c>
      <c r="P915" s="33">
        <f t="shared" si="425"/>
        <v>831.26216626037842</v>
      </c>
      <c r="Q915" s="33">
        <f t="shared" si="425"/>
        <v>862.37380250442311</v>
      </c>
      <c r="R915" s="33">
        <f t="shared" si="425"/>
        <v>906.26888828644076</v>
      </c>
      <c r="S915" s="33">
        <f t="shared" si="425"/>
        <v>935.4122594117714</v>
      </c>
      <c r="T915" s="33">
        <f t="shared" si="425"/>
        <v>979.56199600608477</v>
      </c>
      <c r="U915" s="33">
        <f t="shared" si="425"/>
        <v>1016.9135823922129</v>
      </c>
      <c r="V915" s="33">
        <f t="shared" si="425"/>
        <v>1008.5048350184397</v>
      </c>
      <c r="W915" s="33">
        <f t="shared" si="425"/>
        <v>1009.9449522892171</v>
      </c>
      <c r="X915" s="33">
        <f t="shared" si="425"/>
        <v>1045.7994391646087</v>
      </c>
      <c r="Y915" s="33">
        <f t="shared" si="425"/>
        <v>1085.1250794165219</v>
      </c>
      <c r="Z915" s="33">
        <f t="shared" si="425"/>
        <v>1118.7813711604313</v>
      </c>
      <c r="AA915" s="33">
        <f t="shared" si="425"/>
        <v>1175.4223313957791</v>
      </c>
      <c r="AB915" s="33">
        <f t="shared" si="425"/>
        <v>1225.5620844157334</v>
      </c>
      <c r="AC915" s="33">
        <f t="shared" si="425"/>
        <v>211.44571509762747</v>
      </c>
      <c r="AD915" s="33">
        <f t="shared" si="425"/>
        <v>0</v>
      </c>
      <c r="AE915" s="33">
        <f t="shared" si="425"/>
        <v>0</v>
      </c>
      <c r="AF915" s="33">
        <f t="shared" si="425"/>
        <v>0</v>
      </c>
      <c r="AG915" s="33">
        <f t="shared" si="425"/>
        <v>0</v>
      </c>
      <c r="AH915" s="33">
        <f t="shared" si="425"/>
        <v>0</v>
      </c>
      <c r="AI915" s="33">
        <f t="shared" si="425"/>
        <v>0</v>
      </c>
      <c r="AJ915" s="33">
        <f t="shared" si="425"/>
        <v>0</v>
      </c>
      <c r="AK915" s="33">
        <f t="shared" si="425"/>
        <v>0</v>
      </c>
      <c r="AL915" s="33">
        <f t="shared" si="425"/>
        <v>0</v>
      </c>
      <c r="AM915" s="33">
        <f t="shared" si="425"/>
        <v>0</v>
      </c>
      <c r="AN915" s="33">
        <f t="shared" si="425"/>
        <v>0</v>
      </c>
    </row>
    <row r="916" spans="3:40" outlineLevel="1" x14ac:dyDescent="0.3">
      <c r="C916" s="1" t="s">
        <v>356</v>
      </c>
      <c r="D916" s="2"/>
      <c r="H916" s="26" t="s">
        <v>245</v>
      </c>
      <c r="I916" s="35"/>
      <c r="L916" s="33">
        <f t="shared" ref="L916:AN916" si="426">L603+L619+L627+L632+L859+L809+L817+L825</f>
        <v>0</v>
      </c>
      <c r="M916" s="33">
        <f t="shared" si="426"/>
        <v>0</v>
      </c>
      <c r="N916" s="33">
        <f t="shared" si="426"/>
        <v>635.53767398505454</v>
      </c>
      <c r="O916" s="33">
        <f t="shared" si="426"/>
        <v>802.16228694765732</v>
      </c>
      <c r="P916" s="33">
        <f t="shared" si="426"/>
        <v>836.4001015650972</v>
      </c>
      <c r="Q916" s="33">
        <f t="shared" si="426"/>
        <v>867.74247966274686</v>
      </c>
      <c r="R916" s="33">
        <f t="shared" si="426"/>
        <v>910.21914617658229</v>
      </c>
      <c r="S916" s="33">
        <f t="shared" si="426"/>
        <v>944.06021570064263</v>
      </c>
      <c r="T916" s="33">
        <f t="shared" si="426"/>
        <v>988.47898853068773</v>
      </c>
      <c r="U916" s="33">
        <f t="shared" si="426"/>
        <v>1023.9155767964536</v>
      </c>
      <c r="V916" s="33">
        <f t="shared" si="426"/>
        <v>1009.5605343618087</v>
      </c>
      <c r="W916" s="33">
        <f t="shared" si="426"/>
        <v>1010.2821471889143</v>
      </c>
      <c r="X916" s="33">
        <f t="shared" si="426"/>
        <v>1045.7914376432332</v>
      </c>
      <c r="Y916" s="33">
        <f t="shared" si="426"/>
        <v>1085.1218788079718</v>
      </c>
      <c r="Z916" s="33">
        <f t="shared" si="426"/>
        <v>1118.7809710843626</v>
      </c>
      <c r="AA916" s="33">
        <f t="shared" si="426"/>
        <v>1175.4223313957791</v>
      </c>
      <c r="AB916" s="33">
        <f t="shared" si="426"/>
        <v>1225.5620844157334</v>
      </c>
      <c r="AC916" s="33">
        <f t="shared" si="426"/>
        <v>211.44571509762747</v>
      </c>
      <c r="AD916" s="33">
        <f t="shared" si="426"/>
        <v>0</v>
      </c>
      <c r="AE916" s="33">
        <f t="shared" si="426"/>
        <v>0</v>
      </c>
      <c r="AF916" s="33">
        <f t="shared" si="426"/>
        <v>0</v>
      </c>
      <c r="AG916" s="33">
        <f t="shared" si="426"/>
        <v>0</v>
      </c>
      <c r="AH916" s="33">
        <f t="shared" si="426"/>
        <v>0</v>
      </c>
      <c r="AI916" s="33">
        <f t="shared" si="426"/>
        <v>0</v>
      </c>
      <c r="AJ916" s="33">
        <f t="shared" si="426"/>
        <v>0</v>
      </c>
      <c r="AK916" s="33">
        <f t="shared" si="426"/>
        <v>0</v>
      </c>
      <c r="AL916" s="33">
        <f t="shared" si="426"/>
        <v>0</v>
      </c>
      <c r="AM916" s="33">
        <f t="shared" si="426"/>
        <v>0</v>
      </c>
      <c r="AN916" s="33">
        <f t="shared" si="426"/>
        <v>0</v>
      </c>
    </row>
    <row r="917" spans="3:40" outlineLevel="1" x14ac:dyDescent="0.3">
      <c r="C917" s="1" t="s">
        <v>378</v>
      </c>
      <c r="D917" s="2"/>
      <c r="H917" s="26" t="s">
        <v>245</v>
      </c>
      <c r="I917" s="35"/>
      <c r="L917" s="33">
        <f>L896</f>
        <v>0</v>
      </c>
      <c r="M917" s="33">
        <f>M896</f>
        <v>22.398481355932205</v>
      </c>
      <c r="N917" s="33">
        <f t="shared" ref="N917:AN917" si="427">N896</f>
        <v>0</v>
      </c>
      <c r="O917" s="33">
        <f t="shared" si="427"/>
        <v>0</v>
      </c>
      <c r="P917" s="33">
        <f t="shared" si="427"/>
        <v>0</v>
      </c>
      <c r="Q917" s="33">
        <f t="shared" si="427"/>
        <v>0</v>
      </c>
      <c r="R917" s="33">
        <f t="shared" si="427"/>
        <v>0</v>
      </c>
      <c r="S917" s="33">
        <f t="shared" si="427"/>
        <v>0</v>
      </c>
      <c r="T917" s="33">
        <f t="shared" si="427"/>
        <v>0</v>
      </c>
      <c r="U917" s="33">
        <f t="shared" si="427"/>
        <v>0</v>
      </c>
      <c r="V917" s="33">
        <f t="shared" si="427"/>
        <v>0</v>
      </c>
      <c r="W917" s="33">
        <f t="shared" si="427"/>
        <v>0</v>
      </c>
      <c r="X917" s="33">
        <f t="shared" si="427"/>
        <v>0</v>
      </c>
      <c r="Y917" s="33">
        <f t="shared" si="427"/>
        <v>0</v>
      </c>
      <c r="Z917" s="33">
        <f t="shared" si="427"/>
        <v>0</v>
      </c>
      <c r="AA917" s="33">
        <f t="shared" si="427"/>
        <v>0</v>
      </c>
      <c r="AB917" s="33">
        <f t="shared" si="427"/>
        <v>0</v>
      </c>
      <c r="AC917" s="33">
        <f t="shared" si="427"/>
        <v>0</v>
      </c>
      <c r="AD917" s="33">
        <f t="shared" si="427"/>
        <v>0</v>
      </c>
      <c r="AE917" s="33">
        <f t="shared" si="427"/>
        <v>0</v>
      </c>
      <c r="AF917" s="33">
        <f t="shared" si="427"/>
        <v>0</v>
      </c>
      <c r="AG917" s="33">
        <f t="shared" si="427"/>
        <v>0</v>
      </c>
      <c r="AH917" s="33">
        <f t="shared" si="427"/>
        <v>0</v>
      </c>
      <c r="AI917" s="33">
        <f t="shared" si="427"/>
        <v>0</v>
      </c>
      <c r="AJ917" s="33">
        <f t="shared" si="427"/>
        <v>0</v>
      </c>
      <c r="AK917" s="33">
        <f t="shared" si="427"/>
        <v>0</v>
      </c>
      <c r="AL917" s="33">
        <f t="shared" si="427"/>
        <v>0</v>
      </c>
      <c r="AM917" s="33">
        <f t="shared" si="427"/>
        <v>0</v>
      </c>
      <c r="AN917" s="33">
        <f t="shared" si="427"/>
        <v>0</v>
      </c>
    </row>
    <row r="918" spans="3:40" outlineLevel="1" x14ac:dyDescent="0.3">
      <c r="C918" s="1" t="s">
        <v>394</v>
      </c>
      <c r="D918" s="2"/>
      <c r="H918" s="26" t="s">
        <v>245</v>
      </c>
      <c r="I918" s="35"/>
      <c r="L918" s="33">
        <f>L897</f>
        <v>0</v>
      </c>
      <c r="M918" s="33">
        <f t="shared" ref="M918:AN918" si="428">M897</f>
        <v>0</v>
      </c>
      <c r="N918" s="33">
        <f t="shared" si="428"/>
        <v>0.2000960018393414</v>
      </c>
      <c r="O918" s="33">
        <f t="shared" si="428"/>
        <v>26.943454114887174</v>
      </c>
      <c r="P918" s="33">
        <f t="shared" si="428"/>
        <v>28.10948571063534</v>
      </c>
      <c r="Q918" s="33">
        <f t="shared" si="428"/>
        <v>29.130328916630532</v>
      </c>
      <c r="R918" s="33">
        <f t="shared" si="428"/>
        <v>28.239547542246243</v>
      </c>
      <c r="S918" s="33">
        <f t="shared" si="428"/>
        <v>30.915442336294177</v>
      </c>
      <c r="T918" s="33">
        <f t="shared" si="428"/>
        <v>32.446637882546611</v>
      </c>
      <c r="U918" s="33">
        <f t="shared" si="428"/>
        <v>34.050164769031824</v>
      </c>
      <c r="V918" s="33">
        <f t="shared" si="428"/>
        <v>44.001539445522326</v>
      </c>
      <c r="W918" s="33">
        <f t="shared" si="428"/>
        <v>58.959548380772247</v>
      </c>
      <c r="X918" s="33">
        <f t="shared" si="428"/>
        <v>60.388295755772901</v>
      </c>
      <c r="Y918" s="33">
        <f t="shared" si="428"/>
        <v>67.583014034925867</v>
      </c>
      <c r="Z918" s="33">
        <f t="shared" si="428"/>
        <v>65.289979119578163</v>
      </c>
      <c r="AA918" s="33">
        <f t="shared" si="428"/>
        <v>72.178240154436708</v>
      </c>
      <c r="AB918" s="33">
        <f t="shared" si="428"/>
        <v>75.288453772284356</v>
      </c>
      <c r="AC918" s="33">
        <f t="shared" si="428"/>
        <v>13.332475612688036</v>
      </c>
      <c r="AD918" s="33">
        <f t="shared" si="428"/>
        <v>0</v>
      </c>
      <c r="AE918" s="33">
        <f t="shared" si="428"/>
        <v>0</v>
      </c>
      <c r="AF918" s="33">
        <f t="shared" si="428"/>
        <v>0</v>
      </c>
      <c r="AG918" s="33">
        <f t="shared" si="428"/>
        <v>0</v>
      </c>
      <c r="AH918" s="33">
        <f t="shared" si="428"/>
        <v>0</v>
      </c>
      <c r="AI918" s="33">
        <f t="shared" si="428"/>
        <v>0</v>
      </c>
      <c r="AJ918" s="33">
        <f t="shared" si="428"/>
        <v>0</v>
      </c>
      <c r="AK918" s="33">
        <f t="shared" si="428"/>
        <v>0</v>
      </c>
      <c r="AL918" s="33">
        <f t="shared" si="428"/>
        <v>0</v>
      </c>
      <c r="AM918" s="33">
        <f t="shared" si="428"/>
        <v>0</v>
      </c>
      <c r="AN918" s="33">
        <f t="shared" si="428"/>
        <v>0</v>
      </c>
    </row>
    <row r="919" spans="3:40" outlineLevel="1" x14ac:dyDescent="0.3">
      <c r="D919" s="2"/>
      <c r="H919" s="30"/>
      <c r="I919" s="35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</row>
    <row r="920" spans="3:40" outlineLevel="1" x14ac:dyDescent="0.3">
      <c r="C920" s="2" t="s">
        <v>74</v>
      </c>
      <c r="D920" s="2"/>
      <c r="H920" s="30"/>
      <c r="I920" s="35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</row>
    <row r="921" spans="3:40" outlineLevel="1" x14ac:dyDescent="0.3">
      <c r="D921" s="2"/>
      <c r="H921" s="30"/>
      <c r="I921" s="35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</row>
    <row r="922" spans="3:40" outlineLevel="1" x14ac:dyDescent="0.3">
      <c r="C922" s="1" t="s">
        <v>142</v>
      </c>
      <c r="D922" s="2"/>
      <c r="H922" s="26" t="s">
        <v>245</v>
      </c>
      <c r="I922" s="35"/>
      <c r="L922" s="22">
        <f>IFERROR(IF(L$9=YEAR(Input!$H$14),0,(L913/(L$14*L$10))*$I905),0)</f>
        <v>0</v>
      </c>
      <c r="M922" s="22">
        <f>IFERROR(IF(M$9=YEAR(Input!$H$14),0,(M913/(M$14*M$10))*$I905),0)</f>
        <v>0</v>
      </c>
      <c r="N922" s="22">
        <f>IFERROR(IF(N$9=YEAR(Input!$H$14),0,(N913/(N$14*N$10))*$I905),0)</f>
        <v>67.488936715200012</v>
      </c>
      <c r="O922" s="22">
        <f>IFERROR(IF(O$9=YEAR(Input!$H$14),0,(O913/(O$14*O$10))*$I905),0)</f>
        <v>70.188494183808004</v>
      </c>
      <c r="P922" s="22">
        <f>IFERROR(IF(P$9=YEAR(Input!$H$14),0,(P913/(P$14*P$10))*$I905),0)</f>
        <v>72.996033951160328</v>
      </c>
      <c r="Q922" s="22">
        <f>IFERROR(IF(Q$9=YEAR(Input!$H$14),0,(Q913/(Q$14*Q$10))*$I905),0)</f>
        <v>75.915875309206754</v>
      </c>
      <c r="R922" s="22">
        <f>IFERROR(IF(R$9=YEAR(Input!$H$14),0,(R913/(R$14*R$10))*$I905),0)</f>
        <v>78.952510321575019</v>
      </c>
      <c r="S922" s="22">
        <f>IFERROR(IF(S$9=YEAR(Input!$H$14),0,(S913/(S$14*S$10))*$I905),0)</f>
        <v>82.11061073443804</v>
      </c>
      <c r="T922" s="22">
        <f>IFERROR(IF(T$9=YEAR(Input!$H$14),0,(T913/(T$14*T$10))*$I905),0)</f>
        <v>85.39503516381555</v>
      </c>
      <c r="U922" s="22">
        <f>IFERROR(IF(U$9=YEAR(Input!$H$14),0,(U913/(U$14*U$10))*$I905),0)</f>
        <v>88.810836570368181</v>
      </c>
      <c r="V922" s="22">
        <f>IFERROR(IF(V$9=YEAR(Input!$H$14),0,(V913/(V$14*V$10))*$I905),0)</f>
        <v>92.363270033182914</v>
      </c>
      <c r="W922" s="22">
        <f>IFERROR(IF(W$9=YEAR(Input!$H$14),0,(W913/(W$14*W$10))*$I905),0)</f>
        <v>96.057800834510232</v>
      </c>
      <c r="X922" s="22">
        <f>IFERROR(IF(X$9=YEAR(Input!$H$14),0,(X913/(X$14*X$10))*$I905),0)</f>
        <v>99.900112867890655</v>
      </c>
      <c r="Y922" s="22">
        <f>IFERROR(IF(Y$9=YEAR(Input!$H$14),0,(Y913/(Y$14*Y$10))*$I905),0)</f>
        <v>103.89611738260626</v>
      </c>
      <c r="Z922" s="22">
        <f>IFERROR(IF(Z$9=YEAR(Input!$H$14),0,(Z913/(Z$14*Z$10))*$I905),0)</f>
        <v>108.05196207791053</v>
      </c>
      <c r="AA922" s="22">
        <f>IFERROR(IF(AA$9=YEAR(Input!$H$14),0,(AA913/(AA$14*AA$10))*$I905),0)</f>
        <v>112.37404056102693</v>
      </c>
      <c r="AB922" s="22">
        <f>IFERROR(IF(AB$9=YEAR(Input!$H$14),0,(AB913/(AB$14*AB$10))*$I905),0)</f>
        <v>116.86900218346804</v>
      </c>
      <c r="AC922" s="22">
        <f>IFERROR(IF(AC$9=YEAR(Input!$H$14),0,(AC913/(AC$14*AC$10))*$I905),0)</f>
        <v>0</v>
      </c>
      <c r="AD922" s="22">
        <f>IFERROR(IF(AD$9=YEAR(Input!$H$14),0,(AD913/(AD$14*AD$10))*$I905),0)</f>
        <v>0</v>
      </c>
      <c r="AE922" s="22">
        <f>IFERROR(IF(AE$9=YEAR(Input!$H$14),0,(AE913/(AE$14*AE$10))*$I905),0)</f>
        <v>0</v>
      </c>
      <c r="AF922" s="22">
        <f>IFERROR(IF(AF$9=YEAR(Input!$H$14),0,(AF913/(AF$14*AF$10))*$I905),0)</f>
        <v>0</v>
      </c>
      <c r="AG922" s="22">
        <f>IFERROR(IF(AG$9=YEAR(Input!$H$14),0,(AG913/(AG$14*AG$10))*$I905),0)</f>
        <v>0</v>
      </c>
      <c r="AH922" s="22">
        <f>IFERROR(IF(AH$9=YEAR(Input!$H$14),0,(AH913/(AH$14*AH$10))*$I905),0)</f>
        <v>0</v>
      </c>
      <c r="AI922" s="22">
        <f>IFERROR(IF(AI$9=YEAR(Input!$H$14),0,(AI913/(AI$14*AI$10))*$I905),0)</f>
        <v>0</v>
      </c>
      <c r="AJ922" s="22">
        <f>IFERROR(IF(AJ$9=YEAR(Input!$H$14),0,(AJ913/(AJ$14*AJ$10))*$I905),0)</f>
        <v>0</v>
      </c>
      <c r="AK922" s="22">
        <f>IFERROR(IF(AK$9=YEAR(Input!$H$14),0,(AK913/(AK$14*AK$10))*$I905),0)</f>
        <v>0</v>
      </c>
      <c r="AL922" s="22">
        <f>IFERROR(IF(AL$9=YEAR(Input!$H$14),0,(AL913/(AL$14*AL$10))*$I905),0)</f>
        <v>0</v>
      </c>
      <c r="AM922" s="22">
        <f>IFERROR(IF(AM$9=YEAR(Input!$H$14),0,(AM913/(AM$14*AM$10))*$I905),0)</f>
        <v>0</v>
      </c>
      <c r="AN922" s="22">
        <f>IFERROR(IF(AN$9=YEAR(Input!$H$14),0,(AN913/(AN$14*AN$10))*$I905),0)</f>
        <v>0</v>
      </c>
    </row>
    <row r="923" spans="3:40" outlineLevel="1" x14ac:dyDescent="0.3">
      <c r="C923" s="1" t="s">
        <v>79</v>
      </c>
      <c r="D923" s="2"/>
      <c r="H923" s="26" t="s">
        <v>245</v>
      </c>
      <c r="I923" s="35"/>
      <c r="K923" s="38"/>
      <c r="L923" s="22">
        <f>IFERROR(IF(L$9=YEAR(Input!$H$14),0,(L914/(L$14*L$10))*$I907),0)</f>
        <v>0</v>
      </c>
      <c r="M923" s="22">
        <f>IFERROR(IF(M$9=YEAR(Input!$H$14),0,(M914/(M$14*M$10))*$I907),0)</f>
        <v>0</v>
      </c>
      <c r="N923" s="22">
        <f>IFERROR(IF(N$9=YEAR(Input!$H$14),0,(N914/(N$14*N$10))*$I907),0)</f>
        <v>18.293906124208007</v>
      </c>
      <c r="O923" s="22">
        <f>IFERROR(IF(O$9=YEAR(Input!$H$14),0,(O914/(O$14*O$10))*$I907),0)</f>
        <v>19.025662369176324</v>
      </c>
      <c r="P923" s="22">
        <f>IFERROR(IF(P$9=YEAR(Input!$H$14),0,(P914/(P$14*P$10))*$I907),0)</f>
        <v>19.786688863943379</v>
      </c>
      <c r="Q923" s="22">
        <f>IFERROR(IF(Q$9=YEAR(Input!$H$14),0,(Q914/(Q$14*Q$10))*$I907),0)</f>
        <v>20.578156418501116</v>
      </c>
      <c r="R923" s="22">
        <f>IFERROR(IF(R$9=YEAR(Input!$H$14),0,(R914/(R$14*R$10))*$I907),0)</f>
        <v>21.401282675241159</v>
      </c>
      <c r="S923" s="22">
        <f>IFERROR(IF(S$9=YEAR(Input!$H$14),0,(S914/(S$14*S$10))*$I907),0)</f>
        <v>22.257333982250806</v>
      </c>
      <c r="T923" s="22">
        <f>IFERROR(IF(T$9=YEAR(Input!$H$14),0,(T914/(T$14*T$10))*$I907),0)</f>
        <v>23.14762734154084</v>
      </c>
      <c r="U923" s="22">
        <f>IFERROR(IF(U$9=YEAR(Input!$H$14),0,(U914/(U$14*U$10))*$I907),0)</f>
        <v>24.073532435202473</v>
      </c>
      <c r="V923" s="22">
        <f>IFERROR(IF(V$9=YEAR(Input!$H$14),0,(V914/(V$14*V$10))*$I907),0)</f>
        <v>23.216788676789818</v>
      </c>
      <c r="W923" s="22">
        <f>IFERROR(IF(W$9=YEAR(Input!$H$14),0,(W914/(W$14*W$10))*$I907),0)</f>
        <v>22.345850243121287</v>
      </c>
      <c r="X923" s="22">
        <f>IFERROR(IF(X$9=YEAR(Input!$H$14),0,(X914/(X$14*X$10))*$I907),0)</f>
        <v>23.239684252846139</v>
      </c>
      <c r="Y923" s="22">
        <f>IFERROR(IF(Y$9=YEAR(Input!$H$14),0,(Y914/(Y$14*Y$10))*$I907),0)</f>
        <v>24.16927162295999</v>
      </c>
      <c r="Z923" s="22">
        <f>IFERROR(IF(Z$9=YEAR(Input!$H$14),0,(Z914/(Z$14*Z$10))*$I907),0)</f>
        <v>25.136042487878392</v>
      </c>
      <c r="AA923" s="22">
        <f>IFERROR(IF(AA$9=YEAR(Input!$H$14),0,(AA914/(AA$14*AA$10))*$I907),0)</f>
        <v>26.141484187393516</v>
      </c>
      <c r="AB923" s="22">
        <f>IFERROR(IF(AB$9=YEAR(Input!$H$14),0,(AB914/(AB$14*AB$10))*$I907),0)</f>
        <v>27.187143554889268</v>
      </c>
      <c r="AC923" s="22">
        <f>IFERROR(IF(AC$9=YEAR(Input!$H$14),0,(AC914/(AC$14*AC$10))*$I907),0)</f>
        <v>0</v>
      </c>
      <c r="AD923" s="22">
        <f>IFERROR(IF(AD$9=YEAR(Input!$H$14),0,(AD914/(AD$14*AD$10))*$I907),0)</f>
        <v>0</v>
      </c>
      <c r="AE923" s="22">
        <f>IFERROR(IF(AE$9=YEAR(Input!$H$14),0,(AE914/(AE$14*AE$10))*$I907),0)</f>
        <v>0</v>
      </c>
      <c r="AF923" s="22">
        <f>IFERROR(IF(AF$9=YEAR(Input!$H$14),0,(AF914/(AF$14*AF$10))*$I907),0)</f>
        <v>0</v>
      </c>
      <c r="AG923" s="22">
        <f>IFERROR(IF(AG$9=YEAR(Input!$H$14),0,(AG914/(AG$14*AG$10))*$I907),0)</f>
        <v>0</v>
      </c>
      <c r="AH923" s="22">
        <f>IFERROR(IF(AH$9=YEAR(Input!$H$14),0,(AH914/(AH$14*AH$10))*$I907),0)</f>
        <v>0</v>
      </c>
      <c r="AI923" s="22">
        <f>IFERROR(IF(AI$9=YEAR(Input!$H$14),0,(AI914/(AI$14*AI$10))*$I907),0)</f>
        <v>0</v>
      </c>
      <c r="AJ923" s="22">
        <f>IFERROR(IF(AJ$9=YEAR(Input!$H$14),0,(AJ914/(AJ$14*AJ$10))*$I907),0)</f>
        <v>0</v>
      </c>
      <c r="AK923" s="22">
        <f>IFERROR(IF(AK$9=YEAR(Input!$H$14),0,(AK914/(AK$14*AK$10))*$I907),0)</f>
        <v>0</v>
      </c>
      <c r="AL923" s="22">
        <f>IFERROR(IF(AL$9=YEAR(Input!$H$14),0,(AL914/(AL$14*AL$10))*$I907),0)</f>
        <v>0</v>
      </c>
      <c r="AM923" s="22">
        <f>IFERROR(IF(AM$9=YEAR(Input!$H$14),0,(AM914/(AM$14*AM$10))*$I907),0)</f>
        <v>0</v>
      </c>
      <c r="AN923" s="22">
        <f>IFERROR(IF(AN$9=YEAR(Input!$H$14),0,(AN914/(AN$14*AN$10))*$I907),0)</f>
        <v>0</v>
      </c>
    </row>
    <row r="924" spans="3:40" outlineLevel="1" x14ac:dyDescent="0.3">
      <c r="C924" s="1" t="s">
        <v>378</v>
      </c>
      <c r="D924" s="2"/>
      <c r="H924" s="26" t="s">
        <v>245</v>
      </c>
      <c r="I924" s="35"/>
      <c r="L924" s="22">
        <f>IFERROR(L917/(L$14)*$I908,0)</f>
        <v>0</v>
      </c>
      <c r="M924" s="22">
        <f>IFERROR(M917/(M$14)*$I908,0)</f>
        <v>5.522913211051776</v>
      </c>
      <c r="N924" s="22">
        <f>IFERROR(N917/(N$14)*$I908,0)</f>
        <v>0</v>
      </c>
      <c r="O924" s="22">
        <f t="shared" ref="O924:AN924" si="429">IFERROR(O917/(O$14)*$I908,0)</f>
        <v>0</v>
      </c>
      <c r="P924" s="22">
        <f t="shared" si="429"/>
        <v>0</v>
      </c>
      <c r="Q924" s="22">
        <f t="shared" si="429"/>
        <v>0</v>
      </c>
      <c r="R924" s="22">
        <f t="shared" si="429"/>
        <v>0</v>
      </c>
      <c r="S924" s="22">
        <f t="shared" si="429"/>
        <v>0</v>
      </c>
      <c r="T924" s="22">
        <f t="shared" si="429"/>
        <v>0</v>
      </c>
      <c r="U924" s="22">
        <f t="shared" si="429"/>
        <v>0</v>
      </c>
      <c r="V924" s="22">
        <f t="shared" si="429"/>
        <v>0</v>
      </c>
      <c r="W924" s="22">
        <f t="shared" si="429"/>
        <v>0</v>
      </c>
      <c r="X924" s="22">
        <f t="shared" si="429"/>
        <v>0</v>
      </c>
      <c r="Y924" s="22">
        <f t="shared" si="429"/>
        <v>0</v>
      </c>
      <c r="Z924" s="22">
        <f t="shared" si="429"/>
        <v>0</v>
      </c>
      <c r="AA924" s="22">
        <f t="shared" si="429"/>
        <v>0</v>
      </c>
      <c r="AB924" s="22">
        <f t="shared" si="429"/>
        <v>0</v>
      </c>
      <c r="AC924" s="22">
        <f t="shared" si="429"/>
        <v>0</v>
      </c>
      <c r="AD924" s="22">
        <f t="shared" si="429"/>
        <v>0</v>
      </c>
      <c r="AE924" s="22">
        <f t="shared" si="429"/>
        <v>0</v>
      </c>
      <c r="AF924" s="22">
        <f t="shared" si="429"/>
        <v>0</v>
      </c>
      <c r="AG924" s="22">
        <f t="shared" si="429"/>
        <v>0</v>
      </c>
      <c r="AH924" s="22">
        <f t="shared" si="429"/>
        <v>0</v>
      </c>
      <c r="AI924" s="22">
        <f t="shared" si="429"/>
        <v>0</v>
      </c>
      <c r="AJ924" s="22">
        <f t="shared" si="429"/>
        <v>0</v>
      </c>
      <c r="AK924" s="22">
        <f t="shared" si="429"/>
        <v>0</v>
      </c>
      <c r="AL924" s="22">
        <f t="shared" si="429"/>
        <v>0</v>
      </c>
      <c r="AM924" s="22">
        <f t="shared" si="429"/>
        <v>0</v>
      </c>
      <c r="AN924" s="22">
        <f t="shared" si="429"/>
        <v>0</v>
      </c>
    </row>
    <row r="925" spans="3:40" outlineLevel="1" x14ac:dyDescent="0.3">
      <c r="C925" s="1" t="s">
        <v>354</v>
      </c>
      <c r="D925" s="2"/>
      <c r="H925" s="26" t="s">
        <v>245</v>
      </c>
      <c r="I925" s="35"/>
      <c r="L925" s="22">
        <f>IFERROR(IF(L$9=YEAR(Input!$H$14),0,(L915/(L$14*L$10))*$I906),0)</f>
        <v>0</v>
      </c>
      <c r="M925" s="22">
        <f>IFERROR(IF(M$9=YEAR(Input!$H$14),0,(M915/(M$14*M$10))*$I906),0)</f>
        <v>0</v>
      </c>
      <c r="N925" s="22">
        <f>IFERROR(IF(N$9=YEAR(Input!$H$14),0,(N915/(N$14*N$10))*$I906),0)</f>
        <v>62.154169488353915</v>
      </c>
      <c r="O925" s="22">
        <f>IFERROR(IF(O$9=YEAR(Input!$H$14),0,(O915/(O$14*O$10))*$I906),0)</f>
        <v>65.5782837333727</v>
      </c>
      <c r="P925" s="22">
        <f>IFERROR(IF(P$9=YEAR(Input!$H$14),0,(P915/(P$14*P$10))*$I906),0)</f>
        <v>68.136243136096581</v>
      </c>
      <c r="Q925" s="22">
        <f>IFERROR(IF(Q$9=YEAR(Input!$H$14),0,(Q915/(Q$14*Q$10))*$I906),0)</f>
        <v>70.880038562007371</v>
      </c>
      <c r="R925" s="22">
        <f>IFERROR(IF(R$9=YEAR(Input!$H$14),0,(R915/(R$14*R$10))*$I906),0)</f>
        <v>74.487853831762251</v>
      </c>
      <c r="S925" s="22">
        <f>IFERROR(IF(S$9=YEAR(Input!$H$14),0,(S915/(S$14*S$10))*$I906),0)</f>
        <v>76.883199403707238</v>
      </c>
      <c r="T925" s="22">
        <f>IFERROR(IF(T$9=YEAR(Input!$H$14),0,(T915/(T$14*T$10))*$I906),0)</f>
        <v>80.291966885744657</v>
      </c>
      <c r="U925" s="22">
        <f>IFERROR(IF(U$9=YEAR(Input!$H$14),0,(U915/(U$14*U$10))*$I906),0)</f>
        <v>83.581938278812018</v>
      </c>
      <c r="V925" s="22">
        <f>IFERROR(IF(V$9=YEAR(Input!$H$14),0,(V915/(V$14*V$10))*$I906),0)</f>
        <v>82.890808357679973</v>
      </c>
      <c r="W925" s="22">
        <f>IFERROR(IF(W$9=YEAR(Input!$H$14),0,(W915/(W$14*W$10))*$I906),0)</f>
        <v>83.009174160757567</v>
      </c>
      <c r="X925" s="22">
        <f>IFERROR(IF(X$9=YEAR(Input!$H$14),0,(X915/(X$14*X$10))*$I906),0)</f>
        <v>85.72126550529579</v>
      </c>
      <c r="Y925" s="22">
        <f>IFERROR(IF(Y$9=YEAR(Input!$H$14),0,(Y915/(Y$14*Y$10))*$I906),0)</f>
        <v>89.188362691768916</v>
      </c>
      <c r="Z925" s="22">
        <f>IFERROR(IF(Z$9=YEAR(Input!$H$14),0,(Z915/(Z$14*Z$10))*$I906),0)</f>
        <v>91.954633246062841</v>
      </c>
      <c r="AA925" s="22">
        <f>IFERROR(IF(AA$9=YEAR(Input!$H$14),0,(AA915/(AA$14*AA$10))*$I906),0)</f>
        <v>96.610054635269506</v>
      </c>
      <c r="AB925" s="22">
        <f>IFERROR(IF(AB$9=YEAR(Input!$H$14),0,(AB915/(AB$14*AB$10))*$I906),0)</f>
        <v>100.45590855866666</v>
      </c>
      <c r="AC925" s="22">
        <f>IFERROR(IF(AC$9=YEAR(Input!$H$14),0,(AC915/(AC$14*AC$10))*$I906),0)</f>
        <v>0</v>
      </c>
      <c r="AD925" s="22">
        <f>IFERROR(IF(AD$9=YEAR(Input!$H$14),0,(AD915/(AD$14*AD$10))*$I906),0)</f>
        <v>0</v>
      </c>
      <c r="AE925" s="22">
        <f>IFERROR(IF(AE$9=YEAR(Input!$H$14),0,(AE915/(AE$14*AE$10))*$I906),0)</f>
        <v>0</v>
      </c>
      <c r="AF925" s="22">
        <f>IFERROR(IF(AF$9=YEAR(Input!$H$14),0,(AF915/(AF$14*AF$10))*$I906),0)</f>
        <v>0</v>
      </c>
      <c r="AG925" s="22">
        <f>IFERROR(IF(AG$9=YEAR(Input!$H$14),0,(AG915/(AG$14*AG$10))*$I906),0)</f>
        <v>0</v>
      </c>
      <c r="AH925" s="22">
        <f>IFERROR(IF(AH$9=YEAR(Input!$H$14),0,(AH915/(AH$14*AH$10))*$I906),0)</f>
        <v>0</v>
      </c>
      <c r="AI925" s="22">
        <f>IFERROR(IF(AI$9=YEAR(Input!$H$14),0,(AI915/(AI$14*AI$10))*$I906),0)</f>
        <v>0</v>
      </c>
      <c r="AJ925" s="22">
        <f>IFERROR(IF(AJ$9=YEAR(Input!$H$14),0,(AJ915/(AJ$14*AJ$10))*$I906),0)</f>
        <v>0</v>
      </c>
      <c r="AK925" s="22">
        <f>IFERROR(IF(AK$9=YEAR(Input!$H$14),0,(AK915/(AK$14*AK$10))*$I906),0)</f>
        <v>0</v>
      </c>
      <c r="AL925" s="22">
        <f>IFERROR(IF(AL$9=YEAR(Input!$H$14),0,(AL915/(AL$14*AL$10))*$I906),0)</f>
        <v>0</v>
      </c>
      <c r="AM925" s="22">
        <f>IFERROR(IF(AM$9=YEAR(Input!$H$14),0,(AM915/(AM$14*AM$10))*$I906),0)</f>
        <v>0</v>
      </c>
      <c r="AN925" s="22">
        <f>IFERROR(IF(AN$9=YEAR(Input!$H$14),0,(AN915/(AN$14*AN$10))*$I906),0)</f>
        <v>0</v>
      </c>
    </row>
    <row r="926" spans="3:40" outlineLevel="1" x14ac:dyDescent="0.3">
      <c r="C926" s="1" t="s">
        <v>357</v>
      </c>
      <c r="D926" s="2"/>
      <c r="H926" s="26" t="s">
        <v>245</v>
      </c>
      <c r="I926" s="35"/>
      <c r="L926" s="22">
        <f>IFERROR(IF(L$9=YEAR(Input!$H$14),0,(L916/(L$14*L$10))*$I906),0)</f>
        <v>0</v>
      </c>
      <c r="M926" s="22">
        <f>IFERROR(IF(M$9=YEAR(Input!$H$14),0,(M916/(M$14*M$10))*$I906),0)</f>
        <v>0</v>
      </c>
      <c r="N926" s="22">
        <f>IFERROR(IF(N$9=YEAR(Input!$H$14),0,(N916/(N$14*N$10))*$I906),0)</f>
        <v>62.683167845101259</v>
      </c>
      <c r="O926" s="22">
        <f>IFERROR(IF(O$9=YEAR(Input!$H$14),0,(O916/(O$14*O$10))*$I906),0)</f>
        <v>65.931146872410181</v>
      </c>
      <c r="P926" s="22">
        <f>IFERROR(IF(P$9=YEAR(Input!$H$14),0,(P916/(P$14*P$10))*$I906),0)</f>
        <v>68.557385374188286</v>
      </c>
      <c r="Q926" s="22">
        <f>IFERROR(IF(Q$9=YEAR(Input!$H$14),0,(Q916/(Q$14*Q$10))*$I906),0)</f>
        <v>71.321299698307953</v>
      </c>
      <c r="R926" s="22">
        <f>IFERROR(IF(R$9=YEAR(Input!$H$14),0,(R916/(R$14*R$10))*$I906),0)</f>
        <v>74.812532562458813</v>
      </c>
      <c r="S926" s="22">
        <f>IFERROR(IF(S$9=YEAR(Input!$H$14),0,(S916/(S$14*S$10))*$I906),0)</f>
        <v>77.593990331559667</v>
      </c>
      <c r="T926" s="22">
        <f>IFERROR(IF(T$9=YEAR(Input!$H$14),0,(T916/(T$14*T$10))*$I906),0)</f>
        <v>81.022867912351458</v>
      </c>
      <c r="U926" s="22">
        <f>IFERROR(IF(U$9=YEAR(Input!$H$14),0,(U916/(U$14*U$10))*$I906),0)</f>
        <v>84.157444668201677</v>
      </c>
      <c r="V926" s="22">
        <f>IFERROR(IF(V$9=YEAR(Input!$H$14),0,(V916/(V$14*V$10))*$I906),0)</f>
        <v>82.977578166724001</v>
      </c>
      <c r="W926" s="22">
        <f>IFERROR(IF(W$9=YEAR(Input!$H$14),0,(W916/(W$14*W$10))*$I906),0)</f>
        <v>83.036888810047756</v>
      </c>
      <c r="X926" s="22">
        <f>IFERROR(IF(X$9=YEAR(Input!$H$14),0,(X916/(X$14*X$10))*$I906),0)</f>
        <v>85.720609642887965</v>
      </c>
      <c r="Y926" s="22">
        <f>IFERROR(IF(Y$9=YEAR(Input!$H$14),0,(Y916/(Y$14*Y$10))*$I906),0)</f>
        <v>89.188099628052484</v>
      </c>
      <c r="Z926" s="22">
        <f>IFERROR(IF(Z$9=YEAR(Input!$H$14),0,(Z916/(Z$14*Z$10))*$I906),0)</f>
        <v>91.954600363098294</v>
      </c>
      <c r="AA926" s="22">
        <f>IFERROR(IF(AA$9=YEAR(Input!$H$14),0,(AA916/(AA$14*AA$10))*$I906),0)</f>
        <v>96.610054635269506</v>
      </c>
      <c r="AB926" s="22">
        <f>IFERROR(IF(AB$9=YEAR(Input!$H$14),0,(AB916/(AB$14*AB$10))*$I906),0)</f>
        <v>100.45590855866666</v>
      </c>
      <c r="AC926" s="22">
        <f>IFERROR(IF(AC$9=YEAR(Input!$H$14),0,(AC916/(AC$14*AC$10))*$I906),0)</f>
        <v>0</v>
      </c>
      <c r="AD926" s="22">
        <f>IFERROR(IF(AD$9=YEAR(Input!$H$14),0,(AD916/(AD$14*AD$10))*$I906),0)</f>
        <v>0</v>
      </c>
      <c r="AE926" s="22">
        <f>IFERROR(IF(AE$9=YEAR(Input!$H$14),0,(AE916/(AE$14*AE$10))*$I906),0)</f>
        <v>0</v>
      </c>
      <c r="AF926" s="22">
        <f>IFERROR(IF(AF$9=YEAR(Input!$H$14),0,(AF916/(AF$14*AF$10))*$I906),0)</f>
        <v>0</v>
      </c>
      <c r="AG926" s="22">
        <f>IFERROR(IF(AG$9=YEAR(Input!$H$14),0,(AG916/(AG$14*AG$10))*$I906),0)</f>
        <v>0</v>
      </c>
      <c r="AH926" s="22">
        <f>IFERROR(IF(AH$9=YEAR(Input!$H$14),0,(AH916/(AH$14*AH$10))*$I906),0)</f>
        <v>0</v>
      </c>
      <c r="AI926" s="22">
        <f>IFERROR(IF(AI$9=YEAR(Input!$H$14),0,(AI916/(AI$14*AI$10))*$I906),0)</f>
        <v>0</v>
      </c>
      <c r="AJ926" s="22">
        <f>IFERROR(IF(AJ$9=YEAR(Input!$H$14),0,(AJ916/(AJ$14*AJ$10))*$I906),0)</f>
        <v>0</v>
      </c>
      <c r="AK926" s="22">
        <f>IFERROR(IF(AK$9=YEAR(Input!$H$14),0,(AK916/(AK$14*AK$10))*$I906),0)</f>
        <v>0</v>
      </c>
      <c r="AL926" s="22">
        <f>IFERROR(IF(AL$9=YEAR(Input!$H$14),0,(AL916/(AL$14*AL$10))*$I906),0)</f>
        <v>0</v>
      </c>
      <c r="AM926" s="22">
        <f>IFERROR(IF(AM$9=YEAR(Input!$H$14),0,(AM916/(AM$14*AM$10))*$I906),0)</f>
        <v>0</v>
      </c>
      <c r="AN926" s="22">
        <f>IFERROR(IF(AN$9=YEAR(Input!$H$14),0,(AN916/(AN$14*AN$10))*$I906),0)</f>
        <v>0</v>
      </c>
    </row>
    <row r="927" spans="3:40" outlineLevel="1" x14ac:dyDescent="0.3">
      <c r="C927" s="1" t="s">
        <v>394</v>
      </c>
      <c r="D927" s="2"/>
      <c r="H927" s="26" t="s">
        <v>245</v>
      </c>
      <c r="I927" s="35"/>
      <c r="L927" s="22">
        <f>IFERROR(IF(L$9=YEAR(Input!$H$14),0,L918/(L$14)*$I909),0)</f>
        <v>0</v>
      </c>
      <c r="M927" s="22">
        <f>IFERROR(IF(M$9=YEAR(Input!$H$14),0,M918/(M$14)*$I909),0)</f>
        <v>0</v>
      </c>
      <c r="N927" s="22">
        <f>IFERROR(IF(N$9=YEAR(Input!$H$14),0,N918/(N$14)*$I909),0)</f>
        <v>4.9338740179563634E-2</v>
      </c>
      <c r="O927" s="22">
        <f>IFERROR(IF(O$9=YEAR(Input!$H$14),0,O918/(O$14)*$I909),0)</f>
        <v>6.6435914255886184</v>
      </c>
      <c r="P927" s="22">
        <f>IFERROR(IF(P$9=YEAR(Input!$H$14),0,P918/(P$14)*$I909),0)</f>
        <v>6.9121686173693462</v>
      </c>
      <c r="Q927" s="22">
        <f>IFERROR(IF(Q$9=YEAR(Input!$H$14),0,Q918/(Q$14)*$I909),0)</f>
        <v>7.1828208287582127</v>
      </c>
      <c r="R927" s="22">
        <f>IFERROR(IF(R$9=YEAR(Input!$H$14),0,R918/(R$14)*$I909),0)</f>
        <v>6.9631761063072934</v>
      </c>
      <c r="S927" s="22">
        <f>IFERROR(IF(S$9=YEAR(Input!$H$14),0,S918/(S$14)*$I909),0)</f>
        <v>7.6229857815519884</v>
      </c>
      <c r="T927" s="22">
        <f>IFERROR(IF(T$9=YEAR(Input!$H$14),0,T918/(T$14)*$I909),0)</f>
        <v>7.9786814465278546</v>
      </c>
      <c r="U927" s="22">
        <f>IFERROR(IF(U$9=YEAR(Input!$H$14),0,U918/(U$14)*$I909),0)</f>
        <v>8.395931038939354</v>
      </c>
      <c r="V927" s="22">
        <f>IFERROR(IF(V$9=YEAR(Input!$H$14),0,V918/(V$14)*$I909),0)</f>
        <v>10.849694657800026</v>
      </c>
      <c r="W927" s="22">
        <f>IFERROR(IF(W$9=YEAR(Input!$H$14),0,W918/(W$14)*$I909),0)</f>
        <v>14.537970833615075</v>
      </c>
      <c r="X927" s="22">
        <f>IFERROR(IF(X$9=YEAR(Input!$H$14),0,X918/(X$14)*$I909),0)</f>
        <v>14.849580923550713</v>
      </c>
      <c r="Y927" s="22">
        <f>IFERROR(IF(Y$9=YEAR(Input!$H$14),0,Y918/(Y$14)*$I909),0)</f>
        <v>16.664304830529666</v>
      </c>
      <c r="Z927" s="22">
        <f>IFERROR(IF(Z$9=YEAR(Input!$H$14),0,Z918/(Z$14)*$I909),0)</f>
        <v>16.098898960991878</v>
      </c>
      <c r="AA927" s="22">
        <f>IFERROR(IF(AA$9=YEAR(Input!$H$14),0,AA918/(AA$14)*$I909),0)</f>
        <v>17.797374284655625</v>
      </c>
      <c r="AB927" s="22">
        <f>IFERROR(IF(AB$9=YEAR(Input!$H$14),0,AB918/(AB$14)*$I909),0)</f>
        <v>18.513554206299432</v>
      </c>
      <c r="AC927" s="22">
        <f>IFERROR(IF(AC$9=YEAR(Input!$H$14),0,AC918/(AC$14)*$I909),0)</f>
        <v>0</v>
      </c>
      <c r="AD927" s="22">
        <f>IFERROR(IF(AD$9=YEAR(Input!$H$14),0,AD918/(AD$14)*$I909),0)</f>
        <v>0</v>
      </c>
      <c r="AE927" s="22">
        <f>IFERROR(IF(AE$9=YEAR(Input!$H$14),0,AE918/(AE$14)*$I909),0)</f>
        <v>0</v>
      </c>
      <c r="AF927" s="22">
        <f>IFERROR(IF(AF$9=YEAR(Input!$H$14),0,AF918/(AF$14)*$I909),0)</f>
        <v>0</v>
      </c>
      <c r="AG927" s="22">
        <f>IFERROR(IF(AG$9=YEAR(Input!$H$14),0,AG918/(AG$14)*$I909),0)</f>
        <v>0</v>
      </c>
      <c r="AH927" s="22">
        <f>IFERROR(IF(AH$9=YEAR(Input!$H$14),0,AH918/(AH$14)*$I909),0)</f>
        <v>0</v>
      </c>
      <c r="AI927" s="22">
        <f>IFERROR(IF(AI$9=YEAR(Input!$H$14),0,AI918/(AI$14)*$I909),0)</f>
        <v>0</v>
      </c>
      <c r="AJ927" s="22">
        <f>IFERROR(IF(AJ$9=YEAR(Input!$H$14),0,AJ918/(AJ$14)*$I909),0)</f>
        <v>0</v>
      </c>
      <c r="AK927" s="22">
        <f>IFERROR(IF(AK$9=YEAR(Input!$H$14),0,AK918/(AK$14)*$I909),0)</f>
        <v>0</v>
      </c>
      <c r="AL927" s="22">
        <f>IFERROR(IF(AL$9=YEAR(Input!$H$14),0,AL918/(AL$14)*$I909),0)</f>
        <v>0</v>
      </c>
      <c r="AM927" s="22">
        <f>IFERROR(IF(AM$9=YEAR(Input!$H$14),0,AM918/(AM$14)*$I909),0)</f>
        <v>0</v>
      </c>
      <c r="AN927" s="22">
        <f>IFERROR(IF(AN$9=YEAR(Input!$H$14),0,AN918/(AN$14)*$I909),0)</f>
        <v>0</v>
      </c>
    </row>
    <row r="928" spans="3:40" outlineLevel="1" x14ac:dyDescent="0.3">
      <c r="D928" s="2"/>
      <c r="H928" s="30"/>
      <c r="I928" s="35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</row>
    <row r="929" spans="1:41" outlineLevel="1" x14ac:dyDescent="0.3">
      <c r="C929" s="2" t="s">
        <v>358</v>
      </c>
      <c r="D929" s="2"/>
      <c r="H929" s="30" t="s">
        <v>245</v>
      </c>
      <c r="I929" s="35"/>
      <c r="K929" s="89">
        <v>0</v>
      </c>
      <c r="L929" s="34">
        <f>L922+L923+L924-L927-L925</f>
        <v>0</v>
      </c>
      <c r="M929" s="34">
        <f t="shared" ref="M929:AN929" si="430">M922+M923+M924-M927-M925</f>
        <v>5.522913211051776</v>
      </c>
      <c r="N929" s="34">
        <f t="shared" si="430"/>
        <v>23.57933461087454</v>
      </c>
      <c r="O929" s="34">
        <f>O922+O923+O924-O927-O925</f>
        <v>16.992281394022996</v>
      </c>
      <c r="P929" s="34">
        <f t="shared" si="430"/>
        <v>17.734311061637783</v>
      </c>
      <c r="Q929" s="34">
        <f t="shared" si="430"/>
        <v>18.431172336942282</v>
      </c>
      <c r="R929" s="34">
        <f t="shared" si="430"/>
        <v>18.902763058746643</v>
      </c>
      <c r="S929" s="34">
        <f t="shared" si="430"/>
        <v>19.861759531429612</v>
      </c>
      <c r="T929" s="34">
        <f t="shared" si="430"/>
        <v>20.272014173083875</v>
      </c>
      <c r="U929" s="34">
        <f t="shared" si="430"/>
        <v>20.906499687819277</v>
      </c>
      <c r="V929" s="34">
        <f t="shared" si="430"/>
        <v>21.839555694492731</v>
      </c>
      <c r="W929" s="34">
        <f t="shared" si="430"/>
        <v>20.856506083258878</v>
      </c>
      <c r="X929" s="34">
        <f t="shared" si="430"/>
        <v>22.568950691890294</v>
      </c>
      <c r="Y929" s="34">
        <f t="shared" si="430"/>
        <v>22.212721483267686</v>
      </c>
      <c r="Z929" s="34">
        <f t="shared" si="430"/>
        <v>25.134472358734214</v>
      </c>
      <c r="AA929" s="34">
        <f t="shared" si="430"/>
        <v>24.108095828495294</v>
      </c>
      <c r="AB929" s="34">
        <f t="shared" si="430"/>
        <v>25.08668297339122</v>
      </c>
      <c r="AC929" s="34">
        <f t="shared" si="430"/>
        <v>0</v>
      </c>
      <c r="AD929" s="34">
        <f t="shared" si="430"/>
        <v>0</v>
      </c>
      <c r="AE929" s="34">
        <f t="shared" si="430"/>
        <v>0</v>
      </c>
      <c r="AF929" s="34">
        <f t="shared" si="430"/>
        <v>0</v>
      </c>
      <c r="AG929" s="34">
        <f t="shared" si="430"/>
        <v>0</v>
      </c>
      <c r="AH929" s="34">
        <f t="shared" si="430"/>
        <v>0</v>
      </c>
      <c r="AI929" s="34">
        <f t="shared" si="430"/>
        <v>0</v>
      </c>
      <c r="AJ929" s="34">
        <f t="shared" si="430"/>
        <v>0</v>
      </c>
      <c r="AK929" s="34">
        <f t="shared" si="430"/>
        <v>0</v>
      </c>
      <c r="AL929" s="34">
        <f t="shared" si="430"/>
        <v>0</v>
      </c>
      <c r="AM929" s="34">
        <f t="shared" si="430"/>
        <v>0</v>
      </c>
      <c r="AN929" s="34">
        <f t="shared" si="430"/>
        <v>0</v>
      </c>
    </row>
    <row r="930" spans="1:41" outlineLevel="1" x14ac:dyDescent="0.3">
      <c r="C930" s="1" t="s">
        <v>13</v>
      </c>
      <c r="D930" s="2"/>
      <c r="H930" s="26" t="s">
        <v>245</v>
      </c>
      <c r="I930" s="35"/>
      <c r="L930" s="22">
        <f>L929-K929</f>
        <v>0</v>
      </c>
      <c r="M930" s="22">
        <f t="shared" ref="M930:AN930" si="431">M929-L929</f>
        <v>5.522913211051776</v>
      </c>
      <c r="N930" s="22">
        <f>N929-M929</f>
        <v>18.056421399822764</v>
      </c>
      <c r="O930" s="22">
        <f t="shared" si="431"/>
        <v>-6.5870532168515439</v>
      </c>
      <c r="P930" s="22">
        <f t="shared" si="431"/>
        <v>0.74202966761478706</v>
      </c>
      <c r="Q930" s="22">
        <f t="shared" si="431"/>
        <v>0.69686127530449937</v>
      </c>
      <c r="R930" s="22">
        <f t="shared" si="431"/>
        <v>0.47159072180436112</v>
      </c>
      <c r="S930" s="22">
        <f t="shared" si="431"/>
        <v>0.95899647268296917</v>
      </c>
      <c r="T930" s="22">
        <f t="shared" si="431"/>
        <v>0.41025464165426229</v>
      </c>
      <c r="U930" s="22">
        <f t="shared" si="431"/>
        <v>0.63448551473540249</v>
      </c>
      <c r="V930" s="22">
        <f t="shared" si="431"/>
        <v>0.93305600667345345</v>
      </c>
      <c r="W930" s="22">
        <f t="shared" si="431"/>
        <v>-0.98304961123385226</v>
      </c>
      <c r="X930" s="22">
        <f t="shared" si="431"/>
        <v>1.7124446086314151</v>
      </c>
      <c r="Y930" s="22">
        <f t="shared" si="431"/>
        <v>-0.35622920862260798</v>
      </c>
      <c r="Z930" s="22">
        <f t="shared" si="431"/>
        <v>2.9217508754665289</v>
      </c>
      <c r="AA930" s="22">
        <f t="shared" si="431"/>
        <v>-1.0263765302389203</v>
      </c>
      <c r="AB930" s="22">
        <f t="shared" si="431"/>
        <v>0.97858714489592558</v>
      </c>
      <c r="AC930" s="22">
        <f>AC929-AB929</f>
        <v>-25.08668297339122</v>
      </c>
      <c r="AD930" s="22">
        <f t="shared" si="431"/>
        <v>0</v>
      </c>
      <c r="AE930" s="22">
        <f t="shared" si="431"/>
        <v>0</v>
      </c>
      <c r="AF930" s="22">
        <f t="shared" si="431"/>
        <v>0</v>
      </c>
      <c r="AG930" s="22">
        <f t="shared" si="431"/>
        <v>0</v>
      </c>
      <c r="AH930" s="22">
        <f t="shared" si="431"/>
        <v>0</v>
      </c>
      <c r="AI930" s="22">
        <f t="shared" si="431"/>
        <v>0</v>
      </c>
      <c r="AJ930" s="22">
        <f t="shared" si="431"/>
        <v>0</v>
      </c>
      <c r="AK930" s="22">
        <f t="shared" si="431"/>
        <v>0</v>
      </c>
      <c r="AL930" s="22">
        <f t="shared" si="431"/>
        <v>0</v>
      </c>
      <c r="AM930" s="22">
        <f t="shared" si="431"/>
        <v>0</v>
      </c>
      <c r="AN930" s="22">
        <f t="shared" si="431"/>
        <v>0</v>
      </c>
    </row>
    <row r="931" spans="1:41" outlineLevel="1" x14ac:dyDescent="0.3">
      <c r="D931" s="2"/>
      <c r="H931" s="30"/>
      <c r="I931" s="35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</row>
    <row r="932" spans="1:41" outlineLevel="1" x14ac:dyDescent="0.3">
      <c r="C932" s="2" t="s">
        <v>359</v>
      </c>
      <c r="D932" s="2"/>
      <c r="H932" s="30" t="s">
        <v>245</v>
      </c>
      <c r="I932" s="35"/>
      <c r="K932" s="89">
        <v>0</v>
      </c>
      <c r="L932" s="34">
        <f>L922+L923+L924-L926-L927</f>
        <v>0</v>
      </c>
      <c r="M932" s="34">
        <f t="shared" ref="M932:AN932" si="432">M922+M923+M924-M926-M927</f>
        <v>5.522913211051776</v>
      </c>
      <c r="N932" s="34">
        <f t="shared" si="432"/>
        <v>23.050336254127195</v>
      </c>
      <c r="O932" s="34">
        <f t="shared" si="432"/>
        <v>16.639418254985522</v>
      </c>
      <c r="P932" s="34">
        <f t="shared" si="432"/>
        <v>17.313168823546079</v>
      </c>
      <c r="Q932" s="34">
        <f t="shared" si="432"/>
        <v>17.989911200641696</v>
      </c>
      <c r="R932" s="34">
        <f t="shared" si="432"/>
        <v>18.578084328050075</v>
      </c>
      <c r="S932" s="34">
        <f t="shared" si="432"/>
        <v>19.150968603577184</v>
      </c>
      <c r="T932" s="34">
        <f t="shared" si="432"/>
        <v>19.541113146477077</v>
      </c>
      <c r="U932" s="34">
        <f t="shared" si="432"/>
        <v>20.330993298429618</v>
      </c>
      <c r="V932" s="34">
        <f t="shared" si="432"/>
        <v>21.752785885448706</v>
      </c>
      <c r="W932" s="34">
        <f t="shared" si="432"/>
        <v>20.828791433968689</v>
      </c>
      <c r="X932" s="34">
        <f t="shared" si="432"/>
        <v>22.569606554298126</v>
      </c>
      <c r="Y932" s="34">
        <f t="shared" si="432"/>
        <v>22.21298454698411</v>
      </c>
      <c r="Z932" s="34">
        <f t="shared" si="432"/>
        <v>25.134505241698758</v>
      </c>
      <c r="AA932" s="34">
        <f t="shared" si="432"/>
        <v>24.108095828495301</v>
      </c>
      <c r="AB932" s="34">
        <f t="shared" si="432"/>
        <v>25.08668297339122</v>
      </c>
      <c r="AC932" s="34">
        <f t="shared" si="432"/>
        <v>0</v>
      </c>
      <c r="AD932" s="34">
        <f t="shared" si="432"/>
        <v>0</v>
      </c>
      <c r="AE932" s="34">
        <f t="shared" si="432"/>
        <v>0</v>
      </c>
      <c r="AF932" s="34">
        <f t="shared" si="432"/>
        <v>0</v>
      </c>
      <c r="AG932" s="34">
        <f t="shared" si="432"/>
        <v>0</v>
      </c>
      <c r="AH932" s="34">
        <f t="shared" si="432"/>
        <v>0</v>
      </c>
      <c r="AI932" s="34">
        <f t="shared" si="432"/>
        <v>0</v>
      </c>
      <c r="AJ932" s="34">
        <f t="shared" si="432"/>
        <v>0</v>
      </c>
      <c r="AK932" s="34">
        <f t="shared" si="432"/>
        <v>0</v>
      </c>
      <c r="AL932" s="34">
        <f t="shared" si="432"/>
        <v>0</v>
      </c>
      <c r="AM932" s="34">
        <f t="shared" si="432"/>
        <v>0</v>
      </c>
      <c r="AN932" s="34">
        <f t="shared" si="432"/>
        <v>0</v>
      </c>
    </row>
    <row r="933" spans="1:41" outlineLevel="1" x14ac:dyDescent="0.3">
      <c r="C933" s="1" t="s">
        <v>13</v>
      </c>
      <c r="D933" s="2"/>
      <c r="H933" s="26" t="s">
        <v>245</v>
      </c>
      <c r="I933" s="35"/>
      <c r="L933" s="22">
        <f>L932-K932</f>
        <v>0</v>
      </c>
      <c r="M933" s="22">
        <f t="shared" ref="M933:AN933" si="433">M932-L932</f>
        <v>5.522913211051776</v>
      </c>
      <c r="N933" s="22">
        <f>N932-M932</f>
        <v>17.527423043075419</v>
      </c>
      <c r="O933" s="22">
        <f t="shared" si="433"/>
        <v>-6.4109179991416738</v>
      </c>
      <c r="P933" s="22">
        <f t="shared" si="433"/>
        <v>0.67375056856055693</v>
      </c>
      <c r="Q933" s="22">
        <f t="shared" si="433"/>
        <v>0.6767423770956178</v>
      </c>
      <c r="R933" s="22">
        <f t="shared" si="433"/>
        <v>0.58817312740837835</v>
      </c>
      <c r="S933" s="22">
        <f t="shared" si="433"/>
        <v>0.57288427552710885</v>
      </c>
      <c r="T933" s="22">
        <f t="shared" si="433"/>
        <v>0.39014454289989331</v>
      </c>
      <c r="U933" s="22">
        <f t="shared" si="433"/>
        <v>0.78988015195254135</v>
      </c>
      <c r="V933" s="22">
        <f t="shared" si="433"/>
        <v>1.4217925870190875</v>
      </c>
      <c r="W933" s="22">
        <f t="shared" si="433"/>
        <v>-0.92399445148001647</v>
      </c>
      <c r="X933" s="22">
        <f t="shared" si="433"/>
        <v>1.7408151203294366</v>
      </c>
      <c r="Y933" s="22">
        <f t="shared" si="433"/>
        <v>-0.35662200731401583</v>
      </c>
      <c r="Z933" s="22">
        <f t="shared" si="433"/>
        <v>2.9215206947146477</v>
      </c>
      <c r="AA933" s="22">
        <f t="shared" si="433"/>
        <v>-1.0264094132034565</v>
      </c>
      <c r="AB933" s="22">
        <f t="shared" si="433"/>
        <v>0.97858714489591847</v>
      </c>
      <c r="AC933" s="22">
        <f t="shared" si="433"/>
        <v>-25.08668297339122</v>
      </c>
      <c r="AD933" s="22">
        <f t="shared" si="433"/>
        <v>0</v>
      </c>
      <c r="AE933" s="22">
        <f t="shared" si="433"/>
        <v>0</v>
      </c>
      <c r="AF933" s="22">
        <f t="shared" si="433"/>
        <v>0</v>
      </c>
      <c r="AG933" s="22">
        <f t="shared" si="433"/>
        <v>0</v>
      </c>
      <c r="AH933" s="22">
        <f t="shared" si="433"/>
        <v>0</v>
      </c>
      <c r="AI933" s="22">
        <f t="shared" si="433"/>
        <v>0</v>
      </c>
      <c r="AJ933" s="22">
        <f t="shared" si="433"/>
        <v>0</v>
      </c>
      <c r="AK933" s="22">
        <f t="shared" si="433"/>
        <v>0</v>
      </c>
      <c r="AL933" s="22">
        <f t="shared" si="433"/>
        <v>0</v>
      </c>
      <c r="AM933" s="22">
        <f t="shared" si="433"/>
        <v>0</v>
      </c>
      <c r="AN933" s="22">
        <f t="shared" si="433"/>
        <v>0</v>
      </c>
    </row>
    <row r="934" spans="1:41" ht="15.75" outlineLevel="1" thickBot="1" x14ac:dyDescent="0.35"/>
    <row r="935" spans="1:41" s="106" customFormat="1" ht="18" customHeight="1" thickTop="1" thickBot="1" x14ac:dyDescent="0.35">
      <c r="A935" s="53"/>
      <c r="B935" s="53"/>
      <c r="C935" s="50" t="s">
        <v>151</v>
      </c>
      <c r="D935" s="51"/>
      <c r="E935" s="51"/>
      <c r="F935" s="51"/>
      <c r="G935" s="51"/>
      <c r="H935" s="52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</row>
    <row r="936" spans="1:41" ht="15.75" outlineLevel="1" thickTop="1" x14ac:dyDescent="0.3"/>
    <row r="937" spans="1:41" outlineLevel="1" x14ac:dyDescent="0.3">
      <c r="C937" s="2" t="s">
        <v>344</v>
      </c>
      <c r="H937" s="26" t="s">
        <v>335</v>
      </c>
      <c r="K937" s="88">
        <f>SUM(L937:AO937)</f>
        <v>2123.2825769280157</v>
      </c>
      <c r="L937" s="47">
        <f>PL_BS_CF!L22</f>
        <v>0</v>
      </c>
      <c r="M937" s="47">
        <f>PL_BS_CF!M22</f>
        <v>0</v>
      </c>
      <c r="N937" s="47">
        <f>PL_BS_CF!N22</f>
        <v>54.088612161078409</v>
      </c>
      <c r="O937" s="47">
        <f>PL_BS_CF!O22</f>
        <v>56.090893813629421</v>
      </c>
      <c r="P937" s="47">
        <f>PL_BS_CF!P22</f>
        <v>59.289447943777574</v>
      </c>
      <c r="Q937" s="47">
        <f>PL_BS_CF!Q22</f>
        <v>61.681829109246713</v>
      </c>
      <c r="R937" s="47">
        <f>PL_BS_CF!R22</f>
        <v>54.367413176629874</v>
      </c>
      <c r="S937" s="47">
        <f>PL_BS_CF!S22</f>
        <v>69.040275444022498</v>
      </c>
      <c r="T937" s="47">
        <f>PL_BS_CF!T22</f>
        <v>68.681717286355337</v>
      </c>
      <c r="U937" s="47">
        <f>PL_BS_CF!U22</f>
        <v>73.05588873700782</v>
      </c>
      <c r="V937" s="47">
        <f>PL_BS_CF!V22</f>
        <v>146.13010088477776</v>
      </c>
      <c r="W937" s="47">
        <f>PL_BS_CF!W22</f>
        <v>205.18991290297163</v>
      </c>
      <c r="X937" s="47">
        <f>PL_BS_CF!X22</f>
        <v>227.3565853740424</v>
      </c>
      <c r="Y937" s="47">
        <f>PL_BS_CF!Y22</f>
        <v>235.43358033326757</v>
      </c>
      <c r="Z937" s="47">
        <f>PL_BS_CF!Z22</f>
        <v>255.10631645064663</v>
      </c>
      <c r="AA937" s="47">
        <f>PL_BS_CF!AA22</f>
        <v>249.90993152962739</v>
      </c>
      <c r="AB937" s="47">
        <f>PL_BS_CF!AB22</f>
        <v>261.1693716974425</v>
      </c>
      <c r="AC937" s="47">
        <f>PL_BS_CF!AC22</f>
        <v>46.690700083492708</v>
      </c>
      <c r="AD937" s="47">
        <f>PL_BS_CF!AD22</f>
        <v>0</v>
      </c>
      <c r="AE937" s="47">
        <f>PL_BS_CF!AE22</f>
        <v>0</v>
      </c>
      <c r="AF937" s="47">
        <f>PL_BS_CF!AF22</f>
        <v>0</v>
      </c>
      <c r="AG937" s="47">
        <f>PL_BS_CF!AG22</f>
        <v>0</v>
      </c>
      <c r="AH937" s="47">
        <f>PL_BS_CF!AH22</f>
        <v>0</v>
      </c>
      <c r="AI937" s="47">
        <f>PL_BS_CF!AI22</f>
        <v>0</v>
      </c>
      <c r="AJ937" s="47">
        <f>PL_BS_CF!AJ22</f>
        <v>0</v>
      </c>
      <c r="AK937" s="47">
        <f>PL_BS_CF!AK22</f>
        <v>0</v>
      </c>
      <c r="AL937" s="47">
        <f>PL_BS_CF!AL22</f>
        <v>0</v>
      </c>
      <c r="AM937" s="47">
        <f>PL_BS_CF!AM22</f>
        <v>0</v>
      </c>
      <c r="AN937" s="47">
        <f>PL_BS_CF!AN22</f>
        <v>0</v>
      </c>
    </row>
    <row r="938" spans="1:41" outlineLevel="1" x14ac:dyDescent="0.3">
      <c r="C938" s="1" t="s">
        <v>360</v>
      </c>
      <c r="H938" s="26" t="s">
        <v>335</v>
      </c>
      <c r="K938" s="20">
        <f t="shared" ref="K938:K939" si="434">SUM(L938:AO938)</f>
        <v>9.349674913035912</v>
      </c>
      <c r="L938" s="47">
        <f t="shared" ref="L938:AN938" si="435">L807</f>
        <v>0</v>
      </c>
      <c r="M938" s="47">
        <f t="shared" si="435"/>
        <v>0</v>
      </c>
      <c r="N938" s="47">
        <f t="shared" si="435"/>
        <v>2.1803075842197601</v>
      </c>
      <c r="O938" s="47">
        <f t="shared" si="435"/>
        <v>2.0034286497663318</v>
      </c>
      <c r="P938" s="47">
        <f t="shared" si="435"/>
        <v>1.5490847233856406</v>
      </c>
      <c r="Q938" s="47">
        <f t="shared" si="435"/>
        <v>1.0947407970049492</v>
      </c>
      <c r="R938" s="47">
        <f t="shared" si="435"/>
        <v>0.64039687062425776</v>
      </c>
      <c r="S938" s="47">
        <f t="shared" si="435"/>
        <v>0.37372951631407775</v>
      </c>
      <c r="T938" s="47">
        <f t="shared" si="435"/>
        <v>0.30397493557604449</v>
      </c>
      <c r="U938" s="47">
        <f t="shared" si="435"/>
        <v>0.24345655633964705</v>
      </c>
      <c r="V938" s="47">
        <f t="shared" si="435"/>
        <v>0.18293817710324956</v>
      </c>
      <c r="W938" s="47">
        <f t="shared" si="435"/>
        <v>0.15256160464568963</v>
      </c>
      <c r="X938" s="47">
        <f t="shared" si="435"/>
        <v>0.12353904811387525</v>
      </c>
      <c r="Y938" s="47">
        <f t="shared" si="435"/>
        <v>6.5728700728968914E-2</v>
      </c>
      <c r="Z938" s="47">
        <f t="shared" si="435"/>
        <v>0.15753709208331163</v>
      </c>
      <c r="AA938" s="47">
        <f t="shared" si="435"/>
        <v>0.20868799284758063</v>
      </c>
      <c r="AB938" s="47">
        <f t="shared" si="435"/>
        <v>6.9562664282526887E-2</v>
      </c>
      <c r="AC938" s="47">
        <f t="shared" si="435"/>
        <v>0</v>
      </c>
      <c r="AD938" s="47">
        <f t="shared" si="435"/>
        <v>0</v>
      </c>
      <c r="AE938" s="47">
        <f t="shared" si="435"/>
        <v>0</v>
      </c>
      <c r="AF938" s="47">
        <f t="shared" si="435"/>
        <v>0</v>
      </c>
      <c r="AG938" s="47">
        <f t="shared" si="435"/>
        <v>0</v>
      </c>
      <c r="AH938" s="47">
        <f t="shared" si="435"/>
        <v>0</v>
      </c>
      <c r="AI938" s="47">
        <f t="shared" si="435"/>
        <v>0</v>
      </c>
      <c r="AJ938" s="47">
        <f t="shared" si="435"/>
        <v>0</v>
      </c>
      <c r="AK938" s="47">
        <f t="shared" si="435"/>
        <v>0</v>
      </c>
      <c r="AL938" s="47">
        <f t="shared" si="435"/>
        <v>0</v>
      </c>
      <c r="AM938" s="47">
        <f t="shared" si="435"/>
        <v>0</v>
      </c>
      <c r="AN938" s="47">
        <f t="shared" si="435"/>
        <v>0</v>
      </c>
    </row>
    <row r="939" spans="1:41" outlineLevel="1" x14ac:dyDescent="0.3">
      <c r="C939" s="1" t="s">
        <v>361</v>
      </c>
      <c r="H939" s="26" t="s">
        <v>335</v>
      </c>
      <c r="K939" s="20">
        <f t="shared" si="434"/>
        <v>8.1907988614467389</v>
      </c>
      <c r="L939" s="47">
        <f t="shared" ref="L939:AN939" si="436">L809</f>
        <v>0</v>
      </c>
      <c r="M939" s="47">
        <f t="shared" si="436"/>
        <v>0</v>
      </c>
      <c r="N939" s="47">
        <f t="shared" si="436"/>
        <v>1.8914636235459714</v>
      </c>
      <c r="O939" s="47">
        <f t="shared" si="436"/>
        <v>1.7379915139971744</v>
      </c>
      <c r="P939" s="47">
        <f t="shared" si="436"/>
        <v>1.3438190283615818</v>
      </c>
      <c r="Q939" s="47">
        <f t="shared" si="436"/>
        <v>0.94964654272598858</v>
      </c>
      <c r="R939" s="47">
        <f t="shared" si="436"/>
        <v>0.55547405709039566</v>
      </c>
      <c r="S939" s="47">
        <f t="shared" si="436"/>
        <v>0.32657388367341555</v>
      </c>
      <c r="T939" s="47">
        <f t="shared" si="436"/>
        <v>0.26770137200630439</v>
      </c>
      <c r="U939" s="47">
        <f t="shared" si="436"/>
        <v>0.21358420987044929</v>
      </c>
      <c r="V939" s="47">
        <f t="shared" si="436"/>
        <v>0.15946704773459419</v>
      </c>
      <c r="W939" s="47">
        <f t="shared" si="436"/>
        <v>0.13549169237757663</v>
      </c>
      <c r="X939" s="47">
        <f t="shared" si="436"/>
        <v>0.11287035294630464</v>
      </c>
      <c r="Y939" s="47">
        <f t="shared" si="436"/>
        <v>6.1461222661940658E-2</v>
      </c>
      <c r="Z939" s="47">
        <f t="shared" si="436"/>
        <v>0.15700365732493307</v>
      </c>
      <c r="AA939" s="47">
        <f t="shared" si="436"/>
        <v>0.20868799284758063</v>
      </c>
      <c r="AB939" s="47">
        <f t="shared" si="436"/>
        <v>6.9562664282526887E-2</v>
      </c>
      <c r="AC939" s="47">
        <f t="shared" si="436"/>
        <v>0</v>
      </c>
      <c r="AD939" s="47">
        <f t="shared" si="436"/>
        <v>0</v>
      </c>
      <c r="AE939" s="47">
        <f t="shared" si="436"/>
        <v>0</v>
      </c>
      <c r="AF939" s="47">
        <f t="shared" si="436"/>
        <v>0</v>
      </c>
      <c r="AG939" s="47">
        <f t="shared" si="436"/>
        <v>0</v>
      </c>
      <c r="AH939" s="47">
        <f t="shared" si="436"/>
        <v>0</v>
      </c>
      <c r="AI939" s="47">
        <f t="shared" si="436"/>
        <v>0</v>
      </c>
      <c r="AJ939" s="47">
        <f t="shared" si="436"/>
        <v>0</v>
      </c>
      <c r="AK939" s="47">
        <f t="shared" si="436"/>
        <v>0</v>
      </c>
      <c r="AL939" s="47">
        <f t="shared" si="436"/>
        <v>0</v>
      </c>
      <c r="AM939" s="47">
        <f t="shared" si="436"/>
        <v>0</v>
      </c>
      <c r="AN939" s="47">
        <f t="shared" si="436"/>
        <v>0</v>
      </c>
    </row>
    <row r="940" spans="1:41" outlineLevel="1" x14ac:dyDescent="0.3">
      <c r="C940" s="1" t="s">
        <v>362</v>
      </c>
      <c r="H940" s="26" t="s">
        <v>335</v>
      </c>
      <c r="K940" s="20">
        <f>SUM(L940:AO940)</f>
        <v>451.13240232739548</v>
      </c>
      <c r="L940" s="47">
        <f t="shared" ref="L940:AN940" si="437">L859</f>
        <v>0</v>
      </c>
      <c r="M940" s="47">
        <f t="shared" si="437"/>
        <v>0</v>
      </c>
      <c r="N940" s="47">
        <f t="shared" si="437"/>
        <v>5.6522995221400283</v>
      </c>
      <c r="O940" s="47">
        <f t="shared" si="437"/>
        <v>4.5586053273920211</v>
      </c>
      <c r="P940" s="47">
        <f t="shared" si="437"/>
        <v>5.3432009997427841</v>
      </c>
      <c r="Q940" s="47">
        <f t="shared" si="437"/>
        <v>5.9262534309237953</v>
      </c>
      <c r="R940" s="47">
        <f t="shared" si="437"/>
        <v>4.0826065875833102</v>
      </c>
      <c r="S940" s="47">
        <f t="shared" si="437"/>
        <v>14.13521617497647</v>
      </c>
      <c r="T940" s="47">
        <f t="shared" si="437"/>
        <v>15.377550382063147</v>
      </c>
      <c r="U940" s="47">
        <f t="shared" si="437"/>
        <v>16.469492940451133</v>
      </c>
      <c r="V940" s="47">
        <f t="shared" si="437"/>
        <v>31.960987638896583</v>
      </c>
      <c r="W940" s="47">
        <f t="shared" si="437"/>
        <v>46.785886517612894</v>
      </c>
      <c r="X940" s="47">
        <f t="shared" si="437"/>
        <v>54.377314724177012</v>
      </c>
      <c r="Y940" s="47">
        <f t="shared" si="437"/>
        <v>56.490298464263255</v>
      </c>
      <c r="Z940" s="47">
        <f t="shared" si="437"/>
        <v>59.255615688522752</v>
      </c>
      <c r="AA940" s="47">
        <f t="shared" si="437"/>
        <v>58.114769432911679</v>
      </c>
      <c r="AB940" s="47">
        <f t="shared" si="437"/>
        <v>60.929629474865465</v>
      </c>
      <c r="AC940" s="47">
        <f t="shared" si="437"/>
        <v>11.672675020873177</v>
      </c>
      <c r="AD940" s="47">
        <f t="shared" si="437"/>
        <v>0</v>
      </c>
      <c r="AE940" s="47">
        <f t="shared" si="437"/>
        <v>0</v>
      </c>
      <c r="AF940" s="47">
        <f t="shared" si="437"/>
        <v>0</v>
      </c>
      <c r="AG940" s="47">
        <f t="shared" si="437"/>
        <v>0</v>
      </c>
      <c r="AH940" s="47">
        <f t="shared" si="437"/>
        <v>0</v>
      </c>
      <c r="AI940" s="47">
        <f t="shared" si="437"/>
        <v>0</v>
      </c>
      <c r="AJ940" s="47">
        <f t="shared" si="437"/>
        <v>0</v>
      </c>
      <c r="AK940" s="47">
        <f t="shared" si="437"/>
        <v>0</v>
      </c>
      <c r="AL940" s="47">
        <f t="shared" si="437"/>
        <v>0</v>
      </c>
      <c r="AM940" s="47">
        <f t="shared" si="437"/>
        <v>0</v>
      </c>
      <c r="AN940" s="47">
        <f t="shared" si="437"/>
        <v>0</v>
      </c>
    </row>
    <row r="941" spans="1:41" outlineLevel="1" x14ac:dyDescent="0.3">
      <c r="C941" s="2" t="s">
        <v>108</v>
      </c>
      <c r="H941" s="26" t="s">
        <v>335</v>
      </c>
      <c r="K941" s="88">
        <f>SUM(L941:AO941)</f>
        <v>1673.3090506522099</v>
      </c>
      <c r="L941" s="88">
        <f>L937+L938-L939-L940</f>
        <v>0</v>
      </c>
      <c r="M941" s="88">
        <f t="shared" ref="M941:AN941" si="438">M937+M938-M939-M940</f>
        <v>0</v>
      </c>
      <c r="N941" s="88">
        <f t="shared" si="438"/>
        <v>48.72515659961217</v>
      </c>
      <c r="O941" s="88">
        <f t="shared" si="438"/>
        <v>51.79772562200656</v>
      </c>
      <c r="P941" s="88">
        <f t="shared" si="438"/>
        <v>54.151512639058851</v>
      </c>
      <c r="Q941" s="88">
        <f t="shared" si="438"/>
        <v>55.900669932601886</v>
      </c>
      <c r="R941" s="88">
        <f t="shared" si="438"/>
        <v>50.369729402580433</v>
      </c>
      <c r="S941" s="88">
        <f t="shared" si="438"/>
        <v>54.952214901686681</v>
      </c>
      <c r="T941" s="88">
        <f t="shared" si="438"/>
        <v>53.340440467861939</v>
      </c>
      <c r="U941" s="88">
        <f t="shared" si="438"/>
        <v>56.616268143025891</v>
      </c>
      <c r="V941" s="88">
        <f t="shared" si="438"/>
        <v>114.19258437524984</v>
      </c>
      <c r="W941" s="88">
        <f t="shared" si="438"/>
        <v>158.42109629762683</v>
      </c>
      <c r="X941" s="88">
        <f t="shared" si="438"/>
        <v>172.98993934503295</v>
      </c>
      <c r="Y941" s="88">
        <f t="shared" si="438"/>
        <v>178.94754934707137</v>
      </c>
      <c r="Z941" s="88">
        <f t="shared" si="438"/>
        <v>195.85123419688227</v>
      </c>
      <c r="AA941" s="88">
        <f t="shared" si="438"/>
        <v>191.7951620967157</v>
      </c>
      <c r="AB941" s="88">
        <f t="shared" si="438"/>
        <v>200.23974222257704</v>
      </c>
      <c r="AC941" s="88">
        <f t="shared" si="438"/>
        <v>35.018025062619529</v>
      </c>
      <c r="AD941" s="88">
        <f t="shared" si="438"/>
        <v>0</v>
      </c>
      <c r="AE941" s="88">
        <f t="shared" si="438"/>
        <v>0</v>
      </c>
      <c r="AF941" s="88">
        <f t="shared" si="438"/>
        <v>0</v>
      </c>
      <c r="AG941" s="88">
        <f t="shared" si="438"/>
        <v>0</v>
      </c>
      <c r="AH941" s="88">
        <f t="shared" si="438"/>
        <v>0</v>
      </c>
      <c r="AI941" s="88">
        <f t="shared" si="438"/>
        <v>0</v>
      </c>
      <c r="AJ941" s="88">
        <f t="shared" si="438"/>
        <v>0</v>
      </c>
      <c r="AK941" s="88">
        <f t="shared" si="438"/>
        <v>0</v>
      </c>
      <c r="AL941" s="88">
        <f t="shared" si="438"/>
        <v>0</v>
      </c>
      <c r="AM941" s="88">
        <f t="shared" si="438"/>
        <v>0</v>
      </c>
      <c r="AN941" s="88">
        <f t="shared" si="438"/>
        <v>0</v>
      </c>
    </row>
    <row r="942" spans="1:41" outlineLevel="1" x14ac:dyDescent="0.3">
      <c r="H942" s="26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</row>
    <row r="943" spans="1:41" outlineLevel="1" x14ac:dyDescent="0.3">
      <c r="C943" s="2" t="s">
        <v>109</v>
      </c>
      <c r="H943" s="30" t="s">
        <v>335</v>
      </c>
      <c r="L943" s="88">
        <f>SUM(L944:L946)</f>
        <v>0</v>
      </c>
      <c r="M943" s="88">
        <f>SUM(M944:M946)</f>
        <v>-117.51531999071278</v>
      </c>
      <c r="N943" s="88">
        <f t="shared" ref="N943:AN943" si="439">SUM(N944:N946)</f>
        <v>-134.1932010091771</v>
      </c>
      <c r="O943" s="88">
        <f t="shared" si="439"/>
        <v>6.4109179991416738</v>
      </c>
      <c r="P943" s="88">
        <f t="shared" si="439"/>
        <v>-0.67375056856055693</v>
      </c>
      <c r="Q943" s="88">
        <f t="shared" si="439"/>
        <v>-0.6767423770956178</v>
      </c>
      <c r="R943" s="88">
        <f t="shared" si="439"/>
        <v>-0.58817312740837835</v>
      </c>
      <c r="S943" s="88">
        <f t="shared" si="439"/>
        <v>-5.0470523249289663</v>
      </c>
      <c r="T943" s="88">
        <f t="shared" si="439"/>
        <v>-0.39014454289989331</v>
      </c>
      <c r="U943" s="88">
        <f t="shared" si="439"/>
        <v>-0.78988015195254135</v>
      </c>
      <c r="V943" s="88">
        <f t="shared" si="439"/>
        <v>-23.625456860794255</v>
      </c>
      <c r="W943" s="88">
        <f t="shared" si="439"/>
        <v>-4.3101493399912503</v>
      </c>
      <c r="X943" s="88">
        <f t="shared" si="439"/>
        <v>-25.756298398844663</v>
      </c>
      <c r="Y943" s="88">
        <f t="shared" si="439"/>
        <v>0.35662200731401583</v>
      </c>
      <c r="Z943" s="88">
        <f t="shared" si="439"/>
        <v>-38.247720225811861</v>
      </c>
      <c r="AA943" s="88">
        <f t="shared" si="439"/>
        <v>1.0264094132034565</v>
      </c>
      <c r="AB943" s="88">
        <f t="shared" si="439"/>
        <v>-0.97858714489591847</v>
      </c>
      <c r="AC943" s="88">
        <f t="shared" si="439"/>
        <v>25.08668297339122</v>
      </c>
      <c r="AD943" s="88">
        <f t="shared" si="439"/>
        <v>0</v>
      </c>
      <c r="AE943" s="88">
        <f t="shared" si="439"/>
        <v>0</v>
      </c>
      <c r="AF943" s="88">
        <f t="shared" si="439"/>
        <v>0</v>
      </c>
      <c r="AG943" s="88">
        <f t="shared" si="439"/>
        <v>0</v>
      </c>
      <c r="AH943" s="88">
        <f t="shared" si="439"/>
        <v>0</v>
      </c>
      <c r="AI943" s="88">
        <f t="shared" si="439"/>
        <v>0</v>
      </c>
      <c r="AJ943" s="88">
        <f t="shared" si="439"/>
        <v>0</v>
      </c>
      <c r="AK943" s="88">
        <f t="shared" si="439"/>
        <v>0</v>
      </c>
      <c r="AL943" s="88">
        <f t="shared" si="439"/>
        <v>0</v>
      </c>
      <c r="AM943" s="88">
        <f t="shared" si="439"/>
        <v>0</v>
      </c>
      <c r="AN943" s="88">
        <f t="shared" si="439"/>
        <v>0</v>
      </c>
    </row>
    <row r="944" spans="1:41" outlineLevel="1" x14ac:dyDescent="0.3">
      <c r="C944" s="1" t="s">
        <v>97</v>
      </c>
      <c r="H944" s="26" t="s">
        <v>335</v>
      </c>
      <c r="K944" s="20">
        <f>SUM(L944:AO944)</f>
        <v>-228.6581847457627</v>
      </c>
      <c r="L944" s="33">
        <f t="shared" ref="L944:AN944" si="440">-L78</f>
        <v>0</v>
      </c>
      <c r="M944" s="33">
        <f t="shared" si="440"/>
        <v>-111.99240677966101</v>
      </c>
      <c r="N944" s="33">
        <f t="shared" si="440"/>
        <v>-116.66577796610169</v>
      </c>
      <c r="O944" s="33">
        <f t="shared" si="440"/>
        <v>0</v>
      </c>
      <c r="P944" s="33">
        <f t="shared" si="440"/>
        <v>0</v>
      </c>
      <c r="Q944" s="33">
        <f t="shared" si="440"/>
        <v>0</v>
      </c>
      <c r="R944" s="33">
        <f t="shared" si="440"/>
        <v>0</v>
      </c>
      <c r="S944" s="33">
        <f t="shared" si="440"/>
        <v>0</v>
      </c>
      <c r="T944" s="33">
        <f t="shared" si="440"/>
        <v>0</v>
      </c>
      <c r="U944" s="33">
        <f t="shared" si="440"/>
        <v>0</v>
      </c>
      <c r="V944" s="33">
        <f t="shared" si="440"/>
        <v>0</v>
      </c>
      <c r="W944" s="33">
        <f t="shared" si="440"/>
        <v>0</v>
      </c>
      <c r="X944" s="33">
        <f t="shared" si="440"/>
        <v>0</v>
      </c>
      <c r="Y944" s="33">
        <f t="shared" si="440"/>
        <v>0</v>
      </c>
      <c r="Z944" s="33">
        <f t="shared" si="440"/>
        <v>0</v>
      </c>
      <c r="AA944" s="33">
        <f t="shared" si="440"/>
        <v>0</v>
      </c>
      <c r="AB944" s="33">
        <f t="shared" si="440"/>
        <v>0</v>
      </c>
      <c r="AC944" s="33">
        <f t="shared" si="440"/>
        <v>0</v>
      </c>
      <c r="AD944" s="33">
        <f t="shared" si="440"/>
        <v>0</v>
      </c>
      <c r="AE944" s="33">
        <f t="shared" si="440"/>
        <v>0</v>
      </c>
      <c r="AF944" s="33">
        <f t="shared" si="440"/>
        <v>0</v>
      </c>
      <c r="AG944" s="33">
        <f t="shared" si="440"/>
        <v>0</v>
      </c>
      <c r="AH944" s="33">
        <f t="shared" si="440"/>
        <v>0</v>
      </c>
      <c r="AI944" s="33">
        <f t="shared" si="440"/>
        <v>0</v>
      </c>
      <c r="AJ944" s="33">
        <f t="shared" si="440"/>
        <v>0</v>
      </c>
      <c r="AK944" s="33">
        <f t="shared" si="440"/>
        <v>0</v>
      </c>
      <c r="AL944" s="33">
        <f t="shared" si="440"/>
        <v>0</v>
      </c>
      <c r="AM944" s="33">
        <f t="shared" si="440"/>
        <v>0</v>
      </c>
      <c r="AN944" s="33">
        <f t="shared" si="440"/>
        <v>0</v>
      </c>
    </row>
    <row r="945" spans="1:41" outlineLevel="1" x14ac:dyDescent="0.3">
      <c r="C945" s="1" t="s">
        <v>400</v>
      </c>
      <c r="H945" s="26" t="s">
        <v>335</v>
      </c>
      <c r="K945" s="20">
        <f>SUM(L945:AO945)</f>
        <v>-91.253658924260719</v>
      </c>
      <c r="L945" s="33">
        <f t="shared" ref="L945:AN945" si="441">-(L114+L124+L136)</f>
        <v>0</v>
      </c>
      <c r="M945" s="33">
        <f t="shared" si="441"/>
        <v>0</v>
      </c>
      <c r="N945" s="33">
        <f t="shared" si="441"/>
        <v>0</v>
      </c>
      <c r="O945" s="33">
        <f t="shared" si="441"/>
        <v>0</v>
      </c>
      <c r="P945" s="33">
        <f t="shared" si="441"/>
        <v>0</v>
      </c>
      <c r="Q945" s="33">
        <f t="shared" si="441"/>
        <v>0</v>
      </c>
      <c r="R945" s="33">
        <f t="shared" si="441"/>
        <v>0</v>
      </c>
      <c r="S945" s="33">
        <f t="shared" si="441"/>
        <v>-4.4741680494018574</v>
      </c>
      <c r="T945" s="33">
        <f t="shared" si="441"/>
        <v>0</v>
      </c>
      <c r="U945" s="33">
        <f t="shared" si="441"/>
        <v>0</v>
      </c>
      <c r="V945" s="33">
        <f t="shared" si="441"/>
        <v>-22.203664273775168</v>
      </c>
      <c r="W945" s="33">
        <f t="shared" si="441"/>
        <v>-5.2341437914712667</v>
      </c>
      <c r="X945" s="33">
        <f t="shared" si="441"/>
        <v>-24.015483278515227</v>
      </c>
      <c r="Y945" s="33">
        <f t="shared" si="441"/>
        <v>0</v>
      </c>
      <c r="Z945" s="33">
        <f t="shared" si="441"/>
        <v>-35.32619953109721</v>
      </c>
      <c r="AA945" s="33">
        <f t="shared" si="441"/>
        <v>0</v>
      </c>
      <c r="AB945" s="33">
        <f t="shared" si="441"/>
        <v>0</v>
      </c>
      <c r="AC945" s="33">
        <f t="shared" si="441"/>
        <v>0</v>
      </c>
      <c r="AD945" s="33">
        <f t="shared" si="441"/>
        <v>0</v>
      </c>
      <c r="AE945" s="33">
        <f t="shared" si="441"/>
        <v>0</v>
      </c>
      <c r="AF945" s="33">
        <f t="shared" si="441"/>
        <v>0</v>
      </c>
      <c r="AG945" s="33">
        <f t="shared" si="441"/>
        <v>0</v>
      </c>
      <c r="AH945" s="33">
        <f t="shared" si="441"/>
        <v>0</v>
      </c>
      <c r="AI945" s="33">
        <f t="shared" si="441"/>
        <v>0</v>
      </c>
      <c r="AJ945" s="33">
        <f t="shared" si="441"/>
        <v>0</v>
      </c>
      <c r="AK945" s="33">
        <f t="shared" si="441"/>
        <v>0</v>
      </c>
      <c r="AL945" s="33">
        <f t="shared" si="441"/>
        <v>0</v>
      </c>
      <c r="AM945" s="33">
        <f t="shared" si="441"/>
        <v>0</v>
      </c>
      <c r="AN945" s="33">
        <f t="shared" si="441"/>
        <v>0</v>
      </c>
    </row>
    <row r="946" spans="1:41" outlineLevel="1" x14ac:dyDescent="0.3">
      <c r="C946" s="1" t="s">
        <v>110</v>
      </c>
      <c r="H946" s="26" t="s">
        <v>335</v>
      </c>
      <c r="L946" s="47">
        <f>-L933</f>
        <v>0</v>
      </c>
      <c r="M946" s="47">
        <f t="shared" ref="M946:AN946" si="442">-M933</f>
        <v>-5.522913211051776</v>
      </c>
      <c r="N946" s="47">
        <f t="shared" si="442"/>
        <v>-17.527423043075419</v>
      </c>
      <c r="O946" s="47">
        <f t="shared" si="442"/>
        <v>6.4109179991416738</v>
      </c>
      <c r="P946" s="47">
        <f t="shared" si="442"/>
        <v>-0.67375056856055693</v>
      </c>
      <c r="Q946" s="47">
        <f t="shared" si="442"/>
        <v>-0.6767423770956178</v>
      </c>
      <c r="R946" s="47">
        <f t="shared" si="442"/>
        <v>-0.58817312740837835</v>
      </c>
      <c r="S946" s="47">
        <f t="shared" si="442"/>
        <v>-0.57288427552710885</v>
      </c>
      <c r="T946" s="47">
        <f t="shared" si="442"/>
        <v>-0.39014454289989331</v>
      </c>
      <c r="U946" s="47">
        <f t="shared" si="442"/>
        <v>-0.78988015195254135</v>
      </c>
      <c r="V946" s="47">
        <f t="shared" si="442"/>
        <v>-1.4217925870190875</v>
      </c>
      <c r="W946" s="47">
        <f t="shared" si="442"/>
        <v>0.92399445148001647</v>
      </c>
      <c r="X946" s="47">
        <f t="shared" si="442"/>
        <v>-1.7408151203294366</v>
      </c>
      <c r="Y946" s="47">
        <f t="shared" si="442"/>
        <v>0.35662200731401583</v>
      </c>
      <c r="Z946" s="47">
        <f t="shared" si="442"/>
        <v>-2.9215206947146477</v>
      </c>
      <c r="AA946" s="47">
        <f t="shared" si="442"/>
        <v>1.0264094132034565</v>
      </c>
      <c r="AB946" s="47">
        <f t="shared" si="442"/>
        <v>-0.97858714489591847</v>
      </c>
      <c r="AC946" s="47">
        <f t="shared" si="442"/>
        <v>25.08668297339122</v>
      </c>
      <c r="AD946" s="47">
        <f t="shared" si="442"/>
        <v>0</v>
      </c>
      <c r="AE946" s="47">
        <f t="shared" si="442"/>
        <v>0</v>
      </c>
      <c r="AF946" s="47">
        <f t="shared" si="442"/>
        <v>0</v>
      </c>
      <c r="AG946" s="47">
        <f t="shared" si="442"/>
        <v>0</v>
      </c>
      <c r="AH946" s="47">
        <f t="shared" si="442"/>
        <v>0</v>
      </c>
      <c r="AI946" s="47">
        <f t="shared" si="442"/>
        <v>0</v>
      </c>
      <c r="AJ946" s="47">
        <f t="shared" si="442"/>
        <v>0</v>
      </c>
      <c r="AK946" s="47">
        <f t="shared" si="442"/>
        <v>0</v>
      </c>
      <c r="AL946" s="47">
        <f t="shared" si="442"/>
        <v>0</v>
      </c>
      <c r="AM946" s="47">
        <f t="shared" si="442"/>
        <v>0</v>
      </c>
      <c r="AN946" s="47">
        <f t="shared" si="442"/>
        <v>0</v>
      </c>
    </row>
    <row r="947" spans="1:41" outlineLevel="1" x14ac:dyDescent="0.3">
      <c r="H947" s="26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</row>
    <row r="948" spans="1:41" s="2" customFormat="1" outlineLevel="1" x14ac:dyDescent="0.3">
      <c r="A948" s="32"/>
      <c r="B948" s="32"/>
      <c r="C948" s="2" t="s">
        <v>107</v>
      </c>
      <c r="H948" s="30" t="s">
        <v>335</v>
      </c>
      <c r="K948" s="88">
        <f>SUM(L948:AO948)</f>
        <v>1353.3972069821866</v>
      </c>
      <c r="L948" s="88">
        <f t="shared" ref="L948:AN948" si="443">L941+L943</f>
        <v>0</v>
      </c>
      <c r="M948" s="88">
        <f t="shared" si="443"/>
        <v>-117.51531999071278</v>
      </c>
      <c r="N948" s="88">
        <f t="shared" si="443"/>
        <v>-85.468044409564925</v>
      </c>
      <c r="O948" s="88">
        <f t="shared" si="443"/>
        <v>58.208643621148234</v>
      </c>
      <c r="P948" s="88">
        <f t="shared" si="443"/>
        <v>53.477762070498294</v>
      </c>
      <c r="Q948" s="88">
        <f t="shared" si="443"/>
        <v>55.223927555506265</v>
      </c>
      <c r="R948" s="88">
        <f t="shared" si="443"/>
        <v>49.781556275172051</v>
      </c>
      <c r="S948" s="88">
        <f t="shared" si="443"/>
        <v>49.905162576757718</v>
      </c>
      <c r="T948" s="88">
        <f t="shared" si="443"/>
        <v>52.950295924962049</v>
      </c>
      <c r="U948" s="88">
        <f t="shared" si="443"/>
        <v>55.826387991073346</v>
      </c>
      <c r="V948" s="88">
        <f t="shared" si="443"/>
        <v>90.567127514455578</v>
      </c>
      <c r="W948" s="88">
        <f t="shared" si="443"/>
        <v>154.11094695763558</v>
      </c>
      <c r="X948" s="88">
        <f t="shared" si="443"/>
        <v>147.2336409461883</v>
      </c>
      <c r="Y948" s="88">
        <f t="shared" si="443"/>
        <v>179.3041713543854</v>
      </c>
      <c r="Z948" s="88">
        <f t="shared" si="443"/>
        <v>157.60351397107041</v>
      </c>
      <c r="AA948" s="88">
        <f t="shared" si="443"/>
        <v>192.82157150991915</v>
      </c>
      <c r="AB948" s="88">
        <f t="shared" si="443"/>
        <v>199.26115507768111</v>
      </c>
      <c r="AC948" s="88">
        <f t="shared" si="443"/>
        <v>60.104708036010749</v>
      </c>
      <c r="AD948" s="88">
        <f t="shared" si="443"/>
        <v>0</v>
      </c>
      <c r="AE948" s="88">
        <f t="shared" si="443"/>
        <v>0</v>
      </c>
      <c r="AF948" s="88">
        <f t="shared" si="443"/>
        <v>0</v>
      </c>
      <c r="AG948" s="88">
        <f t="shared" si="443"/>
        <v>0</v>
      </c>
      <c r="AH948" s="88">
        <f t="shared" si="443"/>
        <v>0</v>
      </c>
      <c r="AI948" s="88">
        <f t="shared" si="443"/>
        <v>0</v>
      </c>
      <c r="AJ948" s="88">
        <f t="shared" si="443"/>
        <v>0</v>
      </c>
      <c r="AK948" s="88">
        <f t="shared" si="443"/>
        <v>0</v>
      </c>
      <c r="AL948" s="88">
        <f t="shared" si="443"/>
        <v>0</v>
      </c>
      <c r="AM948" s="88">
        <f t="shared" si="443"/>
        <v>0</v>
      </c>
      <c r="AN948" s="88">
        <f t="shared" si="443"/>
        <v>0</v>
      </c>
      <c r="AO948" s="1"/>
    </row>
    <row r="949" spans="1:41" outlineLevel="1" x14ac:dyDescent="0.3">
      <c r="H949" s="26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</row>
    <row r="950" spans="1:41" outlineLevel="1" x14ac:dyDescent="0.3">
      <c r="C950" s="1" t="s">
        <v>153</v>
      </c>
      <c r="H950" s="26" t="s">
        <v>335</v>
      </c>
      <c r="K950" s="74"/>
      <c r="L950" s="20">
        <f>K950+L948</f>
        <v>0</v>
      </c>
      <c r="M950" s="20">
        <f t="shared" ref="M950:AN950" si="444">L950+M948</f>
        <v>-117.51531999071278</v>
      </c>
      <c r="N950" s="20">
        <f t="shared" si="444"/>
        <v>-202.98336440027771</v>
      </c>
      <c r="O950" s="20">
        <f t="shared" si="444"/>
        <v>-144.77472077912947</v>
      </c>
      <c r="P950" s="20">
        <f t="shared" si="444"/>
        <v>-91.296958708631166</v>
      </c>
      <c r="Q950" s="20">
        <f t="shared" si="444"/>
        <v>-36.073031153124901</v>
      </c>
      <c r="R950" s="20">
        <f t="shared" si="444"/>
        <v>13.708525122047149</v>
      </c>
      <c r="S950" s="20">
        <f t="shared" si="444"/>
        <v>63.613687698804867</v>
      </c>
      <c r="T950" s="20">
        <f t="shared" si="444"/>
        <v>116.56398362376692</v>
      </c>
      <c r="U950" s="20">
        <f t="shared" si="444"/>
        <v>172.39037161484026</v>
      </c>
      <c r="V950" s="20">
        <f t="shared" si="444"/>
        <v>262.95749912929585</v>
      </c>
      <c r="W950" s="20">
        <f t="shared" si="444"/>
        <v>417.06844608693143</v>
      </c>
      <c r="X950" s="20">
        <f t="shared" si="444"/>
        <v>564.30208703311973</v>
      </c>
      <c r="Y950" s="20">
        <f t="shared" si="444"/>
        <v>743.60625838750514</v>
      </c>
      <c r="Z950" s="20">
        <f t="shared" si="444"/>
        <v>901.20977235857549</v>
      </c>
      <c r="AA950" s="20">
        <f t="shared" si="444"/>
        <v>1094.0313438684946</v>
      </c>
      <c r="AB950" s="20">
        <f t="shared" si="444"/>
        <v>1293.2924989461758</v>
      </c>
      <c r="AC950" s="20">
        <f t="shared" si="444"/>
        <v>1353.3972069821866</v>
      </c>
      <c r="AD950" s="20">
        <f t="shared" si="444"/>
        <v>1353.3972069821866</v>
      </c>
      <c r="AE950" s="20">
        <f t="shared" si="444"/>
        <v>1353.3972069821866</v>
      </c>
      <c r="AF950" s="20">
        <f t="shared" si="444"/>
        <v>1353.3972069821866</v>
      </c>
      <c r="AG950" s="20">
        <f t="shared" si="444"/>
        <v>1353.3972069821866</v>
      </c>
      <c r="AH950" s="20">
        <f t="shared" si="444"/>
        <v>1353.3972069821866</v>
      </c>
      <c r="AI950" s="20">
        <f t="shared" si="444"/>
        <v>1353.3972069821866</v>
      </c>
      <c r="AJ950" s="20">
        <f t="shared" si="444"/>
        <v>1353.3972069821866</v>
      </c>
      <c r="AK950" s="20">
        <f t="shared" si="444"/>
        <v>1353.3972069821866</v>
      </c>
      <c r="AL950" s="20">
        <f t="shared" si="444"/>
        <v>1353.3972069821866</v>
      </c>
      <c r="AM950" s="20">
        <f t="shared" si="444"/>
        <v>1353.3972069821866</v>
      </c>
      <c r="AN950" s="20">
        <f t="shared" si="444"/>
        <v>1353.3972069821866</v>
      </c>
    </row>
    <row r="951" spans="1:41" outlineLevel="1" x14ac:dyDescent="0.3">
      <c r="H951" s="26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</row>
    <row r="952" spans="1:41" outlineLevel="1" x14ac:dyDescent="0.3">
      <c r="C952" s="2" t="s">
        <v>366</v>
      </c>
      <c r="H952" s="30" t="s">
        <v>9</v>
      </c>
      <c r="L952" s="154">
        <f>L953*Input!$H$208*(1-L35)+L954*(1-Input!$H$208)</f>
        <v>0.19960000000000003</v>
      </c>
      <c r="M952" s="154">
        <f>M953*Input!$H$208*(1-M35)+M954*(1-Input!$H$208)</f>
        <v>0.18300000000000002</v>
      </c>
      <c r="N952" s="154">
        <f>N953*Input!$H$208*(1-N35)+N954*(1-Input!$H$208)</f>
        <v>0.153</v>
      </c>
      <c r="O952" s="154">
        <f>O953*Input!$H$208*(1-O35)+O954*(1-Input!$H$208)</f>
        <v>0.129</v>
      </c>
      <c r="P952" s="154">
        <f>P953*Input!$H$208*(1-P35)+P954*(1-Input!$H$208)</f>
        <v>0.123</v>
      </c>
      <c r="Q952" s="154">
        <f>Q953*Input!$H$208*(1-Q35)+Q954*(1-Input!$H$208)</f>
        <v>0.11100000000000002</v>
      </c>
      <c r="R952" s="154">
        <f>R953*Input!$H$208*(1-R35)+R954*(1-Input!$H$208)</f>
        <v>0.10500000000000001</v>
      </c>
      <c r="S952" s="154">
        <f>S953*Input!$H$208*(1-S35)+S954*(1-Input!$H$208)</f>
        <v>0.10500000000000001</v>
      </c>
      <c r="T952" s="154">
        <f>T953*Input!$H$208*(1-T35)+T954*(1-Input!$H$208)</f>
        <v>0.10500000000000001</v>
      </c>
      <c r="U952" s="154">
        <f>U953*Input!$H$208*(1-U35)+U954*(1-Input!$H$208)</f>
        <v>0.10500000000000001</v>
      </c>
      <c r="V952" s="154">
        <f>V953*Input!$H$208*(1-V35)+V954*(1-Input!$H$208)</f>
        <v>0.10500000000000001</v>
      </c>
      <c r="W952" s="154">
        <f>W953*Input!$H$208*(1-W35)+W954*(1-Input!$H$208)</f>
        <v>0.10500000000000001</v>
      </c>
      <c r="X952" s="154">
        <f>X953*Input!$H$208*(1-X35)+X954*(1-Input!$H$208)</f>
        <v>0.10500000000000001</v>
      </c>
      <c r="Y952" s="154">
        <f>Y953*Input!$H$208*(1-Y35)+Y954*(1-Input!$H$208)</f>
        <v>0.10500000000000001</v>
      </c>
      <c r="Z952" s="154">
        <f>Z953*Input!$H$208*(1-Z35)+Z954*(1-Input!$H$208)</f>
        <v>0.10500000000000001</v>
      </c>
      <c r="AA952" s="154">
        <f>AA953*Input!$H$208*(1-AA35)+AA954*(1-Input!$H$208)</f>
        <v>0.10500000000000001</v>
      </c>
      <c r="AB952" s="154">
        <f>AB953*Input!$H$208*(1-AB35)+AB954*(1-Input!$H$208)</f>
        <v>0.10500000000000001</v>
      </c>
      <c r="AC952" s="154">
        <f>AC953*Input!$H$208*(1-AC35)+AC954*(1-Input!$H$208)</f>
        <v>0.10500000000000001</v>
      </c>
      <c r="AD952" s="154">
        <f>AD953*Input!$H$208*(1-AD35)+AD954*(1-Input!$H$208)</f>
        <v>7.3999999999999996E-2</v>
      </c>
      <c r="AE952" s="154">
        <f>AE953*Input!$H$208*(1-AE35)+AE954*(1-Input!$H$208)</f>
        <v>7.3999999999999996E-2</v>
      </c>
      <c r="AF952" s="154">
        <f>AF953*Input!$H$208*(1-AF35)+AF954*(1-Input!$H$208)</f>
        <v>7.3999999999999996E-2</v>
      </c>
      <c r="AG952" s="154">
        <f>AG953*Input!$H$208*(1-AG35)+AG954*(1-Input!$H$208)</f>
        <v>7.3999999999999996E-2</v>
      </c>
      <c r="AH952" s="154">
        <f>AH953*Input!$H$208*(1-AH35)+AH954*(1-Input!$H$208)</f>
        <v>7.3999999999999996E-2</v>
      </c>
      <c r="AI952" s="154">
        <f>AI953*Input!$H$208*(1-AI35)+AI954*(1-Input!$H$208)</f>
        <v>7.3999999999999996E-2</v>
      </c>
      <c r="AJ952" s="154">
        <f>AJ953*Input!$H$208*(1-AJ35)+AJ954*(1-Input!$H$208)</f>
        <v>7.3999999999999996E-2</v>
      </c>
      <c r="AK952" s="154">
        <f>AK953*Input!$H$208*(1-AK35)+AK954*(1-Input!$H$208)</f>
        <v>7.3999999999999996E-2</v>
      </c>
      <c r="AL952" s="154">
        <f>AL953*Input!$H$208*(1-AL35)+AL954*(1-Input!$H$208)</f>
        <v>7.3999999999999996E-2</v>
      </c>
      <c r="AM952" s="154">
        <f>AM953*Input!$H$208*(1-AM35)+AM954*(1-Input!$H$208)</f>
        <v>7.3999999999999996E-2</v>
      </c>
      <c r="AN952" s="154">
        <f>AN953*Input!$H$208*(1-AN35)+AN954*(1-Input!$H$208)</f>
        <v>7.3999999999999996E-2</v>
      </c>
    </row>
    <row r="953" spans="1:41" outlineLevel="1" x14ac:dyDescent="0.3">
      <c r="D953" s="1" t="s">
        <v>34</v>
      </c>
      <c r="H953" s="26" t="s">
        <v>9</v>
      </c>
      <c r="L953" s="153">
        <f>Input!$H$209+L46</f>
        <v>0.26500000000000001</v>
      </c>
      <c r="M953" s="153">
        <f>Input!$H$209+M46</f>
        <v>0.255</v>
      </c>
      <c r="N953" s="153">
        <f>Input!$H$209+N46</f>
        <v>0.20499999999999999</v>
      </c>
      <c r="O953" s="153">
        <f>Input!$H$209+O46</f>
        <v>0.16500000000000001</v>
      </c>
      <c r="P953" s="153">
        <f>Input!$H$209+P46</f>
        <v>0.155</v>
      </c>
      <c r="Q953" s="153">
        <f>Input!$H$209+Q46</f>
        <v>0.13500000000000001</v>
      </c>
      <c r="R953" s="153">
        <f>Input!$H$209+R46</f>
        <v>0.125</v>
      </c>
      <c r="S953" s="153">
        <f>Input!$H$209+S46</f>
        <v>0.125</v>
      </c>
      <c r="T953" s="153">
        <f>Input!$H$209+T46</f>
        <v>0.125</v>
      </c>
      <c r="U953" s="153">
        <f>Input!$H$209+U46</f>
        <v>0.125</v>
      </c>
      <c r="V953" s="153">
        <f>Input!$H$209+V46</f>
        <v>0.125</v>
      </c>
      <c r="W953" s="153">
        <f>Input!$H$209+W46</f>
        <v>0.125</v>
      </c>
      <c r="X953" s="153">
        <f>Input!$H$209+X46</f>
        <v>0.125</v>
      </c>
      <c r="Y953" s="153">
        <f>Input!$H$209+Y46</f>
        <v>0.125</v>
      </c>
      <c r="Z953" s="153">
        <f>Input!$H$209+Z46</f>
        <v>0.125</v>
      </c>
      <c r="AA953" s="153">
        <f>Input!$H$209+AA46</f>
        <v>0.125</v>
      </c>
      <c r="AB953" s="153">
        <f>Input!$H$209+AB46</f>
        <v>0.125</v>
      </c>
      <c r="AC953" s="153">
        <f>Input!$H$209+AC46</f>
        <v>0.125</v>
      </c>
      <c r="AD953" s="153">
        <f>Input!$H$209+AD46</f>
        <v>5.5E-2</v>
      </c>
      <c r="AE953" s="153">
        <f>Input!$H$209+AE46</f>
        <v>5.5E-2</v>
      </c>
      <c r="AF953" s="153">
        <f>Input!$H$209+AF46</f>
        <v>5.5E-2</v>
      </c>
      <c r="AG953" s="153">
        <f>Input!$H$209+AG46</f>
        <v>5.5E-2</v>
      </c>
      <c r="AH953" s="153">
        <f>Input!$H$209+AH46</f>
        <v>5.5E-2</v>
      </c>
      <c r="AI953" s="153">
        <f>Input!$H$209+AI46</f>
        <v>5.5E-2</v>
      </c>
      <c r="AJ953" s="153">
        <f>Input!$H$209+AJ46</f>
        <v>5.5E-2</v>
      </c>
      <c r="AK953" s="153">
        <f>Input!$H$209+AK46</f>
        <v>5.5E-2</v>
      </c>
      <c r="AL953" s="153">
        <f>Input!$H$209+AL46</f>
        <v>5.5E-2</v>
      </c>
      <c r="AM953" s="153">
        <f>Input!$H$209+AM46</f>
        <v>5.5E-2</v>
      </c>
      <c r="AN953" s="153">
        <f>Input!$H$209+AN46</f>
        <v>5.5E-2</v>
      </c>
    </row>
    <row r="954" spans="1:41" outlineLevel="1" x14ac:dyDescent="0.3">
      <c r="D954" s="1" t="s">
        <v>370</v>
      </c>
      <c r="H954" s="26" t="s">
        <v>9</v>
      </c>
      <c r="L954" s="152">
        <f>Input!$H$210</f>
        <v>0.15</v>
      </c>
      <c r="M954" s="152">
        <f>Input!$H$210</f>
        <v>0.15</v>
      </c>
      <c r="N954" s="152">
        <f>Input!$H$210</f>
        <v>0.15</v>
      </c>
      <c r="O954" s="152">
        <f>Input!$H$210</f>
        <v>0.15</v>
      </c>
      <c r="P954" s="152">
        <f>Input!$H$210</f>
        <v>0.15</v>
      </c>
      <c r="Q954" s="152">
        <f>Input!$H$210</f>
        <v>0.15</v>
      </c>
      <c r="R954" s="152">
        <f>Input!$H$210</f>
        <v>0.15</v>
      </c>
      <c r="S954" s="152">
        <f>Input!$H$210</f>
        <v>0.15</v>
      </c>
      <c r="T954" s="152">
        <f>Input!$H$210</f>
        <v>0.15</v>
      </c>
      <c r="U954" s="152">
        <f>Input!$H$210</f>
        <v>0.15</v>
      </c>
      <c r="V954" s="152">
        <f>Input!$H$210</f>
        <v>0.15</v>
      </c>
      <c r="W954" s="152">
        <f>Input!$H$210</f>
        <v>0.15</v>
      </c>
      <c r="X954" s="152">
        <f>Input!$H$210</f>
        <v>0.15</v>
      </c>
      <c r="Y954" s="152">
        <f>Input!$H$210</f>
        <v>0.15</v>
      </c>
      <c r="Z954" s="152">
        <f>Input!$H$210</f>
        <v>0.15</v>
      </c>
      <c r="AA954" s="152">
        <f>Input!$H$210</f>
        <v>0.15</v>
      </c>
      <c r="AB954" s="152">
        <f>Input!$H$210</f>
        <v>0.15</v>
      </c>
      <c r="AC954" s="152">
        <f>Input!$H$210</f>
        <v>0.15</v>
      </c>
      <c r="AD954" s="152">
        <f>Input!$H$210</f>
        <v>0.15</v>
      </c>
      <c r="AE954" s="152">
        <f>Input!$H$210</f>
        <v>0.15</v>
      </c>
      <c r="AF954" s="152">
        <f>Input!$H$210</f>
        <v>0.15</v>
      </c>
      <c r="AG954" s="152">
        <f>Input!$H$210</f>
        <v>0.15</v>
      </c>
      <c r="AH954" s="152">
        <f>Input!$H$210</f>
        <v>0.15</v>
      </c>
      <c r="AI954" s="152">
        <f>Input!$H$210</f>
        <v>0.15</v>
      </c>
      <c r="AJ954" s="152">
        <f>Input!$H$210</f>
        <v>0.15</v>
      </c>
      <c r="AK954" s="152">
        <f>Input!$H$210</f>
        <v>0.15</v>
      </c>
      <c r="AL954" s="152">
        <f>Input!$H$210</f>
        <v>0.15</v>
      </c>
      <c r="AM954" s="152">
        <f>Input!$H$210</f>
        <v>0.15</v>
      </c>
      <c r="AN954" s="152">
        <f>Input!$H$210</f>
        <v>0.15</v>
      </c>
    </row>
    <row r="955" spans="1:41" outlineLevel="1" x14ac:dyDescent="0.3">
      <c r="H955" s="26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</row>
    <row r="956" spans="1:41" outlineLevel="1" x14ac:dyDescent="0.3">
      <c r="C956" s="1" t="s">
        <v>113</v>
      </c>
      <c r="H956" s="26" t="s">
        <v>11</v>
      </c>
      <c r="L956" s="20">
        <f t="shared" ref="L956:AN956" si="445">1/(1+L952)^L17</f>
        <v>1</v>
      </c>
      <c r="M956" s="20">
        <f t="shared" si="445"/>
        <v>0.84530853761622993</v>
      </c>
      <c r="N956" s="20">
        <f t="shared" si="445"/>
        <v>0.86730268863833471</v>
      </c>
      <c r="O956" s="20">
        <f t="shared" si="445"/>
        <v>0.8857395925597874</v>
      </c>
      <c r="P956" s="20">
        <f t="shared" si="445"/>
        <v>0.89047195013357083</v>
      </c>
      <c r="Q956" s="20">
        <f t="shared" si="445"/>
        <v>0.90009000900090008</v>
      </c>
      <c r="R956" s="20">
        <f t="shared" si="445"/>
        <v>0.90497737556561086</v>
      </c>
      <c r="S956" s="20">
        <f t="shared" si="445"/>
        <v>0.90497737556561086</v>
      </c>
      <c r="T956" s="20">
        <f t="shared" si="445"/>
        <v>0.90497737556561086</v>
      </c>
      <c r="U956" s="20">
        <f t="shared" si="445"/>
        <v>0.90497737556561086</v>
      </c>
      <c r="V956" s="20">
        <f t="shared" si="445"/>
        <v>0.90497737556561086</v>
      </c>
      <c r="W956" s="20">
        <f t="shared" si="445"/>
        <v>0.90497737556561086</v>
      </c>
      <c r="X956" s="20">
        <f t="shared" si="445"/>
        <v>0.90497737556561086</v>
      </c>
      <c r="Y956" s="20">
        <f t="shared" si="445"/>
        <v>0.90497737556561086</v>
      </c>
      <c r="Z956" s="20">
        <f t="shared" si="445"/>
        <v>0.90497737556561086</v>
      </c>
      <c r="AA956" s="20">
        <f t="shared" si="445"/>
        <v>0.90497737556561086</v>
      </c>
      <c r="AB956" s="20">
        <f t="shared" si="445"/>
        <v>0.90497737556561086</v>
      </c>
      <c r="AC956" s="20">
        <f t="shared" si="445"/>
        <v>0.90497737556561086</v>
      </c>
      <c r="AD956" s="20">
        <f t="shared" si="445"/>
        <v>1</v>
      </c>
      <c r="AE956" s="20">
        <f t="shared" si="445"/>
        <v>1</v>
      </c>
      <c r="AF956" s="20">
        <f t="shared" si="445"/>
        <v>1</v>
      </c>
      <c r="AG956" s="20">
        <f t="shared" si="445"/>
        <v>1</v>
      </c>
      <c r="AH956" s="20">
        <f t="shared" si="445"/>
        <v>1</v>
      </c>
      <c r="AI956" s="20">
        <f t="shared" si="445"/>
        <v>1</v>
      </c>
      <c r="AJ956" s="20">
        <f t="shared" si="445"/>
        <v>1</v>
      </c>
      <c r="AK956" s="20">
        <f t="shared" si="445"/>
        <v>1</v>
      </c>
      <c r="AL956" s="20">
        <f t="shared" si="445"/>
        <v>1</v>
      </c>
      <c r="AM956" s="20">
        <f t="shared" si="445"/>
        <v>1</v>
      </c>
      <c r="AN956" s="20">
        <f t="shared" si="445"/>
        <v>1</v>
      </c>
    </row>
    <row r="957" spans="1:41" outlineLevel="1" x14ac:dyDescent="0.3">
      <c r="H957" s="2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spans="1:41" outlineLevel="1" x14ac:dyDescent="0.3">
      <c r="C958" s="1" t="s">
        <v>372</v>
      </c>
      <c r="H958" s="26" t="s">
        <v>11</v>
      </c>
      <c r="K958" s="155">
        <v>1</v>
      </c>
      <c r="L958" s="20">
        <f>L956*K958</f>
        <v>1</v>
      </c>
      <c r="M958" s="20">
        <f>M956*L958</f>
        <v>0.84530853761622993</v>
      </c>
      <c r="N958" s="20">
        <f t="shared" ref="N958:AN958" si="446">N956*M958</f>
        <v>0.73313836740349514</v>
      </c>
      <c r="O958" s="20">
        <f t="shared" si="446"/>
        <v>0.64936967883391949</v>
      </c>
      <c r="P958" s="20">
        <f t="shared" si="446"/>
        <v>0.57824548426885092</v>
      </c>
      <c r="Q958" s="20">
        <f t="shared" si="446"/>
        <v>0.5204729831402799</v>
      </c>
      <c r="R958" s="20">
        <f t="shared" si="446"/>
        <v>0.47101627433509491</v>
      </c>
      <c r="S958" s="20">
        <f t="shared" si="446"/>
        <v>0.42625907179646599</v>
      </c>
      <c r="T958" s="20">
        <f t="shared" si="446"/>
        <v>0.38575481610539908</v>
      </c>
      <c r="U958" s="20">
        <f t="shared" si="446"/>
        <v>0.34909938109085892</v>
      </c>
      <c r="V958" s="20">
        <f t="shared" si="446"/>
        <v>0.31592704171118452</v>
      </c>
      <c r="W958" s="20">
        <f t="shared" si="446"/>
        <v>0.28590682507799503</v>
      </c>
      <c r="X958" s="20">
        <f t="shared" si="446"/>
        <v>0.2587392082153801</v>
      </c>
      <c r="Y958" s="20">
        <f t="shared" si="446"/>
        <v>0.23415312960667883</v>
      </c>
      <c r="Z958" s="20">
        <f t="shared" si="446"/>
        <v>0.21190328471192654</v>
      </c>
      <c r="AA958" s="20">
        <f t="shared" si="446"/>
        <v>0.19176767847233173</v>
      </c>
      <c r="AB958" s="20">
        <f t="shared" si="446"/>
        <v>0.17354541038220067</v>
      </c>
      <c r="AC958" s="20">
        <f t="shared" si="446"/>
        <v>0.15705467002914089</v>
      </c>
      <c r="AD958" s="20">
        <f t="shared" si="446"/>
        <v>0.15705467002914089</v>
      </c>
      <c r="AE958" s="20">
        <f t="shared" si="446"/>
        <v>0.15705467002914089</v>
      </c>
      <c r="AF958" s="20">
        <f t="shared" si="446"/>
        <v>0.15705467002914089</v>
      </c>
      <c r="AG958" s="20">
        <f t="shared" si="446"/>
        <v>0.15705467002914089</v>
      </c>
      <c r="AH958" s="20">
        <f t="shared" si="446"/>
        <v>0.15705467002914089</v>
      </c>
      <c r="AI958" s="20">
        <f t="shared" si="446"/>
        <v>0.15705467002914089</v>
      </c>
      <c r="AJ958" s="20">
        <f t="shared" si="446"/>
        <v>0.15705467002914089</v>
      </c>
      <c r="AK958" s="20">
        <f t="shared" si="446"/>
        <v>0.15705467002914089</v>
      </c>
      <c r="AL958" s="20">
        <f t="shared" si="446"/>
        <v>0.15705467002914089</v>
      </c>
      <c r="AM958" s="20">
        <f t="shared" si="446"/>
        <v>0.15705467002914089</v>
      </c>
      <c r="AN958" s="20">
        <f t="shared" si="446"/>
        <v>0.15705467002914089</v>
      </c>
    </row>
    <row r="959" spans="1:41" outlineLevel="1" x14ac:dyDescent="0.3">
      <c r="H959" s="26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</row>
    <row r="960" spans="1:41" s="2" customFormat="1" outlineLevel="1" x14ac:dyDescent="0.3">
      <c r="A960" s="32"/>
      <c r="B960" s="32"/>
      <c r="C960" s="2" t="s">
        <v>147</v>
      </c>
      <c r="H960" s="26" t="s">
        <v>335</v>
      </c>
      <c r="L960" s="88">
        <f>(L941+L945+L946)*L958+L944</f>
        <v>0</v>
      </c>
      <c r="M960" s="88">
        <f>(M941+M945+M946)*M958+M944</f>
        <v>-116.66097246947655</v>
      </c>
      <c r="N960" s="88">
        <f>(N941+N945+N946)*N958+N944</f>
        <v>-93.793522519773092</v>
      </c>
      <c r="O960" s="88">
        <f t="shared" ref="O960:AN960" si="447">(O941+O945+O946)*O958+O944</f>
        <v>37.798928213623107</v>
      </c>
      <c r="P960" s="88">
        <f t="shared" si="447"/>
        <v>30.923274426069675</v>
      </c>
      <c r="Q960" s="88">
        <f t="shared" si="447"/>
        <v>28.74256231553705</v>
      </c>
      <c r="R960" s="88">
        <f t="shared" si="447"/>
        <v>23.447923167334405</v>
      </c>
      <c r="S960" s="88">
        <f t="shared" si="447"/>
        <v>21.272528277820474</v>
      </c>
      <c r="T960" s="88">
        <f t="shared" si="447"/>
        <v>20.425831667260198</v>
      </c>
      <c r="U960" s="88">
        <f t="shared" si="447"/>
        <v>19.488957496221865</v>
      </c>
      <c r="V960" s="88">
        <f t="shared" si="447"/>
        <v>28.612604671921574</v>
      </c>
      <c r="W960" s="88">
        <f t="shared" si="447"/>
        <v>44.061371554420887</v>
      </c>
      <c r="X960" s="88">
        <f t="shared" si="447"/>
        <v>38.095115681084323</v>
      </c>
      <c r="Y960" s="88">
        <f t="shared" si="447"/>
        <v>41.984632874161555</v>
      </c>
      <c r="Z960" s="88">
        <f t="shared" si="447"/>
        <v>33.396702292611828</v>
      </c>
      <c r="AA960" s="88">
        <f t="shared" si="447"/>
        <v>36.976945127843898</v>
      </c>
      <c r="AB960" s="88">
        <f t="shared" si="447"/>
        <v>34.5808589311875</v>
      </c>
      <c r="AC960" s="88">
        <f t="shared" si="447"/>
        <v>9.439725087793521</v>
      </c>
      <c r="AD960" s="88">
        <f t="shared" si="447"/>
        <v>0</v>
      </c>
      <c r="AE960" s="88">
        <f t="shared" si="447"/>
        <v>0</v>
      </c>
      <c r="AF960" s="88">
        <f t="shared" si="447"/>
        <v>0</v>
      </c>
      <c r="AG960" s="88">
        <f t="shared" si="447"/>
        <v>0</v>
      </c>
      <c r="AH960" s="88">
        <f t="shared" si="447"/>
        <v>0</v>
      </c>
      <c r="AI960" s="88">
        <f t="shared" si="447"/>
        <v>0</v>
      </c>
      <c r="AJ960" s="88">
        <f t="shared" si="447"/>
        <v>0</v>
      </c>
      <c r="AK960" s="88">
        <f t="shared" si="447"/>
        <v>0</v>
      </c>
      <c r="AL960" s="88">
        <f t="shared" si="447"/>
        <v>0</v>
      </c>
      <c r="AM960" s="88">
        <f t="shared" si="447"/>
        <v>0</v>
      </c>
      <c r="AN960" s="88">
        <f t="shared" si="447"/>
        <v>0</v>
      </c>
      <c r="AO960" s="1"/>
    </row>
    <row r="961" spans="1:41" outlineLevel="1" x14ac:dyDescent="0.3">
      <c r="H961" s="26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</row>
    <row r="962" spans="1:41" outlineLevel="1" x14ac:dyDescent="0.3">
      <c r="C962" s="1" t="s">
        <v>148</v>
      </c>
      <c r="H962" s="26" t="s">
        <v>335</v>
      </c>
      <c r="K962" s="74"/>
      <c r="L962" s="20">
        <f>K962+L960</f>
        <v>0</v>
      </c>
      <c r="M962" s="20">
        <f t="shared" ref="M962:AN962" si="448">L962+M960</f>
        <v>-116.66097246947655</v>
      </c>
      <c r="N962" s="20">
        <f t="shared" si="448"/>
        <v>-210.45449498924964</v>
      </c>
      <c r="O962" s="20">
        <f t="shared" si="448"/>
        <v>-172.65556677562654</v>
      </c>
      <c r="P962" s="20">
        <f t="shared" si="448"/>
        <v>-141.73229234955687</v>
      </c>
      <c r="Q962" s="20">
        <f t="shared" si="448"/>
        <v>-112.98973003401983</v>
      </c>
      <c r="R962" s="20">
        <f t="shared" si="448"/>
        <v>-89.54180686668542</v>
      </c>
      <c r="S962" s="20">
        <f t="shared" si="448"/>
        <v>-68.26927858886495</v>
      </c>
      <c r="T962" s="20">
        <f t="shared" si="448"/>
        <v>-47.843446921604752</v>
      </c>
      <c r="U962" s="20">
        <f t="shared" si="448"/>
        <v>-28.354489425382887</v>
      </c>
      <c r="V962" s="20">
        <f t="shared" si="448"/>
        <v>0.25811524653868645</v>
      </c>
      <c r="W962" s="20">
        <f>V962+W960</f>
        <v>44.319486800959574</v>
      </c>
      <c r="X962" s="20">
        <f t="shared" si="448"/>
        <v>82.414602482043904</v>
      </c>
      <c r="Y962" s="20">
        <f t="shared" si="448"/>
        <v>124.39923535620545</v>
      </c>
      <c r="Z962" s="20">
        <f t="shared" si="448"/>
        <v>157.79593764881727</v>
      </c>
      <c r="AA962" s="20">
        <f t="shared" si="448"/>
        <v>194.77288277666116</v>
      </c>
      <c r="AB962" s="20">
        <f t="shared" si="448"/>
        <v>229.35374170784866</v>
      </c>
      <c r="AC962" s="20">
        <f t="shared" si="448"/>
        <v>238.79346679564219</v>
      </c>
      <c r="AD962" s="20">
        <f t="shared" si="448"/>
        <v>238.79346679564219</v>
      </c>
      <c r="AE962" s="20">
        <f t="shared" si="448"/>
        <v>238.79346679564219</v>
      </c>
      <c r="AF962" s="20">
        <f t="shared" si="448"/>
        <v>238.79346679564219</v>
      </c>
      <c r="AG962" s="20">
        <f t="shared" si="448"/>
        <v>238.79346679564219</v>
      </c>
      <c r="AH962" s="20">
        <f t="shared" si="448"/>
        <v>238.79346679564219</v>
      </c>
      <c r="AI962" s="20">
        <f t="shared" si="448"/>
        <v>238.79346679564219</v>
      </c>
      <c r="AJ962" s="20">
        <f t="shared" si="448"/>
        <v>238.79346679564219</v>
      </c>
      <c r="AK962" s="20">
        <f t="shared" si="448"/>
        <v>238.79346679564219</v>
      </c>
      <c r="AL962" s="20">
        <f t="shared" si="448"/>
        <v>238.79346679564219</v>
      </c>
      <c r="AM962" s="20">
        <f t="shared" si="448"/>
        <v>238.79346679564219</v>
      </c>
      <c r="AN962" s="20">
        <f t="shared" si="448"/>
        <v>238.79346679564219</v>
      </c>
    </row>
    <row r="963" spans="1:41" outlineLevel="1" x14ac:dyDescent="0.3">
      <c r="H963" s="26"/>
    </row>
    <row r="964" spans="1:41" outlineLevel="1" x14ac:dyDescent="0.3">
      <c r="C964" s="1" t="s">
        <v>112</v>
      </c>
      <c r="H964" s="26" t="s">
        <v>9</v>
      </c>
      <c r="I964" s="39">
        <f>IRR(L948:AO948)</f>
        <v>0.28080495275570128</v>
      </c>
      <c r="L964" s="18">
        <f>IF(L962&lt;=0,0,1)</f>
        <v>0</v>
      </c>
      <c r="M964" s="18">
        <f t="shared" ref="M964:AN964" si="449">IF(M962&lt;=0,0,1)</f>
        <v>0</v>
      </c>
      <c r="N964" s="18">
        <f>IF(N962&lt;=0,0,1)</f>
        <v>0</v>
      </c>
      <c r="O964" s="18">
        <f t="shared" si="449"/>
        <v>0</v>
      </c>
      <c r="P964" s="18">
        <f t="shared" si="449"/>
        <v>0</v>
      </c>
      <c r="Q964" s="18">
        <f t="shared" si="449"/>
        <v>0</v>
      </c>
      <c r="R964" s="18">
        <f t="shared" si="449"/>
        <v>0</v>
      </c>
      <c r="S964" s="18">
        <f t="shared" si="449"/>
        <v>0</v>
      </c>
      <c r="T964" s="18">
        <f t="shared" si="449"/>
        <v>0</v>
      </c>
      <c r="U964" s="18">
        <f t="shared" si="449"/>
        <v>0</v>
      </c>
      <c r="V964" s="18">
        <f t="shared" si="449"/>
        <v>1</v>
      </c>
      <c r="W964" s="18">
        <f t="shared" si="449"/>
        <v>1</v>
      </c>
      <c r="X964" s="18">
        <f t="shared" si="449"/>
        <v>1</v>
      </c>
      <c r="Y964" s="18">
        <f t="shared" si="449"/>
        <v>1</v>
      </c>
      <c r="Z964" s="18">
        <f t="shared" si="449"/>
        <v>1</v>
      </c>
      <c r="AA964" s="18">
        <f t="shared" si="449"/>
        <v>1</v>
      </c>
      <c r="AB964" s="18">
        <f t="shared" si="449"/>
        <v>1</v>
      </c>
      <c r="AC964" s="18">
        <f t="shared" si="449"/>
        <v>1</v>
      </c>
      <c r="AD964" s="18">
        <f t="shared" si="449"/>
        <v>1</v>
      </c>
      <c r="AE964" s="18">
        <f t="shared" si="449"/>
        <v>1</v>
      </c>
      <c r="AF964" s="18">
        <f t="shared" si="449"/>
        <v>1</v>
      </c>
      <c r="AG964" s="18">
        <f t="shared" si="449"/>
        <v>1</v>
      </c>
      <c r="AH964" s="18">
        <f t="shared" si="449"/>
        <v>1</v>
      </c>
      <c r="AI964" s="18">
        <f t="shared" si="449"/>
        <v>1</v>
      </c>
      <c r="AJ964" s="18">
        <f t="shared" si="449"/>
        <v>1</v>
      </c>
      <c r="AK964" s="18">
        <f t="shared" si="449"/>
        <v>1</v>
      </c>
      <c r="AL964" s="18">
        <f t="shared" si="449"/>
        <v>1</v>
      </c>
      <c r="AM964" s="18">
        <f t="shared" si="449"/>
        <v>1</v>
      </c>
      <c r="AN964" s="18">
        <f t="shared" si="449"/>
        <v>1</v>
      </c>
      <c r="AO964" s="18"/>
    </row>
    <row r="965" spans="1:41" outlineLevel="1" x14ac:dyDescent="0.3">
      <c r="H965" s="26"/>
    </row>
    <row r="966" spans="1:41" outlineLevel="1" x14ac:dyDescent="0.3">
      <c r="C966" s="1" t="s">
        <v>114</v>
      </c>
      <c r="H966" s="26" t="s">
        <v>335</v>
      </c>
      <c r="I966" s="20">
        <f>SUM(L960:AN960)</f>
        <v>238.79346679564219</v>
      </c>
      <c r="L966" s="18">
        <f>IF(L950&lt;=0,0,1)</f>
        <v>0</v>
      </c>
      <c r="M966" s="18">
        <f t="shared" ref="M966:AN966" si="450">IF(M950&lt;=0,0,1)</f>
        <v>0</v>
      </c>
      <c r="N966" s="18">
        <f>IF(N950&lt;=0,0,1)</f>
        <v>0</v>
      </c>
      <c r="O966" s="18">
        <f t="shared" si="450"/>
        <v>0</v>
      </c>
      <c r="P966" s="18">
        <f t="shared" si="450"/>
        <v>0</v>
      </c>
      <c r="Q966" s="18">
        <f t="shared" si="450"/>
        <v>0</v>
      </c>
      <c r="R966" s="18">
        <f t="shared" si="450"/>
        <v>1</v>
      </c>
      <c r="S966" s="18">
        <f t="shared" si="450"/>
        <v>1</v>
      </c>
      <c r="T966" s="18">
        <f t="shared" si="450"/>
        <v>1</v>
      </c>
      <c r="U966" s="18">
        <f t="shared" si="450"/>
        <v>1</v>
      </c>
      <c r="V966" s="18">
        <f t="shared" si="450"/>
        <v>1</v>
      </c>
      <c r="W966" s="18">
        <f t="shared" si="450"/>
        <v>1</v>
      </c>
      <c r="X966" s="18">
        <f t="shared" si="450"/>
        <v>1</v>
      </c>
      <c r="Y966" s="18">
        <f t="shared" si="450"/>
        <v>1</v>
      </c>
      <c r="Z966" s="18">
        <f t="shared" si="450"/>
        <v>1</v>
      </c>
      <c r="AA966" s="18">
        <f t="shared" si="450"/>
        <v>1</v>
      </c>
      <c r="AB966" s="18">
        <f t="shared" si="450"/>
        <v>1</v>
      </c>
      <c r="AC966" s="18">
        <f t="shared" si="450"/>
        <v>1</v>
      </c>
      <c r="AD966" s="18">
        <f t="shared" si="450"/>
        <v>1</v>
      </c>
      <c r="AE966" s="18">
        <f t="shared" si="450"/>
        <v>1</v>
      </c>
      <c r="AF966" s="18">
        <f t="shared" si="450"/>
        <v>1</v>
      </c>
      <c r="AG966" s="18">
        <f t="shared" si="450"/>
        <v>1</v>
      </c>
      <c r="AH966" s="18">
        <f t="shared" si="450"/>
        <v>1</v>
      </c>
      <c r="AI966" s="18">
        <f t="shared" si="450"/>
        <v>1</v>
      </c>
      <c r="AJ966" s="18">
        <f t="shared" si="450"/>
        <v>1</v>
      </c>
      <c r="AK966" s="18">
        <f t="shared" si="450"/>
        <v>1</v>
      </c>
      <c r="AL966" s="18">
        <f t="shared" si="450"/>
        <v>1</v>
      </c>
      <c r="AM966" s="18">
        <f t="shared" si="450"/>
        <v>1</v>
      </c>
      <c r="AN966" s="18">
        <f t="shared" si="450"/>
        <v>1</v>
      </c>
      <c r="AO966" s="18"/>
    </row>
    <row r="967" spans="1:41" outlineLevel="1" x14ac:dyDescent="0.3">
      <c r="H967" s="26"/>
      <c r="I967" s="90"/>
    </row>
    <row r="968" spans="1:41" outlineLevel="1" x14ac:dyDescent="0.3">
      <c r="C968" s="1" t="s">
        <v>149</v>
      </c>
      <c r="H968" s="26" t="s">
        <v>33</v>
      </c>
      <c r="I968" s="25">
        <f>COUNTIF(L966:AO966,"=0")+1</f>
        <v>7</v>
      </c>
    </row>
    <row r="969" spans="1:41" outlineLevel="1" x14ac:dyDescent="0.3">
      <c r="H969" s="26"/>
    </row>
    <row r="970" spans="1:41" outlineLevel="1" x14ac:dyDescent="0.3">
      <c r="C970" s="1" t="s">
        <v>150</v>
      </c>
      <c r="H970" s="26" t="s">
        <v>33</v>
      </c>
      <c r="I970" s="25">
        <f>COUNTIF(L964:AO964,"=0")+1</f>
        <v>11</v>
      </c>
    </row>
    <row r="971" spans="1:41" outlineLevel="1" x14ac:dyDescent="0.3">
      <c r="H971" s="26"/>
      <c r="I971" s="4"/>
    </row>
    <row r="972" spans="1:41" outlineLevel="1" x14ac:dyDescent="0.3">
      <c r="C972" s="1" t="s">
        <v>152</v>
      </c>
      <c r="H972" s="26" t="s">
        <v>11</v>
      </c>
      <c r="I972" s="20">
        <f>I966/-K944</f>
        <v>1.0443250350349302</v>
      </c>
    </row>
    <row r="973" spans="1:41" outlineLevel="1" x14ac:dyDescent="0.3"/>
    <row r="974" spans="1:41" ht="15.75" outlineLevel="1" thickBot="1" x14ac:dyDescent="0.35"/>
    <row r="975" spans="1:41" s="106" customFormat="1" ht="18" customHeight="1" thickTop="1" thickBot="1" x14ac:dyDescent="0.35">
      <c r="A975" s="53"/>
      <c r="B975" s="53"/>
      <c r="C975" s="50" t="s">
        <v>52</v>
      </c>
      <c r="D975" s="51"/>
      <c r="E975" s="51"/>
      <c r="F975" s="51"/>
      <c r="G975" s="51"/>
      <c r="H975" s="52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</row>
    <row r="976" spans="1:41" ht="15.75" thickTop="1" x14ac:dyDescent="0.3"/>
    <row r="980" spans="4:4" x14ac:dyDescent="0.3">
      <c r="D980" s="112"/>
    </row>
    <row r="981" spans="4:4" x14ac:dyDescent="0.3">
      <c r="D981" s="111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/>
  <dimension ref="A1:FK105"/>
  <sheetViews>
    <sheetView showGridLines="0" zoomScale="55" zoomScaleNormal="55" workbookViewId="0">
      <pane ySplit="5" topLeftCell="A6" activePane="bottomLeft" state="frozen"/>
      <selection pane="bottomLeft" activeCell="G69" sqref="G69"/>
    </sheetView>
  </sheetViews>
  <sheetFormatPr defaultColWidth="11.33203125" defaultRowHeight="15.05" x14ac:dyDescent="0.3"/>
  <cols>
    <col min="1" max="1" width="4.5546875" style="18" customWidth="1"/>
    <col min="2" max="2" width="4.88671875" style="1" customWidth="1"/>
    <col min="3" max="3" width="3.33203125" style="1" customWidth="1"/>
    <col min="4" max="4" width="3.88671875" style="1" customWidth="1"/>
    <col min="5" max="5" width="41.33203125" style="1" customWidth="1"/>
    <col min="6" max="6" width="9.88671875" style="1" customWidth="1"/>
    <col min="7" max="7" width="16.109375" style="18" customWidth="1"/>
    <col min="8" max="8" width="20.33203125" style="1" customWidth="1"/>
    <col min="9" max="9" width="15.6640625" style="1" customWidth="1"/>
    <col min="10" max="39" width="14.6640625" style="1" customWidth="1"/>
    <col min="40" max="16384" width="11.33203125" style="1"/>
  </cols>
  <sheetData>
    <row r="1" spans="1:167" s="56" customFormat="1" ht="16.399999999999999" thickTop="1" x14ac:dyDescent="0.3">
      <c r="A1" s="55" t="str">
        <f>Title!$C$16</f>
        <v>Строительство производства сухих строительных смесей</v>
      </c>
      <c r="B1" s="67"/>
      <c r="G1" s="57"/>
      <c r="K1" s="58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spans="1:167" s="61" customFormat="1" ht="15.75" x14ac:dyDescent="0.3">
      <c r="A2" s="59" t="str">
        <f>Title!$C$15</f>
        <v>Финансово-экономическая модель</v>
      </c>
      <c r="B2" s="68"/>
      <c r="G2" s="62"/>
      <c r="L2" s="70" cm="1">
        <f t="array" ref="L2:L4">Input!L2:L4</f>
        <v>45292</v>
      </c>
      <c r="M2" s="70" cm="1">
        <f t="array" ref="M2:M4">Input!M2:M4</f>
        <v>45658</v>
      </c>
      <c r="N2" s="70" cm="1">
        <f t="array" ref="N2:N4">Input!N2:N4</f>
        <v>46023</v>
      </c>
      <c r="O2" s="70" cm="1">
        <f t="array" ref="O2:O4">Input!O2:O4</f>
        <v>46388</v>
      </c>
      <c r="P2" s="70" cm="1">
        <f t="array" ref="P2:P4">Input!P2:P4</f>
        <v>46753</v>
      </c>
      <c r="Q2" s="70" cm="1">
        <f t="array" ref="Q2:Q4">Input!Q2:Q4</f>
        <v>47119</v>
      </c>
      <c r="R2" s="70" cm="1">
        <f t="array" ref="R2:R4">Input!R2:R4</f>
        <v>47484</v>
      </c>
      <c r="S2" s="70" cm="1">
        <f t="array" ref="S2:S4">Input!S2:S4</f>
        <v>47849</v>
      </c>
      <c r="T2" s="70" cm="1">
        <f t="array" ref="T2:T4">Input!T2:T4</f>
        <v>48214</v>
      </c>
      <c r="U2" s="70" cm="1">
        <f t="array" ref="U2:U4">Input!U2:U4</f>
        <v>48580</v>
      </c>
      <c r="V2" s="70" cm="1">
        <f t="array" ref="V2:V4">Input!V2:V4</f>
        <v>48945</v>
      </c>
      <c r="W2" s="70" cm="1">
        <f t="array" ref="W2:W4">Input!W2:W4</f>
        <v>49310</v>
      </c>
      <c r="X2" s="70" cm="1">
        <f t="array" ref="X2:X4">Input!X2:X4</f>
        <v>49675</v>
      </c>
      <c r="Y2" s="70" cm="1">
        <f t="array" ref="Y2:Y4">Input!Y2:Y4</f>
        <v>50041</v>
      </c>
      <c r="Z2" s="70" cm="1">
        <f t="array" ref="Z2:Z4">Input!Z2:Z4</f>
        <v>50406</v>
      </c>
      <c r="AA2" s="70" cm="1">
        <f t="array" ref="AA2:AA4">Input!AA2:AA4</f>
        <v>50771</v>
      </c>
      <c r="AB2" s="70" cm="1">
        <f t="array" ref="AB2:AB4">Input!AB2:AB4</f>
        <v>51136</v>
      </c>
      <c r="AC2" s="70" cm="1">
        <f t="array" ref="AC2:AC4">Input!AC2:AC4</f>
        <v>51502</v>
      </c>
      <c r="AD2" s="70" t="str" cm="1">
        <f t="array" ref="AD2:AD4">Input!AD2:AD4</f>
        <v/>
      </c>
      <c r="AE2" s="70" t="str" cm="1">
        <f t="array" ref="AE2:AE4">Input!AE2:AE4</f>
        <v/>
      </c>
      <c r="AF2" s="70" t="str" cm="1">
        <f t="array" ref="AF2:AF4">Input!AF2:AF4</f>
        <v/>
      </c>
      <c r="AG2" s="70" t="str" cm="1">
        <f t="array" ref="AG2:AG4">Input!AG2:AG4</f>
        <v/>
      </c>
      <c r="AH2" s="70" t="str" cm="1">
        <f t="array" ref="AH2:AH4">Input!AH2:AH4</f>
        <v/>
      </c>
      <c r="AI2" s="70" t="str" cm="1">
        <f t="array" ref="AI2:AI4">Input!AI2:AI4</f>
        <v/>
      </c>
      <c r="AJ2" s="70" t="str" cm="1">
        <f t="array" ref="AJ2:AJ4">Input!AJ2:AJ4</f>
        <v/>
      </c>
      <c r="AK2" s="70" t="str" cm="1">
        <f t="array" ref="AK2:AK4">Input!AK2:AK4</f>
        <v/>
      </c>
      <c r="AL2" s="70" t="str" cm="1">
        <f t="array" ref="AL2:AL4">Input!AL2:AL4</f>
        <v/>
      </c>
      <c r="AM2" s="70" t="str" cm="1">
        <f t="array" ref="AM2:AM4">Input!AM2:AM4</f>
        <v/>
      </c>
      <c r="AN2" s="70" t="str" cm="1">
        <f t="array" ref="AN2:AN4">Input!AN2:AN4</f>
        <v/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spans="1:167" s="61" customFormat="1" ht="15.75" x14ac:dyDescent="0.3">
      <c r="A3" s="64" t="s">
        <v>80</v>
      </c>
      <c r="B3" s="60"/>
      <c r="G3" s="62"/>
      <c r="L3" s="70">
        <v>45657</v>
      </c>
      <c r="M3" s="70">
        <v>46022</v>
      </c>
      <c r="N3" s="70">
        <v>46387</v>
      </c>
      <c r="O3" s="70">
        <v>46752</v>
      </c>
      <c r="P3" s="70">
        <v>47118</v>
      </c>
      <c r="Q3" s="70">
        <v>47483</v>
      </c>
      <c r="R3" s="70">
        <v>47848</v>
      </c>
      <c r="S3" s="70">
        <v>48213</v>
      </c>
      <c r="T3" s="70">
        <v>48579</v>
      </c>
      <c r="U3" s="70">
        <v>48944</v>
      </c>
      <c r="V3" s="70">
        <v>49309</v>
      </c>
      <c r="W3" s="70">
        <v>49674</v>
      </c>
      <c r="X3" s="70">
        <v>50040</v>
      </c>
      <c r="Y3" s="70">
        <v>50405</v>
      </c>
      <c r="Z3" s="70">
        <v>50770</v>
      </c>
      <c r="AA3" s="70">
        <v>51135</v>
      </c>
      <c r="AB3" s="70">
        <v>51501</v>
      </c>
      <c r="AC3" s="70">
        <v>51866</v>
      </c>
      <c r="AD3" s="70" t="str">
        <v/>
      </c>
      <c r="AE3" s="70" t="str">
        <v/>
      </c>
      <c r="AF3" s="70" t="str">
        <v/>
      </c>
      <c r="AG3" s="70" t="str">
        <v/>
      </c>
      <c r="AH3" s="70" t="str">
        <v/>
      </c>
      <c r="AI3" s="70" t="str">
        <v/>
      </c>
      <c r="AJ3" s="70" t="str">
        <v/>
      </c>
      <c r="AK3" s="70" t="str">
        <v/>
      </c>
      <c r="AL3" s="70" t="str">
        <v/>
      </c>
      <c r="AM3" s="70" t="str">
        <v/>
      </c>
      <c r="AN3" s="70" t="str">
        <v/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spans="1:167" s="61" customFormat="1" ht="15.75" thickBot="1" x14ac:dyDescent="0.35">
      <c r="A4" s="65"/>
      <c r="G4" s="62"/>
      <c r="K4" s="66"/>
      <c r="L4" s="71" t="str">
        <v>Факт</v>
      </c>
      <c r="M4" s="71" t="str">
        <v>Прогноз</v>
      </c>
      <c r="N4" s="71" t="str">
        <v>Прогноз</v>
      </c>
      <c r="O4" s="71" t="str">
        <v>Прогноз</v>
      </c>
      <c r="P4" s="71" t="str">
        <v>Прогноз</v>
      </c>
      <c r="Q4" s="71" t="str">
        <v>Прогноз</v>
      </c>
      <c r="R4" s="71" t="str">
        <v>Прогноз</v>
      </c>
      <c r="S4" s="71" t="str">
        <v>Прогноз</v>
      </c>
      <c r="T4" s="71" t="str">
        <v>Прогноз</v>
      </c>
      <c r="U4" s="71" t="str">
        <v>Прогноз</v>
      </c>
      <c r="V4" s="71" t="str">
        <v>Прогноз</v>
      </c>
      <c r="W4" s="71" t="str">
        <v>Прогноз</v>
      </c>
      <c r="X4" s="71" t="str">
        <v>Прогноз</v>
      </c>
      <c r="Y4" s="71" t="str">
        <v>Прогноз</v>
      </c>
      <c r="Z4" s="71" t="str">
        <v>Прогноз</v>
      </c>
      <c r="AA4" s="71" t="str">
        <v>Прогноз</v>
      </c>
      <c r="AB4" s="71" t="str">
        <v>Прогноз</v>
      </c>
      <c r="AC4" s="71" t="str">
        <v>Прогноз</v>
      </c>
      <c r="AD4" s="71" t="str">
        <v/>
      </c>
      <c r="AE4" s="71" t="str">
        <v/>
      </c>
      <c r="AF4" s="71" t="str">
        <v/>
      </c>
      <c r="AG4" s="71" t="str">
        <v/>
      </c>
      <c r="AH4" s="71" t="str">
        <v/>
      </c>
      <c r="AI4" s="71" t="str">
        <v/>
      </c>
      <c r="AJ4" s="71" t="str">
        <v/>
      </c>
      <c r="AK4" s="71" t="str">
        <v/>
      </c>
      <c r="AL4" s="71" t="str">
        <v/>
      </c>
      <c r="AM4" s="71" t="str">
        <v/>
      </c>
      <c r="AN4" s="71" t="str">
        <v/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spans="1:167" s="77" customFormat="1" ht="29.95" customHeight="1" thickTop="1" thickBot="1" x14ac:dyDescent="0.35">
      <c r="A5" s="75"/>
      <c r="B5" s="76"/>
      <c r="F5" s="54"/>
      <c r="G5" s="54" t="s">
        <v>1</v>
      </c>
      <c r="H5" s="54" t="s">
        <v>104</v>
      </c>
      <c r="K5" s="54" t="s">
        <v>105</v>
      </c>
      <c r="L5" s="78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</row>
    <row r="6" spans="1:167" ht="15.55" customHeight="1" thickTop="1" thickBot="1" x14ac:dyDescent="0.35">
      <c r="A6" s="1"/>
    </row>
    <row r="7" spans="1:167" s="51" customFormat="1" ht="18" customHeight="1" thickTop="1" thickBot="1" x14ac:dyDescent="0.35">
      <c r="A7" s="49"/>
      <c r="B7" s="50" t="s">
        <v>8</v>
      </c>
      <c r="G7" s="52"/>
      <c r="L7" s="53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spans="1:167" ht="15.75" thickTop="1" x14ac:dyDescent="0.3">
      <c r="W8" s="112"/>
    </row>
    <row r="9" spans="1:167" s="2" customFormat="1" x14ac:dyDescent="0.3">
      <c r="A9" s="18"/>
      <c r="B9" s="2" t="s">
        <v>0</v>
      </c>
      <c r="G9" s="30" t="s">
        <v>335</v>
      </c>
      <c r="K9" s="108">
        <f>SUM(L9:AN9)</f>
        <v>16563.792620012562</v>
      </c>
      <c r="L9" s="43">
        <f>Расчеты!L444</f>
        <v>0</v>
      </c>
      <c r="M9" s="43">
        <f>Расчеты!M444</f>
        <v>0</v>
      </c>
      <c r="N9" s="43">
        <f>Расчеты!N444</f>
        <v>684.26283058466674</v>
      </c>
      <c r="O9" s="43">
        <f>Расчеты!O444</f>
        <v>853.96001256966406</v>
      </c>
      <c r="P9" s="43">
        <f>Расчеты!P444</f>
        <v>890.55161420415607</v>
      </c>
      <c r="Q9" s="43">
        <f>Расчеты!Q444</f>
        <v>923.64314959534886</v>
      </c>
      <c r="R9" s="43">
        <f>Расчеты!R444</f>
        <v>960.58887557916273</v>
      </c>
      <c r="S9" s="43">
        <f>Расчеты!S444</f>
        <v>999.01243060232946</v>
      </c>
      <c r="T9" s="43">
        <f>Расчеты!T444</f>
        <v>1041.8194289985497</v>
      </c>
      <c r="U9" s="43">
        <f>Расчеты!U444</f>
        <v>1080.5318449394795</v>
      </c>
      <c r="V9" s="43">
        <f>Расчеты!V444</f>
        <v>1123.7531187370587</v>
      </c>
      <c r="W9" s="43">
        <f>Расчеты!W444</f>
        <v>1168.7032434865412</v>
      </c>
      <c r="X9" s="43">
        <f>Расчеты!X444</f>
        <v>1218.7813769882659</v>
      </c>
      <c r="Y9" s="43">
        <f>Расчеты!Y444</f>
        <v>1264.0694281550429</v>
      </c>
      <c r="Z9" s="43">
        <f>Расчеты!Z444</f>
        <v>1314.6322052812448</v>
      </c>
      <c r="AA9" s="43">
        <f>Расчеты!AA444</f>
        <v>1367.2174934924944</v>
      </c>
      <c r="AB9" s="43">
        <f>Расчеты!AB444</f>
        <v>1425.8018266383101</v>
      </c>
      <c r="AC9" s="43">
        <f>Расчеты!AC444</f>
        <v>246.463740160247</v>
      </c>
      <c r="AD9" s="43">
        <f>Расчеты!AD444</f>
        <v>0</v>
      </c>
      <c r="AE9" s="43">
        <f>Расчеты!AE444</f>
        <v>0</v>
      </c>
      <c r="AF9" s="43">
        <f>Расчеты!AF444</f>
        <v>0</v>
      </c>
      <c r="AG9" s="43">
        <f>Расчеты!AG444</f>
        <v>0</v>
      </c>
      <c r="AH9" s="43">
        <f>Расчеты!AH444</f>
        <v>0</v>
      </c>
      <c r="AI9" s="43">
        <f>Расчеты!AI444</f>
        <v>0</v>
      </c>
      <c r="AJ9" s="43">
        <f>Расчеты!AJ444</f>
        <v>0</v>
      </c>
      <c r="AK9" s="43">
        <f>Расчеты!AK444</f>
        <v>0</v>
      </c>
      <c r="AL9" s="43">
        <f>Расчеты!AL444</f>
        <v>0</v>
      </c>
      <c r="AM9" s="43">
        <f>Расчеты!AM444</f>
        <v>0</v>
      </c>
      <c r="AN9" s="43">
        <f>Расчеты!AN444</f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spans="1:167" x14ac:dyDescent="0.3">
      <c r="G10" s="26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spans="1:167" s="2" customFormat="1" x14ac:dyDescent="0.3">
      <c r="A11" s="18"/>
      <c r="B11" s="2" t="s">
        <v>38</v>
      </c>
      <c r="G11" s="30" t="s">
        <v>335</v>
      </c>
      <c r="K11" s="108">
        <f>SUM(L11:AN11)</f>
        <v>12524.966570617564</v>
      </c>
      <c r="L11" s="43">
        <f>Расчеты!L603</f>
        <v>0</v>
      </c>
      <c r="M11" s="43">
        <f>Расчеты!M603</f>
        <v>0</v>
      </c>
      <c r="N11" s="43">
        <f>Расчеты!N603</f>
        <v>558.1578936727019</v>
      </c>
      <c r="O11" s="43">
        <f>Расчеты!O603</f>
        <v>696.6016702922683</v>
      </c>
      <c r="P11" s="43">
        <f>Расчеты!P603</f>
        <v>726.47228399293283</v>
      </c>
      <c r="Q11" s="43">
        <f>Расчеты!Q603</f>
        <v>753.48961495889978</v>
      </c>
      <c r="R11" s="43">
        <f>Расчеты!R603</f>
        <v>783.65306861409192</v>
      </c>
      <c r="S11" s="43">
        <f>Расчеты!S603</f>
        <v>815.0242538683334</v>
      </c>
      <c r="T11" s="43">
        <f>Расчеты!T603</f>
        <v>849.97387264359361</v>
      </c>
      <c r="U11" s="43">
        <f>Расчеты!U603</f>
        <v>881.58523266147768</v>
      </c>
      <c r="V11" s="43">
        <f>Расчеты!V603</f>
        <v>850.45915041824514</v>
      </c>
      <c r="W11" s="43">
        <f>Расчеты!W603</f>
        <v>818.82221577511461</v>
      </c>
      <c r="X11" s="43">
        <f>Расчеты!X603</f>
        <v>853.94026133807665</v>
      </c>
      <c r="Y11" s="43">
        <f>Расчеты!Y603</f>
        <v>885.70496103409891</v>
      </c>
      <c r="Z11" s="43">
        <f>Расчеты!Z603</f>
        <v>921.16842494342347</v>
      </c>
      <c r="AA11" s="43">
        <f>Расчеты!AA603</f>
        <v>958.05219068251881</v>
      </c>
      <c r="AB11" s="43">
        <f>Расчеты!AB603</f>
        <v>999.14305755259761</v>
      </c>
      <c r="AC11" s="43">
        <f>Расчеты!AC603</f>
        <v>172.71841816918734</v>
      </c>
      <c r="AD11" s="43">
        <f>Расчеты!AD603</f>
        <v>0</v>
      </c>
      <c r="AE11" s="43">
        <f>Расчеты!AE603</f>
        <v>0</v>
      </c>
      <c r="AF11" s="43">
        <f>Расчеты!AF603</f>
        <v>0</v>
      </c>
      <c r="AG11" s="43">
        <f>Расчеты!AG603</f>
        <v>0</v>
      </c>
      <c r="AH11" s="43">
        <f>Расчеты!AH603</f>
        <v>0</v>
      </c>
      <c r="AI11" s="43">
        <f>Расчеты!AI603</f>
        <v>0</v>
      </c>
      <c r="AJ11" s="43">
        <f>Расчеты!AJ603</f>
        <v>0</v>
      </c>
      <c r="AK11" s="43">
        <f>Расчеты!AK603</f>
        <v>0</v>
      </c>
      <c r="AL11" s="43">
        <f>Расчеты!AL603</f>
        <v>0</v>
      </c>
      <c r="AM11" s="43">
        <f>Расчеты!AM603</f>
        <v>0</v>
      </c>
      <c r="AN11" s="43">
        <f>Расчеты!AN603</f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</row>
    <row r="12" spans="1:167" x14ac:dyDescent="0.3">
      <c r="G12" s="26"/>
    </row>
    <row r="13" spans="1:167" x14ac:dyDescent="0.3">
      <c r="B13" s="2" t="s">
        <v>69</v>
      </c>
      <c r="G13" s="30" t="s">
        <v>335</v>
      </c>
      <c r="K13" s="108">
        <f>SUM(L13:AN13)</f>
        <v>4038.8260493950002</v>
      </c>
      <c r="L13" s="44">
        <f t="shared" ref="L13:AN13" si="0">L9-L11</f>
        <v>0</v>
      </c>
      <c r="M13" s="44">
        <f t="shared" si="0"/>
        <v>0</v>
      </c>
      <c r="N13" s="44">
        <f t="shared" si="0"/>
        <v>126.10493691196484</v>
      </c>
      <c r="O13" s="44">
        <f t="shared" si="0"/>
        <v>157.35834227739576</v>
      </c>
      <c r="P13" s="44">
        <f t="shared" si="0"/>
        <v>164.07933021122324</v>
      </c>
      <c r="Q13" s="44">
        <f t="shared" si="0"/>
        <v>170.15353463644908</v>
      </c>
      <c r="R13" s="44">
        <f t="shared" si="0"/>
        <v>176.93580696507081</v>
      </c>
      <c r="S13" s="44">
        <f t="shared" si="0"/>
        <v>183.98817673399606</v>
      </c>
      <c r="T13" s="44">
        <f t="shared" si="0"/>
        <v>191.8455563549561</v>
      </c>
      <c r="U13" s="44">
        <f t="shared" si="0"/>
        <v>198.94661227800179</v>
      </c>
      <c r="V13" s="44">
        <f>V9-V11</f>
        <v>273.29396831881354</v>
      </c>
      <c r="W13" s="44">
        <f t="shared" si="0"/>
        <v>349.88102771142655</v>
      </c>
      <c r="X13" s="44">
        <f t="shared" si="0"/>
        <v>364.84111565018929</v>
      </c>
      <c r="Y13" s="44">
        <f t="shared" si="0"/>
        <v>378.36446712094403</v>
      </c>
      <c r="Z13" s="44">
        <f t="shared" si="0"/>
        <v>393.46378033782128</v>
      </c>
      <c r="AA13" s="44">
        <f t="shared" si="0"/>
        <v>409.16530280997563</v>
      </c>
      <c r="AB13" s="44">
        <f t="shared" si="0"/>
        <v>426.65876908571249</v>
      </c>
      <c r="AC13" s="44">
        <f t="shared" si="0"/>
        <v>73.745321991059654</v>
      </c>
      <c r="AD13" s="44">
        <f t="shared" si="0"/>
        <v>0</v>
      </c>
      <c r="AE13" s="44">
        <f t="shared" si="0"/>
        <v>0</v>
      </c>
      <c r="AF13" s="44">
        <f t="shared" si="0"/>
        <v>0</v>
      </c>
      <c r="AG13" s="44">
        <f t="shared" si="0"/>
        <v>0</v>
      </c>
      <c r="AH13" s="44">
        <f t="shared" si="0"/>
        <v>0</v>
      </c>
      <c r="AI13" s="44">
        <f t="shared" si="0"/>
        <v>0</v>
      </c>
      <c r="AJ13" s="44">
        <f t="shared" si="0"/>
        <v>0</v>
      </c>
      <c r="AK13" s="44">
        <f t="shared" si="0"/>
        <v>0</v>
      </c>
      <c r="AL13" s="44">
        <f t="shared" si="0"/>
        <v>0</v>
      </c>
      <c r="AM13" s="44">
        <f t="shared" si="0"/>
        <v>0</v>
      </c>
      <c r="AN13" s="44">
        <f t="shared" si="0"/>
        <v>0</v>
      </c>
    </row>
    <row r="14" spans="1:167" x14ac:dyDescent="0.3">
      <c r="B14" s="11" t="s">
        <v>73</v>
      </c>
      <c r="L14" s="42">
        <f t="shared" ref="L14:AN14" si="1">IFERROR(L13/L9,0)</f>
        <v>0</v>
      </c>
      <c r="M14" s="42">
        <f t="shared" si="1"/>
        <v>0</v>
      </c>
      <c r="N14" s="42">
        <f t="shared" si="1"/>
        <v>0.18429312725376998</v>
      </c>
      <c r="O14" s="42">
        <f t="shared" si="1"/>
        <v>0.18426898210829146</v>
      </c>
      <c r="P14" s="42">
        <f t="shared" si="1"/>
        <v>0.18424460479795232</v>
      </c>
      <c r="Q14" s="42">
        <f t="shared" si="1"/>
        <v>0.18421999309039849</v>
      </c>
      <c r="R14" s="42">
        <f t="shared" si="1"/>
        <v>0.18419514473181031</v>
      </c>
      <c r="S14" s="42">
        <f t="shared" si="1"/>
        <v>0.18417005744669765</v>
      </c>
      <c r="T14" s="42">
        <f t="shared" si="1"/>
        <v>0.18414472893768921</v>
      </c>
      <c r="U14" s="42">
        <f t="shared" si="1"/>
        <v>0.1841191568853251</v>
      </c>
      <c r="V14" s="42">
        <f t="shared" si="1"/>
        <v>0.24319751710763457</v>
      </c>
      <c r="W14" s="42">
        <f t="shared" si="1"/>
        <v>0.29937542285554186</v>
      </c>
      <c r="X14" s="42">
        <f t="shared" si="1"/>
        <v>0.29934910603224774</v>
      </c>
      <c r="Y14" s="42">
        <f t="shared" si="1"/>
        <v>0.29932253616257554</v>
      </c>
      <c r="Z14" s="42">
        <f t="shared" si="1"/>
        <v>0.29929571081338746</v>
      </c>
      <c r="AA14" s="42">
        <f t="shared" si="1"/>
        <v>0.29926862752814959</v>
      </c>
      <c r="AB14" s="42">
        <f t="shared" si="1"/>
        <v>0.29924128382670745</v>
      </c>
      <c r="AC14" s="42">
        <f t="shared" si="1"/>
        <v>0.29921367720505887</v>
      </c>
      <c r="AD14" s="42">
        <f t="shared" si="1"/>
        <v>0</v>
      </c>
      <c r="AE14" s="42">
        <f t="shared" si="1"/>
        <v>0</v>
      </c>
      <c r="AF14" s="42">
        <f t="shared" si="1"/>
        <v>0</v>
      </c>
      <c r="AG14" s="42">
        <f t="shared" si="1"/>
        <v>0</v>
      </c>
      <c r="AH14" s="42">
        <f t="shared" si="1"/>
        <v>0</v>
      </c>
      <c r="AI14" s="42">
        <f t="shared" si="1"/>
        <v>0</v>
      </c>
      <c r="AJ14" s="42">
        <f t="shared" si="1"/>
        <v>0</v>
      </c>
      <c r="AK14" s="42">
        <f t="shared" si="1"/>
        <v>0</v>
      </c>
      <c r="AL14" s="42">
        <f t="shared" si="1"/>
        <v>0</v>
      </c>
      <c r="AM14" s="42">
        <f t="shared" si="1"/>
        <v>0</v>
      </c>
      <c r="AN14" s="42">
        <f t="shared" si="1"/>
        <v>0</v>
      </c>
    </row>
    <row r="15" spans="1:167" x14ac:dyDescent="0.3">
      <c r="G15" s="26"/>
    </row>
    <row r="16" spans="1:167" x14ac:dyDescent="0.3">
      <c r="B16" s="2" t="s">
        <v>59</v>
      </c>
      <c r="G16" s="30" t="s">
        <v>335</v>
      </c>
      <c r="K16" s="108">
        <f>SUM(L16:AN16)</f>
        <v>1658.7136284405226</v>
      </c>
      <c r="L16" s="45">
        <f>Расчеты!L619+Расчеты!L627</f>
        <v>0</v>
      </c>
      <c r="M16" s="45">
        <f>Расчеты!M619+Расчеты!M627</f>
        <v>0</v>
      </c>
      <c r="N16" s="45">
        <f>Расчеты!N619+Расчеты!N627</f>
        <v>68.534347166666677</v>
      </c>
      <c r="O16" s="45">
        <f>Расчеты!O619+Расчеты!O627</f>
        <v>85.536929014000009</v>
      </c>
      <c r="P16" s="45">
        <f>Расчеты!P619+Расчеты!P627</f>
        <v>88.964773112060016</v>
      </c>
      <c r="Q16" s="45">
        <f>Расчеты!Q619+Расчеты!Q627</f>
        <v>92.530049320917414</v>
      </c>
      <c r="R16" s="45">
        <f>Расчеты!R619+Расчеты!R627</f>
        <v>96.238270842347873</v>
      </c>
      <c r="S16" s="45">
        <f>Расчеты!S619+Расчеты!S627</f>
        <v>100.09517220206523</v>
      </c>
      <c r="T16" s="45">
        <f>Расчеты!T619+Расчеты!T627</f>
        <v>104.10671814247246</v>
      </c>
      <c r="U16" s="45">
        <f>Расчеты!U619+Расчеты!U627</f>
        <v>108.27911287311221</v>
      </c>
      <c r="V16" s="45">
        <f>Расчеты!V619+Расчеты!V627</f>
        <v>112.61880969322458</v>
      </c>
      <c r="W16" s="45">
        <f>Расчеты!W619+Расчеты!W627</f>
        <v>117.13252100140083</v>
      </c>
      <c r="X16" s="45">
        <f>Расчеты!X619+Расчеты!X627</f>
        <v>121.82722870792652</v>
      </c>
      <c r="Y16" s="45">
        <f>Расчеты!Y619+Расчеты!Y627</f>
        <v>126.71019506603669</v>
      </c>
      <c r="Z16" s="45">
        <f>Расчеты!Z619+Расчеты!Z627</f>
        <v>131.78897393896096</v>
      </c>
      <c r="AA16" s="45">
        <f>Расчеты!AA619+Расчеты!AA627</f>
        <v>137.07142252031628</v>
      </c>
      <c r="AB16" s="45">
        <f>Расчеты!AB619+Расчеты!AB627</f>
        <v>142.5657135261157</v>
      </c>
      <c r="AC16" s="45">
        <f>Расчеты!AC619+Расчеты!AC627</f>
        <v>24.713391312899411</v>
      </c>
      <c r="AD16" s="45">
        <f>Расчеты!AD619+Расчеты!AD627</f>
        <v>0</v>
      </c>
      <c r="AE16" s="45">
        <f>Расчеты!AE619+Расчеты!AE627</f>
        <v>0</v>
      </c>
      <c r="AF16" s="45">
        <f>Расчеты!AF619+Расчеты!AF627</f>
        <v>0</v>
      </c>
      <c r="AG16" s="45">
        <f>Расчеты!AG619+Расчеты!AG627</f>
        <v>0</v>
      </c>
      <c r="AH16" s="45">
        <f>Расчеты!AH619+Расчеты!AH627</f>
        <v>0</v>
      </c>
      <c r="AI16" s="45">
        <f>Расчеты!AI619+Расчеты!AI627</f>
        <v>0</v>
      </c>
      <c r="AJ16" s="45">
        <f>Расчеты!AJ619+Расчеты!AJ627</f>
        <v>0</v>
      </c>
      <c r="AK16" s="45">
        <f>Расчеты!AK619+Расчеты!AK627</f>
        <v>0</v>
      </c>
      <c r="AL16" s="45">
        <f>Расчеты!AL619+Расчеты!AL627</f>
        <v>0</v>
      </c>
      <c r="AM16" s="45">
        <f>Расчеты!AM619+Расчеты!AM627</f>
        <v>0</v>
      </c>
      <c r="AN16" s="45">
        <f>Расчеты!AN619+Расчеты!AN627</f>
        <v>0</v>
      </c>
    </row>
    <row r="17" spans="1:167" x14ac:dyDescent="0.3">
      <c r="B17" s="2"/>
      <c r="G17" s="26"/>
      <c r="K17" s="12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</row>
    <row r="18" spans="1:167" x14ac:dyDescent="0.3">
      <c r="B18" s="2" t="s">
        <v>334</v>
      </c>
      <c r="G18" s="30" t="s">
        <v>335</v>
      </c>
      <c r="K18" s="108">
        <f>SUM(L18:AN18)</f>
        <v>247.42016911342512</v>
      </c>
      <c r="L18" s="45">
        <f>Расчеты!L632</f>
        <v>0</v>
      </c>
      <c r="M18" s="45">
        <f>Расчеты!M632</f>
        <v>0</v>
      </c>
      <c r="N18" s="45">
        <f>Расчеты!N632</f>
        <v>1.2979200000000002</v>
      </c>
      <c r="O18" s="45">
        <f>Расчеты!O632</f>
        <v>13.723340800000001</v>
      </c>
      <c r="P18" s="45">
        <f>Расчеты!P632</f>
        <v>14.272274432000003</v>
      </c>
      <c r="Q18" s="45">
        <f>Расчеты!Q632</f>
        <v>14.843165409280004</v>
      </c>
      <c r="R18" s="45">
        <f>Расчеты!R632</f>
        <v>25.685976075468808</v>
      </c>
      <c r="S18" s="45">
        <f>Расчеты!S632</f>
        <v>14.475249571594244</v>
      </c>
      <c r="T18" s="45">
        <f>Расчеты!T632</f>
        <v>18.749395990552255</v>
      </c>
      <c r="U18" s="45">
        <f>Расчеты!U632</f>
        <v>17.364404111542118</v>
      </c>
      <c r="V18" s="45">
        <f>Расчеты!V632</f>
        <v>14.358369563707942</v>
      </c>
      <c r="W18" s="45">
        <f>Расчеты!W632</f>
        <v>27.402282202408397</v>
      </c>
      <c r="X18" s="45">
        <f>Расчеты!X632</f>
        <v>15.530012520106514</v>
      </c>
      <c r="Y18" s="45">
        <f>Расчеты!Y632</f>
        <v>16.151213020910774</v>
      </c>
      <c r="Z18" s="45">
        <f>Расчеты!Z632</f>
        <v>6.4072028561303771</v>
      </c>
      <c r="AA18" s="45">
        <f>Расчеты!AA632</f>
        <v>21.971510767184384</v>
      </c>
      <c r="AB18" s="45">
        <f>Расчеты!AB632</f>
        <v>22.850371197871759</v>
      </c>
      <c r="AC18" s="45">
        <f>Расчеты!AC632</f>
        <v>2.3374805946675377</v>
      </c>
      <c r="AD18" s="45">
        <f>Расчеты!AD632</f>
        <v>0</v>
      </c>
      <c r="AE18" s="45">
        <f>Расчеты!AE632</f>
        <v>0</v>
      </c>
      <c r="AF18" s="45">
        <f>Расчеты!AF632</f>
        <v>0</v>
      </c>
      <c r="AG18" s="45">
        <f>Расчеты!AG632</f>
        <v>0</v>
      </c>
      <c r="AH18" s="45">
        <f>Расчеты!AH632</f>
        <v>0</v>
      </c>
      <c r="AI18" s="45">
        <f>Расчеты!AI632</f>
        <v>0</v>
      </c>
      <c r="AJ18" s="45">
        <f>Расчеты!AJ632</f>
        <v>0</v>
      </c>
      <c r="AK18" s="45">
        <f>Расчеты!AK632</f>
        <v>0</v>
      </c>
      <c r="AL18" s="45">
        <f>Расчеты!AL632</f>
        <v>0</v>
      </c>
      <c r="AM18" s="45">
        <f>Расчеты!AM632</f>
        <v>0</v>
      </c>
      <c r="AN18" s="45">
        <f>Расчеты!AN632</f>
        <v>0</v>
      </c>
    </row>
    <row r="19" spans="1:167" x14ac:dyDescent="0.3">
      <c r="B19" s="2"/>
      <c r="G19" s="26"/>
      <c r="K19" s="12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</row>
    <row r="20" spans="1:167" x14ac:dyDescent="0.3">
      <c r="B20" s="2" t="s">
        <v>141</v>
      </c>
      <c r="G20" s="30" t="s">
        <v>335</v>
      </c>
      <c r="K20" s="108">
        <f>SUM(L20:AN20)</f>
        <v>9.4096749130359125</v>
      </c>
      <c r="L20" s="45">
        <f>Расчеты!L807+Расчеты!L817+Расчеты!L825</f>
        <v>0</v>
      </c>
      <c r="M20" s="45">
        <f>Расчеты!M807+Расчеты!M817+Расчеты!M825</f>
        <v>0</v>
      </c>
      <c r="N20" s="45">
        <f>Расчеты!N807+Расчеты!N817+Расчеты!N825</f>
        <v>2.1840575842197603</v>
      </c>
      <c r="O20" s="45">
        <f>Расчеты!O807+Расчеты!O817+Расчеты!O825</f>
        <v>2.007178649766332</v>
      </c>
      <c r="P20" s="45">
        <f>Расчеты!P807+Расчеты!P817+Расчеты!P825</f>
        <v>1.5528347233856405</v>
      </c>
      <c r="Q20" s="45">
        <f>Расчеты!Q807+Расчеты!Q817+Расчеты!Q825</f>
        <v>1.0984907970049491</v>
      </c>
      <c r="R20" s="45">
        <f>Расчеты!R807+Расчеты!R817+Расчеты!R825</f>
        <v>0.64414687062425779</v>
      </c>
      <c r="S20" s="45">
        <f>Расчеты!S807+Расчеты!S817+Расчеты!S825</f>
        <v>0.37747951631407772</v>
      </c>
      <c r="T20" s="45">
        <f>Расчеты!T807+Расчеты!T817+Расчеты!T825</f>
        <v>0.30772493557604447</v>
      </c>
      <c r="U20" s="45">
        <f>Расчеты!U807+Расчеты!U817+Расчеты!U825</f>
        <v>0.24720655633964705</v>
      </c>
      <c r="V20" s="45">
        <f>Расчеты!V807+Расчеты!V817+Расчеты!V825</f>
        <v>0.18668817710324956</v>
      </c>
      <c r="W20" s="45">
        <f>Расчеты!W807+Расчеты!W817+Расчеты!W825</f>
        <v>0.15631160464568963</v>
      </c>
      <c r="X20" s="45">
        <f>Расчеты!X807+Расчеты!X817+Расчеты!X825</f>
        <v>0.12728904811387526</v>
      </c>
      <c r="Y20" s="45">
        <f>Расчеты!Y807+Расчеты!Y817+Расчеты!Y825</f>
        <v>6.9478700728968917E-2</v>
      </c>
      <c r="Z20" s="45">
        <f>Расчеты!Z807+Расчеты!Z817+Расчеты!Z825</f>
        <v>0.16128709208331163</v>
      </c>
      <c r="AA20" s="45">
        <f>Расчеты!AA807+Расчеты!AA817+Расчеты!AA825</f>
        <v>0.21243799284758064</v>
      </c>
      <c r="AB20" s="45">
        <f>Расчеты!AB807+Расчеты!AB817+Расчеты!AB825</f>
        <v>7.331266428252689E-2</v>
      </c>
      <c r="AC20" s="45">
        <f>Расчеты!AC807+Расчеты!AC817+Расчеты!AC825</f>
        <v>3.7499999999999999E-3</v>
      </c>
      <c r="AD20" s="45">
        <f>Расчеты!AD807+Расчеты!AD817+Расчеты!AD825</f>
        <v>0</v>
      </c>
      <c r="AE20" s="45">
        <f>Расчеты!AE807+Расчеты!AE817+Расчеты!AE825</f>
        <v>0</v>
      </c>
      <c r="AF20" s="45">
        <f>Расчеты!AF807+Расчеты!AF817+Расчеты!AF825</f>
        <v>0</v>
      </c>
      <c r="AG20" s="45">
        <f>Расчеты!AG807+Расчеты!AG817+Расчеты!AG825</f>
        <v>0</v>
      </c>
      <c r="AH20" s="45">
        <f>Расчеты!AH807+Расчеты!AH817+Расчеты!AH825</f>
        <v>0</v>
      </c>
      <c r="AI20" s="45">
        <f>Расчеты!AI807+Расчеты!AI817+Расчеты!AI825</f>
        <v>0</v>
      </c>
      <c r="AJ20" s="45">
        <f>Расчеты!AJ807+Расчеты!AJ817+Расчеты!AJ825</f>
        <v>0</v>
      </c>
      <c r="AK20" s="45">
        <f>Расчеты!AK807+Расчеты!AK817+Расчеты!AK825</f>
        <v>0</v>
      </c>
      <c r="AL20" s="45">
        <f>Расчеты!AL807+Расчеты!AL817+Расчеты!AL825</f>
        <v>0</v>
      </c>
      <c r="AM20" s="45">
        <f>Расчеты!AM807+Расчеты!AM817+Расчеты!AM825</f>
        <v>0</v>
      </c>
      <c r="AN20" s="45">
        <f>Расчеты!AN807+Расчеты!AN817+Расчеты!AN825</f>
        <v>0</v>
      </c>
    </row>
    <row r="21" spans="1:167" x14ac:dyDescent="0.3">
      <c r="G21" s="26"/>
    </row>
    <row r="22" spans="1:167" s="2" customFormat="1" x14ac:dyDescent="0.3">
      <c r="A22" s="18"/>
      <c r="B22" s="2" t="s">
        <v>17</v>
      </c>
      <c r="C22" s="1"/>
      <c r="G22" s="30" t="s">
        <v>335</v>
      </c>
      <c r="K22" s="108">
        <f>SUM(L22:AN22)</f>
        <v>2123.2825769280157</v>
      </c>
      <c r="L22" s="44">
        <f>L13-L16-L18-L20</f>
        <v>0</v>
      </c>
      <c r="M22" s="44">
        <f t="shared" ref="M22:AN22" si="2">M13-M16-M18-M20</f>
        <v>0</v>
      </c>
      <c r="N22" s="44">
        <f t="shared" si="2"/>
        <v>54.088612161078409</v>
      </c>
      <c r="O22" s="44">
        <f t="shared" si="2"/>
        <v>56.090893813629421</v>
      </c>
      <c r="P22" s="44">
        <f t="shared" si="2"/>
        <v>59.289447943777574</v>
      </c>
      <c r="Q22" s="44">
        <f t="shared" si="2"/>
        <v>61.681829109246713</v>
      </c>
      <c r="R22" s="44">
        <f t="shared" si="2"/>
        <v>54.367413176629874</v>
      </c>
      <c r="S22" s="44">
        <f t="shared" si="2"/>
        <v>69.040275444022498</v>
      </c>
      <c r="T22" s="44">
        <f t="shared" si="2"/>
        <v>68.681717286355337</v>
      </c>
      <c r="U22" s="44">
        <f t="shared" si="2"/>
        <v>73.05588873700782</v>
      </c>
      <c r="V22" s="44">
        <f>V13-V16-V18-V20</f>
        <v>146.13010088477776</v>
      </c>
      <c r="W22" s="44">
        <f t="shared" si="2"/>
        <v>205.18991290297163</v>
      </c>
      <c r="X22" s="44">
        <f t="shared" si="2"/>
        <v>227.3565853740424</v>
      </c>
      <c r="Y22" s="44">
        <f t="shared" si="2"/>
        <v>235.43358033326757</v>
      </c>
      <c r="Z22" s="44">
        <f t="shared" si="2"/>
        <v>255.10631645064663</v>
      </c>
      <c r="AA22" s="44">
        <f t="shared" si="2"/>
        <v>249.90993152962739</v>
      </c>
      <c r="AB22" s="44">
        <f t="shared" si="2"/>
        <v>261.1693716974425</v>
      </c>
      <c r="AC22" s="44">
        <f t="shared" si="2"/>
        <v>46.690700083492708</v>
      </c>
      <c r="AD22" s="44">
        <f t="shared" si="2"/>
        <v>0</v>
      </c>
      <c r="AE22" s="44">
        <f t="shared" si="2"/>
        <v>0</v>
      </c>
      <c r="AF22" s="44">
        <f t="shared" si="2"/>
        <v>0</v>
      </c>
      <c r="AG22" s="44">
        <f t="shared" si="2"/>
        <v>0</v>
      </c>
      <c r="AH22" s="44">
        <f t="shared" si="2"/>
        <v>0</v>
      </c>
      <c r="AI22" s="44">
        <f t="shared" si="2"/>
        <v>0</v>
      </c>
      <c r="AJ22" s="44">
        <f t="shared" si="2"/>
        <v>0</v>
      </c>
      <c r="AK22" s="44">
        <f t="shared" si="2"/>
        <v>0</v>
      </c>
      <c r="AL22" s="44">
        <f t="shared" si="2"/>
        <v>0</v>
      </c>
      <c r="AM22" s="44">
        <f t="shared" si="2"/>
        <v>0</v>
      </c>
      <c r="AN22" s="44">
        <f t="shared" si="2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</row>
    <row r="23" spans="1:167" s="2" customFormat="1" x14ac:dyDescent="0.3">
      <c r="A23" s="18"/>
      <c r="B23" s="11" t="s">
        <v>70</v>
      </c>
      <c r="C23" s="1"/>
      <c r="G23" s="30"/>
      <c r="L23" s="42">
        <f t="shared" ref="L23:AN23" si="3">IFERROR(L22/L9,0)</f>
        <v>0</v>
      </c>
      <c r="M23" s="42">
        <f t="shared" si="3"/>
        <v>0</v>
      </c>
      <c r="N23" s="42">
        <f t="shared" si="3"/>
        <v>7.9046544315234141E-2</v>
      </c>
      <c r="O23" s="42">
        <f t="shared" si="3"/>
        <v>6.5683279062265995E-2</v>
      </c>
      <c r="P23" s="42">
        <f t="shared" si="3"/>
        <v>6.6576093960327903E-2</v>
      </c>
      <c r="Q23" s="42">
        <f t="shared" si="3"/>
        <v>6.6781017253546168E-2</v>
      </c>
      <c r="R23" s="42">
        <f t="shared" si="3"/>
        <v>5.6598004160573291E-2</v>
      </c>
      <c r="S23" s="42">
        <f t="shared" si="3"/>
        <v>6.910852490834013E-2</v>
      </c>
      <c r="T23" s="42">
        <f t="shared" si="3"/>
        <v>6.5924780604615651E-2</v>
      </c>
      <c r="U23" s="42">
        <f t="shared" si="3"/>
        <v>6.7611046429732646E-2</v>
      </c>
      <c r="V23" s="42">
        <f t="shared" si="3"/>
        <v>0.13003754868240772</v>
      </c>
      <c r="W23" s="42">
        <f t="shared" si="3"/>
        <v>0.17557058564399766</v>
      </c>
      <c r="X23" s="42">
        <f t="shared" si="3"/>
        <v>0.1865441905059822</v>
      </c>
      <c r="Y23" s="42">
        <f t="shared" si="3"/>
        <v>0.18625051368965689</v>
      </c>
      <c r="Z23" s="42">
        <f t="shared" si="3"/>
        <v>0.19405147342793924</v>
      </c>
      <c r="AA23" s="42">
        <f t="shared" si="3"/>
        <v>0.18278725419994732</v>
      </c>
      <c r="AB23" s="42">
        <f t="shared" si="3"/>
        <v>0.18317368291862524</v>
      </c>
      <c r="AC23" s="42">
        <f t="shared" si="3"/>
        <v>0.1894424715503186</v>
      </c>
      <c r="AD23" s="42">
        <f t="shared" si="3"/>
        <v>0</v>
      </c>
      <c r="AE23" s="42">
        <f t="shared" si="3"/>
        <v>0</v>
      </c>
      <c r="AF23" s="42">
        <f t="shared" si="3"/>
        <v>0</v>
      </c>
      <c r="AG23" s="42">
        <f t="shared" si="3"/>
        <v>0</v>
      </c>
      <c r="AH23" s="42">
        <f t="shared" si="3"/>
        <v>0</v>
      </c>
      <c r="AI23" s="42">
        <f t="shared" si="3"/>
        <v>0</v>
      </c>
      <c r="AJ23" s="42">
        <f t="shared" si="3"/>
        <v>0</v>
      </c>
      <c r="AK23" s="42">
        <f t="shared" si="3"/>
        <v>0</v>
      </c>
      <c r="AL23" s="42">
        <f t="shared" si="3"/>
        <v>0</v>
      </c>
      <c r="AM23" s="42">
        <f t="shared" si="3"/>
        <v>0</v>
      </c>
      <c r="AN23" s="42">
        <f t="shared" si="3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</row>
    <row r="24" spans="1:167" x14ac:dyDescent="0.3">
      <c r="G24" s="26"/>
    </row>
    <row r="25" spans="1:167" s="2" customFormat="1" x14ac:dyDescent="0.3">
      <c r="A25" s="18"/>
      <c r="B25" s="2" t="s">
        <v>14</v>
      </c>
      <c r="G25" s="30" t="s">
        <v>335</v>
      </c>
      <c r="K25" s="108">
        <f>SUM(L25:AN25)</f>
        <v>354.82757330934544</v>
      </c>
      <c r="L25" s="33">
        <f>Расчеты!L152</f>
        <v>0</v>
      </c>
      <c r="M25" s="33">
        <f>Расчеты!M152</f>
        <v>0</v>
      </c>
      <c r="N25" s="33">
        <f>Расчеты!N152</f>
        <v>36.617664927542364</v>
      </c>
      <c r="O25" s="33">
        <f>Расчеты!O152</f>
        <v>43.941197913050836</v>
      </c>
      <c r="P25" s="33">
        <f>Расчеты!P152</f>
        <v>43.941197913050836</v>
      </c>
      <c r="Q25" s="33">
        <f>Расчеты!Q152</f>
        <v>43.941197913050836</v>
      </c>
      <c r="R25" s="33">
        <f>Расчеты!R152</f>
        <v>43.941197913050836</v>
      </c>
      <c r="S25" s="33">
        <f>Расчеты!S152</f>
        <v>14.292352858723376</v>
      </c>
      <c r="T25" s="33">
        <f>Расчеты!T152</f>
        <v>8.1388754453877539</v>
      </c>
      <c r="U25" s="33">
        <f>Расчеты!U152</f>
        <v>8.1388754453877539</v>
      </c>
      <c r="V25" s="33">
        <f>Расчеты!V152</f>
        <v>19.240707582275338</v>
      </c>
      <c r="W25" s="33">
        <f>Расчеты!W152</f>
        <v>18.994522868503417</v>
      </c>
      <c r="X25" s="33">
        <f>Расчеты!X152</f>
        <v>10.498116882556168</v>
      </c>
      <c r="Y25" s="33">
        <f>Расчеты!Y152</f>
        <v>10.058582781603626</v>
      </c>
      <c r="Z25" s="33">
        <f>Расчеты!Z152</f>
        <v>18.181375269201002</v>
      </c>
      <c r="AA25" s="33">
        <f>Расчеты!AA152</f>
        <v>17.45085379798066</v>
      </c>
      <c r="AB25" s="33">
        <f>Расчеты!AB152</f>
        <v>17.450853797980656</v>
      </c>
      <c r="AC25" s="33">
        <f>Расчеты!AC152</f>
        <v>0</v>
      </c>
      <c r="AD25" s="33">
        <f>Расчеты!AD152</f>
        <v>0</v>
      </c>
      <c r="AE25" s="33">
        <f>Расчеты!AE152</f>
        <v>0</v>
      </c>
      <c r="AF25" s="33">
        <f>Расчеты!AF152</f>
        <v>0</v>
      </c>
      <c r="AG25" s="33">
        <f>Расчеты!AG152</f>
        <v>0</v>
      </c>
      <c r="AH25" s="33">
        <f>Расчеты!AH152</f>
        <v>0</v>
      </c>
      <c r="AI25" s="33">
        <f>Расчеты!AI152</f>
        <v>0</v>
      </c>
      <c r="AJ25" s="33">
        <f>Расчеты!AJ152</f>
        <v>0</v>
      </c>
      <c r="AK25" s="33">
        <f>Расчеты!AK152</f>
        <v>0</v>
      </c>
      <c r="AL25" s="33">
        <f>Расчеты!AL152</f>
        <v>0</v>
      </c>
      <c r="AM25" s="33">
        <f>Расчеты!AM152</f>
        <v>0</v>
      </c>
      <c r="AN25" s="33">
        <f>Расчеты!AN152</f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spans="1:167" x14ac:dyDescent="0.3">
      <c r="G26" s="2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167" x14ac:dyDescent="0.3">
      <c r="B27" s="2" t="s">
        <v>16</v>
      </c>
      <c r="G27" s="30" t="s">
        <v>335</v>
      </c>
      <c r="K27" s="108">
        <f>SUM(L27:AN27)</f>
        <v>1768.4550036186706</v>
      </c>
      <c r="L27" s="44">
        <f>L22-L25</f>
        <v>0</v>
      </c>
      <c r="M27" s="44">
        <f t="shared" ref="M27:AN27" si="4">M22-M25</f>
        <v>0</v>
      </c>
      <c r="N27" s="44">
        <f t="shared" si="4"/>
        <v>17.470947233536045</v>
      </c>
      <c r="O27" s="44">
        <f t="shared" si="4"/>
        <v>12.149695900578585</v>
      </c>
      <c r="P27" s="44">
        <f t="shared" si="4"/>
        <v>15.348250030726739</v>
      </c>
      <c r="Q27" s="44">
        <f t="shared" si="4"/>
        <v>17.740631196195878</v>
      </c>
      <c r="R27" s="44">
        <f t="shared" si="4"/>
        <v>10.426215263579039</v>
      </c>
      <c r="S27" s="44">
        <f t="shared" si="4"/>
        <v>54.747922585299122</v>
      </c>
      <c r="T27" s="44">
        <f t="shared" si="4"/>
        <v>60.542841840967583</v>
      </c>
      <c r="U27" s="44">
        <f t="shared" si="4"/>
        <v>64.917013291620066</v>
      </c>
      <c r="V27" s="44">
        <f t="shared" si="4"/>
        <v>126.88939330250243</v>
      </c>
      <c r="W27" s="44">
        <f t="shared" si="4"/>
        <v>186.1953900344682</v>
      </c>
      <c r="X27" s="44">
        <f t="shared" si="4"/>
        <v>216.85846849148624</v>
      </c>
      <c r="Y27" s="44">
        <f t="shared" si="4"/>
        <v>225.37499755166394</v>
      </c>
      <c r="Z27" s="44">
        <f t="shared" si="4"/>
        <v>236.92494118144563</v>
      </c>
      <c r="AA27" s="44">
        <f t="shared" si="4"/>
        <v>232.45907773164672</v>
      </c>
      <c r="AB27" s="44">
        <f t="shared" si="4"/>
        <v>243.71851789946186</v>
      </c>
      <c r="AC27" s="44">
        <f t="shared" si="4"/>
        <v>46.690700083492708</v>
      </c>
      <c r="AD27" s="44">
        <f>AD22-AD25</f>
        <v>0</v>
      </c>
      <c r="AE27" s="44">
        <f t="shared" si="4"/>
        <v>0</v>
      </c>
      <c r="AF27" s="44">
        <f t="shared" si="4"/>
        <v>0</v>
      </c>
      <c r="AG27" s="44">
        <f t="shared" si="4"/>
        <v>0</v>
      </c>
      <c r="AH27" s="44">
        <f t="shared" si="4"/>
        <v>0</v>
      </c>
      <c r="AI27" s="44">
        <f t="shared" si="4"/>
        <v>0</v>
      </c>
      <c r="AJ27" s="44">
        <f t="shared" si="4"/>
        <v>0</v>
      </c>
      <c r="AK27" s="44">
        <f t="shared" si="4"/>
        <v>0</v>
      </c>
      <c r="AL27" s="44">
        <f t="shared" si="4"/>
        <v>0</v>
      </c>
      <c r="AM27" s="44">
        <f t="shared" si="4"/>
        <v>0</v>
      </c>
      <c r="AN27" s="44">
        <f t="shared" si="4"/>
        <v>0</v>
      </c>
    </row>
    <row r="28" spans="1:167" x14ac:dyDescent="0.3">
      <c r="B28" s="11" t="s">
        <v>71</v>
      </c>
      <c r="L28" s="42">
        <f t="shared" ref="L28:AN28" si="5">IFERROR(L27/L9,0)</f>
        <v>0</v>
      </c>
      <c r="M28" s="42">
        <f t="shared" si="5"/>
        <v>0</v>
      </c>
      <c r="N28" s="42">
        <f t="shared" si="5"/>
        <v>2.5532509516274667E-2</v>
      </c>
      <c r="O28" s="42">
        <f t="shared" si="5"/>
        <v>1.4227476370958812E-2</v>
      </c>
      <c r="P28" s="42">
        <f t="shared" si="5"/>
        <v>1.723454293487834E-2</v>
      </c>
      <c r="Q28" s="42">
        <f t="shared" si="5"/>
        <v>1.9207235179482581E-2</v>
      </c>
      <c r="R28" s="42">
        <f t="shared" si="5"/>
        <v>1.0853982935512152E-2</v>
      </c>
      <c r="S28" s="42">
        <f t="shared" si="5"/>
        <v>5.4802043406296991E-2</v>
      </c>
      <c r="T28" s="42">
        <f t="shared" si="5"/>
        <v>5.8112605846835155E-2</v>
      </c>
      <c r="U28" s="42">
        <f t="shared" si="5"/>
        <v>6.0078759914064417E-2</v>
      </c>
      <c r="V28" s="42">
        <f t="shared" si="5"/>
        <v>0.11291572071017551</v>
      </c>
      <c r="W28" s="42">
        <f t="shared" si="5"/>
        <v>0.15931793727122692</v>
      </c>
      <c r="X28" s="42">
        <f t="shared" si="5"/>
        <v>0.17793057277209617</v>
      </c>
      <c r="Y28" s="42">
        <f t="shared" si="5"/>
        <v>0.17829321122069003</v>
      </c>
      <c r="Z28" s="42">
        <f t="shared" si="5"/>
        <v>0.18022146439867515</v>
      </c>
      <c r="AA28" s="42">
        <f t="shared" si="5"/>
        <v>0.1700234811491774</v>
      </c>
      <c r="AB28" s="42">
        <f t="shared" si="5"/>
        <v>0.17093435661678885</v>
      </c>
      <c r="AC28" s="42">
        <f t="shared" si="5"/>
        <v>0.1894424715503186</v>
      </c>
      <c r="AD28" s="42">
        <f t="shared" si="5"/>
        <v>0</v>
      </c>
      <c r="AE28" s="42">
        <f t="shared" si="5"/>
        <v>0</v>
      </c>
      <c r="AF28" s="42">
        <f t="shared" si="5"/>
        <v>0</v>
      </c>
      <c r="AG28" s="42">
        <f t="shared" si="5"/>
        <v>0</v>
      </c>
      <c r="AH28" s="42">
        <f t="shared" si="5"/>
        <v>0</v>
      </c>
      <c r="AI28" s="42">
        <f t="shared" si="5"/>
        <v>0</v>
      </c>
      <c r="AJ28" s="42">
        <f t="shared" si="5"/>
        <v>0</v>
      </c>
      <c r="AK28" s="42">
        <f t="shared" si="5"/>
        <v>0</v>
      </c>
      <c r="AL28" s="42">
        <f t="shared" si="5"/>
        <v>0</v>
      </c>
      <c r="AM28" s="42">
        <f t="shared" si="5"/>
        <v>0</v>
      </c>
      <c r="AN28" s="42">
        <f t="shared" si="5"/>
        <v>0</v>
      </c>
    </row>
    <row r="29" spans="1:167" x14ac:dyDescent="0.3">
      <c r="B29" s="11"/>
      <c r="G29" s="26"/>
    </row>
    <row r="30" spans="1:167" x14ac:dyDescent="0.3">
      <c r="B30" s="2" t="s">
        <v>39</v>
      </c>
      <c r="G30" s="30" t="s">
        <v>335</v>
      </c>
      <c r="K30" s="108">
        <f>SUM(L30:AN30)</f>
        <v>168.80781595968364</v>
      </c>
      <c r="L30" s="33">
        <f>Расчеты!L741</f>
        <v>0</v>
      </c>
      <c r="M30" s="33">
        <f>Расчеты!M741</f>
        <v>0</v>
      </c>
      <c r="N30" s="33">
        <f>Расчеты!N741</f>
        <v>37.499942298305086</v>
      </c>
      <c r="O30" s="33">
        <f>Расчеты!O741</f>
        <v>32.400404181423724</v>
      </c>
      <c r="P30" s="33">
        <f>Расчеты!P741</f>
        <v>26.849148753717511</v>
      </c>
      <c r="Q30" s="33">
        <f>Расчеты!Q741</f>
        <v>20.260063322847454</v>
      </c>
      <c r="R30" s="33">
        <f>Расчеты!R741</f>
        <v>15.866096465536719</v>
      </c>
      <c r="S30" s="33">
        <f>Расчеты!S741</f>
        <v>12.972875039548018</v>
      </c>
      <c r="T30" s="33">
        <f>Расчеты!T741</f>
        <v>10.079653613559319</v>
      </c>
      <c r="U30" s="33">
        <f>Расчеты!U741</f>
        <v>7.1864321875706194</v>
      </c>
      <c r="V30" s="33">
        <f>Расчеты!V741</f>
        <v>4.2932107615819195</v>
      </c>
      <c r="W30" s="33">
        <f>Расчеты!W741</f>
        <v>1.39998933559322</v>
      </c>
      <c r="X30" s="33">
        <f>Расчеты!X741</f>
        <v>0</v>
      </c>
      <c r="Y30" s="33">
        <f>Расчеты!Y741</f>
        <v>0</v>
      </c>
      <c r="Z30" s="33">
        <f>Расчеты!Z741</f>
        <v>0</v>
      </c>
      <c r="AA30" s="33">
        <f>Расчеты!AA741</f>
        <v>0</v>
      </c>
      <c r="AB30" s="33">
        <f>Расчеты!AB741</f>
        <v>0</v>
      </c>
      <c r="AC30" s="33">
        <f>Расчеты!AC741</f>
        <v>0</v>
      </c>
      <c r="AD30" s="33">
        <f>Расчеты!AD741</f>
        <v>0</v>
      </c>
      <c r="AE30" s="33">
        <f>Расчеты!AE741</f>
        <v>0</v>
      </c>
      <c r="AF30" s="33">
        <f>Расчеты!AF741</f>
        <v>0</v>
      </c>
      <c r="AG30" s="33">
        <f>Расчеты!AG741</f>
        <v>0</v>
      </c>
      <c r="AH30" s="33">
        <f>Расчеты!AH741</f>
        <v>0</v>
      </c>
      <c r="AI30" s="33">
        <f>Расчеты!AI741</f>
        <v>0</v>
      </c>
      <c r="AJ30" s="33">
        <f>Расчеты!AJ741</f>
        <v>0</v>
      </c>
      <c r="AK30" s="33">
        <f>Расчеты!AK741</f>
        <v>0</v>
      </c>
      <c r="AL30" s="33">
        <f>Расчеты!AL741</f>
        <v>0</v>
      </c>
      <c r="AM30" s="33">
        <f>Расчеты!AM741</f>
        <v>0</v>
      </c>
      <c r="AN30" s="33">
        <f>Расчеты!AN741</f>
        <v>0</v>
      </c>
    </row>
    <row r="31" spans="1:167" x14ac:dyDescent="0.3">
      <c r="B31" s="2"/>
      <c r="G31" s="30"/>
    </row>
    <row r="32" spans="1:167" x14ac:dyDescent="0.3">
      <c r="B32" s="2" t="s">
        <v>75</v>
      </c>
      <c r="G32" s="30" t="s">
        <v>335</v>
      </c>
      <c r="K32" s="108">
        <f>SUM(L32:AN32)</f>
        <v>1599.6471876589869</v>
      </c>
      <c r="L32" s="44">
        <f>L27-L30</f>
        <v>0</v>
      </c>
      <c r="M32" s="44">
        <f t="shared" ref="M32:AN32" si="6">M27-M30</f>
        <v>0</v>
      </c>
      <c r="N32" s="44">
        <f t="shared" si="6"/>
        <v>-20.028995064769042</v>
      </c>
      <c r="O32" s="44">
        <f t="shared" si="6"/>
        <v>-20.250708280845139</v>
      </c>
      <c r="P32" s="44">
        <f t="shared" si="6"/>
        <v>-11.500898722990772</v>
      </c>
      <c r="Q32" s="44">
        <f t="shared" si="6"/>
        <v>-2.5194321266515765</v>
      </c>
      <c r="R32" s="44">
        <f t="shared" si="6"/>
        <v>-5.4398812019576805</v>
      </c>
      <c r="S32" s="44">
        <f t="shared" si="6"/>
        <v>41.775047545751107</v>
      </c>
      <c r="T32" s="44">
        <f>T27-T30</f>
        <v>50.463188227408267</v>
      </c>
      <c r="U32" s="44">
        <f t="shared" si="6"/>
        <v>57.730581104049449</v>
      </c>
      <c r="V32" s="44">
        <f t="shared" si="6"/>
        <v>122.59618254092051</v>
      </c>
      <c r="W32" s="44">
        <f t="shared" si="6"/>
        <v>184.79540069887497</v>
      </c>
      <c r="X32" s="44">
        <f t="shared" si="6"/>
        <v>216.85846849148624</v>
      </c>
      <c r="Y32" s="44">
        <f t="shared" si="6"/>
        <v>225.37499755166394</v>
      </c>
      <c r="Z32" s="44">
        <f t="shared" si="6"/>
        <v>236.92494118144563</v>
      </c>
      <c r="AA32" s="44">
        <f t="shared" si="6"/>
        <v>232.45907773164672</v>
      </c>
      <c r="AB32" s="44">
        <f t="shared" si="6"/>
        <v>243.71851789946186</v>
      </c>
      <c r="AC32" s="44">
        <f t="shared" si="6"/>
        <v>46.690700083492708</v>
      </c>
      <c r="AD32" s="44">
        <f t="shared" si="6"/>
        <v>0</v>
      </c>
      <c r="AE32" s="44">
        <f t="shared" si="6"/>
        <v>0</v>
      </c>
      <c r="AF32" s="44">
        <f t="shared" si="6"/>
        <v>0</v>
      </c>
      <c r="AG32" s="44">
        <f t="shared" si="6"/>
        <v>0</v>
      </c>
      <c r="AH32" s="44">
        <f t="shared" si="6"/>
        <v>0</v>
      </c>
      <c r="AI32" s="44">
        <f t="shared" si="6"/>
        <v>0</v>
      </c>
      <c r="AJ32" s="44">
        <f t="shared" si="6"/>
        <v>0</v>
      </c>
      <c r="AK32" s="44">
        <f t="shared" si="6"/>
        <v>0</v>
      </c>
      <c r="AL32" s="44">
        <f t="shared" si="6"/>
        <v>0</v>
      </c>
      <c r="AM32" s="44">
        <f t="shared" si="6"/>
        <v>0</v>
      </c>
      <c r="AN32" s="44">
        <f t="shared" si="6"/>
        <v>0</v>
      </c>
    </row>
    <row r="33" spans="1:167" x14ac:dyDescent="0.3">
      <c r="B33" s="11" t="s">
        <v>76</v>
      </c>
      <c r="L33" s="42">
        <f t="shared" ref="L33:AN33" si="7">IFERROR(L32/L9,0)</f>
        <v>0</v>
      </c>
      <c r="M33" s="42">
        <f t="shared" si="7"/>
        <v>0</v>
      </c>
      <c r="N33" s="42">
        <f t="shared" si="7"/>
        <v>-2.9270909027245152E-2</v>
      </c>
      <c r="O33" s="42">
        <f t="shared" si="7"/>
        <v>-2.3713883534087765E-2</v>
      </c>
      <c r="P33" s="42">
        <f t="shared" si="7"/>
        <v>-1.2914353912286805E-2</v>
      </c>
      <c r="Q33" s="42">
        <f t="shared" si="7"/>
        <v>-2.7277115926809484E-3</v>
      </c>
      <c r="R33" s="42">
        <f t="shared" si="7"/>
        <v>-5.6630691237995467E-3</v>
      </c>
      <c r="S33" s="42">
        <f t="shared" si="7"/>
        <v>4.1816344087494378E-2</v>
      </c>
      <c r="T33" s="42">
        <f t="shared" si="7"/>
        <v>4.8437557241484804E-2</v>
      </c>
      <c r="U33" s="42">
        <f t="shared" si="7"/>
        <v>5.3427931230738447E-2</v>
      </c>
      <c r="V33" s="42">
        <f t="shared" si="7"/>
        <v>0.10909529904459929</v>
      </c>
      <c r="W33" s="42">
        <f t="shared" si="7"/>
        <v>0.15812003751061984</v>
      </c>
      <c r="X33" s="42">
        <f t="shared" si="7"/>
        <v>0.17793057277209617</v>
      </c>
      <c r="Y33" s="42">
        <f t="shared" si="7"/>
        <v>0.17829321122069003</v>
      </c>
      <c r="Z33" s="42">
        <f t="shared" si="7"/>
        <v>0.18022146439867515</v>
      </c>
      <c r="AA33" s="42">
        <f t="shared" si="7"/>
        <v>0.1700234811491774</v>
      </c>
      <c r="AB33" s="42">
        <f t="shared" si="7"/>
        <v>0.17093435661678885</v>
      </c>
      <c r="AC33" s="42">
        <f t="shared" si="7"/>
        <v>0.1894424715503186</v>
      </c>
      <c r="AD33" s="42">
        <f t="shared" si="7"/>
        <v>0</v>
      </c>
      <c r="AE33" s="42">
        <f t="shared" si="7"/>
        <v>0</v>
      </c>
      <c r="AF33" s="42">
        <f t="shared" si="7"/>
        <v>0</v>
      </c>
      <c r="AG33" s="42">
        <f t="shared" si="7"/>
        <v>0</v>
      </c>
      <c r="AH33" s="42">
        <f t="shared" si="7"/>
        <v>0</v>
      </c>
      <c r="AI33" s="42">
        <f t="shared" si="7"/>
        <v>0</v>
      </c>
      <c r="AJ33" s="42">
        <f t="shared" si="7"/>
        <v>0</v>
      </c>
      <c r="AK33" s="42">
        <f t="shared" si="7"/>
        <v>0</v>
      </c>
      <c r="AL33" s="42">
        <f t="shared" si="7"/>
        <v>0</v>
      </c>
      <c r="AM33" s="42">
        <f t="shared" si="7"/>
        <v>0</v>
      </c>
      <c r="AN33" s="42">
        <f t="shared" si="7"/>
        <v>0</v>
      </c>
    </row>
    <row r="34" spans="1:167" x14ac:dyDescent="0.3">
      <c r="B34" s="11"/>
      <c r="G34" s="30"/>
    </row>
    <row r="35" spans="1:167" s="72" customFormat="1" x14ac:dyDescent="0.3">
      <c r="B35" s="2" t="s">
        <v>12</v>
      </c>
      <c r="G35" s="30" t="s">
        <v>335</v>
      </c>
      <c r="K35" s="108">
        <f>SUM(L35:AN35)</f>
        <v>414.84677576405028</v>
      </c>
      <c r="L35" s="33">
        <f>Расчеты!L843</f>
        <v>0</v>
      </c>
      <c r="M35" s="33">
        <f>Расчеты!M843</f>
        <v>0</v>
      </c>
      <c r="N35" s="33">
        <f>Расчеты!N843</f>
        <v>0</v>
      </c>
      <c r="O35" s="33">
        <f>Расчеты!O843</f>
        <v>0</v>
      </c>
      <c r="P35" s="33">
        <f>Расчеты!P843</f>
        <v>0</v>
      </c>
      <c r="Q35" s="33">
        <f>Расчеты!Q843</f>
        <v>0</v>
      </c>
      <c r="R35" s="33">
        <f>Расчеты!R843</f>
        <v>0</v>
      </c>
      <c r="S35" s="33">
        <f>Расчеты!S843</f>
        <v>10.443761886437777</v>
      </c>
      <c r="T35" s="33">
        <f>Расчеты!T843</f>
        <v>12.615797056852067</v>
      </c>
      <c r="U35" s="33">
        <f>Расчеты!U843</f>
        <v>14.432645276012362</v>
      </c>
      <c r="V35" s="33">
        <f>Расчеты!V843</f>
        <v>30.649045635230127</v>
      </c>
      <c r="W35" s="33">
        <f>Расчеты!W843</f>
        <v>46.198850174718743</v>
      </c>
      <c r="X35" s="33">
        <f>Расчеты!X843</f>
        <v>54.214617122871559</v>
      </c>
      <c r="Y35" s="33">
        <f>Расчеты!Y843</f>
        <v>56.343749387915985</v>
      </c>
      <c r="Z35" s="33">
        <f>Расчеты!Z843</f>
        <v>59.231235295361408</v>
      </c>
      <c r="AA35" s="33">
        <f>Расчеты!AA843</f>
        <v>58.114769432911679</v>
      </c>
      <c r="AB35" s="33">
        <f>Расчеты!AB843</f>
        <v>60.929629474865465</v>
      </c>
      <c r="AC35" s="33">
        <f>Расчеты!AC843</f>
        <v>11.672675020873177</v>
      </c>
      <c r="AD35" s="33">
        <f>Расчеты!AD843</f>
        <v>0</v>
      </c>
      <c r="AE35" s="33">
        <f>Расчеты!AE843</f>
        <v>0</v>
      </c>
      <c r="AF35" s="33">
        <f>Расчеты!AF843</f>
        <v>0</v>
      </c>
      <c r="AG35" s="33">
        <f>Расчеты!AG843</f>
        <v>0</v>
      </c>
      <c r="AH35" s="33">
        <f>Расчеты!AH843</f>
        <v>0</v>
      </c>
      <c r="AI35" s="33">
        <f>Расчеты!AI843</f>
        <v>0</v>
      </c>
      <c r="AJ35" s="33">
        <f>Расчеты!AJ843</f>
        <v>0</v>
      </c>
      <c r="AK35" s="33">
        <f>Расчеты!AK843</f>
        <v>0</v>
      </c>
      <c r="AL35" s="33">
        <f>Расчеты!AL843</f>
        <v>0</v>
      </c>
      <c r="AM35" s="33">
        <f>Расчеты!AM843</f>
        <v>0</v>
      </c>
      <c r="AN35" s="33">
        <f>Расчеты!AN843</f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</row>
    <row r="36" spans="1:167" x14ac:dyDescent="0.3">
      <c r="G36" s="1"/>
    </row>
    <row r="37" spans="1:167" s="2" customFormat="1" x14ac:dyDescent="0.3">
      <c r="A37" s="18"/>
      <c r="B37" s="2" t="s">
        <v>15</v>
      </c>
      <c r="G37" s="30"/>
      <c r="K37" s="108">
        <f>SUM(L37:AN37)</f>
        <v>1184.8004118949366</v>
      </c>
      <c r="L37" s="34">
        <f t="shared" ref="L37:AN37" si="8">L32-L35</f>
        <v>0</v>
      </c>
      <c r="M37" s="34">
        <f t="shared" si="8"/>
        <v>0</v>
      </c>
      <c r="N37" s="34">
        <f>N32-N35</f>
        <v>-20.028995064769042</v>
      </c>
      <c r="O37" s="34">
        <f t="shared" si="8"/>
        <v>-20.250708280845139</v>
      </c>
      <c r="P37" s="34">
        <f t="shared" si="8"/>
        <v>-11.500898722990772</v>
      </c>
      <c r="Q37" s="34">
        <f t="shared" si="8"/>
        <v>-2.5194321266515765</v>
      </c>
      <c r="R37" s="34">
        <f t="shared" si="8"/>
        <v>-5.4398812019576805</v>
      </c>
      <c r="S37" s="34">
        <f t="shared" si="8"/>
        <v>31.33128565931333</v>
      </c>
      <c r="T37" s="34">
        <f t="shared" si="8"/>
        <v>37.8473911705562</v>
      </c>
      <c r="U37" s="34">
        <f t="shared" si="8"/>
        <v>43.297935828037083</v>
      </c>
      <c r="V37" s="34">
        <f t="shared" si="8"/>
        <v>91.947136905690385</v>
      </c>
      <c r="W37" s="34">
        <f t="shared" si="8"/>
        <v>138.59655052415621</v>
      </c>
      <c r="X37" s="34">
        <f t="shared" si="8"/>
        <v>162.64385136861466</v>
      </c>
      <c r="Y37" s="34">
        <f t="shared" si="8"/>
        <v>169.03124816374796</v>
      </c>
      <c r="Z37" s="34">
        <f t="shared" si="8"/>
        <v>177.69370588608422</v>
      </c>
      <c r="AA37" s="34">
        <f t="shared" si="8"/>
        <v>174.34430829873503</v>
      </c>
      <c r="AB37" s="34">
        <f t="shared" si="8"/>
        <v>182.78888842459639</v>
      </c>
      <c r="AC37" s="34">
        <f t="shared" si="8"/>
        <v>35.018025062619529</v>
      </c>
      <c r="AD37" s="34">
        <f t="shared" si="8"/>
        <v>0</v>
      </c>
      <c r="AE37" s="34">
        <f t="shared" si="8"/>
        <v>0</v>
      </c>
      <c r="AF37" s="34">
        <f t="shared" si="8"/>
        <v>0</v>
      </c>
      <c r="AG37" s="34">
        <f t="shared" si="8"/>
        <v>0</v>
      </c>
      <c r="AH37" s="34">
        <f t="shared" si="8"/>
        <v>0</v>
      </c>
      <c r="AI37" s="34">
        <f t="shared" si="8"/>
        <v>0</v>
      </c>
      <c r="AJ37" s="34">
        <f t="shared" si="8"/>
        <v>0</v>
      </c>
      <c r="AK37" s="34">
        <f t="shared" si="8"/>
        <v>0</v>
      </c>
      <c r="AL37" s="34">
        <f t="shared" si="8"/>
        <v>0</v>
      </c>
      <c r="AM37" s="34">
        <f t="shared" si="8"/>
        <v>0</v>
      </c>
      <c r="AN37" s="34">
        <f t="shared" si="8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</row>
    <row r="38" spans="1:167" x14ac:dyDescent="0.3">
      <c r="B38" s="1" t="s">
        <v>72</v>
      </c>
      <c r="G38" s="26" t="s">
        <v>9</v>
      </c>
      <c r="L38" s="42">
        <f t="shared" ref="L38:AN38" si="9">IFERROR(L37/L$9,0)</f>
        <v>0</v>
      </c>
      <c r="M38" s="42">
        <f t="shared" si="9"/>
        <v>0</v>
      </c>
      <c r="N38" s="42">
        <f t="shared" si="9"/>
        <v>-2.9270909027245152E-2</v>
      </c>
      <c r="O38" s="42">
        <f t="shared" si="9"/>
        <v>-2.3713883534087765E-2</v>
      </c>
      <c r="P38" s="42">
        <f t="shared" si="9"/>
        <v>-1.2914353912286805E-2</v>
      </c>
      <c r="Q38" s="42">
        <f t="shared" si="9"/>
        <v>-2.7277115926809484E-3</v>
      </c>
      <c r="R38" s="42">
        <f t="shared" si="9"/>
        <v>-5.6630691237995467E-3</v>
      </c>
      <c r="S38" s="42">
        <f t="shared" si="9"/>
        <v>3.1362258065620784E-2</v>
      </c>
      <c r="T38" s="42">
        <f t="shared" si="9"/>
        <v>3.6328167931113604E-2</v>
      </c>
      <c r="U38" s="42">
        <f t="shared" si="9"/>
        <v>4.007094842305383E-2</v>
      </c>
      <c r="V38" s="42">
        <f t="shared" si="9"/>
        <v>8.1821474283449463E-2</v>
      </c>
      <c r="W38" s="42">
        <f t="shared" si="9"/>
        <v>0.11859002813296488</v>
      </c>
      <c r="X38" s="42">
        <f t="shared" si="9"/>
        <v>0.13344792957907212</v>
      </c>
      <c r="Y38" s="42">
        <f t="shared" si="9"/>
        <v>0.13371990841551754</v>
      </c>
      <c r="Z38" s="42">
        <f t="shared" si="9"/>
        <v>0.13516609829900633</v>
      </c>
      <c r="AA38" s="42">
        <f t="shared" si="9"/>
        <v>0.12751761086188304</v>
      </c>
      <c r="AB38" s="42">
        <f t="shared" si="9"/>
        <v>0.12820076746259165</v>
      </c>
      <c r="AC38" s="42">
        <f t="shared" si="9"/>
        <v>0.14208185366273896</v>
      </c>
      <c r="AD38" s="42">
        <f t="shared" si="9"/>
        <v>0</v>
      </c>
      <c r="AE38" s="42">
        <f t="shared" si="9"/>
        <v>0</v>
      </c>
      <c r="AF38" s="42">
        <f t="shared" si="9"/>
        <v>0</v>
      </c>
      <c r="AG38" s="42">
        <f t="shared" si="9"/>
        <v>0</v>
      </c>
      <c r="AH38" s="42">
        <f t="shared" si="9"/>
        <v>0</v>
      </c>
      <c r="AI38" s="42">
        <f t="shared" si="9"/>
        <v>0</v>
      </c>
      <c r="AJ38" s="42">
        <f t="shared" si="9"/>
        <v>0</v>
      </c>
      <c r="AK38" s="42">
        <f t="shared" si="9"/>
        <v>0</v>
      </c>
      <c r="AL38" s="42">
        <f t="shared" si="9"/>
        <v>0</v>
      </c>
      <c r="AM38" s="42">
        <f t="shared" si="9"/>
        <v>0</v>
      </c>
      <c r="AN38" s="42">
        <f t="shared" si="9"/>
        <v>0</v>
      </c>
    </row>
    <row r="39" spans="1:167" x14ac:dyDescent="0.3">
      <c r="G39" s="26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</row>
    <row r="40" spans="1:167" x14ac:dyDescent="0.3">
      <c r="B40" s="1" t="s">
        <v>116</v>
      </c>
      <c r="G40" s="26" t="s">
        <v>94</v>
      </c>
      <c r="L40" s="83">
        <f t="shared" ref="L40:AN40" si="10">IFERROR((L63+L66)/L22,0)</f>
        <v>0</v>
      </c>
      <c r="M40" s="83">
        <f t="shared" si="10"/>
        <v>0</v>
      </c>
      <c r="N40" s="83">
        <f>IFERROR((N63+N66)/N22,0)</f>
        <v>3.630451551672933</v>
      </c>
      <c r="O40" s="83">
        <f t="shared" si="10"/>
        <v>3.0882074212556492</v>
      </c>
      <c r="P40" s="83">
        <f t="shared" si="10"/>
        <v>2.5312184264983308</v>
      </c>
      <c r="Q40" s="83">
        <f t="shared" si="10"/>
        <v>2.0577984401125011</v>
      </c>
      <c r="R40" s="83">
        <f t="shared" si="10"/>
        <v>1.9089192266553492</v>
      </c>
      <c r="S40" s="83">
        <f t="shared" si="10"/>
        <v>1.1679737427156531</v>
      </c>
      <c r="T40" s="83">
        <f t="shared" si="10"/>
        <v>0.8370707631095663</v>
      </c>
      <c r="U40" s="83">
        <f t="shared" si="10"/>
        <v>0.4701289202886243</v>
      </c>
      <c r="V40" s="83">
        <f t="shared" si="10"/>
        <v>7.6643447290690572E-2</v>
      </c>
      <c r="W40" s="83">
        <f t="shared" si="10"/>
        <v>0</v>
      </c>
      <c r="X40" s="83">
        <f t="shared" si="10"/>
        <v>0</v>
      </c>
      <c r="Y40" s="83">
        <f t="shared" si="10"/>
        <v>0</v>
      </c>
      <c r="Z40" s="83">
        <f t="shared" si="10"/>
        <v>0</v>
      </c>
      <c r="AA40" s="83">
        <f t="shared" si="10"/>
        <v>0</v>
      </c>
      <c r="AB40" s="83">
        <f t="shared" si="10"/>
        <v>0</v>
      </c>
      <c r="AC40" s="83">
        <f t="shared" si="10"/>
        <v>0</v>
      </c>
      <c r="AD40" s="83">
        <f t="shared" si="10"/>
        <v>0</v>
      </c>
      <c r="AE40" s="83">
        <f t="shared" si="10"/>
        <v>0</v>
      </c>
      <c r="AF40" s="83">
        <f t="shared" si="10"/>
        <v>0</v>
      </c>
      <c r="AG40" s="83">
        <f t="shared" si="10"/>
        <v>0</v>
      </c>
      <c r="AH40" s="83">
        <f t="shared" si="10"/>
        <v>0</v>
      </c>
      <c r="AI40" s="83">
        <f t="shared" si="10"/>
        <v>0</v>
      </c>
      <c r="AJ40" s="83">
        <f t="shared" si="10"/>
        <v>0</v>
      </c>
      <c r="AK40" s="83">
        <f t="shared" si="10"/>
        <v>0</v>
      </c>
      <c r="AL40" s="83">
        <f t="shared" si="10"/>
        <v>0</v>
      </c>
      <c r="AM40" s="83">
        <f t="shared" si="10"/>
        <v>0</v>
      </c>
      <c r="AN40" s="83">
        <f t="shared" si="10"/>
        <v>0</v>
      </c>
    </row>
    <row r="41" spans="1:167" ht="15.75" thickBot="1" x14ac:dyDescent="0.35"/>
    <row r="42" spans="1:167" s="51" customFormat="1" ht="18" customHeight="1" thickTop="1" thickBot="1" x14ac:dyDescent="0.35">
      <c r="A42" s="49"/>
      <c r="B42" s="50" t="s">
        <v>24</v>
      </c>
      <c r="G42" s="52"/>
      <c r="L42" s="53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</row>
    <row r="43" spans="1:167" ht="15.75" thickTop="1" x14ac:dyDescent="0.3"/>
    <row r="44" spans="1:167" x14ac:dyDescent="0.3">
      <c r="B44" s="2" t="s">
        <v>84</v>
      </c>
      <c r="G44" s="30" t="s">
        <v>335</v>
      </c>
      <c r="L44" s="34">
        <f>SUM(L45:L46)</f>
        <v>0</v>
      </c>
      <c r="M44" s="34">
        <f t="shared" ref="M44:AN44" si="11">SUM(M45:M46)</f>
        <v>176.06554319237287</v>
      </c>
      <c r="N44" s="34">
        <f t="shared" si="11"/>
        <v>226.95624945754233</v>
      </c>
      <c r="O44" s="34">
        <f t="shared" si="11"/>
        <v>183.01505154449151</v>
      </c>
      <c r="P44" s="34">
        <f t="shared" si="11"/>
        <v>139.07385363144067</v>
      </c>
      <c r="Q44" s="34">
        <f t="shared" si="11"/>
        <v>95.132655718389842</v>
      </c>
      <c r="R44" s="34">
        <f t="shared" si="11"/>
        <v>51.191457805339013</v>
      </c>
      <c r="S44" s="34">
        <f t="shared" si="11"/>
        <v>41.373272996017519</v>
      </c>
      <c r="T44" s="34">
        <f t="shared" si="11"/>
        <v>33.234397550629765</v>
      </c>
      <c r="U44" s="34">
        <f t="shared" si="11"/>
        <v>25.095522105242004</v>
      </c>
      <c r="V44" s="34">
        <f t="shared" si="11"/>
        <v>28.05847879674182</v>
      </c>
      <c r="W44" s="34">
        <f t="shared" si="11"/>
        <v>14.298099719709699</v>
      </c>
      <c r="X44" s="34">
        <f t="shared" si="11"/>
        <v>27.815466115668784</v>
      </c>
      <c r="Y44" s="34">
        <f t="shared" si="11"/>
        <v>17.756883334065165</v>
      </c>
      <c r="Z44" s="34">
        <f t="shared" si="11"/>
        <v>34.901707595961398</v>
      </c>
      <c r="AA44" s="34">
        <f t="shared" si="11"/>
        <v>17.450853797980738</v>
      </c>
      <c r="AB44" s="34">
        <f t="shared" si="11"/>
        <v>7.1054273576010019E-14</v>
      </c>
      <c r="AC44" s="34">
        <f t="shared" si="11"/>
        <v>7.1054273576010019E-14</v>
      </c>
      <c r="AD44" s="34">
        <f t="shared" si="11"/>
        <v>7.1054273576010019E-14</v>
      </c>
      <c r="AE44" s="34">
        <f t="shared" si="11"/>
        <v>7.1054273576010019E-14</v>
      </c>
      <c r="AF44" s="34">
        <f t="shared" si="11"/>
        <v>7.1054273576010019E-14</v>
      </c>
      <c r="AG44" s="34">
        <f t="shared" si="11"/>
        <v>7.1054273576010019E-14</v>
      </c>
      <c r="AH44" s="34">
        <f t="shared" si="11"/>
        <v>7.1054273576010019E-14</v>
      </c>
      <c r="AI44" s="34">
        <f t="shared" si="11"/>
        <v>7.1054273576010019E-14</v>
      </c>
      <c r="AJ44" s="34">
        <f t="shared" si="11"/>
        <v>7.1054273576010019E-14</v>
      </c>
      <c r="AK44" s="34">
        <f t="shared" si="11"/>
        <v>7.1054273576010019E-14</v>
      </c>
      <c r="AL44" s="34">
        <f t="shared" si="11"/>
        <v>7.1054273576010019E-14</v>
      </c>
      <c r="AM44" s="34">
        <f t="shared" si="11"/>
        <v>7.1054273576010019E-14</v>
      </c>
      <c r="AN44" s="34">
        <f t="shared" si="11"/>
        <v>7.1054273576010019E-14</v>
      </c>
    </row>
    <row r="45" spans="1:167" x14ac:dyDescent="0.3">
      <c r="C45" s="1" t="s">
        <v>82</v>
      </c>
      <c r="G45" s="26" t="s">
        <v>335</v>
      </c>
      <c r="L45" s="33">
        <f>Расчеты!L154</f>
        <v>0</v>
      </c>
      <c r="M45" s="33">
        <f>Расчеты!M154</f>
        <v>0</v>
      </c>
      <c r="N45" s="33">
        <f>Расчеты!N154</f>
        <v>226.95624945754233</v>
      </c>
      <c r="O45" s="33">
        <f>Расчеты!O154</f>
        <v>183.01505154449151</v>
      </c>
      <c r="P45" s="33">
        <f>Расчеты!P154</f>
        <v>139.07385363144067</v>
      </c>
      <c r="Q45" s="33">
        <f>Расчеты!Q154</f>
        <v>95.132655718389842</v>
      </c>
      <c r="R45" s="33">
        <f>Расчеты!R154</f>
        <v>51.191457805339013</v>
      </c>
      <c r="S45" s="33">
        <f>Расчеты!S154</f>
        <v>41.373272996017498</v>
      </c>
      <c r="T45" s="33">
        <f>Расчеты!T154</f>
        <v>33.234397550629744</v>
      </c>
      <c r="U45" s="33">
        <f>Расчеты!U154</f>
        <v>25.095522105241987</v>
      </c>
      <c r="V45" s="33">
        <f>Расчеты!V154</f>
        <v>28.05847879674182</v>
      </c>
      <c r="W45" s="33">
        <f>Расчеты!W154</f>
        <v>14.298099719709672</v>
      </c>
      <c r="X45" s="33">
        <f>Расчеты!X154</f>
        <v>27.815466115668734</v>
      </c>
      <c r="Y45" s="33">
        <f>Расчеты!Y154</f>
        <v>17.756883334065115</v>
      </c>
      <c r="Z45" s="33">
        <f>Расчеты!Z154</f>
        <v>34.901707595961327</v>
      </c>
      <c r="AA45" s="33">
        <f>Расчеты!AA154</f>
        <v>17.450853797980667</v>
      </c>
      <c r="AB45" s="33">
        <f>Расчеты!AB154</f>
        <v>0</v>
      </c>
      <c r="AC45" s="33">
        <f>Расчеты!AC154</f>
        <v>0</v>
      </c>
      <c r="AD45" s="33">
        <f>Расчеты!AD154</f>
        <v>0</v>
      </c>
      <c r="AE45" s="33">
        <f>Расчеты!AE154</f>
        <v>0</v>
      </c>
      <c r="AF45" s="33">
        <f>Расчеты!AF154</f>
        <v>0</v>
      </c>
      <c r="AG45" s="33">
        <f>Расчеты!AG154</f>
        <v>0</v>
      </c>
      <c r="AH45" s="33">
        <f>Расчеты!AH154</f>
        <v>0</v>
      </c>
      <c r="AI45" s="33">
        <f>Расчеты!AI154</f>
        <v>0</v>
      </c>
      <c r="AJ45" s="33">
        <f>Расчеты!AJ154</f>
        <v>0</v>
      </c>
      <c r="AK45" s="33">
        <f>Расчеты!AK154</f>
        <v>0</v>
      </c>
      <c r="AL45" s="33">
        <f>Расчеты!AL154</f>
        <v>0</v>
      </c>
      <c r="AM45" s="33">
        <f>Расчеты!AM154</f>
        <v>0</v>
      </c>
      <c r="AN45" s="33">
        <f>Расчеты!AN154</f>
        <v>0</v>
      </c>
    </row>
    <row r="46" spans="1:167" x14ac:dyDescent="0.3">
      <c r="C46" s="1" t="s">
        <v>81</v>
      </c>
      <c r="G46" s="26" t="s">
        <v>335</v>
      </c>
      <c r="L46" s="33">
        <f>Расчеты!L148</f>
        <v>0</v>
      </c>
      <c r="M46" s="33">
        <f>Расчеты!M148</f>
        <v>176.06554319237287</v>
      </c>
      <c r="N46" s="33">
        <f>Расчеты!N148</f>
        <v>0</v>
      </c>
      <c r="O46" s="33">
        <f>Расчеты!O148</f>
        <v>0</v>
      </c>
      <c r="P46" s="33">
        <f>Расчеты!P148</f>
        <v>0</v>
      </c>
      <c r="Q46" s="33">
        <f>Расчеты!Q148</f>
        <v>0</v>
      </c>
      <c r="R46" s="33">
        <f>Расчеты!R148</f>
        <v>0</v>
      </c>
      <c r="S46" s="33">
        <f>Расчеты!S148</f>
        <v>1.7763568394002505E-14</v>
      </c>
      <c r="T46" s="33">
        <f>Расчеты!T148</f>
        <v>1.7763568394002505E-14</v>
      </c>
      <c r="U46" s="33">
        <f>Расчеты!U148</f>
        <v>1.7763568394002505E-14</v>
      </c>
      <c r="V46" s="33">
        <f>Расчеты!V148</f>
        <v>0</v>
      </c>
      <c r="W46" s="33">
        <f>Расчеты!W148</f>
        <v>2.6645352591003757E-14</v>
      </c>
      <c r="X46" s="33">
        <f>Расчеты!X148</f>
        <v>4.9737991503207013E-14</v>
      </c>
      <c r="Y46" s="33">
        <f>Расчеты!Y148</f>
        <v>4.9737991503207013E-14</v>
      </c>
      <c r="Z46" s="33">
        <f>Расчеты!Z148</f>
        <v>7.1054273576010019E-14</v>
      </c>
      <c r="AA46" s="33">
        <f>Расчеты!AA148</f>
        <v>7.1054273576010019E-14</v>
      </c>
      <c r="AB46" s="33">
        <f>Расчеты!AB148</f>
        <v>7.1054273576010019E-14</v>
      </c>
      <c r="AC46" s="33">
        <f>Расчеты!AC148</f>
        <v>7.1054273576010019E-14</v>
      </c>
      <c r="AD46" s="33">
        <f>Расчеты!AD148</f>
        <v>7.1054273576010019E-14</v>
      </c>
      <c r="AE46" s="33">
        <f>Расчеты!AE148</f>
        <v>7.1054273576010019E-14</v>
      </c>
      <c r="AF46" s="33">
        <f>Расчеты!AF148</f>
        <v>7.1054273576010019E-14</v>
      </c>
      <c r="AG46" s="33">
        <f>Расчеты!AG148</f>
        <v>7.1054273576010019E-14</v>
      </c>
      <c r="AH46" s="33">
        <f>Расчеты!AH148</f>
        <v>7.1054273576010019E-14</v>
      </c>
      <c r="AI46" s="33">
        <f>Расчеты!AI148</f>
        <v>7.1054273576010019E-14</v>
      </c>
      <c r="AJ46" s="33">
        <f>Расчеты!AJ148</f>
        <v>7.1054273576010019E-14</v>
      </c>
      <c r="AK46" s="33">
        <f>Расчеты!AK148</f>
        <v>7.1054273576010019E-14</v>
      </c>
      <c r="AL46" s="33">
        <f>Расчеты!AL148</f>
        <v>7.1054273576010019E-14</v>
      </c>
      <c r="AM46" s="33">
        <f>Расчеты!AM148</f>
        <v>7.1054273576010019E-14</v>
      </c>
      <c r="AN46" s="33">
        <f>Расчеты!AN148</f>
        <v>7.1054273576010019E-14</v>
      </c>
    </row>
    <row r="47" spans="1:167" x14ac:dyDescent="0.3">
      <c r="G47" s="26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167" x14ac:dyDescent="0.3">
      <c r="B48" s="2" t="s">
        <v>85</v>
      </c>
      <c r="G48" s="26"/>
      <c r="L48" s="34">
        <f>SUM(L49:L54)</f>
        <v>0</v>
      </c>
      <c r="M48" s="34">
        <f t="shared" ref="M48:AN48" si="12">SUM(M49:M54)</f>
        <v>22.398481355932194</v>
      </c>
      <c r="N48" s="34">
        <f t="shared" si="12"/>
        <v>138.87798593085483</v>
      </c>
      <c r="O48" s="34">
        <f t="shared" si="12"/>
        <v>149.44107108557876</v>
      </c>
      <c r="P48" s="34">
        <f t="shared" si="12"/>
        <v>161.56213546223384</v>
      </c>
      <c r="Q48" s="34">
        <f t="shared" si="12"/>
        <v>182.85257747802316</v>
      </c>
      <c r="R48" s="34">
        <f t="shared" si="12"/>
        <v>201.59629332851068</v>
      </c>
      <c r="S48" s="34">
        <f t="shared" si="12"/>
        <v>227.19889736716982</v>
      </c>
      <c r="T48" s="34">
        <f t="shared" si="12"/>
        <v>259.99536848517903</v>
      </c>
      <c r="U48" s="34">
        <f t="shared" si="12"/>
        <v>296.98864842244433</v>
      </c>
      <c r="V48" s="34">
        <f t="shared" si="12"/>
        <v>364.3569193955251</v>
      </c>
      <c r="W48" s="34">
        <f t="shared" si="12"/>
        <v>509.08780475993154</v>
      </c>
      <c r="X48" s="34">
        <f t="shared" si="12"/>
        <v>661.07796073954751</v>
      </c>
      <c r="Y48" s="34">
        <f t="shared" si="12"/>
        <v>845.30413057152055</v>
      </c>
      <c r="Z48" s="34">
        <f t="shared" si="12"/>
        <v>1008.029629845993</v>
      </c>
      <c r="AA48" s="34">
        <f t="shared" si="12"/>
        <v>1206.1786886555792</v>
      </c>
      <c r="AB48" s="34">
        <f t="shared" si="12"/>
        <v>1410.9804647231972</v>
      </c>
      <c r="AC48" s="34">
        <f t="shared" si="12"/>
        <v>1327.0290270208507</v>
      </c>
      <c r="AD48" s="34">
        <f t="shared" si="12"/>
        <v>1327.0290270208507</v>
      </c>
      <c r="AE48" s="34">
        <f t="shared" si="12"/>
        <v>1327.0290270208507</v>
      </c>
      <c r="AF48" s="34">
        <f t="shared" si="12"/>
        <v>1327.0290270208507</v>
      </c>
      <c r="AG48" s="34">
        <f t="shared" si="12"/>
        <v>1327.0290270208507</v>
      </c>
      <c r="AH48" s="34">
        <f t="shared" si="12"/>
        <v>1327.0290270208507</v>
      </c>
      <c r="AI48" s="34">
        <f t="shared" si="12"/>
        <v>1327.0290270208507</v>
      </c>
      <c r="AJ48" s="34">
        <f t="shared" si="12"/>
        <v>1327.0290270208507</v>
      </c>
      <c r="AK48" s="34">
        <f t="shared" si="12"/>
        <v>1327.0290270208507</v>
      </c>
      <c r="AL48" s="34">
        <f t="shared" si="12"/>
        <v>1327.0290270208507</v>
      </c>
      <c r="AM48" s="34">
        <f t="shared" si="12"/>
        <v>1327.0290270208507</v>
      </c>
      <c r="AN48" s="34">
        <f t="shared" si="12"/>
        <v>1327.0290270208507</v>
      </c>
    </row>
    <row r="49" spans="1:167" x14ac:dyDescent="0.3">
      <c r="C49" s="1" t="s">
        <v>79</v>
      </c>
      <c r="G49" s="26" t="s">
        <v>335</v>
      </c>
      <c r="L49" s="33">
        <f>Расчеты!L923</f>
        <v>0</v>
      </c>
      <c r="M49" s="33">
        <f>Расчеты!M923</f>
        <v>0</v>
      </c>
      <c r="N49" s="33">
        <f>Расчеты!N923</f>
        <v>18.293906124208007</v>
      </c>
      <c r="O49" s="33">
        <f>Расчеты!O923</f>
        <v>19.025662369176324</v>
      </c>
      <c r="P49" s="33">
        <f>Расчеты!P923</f>
        <v>19.786688863943379</v>
      </c>
      <c r="Q49" s="33">
        <f>Расчеты!Q923</f>
        <v>20.578156418501116</v>
      </c>
      <c r="R49" s="33">
        <f>Расчеты!R923</f>
        <v>21.401282675241159</v>
      </c>
      <c r="S49" s="33">
        <f>Расчеты!S923</f>
        <v>22.257333982250806</v>
      </c>
      <c r="T49" s="33">
        <f>Расчеты!T923</f>
        <v>23.14762734154084</v>
      </c>
      <c r="U49" s="33">
        <f>Расчеты!U923</f>
        <v>24.073532435202473</v>
      </c>
      <c r="V49" s="33">
        <f>Расчеты!V923</f>
        <v>23.216788676789818</v>
      </c>
      <c r="W49" s="33">
        <f>Расчеты!W923</f>
        <v>22.345850243121287</v>
      </c>
      <c r="X49" s="33">
        <f>Расчеты!X923</f>
        <v>23.239684252846139</v>
      </c>
      <c r="Y49" s="33">
        <f>Расчеты!Y923</f>
        <v>24.16927162295999</v>
      </c>
      <c r="Z49" s="33">
        <f>Расчеты!Z923</f>
        <v>25.136042487878392</v>
      </c>
      <c r="AA49" s="33">
        <f>Расчеты!AA923</f>
        <v>26.141484187393516</v>
      </c>
      <c r="AB49" s="33">
        <f>Расчеты!AB923</f>
        <v>27.187143554889268</v>
      </c>
      <c r="AC49" s="33">
        <f>Расчеты!AC923</f>
        <v>0</v>
      </c>
      <c r="AD49" s="33">
        <f>Расчеты!AD923</f>
        <v>0</v>
      </c>
      <c r="AE49" s="33">
        <f>Расчеты!AE923</f>
        <v>0</v>
      </c>
      <c r="AF49" s="33">
        <f>Расчеты!AF923</f>
        <v>0</v>
      </c>
      <c r="AG49" s="33">
        <f>Расчеты!AG923</f>
        <v>0</v>
      </c>
      <c r="AH49" s="33">
        <f>Расчеты!AH923</f>
        <v>0</v>
      </c>
      <c r="AI49" s="33">
        <f>Расчеты!AI923</f>
        <v>0</v>
      </c>
      <c r="AJ49" s="33">
        <f>Расчеты!AJ923</f>
        <v>0</v>
      </c>
      <c r="AK49" s="33">
        <f>Расчеты!AK923</f>
        <v>0</v>
      </c>
      <c r="AL49" s="33">
        <f>Расчеты!AL923</f>
        <v>0</v>
      </c>
      <c r="AM49" s="33">
        <f>Расчеты!AM923</f>
        <v>0</v>
      </c>
      <c r="AN49" s="33">
        <f>Расчеты!AN923</f>
        <v>0</v>
      </c>
    </row>
    <row r="50" spans="1:167" x14ac:dyDescent="0.3">
      <c r="C50" s="1" t="s">
        <v>138</v>
      </c>
      <c r="G50" s="26" t="s">
        <v>335</v>
      </c>
      <c r="L50" s="33">
        <f>Расчеты!L922+Расчеты!L924</f>
        <v>0</v>
      </c>
      <c r="M50" s="33">
        <f>Расчеты!M922+Расчеты!M924</f>
        <v>5.522913211051776</v>
      </c>
      <c r="N50" s="33">
        <f>Расчеты!N922+Расчеты!N924</f>
        <v>67.488936715200012</v>
      </c>
      <c r="O50" s="33">
        <f>Расчеты!O922+Расчеты!O924</f>
        <v>70.188494183808004</v>
      </c>
      <c r="P50" s="33">
        <f>Расчеты!P922+Расчеты!P924</f>
        <v>72.996033951160328</v>
      </c>
      <c r="Q50" s="33">
        <f>Расчеты!Q922+Расчеты!Q924</f>
        <v>75.915875309206754</v>
      </c>
      <c r="R50" s="33">
        <f>Расчеты!R922+Расчеты!R924</f>
        <v>78.952510321575019</v>
      </c>
      <c r="S50" s="33">
        <f>Расчеты!S922+Расчеты!S924</f>
        <v>82.11061073443804</v>
      </c>
      <c r="T50" s="33">
        <f>Расчеты!T922+Расчеты!T924</f>
        <v>85.39503516381555</v>
      </c>
      <c r="U50" s="33">
        <f>Расчеты!U922+Расчеты!U924</f>
        <v>88.810836570368181</v>
      </c>
      <c r="V50" s="33">
        <f>Расчеты!V922+Расчеты!V924</f>
        <v>92.363270033182914</v>
      </c>
      <c r="W50" s="33">
        <f>Расчеты!W922+Расчеты!W924</f>
        <v>96.057800834510232</v>
      </c>
      <c r="X50" s="33">
        <f>Расчеты!X922+Расчеты!X924</f>
        <v>99.900112867890655</v>
      </c>
      <c r="Y50" s="33">
        <f>Расчеты!Y922+Расчеты!Y924</f>
        <v>103.89611738260626</v>
      </c>
      <c r="Z50" s="33">
        <f>Расчеты!Z922+Расчеты!Z924</f>
        <v>108.05196207791053</v>
      </c>
      <c r="AA50" s="33">
        <f>Расчеты!AA922+Расчеты!AA924</f>
        <v>112.37404056102693</v>
      </c>
      <c r="AB50" s="33">
        <f>Расчеты!AB922+Расчеты!AB924</f>
        <v>116.86900218346804</v>
      </c>
      <c r="AC50" s="33">
        <f>Расчеты!AC922+Расчеты!AC924</f>
        <v>0</v>
      </c>
      <c r="AD50" s="33">
        <f>Расчеты!AD922+Расчеты!AD924</f>
        <v>0</v>
      </c>
      <c r="AE50" s="33">
        <f>Расчеты!AE922+Расчеты!AE924</f>
        <v>0</v>
      </c>
      <c r="AF50" s="33">
        <f>Расчеты!AF922+Расчеты!AF924</f>
        <v>0</v>
      </c>
      <c r="AG50" s="33">
        <f>Расчеты!AG922+Расчеты!AG924</f>
        <v>0</v>
      </c>
      <c r="AH50" s="33">
        <f>Расчеты!AH922+Расчеты!AH924</f>
        <v>0</v>
      </c>
      <c r="AI50" s="33">
        <f>Расчеты!AI922+Расчеты!AI924</f>
        <v>0</v>
      </c>
      <c r="AJ50" s="33">
        <f>Расчеты!AJ922+Расчеты!AJ924</f>
        <v>0</v>
      </c>
      <c r="AK50" s="33">
        <f>Расчеты!AK922+Расчеты!AK924</f>
        <v>0</v>
      </c>
      <c r="AL50" s="33">
        <f>Расчеты!AL922+Расчеты!AL924</f>
        <v>0</v>
      </c>
      <c r="AM50" s="33">
        <f>Расчеты!AM922+Расчеты!AM924</f>
        <v>0</v>
      </c>
      <c r="AN50" s="33">
        <f>Расчеты!AN922+Расчеты!AN924</f>
        <v>0</v>
      </c>
    </row>
    <row r="51" spans="1:167" x14ac:dyDescent="0.3">
      <c r="C51" s="1" t="s">
        <v>396</v>
      </c>
      <c r="G51" s="26" t="s">
        <v>335</v>
      </c>
      <c r="L51" s="33">
        <f>Расчеты!L894</f>
        <v>0</v>
      </c>
      <c r="M51" s="33">
        <f>Расчеты!M894</f>
        <v>0</v>
      </c>
      <c r="N51" s="33">
        <f>Расчеты!N894</f>
        <v>0</v>
      </c>
      <c r="O51" s="33">
        <f>Расчеты!O894</f>
        <v>0</v>
      </c>
      <c r="P51" s="33">
        <f>Расчеты!P894</f>
        <v>0</v>
      </c>
      <c r="Q51" s="33">
        <f>Расчеты!Q894</f>
        <v>0</v>
      </c>
      <c r="R51" s="33">
        <f>Расчеты!R894</f>
        <v>0</v>
      </c>
      <c r="S51" s="33">
        <f>Расчеты!S894</f>
        <v>0</v>
      </c>
      <c r="T51" s="33">
        <f>Расчеты!T894</f>
        <v>0</v>
      </c>
      <c r="U51" s="33">
        <f>Расчеты!U894</f>
        <v>0</v>
      </c>
      <c r="V51" s="33">
        <f>Расчеты!V894</f>
        <v>0</v>
      </c>
      <c r="W51" s="33">
        <f>Расчеты!W894</f>
        <v>0</v>
      </c>
      <c r="X51" s="33">
        <f>Расчеты!X894</f>
        <v>0</v>
      </c>
      <c r="Y51" s="33">
        <f>Расчеты!Y894</f>
        <v>0</v>
      </c>
      <c r="Z51" s="33">
        <f>Расчеты!Z894</f>
        <v>0</v>
      </c>
      <c r="AA51" s="33">
        <f>Расчеты!AA894</f>
        <v>0</v>
      </c>
      <c r="AB51" s="33">
        <f>Расчеты!AB894</f>
        <v>0</v>
      </c>
      <c r="AC51" s="33">
        <f>Расчеты!AC894</f>
        <v>0</v>
      </c>
      <c r="AD51" s="33">
        <f>Расчеты!AD894</f>
        <v>0</v>
      </c>
      <c r="AE51" s="33">
        <f>Расчеты!AE894</f>
        <v>0</v>
      </c>
      <c r="AF51" s="33">
        <f>Расчеты!AF894</f>
        <v>0</v>
      </c>
      <c r="AG51" s="33">
        <f>Расчеты!AG894</f>
        <v>0</v>
      </c>
      <c r="AH51" s="33">
        <f>Расчеты!AH894</f>
        <v>0</v>
      </c>
      <c r="AI51" s="33">
        <f>Расчеты!AI894</f>
        <v>0</v>
      </c>
      <c r="AJ51" s="33">
        <f>Расчеты!AJ894</f>
        <v>0</v>
      </c>
      <c r="AK51" s="33">
        <f>Расчеты!AK894</f>
        <v>0</v>
      </c>
      <c r="AL51" s="33">
        <f>Расчеты!AL894</f>
        <v>0</v>
      </c>
      <c r="AM51" s="33">
        <f>Расчеты!AM894</f>
        <v>0</v>
      </c>
      <c r="AN51" s="33">
        <f>Расчеты!AN894</f>
        <v>0</v>
      </c>
    </row>
    <row r="52" spans="1:167" x14ac:dyDescent="0.3">
      <c r="C52" s="1" t="s">
        <v>92</v>
      </c>
      <c r="G52" s="26" t="s">
        <v>335</v>
      </c>
      <c r="L52" s="33">
        <f t="shared" ref="L52:AN52" si="13">L96</f>
        <v>0</v>
      </c>
      <c r="M52" s="33">
        <f t="shared" si="13"/>
        <v>16.875568144880418</v>
      </c>
      <c r="N52" s="33">
        <f t="shared" si="13"/>
        <v>53.095143091446801</v>
      </c>
      <c r="O52" s="33">
        <f t="shared" si="13"/>
        <v>60.226914532594442</v>
      </c>
      <c r="P52" s="33">
        <f t="shared" si="13"/>
        <v>68.77941264713013</v>
      </c>
      <c r="Q52" s="33">
        <f t="shared" si="13"/>
        <v>85.946063731994201</v>
      </c>
      <c r="R52" s="33">
        <f t="shared" si="13"/>
        <v>100.78259242946557</v>
      </c>
      <c r="S52" s="33">
        <f t="shared" si="13"/>
        <v>122.83095265048097</v>
      </c>
      <c r="T52" s="33">
        <f t="shared" si="13"/>
        <v>151.45270597982267</v>
      </c>
      <c r="U52" s="33">
        <f t="shared" si="13"/>
        <v>184.10427941687368</v>
      </c>
      <c r="V52" s="33">
        <f t="shared" si="13"/>
        <v>248.77686068555238</v>
      </c>
      <c r="W52" s="33">
        <f t="shared" si="13"/>
        <v>390.68415368230001</v>
      </c>
      <c r="X52" s="33">
        <f t="shared" si="13"/>
        <v>537.93816361881068</v>
      </c>
      <c r="Y52" s="33">
        <f t="shared" si="13"/>
        <v>717.23874156595434</v>
      </c>
      <c r="Z52" s="33">
        <f t="shared" si="13"/>
        <v>874.84162528020408</v>
      </c>
      <c r="AA52" s="33">
        <f t="shared" si="13"/>
        <v>1067.6631639071588</v>
      </c>
      <c r="AB52" s="33">
        <f t="shared" si="13"/>
        <v>1266.9243189848398</v>
      </c>
      <c r="AC52" s="33">
        <f t="shared" si="13"/>
        <v>1327.0290270208507</v>
      </c>
      <c r="AD52" s="33">
        <f t="shared" si="13"/>
        <v>1327.0290270208507</v>
      </c>
      <c r="AE52" s="33">
        <f t="shared" si="13"/>
        <v>1327.0290270208507</v>
      </c>
      <c r="AF52" s="33">
        <f t="shared" si="13"/>
        <v>1327.0290270208507</v>
      </c>
      <c r="AG52" s="33">
        <f t="shared" si="13"/>
        <v>1327.0290270208507</v>
      </c>
      <c r="AH52" s="33">
        <f t="shared" si="13"/>
        <v>1327.0290270208507</v>
      </c>
      <c r="AI52" s="33">
        <f t="shared" si="13"/>
        <v>1327.0290270208507</v>
      </c>
      <c r="AJ52" s="33">
        <f t="shared" si="13"/>
        <v>1327.0290270208507</v>
      </c>
      <c r="AK52" s="33">
        <f t="shared" si="13"/>
        <v>1327.0290270208507</v>
      </c>
      <c r="AL52" s="33">
        <f t="shared" si="13"/>
        <v>1327.0290270208507</v>
      </c>
      <c r="AM52" s="33">
        <f t="shared" si="13"/>
        <v>1327.0290270208507</v>
      </c>
      <c r="AN52" s="33">
        <f t="shared" si="13"/>
        <v>1327.0290270208507</v>
      </c>
    </row>
    <row r="53" spans="1:167" x14ac:dyDescent="0.3">
      <c r="C53" s="1" t="s">
        <v>353</v>
      </c>
      <c r="G53" s="26" t="s">
        <v>335</v>
      </c>
      <c r="L53" s="33">
        <f>IF(Расчеты!L91&lt;0,-Расчеты!L91,0)</f>
        <v>0</v>
      </c>
      <c r="M53" s="33">
        <f>IF(Расчеты!M91&lt;0,-Расчеты!M91,0)</f>
        <v>0</v>
      </c>
      <c r="N53" s="33">
        <f>IF(Расчеты!N91&lt;0,-Расчеты!N91,0)</f>
        <v>0</v>
      </c>
      <c r="O53" s="33">
        <f>IF(Расчеты!O91&lt;0,-Расчеты!O91,0)</f>
        <v>0</v>
      </c>
      <c r="P53" s="33">
        <f>IF(Расчеты!P91&lt;0,-Расчеты!P91,0)</f>
        <v>0</v>
      </c>
      <c r="Q53" s="33">
        <f>IF(Расчеты!Q91&lt;0,-Расчеты!Q91,0)</f>
        <v>0</v>
      </c>
      <c r="R53" s="33">
        <f>IF(Расчеты!R91&lt;0,-Расчеты!R91,0)</f>
        <v>0</v>
      </c>
      <c r="S53" s="33">
        <f>IF(Расчеты!S91&lt;0,-Расчеты!S91,0)</f>
        <v>0</v>
      </c>
      <c r="T53" s="33">
        <f>IF(Расчеты!T91&lt;0,-Расчеты!T91,0)</f>
        <v>0</v>
      </c>
      <c r="U53" s="33">
        <f>IF(Расчеты!U91&lt;0,-Расчеты!U91,0)</f>
        <v>0</v>
      </c>
      <c r="V53" s="33">
        <f>IF(Расчеты!V91&lt;0,-Расчеты!V91,0)</f>
        <v>0</v>
      </c>
      <c r="W53" s="33">
        <f>IF(Расчеты!W91&lt;0,-Расчеты!W91,0)</f>
        <v>0</v>
      </c>
      <c r="X53" s="33">
        <f>IF(Расчеты!X91&lt;0,-Расчеты!X91,0)</f>
        <v>0</v>
      </c>
      <c r="Y53" s="33">
        <f>IF(Расчеты!Y91&lt;0,-Расчеты!Y91,0)</f>
        <v>0</v>
      </c>
      <c r="Z53" s="33">
        <f>IF(Расчеты!Z91&lt;0,-Расчеты!Z91,0)</f>
        <v>0</v>
      </c>
      <c r="AA53" s="33">
        <f>IF(Расчеты!AA91&lt;0,-Расчеты!AA91,0)</f>
        <v>0</v>
      </c>
      <c r="AB53" s="33">
        <f>IF(Расчеты!AB91&lt;0,-Расчеты!AB91,0)</f>
        <v>0</v>
      </c>
      <c r="AC53" s="33">
        <f>IF(Расчеты!AC91&lt;0,-Расчеты!AC91,0)</f>
        <v>0</v>
      </c>
      <c r="AD53" s="33">
        <f>IF(Расчеты!AD91&lt;0,-Расчеты!AD91,0)</f>
        <v>0</v>
      </c>
      <c r="AE53" s="33">
        <f>IF(Расчеты!AE91&lt;0,-Расчеты!AE91,0)</f>
        <v>0</v>
      </c>
      <c r="AF53" s="33">
        <f>IF(Расчеты!AF91&lt;0,-Расчеты!AF91,0)</f>
        <v>0</v>
      </c>
      <c r="AG53" s="33">
        <f>IF(Расчеты!AG91&lt;0,-Расчеты!AG91,0)</f>
        <v>0</v>
      </c>
      <c r="AH53" s="33">
        <f>IF(Расчеты!AH91&lt;0,-Расчеты!AH91,0)</f>
        <v>0</v>
      </c>
      <c r="AI53" s="33">
        <f>IF(Расчеты!AI91&lt;0,-Расчеты!AI91,0)</f>
        <v>0</v>
      </c>
      <c r="AJ53" s="33">
        <f>IF(Расчеты!AJ91&lt;0,-Расчеты!AJ91,0)</f>
        <v>0</v>
      </c>
      <c r="AK53" s="33">
        <f>IF(Расчеты!AK91&lt;0,-Расчеты!AK91,0)</f>
        <v>0</v>
      </c>
      <c r="AL53" s="33">
        <f>IF(Расчеты!AL91&lt;0,-Расчеты!AL91,0)</f>
        <v>0</v>
      </c>
      <c r="AM53" s="33">
        <f>IF(Расчеты!AM91&lt;0,-Расчеты!AM91,0)</f>
        <v>0</v>
      </c>
      <c r="AN53" s="33">
        <f>IF(Расчеты!AN91&lt;0,-Расчеты!AN91,0)</f>
        <v>0</v>
      </c>
    </row>
    <row r="54" spans="1:167" x14ac:dyDescent="0.3">
      <c r="C54" s="1" t="s">
        <v>374</v>
      </c>
      <c r="G54" s="26" t="s">
        <v>335</v>
      </c>
      <c r="L54" s="33">
        <f>IF(Расчеты!L876&gt;0,Расчеты!L876,0)</f>
        <v>0</v>
      </c>
      <c r="M54" s="33">
        <f>IF(Расчеты!M876&gt;0,Расчеты!M876,0)</f>
        <v>0</v>
      </c>
      <c r="N54" s="33">
        <f>IF(Расчеты!N876&gt;0,Расчеты!N876,0)</f>
        <v>0</v>
      </c>
      <c r="O54" s="33">
        <f>IF(Расчеты!O876&gt;0,Расчеты!O876,0)</f>
        <v>0</v>
      </c>
      <c r="P54" s="33">
        <f>IF(Расчеты!P876&gt;0,Расчеты!P876,0)</f>
        <v>0</v>
      </c>
      <c r="Q54" s="33">
        <f>IF(Расчеты!Q876&gt;0,Расчеты!Q876,0)</f>
        <v>0.41248201832109554</v>
      </c>
      <c r="R54" s="33">
        <f>IF(Расчеты!R876&gt;0,Расчеты!R876,0)</f>
        <v>0.45990790222892741</v>
      </c>
      <c r="S54" s="33">
        <f>IF(Расчеты!S876&gt;0,Расчеты!S876,0)</f>
        <v>0</v>
      </c>
      <c r="T54" s="33">
        <f>IF(Расчеты!T876&gt;0,Расчеты!T876,0)</f>
        <v>0</v>
      </c>
      <c r="U54" s="33">
        <f>IF(Расчеты!U876&gt;0,Расчеты!U876,0)</f>
        <v>0</v>
      </c>
      <c r="V54" s="33">
        <f>IF(Расчеты!V876&gt;0,Расчеты!V876,0)</f>
        <v>0</v>
      </c>
      <c r="W54" s="33">
        <f>IF(Расчеты!W876&gt;0,Расчеты!W876,0)</f>
        <v>0</v>
      </c>
      <c r="X54" s="33">
        <f>IF(Расчеты!X876&gt;0,Расчеты!X876,0)</f>
        <v>0</v>
      </c>
      <c r="Y54" s="33">
        <f>IF(Расчеты!Y876&gt;0,Расчеты!Y876,0)</f>
        <v>0</v>
      </c>
      <c r="Z54" s="33">
        <f>IF(Расчеты!Z876&gt;0,Расчеты!Z876,0)</f>
        <v>0</v>
      </c>
      <c r="AA54" s="33">
        <f>IF(Расчеты!AA876&gt;0,Расчеты!AA876,0)</f>
        <v>0</v>
      </c>
      <c r="AB54" s="33">
        <f>IF(Расчеты!AB876&gt;0,Расчеты!AB876,0)</f>
        <v>0</v>
      </c>
      <c r="AC54" s="33">
        <f>IF(Расчеты!AC876&gt;0,Расчеты!AC876,0)</f>
        <v>0</v>
      </c>
      <c r="AD54" s="33">
        <f>IF(Расчеты!AD876&gt;0,Расчеты!AD876,0)</f>
        <v>0</v>
      </c>
      <c r="AE54" s="33">
        <f>IF(Расчеты!AE876&gt;0,Расчеты!AE876,0)</f>
        <v>0</v>
      </c>
      <c r="AF54" s="33">
        <f>IF(Расчеты!AF876&gt;0,Расчеты!AF876,0)</f>
        <v>0</v>
      </c>
      <c r="AG54" s="33">
        <f>IF(Расчеты!AG876&gt;0,Расчеты!AG876,0)</f>
        <v>0</v>
      </c>
      <c r="AH54" s="33">
        <f>IF(Расчеты!AH876&gt;0,Расчеты!AH876,0)</f>
        <v>0</v>
      </c>
      <c r="AI54" s="33">
        <f>IF(Расчеты!AI876&gt;0,Расчеты!AI876,0)</f>
        <v>0</v>
      </c>
      <c r="AJ54" s="33">
        <f>IF(Расчеты!AJ876&gt;0,Расчеты!AJ876,0)</f>
        <v>0</v>
      </c>
      <c r="AK54" s="33">
        <f>IF(Расчеты!AK876&gt;0,Расчеты!AK876,0)</f>
        <v>0</v>
      </c>
      <c r="AL54" s="33">
        <f>IF(Расчеты!AL876&gt;0,Расчеты!AL876,0)</f>
        <v>0</v>
      </c>
      <c r="AM54" s="33">
        <f>IF(Расчеты!AM876&gt;0,Расчеты!AM876,0)</f>
        <v>0</v>
      </c>
      <c r="AN54" s="33">
        <f>IF(Расчеты!AN876&gt;0,Расчеты!AN876,0)</f>
        <v>0</v>
      </c>
    </row>
    <row r="55" spans="1:167" x14ac:dyDescent="0.3">
      <c r="G55" s="26"/>
    </row>
    <row r="56" spans="1:167" s="2" customFormat="1" x14ac:dyDescent="0.3">
      <c r="A56" s="18"/>
      <c r="B56" s="2" t="s">
        <v>83</v>
      </c>
      <c r="G56" s="30" t="s">
        <v>335</v>
      </c>
      <c r="L56" s="34">
        <f t="shared" ref="L56:AN56" si="14">L44+L48</f>
        <v>0</v>
      </c>
      <c r="M56" s="34">
        <f t="shared" si="14"/>
        <v>198.46402454830508</v>
      </c>
      <c r="N56" s="34">
        <f t="shared" si="14"/>
        <v>365.83423538839713</v>
      </c>
      <c r="O56" s="34">
        <f t="shared" si="14"/>
        <v>332.45612263007024</v>
      </c>
      <c r="P56" s="34">
        <f t="shared" si="14"/>
        <v>300.63598909367454</v>
      </c>
      <c r="Q56" s="34">
        <f t="shared" si="14"/>
        <v>277.98523319641299</v>
      </c>
      <c r="R56" s="34">
        <f t="shared" si="14"/>
        <v>252.7877511338497</v>
      </c>
      <c r="S56" s="34">
        <f t="shared" si="14"/>
        <v>268.57217036318735</v>
      </c>
      <c r="T56" s="34">
        <f t="shared" si="14"/>
        <v>293.22976603580878</v>
      </c>
      <c r="U56" s="34">
        <f t="shared" si="14"/>
        <v>322.08417052768635</v>
      </c>
      <c r="V56" s="34">
        <f t="shared" si="14"/>
        <v>392.41539819226693</v>
      </c>
      <c r="W56" s="34">
        <f t="shared" si="14"/>
        <v>523.38590447964123</v>
      </c>
      <c r="X56" s="34">
        <f t="shared" si="14"/>
        <v>688.89342685521626</v>
      </c>
      <c r="Y56" s="34">
        <f t="shared" si="14"/>
        <v>863.0610139055857</v>
      </c>
      <c r="Z56" s="34">
        <f t="shared" si="14"/>
        <v>1042.9313374419544</v>
      </c>
      <c r="AA56" s="34">
        <f t="shared" si="14"/>
        <v>1223.6295424535599</v>
      </c>
      <c r="AB56" s="34">
        <f t="shared" si="14"/>
        <v>1410.9804647231972</v>
      </c>
      <c r="AC56" s="34">
        <f t="shared" si="14"/>
        <v>1327.0290270208507</v>
      </c>
      <c r="AD56" s="34">
        <f t="shared" si="14"/>
        <v>1327.0290270208507</v>
      </c>
      <c r="AE56" s="34">
        <f t="shared" si="14"/>
        <v>1327.0290270208507</v>
      </c>
      <c r="AF56" s="34">
        <f t="shared" si="14"/>
        <v>1327.0290270208507</v>
      </c>
      <c r="AG56" s="34">
        <f t="shared" si="14"/>
        <v>1327.0290270208507</v>
      </c>
      <c r="AH56" s="34">
        <f t="shared" si="14"/>
        <v>1327.0290270208507</v>
      </c>
      <c r="AI56" s="34">
        <f t="shared" si="14"/>
        <v>1327.0290270208507</v>
      </c>
      <c r="AJ56" s="34">
        <f t="shared" si="14"/>
        <v>1327.0290270208507</v>
      </c>
      <c r="AK56" s="34">
        <f t="shared" si="14"/>
        <v>1327.0290270208507</v>
      </c>
      <c r="AL56" s="34">
        <f t="shared" si="14"/>
        <v>1327.0290270208507</v>
      </c>
      <c r="AM56" s="34">
        <f t="shared" si="14"/>
        <v>1327.0290270208507</v>
      </c>
      <c r="AN56" s="34">
        <f t="shared" si="14"/>
        <v>1327.0290270208507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</row>
    <row r="57" spans="1:167" x14ac:dyDescent="0.3">
      <c r="G57" s="26"/>
      <c r="N57" s="8"/>
    </row>
    <row r="58" spans="1:167" x14ac:dyDescent="0.3">
      <c r="B58" s="2" t="s">
        <v>88</v>
      </c>
      <c r="G58" s="30" t="s">
        <v>335</v>
      </c>
      <c r="L58" s="34">
        <f>L59+L60</f>
        <v>0</v>
      </c>
      <c r="M58" s="34">
        <f t="shared" ref="M58:AN58" si="15">M59+M60</f>
        <v>54.293918806779651</v>
      </c>
      <c r="N58" s="34">
        <f t="shared" si="15"/>
        <v>107.26464121184111</v>
      </c>
      <c r="O58" s="34">
        <f t="shared" si="15"/>
        <v>87.013932930995978</v>
      </c>
      <c r="P58" s="34">
        <f>P59+P60</f>
        <v>75.513034208005209</v>
      </c>
      <c r="Q58" s="34">
        <f t="shared" si="15"/>
        <v>72.993602081353629</v>
      </c>
      <c r="R58" s="34">
        <f t="shared" si="15"/>
        <v>67.553720879395939</v>
      </c>
      <c r="S58" s="34">
        <f t="shared" si="15"/>
        <v>98.885006538709277</v>
      </c>
      <c r="T58" s="34">
        <f>T59+T60</f>
        <v>136.73239770926548</v>
      </c>
      <c r="U58" s="34">
        <f t="shared" si="15"/>
        <v>180.03033353730257</v>
      </c>
      <c r="V58" s="34">
        <f t="shared" si="15"/>
        <v>271.97747044299297</v>
      </c>
      <c r="W58" s="34">
        <f t="shared" si="15"/>
        <v>410.57402096714918</v>
      </c>
      <c r="X58" s="34">
        <f t="shared" si="15"/>
        <v>573.21787233576379</v>
      </c>
      <c r="Y58" s="34">
        <f t="shared" si="15"/>
        <v>742.24912049951183</v>
      </c>
      <c r="Z58" s="34">
        <f t="shared" si="15"/>
        <v>919.94282638559605</v>
      </c>
      <c r="AA58" s="34">
        <f t="shared" si="15"/>
        <v>1094.287134684331</v>
      </c>
      <c r="AB58" s="34">
        <f t="shared" si="15"/>
        <v>1277.0760231089273</v>
      </c>
      <c r="AC58" s="34">
        <f t="shared" si="15"/>
        <v>1312.0940481715468</v>
      </c>
      <c r="AD58" s="34">
        <f t="shared" si="15"/>
        <v>1312.0940481715468</v>
      </c>
      <c r="AE58" s="34">
        <f t="shared" si="15"/>
        <v>1312.0940481715468</v>
      </c>
      <c r="AF58" s="34">
        <f t="shared" si="15"/>
        <v>1312.0940481715468</v>
      </c>
      <c r="AG58" s="34">
        <f t="shared" si="15"/>
        <v>1312.0940481715468</v>
      </c>
      <c r="AH58" s="34">
        <f t="shared" si="15"/>
        <v>1312.0940481715468</v>
      </c>
      <c r="AI58" s="34">
        <f t="shared" si="15"/>
        <v>1312.0940481715468</v>
      </c>
      <c r="AJ58" s="34">
        <f t="shared" si="15"/>
        <v>1312.0940481715468</v>
      </c>
      <c r="AK58" s="34">
        <f t="shared" si="15"/>
        <v>1312.0940481715468</v>
      </c>
      <c r="AL58" s="34">
        <f t="shared" si="15"/>
        <v>1312.0940481715468</v>
      </c>
      <c r="AM58" s="34">
        <f t="shared" si="15"/>
        <v>1312.0940481715468</v>
      </c>
      <c r="AN58" s="34">
        <f t="shared" si="15"/>
        <v>1312.0940481715468</v>
      </c>
    </row>
    <row r="59" spans="1:167" x14ac:dyDescent="0.3">
      <c r="C59" s="1" t="s">
        <v>86</v>
      </c>
      <c r="G59" s="26" t="s">
        <v>335</v>
      </c>
      <c r="K59" s="89"/>
      <c r="L59" s="33">
        <f t="shared" ref="L59:AN59" si="16">K59+L89</f>
        <v>0</v>
      </c>
      <c r="M59" s="33">
        <f t="shared" si="16"/>
        <v>54.293918806779651</v>
      </c>
      <c r="N59" s="33">
        <f t="shared" si="16"/>
        <v>127.29363627661016</v>
      </c>
      <c r="O59" s="33">
        <f t="shared" si="16"/>
        <v>127.29363627661016</v>
      </c>
      <c r="P59" s="33">
        <f t="shared" si="16"/>
        <v>127.29363627661016</v>
      </c>
      <c r="Q59" s="33">
        <f t="shared" si="16"/>
        <v>127.29363627661016</v>
      </c>
      <c r="R59" s="33">
        <f t="shared" si="16"/>
        <v>127.29363627661016</v>
      </c>
      <c r="S59" s="33">
        <f t="shared" si="16"/>
        <v>127.29363627661016</v>
      </c>
      <c r="T59" s="33">
        <f t="shared" si="16"/>
        <v>127.29363627661016</v>
      </c>
      <c r="U59" s="33">
        <f t="shared" si="16"/>
        <v>127.29363627661016</v>
      </c>
      <c r="V59" s="33">
        <f t="shared" si="16"/>
        <v>127.29363627661016</v>
      </c>
      <c r="W59" s="33">
        <f t="shared" si="16"/>
        <v>127.29363627661016</v>
      </c>
      <c r="X59" s="33">
        <f t="shared" si="16"/>
        <v>127.29363627661016</v>
      </c>
      <c r="Y59" s="33">
        <f t="shared" si="16"/>
        <v>127.29363627661016</v>
      </c>
      <c r="Z59" s="33">
        <f t="shared" si="16"/>
        <v>127.29363627661016</v>
      </c>
      <c r="AA59" s="33">
        <f t="shared" si="16"/>
        <v>127.29363627661016</v>
      </c>
      <c r="AB59" s="33">
        <f t="shared" si="16"/>
        <v>127.29363627661016</v>
      </c>
      <c r="AC59" s="33">
        <f t="shared" si="16"/>
        <v>127.29363627661016</v>
      </c>
      <c r="AD59" s="33">
        <f t="shared" si="16"/>
        <v>127.29363627661016</v>
      </c>
      <c r="AE59" s="33">
        <f t="shared" si="16"/>
        <v>127.29363627661016</v>
      </c>
      <c r="AF59" s="33">
        <f t="shared" si="16"/>
        <v>127.29363627661016</v>
      </c>
      <c r="AG59" s="33">
        <f t="shared" si="16"/>
        <v>127.29363627661016</v>
      </c>
      <c r="AH59" s="33">
        <f t="shared" si="16"/>
        <v>127.29363627661016</v>
      </c>
      <c r="AI59" s="33">
        <f t="shared" si="16"/>
        <v>127.29363627661016</v>
      </c>
      <c r="AJ59" s="33">
        <f t="shared" si="16"/>
        <v>127.29363627661016</v>
      </c>
      <c r="AK59" s="33">
        <f t="shared" si="16"/>
        <v>127.29363627661016</v>
      </c>
      <c r="AL59" s="33">
        <f t="shared" si="16"/>
        <v>127.29363627661016</v>
      </c>
      <c r="AM59" s="33">
        <f t="shared" si="16"/>
        <v>127.29363627661016</v>
      </c>
      <c r="AN59" s="33">
        <f t="shared" si="16"/>
        <v>127.29363627661016</v>
      </c>
    </row>
    <row r="60" spans="1:167" x14ac:dyDescent="0.3">
      <c r="C60" s="1" t="s">
        <v>87</v>
      </c>
      <c r="G60" s="26" t="s">
        <v>335</v>
      </c>
      <c r="K60" s="89"/>
      <c r="L60" s="33">
        <f t="shared" ref="L60:AN60" si="17">L37+K60</f>
        <v>0</v>
      </c>
      <c r="M60" s="33">
        <f t="shared" si="17"/>
        <v>0</v>
      </c>
      <c r="N60" s="33">
        <f t="shared" si="17"/>
        <v>-20.028995064769042</v>
      </c>
      <c r="O60" s="33">
        <f t="shared" si="17"/>
        <v>-40.27970334561418</v>
      </c>
      <c r="P60" s="33">
        <f t="shared" si="17"/>
        <v>-51.780602068604949</v>
      </c>
      <c r="Q60" s="33">
        <f t="shared" si="17"/>
        <v>-54.300034195256529</v>
      </c>
      <c r="R60" s="33">
        <f t="shared" si="17"/>
        <v>-59.739915397214212</v>
      </c>
      <c r="S60" s="33">
        <f t="shared" si="17"/>
        <v>-28.408629737900881</v>
      </c>
      <c r="T60" s="33">
        <f t="shared" si="17"/>
        <v>9.4387614326553191</v>
      </c>
      <c r="U60" s="33">
        <f t="shared" si="17"/>
        <v>52.736697260692402</v>
      </c>
      <c r="V60" s="33">
        <f t="shared" si="17"/>
        <v>144.68383416638278</v>
      </c>
      <c r="W60" s="33">
        <f t="shared" si="17"/>
        <v>283.28038469053899</v>
      </c>
      <c r="X60" s="33">
        <f t="shared" si="17"/>
        <v>445.92423605915366</v>
      </c>
      <c r="Y60" s="33">
        <f t="shared" si="17"/>
        <v>614.95548422290165</v>
      </c>
      <c r="Z60" s="33">
        <f t="shared" si="17"/>
        <v>792.64919010898586</v>
      </c>
      <c r="AA60" s="33">
        <f t="shared" si="17"/>
        <v>966.99349840772084</v>
      </c>
      <c r="AB60" s="33">
        <f t="shared" si="17"/>
        <v>1149.7823868323171</v>
      </c>
      <c r="AC60" s="33">
        <f t="shared" si="17"/>
        <v>1184.8004118949366</v>
      </c>
      <c r="AD60" s="33">
        <f t="shared" si="17"/>
        <v>1184.8004118949366</v>
      </c>
      <c r="AE60" s="33">
        <f t="shared" si="17"/>
        <v>1184.8004118949366</v>
      </c>
      <c r="AF60" s="33">
        <f t="shared" si="17"/>
        <v>1184.8004118949366</v>
      </c>
      <c r="AG60" s="33">
        <f t="shared" si="17"/>
        <v>1184.8004118949366</v>
      </c>
      <c r="AH60" s="33">
        <f t="shared" si="17"/>
        <v>1184.8004118949366</v>
      </c>
      <c r="AI60" s="33">
        <f t="shared" si="17"/>
        <v>1184.8004118949366</v>
      </c>
      <c r="AJ60" s="33">
        <f t="shared" si="17"/>
        <v>1184.8004118949366</v>
      </c>
      <c r="AK60" s="33">
        <f t="shared" si="17"/>
        <v>1184.8004118949366</v>
      </c>
      <c r="AL60" s="33">
        <f t="shared" si="17"/>
        <v>1184.8004118949366</v>
      </c>
      <c r="AM60" s="33">
        <f t="shared" si="17"/>
        <v>1184.8004118949366</v>
      </c>
      <c r="AN60" s="33">
        <f t="shared" si="17"/>
        <v>1184.8004118949366</v>
      </c>
    </row>
    <row r="61" spans="1:167" x14ac:dyDescent="0.3">
      <c r="G61" s="26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167" x14ac:dyDescent="0.3">
      <c r="B62" s="2" t="s">
        <v>89</v>
      </c>
      <c r="G62" s="30" t="s">
        <v>335</v>
      </c>
      <c r="L62" s="34">
        <f>L63</f>
        <v>0</v>
      </c>
      <c r="M62" s="34">
        <f t="shared" ref="M62:AN62" si="18">M63</f>
        <v>84.366939100564963</v>
      </c>
      <c r="N62" s="34">
        <f t="shared" si="18"/>
        <v>173.22031454011298</v>
      </c>
      <c r="O62" s="34">
        <f>O63</f>
        <v>150.07454313220336</v>
      </c>
      <c r="P62" s="34">
        <f t="shared" si="18"/>
        <v>126.92877172429377</v>
      </c>
      <c r="Q62" s="34">
        <f t="shared" si="18"/>
        <v>103.78300031638415</v>
      </c>
      <c r="R62" s="34">
        <f t="shared" si="18"/>
        <v>80.637228908474555</v>
      </c>
      <c r="S62" s="34">
        <f t="shared" si="18"/>
        <v>57.491457500564955</v>
      </c>
      <c r="T62" s="34">
        <f t="shared" si="18"/>
        <v>34.345686092655356</v>
      </c>
      <c r="U62" s="34">
        <f t="shared" si="18"/>
        <v>11.199914684745757</v>
      </c>
      <c r="V62" s="34">
        <f t="shared" si="18"/>
        <v>0</v>
      </c>
      <c r="W62" s="34">
        <f t="shared" si="18"/>
        <v>0</v>
      </c>
      <c r="X62" s="34">
        <f t="shared" si="18"/>
        <v>0</v>
      </c>
      <c r="Y62" s="34">
        <f t="shared" si="18"/>
        <v>0</v>
      </c>
      <c r="Z62" s="34">
        <f t="shared" si="18"/>
        <v>0</v>
      </c>
      <c r="AA62" s="34">
        <f t="shared" si="18"/>
        <v>0</v>
      </c>
      <c r="AB62" s="34">
        <f t="shared" si="18"/>
        <v>0</v>
      </c>
      <c r="AC62" s="34">
        <f t="shared" si="18"/>
        <v>0</v>
      </c>
      <c r="AD62" s="34">
        <f t="shared" si="18"/>
        <v>0</v>
      </c>
      <c r="AE62" s="34">
        <f t="shared" si="18"/>
        <v>0</v>
      </c>
      <c r="AF62" s="34">
        <f t="shared" si="18"/>
        <v>0</v>
      </c>
      <c r="AG62" s="34">
        <f t="shared" si="18"/>
        <v>0</v>
      </c>
      <c r="AH62" s="34">
        <f t="shared" si="18"/>
        <v>0</v>
      </c>
      <c r="AI62" s="34">
        <f t="shared" si="18"/>
        <v>0</v>
      </c>
      <c r="AJ62" s="34">
        <f t="shared" si="18"/>
        <v>0</v>
      </c>
      <c r="AK62" s="34">
        <f t="shared" si="18"/>
        <v>0</v>
      </c>
      <c r="AL62" s="34">
        <f t="shared" si="18"/>
        <v>0</v>
      </c>
      <c r="AM62" s="34">
        <f t="shared" si="18"/>
        <v>0</v>
      </c>
      <c r="AN62" s="34">
        <f t="shared" si="18"/>
        <v>0</v>
      </c>
    </row>
    <row r="63" spans="1:167" x14ac:dyDescent="0.3">
      <c r="C63" s="1" t="s">
        <v>101</v>
      </c>
      <c r="G63" s="26" t="s">
        <v>335</v>
      </c>
      <c r="L63" s="33">
        <f>Расчеты!L745</f>
        <v>0</v>
      </c>
      <c r="M63" s="33">
        <f>Расчеты!M745</f>
        <v>84.366939100564963</v>
      </c>
      <c r="N63" s="33">
        <f>Расчеты!N745</f>
        <v>173.22031454011298</v>
      </c>
      <c r="O63" s="33">
        <f>Расчеты!O745</f>
        <v>150.07454313220336</v>
      </c>
      <c r="P63" s="33">
        <f>Расчеты!P745</f>
        <v>126.92877172429377</v>
      </c>
      <c r="Q63" s="33">
        <f>Расчеты!Q745</f>
        <v>103.78300031638415</v>
      </c>
      <c r="R63" s="33">
        <f>Расчеты!R745</f>
        <v>80.637228908474555</v>
      </c>
      <c r="S63" s="33">
        <f>Расчеты!S745</f>
        <v>57.491457500564955</v>
      </c>
      <c r="T63" s="33">
        <f>Расчеты!T745</f>
        <v>34.345686092655356</v>
      </c>
      <c r="U63" s="33">
        <f>Расчеты!U745</f>
        <v>11.199914684745757</v>
      </c>
      <c r="V63" s="33">
        <f>Расчеты!V745</f>
        <v>0</v>
      </c>
      <c r="W63" s="33">
        <f>Расчеты!W745</f>
        <v>0</v>
      </c>
      <c r="X63" s="33">
        <f>Расчеты!X745</f>
        <v>0</v>
      </c>
      <c r="Y63" s="33">
        <f>Расчеты!Y745</f>
        <v>0</v>
      </c>
      <c r="Z63" s="33">
        <f>Расчеты!Z745</f>
        <v>0</v>
      </c>
      <c r="AA63" s="33">
        <f>Расчеты!AA745</f>
        <v>0</v>
      </c>
      <c r="AB63" s="33">
        <f>Расчеты!AB745</f>
        <v>0</v>
      </c>
      <c r="AC63" s="33">
        <f>Расчеты!AC745</f>
        <v>0</v>
      </c>
      <c r="AD63" s="33">
        <f>Расчеты!AD745</f>
        <v>0</v>
      </c>
      <c r="AE63" s="33">
        <f>Расчеты!AE745</f>
        <v>0</v>
      </c>
      <c r="AF63" s="33">
        <f>Расчеты!AF745</f>
        <v>0</v>
      </c>
      <c r="AG63" s="33">
        <f>Расчеты!AG745</f>
        <v>0</v>
      </c>
      <c r="AH63" s="33">
        <f>Расчеты!AH745</f>
        <v>0</v>
      </c>
      <c r="AI63" s="33">
        <f>Расчеты!AI745</f>
        <v>0</v>
      </c>
      <c r="AJ63" s="33">
        <f>Расчеты!AJ745</f>
        <v>0</v>
      </c>
      <c r="AK63" s="33">
        <f>Расчеты!AK745</f>
        <v>0</v>
      </c>
      <c r="AL63" s="33">
        <f>Расчеты!AL745</f>
        <v>0</v>
      </c>
      <c r="AM63" s="33">
        <f>Расчеты!AM745</f>
        <v>0</v>
      </c>
      <c r="AN63" s="33">
        <f>Расчеты!AN745</f>
        <v>0</v>
      </c>
    </row>
    <row r="64" spans="1:167" x14ac:dyDescent="0.3">
      <c r="G64" s="26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167" x14ac:dyDescent="0.3">
      <c r="B65" s="2" t="s">
        <v>90</v>
      </c>
      <c r="G65" s="30" t="s">
        <v>335</v>
      </c>
      <c r="L65" s="34">
        <f>SUM(L66:L69)</f>
        <v>0</v>
      </c>
      <c r="M65" s="34">
        <f t="shared" ref="M65:AN65" si="19">SUM(M66:M69)</f>
        <v>59.80316664096042</v>
      </c>
      <c r="N65" s="34">
        <f t="shared" si="19"/>
        <v>85.349279636443072</v>
      </c>
      <c r="O65" s="34">
        <f t="shared" si="19"/>
        <v>95.367646566870917</v>
      </c>
      <c r="P65" s="34">
        <f t="shared" si="19"/>
        <v>98.19418316137552</v>
      </c>
      <c r="Q65" s="34">
        <f t="shared" si="19"/>
        <v>101.20863079867519</v>
      </c>
      <c r="R65" s="34">
        <f t="shared" si="19"/>
        <v>104.59680134597915</v>
      </c>
      <c r="S65" s="34">
        <f t="shared" si="19"/>
        <v>112.19570632391302</v>
      </c>
      <c r="T65" s="34">
        <f t="shared" si="19"/>
        <v>122.15168223388793</v>
      </c>
      <c r="U65" s="34">
        <f t="shared" si="19"/>
        <v>130.85392230563798</v>
      </c>
      <c r="V65" s="34">
        <f t="shared" si="19"/>
        <v>120.43792774927395</v>
      </c>
      <c r="W65" s="34">
        <f t="shared" si="19"/>
        <v>112.81188351249202</v>
      </c>
      <c r="X65" s="34">
        <f t="shared" si="19"/>
        <v>115.67555451945232</v>
      </c>
      <c r="Y65" s="34">
        <f t="shared" si="19"/>
        <v>120.81189340607389</v>
      </c>
      <c r="Z65" s="34">
        <f t="shared" si="19"/>
        <v>122.98851105635826</v>
      </c>
      <c r="AA65" s="34">
        <f t="shared" si="19"/>
        <v>129.34240776922869</v>
      </c>
      <c r="AB65" s="34">
        <f t="shared" si="19"/>
        <v>133.90444161426964</v>
      </c>
      <c r="AC65" s="34">
        <f t="shared" si="19"/>
        <v>14.934978849303551</v>
      </c>
      <c r="AD65" s="34">
        <f t="shared" si="19"/>
        <v>14.934978849303551</v>
      </c>
      <c r="AE65" s="34">
        <f t="shared" si="19"/>
        <v>14.934978849303551</v>
      </c>
      <c r="AF65" s="34">
        <f t="shared" si="19"/>
        <v>14.934978849303551</v>
      </c>
      <c r="AG65" s="34">
        <f t="shared" si="19"/>
        <v>14.934978849303551</v>
      </c>
      <c r="AH65" s="34">
        <f t="shared" si="19"/>
        <v>14.934978849303551</v>
      </c>
      <c r="AI65" s="34">
        <f t="shared" si="19"/>
        <v>14.934978849303551</v>
      </c>
      <c r="AJ65" s="34">
        <f t="shared" si="19"/>
        <v>14.934978849303551</v>
      </c>
      <c r="AK65" s="34">
        <f t="shared" si="19"/>
        <v>14.934978849303551</v>
      </c>
      <c r="AL65" s="34">
        <f t="shared" si="19"/>
        <v>14.934978849303551</v>
      </c>
      <c r="AM65" s="34">
        <f t="shared" si="19"/>
        <v>14.934978849303551</v>
      </c>
      <c r="AN65" s="34">
        <f t="shared" si="19"/>
        <v>14.934978849303551</v>
      </c>
    </row>
    <row r="66" spans="1:167" x14ac:dyDescent="0.3">
      <c r="B66" s="2"/>
      <c r="C66" s="1" t="s">
        <v>102</v>
      </c>
      <c r="G66" s="26" t="s">
        <v>335</v>
      </c>
      <c r="L66" s="33">
        <f>Расчеты!L744</f>
        <v>0</v>
      </c>
      <c r="M66" s="33">
        <f>Расчеты!M744</f>
        <v>23.145771407909599</v>
      </c>
      <c r="N66" s="33">
        <f>Расчеты!N744</f>
        <v>23.145771407909599</v>
      </c>
      <c r="O66" s="33">
        <f>Расчеты!O744</f>
        <v>23.145771407909599</v>
      </c>
      <c r="P66" s="33">
        <f>Расчеты!P744</f>
        <v>23.145771407909599</v>
      </c>
      <c r="Q66" s="33">
        <f>Расчеты!Q744</f>
        <v>23.145771407909599</v>
      </c>
      <c r="R66" s="33">
        <f>Расчеты!R744</f>
        <v>23.145771407909599</v>
      </c>
      <c r="S66" s="33">
        <f>Расчеты!S744</f>
        <v>23.145771407909599</v>
      </c>
      <c r="T66" s="33">
        <f>Расчеты!T744</f>
        <v>23.145771407909599</v>
      </c>
      <c r="U66" s="33">
        <f>Расчеты!U744</f>
        <v>23.145771407909599</v>
      </c>
      <c r="V66" s="33">
        <f>Расчеты!V744</f>
        <v>11.19991468474576</v>
      </c>
      <c r="W66" s="33">
        <f>Расчеты!W744</f>
        <v>0</v>
      </c>
      <c r="X66" s="33">
        <f>Расчеты!X744</f>
        <v>0</v>
      </c>
      <c r="Y66" s="33">
        <f>Расчеты!Y744</f>
        <v>0</v>
      </c>
      <c r="Z66" s="33">
        <f>Расчеты!Z744</f>
        <v>0</v>
      </c>
      <c r="AA66" s="33">
        <f>Расчеты!AA744</f>
        <v>0</v>
      </c>
      <c r="AB66" s="33">
        <f>Расчеты!AB744</f>
        <v>0</v>
      </c>
      <c r="AC66" s="33">
        <f>Расчеты!AC744</f>
        <v>0</v>
      </c>
      <c r="AD66" s="33">
        <f>Расчеты!AD744</f>
        <v>0</v>
      </c>
      <c r="AE66" s="33">
        <f>Расчеты!AE744</f>
        <v>0</v>
      </c>
      <c r="AF66" s="33">
        <f>Расчеты!AF744</f>
        <v>0</v>
      </c>
      <c r="AG66" s="33">
        <f>Расчеты!AG744</f>
        <v>0</v>
      </c>
      <c r="AH66" s="33">
        <f>Расчеты!AH744</f>
        <v>0</v>
      </c>
      <c r="AI66" s="33">
        <f>Расчеты!AI744</f>
        <v>0</v>
      </c>
      <c r="AJ66" s="33">
        <f>Расчеты!AJ744</f>
        <v>0</v>
      </c>
      <c r="AK66" s="33">
        <f>Расчеты!AK744</f>
        <v>0</v>
      </c>
      <c r="AL66" s="33">
        <f>Расчеты!AL744</f>
        <v>0</v>
      </c>
      <c r="AM66" s="33">
        <f>Расчеты!AM744</f>
        <v>0</v>
      </c>
      <c r="AN66" s="33">
        <f>Расчеты!AN744</f>
        <v>0</v>
      </c>
    </row>
    <row r="67" spans="1:167" x14ac:dyDescent="0.3">
      <c r="B67" s="2"/>
      <c r="C67" s="1" t="s">
        <v>139</v>
      </c>
      <c r="G67" s="26" t="s">
        <v>335</v>
      </c>
      <c r="L67" s="33">
        <f>Расчеты!L925+Расчеты!L927</f>
        <v>0</v>
      </c>
      <c r="M67" s="33">
        <f>Расчеты!M925+Расчеты!M927</f>
        <v>0</v>
      </c>
      <c r="N67" s="33">
        <f>Расчеты!N925+Расчеты!N927</f>
        <v>62.203508228533479</v>
      </c>
      <c r="O67" s="33">
        <f>Расчеты!O925+Расчеты!O927</f>
        <v>72.221875158961325</v>
      </c>
      <c r="P67" s="33">
        <f>Расчеты!P925+Расчеты!P927</f>
        <v>75.048411753465928</v>
      </c>
      <c r="Q67" s="33">
        <f>Расчеты!Q925+Расчеты!Q927</f>
        <v>78.062859390765581</v>
      </c>
      <c r="R67" s="33">
        <f>Расчеты!R925+Расчеты!R927</f>
        <v>81.451029938069539</v>
      </c>
      <c r="S67" s="33">
        <f>Расчеты!S925+Расчеты!S927</f>
        <v>84.506185185259227</v>
      </c>
      <c r="T67" s="33">
        <f>Расчеты!T925+Расчеты!T927</f>
        <v>88.270648332272515</v>
      </c>
      <c r="U67" s="33">
        <f>Расчеты!U925+Расчеты!U927</f>
        <v>91.97786931775137</v>
      </c>
      <c r="V67" s="33">
        <f>Расчеты!V925+Расчеты!V927</f>
        <v>93.740503015480002</v>
      </c>
      <c r="W67" s="33">
        <f>Расчеты!W925+Расчеты!W927</f>
        <v>97.547144994372644</v>
      </c>
      <c r="X67" s="33">
        <f>Расчеты!X925+Расчеты!X927</f>
        <v>100.57084642884651</v>
      </c>
      <c r="Y67" s="33">
        <f>Расчеты!Y925+Расчеты!Y927</f>
        <v>105.85266752229859</v>
      </c>
      <c r="Z67" s="33">
        <f>Расчеты!Z925+Расчеты!Z927</f>
        <v>108.05353220705472</v>
      </c>
      <c r="AA67" s="33">
        <f>Расчеты!AA925+Расчеты!AA927</f>
        <v>114.40742891992514</v>
      </c>
      <c r="AB67" s="33">
        <f>Расчеты!AB925+Расчеты!AB927</f>
        <v>118.9694627649661</v>
      </c>
      <c r="AC67" s="33">
        <f>Расчеты!AC925+Расчеты!AC927</f>
        <v>0</v>
      </c>
      <c r="AD67" s="33">
        <f>Расчеты!AD925+Расчеты!AD927</f>
        <v>0</v>
      </c>
      <c r="AE67" s="33">
        <f>Расчеты!AE925+Расчеты!AE927</f>
        <v>0</v>
      </c>
      <c r="AF67" s="33">
        <f>Расчеты!AF925+Расчеты!AF927</f>
        <v>0</v>
      </c>
      <c r="AG67" s="33">
        <f>Расчеты!AG925+Расчеты!AG927</f>
        <v>0</v>
      </c>
      <c r="AH67" s="33">
        <f>Расчеты!AH925+Расчеты!AH927</f>
        <v>0</v>
      </c>
      <c r="AI67" s="33">
        <f>Расчеты!AI925+Расчеты!AI927</f>
        <v>0</v>
      </c>
      <c r="AJ67" s="33">
        <f>Расчеты!AJ925+Расчеты!AJ927</f>
        <v>0</v>
      </c>
      <c r="AK67" s="33">
        <f>Расчеты!AK925+Расчеты!AK927</f>
        <v>0</v>
      </c>
      <c r="AL67" s="33">
        <f>Расчеты!AL925+Расчеты!AL927</f>
        <v>0</v>
      </c>
      <c r="AM67" s="33">
        <f>Расчеты!AM925+Расчеты!AM927</f>
        <v>0</v>
      </c>
      <c r="AN67" s="33">
        <f>Расчеты!AN925+Расчеты!AN927</f>
        <v>0</v>
      </c>
    </row>
    <row r="68" spans="1:167" x14ac:dyDescent="0.3">
      <c r="B68" s="2"/>
      <c r="C68" s="1" t="s">
        <v>352</v>
      </c>
      <c r="G68" s="26" t="s">
        <v>335</v>
      </c>
      <c r="L68" s="33">
        <f>IF(Расчеты!L91&gt;0,Расчеты!L91,0)</f>
        <v>0</v>
      </c>
      <c r="M68" s="33">
        <f>IF(Расчеты!M91&gt;0,Расчеты!M91,0)</f>
        <v>36.657395233050821</v>
      </c>
      <c r="N68" s="33">
        <f>IF(Расчеты!N91&gt;0,Расчеты!N91,0)</f>
        <v>0</v>
      </c>
      <c r="O68" s="33">
        <f>IF(Расчеты!O91&gt;0,Расчеты!O91,0)</f>
        <v>0</v>
      </c>
      <c r="P68" s="33">
        <f>IF(Расчеты!P91&gt;0,Расчеты!P91,0)</f>
        <v>0</v>
      </c>
      <c r="Q68" s="33">
        <f>IF(Расчеты!Q91&gt;0,Расчеты!Q91,0)</f>
        <v>0</v>
      </c>
      <c r="R68" s="33">
        <f>IF(Расчеты!R91&gt;0,Расчеты!R91,0)</f>
        <v>0</v>
      </c>
      <c r="S68" s="33">
        <f>IF(Расчеты!S91&gt;0,Расчеты!S91,0)</f>
        <v>0</v>
      </c>
      <c r="T68" s="33">
        <f>IF(Расчеты!T91&gt;0,Расчеты!T91,0)</f>
        <v>0</v>
      </c>
      <c r="U68" s="33">
        <f>IF(Расчеты!U91&gt;0,Расчеты!U91,0)</f>
        <v>0</v>
      </c>
      <c r="V68" s="33">
        <f>IF(Расчеты!V91&gt;0,Расчеты!V91,0)</f>
        <v>0</v>
      </c>
      <c r="W68" s="33">
        <f>IF(Расчеты!W91&gt;0,Расчеты!W91,0)</f>
        <v>0</v>
      </c>
      <c r="X68" s="33">
        <f>IF(Расчеты!X91&gt;0,Расчеты!X91,0)</f>
        <v>0</v>
      </c>
      <c r="Y68" s="33">
        <f>IF(Расчеты!Y91&gt;0,Расчеты!Y91,0)</f>
        <v>0</v>
      </c>
      <c r="Z68" s="33">
        <f>IF(Расчеты!Z91&gt;0,Расчеты!Z91,0)</f>
        <v>0</v>
      </c>
      <c r="AA68" s="33">
        <f>IF(Расчеты!AA91&gt;0,Расчеты!AA91,0)</f>
        <v>0</v>
      </c>
      <c r="AB68" s="33">
        <f>IF(Расчеты!AB91&gt;0,Расчеты!AB91,0)</f>
        <v>0</v>
      </c>
      <c r="AC68" s="33">
        <f>IF(Расчеты!AC91&gt;0,Расчеты!AC91,0)</f>
        <v>0</v>
      </c>
      <c r="AD68" s="33">
        <f>IF(Расчеты!AD91&gt;0,Расчеты!AD91,0)</f>
        <v>0</v>
      </c>
      <c r="AE68" s="33">
        <f>IF(Расчеты!AE91&gt;0,Расчеты!AE91,0)</f>
        <v>0</v>
      </c>
      <c r="AF68" s="33">
        <f>IF(Расчеты!AF91&gt;0,Расчеты!AF91,0)</f>
        <v>0</v>
      </c>
      <c r="AG68" s="33">
        <f>IF(Расчеты!AG91&gt;0,Расчеты!AG91,0)</f>
        <v>0</v>
      </c>
      <c r="AH68" s="33">
        <f>IF(Расчеты!AH91&gt;0,Расчеты!AH91,0)</f>
        <v>0</v>
      </c>
      <c r="AI68" s="33">
        <f>IF(Расчеты!AI91&gt;0,Расчеты!AI91,0)</f>
        <v>0</v>
      </c>
      <c r="AJ68" s="33">
        <f>IF(Расчеты!AJ91&gt;0,Расчеты!AJ91,0)</f>
        <v>0</v>
      </c>
      <c r="AK68" s="33">
        <f>IF(Расчеты!AK91&gt;0,Расчеты!AK91,0)</f>
        <v>0</v>
      </c>
      <c r="AL68" s="33">
        <f>IF(Расчеты!AL91&gt;0,Расчеты!AL91,0)</f>
        <v>0</v>
      </c>
      <c r="AM68" s="33">
        <f>IF(Расчеты!AM91&gt;0,Расчеты!AM91,0)</f>
        <v>0</v>
      </c>
      <c r="AN68" s="33">
        <f>IF(Расчеты!AN91&gt;0,Расчеты!AN91,0)</f>
        <v>0</v>
      </c>
    </row>
    <row r="69" spans="1:167" s="163" customFormat="1" x14ac:dyDescent="0.3">
      <c r="A69" s="161"/>
      <c r="B69" s="162"/>
      <c r="C69" s="163" t="s">
        <v>375</v>
      </c>
      <c r="G69" s="164" t="s">
        <v>335</v>
      </c>
      <c r="L69" s="165">
        <f>IF(Расчеты!L876&lt;0,-Расчеты!L876,0)</f>
        <v>0</v>
      </c>
      <c r="M69" s="165">
        <f>IF(Расчеты!M876&lt;0,-Расчеты!M876,0)</f>
        <v>0</v>
      </c>
      <c r="N69" s="165">
        <f>IF(Расчеты!N876&lt;0,-Расчеты!N876,0)</f>
        <v>0</v>
      </c>
      <c r="O69" s="165">
        <f>IF(Расчеты!O876&lt;0,-Расчеты!O876,0)</f>
        <v>0</v>
      </c>
      <c r="P69" s="165">
        <f>IF(Расчеты!P876&lt;0,-Расчеты!P876,0)</f>
        <v>0</v>
      </c>
      <c r="Q69" s="165">
        <f>IF(Расчеты!Q876&lt;0,-Расчеты!Q876,0)</f>
        <v>0</v>
      </c>
      <c r="R69" s="165">
        <f>IF(Расчеты!R876&lt;0,-Расчеты!R876,0)</f>
        <v>0</v>
      </c>
      <c r="S69" s="165">
        <f>IF(Расчеты!S876&lt;0,-Расчеты!S876,0)</f>
        <v>4.5437497307441976</v>
      </c>
      <c r="T69" s="165">
        <f>IF(Расчеты!T876&lt;0,-Расчеты!T876,0)</f>
        <v>10.735262493705825</v>
      </c>
      <c r="U69" s="165">
        <f>IF(Расчеты!U876&lt;0,-Расчеты!U876,0)</f>
        <v>15.730281579976996</v>
      </c>
      <c r="V69" s="165">
        <f>IF(Расчеты!V876&lt;0,-Расчеты!V876,0)</f>
        <v>15.497510049048184</v>
      </c>
      <c r="W69" s="165">
        <f>IF(Расчеты!W876&lt;0,-Расчеты!W876,0)</f>
        <v>15.264738518119369</v>
      </c>
      <c r="X69" s="165">
        <f>IF(Расчеты!X876&lt;0,-Расчеты!X876,0)</f>
        <v>15.104708090605808</v>
      </c>
      <c r="Y69" s="165">
        <f>IF(Расчеты!Y876&lt;0,-Расчеты!Y876,0)</f>
        <v>14.9592258837753</v>
      </c>
      <c r="Z69" s="165">
        <f>IF(Расчеты!Z876&lt;0,-Расчеты!Z876,0)</f>
        <v>14.934978849303551</v>
      </c>
      <c r="AA69" s="165">
        <f>IF(Расчеты!AA876&lt;0,-Расчеты!AA876,0)</f>
        <v>14.934978849303551</v>
      </c>
      <c r="AB69" s="165">
        <f>IF(Расчеты!AB876&lt;0,-Расчеты!AB876,0)</f>
        <v>14.934978849303551</v>
      </c>
      <c r="AC69" s="165">
        <f>IF(Расчеты!AC876&lt;0,-Расчеты!AC876,0)</f>
        <v>14.934978849303551</v>
      </c>
      <c r="AD69" s="165">
        <f>IF(Расчеты!AD876&lt;0,-Расчеты!AD876,0)</f>
        <v>14.934978849303551</v>
      </c>
      <c r="AE69" s="165">
        <f>IF(Расчеты!AE876&lt;0,-Расчеты!AE876,0)</f>
        <v>14.934978849303551</v>
      </c>
      <c r="AF69" s="165">
        <f>IF(Расчеты!AF876&lt;0,-Расчеты!AF876,0)</f>
        <v>14.934978849303551</v>
      </c>
      <c r="AG69" s="165">
        <f>IF(Расчеты!AG876&lt;0,-Расчеты!AG876,0)</f>
        <v>14.934978849303551</v>
      </c>
      <c r="AH69" s="165">
        <f>IF(Расчеты!AH876&lt;0,-Расчеты!AH876,0)</f>
        <v>14.934978849303551</v>
      </c>
      <c r="AI69" s="165">
        <f>IF(Расчеты!AI876&lt;0,-Расчеты!AI876,0)</f>
        <v>14.934978849303551</v>
      </c>
      <c r="AJ69" s="165">
        <f>IF(Расчеты!AJ876&lt;0,-Расчеты!AJ876,0)</f>
        <v>14.934978849303551</v>
      </c>
      <c r="AK69" s="165">
        <f>IF(Расчеты!AK876&lt;0,-Расчеты!AK876,0)</f>
        <v>14.934978849303551</v>
      </c>
      <c r="AL69" s="165">
        <f>IF(Расчеты!AL876&lt;0,-Расчеты!AL876,0)</f>
        <v>14.934978849303551</v>
      </c>
      <c r="AM69" s="165">
        <f>IF(Расчеты!AM876&lt;0,-Расчеты!AM876,0)</f>
        <v>14.934978849303551</v>
      </c>
      <c r="AN69" s="165">
        <f>IF(Расчеты!AN876&lt;0,-Расчеты!AN876,0)</f>
        <v>14.934978849303551</v>
      </c>
    </row>
    <row r="70" spans="1:167" s="2" customFormat="1" x14ac:dyDescent="0.3">
      <c r="A70" s="18"/>
      <c r="D70" s="1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</row>
    <row r="71" spans="1:167" x14ac:dyDescent="0.3">
      <c r="B71" s="2" t="s">
        <v>91</v>
      </c>
      <c r="G71" s="30" t="s">
        <v>335</v>
      </c>
      <c r="L71" s="34">
        <f t="shared" ref="L71:AN71" si="20">L58+L62+L65</f>
        <v>0</v>
      </c>
      <c r="M71" s="34">
        <f t="shared" si="20"/>
        <v>198.46402454830505</v>
      </c>
      <c r="N71" s="34">
        <f t="shared" si="20"/>
        <v>365.83423538839713</v>
      </c>
      <c r="O71" s="34">
        <f t="shared" si="20"/>
        <v>332.45612263007024</v>
      </c>
      <c r="P71" s="34">
        <f t="shared" si="20"/>
        <v>300.63598909367448</v>
      </c>
      <c r="Q71" s="34">
        <f t="shared" si="20"/>
        <v>277.98523319641299</v>
      </c>
      <c r="R71" s="34">
        <f t="shared" si="20"/>
        <v>252.78775113384964</v>
      </c>
      <c r="S71" s="34">
        <f t="shared" si="20"/>
        <v>268.57217036318724</v>
      </c>
      <c r="T71" s="34">
        <f t="shared" si="20"/>
        <v>293.22976603580878</v>
      </c>
      <c r="U71" s="34">
        <f t="shared" si="20"/>
        <v>322.0841705276863</v>
      </c>
      <c r="V71" s="34">
        <f t="shared" si="20"/>
        <v>392.41539819226693</v>
      </c>
      <c r="W71" s="34">
        <f t="shared" si="20"/>
        <v>523.38590447964123</v>
      </c>
      <c r="X71" s="34">
        <f t="shared" si="20"/>
        <v>688.89342685521615</v>
      </c>
      <c r="Y71" s="34">
        <f t="shared" si="20"/>
        <v>863.0610139055857</v>
      </c>
      <c r="Z71" s="34">
        <f t="shared" si="20"/>
        <v>1042.9313374419544</v>
      </c>
      <c r="AA71" s="34">
        <f t="shared" si="20"/>
        <v>1223.6295424535597</v>
      </c>
      <c r="AB71" s="34">
        <f t="shared" si="20"/>
        <v>1410.980464723197</v>
      </c>
      <c r="AC71" s="34">
        <f t="shared" si="20"/>
        <v>1327.0290270208504</v>
      </c>
      <c r="AD71" s="34">
        <f t="shared" si="20"/>
        <v>1327.0290270208504</v>
      </c>
      <c r="AE71" s="34">
        <f t="shared" si="20"/>
        <v>1327.0290270208504</v>
      </c>
      <c r="AF71" s="34">
        <f t="shared" si="20"/>
        <v>1327.0290270208504</v>
      </c>
      <c r="AG71" s="34">
        <f t="shared" si="20"/>
        <v>1327.0290270208504</v>
      </c>
      <c r="AH71" s="34">
        <f t="shared" si="20"/>
        <v>1327.0290270208504</v>
      </c>
      <c r="AI71" s="34">
        <f t="shared" si="20"/>
        <v>1327.0290270208504</v>
      </c>
      <c r="AJ71" s="34">
        <f t="shared" si="20"/>
        <v>1327.0290270208504</v>
      </c>
      <c r="AK71" s="34">
        <f t="shared" si="20"/>
        <v>1327.0290270208504</v>
      </c>
      <c r="AL71" s="34">
        <f t="shared" si="20"/>
        <v>1327.0290270208504</v>
      </c>
      <c r="AM71" s="34">
        <f t="shared" si="20"/>
        <v>1327.0290270208504</v>
      </c>
      <c r="AN71" s="34">
        <f t="shared" si="20"/>
        <v>1327.0290270208504</v>
      </c>
    </row>
    <row r="72" spans="1:167" x14ac:dyDescent="0.3">
      <c r="B72" s="2"/>
    </row>
    <row r="73" spans="1:167" x14ac:dyDescent="0.3">
      <c r="B73" s="2" t="s">
        <v>25</v>
      </c>
      <c r="G73" s="18" t="s">
        <v>11</v>
      </c>
      <c r="L73" s="22">
        <f t="shared" ref="L73:AN73" si="21">L56-L71</f>
        <v>0</v>
      </c>
      <c r="M73" s="22">
        <f t="shared" si="21"/>
        <v>0</v>
      </c>
      <c r="N73" s="22">
        <f t="shared" si="21"/>
        <v>0</v>
      </c>
      <c r="O73" s="22">
        <f t="shared" si="21"/>
        <v>0</v>
      </c>
      <c r="P73" s="22">
        <f t="shared" si="21"/>
        <v>0</v>
      </c>
      <c r="Q73" s="22">
        <f t="shared" si="21"/>
        <v>0</v>
      </c>
      <c r="R73" s="22">
        <f t="shared" si="21"/>
        <v>0</v>
      </c>
      <c r="S73" s="22">
        <f t="shared" si="21"/>
        <v>0</v>
      </c>
      <c r="T73" s="22">
        <f t="shared" si="21"/>
        <v>0</v>
      </c>
      <c r="U73" s="22">
        <f t="shared" si="21"/>
        <v>0</v>
      </c>
      <c r="V73" s="22">
        <f t="shared" si="21"/>
        <v>0</v>
      </c>
      <c r="W73" s="22">
        <f t="shared" si="21"/>
        <v>0</v>
      </c>
      <c r="X73" s="22">
        <f t="shared" si="21"/>
        <v>0</v>
      </c>
      <c r="Y73" s="22">
        <f t="shared" si="21"/>
        <v>0</v>
      </c>
      <c r="Z73" s="22">
        <f t="shared" si="21"/>
        <v>0</v>
      </c>
      <c r="AA73" s="22">
        <f t="shared" si="21"/>
        <v>0</v>
      </c>
      <c r="AB73" s="22">
        <f t="shared" si="21"/>
        <v>0</v>
      </c>
      <c r="AC73" s="22">
        <f t="shared" si="21"/>
        <v>0</v>
      </c>
      <c r="AD73" s="22">
        <f t="shared" si="21"/>
        <v>0</v>
      </c>
      <c r="AE73" s="22">
        <f t="shared" si="21"/>
        <v>0</v>
      </c>
      <c r="AF73" s="22">
        <f t="shared" si="21"/>
        <v>0</v>
      </c>
      <c r="AG73" s="22">
        <f t="shared" si="21"/>
        <v>0</v>
      </c>
      <c r="AH73" s="22">
        <f t="shared" si="21"/>
        <v>0</v>
      </c>
      <c r="AI73" s="22">
        <f t="shared" si="21"/>
        <v>0</v>
      </c>
      <c r="AJ73" s="22">
        <f t="shared" si="21"/>
        <v>0</v>
      </c>
      <c r="AK73" s="22">
        <f t="shared" si="21"/>
        <v>0</v>
      </c>
      <c r="AL73" s="22">
        <f t="shared" si="21"/>
        <v>0</v>
      </c>
      <c r="AM73" s="22">
        <f t="shared" si="21"/>
        <v>0</v>
      </c>
      <c r="AN73" s="22">
        <f t="shared" si="21"/>
        <v>0</v>
      </c>
    </row>
    <row r="74" spans="1:167" ht="15.75" thickBot="1" x14ac:dyDescent="0.35"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</row>
    <row r="75" spans="1:167" s="51" customFormat="1" ht="18" customHeight="1" thickTop="1" thickBot="1" x14ac:dyDescent="0.35">
      <c r="A75" s="49"/>
      <c r="B75" s="50" t="s">
        <v>140</v>
      </c>
      <c r="G75" s="52"/>
      <c r="L75" s="53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</row>
    <row r="76" spans="1:167" ht="15.75" thickTop="1" x14ac:dyDescent="0.3">
      <c r="N76" s="38"/>
    </row>
    <row r="77" spans="1:167" x14ac:dyDescent="0.3">
      <c r="B77" s="1" t="s">
        <v>26</v>
      </c>
      <c r="G77" s="26" t="s">
        <v>335</v>
      </c>
      <c r="L77" s="33">
        <f t="shared" ref="L77:AN77" si="22">L37</f>
        <v>0</v>
      </c>
      <c r="M77" s="33">
        <f t="shared" si="22"/>
        <v>0</v>
      </c>
      <c r="N77" s="33">
        <f>N37</f>
        <v>-20.028995064769042</v>
      </c>
      <c r="O77" s="33">
        <f t="shared" si="22"/>
        <v>-20.250708280845139</v>
      </c>
      <c r="P77" s="33">
        <f t="shared" si="22"/>
        <v>-11.500898722990772</v>
      </c>
      <c r="Q77" s="33">
        <f t="shared" si="22"/>
        <v>-2.5194321266515765</v>
      </c>
      <c r="R77" s="33">
        <f t="shared" si="22"/>
        <v>-5.4398812019576805</v>
      </c>
      <c r="S77" s="33">
        <f t="shared" si="22"/>
        <v>31.33128565931333</v>
      </c>
      <c r="T77" s="33">
        <f t="shared" si="22"/>
        <v>37.8473911705562</v>
      </c>
      <c r="U77" s="33">
        <f t="shared" si="22"/>
        <v>43.297935828037083</v>
      </c>
      <c r="V77" s="33">
        <f t="shared" si="22"/>
        <v>91.947136905690385</v>
      </c>
      <c r="W77" s="33">
        <f t="shared" si="22"/>
        <v>138.59655052415621</v>
      </c>
      <c r="X77" s="33">
        <f t="shared" si="22"/>
        <v>162.64385136861466</v>
      </c>
      <c r="Y77" s="33">
        <f t="shared" si="22"/>
        <v>169.03124816374796</v>
      </c>
      <c r="Z77" s="33">
        <f t="shared" si="22"/>
        <v>177.69370588608422</v>
      </c>
      <c r="AA77" s="33">
        <f t="shared" si="22"/>
        <v>174.34430829873503</v>
      </c>
      <c r="AB77" s="33">
        <f t="shared" si="22"/>
        <v>182.78888842459639</v>
      </c>
      <c r="AC77" s="33">
        <f t="shared" si="22"/>
        <v>35.018025062619529</v>
      </c>
      <c r="AD77" s="33">
        <f t="shared" si="22"/>
        <v>0</v>
      </c>
      <c r="AE77" s="33">
        <f t="shared" si="22"/>
        <v>0</v>
      </c>
      <c r="AF77" s="33">
        <f t="shared" si="22"/>
        <v>0</v>
      </c>
      <c r="AG77" s="33">
        <f t="shared" si="22"/>
        <v>0</v>
      </c>
      <c r="AH77" s="33">
        <f t="shared" si="22"/>
        <v>0</v>
      </c>
      <c r="AI77" s="33">
        <f t="shared" si="22"/>
        <v>0</v>
      </c>
      <c r="AJ77" s="33">
        <f t="shared" si="22"/>
        <v>0</v>
      </c>
      <c r="AK77" s="33">
        <f t="shared" si="22"/>
        <v>0</v>
      </c>
      <c r="AL77" s="33">
        <f t="shared" si="22"/>
        <v>0</v>
      </c>
      <c r="AM77" s="33">
        <f t="shared" si="22"/>
        <v>0</v>
      </c>
      <c r="AN77" s="33">
        <f t="shared" si="22"/>
        <v>0</v>
      </c>
    </row>
    <row r="78" spans="1:167" x14ac:dyDescent="0.3">
      <c r="B78" s="1" t="s">
        <v>363</v>
      </c>
      <c r="G78" s="26" t="s">
        <v>335</v>
      </c>
      <c r="L78" s="33">
        <f>L35</f>
        <v>0</v>
      </c>
      <c r="M78" s="33">
        <f t="shared" ref="M78:AN78" si="23">M35</f>
        <v>0</v>
      </c>
      <c r="N78" s="33">
        <f t="shared" si="23"/>
        <v>0</v>
      </c>
      <c r="O78" s="33">
        <f t="shared" si="23"/>
        <v>0</v>
      </c>
      <c r="P78" s="33">
        <f t="shared" si="23"/>
        <v>0</v>
      </c>
      <c r="Q78" s="33">
        <f t="shared" si="23"/>
        <v>0</v>
      </c>
      <c r="R78" s="33">
        <f t="shared" si="23"/>
        <v>0</v>
      </c>
      <c r="S78" s="33">
        <f t="shared" si="23"/>
        <v>10.443761886437777</v>
      </c>
      <c r="T78" s="33">
        <f t="shared" si="23"/>
        <v>12.615797056852067</v>
      </c>
      <c r="U78" s="33">
        <f t="shared" si="23"/>
        <v>14.432645276012362</v>
      </c>
      <c r="V78" s="33">
        <f t="shared" si="23"/>
        <v>30.649045635230127</v>
      </c>
      <c r="W78" s="33">
        <f t="shared" si="23"/>
        <v>46.198850174718743</v>
      </c>
      <c r="X78" s="33">
        <f t="shared" si="23"/>
        <v>54.214617122871559</v>
      </c>
      <c r="Y78" s="33">
        <f t="shared" si="23"/>
        <v>56.343749387915985</v>
      </c>
      <c r="Z78" s="33">
        <f t="shared" si="23"/>
        <v>59.231235295361408</v>
      </c>
      <c r="AA78" s="33">
        <f t="shared" si="23"/>
        <v>58.114769432911679</v>
      </c>
      <c r="AB78" s="33">
        <f t="shared" si="23"/>
        <v>60.929629474865465</v>
      </c>
      <c r="AC78" s="33">
        <f t="shared" si="23"/>
        <v>11.672675020873177</v>
      </c>
      <c r="AD78" s="33">
        <f t="shared" si="23"/>
        <v>0</v>
      </c>
      <c r="AE78" s="33">
        <f t="shared" si="23"/>
        <v>0</v>
      </c>
      <c r="AF78" s="33">
        <f t="shared" si="23"/>
        <v>0</v>
      </c>
      <c r="AG78" s="33">
        <f t="shared" si="23"/>
        <v>0</v>
      </c>
      <c r="AH78" s="33">
        <f t="shared" si="23"/>
        <v>0</v>
      </c>
      <c r="AI78" s="33">
        <f t="shared" si="23"/>
        <v>0</v>
      </c>
      <c r="AJ78" s="33">
        <f t="shared" si="23"/>
        <v>0</v>
      </c>
      <c r="AK78" s="33">
        <f t="shared" si="23"/>
        <v>0</v>
      </c>
      <c r="AL78" s="33">
        <f t="shared" si="23"/>
        <v>0</v>
      </c>
      <c r="AM78" s="33">
        <f t="shared" si="23"/>
        <v>0</v>
      </c>
      <c r="AN78" s="33">
        <f t="shared" si="23"/>
        <v>0</v>
      </c>
    </row>
    <row r="79" spans="1:167" x14ac:dyDescent="0.3">
      <c r="B79" s="1" t="s">
        <v>364</v>
      </c>
      <c r="G79" s="26" t="s">
        <v>335</v>
      </c>
      <c r="L79" s="33">
        <f>-Расчеты!L874</f>
        <v>0</v>
      </c>
      <c r="M79" s="33">
        <f>-Расчеты!M874</f>
        <v>0</v>
      </c>
      <c r="N79" s="33">
        <f>-Расчеты!N874</f>
        <v>0</v>
      </c>
      <c r="O79" s="33">
        <f>-Расчеты!O874</f>
        <v>0</v>
      </c>
      <c r="P79" s="33">
        <f>-Расчеты!P874</f>
        <v>0</v>
      </c>
      <c r="Q79" s="33">
        <f>-Расчеты!Q874</f>
        <v>-0.41248201832109554</v>
      </c>
      <c r="R79" s="33">
        <f>-Расчеты!R874</f>
        <v>-4.7425883907831867E-2</v>
      </c>
      <c r="S79" s="33">
        <f>-Расчеты!S874</f>
        <v>-5.4401042534646518</v>
      </c>
      <c r="T79" s="33">
        <f>-Расчеты!T874</f>
        <v>-6.4242842938904401</v>
      </c>
      <c r="U79" s="33">
        <f>-Расчеты!U874</f>
        <v>-9.4376261897411915</v>
      </c>
      <c r="V79" s="33">
        <f>-Расчеты!V874</f>
        <v>-30.881817166158939</v>
      </c>
      <c r="W79" s="33">
        <f>-Расчеты!W874</f>
        <v>-46.431621705647558</v>
      </c>
      <c r="X79" s="33">
        <f>-Расчеты!X874</f>
        <v>-54.37464755038512</v>
      </c>
      <c r="Y79" s="33">
        <f>-Расчеты!Y874</f>
        <v>-56.489231594746492</v>
      </c>
      <c r="Z79" s="33">
        <f>-Расчеты!Z874</f>
        <v>-59.255482329833157</v>
      </c>
      <c r="AA79" s="33">
        <f>-Расчеты!AA874</f>
        <v>-58.114769432911679</v>
      </c>
      <c r="AB79" s="33">
        <f>-Расчеты!AB874</f>
        <v>-60.929629474865465</v>
      </c>
      <c r="AC79" s="33">
        <f>-Расчеты!AC874</f>
        <v>-11.672675020873177</v>
      </c>
      <c r="AD79" s="33">
        <f>-Расчеты!AD874</f>
        <v>0</v>
      </c>
      <c r="AE79" s="33">
        <f>-Расчеты!AE874</f>
        <v>0</v>
      </c>
      <c r="AF79" s="33">
        <f>-Расчеты!AF874</f>
        <v>0</v>
      </c>
      <c r="AG79" s="33">
        <f>-Расчеты!AG874</f>
        <v>0</v>
      </c>
      <c r="AH79" s="33">
        <f>-Расчеты!AH874</f>
        <v>0</v>
      </c>
      <c r="AI79" s="33">
        <f>-Расчеты!AI874</f>
        <v>0</v>
      </c>
      <c r="AJ79" s="33">
        <f>-Расчеты!AJ874</f>
        <v>0</v>
      </c>
      <c r="AK79" s="33">
        <f>-Расчеты!AK874</f>
        <v>0</v>
      </c>
      <c r="AL79" s="33">
        <f>-Расчеты!AL874</f>
        <v>0</v>
      </c>
      <c r="AM79" s="33">
        <f>-Расчеты!AM874</f>
        <v>0</v>
      </c>
      <c r="AN79" s="33">
        <f>-Расчеты!AN874</f>
        <v>0</v>
      </c>
    </row>
    <row r="80" spans="1:167" x14ac:dyDescent="0.3">
      <c r="B80" s="1" t="s">
        <v>23</v>
      </c>
      <c r="G80" s="26" t="s">
        <v>335</v>
      </c>
      <c r="L80" s="33">
        <f t="shared" ref="L80:AN80" si="24">L25</f>
        <v>0</v>
      </c>
      <c r="M80" s="33">
        <f t="shared" si="24"/>
        <v>0</v>
      </c>
      <c r="N80" s="33">
        <f t="shared" si="24"/>
        <v>36.617664927542364</v>
      </c>
      <c r="O80" s="33">
        <f t="shared" si="24"/>
        <v>43.941197913050836</v>
      </c>
      <c r="P80" s="33">
        <f t="shared" si="24"/>
        <v>43.941197913050836</v>
      </c>
      <c r="Q80" s="33">
        <f t="shared" si="24"/>
        <v>43.941197913050836</v>
      </c>
      <c r="R80" s="33">
        <f t="shared" si="24"/>
        <v>43.941197913050836</v>
      </c>
      <c r="S80" s="33">
        <f t="shared" si="24"/>
        <v>14.292352858723376</v>
      </c>
      <c r="T80" s="33">
        <f t="shared" si="24"/>
        <v>8.1388754453877539</v>
      </c>
      <c r="U80" s="33">
        <f t="shared" si="24"/>
        <v>8.1388754453877539</v>
      </c>
      <c r="V80" s="33">
        <f t="shared" si="24"/>
        <v>19.240707582275338</v>
      </c>
      <c r="W80" s="33">
        <f t="shared" si="24"/>
        <v>18.994522868503417</v>
      </c>
      <c r="X80" s="33">
        <f t="shared" si="24"/>
        <v>10.498116882556168</v>
      </c>
      <c r="Y80" s="33">
        <f t="shared" si="24"/>
        <v>10.058582781603626</v>
      </c>
      <c r="Z80" s="33">
        <f t="shared" si="24"/>
        <v>18.181375269201002</v>
      </c>
      <c r="AA80" s="33">
        <f t="shared" si="24"/>
        <v>17.45085379798066</v>
      </c>
      <c r="AB80" s="33">
        <f t="shared" si="24"/>
        <v>17.450853797980656</v>
      </c>
      <c r="AC80" s="33">
        <f t="shared" si="24"/>
        <v>0</v>
      </c>
      <c r="AD80" s="33">
        <f t="shared" si="24"/>
        <v>0</v>
      </c>
      <c r="AE80" s="33">
        <f t="shared" si="24"/>
        <v>0</v>
      </c>
      <c r="AF80" s="33">
        <f t="shared" si="24"/>
        <v>0</v>
      </c>
      <c r="AG80" s="33">
        <f t="shared" si="24"/>
        <v>0</v>
      </c>
      <c r="AH80" s="33">
        <f t="shared" si="24"/>
        <v>0</v>
      </c>
      <c r="AI80" s="33">
        <f t="shared" si="24"/>
        <v>0</v>
      </c>
      <c r="AJ80" s="33">
        <f t="shared" si="24"/>
        <v>0</v>
      </c>
      <c r="AK80" s="33">
        <f t="shared" si="24"/>
        <v>0</v>
      </c>
      <c r="AL80" s="33">
        <f t="shared" si="24"/>
        <v>0</v>
      </c>
      <c r="AM80" s="33">
        <f t="shared" si="24"/>
        <v>0</v>
      </c>
      <c r="AN80" s="33">
        <f t="shared" si="24"/>
        <v>0</v>
      </c>
    </row>
    <row r="81" spans="1:167" x14ac:dyDescent="0.3">
      <c r="B81" s="1" t="s">
        <v>111</v>
      </c>
      <c r="G81" s="26" t="s">
        <v>335</v>
      </c>
      <c r="L81" s="33">
        <f>-Расчеты!L930</f>
        <v>0</v>
      </c>
      <c r="M81" s="33">
        <f>-Расчеты!M930</f>
        <v>-5.522913211051776</v>
      </c>
      <c r="N81" s="33">
        <f>-Расчеты!N930</f>
        <v>-18.056421399822764</v>
      </c>
      <c r="O81" s="33">
        <f>-Расчеты!O930</f>
        <v>6.5870532168515439</v>
      </c>
      <c r="P81" s="33">
        <f>-Расчеты!P930</f>
        <v>-0.74202966761478706</v>
      </c>
      <c r="Q81" s="33">
        <f>-Расчеты!Q930</f>
        <v>-0.69686127530449937</v>
      </c>
      <c r="R81" s="33">
        <f>-Расчеты!R930</f>
        <v>-0.47159072180436112</v>
      </c>
      <c r="S81" s="33">
        <f>-Расчеты!S930</f>
        <v>-0.95899647268296917</v>
      </c>
      <c r="T81" s="33">
        <f>-Расчеты!T930</f>
        <v>-0.41025464165426229</v>
      </c>
      <c r="U81" s="33">
        <f>-Расчеты!U930</f>
        <v>-0.63448551473540249</v>
      </c>
      <c r="V81" s="33">
        <f>-Расчеты!V930</f>
        <v>-0.93305600667345345</v>
      </c>
      <c r="W81" s="33">
        <f>-Расчеты!W930</f>
        <v>0.98304961123385226</v>
      </c>
      <c r="X81" s="33">
        <f>-Расчеты!X930</f>
        <v>-1.7124446086314151</v>
      </c>
      <c r="Y81" s="33">
        <f>-Расчеты!Y930</f>
        <v>0.35622920862260798</v>
      </c>
      <c r="Z81" s="33">
        <f>-Расчеты!Z930</f>
        <v>-2.9217508754665289</v>
      </c>
      <c r="AA81" s="33">
        <f>-Расчеты!AA930</f>
        <v>1.0263765302389203</v>
      </c>
      <c r="AB81" s="33">
        <f>-Расчеты!AB930</f>
        <v>-0.97858714489592558</v>
      </c>
      <c r="AC81" s="33">
        <f>-Расчеты!AC930</f>
        <v>25.08668297339122</v>
      </c>
      <c r="AD81" s="33">
        <f>-Расчеты!AD930</f>
        <v>0</v>
      </c>
      <c r="AE81" s="33">
        <f>-Расчеты!AE930</f>
        <v>0</v>
      </c>
      <c r="AF81" s="33">
        <f>-Расчеты!AF930</f>
        <v>0</v>
      </c>
      <c r="AG81" s="33">
        <f>-Расчеты!AG930</f>
        <v>0</v>
      </c>
      <c r="AH81" s="33">
        <f>-Расчеты!AH930</f>
        <v>0</v>
      </c>
      <c r="AI81" s="33">
        <f>-Расчеты!AI930</f>
        <v>0</v>
      </c>
      <c r="AJ81" s="33">
        <f>-Расчеты!AJ930</f>
        <v>0</v>
      </c>
      <c r="AK81" s="33">
        <f>-Расчеты!AK930</f>
        <v>0</v>
      </c>
      <c r="AL81" s="33">
        <f>-Расчеты!AL930</f>
        <v>0</v>
      </c>
      <c r="AM81" s="33">
        <f>-Расчеты!AM930</f>
        <v>0</v>
      </c>
      <c r="AN81" s="33">
        <f>-Расчеты!AN930</f>
        <v>0</v>
      </c>
    </row>
    <row r="82" spans="1:167" x14ac:dyDescent="0.3">
      <c r="B82" s="1" t="s">
        <v>96</v>
      </c>
      <c r="G82" s="26" t="s">
        <v>335</v>
      </c>
      <c r="L82" s="33">
        <f t="shared" ref="L82:AN82" si="25">L30</f>
        <v>0</v>
      </c>
      <c r="M82" s="33">
        <f t="shared" si="25"/>
        <v>0</v>
      </c>
      <c r="N82" s="33">
        <f t="shared" si="25"/>
        <v>37.499942298305086</v>
      </c>
      <c r="O82" s="33">
        <f t="shared" si="25"/>
        <v>32.400404181423724</v>
      </c>
      <c r="P82" s="33">
        <f t="shared" si="25"/>
        <v>26.849148753717511</v>
      </c>
      <c r="Q82" s="33">
        <f t="shared" si="25"/>
        <v>20.260063322847454</v>
      </c>
      <c r="R82" s="33">
        <f t="shared" si="25"/>
        <v>15.866096465536719</v>
      </c>
      <c r="S82" s="33">
        <f t="shared" si="25"/>
        <v>12.972875039548018</v>
      </c>
      <c r="T82" s="33">
        <f t="shared" si="25"/>
        <v>10.079653613559319</v>
      </c>
      <c r="U82" s="33">
        <f t="shared" si="25"/>
        <v>7.1864321875706194</v>
      </c>
      <c r="V82" s="33">
        <f t="shared" si="25"/>
        <v>4.2932107615819195</v>
      </c>
      <c r="W82" s="33">
        <f t="shared" si="25"/>
        <v>1.39998933559322</v>
      </c>
      <c r="X82" s="33">
        <f t="shared" si="25"/>
        <v>0</v>
      </c>
      <c r="Y82" s="33">
        <f t="shared" si="25"/>
        <v>0</v>
      </c>
      <c r="Z82" s="33">
        <f t="shared" si="25"/>
        <v>0</v>
      </c>
      <c r="AA82" s="33">
        <f t="shared" si="25"/>
        <v>0</v>
      </c>
      <c r="AB82" s="33">
        <f t="shared" si="25"/>
        <v>0</v>
      </c>
      <c r="AC82" s="33">
        <f t="shared" si="25"/>
        <v>0</v>
      </c>
      <c r="AD82" s="33">
        <f t="shared" si="25"/>
        <v>0</v>
      </c>
      <c r="AE82" s="33">
        <f t="shared" si="25"/>
        <v>0</v>
      </c>
      <c r="AF82" s="33">
        <f t="shared" si="25"/>
        <v>0</v>
      </c>
      <c r="AG82" s="33">
        <f t="shared" si="25"/>
        <v>0</v>
      </c>
      <c r="AH82" s="33">
        <f t="shared" si="25"/>
        <v>0</v>
      </c>
      <c r="AI82" s="33">
        <f t="shared" si="25"/>
        <v>0</v>
      </c>
      <c r="AJ82" s="33">
        <f t="shared" si="25"/>
        <v>0</v>
      </c>
      <c r="AK82" s="33">
        <f t="shared" si="25"/>
        <v>0</v>
      </c>
      <c r="AL82" s="33">
        <f t="shared" si="25"/>
        <v>0</v>
      </c>
      <c r="AM82" s="33">
        <f t="shared" si="25"/>
        <v>0</v>
      </c>
      <c r="AN82" s="33">
        <f t="shared" si="25"/>
        <v>0</v>
      </c>
    </row>
    <row r="83" spans="1:167" x14ac:dyDescent="0.3">
      <c r="B83" s="1" t="s">
        <v>395</v>
      </c>
      <c r="G83" s="26" t="s">
        <v>335</v>
      </c>
      <c r="L83" s="33">
        <f>Расчеты!L899</f>
        <v>0</v>
      </c>
      <c r="M83" s="33">
        <f>Расчеты!M899</f>
        <v>0</v>
      </c>
      <c r="N83" s="33">
        <f>Расчеты!N899</f>
        <v>0</v>
      </c>
      <c r="O83" s="33">
        <f>Расчеты!O899</f>
        <v>0</v>
      </c>
      <c r="P83" s="33">
        <f>Расчеты!P899</f>
        <v>0</v>
      </c>
      <c r="Q83" s="33">
        <f>Расчеты!Q899</f>
        <v>0</v>
      </c>
      <c r="R83" s="33">
        <f>Расчеты!R899</f>
        <v>0</v>
      </c>
      <c r="S83" s="33">
        <f>Расчеты!S899</f>
        <v>0</v>
      </c>
      <c r="T83" s="33">
        <f>Расчеты!T899</f>
        <v>0</v>
      </c>
      <c r="U83" s="33">
        <f>Расчеты!U899</f>
        <v>0</v>
      </c>
      <c r="V83" s="33">
        <f>Расчеты!V899</f>
        <v>0</v>
      </c>
      <c r="W83" s="33">
        <f>Расчеты!W899</f>
        <v>0</v>
      </c>
      <c r="X83" s="33">
        <f>Расчеты!X899</f>
        <v>0</v>
      </c>
      <c r="Y83" s="33">
        <f>Расчеты!Y899</f>
        <v>0</v>
      </c>
      <c r="Z83" s="33">
        <f>Расчеты!Z899</f>
        <v>0</v>
      </c>
      <c r="AA83" s="33">
        <f>Расчеты!AA899</f>
        <v>0</v>
      </c>
      <c r="AB83" s="33">
        <f>Расчеты!AB899</f>
        <v>0</v>
      </c>
      <c r="AC83" s="33">
        <f>Расчеты!AC899</f>
        <v>0</v>
      </c>
      <c r="AD83" s="33">
        <f>Расчеты!AD899</f>
        <v>0</v>
      </c>
      <c r="AE83" s="33">
        <f>Расчеты!AE899</f>
        <v>0</v>
      </c>
      <c r="AF83" s="33">
        <f>Расчеты!AF899</f>
        <v>0</v>
      </c>
      <c r="AG83" s="33">
        <f>Расчеты!AG899</f>
        <v>0</v>
      </c>
      <c r="AH83" s="33">
        <f>Расчеты!AH899</f>
        <v>0</v>
      </c>
      <c r="AI83" s="33">
        <f>Расчеты!AI899</f>
        <v>0</v>
      </c>
      <c r="AJ83" s="33">
        <f>Расчеты!AJ899</f>
        <v>0</v>
      </c>
      <c r="AK83" s="33">
        <f>Расчеты!AK899</f>
        <v>0</v>
      </c>
      <c r="AL83" s="33">
        <f>Расчеты!AL899</f>
        <v>0</v>
      </c>
      <c r="AM83" s="33">
        <f>Расчеты!AM899</f>
        <v>0</v>
      </c>
      <c r="AN83" s="33">
        <f>Расчеты!AN899</f>
        <v>0</v>
      </c>
    </row>
    <row r="84" spans="1:167" s="2" customFormat="1" x14ac:dyDescent="0.3">
      <c r="A84" s="18"/>
      <c r="B84" s="2" t="s">
        <v>27</v>
      </c>
      <c r="G84" s="30" t="s">
        <v>335</v>
      </c>
      <c r="L84" s="34">
        <f>SUM(L77:L83)</f>
        <v>0</v>
      </c>
      <c r="M84" s="34">
        <f t="shared" ref="M84:AN84" si="26">SUM(M77:M83)</f>
        <v>-5.522913211051776</v>
      </c>
      <c r="N84" s="34">
        <f>SUM(N77:N83)</f>
        <v>36.032190761255649</v>
      </c>
      <c r="O84" s="34">
        <f>SUM(O77:O83)</f>
        <v>62.677947030480965</v>
      </c>
      <c r="P84" s="34">
        <f t="shared" si="26"/>
        <v>58.547418276162787</v>
      </c>
      <c r="Q84" s="34">
        <f t="shared" si="26"/>
        <v>60.572485815621121</v>
      </c>
      <c r="R84" s="34">
        <f t="shared" si="26"/>
        <v>53.848396570917686</v>
      </c>
      <c r="S84" s="34">
        <f t="shared" si="26"/>
        <v>62.641174717874875</v>
      </c>
      <c r="T84" s="34">
        <f t="shared" si="26"/>
        <v>61.847178350810637</v>
      </c>
      <c r="U84" s="34">
        <f t="shared" si="26"/>
        <v>62.983777032531222</v>
      </c>
      <c r="V84" s="34">
        <f t="shared" si="26"/>
        <v>114.31522771194537</v>
      </c>
      <c r="W84" s="34">
        <f t="shared" si="26"/>
        <v>159.74134080855791</v>
      </c>
      <c r="X84" s="34">
        <f t="shared" si="26"/>
        <v>171.26949321502585</v>
      </c>
      <c r="Y84" s="34">
        <f t="shared" si="26"/>
        <v>179.30057794714369</v>
      </c>
      <c r="Z84" s="34">
        <f t="shared" si="26"/>
        <v>192.92908324534696</v>
      </c>
      <c r="AA84" s="34">
        <f t="shared" si="26"/>
        <v>192.82153862695463</v>
      </c>
      <c r="AB84" s="34">
        <f t="shared" si="26"/>
        <v>199.26115507768111</v>
      </c>
      <c r="AC84" s="34">
        <f t="shared" si="26"/>
        <v>60.104708036010749</v>
      </c>
      <c r="AD84" s="34">
        <f t="shared" si="26"/>
        <v>0</v>
      </c>
      <c r="AE84" s="34">
        <f t="shared" si="26"/>
        <v>0</v>
      </c>
      <c r="AF84" s="34">
        <f t="shared" si="26"/>
        <v>0</v>
      </c>
      <c r="AG84" s="34">
        <f t="shared" si="26"/>
        <v>0</v>
      </c>
      <c r="AH84" s="34">
        <f t="shared" si="26"/>
        <v>0</v>
      </c>
      <c r="AI84" s="34">
        <f t="shared" si="26"/>
        <v>0</v>
      </c>
      <c r="AJ84" s="34">
        <f t="shared" si="26"/>
        <v>0</v>
      </c>
      <c r="AK84" s="34">
        <f t="shared" si="26"/>
        <v>0</v>
      </c>
      <c r="AL84" s="34">
        <f t="shared" si="26"/>
        <v>0</v>
      </c>
      <c r="AM84" s="34">
        <f t="shared" si="26"/>
        <v>0</v>
      </c>
      <c r="AN84" s="34">
        <f t="shared" si="26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</row>
    <row r="85" spans="1:167" x14ac:dyDescent="0.3">
      <c r="G85" s="26"/>
    </row>
    <row r="86" spans="1:167" x14ac:dyDescent="0.3">
      <c r="B86" s="1" t="s">
        <v>97</v>
      </c>
      <c r="G86" s="26" t="s">
        <v>335</v>
      </c>
      <c r="L86" s="33">
        <f>-(Расчеты!L78+Расчеты!L114+Расчеты!L124+Расчеты!L136)</f>
        <v>0</v>
      </c>
      <c r="M86" s="33">
        <f>-(Расчеты!M78+Расчеты!M114+Расчеты!M124+Расчеты!M136)</f>
        <v>-111.99240677966101</v>
      </c>
      <c r="N86" s="33">
        <f>-(Расчеты!N78+Расчеты!N114+Расчеты!N124+Расчеты!N136)</f>
        <v>-116.66577796610169</v>
      </c>
      <c r="O86" s="33">
        <f>-(Расчеты!O78+Расчеты!O114+Расчеты!O124+Расчеты!O136)</f>
        <v>0</v>
      </c>
      <c r="P86" s="33">
        <f>-(Расчеты!P78+Расчеты!P114+Расчеты!P124+Расчеты!P136)</f>
        <v>0</v>
      </c>
      <c r="Q86" s="33">
        <f>-(Расчеты!Q78+Расчеты!Q114+Расчеты!Q124+Расчеты!Q136)</f>
        <v>0</v>
      </c>
      <c r="R86" s="33">
        <f>-(Расчеты!R78+Расчеты!R114+Расчеты!R124+Расчеты!R136)</f>
        <v>0</v>
      </c>
      <c r="S86" s="33">
        <f>-(Расчеты!S78+Расчеты!S114+Расчеты!S124+Расчеты!S136)</f>
        <v>-4.4741680494018574</v>
      </c>
      <c r="T86" s="33">
        <f>-(Расчеты!T78+Расчеты!T114+Расчеты!T124+Расчеты!T136)</f>
        <v>0</v>
      </c>
      <c r="U86" s="33">
        <f>-(Расчеты!U78+Расчеты!U114+Расчеты!U124+Расчеты!U136)</f>
        <v>0</v>
      </c>
      <c r="V86" s="33">
        <f>-(Расчеты!V78+Расчеты!V114+Расчеты!V124+Расчеты!V136)</f>
        <v>-22.203664273775168</v>
      </c>
      <c r="W86" s="33">
        <f>-(Расчеты!W78+Расчеты!W114+Расчеты!W124+Расчеты!W136)</f>
        <v>-5.2341437914712667</v>
      </c>
      <c r="X86" s="33">
        <f>-(Расчеты!X78+Расчеты!X114+Расчеты!X124+Расчеты!X136)</f>
        <v>-24.015483278515227</v>
      </c>
      <c r="Y86" s="33">
        <f>-(Расчеты!Y78+Расчеты!Y114+Расчеты!Y124+Расчеты!Y136)</f>
        <v>0</v>
      </c>
      <c r="Z86" s="33">
        <f>-(Расчеты!Z78+Расчеты!Z114+Расчеты!Z124+Расчеты!Z136)</f>
        <v>-35.32619953109721</v>
      </c>
      <c r="AA86" s="33">
        <f>-(Расчеты!AA78+Расчеты!AA114+Расчеты!AA124+Расчеты!AA136)</f>
        <v>0</v>
      </c>
      <c r="AB86" s="33">
        <f>-(Расчеты!AB78+Расчеты!AB114+Расчеты!AB124+Расчеты!AB136)</f>
        <v>0</v>
      </c>
      <c r="AC86" s="33">
        <f>-(Расчеты!AC78+Расчеты!AC114+Расчеты!AC124+Расчеты!AC136)</f>
        <v>0</v>
      </c>
      <c r="AD86" s="33">
        <f>-(Расчеты!AD78+Расчеты!AD114+Расчеты!AD124+Расчеты!AD136)</f>
        <v>0</v>
      </c>
      <c r="AE86" s="33">
        <f>-(Расчеты!AE78+Расчеты!AE114+Расчеты!AE124+Расчеты!AE136)</f>
        <v>0</v>
      </c>
      <c r="AF86" s="33">
        <f>-(Расчеты!AF78+Расчеты!AF114+Расчеты!AF124+Расчеты!AF136)</f>
        <v>0</v>
      </c>
      <c r="AG86" s="33">
        <f>-(Расчеты!AG78+Расчеты!AG114+Расчеты!AG124+Расчеты!AG136)</f>
        <v>0</v>
      </c>
      <c r="AH86" s="33">
        <f>-(Расчеты!AH78+Расчеты!AH114+Расчеты!AH124+Расчеты!AH136)</f>
        <v>0</v>
      </c>
      <c r="AI86" s="33">
        <f>-(Расчеты!AI78+Расчеты!AI114+Расчеты!AI124+Расчеты!AI136)</f>
        <v>0</v>
      </c>
      <c r="AJ86" s="33">
        <f>-(Расчеты!AJ78+Расчеты!AJ114+Расчеты!AJ124+Расчеты!AJ136)</f>
        <v>0</v>
      </c>
      <c r="AK86" s="33">
        <f>-(Расчеты!AK78+Расчеты!AK114+Расчеты!AK124+Расчеты!AK136)</f>
        <v>0</v>
      </c>
      <c r="AL86" s="33">
        <f>-(Расчеты!AL78+Расчеты!AL114+Расчеты!AL124+Расчеты!AL136)</f>
        <v>0</v>
      </c>
      <c r="AM86" s="33">
        <f>-(Расчеты!AM78+Расчеты!AM114+Расчеты!AM124+Расчеты!AM136)</f>
        <v>0</v>
      </c>
      <c r="AN86" s="33">
        <f>-(Расчеты!AN78+Расчеты!AN114+Расчеты!AN124+Расчеты!AN136)</f>
        <v>0</v>
      </c>
    </row>
    <row r="87" spans="1:167" s="2" customFormat="1" x14ac:dyDescent="0.3">
      <c r="A87" s="18"/>
      <c r="B87" s="2" t="s">
        <v>28</v>
      </c>
      <c r="G87" s="30" t="s">
        <v>335</v>
      </c>
      <c r="L87" s="34">
        <f t="shared" ref="L87:AN87" si="27">L86</f>
        <v>0</v>
      </c>
      <c r="M87" s="34">
        <f t="shared" si="27"/>
        <v>-111.99240677966101</v>
      </c>
      <c r="N87" s="34">
        <f t="shared" si="27"/>
        <v>-116.66577796610169</v>
      </c>
      <c r="O87" s="34">
        <f t="shared" si="27"/>
        <v>0</v>
      </c>
      <c r="P87" s="34">
        <f t="shared" si="27"/>
        <v>0</v>
      </c>
      <c r="Q87" s="34">
        <f t="shared" si="27"/>
        <v>0</v>
      </c>
      <c r="R87" s="34">
        <f t="shared" si="27"/>
        <v>0</v>
      </c>
      <c r="S87" s="34">
        <f t="shared" si="27"/>
        <v>-4.4741680494018574</v>
      </c>
      <c r="T87" s="34">
        <f t="shared" si="27"/>
        <v>0</v>
      </c>
      <c r="U87" s="34">
        <f t="shared" si="27"/>
        <v>0</v>
      </c>
      <c r="V87" s="34">
        <f t="shared" si="27"/>
        <v>-22.203664273775168</v>
      </c>
      <c r="W87" s="34">
        <f t="shared" si="27"/>
        <v>-5.2341437914712667</v>
      </c>
      <c r="X87" s="34">
        <f t="shared" si="27"/>
        <v>-24.015483278515227</v>
      </c>
      <c r="Y87" s="34">
        <f t="shared" si="27"/>
        <v>0</v>
      </c>
      <c r="Z87" s="34">
        <f t="shared" si="27"/>
        <v>-35.32619953109721</v>
      </c>
      <c r="AA87" s="34">
        <f t="shared" si="27"/>
        <v>0</v>
      </c>
      <c r="AB87" s="34">
        <f t="shared" si="27"/>
        <v>0</v>
      </c>
      <c r="AC87" s="34">
        <f t="shared" si="27"/>
        <v>0</v>
      </c>
      <c r="AD87" s="34">
        <f t="shared" si="27"/>
        <v>0</v>
      </c>
      <c r="AE87" s="34">
        <f t="shared" si="27"/>
        <v>0</v>
      </c>
      <c r="AF87" s="34">
        <f t="shared" si="27"/>
        <v>0</v>
      </c>
      <c r="AG87" s="34">
        <f t="shared" si="27"/>
        <v>0</v>
      </c>
      <c r="AH87" s="34">
        <f t="shared" si="27"/>
        <v>0</v>
      </c>
      <c r="AI87" s="34">
        <f t="shared" si="27"/>
        <v>0</v>
      </c>
      <c r="AJ87" s="34">
        <f t="shared" si="27"/>
        <v>0</v>
      </c>
      <c r="AK87" s="34">
        <f t="shared" si="27"/>
        <v>0</v>
      </c>
      <c r="AL87" s="34">
        <f t="shared" si="27"/>
        <v>0</v>
      </c>
      <c r="AM87" s="34">
        <f t="shared" si="27"/>
        <v>0</v>
      </c>
      <c r="AN87" s="34">
        <f t="shared" si="27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</row>
    <row r="88" spans="1:167" x14ac:dyDescent="0.3">
      <c r="G88" s="26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</row>
    <row r="89" spans="1:167" x14ac:dyDescent="0.3">
      <c r="B89" s="1" t="s">
        <v>117</v>
      </c>
      <c r="G89" s="26" t="s">
        <v>335</v>
      </c>
      <c r="L89" s="33">
        <f>Расчеты!L791</f>
        <v>0</v>
      </c>
      <c r="M89" s="33">
        <f>Расчеты!M791</f>
        <v>54.293918806779651</v>
      </c>
      <c r="N89" s="33">
        <f>Расчеты!N791</f>
        <v>72.9997174698305</v>
      </c>
      <c r="O89" s="33">
        <f>Расчеты!O791</f>
        <v>0</v>
      </c>
      <c r="P89" s="33">
        <f>Расчеты!P791</f>
        <v>0</v>
      </c>
      <c r="Q89" s="33">
        <f>Расчеты!Q791</f>
        <v>0</v>
      </c>
      <c r="R89" s="33">
        <f>Расчеты!R791</f>
        <v>0</v>
      </c>
      <c r="S89" s="33">
        <f>Расчеты!S791</f>
        <v>0</v>
      </c>
      <c r="T89" s="33">
        <f>Расчеты!T791</f>
        <v>0</v>
      </c>
      <c r="U89" s="33">
        <f>Расчеты!U791</f>
        <v>0</v>
      </c>
      <c r="V89" s="33">
        <f>Расчеты!V791</f>
        <v>0</v>
      </c>
      <c r="W89" s="33">
        <f>Расчеты!W791</f>
        <v>0</v>
      </c>
      <c r="X89" s="33">
        <f>Расчеты!X791</f>
        <v>0</v>
      </c>
      <c r="Y89" s="33">
        <f>Расчеты!Y791</f>
        <v>0</v>
      </c>
      <c r="Z89" s="33">
        <f>Расчеты!Z791</f>
        <v>0</v>
      </c>
      <c r="AA89" s="33">
        <f>Расчеты!AA791</f>
        <v>0</v>
      </c>
      <c r="AB89" s="33">
        <f>Расчеты!AB791</f>
        <v>0</v>
      </c>
      <c r="AC89" s="33">
        <f>Расчеты!AC791</f>
        <v>0</v>
      </c>
      <c r="AD89" s="33">
        <f>Расчеты!AD791</f>
        <v>0</v>
      </c>
      <c r="AE89" s="33">
        <f>Расчеты!AE791</f>
        <v>0</v>
      </c>
      <c r="AF89" s="33">
        <f>Расчеты!AF791</f>
        <v>0</v>
      </c>
      <c r="AG89" s="33">
        <f>Расчеты!AG791</f>
        <v>0</v>
      </c>
      <c r="AH89" s="33">
        <f>Расчеты!AH791</f>
        <v>0</v>
      </c>
      <c r="AI89" s="33">
        <f>Расчеты!AI791</f>
        <v>0</v>
      </c>
      <c r="AJ89" s="33">
        <f>Расчеты!AJ791</f>
        <v>0</v>
      </c>
      <c r="AK89" s="33">
        <f>Расчеты!AK791</f>
        <v>0</v>
      </c>
      <c r="AL89" s="33">
        <f>Расчеты!AL791</f>
        <v>0</v>
      </c>
      <c r="AM89" s="33">
        <f>Расчеты!AM791</f>
        <v>0</v>
      </c>
      <c r="AN89" s="33">
        <f>Расчеты!AN791</f>
        <v>0</v>
      </c>
    </row>
    <row r="90" spans="1:167" x14ac:dyDescent="0.3">
      <c r="B90" s="1" t="s">
        <v>98</v>
      </c>
      <c r="G90" s="26" t="s">
        <v>335</v>
      </c>
      <c r="L90" s="33">
        <f>Расчеты!L751</f>
        <v>0</v>
      </c>
      <c r="M90" s="33">
        <f>Расчеты!M751</f>
        <v>107.51271050847457</v>
      </c>
      <c r="N90" s="33">
        <f>Расчеты!N751</f>
        <v>111.99914684745761</v>
      </c>
      <c r="O90" s="33">
        <f>Расчеты!O751</f>
        <v>0</v>
      </c>
      <c r="P90" s="33">
        <f>Расчеты!P751</f>
        <v>0</v>
      </c>
      <c r="Q90" s="33">
        <f>Расчеты!Q751</f>
        <v>0</v>
      </c>
      <c r="R90" s="33">
        <f>Расчеты!R751</f>
        <v>0</v>
      </c>
      <c r="S90" s="33">
        <f>Расчеты!S751</f>
        <v>0</v>
      </c>
      <c r="T90" s="33">
        <f>Расчеты!T751</f>
        <v>0</v>
      </c>
      <c r="U90" s="33">
        <f>Расчеты!U751</f>
        <v>0</v>
      </c>
      <c r="V90" s="33">
        <f>Расчеты!V751</f>
        <v>0</v>
      </c>
      <c r="W90" s="33">
        <f>Расчеты!W751</f>
        <v>0</v>
      </c>
      <c r="X90" s="33">
        <f>Расчеты!X751</f>
        <v>0</v>
      </c>
      <c r="Y90" s="33">
        <f>Расчеты!Y751</f>
        <v>0</v>
      </c>
      <c r="Z90" s="33">
        <f>Расчеты!Z751</f>
        <v>0</v>
      </c>
      <c r="AA90" s="33">
        <f>Расчеты!AA751</f>
        <v>0</v>
      </c>
      <c r="AB90" s="33">
        <f>Расчеты!AB751</f>
        <v>0</v>
      </c>
      <c r="AC90" s="33">
        <f>Расчеты!AC751</f>
        <v>0</v>
      </c>
      <c r="AD90" s="33">
        <f>Расчеты!AD751</f>
        <v>0</v>
      </c>
      <c r="AE90" s="33">
        <f>Расчеты!AE751</f>
        <v>0</v>
      </c>
      <c r="AF90" s="33">
        <f>Расчеты!AF751</f>
        <v>0</v>
      </c>
      <c r="AG90" s="33">
        <f>Расчеты!AG751</f>
        <v>0</v>
      </c>
      <c r="AH90" s="33">
        <f>Расчеты!AH751</f>
        <v>0</v>
      </c>
      <c r="AI90" s="33">
        <f>Расчеты!AI751</f>
        <v>0</v>
      </c>
      <c r="AJ90" s="33">
        <f>Расчеты!AJ751</f>
        <v>0</v>
      </c>
      <c r="AK90" s="33">
        <f>Расчеты!AK751</f>
        <v>0</v>
      </c>
      <c r="AL90" s="33">
        <f>Расчеты!AL751</f>
        <v>0</v>
      </c>
      <c r="AM90" s="33">
        <f>Расчеты!AM751</f>
        <v>0</v>
      </c>
      <c r="AN90" s="33">
        <f>Расчеты!AN751</f>
        <v>0</v>
      </c>
    </row>
    <row r="91" spans="1:167" x14ac:dyDescent="0.3">
      <c r="B91" s="1" t="s">
        <v>100</v>
      </c>
      <c r="G91" s="26" t="s">
        <v>335</v>
      </c>
      <c r="L91" s="33">
        <f>-Расчеты!L739</f>
        <v>0</v>
      </c>
      <c r="M91" s="33">
        <f>-Расчеты!M739</f>
        <v>0</v>
      </c>
      <c r="N91" s="33">
        <f>-Расчеты!N739</f>
        <v>-23.145771407909599</v>
      </c>
      <c r="O91" s="33">
        <f>-Расчеты!O739</f>
        <v>-23.145771407909599</v>
      </c>
      <c r="P91" s="33">
        <f>-Расчеты!P739</f>
        <v>-23.145771407909599</v>
      </c>
      <c r="Q91" s="33">
        <f>-Расчеты!Q739</f>
        <v>-23.145771407909599</v>
      </c>
      <c r="R91" s="33">
        <f>-Расчеты!R739</f>
        <v>-23.145771407909599</v>
      </c>
      <c r="S91" s="33">
        <f>-Расчеты!S739</f>
        <v>-23.145771407909599</v>
      </c>
      <c r="T91" s="33">
        <f>-Расчеты!T739</f>
        <v>-23.145771407909599</v>
      </c>
      <c r="U91" s="33">
        <f>-Расчеты!U739</f>
        <v>-23.145771407909599</v>
      </c>
      <c r="V91" s="33">
        <f>-Расчеты!V739</f>
        <v>-23.145771407909599</v>
      </c>
      <c r="W91" s="33">
        <f>-Расчеты!W739</f>
        <v>-11.19991468474576</v>
      </c>
      <c r="X91" s="33">
        <f>-Расчеты!X739</f>
        <v>0</v>
      </c>
      <c r="Y91" s="33">
        <f>-Расчеты!Y739</f>
        <v>0</v>
      </c>
      <c r="Z91" s="33">
        <f>-Расчеты!Z739</f>
        <v>0</v>
      </c>
      <c r="AA91" s="33">
        <f>-Расчеты!AA739</f>
        <v>0</v>
      </c>
      <c r="AB91" s="33">
        <f>-Расчеты!AB739</f>
        <v>0</v>
      </c>
      <c r="AC91" s="33">
        <f>-Расчеты!AC739</f>
        <v>0</v>
      </c>
      <c r="AD91" s="33">
        <f>-Расчеты!AD739</f>
        <v>0</v>
      </c>
      <c r="AE91" s="33">
        <f>-Расчеты!AE739</f>
        <v>0</v>
      </c>
      <c r="AF91" s="33">
        <f>-Расчеты!AF739</f>
        <v>0</v>
      </c>
      <c r="AG91" s="33">
        <f>-Расчеты!AG739</f>
        <v>0</v>
      </c>
      <c r="AH91" s="33">
        <f>-Расчеты!AH739</f>
        <v>0</v>
      </c>
      <c r="AI91" s="33">
        <f>-Расчеты!AI739</f>
        <v>0</v>
      </c>
      <c r="AJ91" s="33">
        <f>-Расчеты!AJ739</f>
        <v>0</v>
      </c>
      <c r="AK91" s="33">
        <f>-Расчеты!AK739</f>
        <v>0</v>
      </c>
      <c r="AL91" s="33">
        <f>-Расчеты!AL739</f>
        <v>0</v>
      </c>
      <c r="AM91" s="33">
        <f>-Расчеты!AM739</f>
        <v>0</v>
      </c>
      <c r="AN91" s="33">
        <f>-Расчеты!AN739</f>
        <v>0</v>
      </c>
    </row>
    <row r="92" spans="1:167" x14ac:dyDescent="0.3">
      <c r="B92" s="1" t="s">
        <v>99</v>
      </c>
      <c r="G92" s="26" t="s">
        <v>335</v>
      </c>
      <c r="L92" s="33">
        <f>-Расчеты!L738</f>
        <v>0</v>
      </c>
      <c r="M92" s="33">
        <f>-Расчеты!M738</f>
        <v>-27.415741179661016</v>
      </c>
      <c r="N92" s="33">
        <f>-Расчеты!N738</f>
        <v>-44.999930757966098</v>
      </c>
      <c r="O92" s="33">
        <f>-Расчеты!O738</f>
        <v>-32.400404181423724</v>
      </c>
      <c r="P92" s="33">
        <f>-Расчеты!P738</f>
        <v>-26.849148753717511</v>
      </c>
      <c r="Q92" s="33">
        <f>-Расчеты!Q738</f>
        <v>-20.260063322847454</v>
      </c>
      <c r="R92" s="33">
        <f>-Расчеты!R738</f>
        <v>-15.866096465536719</v>
      </c>
      <c r="S92" s="33">
        <f>-Расчеты!S738</f>
        <v>-12.972875039548018</v>
      </c>
      <c r="T92" s="33">
        <f>-Расчеты!T738</f>
        <v>-10.079653613559319</v>
      </c>
      <c r="U92" s="33">
        <f>-Расчеты!U738</f>
        <v>-7.1864321875706194</v>
      </c>
      <c r="V92" s="33">
        <f>-Расчеты!V738</f>
        <v>-4.2932107615819195</v>
      </c>
      <c r="W92" s="33">
        <f>-Расчеты!W738</f>
        <v>-1.39998933559322</v>
      </c>
      <c r="X92" s="33">
        <f>-Расчеты!X738</f>
        <v>0</v>
      </c>
      <c r="Y92" s="33">
        <f>-Расчеты!Y738</f>
        <v>0</v>
      </c>
      <c r="Z92" s="33">
        <f>-Расчеты!Z738</f>
        <v>0</v>
      </c>
      <c r="AA92" s="33">
        <f>-Расчеты!AA738</f>
        <v>0</v>
      </c>
      <c r="AB92" s="33">
        <f>-Расчеты!AB738</f>
        <v>0</v>
      </c>
      <c r="AC92" s="33">
        <f>-Расчеты!AC738</f>
        <v>0</v>
      </c>
      <c r="AD92" s="33">
        <f>-Расчеты!AD738</f>
        <v>0</v>
      </c>
      <c r="AE92" s="33">
        <f>-Расчеты!AE738</f>
        <v>0</v>
      </c>
      <c r="AF92" s="33">
        <f>-Расчеты!AF738</f>
        <v>0</v>
      </c>
      <c r="AG92" s="33">
        <f>-Расчеты!AG738</f>
        <v>0</v>
      </c>
      <c r="AH92" s="33">
        <f>-Расчеты!AH738</f>
        <v>0</v>
      </c>
      <c r="AI92" s="33">
        <f>-Расчеты!AI738</f>
        <v>0</v>
      </c>
      <c r="AJ92" s="33">
        <f>-Расчеты!AJ738</f>
        <v>0</v>
      </c>
      <c r="AK92" s="33">
        <f>-Расчеты!AK738</f>
        <v>0</v>
      </c>
      <c r="AL92" s="33">
        <f>-Расчеты!AL738</f>
        <v>0</v>
      </c>
      <c r="AM92" s="33">
        <f>-Расчеты!AM738</f>
        <v>0</v>
      </c>
      <c r="AN92" s="33">
        <f>-Расчеты!AN738</f>
        <v>0</v>
      </c>
    </row>
    <row r="93" spans="1:167" s="2" customFormat="1" x14ac:dyDescent="0.3">
      <c r="A93" s="18"/>
      <c r="B93" s="2" t="s">
        <v>29</v>
      </c>
      <c r="G93" s="30" t="s">
        <v>335</v>
      </c>
      <c r="L93" s="34">
        <f t="shared" ref="L93:AN93" si="28">SUM(L89:L92)</f>
        <v>0</v>
      </c>
      <c r="M93" s="34">
        <f t="shared" si="28"/>
        <v>134.3908881355932</v>
      </c>
      <c r="N93" s="34">
        <f t="shared" si="28"/>
        <v>116.85316215141242</v>
      </c>
      <c r="O93" s="34">
        <f t="shared" si="28"/>
        <v>-55.546175589333323</v>
      </c>
      <c r="P93" s="34">
        <f t="shared" si="28"/>
        <v>-49.994920161627107</v>
      </c>
      <c r="Q93" s="34">
        <f t="shared" si="28"/>
        <v>-43.40583473075705</v>
      </c>
      <c r="R93" s="34">
        <f t="shared" si="28"/>
        <v>-39.01186787344632</v>
      </c>
      <c r="S93" s="34">
        <f t="shared" si="28"/>
        <v>-36.118646447457621</v>
      </c>
      <c r="T93" s="34">
        <f t="shared" si="28"/>
        <v>-33.225425021468922</v>
      </c>
      <c r="U93" s="34">
        <f t="shared" si="28"/>
        <v>-30.33220359548022</v>
      </c>
      <c r="V93" s="34">
        <f t="shared" si="28"/>
        <v>-27.438982169491517</v>
      </c>
      <c r="W93" s="34">
        <f t="shared" si="28"/>
        <v>-12.599904020338981</v>
      </c>
      <c r="X93" s="34">
        <f t="shared" si="28"/>
        <v>0</v>
      </c>
      <c r="Y93" s="34">
        <f t="shared" si="28"/>
        <v>0</v>
      </c>
      <c r="Z93" s="34">
        <f t="shared" si="28"/>
        <v>0</v>
      </c>
      <c r="AA93" s="34">
        <f t="shared" si="28"/>
        <v>0</v>
      </c>
      <c r="AB93" s="34">
        <f t="shared" si="28"/>
        <v>0</v>
      </c>
      <c r="AC93" s="34">
        <f t="shared" si="28"/>
        <v>0</v>
      </c>
      <c r="AD93" s="34">
        <f t="shared" si="28"/>
        <v>0</v>
      </c>
      <c r="AE93" s="34">
        <f t="shared" si="28"/>
        <v>0</v>
      </c>
      <c r="AF93" s="34">
        <f t="shared" si="28"/>
        <v>0</v>
      </c>
      <c r="AG93" s="34">
        <f t="shared" si="28"/>
        <v>0</v>
      </c>
      <c r="AH93" s="34">
        <f t="shared" si="28"/>
        <v>0</v>
      </c>
      <c r="AI93" s="34">
        <f t="shared" si="28"/>
        <v>0</v>
      </c>
      <c r="AJ93" s="34">
        <f t="shared" si="28"/>
        <v>0</v>
      </c>
      <c r="AK93" s="34">
        <f t="shared" si="28"/>
        <v>0</v>
      </c>
      <c r="AL93" s="34">
        <f t="shared" si="28"/>
        <v>0</v>
      </c>
      <c r="AM93" s="34">
        <f t="shared" si="28"/>
        <v>0</v>
      </c>
      <c r="AN93" s="34">
        <f t="shared" si="28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spans="1:167" x14ac:dyDescent="0.3">
      <c r="G94" s="26"/>
    </row>
    <row r="95" spans="1:167" s="2" customFormat="1" x14ac:dyDescent="0.3">
      <c r="A95" s="18"/>
      <c r="B95" s="2" t="s">
        <v>115</v>
      </c>
      <c r="G95" s="30" t="s">
        <v>335</v>
      </c>
      <c r="L95" s="34">
        <f t="shared" ref="L95:AN95" si="29">L84+L87+L93</f>
        <v>0</v>
      </c>
      <c r="M95" s="34">
        <f t="shared" si="29"/>
        <v>16.875568144880418</v>
      </c>
      <c r="N95" s="34">
        <f t="shared" si="29"/>
        <v>36.219574946566382</v>
      </c>
      <c r="O95" s="34">
        <f t="shared" si="29"/>
        <v>7.1317714411476416</v>
      </c>
      <c r="P95" s="34">
        <f t="shared" si="29"/>
        <v>8.5524981145356804</v>
      </c>
      <c r="Q95" s="34">
        <f t="shared" si="29"/>
        <v>17.166651084864071</v>
      </c>
      <c r="R95" s="34">
        <f t="shared" si="29"/>
        <v>14.836528697471365</v>
      </c>
      <c r="S95" s="34">
        <f t="shared" si="29"/>
        <v>22.0483602210154</v>
      </c>
      <c r="T95" s="34">
        <f t="shared" si="29"/>
        <v>28.621753329341715</v>
      </c>
      <c r="U95" s="34">
        <f t="shared" si="29"/>
        <v>32.651573437050999</v>
      </c>
      <c r="V95" s="34">
        <f t="shared" si="29"/>
        <v>64.672581268678698</v>
      </c>
      <c r="W95" s="34">
        <f t="shared" si="29"/>
        <v>141.90729299674766</v>
      </c>
      <c r="X95" s="34">
        <f t="shared" si="29"/>
        <v>147.25400993651061</v>
      </c>
      <c r="Y95" s="34">
        <f t="shared" si="29"/>
        <v>179.30057794714369</v>
      </c>
      <c r="Z95" s="34">
        <f t="shared" si="29"/>
        <v>157.60288371424974</v>
      </c>
      <c r="AA95" s="34">
        <f t="shared" si="29"/>
        <v>192.82153862695463</v>
      </c>
      <c r="AB95" s="34">
        <f t="shared" si="29"/>
        <v>199.26115507768111</v>
      </c>
      <c r="AC95" s="34">
        <f t="shared" si="29"/>
        <v>60.104708036010749</v>
      </c>
      <c r="AD95" s="34">
        <f t="shared" si="29"/>
        <v>0</v>
      </c>
      <c r="AE95" s="34">
        <f t="shared" si="29"/>
        <v>0</v>
      </c>
      <c r="AF95" s="34">
        <f t="shared" si="29"/>
        <v>0</v>
      </c>
      <c r="AG95" s="34">
        <f t="shared" si="29"/>
        <v>0</v>
      </c>
      <c r="AH95" s="34">
        <f t="shared" si="29"/>
        <v>0</v>
      </c>
      <c r="AI95" s="34">
        <f t="shared" si="29"/>
        <v>0</v>
      </c>
      <c r="AJ95" s="34">
        <f t="shared" si="29"/>
        <v>0</v>
      </c>
      <c r="AK95" s="34">
        <f t="shared" si="29"/>
        <v>0</v>
      </c>
      <c r="AL95" s="34">
        <f t="shared" si="29"/>
        <v>0</v>
      </c>
      <c r="AM95" s="34">
        <f t="shared" si="29"/>
        <v>0</v>
      </c>
      <c r="AN95" s="34">
        <f t="shared" si="29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spans="1:167" x14ac:dyDescent="0.3">
      <c r="B96" s="1" t="s">
        <v>103</v>
      </c>
      <c r="G96" s="26" t="s">
        <v>335</v>
      </c>
      <c r="L96" s="46">
        <f>K96+L95</f>
        <v>0</v>
      </c>
      <c r="M96" s="46">
        <f>L96+M95</f>
        <v>16.875568144880418</v>
      </c>
      <c r="N96" s="46">
        <f>M96+N95</f>
        <v>53.095143091446801</v>
      </c>
      <c r="O96" s="46">
        <f t="shared" ref="O96" si="30">N96+O95</f>
        <v>60.226914532594442</v>
      </c>
      <c r="P96" s="46">
        <f>O96+P95</f>
        <v>68.77941264713013</v>
      </c>
      <c r="Q96" s="46">
        <f t="shared" ref="Q96" si="31">P96+Q95</f>
        <v>85.946063731994201</v>
      </c>
      <c r="R96" s="46">
        <f>Q96+R95</f>
        <v>100.78259242946557</v>
      </c>
      <c r="S96" s="46">
        <f t="shared" ref="S96" si="32">R96+S95</f>
        <v>122.83095265048097</v>
      </c>
      <c r="T96" s="46">
        <f t="shared" ref="T96" si="33">S96+T95</f>
        <v>151.45270597982267</v>
      </c>
      <c r="U96" s="46">
        <f>T96+U95</f>
        <v>184.10427941687368</v>
      </c>
      <c r="V96" s="46">
        <f t="shared" ref="V96" si="34">U96+V95</f>
        <v>248.77686068555238</v>
      </c>
      <c r="W96" s="46">
        <f t="shared" ref="W96" si="35">V96+W95</f>
        <v>390.68415368230001</v>
      </c>
      <c r="X96" s="46">
        <f t="shared" ref="X96" si="36">W96+X95</f>
        <v>537.93816361881068</v>
      </c>
      <c r="Y96" s="46">
        <f t="shared" ref="Y96" si="37">X96+Y95</f>
        <v>717.23874156595434</v>
      </c>
      <c r="Z96" s="46">
        <f t="shared" ref="Z96" si="38">Y96+Z95</f>
        <v>874.84162528020408</v>
      </c>
      <c r="AA96" s="46">
        <f t="shared" ref="AA96" si="39">Z96+AA95</f>
        <v>1067.6631639071588</v>
      </c>
      <c r="AB96" s="46">
        <f t="shared" ref="AB96" si="40">AA96+AB95</f>
        <v>1266.9243189848398</v>
      </c>
      <c r="AC96" s="46">
        <f t="shared" ref="AC96" si="41">AB96+AC95</f>
        <v>1327.0290270208507</v>
      </c>
      <c r="AD96" s="46">
        <f t="shared" ref="AD96" si="42">AC96+AD95</f>
        <v>1327.0290270208507</v>
      </c>
      <c r="AE96" s="46">
        <f t="shared" ref="AE96" si="43">AD96+AE95</f>
        <v>1327.0290270208507</v>
      </c>
      <c r="AF96" s="46">
        <f t="shared" ref="AF96" si="44">AE96+AF95</f>
        <v>1327.0290270208507</v>
      </c>
      <c r="AG96" s="46">
        <f t="shared" ref="AG96" si="45">AF96+AG95</f>
        <v>1327.0290270208507</v>
      </c>
      <c r="AH96" s="46">
        <f t="shared" ref="AH96" si="46">AG96+AH95</f>
        <v>1327.0290270208507</v>
      </c>
      <c r="AI96" s="46">
        <f t="shared" ref="AI96" si="47">AH96+AI95</f>
        <v>1327.0290270208507</v>
      </c>
      <c r="AJ96" s="46">
        <f t="shared" ref="AJ96" si="48">AI96+AJ95</f>
        <v>1327.0290270208507</v>
      </c>
      <c r="AK96" s="46">
        <f t="shared" ref="AK96" si="49">AJ96+AK95</f>
        <v>1327.0290270208507</v>
      </c>
      <c r="AL96" s="46">
        <f t="shared" ref="AL96" si="50">AK96+AL95</f>
        <v>1327.0290270208507</v>
      </c>
      <c r="AM96" s="46">
        <f t="shared" ref="AM96" si="51">AL96+AM95</f>
        <v>1327.0290270208507</v>
      </c>
      <c r="AN96" s="46">
        <f t="shared" ref="AN96" si="52">AM96+AN95</f>
        <v>1327.0290270208507</v>
      </c>
    </row>
    <row r="97" spans="1:167" x14ac:dyDescent="0.3">
      <c r="G97" s="26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</row>
    <row r="98" spans="1:167" x14ac:dyDescent="0.3">
      <c r="B98" s="2" t="s">
        <v>158</v>
      </c>
      <c r="G98" s="18" t="s">
        <v>11</v>
      </c>
      <c r="H98" s="114">
        <f>MIN(0,L96:AN96)</f>
        <v>0</v>
      </c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</row>
    <row r="99" spans="1:167" ht="15.75" thickBot="1" x14ac:dyDescent="0.35">
      <c r="G99" s="26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</row>
    <row r="100" spans="1:167" s="51" customFormat="1" ht="18" customHeight="1" thickTop="1" thickBot="1" x14ac:dyDescent="0.35">
      <c r="A100" s="49"/>
      <c r="B100" s="50" t="s">
        <v>52</v>
      </c>
      <c r="G100" s="52"/>
      <c r="J100" s="53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spans="1:167" ht="15.75" thickTop="1" x14ac:dyDescent="0.3"/>
    <row r="102" spans="1:167" x14ac:dyDescent="0.3">
      <c r="L102" s="19"/>
      <c r="M102" s="19"/>
      <c r="N102" s="19"/>
      <c r="O102" s="19"/>
      <c r="P102" s="19"/>
    </row>
    <row r="105" spans="1:167" x14ac:dyDescent="0.3">
      <c r="M105" s="19"/>
      <c r="N105" s="19"/>
      <c r="O105" s="19"/>
    </row>
  </sheetData>
  <conditionalFormatting sqref="H98">
    <cfRule type="cellIs" dxfId="3" priority="3" operator="equal">
      <formula>0</formula>
    </cfRule>
    <cfRule type="cellIs" dxfId="2" priority="4" operator="lessThan">
      <formula>0</formula>
    </cfRule>
  </conditionalFormatting>
  <conditionalFormatting sqref="L73:AN73">
    <cfRule type="cellIs" dxfId="1" priority="1" operator="notEqual">
      <formula>0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O127"/>
  <sheetViews>
    <sheetView zoomScale="130" zoomScaleNormal="130" workbookViewId="0">
      <selection activeCell="H18" sqref="H18"/>
    </sheetView>
  </sheetViews>
  <sheetFormatPr defaultColWidth="8.88671875" defaultRowHeight="15.05" x14ac:dyDescent="0.3"/>
  <cols>
    <col min="1" max="2" width="8.88671875" style="80"/>
    <col min="3" max="3" width="12.5546875" style="80" customWidth="1"/>
    <col min="4" max="4" width="8.88671875" style="80"/>
    <col min="5" max="5" width="12.5546875" style="80" customWidth="1"/>
    <col min="6" max="6" width="8.88671875" style="80"/>
    <col min="7" max="7" width="12.5546875" style="80" customWidth="1"/>
    <col min="8" max="8" width="29.33203125" style="80" customWidth="1"/>
    <col min="9" max="17" width="8.88671875" style="80"/>
    <col min="18" max="18" width="10.88671875" style="80" customWidth="1"/>
    <col min="19" max="20" width="8.88671875" style="80"/>
    <col min="21" max="21" width="10.88671875" style="80" customWidth="1"/>
    <col min="22" max="16384" width="8.88671875" style="80"/>
  </cols>
  <sheetData>
    <row r="2" spans="3:9" x14ac:dyDescent="0.3">
      <c r="C2" s="80" t="s">
        <v>178</v>
      </c>
      <c r="E2" s="80" t="s">
        <v>186</v>
      </c>
      <c r="G2" s="80" t="s">
        <v>365</v>
      </c>
    </row>
    <row r="3" spans="3:9" x14ac:dyDescent="0.3">
      <c r="C3" s="80" t="s">
        <v>177</v>
      </c>
      <c r="E3" s="80" t="s">
        <v>183</v>
      </c>
      <c r="G3" s="80" t="s">
        <v>62</v>
      </c>
    </row>
    <row r="4" spans="3:9" x14ac:dyDescent="0.3">
      <c r="C4" s="80" t="s">
        <v>161</v>
      </c>
      <c r="E4" s="80" t="s">
        <v>184</v>
      </c>
      <c r="G4" s="80" t="s">
        <v>314</v>
      </c>
    </row>
    <row r="5" spans="3:9" x14ac:dyDescent="0.3">
      <c r="C5" s="80" t="s">
        <v>162</v>
      </c>
      <c r="E5" s="80" t="s">
        <v>185</v>
      </c>
    </row>
    <row r="6" spans="3:9" x14ac:dyDescent="0.3">
      <c r="C6" s="80" t="s">
        <v>163</v>
      </c>
    </row>
    <row r="7" spans="3:9" x14ac:dyDescent="0.3">
      <c r="C7" s="80" t="s">
        <v>121</v>
      </c>
    </row>
    <row r="8" spans="3:9" x14ac:dyDescent="0.3">
      <c r="C8" s="80" t="s">
        <v>189</v>
      </c>
    </row>
    <row r="12" spans="3:9" x14ac:dyDescent="0.3">
      <c r="I12" s="92"/>
    </row>
    <row r="13" spans="3:9" x14ac:dyDescent="0.3">
      <c r="I13" s="92"/>
    </row>
    <row r="14" spans="3:9" x14ac:dyDescent="0.3">
      <c r="I14" s="92"/>
    </row>
    <row r="15" spans="3:9" x14ac:dyDescent="0.3">
      <c r="I15" s="92"/>
    </row>
    <row r="16" spans="3:9" x14ac:dyDescent="0.3">
      <c r="I16" s="92"/>
    </row>
    <row r="17" spans="9:9" x14ac:dyDescent="0.3">
      <c r="I17" s="92"/>
    </row>
    <row r="18" spans="9:9" x14ac:dyDescent="0.3">
      <c r="I18" s="92"/>
    </row>
    <row r="19" spans="9:9" x14ac:dyDescent="0.3">
      <c r="I19" s="92"/>
    </row>
    <row r="20" spans="9:9" x14ac:dyDescent="0.3">
      <c r="I20" s="92"/>
    </row>
    <row r="21" spans="9:9" x14ac:dyDescent="0.3">
      <c r="I21" s="92"/>
    </row>
    <row r="22" spans="9:9" x14ac:dyDescent="0.3">
      <c r="I22" s="92"/>
    </row>
    <row r="23" spans="9:9" x14ac:dyDescent="0.3">
      <c r="I23" s="92"/>
    </row>
    <row r="27" spans="9:9" x14ac:dyDescent="0.3">
      <c r="I27" s="92"/>
    </row>
    <row r="28" spans="9:9" x14ac:dyDescent="0.3">
      <c r="I28" s="92"/>
    </row>
    <row r="29" spans="9:9" x14ac:dyDescent="0.3">
      <c r="I29" s="92"/>
    </row>
    <row r="30" spans="9:9" x14ac:dyDescent="0.3">
      <c r="I30" s="92"/>
    </row>
    <row r="32" spans="9:9" x14ac:dyDescent="0.3">
      <c r="I32" s="92"/>
    </row>
    <row r="33" spans="9:9" x14ac:dyDescent="0.3">
      <c r="I33" s="92"/>
    </row>
    <row r="34" spans="9:9" x14ac:dyDescent="0.3">
      <c r="I34" s="92"/>
    </row>
    <row r="36" spans="9:9" x14ac:dyDescent="0.3">
      <c r="I36" s="92"/>
    </row>
    <row r="42" spans="9:9" x14ac:dyDescent="0.3">
      <c r="I42" s="92"/>
    </row>
    <row r="47" spans="9:9" x14ac:dyDescent="0.3">
      <c r="I47" s="92"/>
    </row>
    <row r="55" spans="9:9" x14ac:dyDescent="0.3">
      <c r="I55" s="92"/>
    </row>
    <row r="56" spans="9:9" x14ac:dyDescent="0.3">
      <c r="I56" s="92"/>
    </row>
    <row r="65" spans="9:9" x14ac:dyDescent="0.3">
      <c r="I65" s="92"/>
    </row>
    <row r="66" spans="9:9" x14ac:dyDescent="0.3">
      <c r="I66" s="92"/>
    </row>
    <row r="67" spans="9:9" x14ac:dyDescent="0.3">
      <c r="I67" s="92"/>
    </row>
    <row r="68" spans="9:9" x14ac:dyDescent="0.3">
      <c r="I68" s="92"/>
    </row>
    <row r="69" spans="9:9" x14ac:dyDescent="0.3">
      <c r="I69" s="92"/>
    </row>
    <row r="70" spans="9:9" x14ac:dyDescent="0.3">
      <c r="I70" s="92"/>
    </row>
    <row r="71" spans="9:9" x14ac:dyDescent="0.3">
      <c r="I71" s="92"/>
    </row>
    <row r="72" spans="9:9" x14ac:dyDescent="0.3">
      <c r="I72" s="92"/>
    </row>
    <row r="73" spans="9:9" x14ac:dyDescent="0.3">
      <c r="I73" s="92"/>
    </row>
    <row r="74" spans="9:9" x14ac:dyDescent="0.3">
      <c r="I74" s="92"/>
    </row>
    <row r="75" spans="9:9" x14ac:dyDescent="0.3">
      <c r="I75" s="92"/>
    </row>
    <row r="76" spans="9:9" x14ac:dyDescent="0.3">
      <c r="I76" s="92"/>
    </row>
    <row r="77" spans="9:9" x14ac:dyDescent="0.3">
      <c r="I77" s="92"/>
    </row>
    <row r="78" spans="9:9" x14ac:dyDescent="0.3">
      <c r="I78" s="92"/>
    </row>
    <row r="79" spans="9:9" x14ac:dyDescent="0.3">
      <c r="I79" s="93"/>
    </row>
    <row r="80" spans="9:9" x14ac:dyDescent="0.3">
      <c r="I80" s="93"/>
    </row>
    <row r="81" spans="9:9" x14ac:dyDescent="0.3">
      <c r="I81" s="93"/>
    </row>
    <row r="86" spans="9:9" x14ac:dyDescent="0.3">
      <c r="I86" s="92"/>
    </row>
    <row r="87" spans="9:9" x14ac:dyDescent="0.3">
      <c r="I87" s="92"/>
    </row>
    <row r="88" spans="9:9" x14ac:dyDescent="0.3">
      <c r="I88" s="92"/>
    </row>
    <row r="89" spans="9:9" x14ac:dyDescent="0.3">
      <c r="I89" s="92"/>
    </row>
    <row r="90" spans="9:9" x14ac:dyDescent="0.3">
      <c r="I90" s="92"/>
    </row>
    <row r="91" spans="9:9" x14ac:dyDescent="0.3">
      <c r="I91" s="92"/>
    </row>
    <row r="92" spans="9:9" x14ac:dyDescent="0.3">
      <c r="I92" s="92"/>
    </row>
    <row r="103" spans="9:9" x14ac:dyDescent="0.3">
      <c r="I103" s="92"/>
    </row>
    <row r="104" spans="9:9" x14ac:dyDescent="0.3">
      <c r="I104" s="92"/>
    </row>
    <row r="105" spans="9:9" x14ac:dyDescent="0.3">
      <c r="I105" s="92"/>
    </row>
    <row r="106" spans="9:9" x14ac:dyDescent="0.3">
      <c r="I106" s="92"/>
    </row>
    <row r="107" spans="9:9" x14ac:dyDescent="0.3">
      <c r="I107" s="92"/>
    </row>
    <row r="108" spans="9:9" x14ac:dyDescent="0.3">
      <c r="I108" s="92"/>
    </row>
    <row r="109" spans="9:9" x14ac:dyDescent="0.3">
      <c r="I109" s="92"/>
    </row>
    <row r="110" spans="9:9" x14ac:dyDescent="0.3">
      <c r="I110" s="92"/>
    </row>
    <row r="115" spans="9:15" x14ac:dyDescent="0.3">
      <c r="I115" s="92"/>
    </row>
    <row r="116" spans="9:15" x14ac:dyDescent="0.3">
      <c r="I116" s="92"/>
    </row>
    <row r="117" spans="9:15" x14ac:dyDescent="0.3">
      <c r="I117" s="92"/>
    </row>
    <row r="127" spans="9:15" x14ac:dyDescent="0.3">
      <c r="I127" s="94"/>
      <c r="O127" s="80" t="s">
        <v>128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M25" sqref="M25"/>
    </sheetView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Title</vt:lpstr>
      <vt:lpstr>Input</vt:lpstr>
      <vt:lpstr>Расчеты</vt:lpstr>
      <vt:lpstr>PL_BS_CF</vt:lpstr>
      <vt:lpstr>Тех.лист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2025-11-24T11:30:17Z</dcterms:modified>
</cp:coreProperties>
</file>